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6F38007D-2484-49FC-8982-368BD2DBD993}" xr6:coauthVersionLast="47" xr6:coauthVersionMax="47" xr10:uidLastSave="{00000000-0000-0000-0000-000000000000}"/>
  <bookViews>
    <workbookView xWindow="1635" yWindow="2295" windowWidth="21600" windowHeight="11295" xr2:uid="{E337A749-ACFF-45C9-AA89-834A78DE2DDF}"/>
  </bookViews>
  <sheets>
    <sheet name="Input" sheetId="1" r:id="rId1"/>
  </sheets>
  <definedNames>
    <definedName name="_xlnm._FilterDatabase" localSheetId="0" hidden="1">Input!$J$2:$T$1299</definedName>
    <definedName name="SLSLOADCASE">Input!$J$5:$U$10000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1" i="1" l="1"/>
  <c r="AA30" i="1"/>
  <c r="AA29" i="1"/>
  <c r="AA28" i="1"/>
  <c r="AA27" i="1"/>
  <c r="AA26" i="1"/>
  <c r="AA25" i="1"/>
  <c r="AA24" i="1"/>
  <c r="AA23" i="1"/>
  <c r="AA22" i="1"/>
  <c r="AA21" i="1"/>
  <c r="AA20" i="1"/>
  <c r="AE6" i="1"/>
  <c r="AH6" i="1" s="1"/>
  <c r="AH22" i="1" s="1"/>
  <c r="AI15" i="1"/>
  <c r="AH15" i="1" s="1"/>
  <c r="AH31" i="1" s="1"/>
  <c r="AH13" i="1"/>
  <c r="AF13" i="1" s="1"/>
  <c r="AF29" i="1" s="1"/>
  <c r="AG11" i="1"/>
  <c r="AD11" i="1" s="1"/>
  <c r="AD27" i="1" s="1"/>
  <c r="AF9" i="1"/>
  <c r="AB9" i="1" s="1"/>
  <c r="AB25" i="1" s="1"/>
  <c r="AE7" i="1"/>
  <c r="AI7" i="1" s="1"/>
  <c r="AI23" i="1" s="1"/>
  <c r="AI14" i="1"/>
  <c r="AG14" i="1" s="1"/>
  <c r="AG30" i="1" s="1"/>
  <c r="AH12" i="1"/>
  <c r="AE12" i="1" s="1"/>
  <c r="AE28" i="1" s="1"/>
  <c r="AG10" i="1"/>
  <c r="AC10" i="1" s="1"/>
  <c r="AC26" i="1" s="1"/>
  <c r="AF8" i="1"/>
  <c r="AC8" i="1" s="1"/>
  <c r="AC24" i="1" s="1"/>
  <c r="AD5" i="1"/>
  <c r="AH5" i="1" s="1"/>
  <c r="AH21" i="1" s="1"/>
  <c r="AD4" i="1"/>
  <c r="AG4" i="1" s="1"/>
  <c r="AG20" i="1" s="1"/>
  <c r="AE22" i="1" l="1"/>
  <c r="AF25" i="1"/>
  <c r="AG27" i="1"/>
  <c r="AI30" i="1"/>
  <c r="AF24" i="1"/>
  <c r="AH29" i="1"/>
  <c r="AE23" i="1"/>
  <c r="AD20" i="1"/>
  <c r="AH28" i="1"/>
  <c r="AD21" i="1"/>
  <c r="AG26" i="1"/>
  <c r="AI31" i="1"/>
  <c r="AE10" i="1"/>
  <c r="AE26" i="1" s="1"/>
  <c r="AF10" i="1"/>
  <c r="AF26" i="1" s="1"/>
  <c r="AE9" i="1"/>
  <c r="AE25" i="1" s="1"/>
  <c r="AI4" i="1"/>
  <c r="AI20" i="1" s="1"/>
  <c r="AF11" i="1"/>
  <c r="AF27" i="1" s="1"/>
  <c r="AH11" i="1"/>
  <c r="AH27" i="1" s="1"/>
  <c r="AB7" i="1"/>
  <c r="AB23" i="1" s="1"/>
  <c r="AG12" i="1"/>
  <c r="AG28" i="1" s="1"/>
  <c r="AC7" i="1"/>
  <c r="AC23" i="1" s="1"/>
  <c r="AI12" i="1"/>
  <c r="AI28" i="1" s="1"/>
  <c r="AD9" i="1"/>
  <c r="AD25" i="1" s="1"/>
  <c r="AB14" i="1"/>
  <c r="AB30" i="1" s="1"/>
  <c r="AD8" i="1"/>
  <c r="AD24" i="1" s="1"/>
  <c r="AH4" i="1"/>
  <c r="AH20" i="1" s="1"/>
  <c r="AI5" i="1"/>
  <c r="AI21" i="1" s="1"/>
  <c r="AI6" i="1"/>
  <c r="AI22" i="1" s="1"/>
  <c r="AB8" i="1"/>
  <c r="AB24" i="1" s="1"/>
  <c r="AC9" i="1"/>
  <c r="AC25" i="1" s="1"/>
  <c r="AD10" i="1"/>
  <c r="AD26" i="1" s="1"/>
  <c r="AE11" i="1"/>
  <c r="AE27" i="1" s="1"/>
  <c r="AF12" i="1"/>
  <c r="AF28" i="1" s="1"/>
  <c r="AG13" i="1"/>
  <c r="AG29" i="1" s="1"/>
  <c r="AH14" i="1"/>
  <c r="AH30" i="1" s="1"/>
  <c r="AB5" i="1"/>
  <c r="AB21" i="1" s="1"/>
  <c r="AC15" i="1"/>
  <c r="AC31" i="1" s="1"/>
  <c r="AB4" i="1"/>
  <c r="AB20" i="1" s="1"/>
  <c r="AC5" i="1"/>
  <c r="AC21" i="1" s="1"/>
  <c r="AC6" i="1"/>
  <c r="AC22" i="1" s="1"/>
  <c r="AD7" i="1"/>
  <c r="AD23" i="1" s="1"/>
  <c r="AE8" i="1"/>
  <c r="AE24" i="1" s="1"/>
  <c r="AG9" i="1"/>
  <c r="AG25" i="1" s="1"/>
  <c r="AH10" i="1"/>
  <c r="AH26" i="1" s="1"/>
  <c r="AI11" i="1"/>
  <c r="AI27" i="1" s="1"/>
  <c r="AB13" i="1"/>
  <c r="AB29" i="1" s="1"/>
  <c r="AC14" i="1"/>
  <c r="AC30" i="1" s="1"/>
  <c r="AD15" i="1"/>
  <c r="AD31" i="1" s="1"/>
  <c r="AI13" i="1"/>
  <c r="AI29" i="1" s="1"/>
  <c r="AB15" i="1"/>
  <c r="AB31" i="1" s="1"/>
  <c r="AC4" i="1"/>
  <c r="AC20" i="1" s="1"/>
  <c r="AE5" i="1"/>
  <c r="AE21" i="1" s="1"/>
  <c r="AD6" i="1"/>
  <c r="AD22" i="1" s="1"/>
  <c r="AF7" i="1"/>
  <c r="AF23" i="1" s="1"/>
  <c r="AG8" i="1"/>
  <c r="AG24" i="1" s="1"/>
  <c r="AH9" i="1"/>
  <c r="AH25" i="1" s="1"/>
  <c r="AI10" i="1"/>
  <c r="AI26" i="1" s="1"/>
  <c r="AB12" i="1"/>
  <c r="AB28" i="1" s="1"/>
  <c r="AC13" i="1"/>
  <c r="AC29" i="1" s="1"/>
  <c r="AD14" i="1"/>
  <c r="AD30" i="1" s="1"/>
  <c r="AE15" i="1"/>
  <c r="AE31" i="1" s="1"/>
  <c r="AB6" i="1"/>
  <c r="AB22" i="1" s="1"/>
  <c r="AE4" i="1"/>
  <c r="AE20" i="1" s="1"/>
  <c r="AF5" i="1"/>
  <c r="AF21" i="1" s="1"/>
  <c r="AF6" i="1"/>
  <c r="AF22" i="1" s="1"/>
  <c r="AG7" i="1"/>
  <c r="AG23" i="1" s="1"/>
  <c r="AH8" i="1"/>
  <c r="AH24" i="1" s="1"/>
  <c r="AI9" i="1"/>
  <c r="AI25" i="1" s="1"/>
  <c r="AB11" i="1"/>
  <c r="AB27" i="1" s="1"/>
  <c r="AC12" i="1"/>
  <c r="AC28" i="1" s="1"/>
  <c r="AD13" i="1"/>
  <c r="AD29" i="1" s="1"/>
  <c r="AE14" i="1"/>
  <c r="AE30" i="1" s="1"/>
  <c r="AF15" i="1"/>
  <c r="AF31" i="1" s="1"/>
  <c r="AF4" i="1"/>
  <c r="AF20" i="1" s="1"/>
  <c r="AG5" i="1"/>
  <c r="AG21" i="1" s="1"/>
  <c r="AG6" i="1"/>
  <c r="AG22" i="1" s="1"/>
  <c r="AH7" i="1"/>
  <c r="AH23" i="1" s="1"/>
  <c r="AI8" i="1"/>
  <c r="AI24" i="1" s="1"/>
  <c r="AB10" i="1"/>
  <c r="AB26" i="1" s="1"/>
  <c r="AC11" i="1"/>
  <c r="AC27" i="1" s="1"/>
  <c r="AD12" i="1"/>
  <c r="AD28" i="1" s="1"/>
  <c r="AE13" i="1"/>
  <c r="AE29" i="1" s="1"/>
  <c r="AF14" i="1"/>
  <c r="AF30" i="1" s="1"/>
  <c r="AG15" i="1"/>
  <c r="AG31" i="1" s="1"/>
</calcChain>
</file>

<file path=xl/sharedStrings.xml><?xml version="1.0" encoding="utf-8"?>
<sst xmlns="http://schemas.openxmlformats.org/spreadsheetml/2006/main" count="2935" uniqueCount="117">
  <si>
    <t>Case</t>
  </si>
  <si>
    <t>Load Case/Combo</t>
  </si>
  <si>
    <t>FX</t>
  </si>
  <si>
    <t>FY</t>
  </si>
  <si>
    <t>FZ</t>
  </si>
  <si>
    <t>MX</t>
  </si>
  <si>
    <t>MY</t>
  </si>
  <si>
    <t>MZ</t>
  </si>
  <si>
    <t>kN</t>
  </si>
  <si>
    <t>kN-m</t>
  </si>
  <si>
    <t>Max FX</t>
  </si>
  <si>
    <t>Min FX</t>
  </si>
  <si>
    <t>Max FY</t>
  </si>
  <si>
    <t>Min FY</t>
  </si>
  <si>
    <t>Max FZ</t>
  </si>
  <si>
    <t>Min FZ</t>
  </si>
  <si>
    <t>Max MX</t>
  </si>
  <si>
    <t>Min MX</t>
  </si>
  <si>
    <t>Max MY</t>
  </si>
  <si>
    <t>Min MY</t>
  </si>
  <si>
    <t>Max MZ</t>
  </si>
  <si>
    <t>Min MZ</t>
  </si>
  <si>
    <t>TỔNG HỢP KẾT QUẢ NỘI LỰC</t>
  </si>
  <si>
    <t>TABLE:  Joint Reactions</t>
  </si>
  <si>
    <t>Story</t>
  </si>
  <si>
    <t>Label</t>
  </si>
  <si>
    <t>Case Type</t>
  </si>
  <si>
    <t/>
  </si>
  <si>
    <t>TABLE:  Point Object Connectivity</t>
  </si>
  <si>
    <t>X</t>
  </si>
  <si>
    <t>Y</t>
  </si>
  <si>
    <t>Z</t>
  </si>
  <si>
    <t>m</t>
  </si>
  <si>
    <t>Unique
Name</t>
  </si>
  <si>
    <t>Output
Combo</t>
  </si>
  <si>
    <t>Joint
Label</t>
  </si>
  <si>
    <t>ĐẢO DẤU +/- Ở BẢNG TRÊN</t>
  </si>
  <si>
    <t>191</t>
  </si>
  <si>
    <t>192</t>
  </si>
  <si>
    <t>193</t>
  </si>
  <si>
    <t>194</t>
  </si>
  <si>
    <t>195</t>
  </si>
  <si>
    <t>196</t>
  </si>
  <si>
    <t>197</t>
  </si>
  <si>
    <t>206</t>
  </si>
  <si>
    <t>207</t>
  </si>
  <si>
    <t>208</t>
  </si>
  <si>
    <t>209</t>
  </si>
  <si>
    <t>219</t>
  </si>
  <si>
    <t>220</t>
  </si>
  <si>
    <t>221</t>
  </si>
  <si>
    <t>222</t>
  </si>
  <si>
    <t>232</t>
  </si>
  <si>
    <t>233</t>
  </si>
  <si>
    <t>234</t>
  </si>
  <si>
    <t>235</t>
  </si>
  <si>
    <t>245</t>
  </si>
  <si>
    <t>246</t>
  </si>
  <si>
    <t>247</t>
  </si>
  <si>
    <t>248</t>
  </si>
  <si>
    <t>258</t>
  </si>
  <si>
    <t>259</t>
  </si>
  <si>
    <t>260</t>
  </si>
  <si>
    <t>261</t>
  </si>
  <si>
    <t>271</t>
  </si>
  <si>
    <t>272</t>
  </si>
  <si>
    <t>273</t>
  </si>
  <si>
    <t>274</t>
  </si>
  <si>
    <t>284</t>
  </si>
  <si>
    <t>285</t>
  </si>
  <si>
    <t>286</t>
  </si>
  <si>
    <t>287</t>
  </si>
  <si>
    <t>297</t>
  </si>
  <si>
    <t>298</t>
  </si>
  <si>
    <t>299</t>
  </si>
  <si>
    <t>300</t>
  </si>
  <si>
    <t>310</t>
  </si>
  <si>
    <t>311</t>
  </si>
  <si>
    <t>312</t>
  </si>
  <si>
    <t>313</t>
  </si>
  <si>
    <t>323</t>
  </si>
  <si>
    <t>324</t>
  </si>
  <si>
    <t>325</t>
  </si>
  <si>
    <t>326</t>
  </si>
  <si>
    <t>342</t>
  </si>
  <si>
    <t>343</t>
  </si>
  <si>
    <t>344</t>
  </si>
  <si>
    <t>345</t>
  </si>
  <si>
    <t>346</t>
  </si>
  <si>
    <t>347</t>
  </si>
  <si>
    <t>348</t>
  </si>
  <si>
    <t>1_ULS1</t>
  </si>
  <si>
    <t>1_ULS2</t>
  </si>
  <si>
    <t>1_ULS31</t>
  </si>
  <si>
    <t>1_ULS32</t>
  </si>
  <si>
    <t>1_ULS33</t>
  </si>
  <si>
    <t>1_ULS34</t>
  </si>
  <si>
    <t>1_ULS35</t>
  </si>
  <si>
    <t>1_ULS36</t>
  </si>
  <si>
    <t>1_ULS37</t>
  </si>
  <si>
    <t>1_ULS38</t>
  </si>
  <si>
    <t>1_ULS41</t>
  </si>
  <si>
    <t>1_ULS42</t>
  </si>
  <si>
    <t>1_ULS43</t>
  </si>
  <si>
    <t>1_ULS44</t>
  </si>
  <si>
    <t>1_ULS45</t>
  </si>
  <si>
    <t>1_ULS46</t>
  </si>
  <si>
    <t>1_ULS47</t>
  </si>
  <si>
    <t>1_ULS48</t>
  </si>
  <si>
    <t>1_ULS51</t>
  </si>
  <si>
    <t>1_ULS52</t>
  </si>
  <si>
    <t>1_ULS53</t>
  </si>
  <si>
    <t>1_ULS54</t>
  </si>
  <si>
    <t>1_ULS55</t>
  </si>
  <si>
    <t>1_ULS56</t>
  </si>
  <si>
    <t>1_ULS57</t>
  </si>
  <si>
    <t>1_ULS58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</si>
</sst>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2"/>
      <color theme="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22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auto="1"/>
      </top>
      <bottom style="hair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45">
    <xf numFmtId="0" fontId="0" fillId="0" borderId="0" xfId="0"/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4" fillId="0" borderId="10" xfId="1" applyFont="1" applyBorder="1" applyAlignment="1">
      <alignment horizontal="left"/>
    </xf>
    <xf numFmtId="0" fontId="4" fillId="0" borderId="13" xfId="1" applyFont="1" applyBorder="1" applyAlignment="1">
      <alignment horizontal="left"/>
    </xf>
    <xf numFmtId="0" fontId="4" fillId="0" borderId="16" xfId="1" applyFont="1" applyBorder="1" applyAlignment="1">
      <alignment horizontal="left"/>
    </xf>
    <xf numFmtId="49" fontId="0" fillId="0" borderId="0" xfId="0" applyNumberFormat="1"/>
    <xf numFmtId="0" fontId="7" fillId="5" borderId="21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1" fillId="5" borderId="20" xfId="0" applyNumberFormat="1" applyFont="1" applyFill="1" applyBorder="1" applyAlignment="1">
      <alignment horizontal="center"/>
    </xf>
    <xf numFmtId="0" fontId="0" fillId="6" borderId="0" xfId="0" applyFill="1"/>
    <xf numFmtId="2" fontId="5" fillId="4" borderId="11" xfId="1" applyNumberFormat="1" applyFont="1" applyFill="1" applyBorder="1" applyAlignment="1">
      <alignment horizontal="center" vertical="center"/>
    </xf>
    <xf numFmtId="2" fontId="5" fillId="4" borderId="14" xfId="1" applyNumberFormat="1" applyFont="1" applyFill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2" fontId="4" fillId="0" borderId="11" xfId="1" applyNumberFormat="1" applyFont="1" applyBorder="1" applyAlignment="1">
      <alignment horizontal="center" vertical="center"/>
    </xf>
    <xf numFmtId="2" fontId="4" fillId="0" borderId="12" xfId="1" applyNumberFormat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2" fontId="4" fillId="0" borderId="14" xfId="1" applyNumberFormat="1" applyFont="1" applyBorder="1" applyAlignment="1">
      <alignment horizontal="center" vertical="center"/>
    </xf>
    <xf numFmtId="2" fontId="4" fillId="0" borderId="15" xfId="1" applyNumberFormat="1" applyFont="1" applyBorder="1" applyAlignment="1">
      <alignment horizontal="center" vertical="center"/>
    </xf>
    <xf numFmtId="2" fontId="5" fillId="4" borderId="15" xfId="1" applyNumberFormat="1" applyFont="1" applyFill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2" fontId="4" fillId="0" borderId="17" xfId="1" applyNumberFormat="1" applyFont="1" applyBorder="1" applyAlignment="1">
      <alignment horizontal="center" vertical="center"/>
    </xf>
    <xf numFmtId="2" fontId="5" fillId="4" borderId="18" xfId="1" applyNumberFormat="1" applyFont="1" applyFill="1" applyBorder="1" applyAlignment="1">
      <alignment horizontal="center" vertical="center"/>
    </xf>
    <xf numFmtId="2" fontId="7" fillId="5" borderId="21" xfId="0" applyNumberFormat="1" applyFont="1" applyFill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6" fillId="2" borderId="0" xfId="0" applyNumberFormat="1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49" fontId="7" fillId="5" borderId="21" xfId="0" applyNumberFormat="1" applyFont="1" applyFill="1" applyBorder="1" applyAlignment="1">
      <alignment horizontal="center" vertical="center" wrapText="1"/>
    </xf>
    <xf numFmtId="49" fontId="7" fillId="5" borderId="22" xfId="0" applyNumberFormat="1" applyFont="1" applyFill="1" applyBorder="1" applyAlignment="1">
      <alignment horizontal="center" vertical="center" wrapText="1"/>
    </xf>
    <xf numFmtId="49" fontId="6" fillId="2" borderId="23" xfId="0" applyNumberFormat="1" applyFont="1" applyFill="1" applyBorder="1" applyAlignment="1">
      <alignment horizontal="center"/>
    </xf>
    <xf numFmtId="2" fontId="6" fillId="2" borderId="23" xfId="0" applyNumberFormat="1" applyFont="1" applyFill="1" applyBorder="1" applyAlignment="1">
      <alignment horizontal="center" vertical="center"/>
    </xf>
    <xf numFmtId="49" fontId="7" fillId="5" borderId="21" xfId="0" applyNumberFormat="1" applyFont="1" applyFill="1" applyBorder="1" applyAlignment="1">
      <alignment horizontal="center" wrapText="1"/>
    </xf>
    <xf numFmtId="49" fontId="7" fillId="5" borderId="22" xfId="0" applyNumberFormat="1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</cellXfs>
  <cellStyles count="2">
    <cellStyle name="Normal" xfId="0" builtinId="0"/>
    <cellStyle name="Normal 6" xfId="1" xr:uid="{5A70636F-45F4-4438-B554-AA6AF844D650}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230E-75D1-4D82-902A-1C102D0929B6}">
  <dimension ref="A1:AI1407"/>
  <sheetViews>
    <sheetView showGridLines="0" tabSelected="1" zoomScale="130" zoomScaleNormal="130" workbookViewId="0">
      <pane ySplit="3" topLeftCell="A27" activePane="bottomLeft" state="frozen"/>
      <selection pane="bottomLeft" activeCell="Q30" sqref="Q30"/>
    </sheetView>
  </sheetViews>
  <sheetFormatPr defaultRowHeight="15" x14ac:dyDescent="0.25"/>
  <cols>
    <col min="5" max="8" width="0" hidden="1" customWidth="1"/>
    <col min="9" max="9" width="3.28515625" style="15" customWidth="1"/>
    <col min="10" max="11" width="9.140625" hidden="1" customWidth="1"/>
    <col min="13" max="13" width="12.28515625" bestFit="1" customWidth="1"/>
    <col min="14" max="14" width="12.7109375" hidden="1" customWidth="1"/>
    <col min="15" max="16" width="9.140625" style="30" customWidth="1"/>
    <col min="17" max="20" width="9.140625" style="30"/>
    <col min="21" max="25" width="9.140625" hidden="1" customWidth="1"/>
    <col min="26" max="26" width="3.7109375" style="15" customWidth="1"/>
    <col min="29" max="29" width="11.85546875" customWidth="1"/>
  </cols>
  <sheetData>
    <row r="1" spans="1:35" ht="15.75" x14ac:dyDescent="0.25">
      <c r="A1" s="36" t="s">
        <v>28</v>
      </c>
      <c r="B1" s="36"/>
      <c r="C1" s="36"/>
      <c r="D1" s="36"/>
      <c r="E1" s="31"/>
      <c r="F1" s="31"/>
      <c r="G1" s="31"/>
      <c r="H1" s="31"/>
      <c r="J1" s="36" t="s">
        <v>23</v>
      </c>
      <c r="K1" s="36"/>
      <c r="L1" s="36"/>
      <c r="M1" s="36"/>
      <c r="N1" s="36"/>
      <c r="O1" s="37"/>
      <c r="P1" s="37"/>
      <c r="Q1" s="37"/>
      <c r="R1" s="37"/>
      <c r="S1" s="37"/>
      <c r="T1" s="37"/>
      <c r="AA1" s="40" t="s">
        <v>22</v>
      </c>
      <c r="AB1" s="41"/>
      <c r="AC1" s="41"/>
      <c r="AD1" s="41"/>
      <c r="AE1" s="41"/>
      <c r="AF1" s="41"/>
      <c r="AG1" s="41"/>
      <c r="AH1" s="41"/>
      <c r="AI1" s="42"/>
    </row>
    <row r="2" spans="1:35" x14ac:dyDescent="0.25">
      <c r="A2" s="34" t="s">
        <v>33</v>
      </c>
      <c r="B2" s="11" t="s">
        <v>29</v>
      </c>
      <c r="C2" s="11" t="s">
        <v>30</v>
      </c>
      <c r="D2" s="11" t="s">
        <v>31</v>
      </c>
      <c r="E2" s="32"/>
      <c r="F2" s="32"/>
      <c r="G2" s="32"/>
      <c r="H2" s="32"/>
      <c r="J2" s="13" t="s">
        <v>24</v>
      </c>
      <c r="K2" s="13" t="s">
        <v>25</v>
      </c>
      <c r="L2" s="34" t="s">
        <v>33</v>
      </c>
      <c r="M2" s="38" t="s">
        <v>34</v>
      </c>
      <c r="N2" s="13" t="s">
        <v>26</v>
      </c>
      <c r="O2" s="28" t="s">
        <v>2</v>
      </c>
      <c r="P2" s="28" t="s">
        <v>3</v>
      </c>
      <c r="Q2" s="28" t="s">
        <v>4</v>
      </c>
      <c r="R2" s="28" t="s">
        <v>5</v>
      </c>
      <c r="S2" s="28" t="s">
        <v>6</v>
      </c>
      <c r="T2" s="28" t="s">
        <v>7</v>
      </c>
      <c r="AA2" s="1" t="s">
        <v>0</v>
      </c>
      <c r="AB2" s="43" t="s">
        <v>35</v>
      </c>
      <c r="AC2" s="43" t="s">
        <v>1</v>
      </c>
      <c r="AD2" s="2" t="s">
        <v>2</v>
      </c>
      <c r="AE2" s="2" t="s">
        <v>3</v>
      </c>
      <c r="AF2" s="2" t="s">
        <v>4</v>
      </c>
      <c r="AG2" s="2" t="s">
        <v>5</v>
      </c>
      <c r="AH2" s="2" t="s">
        <v>6</v>
      </c>
      <c r="AI2" s="3" t="s">
        <v>7</v>
      </c>
    </row>
    <row r="3" spans="1:35" x14ac:dyDescent="0.25">
      <c r="A3" s="35"/>
      <c r="B3" s="12" t="s">
        <v>32</v>
      </c>
      <c r="C3" s="12" t="s">
        <v>32</v>
      </c>
      <c r="D3" s="12" t="s">
        <v>32</v>
      </c>
      <c r="E3" s="33"/>
      <c r="F3" s="33"/>
      <c r="G3" s="33"/>
      <c r="H3" s="33"/>
      <c r="J3" s="14" t="s">
        <v>27</v>
      </c>
      <c r="K3" s="14" t="s">
        <v>27</v>
      </c>
      <c r="L3" s="35"/>
      <c r="M3" s="39"/>
      <c r="N3" s="14" t="s">
        <v>27</v>
      </c>
      <c r="O3" s="29" t="s">
        <v>8</v>
      </c>
      <c r="P3" s="29" t="s">
        <v>8</v>
      </c>
      <c r="Q3" s="29" t="s">
        <v>8</v>
      </c>
      <c r="R3" s="29" t="s">
        <v>9</v>
      </c>
      <c r="S3" s="29" t="s">
        <v>9</v>
      </c>
      <c r="T3" s="29" t="s">
        <v>9</v>
      </c>
      <c r="AA3" s="4"/>
      <c r="AB3" s="44"/>
      <c r="AC3" s="44"/>
      <c r="AD3" s="5" t="s">
        <v>8</v>
      </c>
      <c r="AE3" s="5" t="s">
        <v>8</v>
      </c>
      <c r="AF3" s="5" t="s">
        <v>8</v>
      </c>
      <c r="AG3" s="5" t="s">
        <v>9</v>
      </c>
      <c r="AH3" s="5" t="s">
        <v>9</v>
      </c>
      <c r="AI3" s="6" t="s">
        <v>9</v>
      </c>
    </row>
    <row r="4" spans="1:35" x14ac:dyDescent="0.25">
      <c r="A4" s="10" t="s">
        <v>37</v>
      </c>
      <c r="B4">
        <v>0</v>
      </c>
      <c r="C4">
        <v>0</v>
      </c>
      <c r="D4">
        <v>-0.7</v>
      </c>
      <c r="J4" s="10"/>
      <c r="K4" s="10"/>
      <c r="L4" s="10" t="s">
        <v>37</v>
      </c>
      <c r="M4" s="10" t="s">
        <v>91</v>
      </c>
      <c r="N4" s="10"/>
      <c r="O4" s="30">
        <v>7.7967569017328984</v>
      </c>
      <c r="P4" s="30">
        <v>4.2087745357537916</v>
      </c>
      <c r="Q4" s="30">
        <v>39.572949190594976</v>
      </c>
      <c r="R4" s="30">
        <v>9.987509057196517</v>
      </c>
      <c r="S4" s="30">
        <v>0.1515913805615999</v>
      </c>
      <c r="T4" s="30">
        <v>3.7262890250162238E-2</v>
      </c>
      <c r="AA4" s="7" t="s">
        <v>10</v>
      </c>
      <c r="AB4" s="18" t="str">
        <f>INDEX($L$4:$L$99999,MATCH(AD4,$O$4:$O$99999,0))</f>
        <v>194</v>
      </c>
      <c r="AC4" s="18" t="str">
        <f>INDEX($M$4:$M$99999,MATCH(AD4,$O$4:$O$99999,0))</f>
        <v>1_ULS35</v>
      </c>
      <c r="AD4" s="16">
        <f>MAX($O$4:$O$99999)</f>
        <v>50.768717127602173</v>
      </c>
      <c r="AE4" s="19">
        <f>INDEX($P$4:$P$99999,MATCH(AD4,$O$4:$O$99999,0))</f>
        <v>1.0118049754551977</v>
      </c>
      <c r="AF4" s="19">
        <f>INDEX($Q$4:$Q$99999,MATCH(AD4,$O$4:$O$99999,0))</f>
        <v>4.9611698660399917</v>
      </c>
      <c r="AG4" s="19">
        <f>INDEX($R$4:$R$99999,MATCH(AD4,$O$4:$O$99999,0))</f>
        <v>1.6560303578478821</v>
      </c>
      <c r="AH4" s="19">
        <f>INDEX($S$4:$S$99999,MATCH(AD4,$O$4:$O$99999,0))</f>
        <v>186.86314435437183</v>
      </c>
      <c r="AI4" s="20">
        <f>INDEX($T$4:$T$99999,MATCH(AD4,$O$4:$O$99999,0))</f>
        <v>2.5369381745192137E-2</v>
      </c>
    </row>
    <row r="5" spans="1:35" x14ac:dyDescent="0.25">
      <c r="A5" s="10" t="s">
        <v>38</v>
      </c>
      <c r="B5">
        <v>0</v>
      </c>
      <c r="C5">
        <v>9</v>
      </c>
      <c r="D5">
        <v>-0.7</v>
      </c>
      <c r="J5" s="10"/>
      <c r="K5" s="10"/>
      <c r="L5" s="10" t="s">
        <v>37</v>
      </c>
      <c r="M5" s="10" t="s">
        <v>92</v>
      </c>
      <c r="N5" s="10"/>
      <c r="O5" s="30">
        <v>7.5911221365121904</v>
      </c>
      <c r="P5" s="30">
        <v>4.0037315661452508</v>
      </c>
      <c r="Q5" s="30">
        <v>46.505047592323997</v>
      </c>
      <c r="R5" s="30">
        <v>7.7780214759874271</v>
      </c>
      <c r="S5" s="30">
        <v>0.42140170470275418</v>
      </c>
      <c r="T5" s="30">
        <v>0.11259880301739979</v>
      </c>
      <c r="AA5" s="8" t="s">
        <v>11</v>
      </c>
      <c r="AB5" s="21" t="str">
        <f>INDEX($L$4:$L$99999,MATCH(AD5,$O$4:$O$99999,0))</f>
        <v>345</v>
      </c>
      <c r="AC5" s="21" t="str">
        <f>INDEX($M$4:$M$99999,MATCH(AD5,$O$4:$O$99999,0))</f>
        <v>1_ULS35</v>
      </c>
      <c r="AD5" s="17">
        <f>MIN($O$4:$O$99999)</f>
        <v>-50.843337364776289</v>
      </c>
      <c r="AE5" s="22">
        <f>INDEX($P$4:$P$99999,MATCH(AD5,$O$4:$O$99999,0))</f>
        <v>1.1073276637571599</v>
      </c>
      <c r="AF5" s="22">
        <f>INDEX($Q$4:$Q$99999,MATCH(AD5,$O$4:$O$99999,0))</f>
        <v>5.2036860084209318</v>
      </c>
      <c r="AG5" s="22">
        <f>INDEX($R$4:$R$99999,MATCH(AD5,$O$4:$O$99999,0))</f>
        <v>1.5993506430281683</v>
      </c>
      <c r="AH5" s="22">
        <f>INDEX($S$4:$S$99999,MATCH(AD5,$O$4:$O$99999,0))</f>
        <v>-187.89553368926212</v>
      </c>
      <c r="AI5" s="23">
        <f>INDEX($T$4:$T$99999,MATCH(AD5,$O$4:$O$99999,0))</f>
        <v>-4.0408218193244512E-3</v>
      </c>
    </row>
    <row r="6" spans="1:35" x14ac:dyDescent="0.25">
      <c r="A6" s="10" t="s">
        <v>39</v>
      </c>
      <c r="B6">
        <v>0</v>
      </c>
      <c r="C6">
        <v>18</v>
      </c>
      <c r="D6">
        <v>-0.7</v>
      </c>
      <c r="J6" s="10"/>
      <c r="K6" s="10"/>
      <c r="L6" s="10" t="s">
        <v>37</v>
      </c>
      <c r="M6" s="10" t="s">
        <v>93</v>
      </c>
      <c r="N6" s="10"/>
      <c r="O6" s="30">
        <v>18.177627094353451</v>
      </c>
      <c r="P6" s="30">
        <v>12.416003101249995</v>
      </c>
      <c r="Q6" s="30">
        <v>-21.203951467322966</v>
      </c>
      <c r="R6" s="30">
        <v>-18.495303207796411</v>
      </c>
      <c r="S6" s="30">
        <v>-10.576375089975286</v>
      </c>
      <c r="T6" s="30">
        <v>-0.22842617176687419</v>
      </c>
      <c r="AA6" s="8" t="s">
        <v>12</v>
      </c>
      <c r="AB6" s="21" t="str">
        <f>INDEX($L$4:$L$99999,MATCH(AE6,$P$4:$P$99999,0))</f>
        <v>326</v>
      </c>
      <c r="AC6" s="21" t="str">
        <f>INDEX($M$4:$M$99999,MATCH(AE6,$P$4:$P$99999,0))</f>
        <v>1_ULS37</v>
      </c>
      <c r="AD6" s="22">
        <f>INDEX($O$4:$O$99999,MATCH(AE6,$P$4:$P$99999,0))</f>
        <v>-19.193130595893233</v>
      </c>
      <c r="AE6" s="17">
        <f>MAX($P$4:$P$99999)</f>
        <v>52.444365598009945</v>
      </c>
      <c r="AF6" s="22">
        <f>INDEX($Q$4:$Q$99999,MATCH(AE6,$P$4:$P$99999,0))</f>
        <v>-55.681560549852776</v>
      </c>
      <c r="AG6" s="22">
        <f>INDEX($R$4:$R$99999,MATCH(AE6,$P$4:$P$99999,0))</f>
        <v>-221.88447227533916</v>
      </c>
      <c r="AH6" s="22">
        <f>INDEX($S$4:$S$99999,MATCH(AE6,$P$4:$P$99999,0))</f>
        <v>-14.932941942574601</v>
      </c>
      <c r="AI6" s="23">
        <f>INDEX($T$4:$T$99999,MATCH(AE6,$P$4:$P$99999,0))</f>
        <v>-0.24042813506549721</v>
      </c>
    </row>
    <row r="7" spans="1:35" x14ac:dyDescent="0.25">
      <c r="A7" s="10" t="s">
        <v>40</v>
      </c>
      <c r="B7">
        <v>0</v>
      </c>
      <c r="C7">
        <v>27</v>
      </c>
      <c r="D7">
        <v>-0.7</v>
      </c>
      <c r="J7" s="10"/>
      <c r="K7" s="10"/>
      <c r="L7" s="10" t="s">
        <v>37</v>
      </c>
      <c r="M7" s="10" t="s">
        <v>94</v>
      </c>
      <c r="N7" s="10"/>
      <c r="O7" s="30">
        <v>23.172848292903165</v>
      </c>
      <c r="P7" s="30">
        <v>10.190176500174687</v>
      </c>
      <c r="Q7" s="30">
        <v>-11.521027367912238</v>
      </c>
      <c r="R7" s="30">
        <v>-9.5902299499107269</v>
      </c>
      <c r="S7" s="30">
        <v>-13.759833323955458</v>
      </c>
      <c r="T7" s="30">
        <v>-0.13878957957254986</v>
      </c>
      <c r="AA7" s="8" t="s">
        <v>13</v>
      </c>
      <c r="AB7" s="21" t="str">
        <f>INDEX($L$4:$L$99999,MATCH(AE7,$P$4:$P$99999,0))</f>
        <v>323</v>
      </c>
      <c r="AC7" s="21" t="str">
        <f>INDEX($M$4:$M$99999,MATCH(AE7,$P$4:$P$99999,0))</f>
        <v>1_ULS35</v>
      </c>
      <c r="AD7" s="22">
        <f>INDEX($O$4:$O$99999,MATCH(AE7,$P$4:$P$99999,0))</f>
        <v>-19.473492896169091</v>
      </c>
      <c r="AE7" s="17">
        <f>MIN($P$4:$P$99999)</f>
        <v>-52.438817844162109</v>
      </c>
      <c r="AF7" s="22">
        <f>INDEX($Q$4:$Q$99999,MATCH(AE7,$P$4:$P$99999,0))</f>
        <v>-56.135079077169657</v>
      </c>
      <c r="AG7" s="22">
        <f>INDEX($R$4:$R$99999,MATCH(AE7,$P$4:$P$99999,0))</f>
        <v>221.84558415351742</v>
      </c>
      <c r="AH7" s="22">
        <f>INDEX($S$4:$S$99999,MATCH(AE7,$P$4:$P$99999,0))</f>
        <v>-15.221972804845862</v>
      </c>
      <c r="AI7" s="23">
        <f>INDEX($T$4:$T$99999,MATCH(AE7,$P$4:$P$99999,0))</f>
        <v>0.24046752558936588</v>
      </c>
    </row>
    <row r="8" spans="1:35" x14ac:dyDescent="0.25">
      <c r="A8" s="10" t="s">
        <v>41</v>
      </c>
      <c r="B8">
        <v>0</v>
      </c>
      <c r="C8">
        <v>36</v>
      </c>
      <c r="D8">
        <v>-0.7</v>
      </c>
      <c r="J8" s="10"/>
      <c r="K8" s="10"/>
      <c r="L8" s="10" t="s">
        <v>37</v>
      </c>
      <c r="M8" s="10" t="s">
        <v>95</v>
      </c>
      <c r="N8" s="10"/>
      <c r="O8" s="30">
        <v>-1.248225600021057</v>
      </c>
      <c r="P8" s="30">
        <v>8.1928779988696512</v>
      </c>
      <c r="Q8" s="30">
        <v>30.869517659067029</v>
      </c>
      <c r="R8" s="30">
        <v>-5.3648257247041284</v>
      </c>
      <c r="S8" s="30">
        <v>9.2119803096901407</v>
      </c>
      <c r="T8" s="30">
        <v>-8.6295167344594581E-2</v>
      </c>
      <c r="AA8" s="8" t="s">
        <v>14</v>
      </c>
      <c r="AB8" s="21" t="str">
        <f>INDEX($L$4:$L$99999,MATCH(AF8,$Q$4:$Q$99999,0))</f>
        <v>298</v>
      </c>
      <c r="AC8" s="21" t="str">
        <f>INDEX($M$4:$M$99999,MATCH(AF8,$Q$4:$Q$99999,0))</f>
        <v>1_ULS46</v>
      </c>
      <c r="AD8" s="22">
        <f>INDEX($O$4:$O$99999,MATCH(AF8,$Q$4:$Q$99999,0))</f>
        <v>-4.5048965267587953</v>
      </c>
      <c r="AE8" s="22">
        <f>INDEX($P$4:$P$99999,MATCH(AF8,$Q$4:$Q$99999,0))</f>
        <v>-13.683921796902109</v>
      </c>
      <c r="AF8" s="17">
        <f>MAX($Q$4:$Q$99999)</f>
        <v>177.3183154349077</v>
      </c>
      <c r="AG8" s="22">
        <f>INDEX($R$4:$R$99999,MATCH(AF8,$Q$4:$Q$99999,0))</f>
        <v>94.608896620429405</v>
      </c>
      <c r="AH8" s="22">
        <f>INDEX($S$4:$S$99999,MATCH(AF8,$Q$4:$Q$99999,0))</f>
        <v>-3.9134300749885735</v>
      </c>
      <c r="AI8" s="23">
        <f>INDEX($T$4:$T$99999,MATCH(AF8,$Q$4:$Q$99999,0))</f>
        <v>1.5083344562695838E-3</v>
      </c>
    </row>
    <row r="9" spans="1:35" x14ac:dyDescent="0.25">
      <c r="A9" s="10" t="s">
        <v>42</v>
      </c>
      <c r="B9">
        <v>0</v>
      </c>
      <c r="C9">
        <v>45</v>
      </c>
      <c r="D9">
        <v>-0.7</v>
      </c>
      <c r="J9" s="10"/>
      <c r="K9" s="10"/>
      <c r="L9" s="10" t="s">
        <v>37</v>
      </c>
      <c r="M9" s="10" t="s">
        <v>96</v>
      </c>
      <c r="N9" s="10"/>
      <c r="O9" s="30">
        <v>3.7454858209296349</v>
      </c>
      <c r="P9" s="30">
        <v>5.9959930430606594</v>
      </c>
      <c r="Q9" s="30">
        <v>40.216883405374411</v>
      </c>
      <c r="R9" s="30">
        <v>3.6306603607056895</v>
      </c>
      <c r="S9" s="30">
        <v>6.0327418583279249</v>
      </c>
      <c r="T9" s="30">
        <v>2.4830065638109366E-3</v>
      </c>
      <c r="AA9" s="8" t="s">
        <v>15</v>
      </c>
      <c r="AB9" s="21" t="str">
        <f>INDEX($L$4:$L$99999,MATCH(AF9,$Q$4:$Q$99999,0))</f>
        <v>208</v>
      </c>
      <c r="AC9" s="21" t="str">
        <f>INDEX($M$4:$M$99999,MATCH(AF9,$Q$4:$Q$99999,0))</f>
        <v>1_ULS31</v>
      </c>
      <c r="AD9" s="22">
        <f>INDEX($O$4:$O$99999,MATCH(AF9,$Q$4:$Q$99999,0))</f>
        <v>-34.017996010637859</v>
      </c>
      <c r="AE9" s="22">
        <f>INDEX($P$4:$P$99999,MATCH(AF9,$Q$4:$Q$99999,0))</f>
        <v>-12.151286559260614</v>
      </c>
      <c r="AF9" s="17">
        <f>MIN($Q$4:$Q$99999)</f>
        <v>-154.34476338427959</v>
      </c>
      <c r="AG9" s="22">
        <f>INDEX($R$4:$R$99999,MATCH(AF9,$Q$4:$Q$99999,0))</f>
        <v>56.958472894971138</v>
      </c>
      <c r="AH9" s="22">
        <f>INDEX($S$4:$S$99999,MATCH(AF9,$Q$4:$Q$99999,0))</f>
        <v>-26.843288391799156</v>
      </c>
      <c r="AI9" s="23">
        <f>INDEX($T$4:$T$99999,MATCH(AF9,$Q$4:$Q$99999,0))</f>
        <v>-4.3447177675984487E-2</v>
      </c>
    </row>
    <row r="10" spans="1:35" x14ac:dyDescent="0.25">
      <c r="A10" s="10" t="s">
        <v>43</v>
      </c>
      <c r="B10">
        <v>0</v>
      </c>
      <c r="C10">
        <v>54</v>
      </c>
      <c r="D10">
        <v>-0.7</v>
      </c>
      <c r="J10" s="10"/>
      <c r="K10" s="10"/>
      <c r="L10" s="10" t="s">
        <v>37</v>
      </c>
      <c r="M10" s="10" t="s">
        <v>97</v>
      </c>
      <c r="N10" s="10"/>
      <c r="O10" s="30">
        <v>-9.4927104850677591</v>
      </c>
      <c r="P10" s="30">
        <v>-0.97256814312504392</v>
      </c>
      <c r="Q10" s="30">
        <v>10.963251662873461</v>
      </c>
      <c r="R10" s="30">
        <v>45.643524706891213</v>
      </c>
      <c r="S10" s="30">
        <v>11.199964075814885</v>
      </c>
      <c r="T10" s="30">
        <v>-0.31677781201487315</v>
      </c>
      <c r="AA10" s="8" t="s">
        <v>16</v>
      </c>
      <c r="AB10" s="21" t="str">
        <f>INDEX($L$4:$L$99999,MATCH(AG10,$R$4:$R$99999,0))</f>
        <v>323</v>
      </c>
      <c r="AC10" s="21" t="str">
        <f>INDEX($M$4:$M$99999,MATCH(AG10,$R$4:$R$99999,0))</f>
        <v>1_ULS35</v>
      </c>
      <c r="AD10" s="22">
        <f>INDEX($O$4:$O$99999,MATCH(AG10,$R$4:$R$99999,0))</f>
        <v>-19.473492896169091</v>
      </c>
      <c r="AE10" s="22">
        <f>INDEX($P$4:$P$99999,MATCH(AG10,$R$4:$R$99999,0))</f>
        <v>-52.438817844162109</v>
      </c>
      <c r="AF10" s="22">
        <f>INDEX($Q$4:$Q$99999,MATCH(AG10,$R$4:$R$99999,0))</f>
        <v>-56.135079077169657</v>
      </c>
      <c r="AG10" s="17">
        <f>MAX($R$4:$R$99999)</f>
        <v>221.84558415351742</v>
      </c>
      <c r="AH10" s="22">
        <f>INDEX($S$4:$S$99999,MATCH(AG10,$R$4:$R$99999,0))</f>
        <v>-15.221972804845862</v>
      </c>
      <c r="AI10" s="23">
        <f>INDEX($T$4:$T$99999,MATCH(AG10,$R$4:$R$99999,0))</f>
        <v>0.24046752558936588</v>
      </c>
    </row>
    <row r="11" spans="1:35" x14ac:dyDescent="0.25">
      <c r="A11" s="10" t="s">
        <v>44</v>
      </c>
      <c r="B11">
        <v>8</v>
      </c>
      <c r="C11">
        <v>0</v>
      </c>
      <c r="D11">
        <v>-0.7</v>
      </c>
      <c r="J11" s="10"/>
      <c r="K11" s="10"/>
      <c r="L11" s="10" t="s">
        <v>37</v>
      </c>
      <c r="M11" s="10" t="s">
        <v>98</v>
      </c>
      <c r="N11" s="10"/>
      <c r="O11" s="30">
        <v>-5.0729361800014123</v>
      </c>
      <c r="P11" s="30">
        <v>-8.7382983791463147</v>
      </c>
      <c r="Q11" s="30">
        <v>47.215538452955535</v>
      </c>
      <c r="R11" s="30">
        <v>62.551716844071116</v>
      </c>
      <c r="S11" s="30">
        <v>8.7416907117519642</v>
      </c>
      <c r="T11" s="30">
        <v>-9.7665504514531293E-2</v>
      </c>
      <c r="AA11" s="8" t="s">
        <v>17</v>
      </c>
      <c r="AB11" s="21" t="str">
        <f>INDEX($L$4:$L$99999,MATCH(AG11,$R$4:$R$99999,0))</f>
        <v>326</v>
      </c>
      <c r="AC11" s="21" t="str">
        <f>INDEX($M$4:$M$99999,MATCH(AG11,$R$4:$R$99999,0))</f>
        <v>1_ULS37</v>
      </c>
      <c r="AD11" s="22">
        <f>INDEX($O$4:$O$99999,MATCH(AG11,$R$4:$R$99999,0))</f>
        <v>-19.193130595893233</v>
      </c>
      <c r="AE11" s="22">
        <f>INDEX($P$4:$P$99999,MATCH(AG11,$R$4:$R$99999,0))</f>
        <v>52.444365598009945</v>
      </c>
      <c r="AF11" s="22">
        <f>INDEX($Q$4:$Q$99999,MATCH(AG11,$R$4:$R$99999,0))</f>
        <v>-55.681560549852776</v>
      </c>
      <c r="AG11" s="17">
        <f>MIN($R$4:$R$99999)</f>
        <v>-221.88447227533916</v>
      </c>
      <c r="AH11" s="22">
        <f>INDEX($S$4:$S$99999,MATCH(AG11,$R$4:$R$99999,0))</f>
        <v>-14.932941942574601</v>
      </c>
      <c r="AI11" s="23">
        <f>INDEX($T$4:$T$99999,MATCH(AG11,$R$4:$R$99999,0))</f>
        <v>-0.24042813506549721</v>
      </c>
    </row>
    <row r="12" spans="1:35" x14ac:dyDescent="0.25">
      <c r="A12" s="10" t="s">
        <v>45</v>
      </c>
      <c r="B12">
        <v>8</v>
      </c>
      <c r="C12">
        <v>18</v>
      </c>
      <c r="D12">
        <v>-0.7</v>
      </c>
      <c r="J12" s="10"/>
      <c r="K12" s="10"/>
      <c r="L12" s="10" t="s">
        <v>37</v>
      </c>
      <c r="M12" s="10" t="s">
        <v>99</v>
      </c>
      <c r="N12" s="10"/>
      <c r="O12" s="30">
        <v>-4.7662666076434217</v>
      </c>
      <c r="P12" s="30">
        <v>11.197546078113547</v>
      </c>
      <c r="Q12" s="30">
        <v>24.459002263943262</v>
      </c>
      <c r="R12" s="30">
        <v>-12.427463677575584</v>
      </c>
      <c r="S12" s="30">
        <v>8.1900059211033245</v>
      </c>
      <c r="T12" s="30">
        <v>-0.13049966399179425</v>
      </c>
      <c r="AA12" s="8" t="s">
        <v>18</v>
      </c>
      <c r="AB12" s="21" t="str">
        <f>INDEX($L$4:$L$99999,MATCH(AH12,$S$4:$S$99999,0))</f>
        <v>194</v>
      </c>
      <c r="AC12" s="21" t="str">
        <f>INDEX($M$4:$M$99999,MATCH(AH12,$S$4:$S$99999,0))</f>
        <v>1_ULS37</v>
      </c>
      <c r="AD12" s="22">
        <f>INDEX($O$4:$O$99999,MATCH(AH12,$S$4:$S$99999,0))</f>
        <v>50.767492425779814</v>
      </c>
      <c r="AE12" s="22">
        <f>INDEX($P$4:$P$99999,MATCH(AH12,$S$4:$S$99999,0))</f>
        <v>-1.0104144259342482</v>
      </c>
      <c r="AF12" s="22">
        <f>INDEX($Q$4:$Q$99999,MATCH(AH12,$S$4:$S$99999,0))</f>
        <v>4.8748023878463567</v>
      </c>
      <c r="AG12" s="22">
        <f>INDEX($R$4:$R$99999,MATCH(AH12,$S$4:$S$99999,0))</f>
        <v>-1.6559636111659657</v>
      </c>
      <c r="AH12" s="17">
        <f>MAX($S$4:$S$99999)</f>
        <v>186.86831717719366</v>
      </c>
      <c r="AI12" s="23">
        <f>INDEX($T$4:$T$99999,MATCH(AH12,$S$4:$S$99999,0))</f>
        <v>1.3747869822231409E-2</v>
      </c>
    </row>
    <row r="13" spans="1:35" x14ac:dyDescent="0.25">
      <c r="A13" s="10" t="s">
        <v>46</v>
      </c>
      <c r="B13">
        <v>8</v>
      </c>
      <c r="C13">
        <v>36</v>
      </c>
      <c r="D13">
        <v>-0.7</v>
      </c>
      <c r="J13" s="10"/>
      <c r="K13" s="10"/>
      <c r="L13" s="10" t="s">
        <v>37</v>
      </c>
      <c r="M13" s="10" t="s">
        <v>100</v>
      </c>
      <c r="N13" s="10"/>
      <c r="O13" s="30">
        <v>-0.19899973611272978</v>
      </c>
      <c r="P13" s="30">
        <v>13.709947909749387</v>
      </c>
      <c r="Q13" s="30">
        <v>39.654642296994403</v>
      </c>
      <c r="R13" s="30">
        <v>-19.498705019079111</v>
      </c>
      <c r="S13" s="30">
        <v>5.5806158886316419</v>
      </c>
      <c r="T13" s="30">
        <v>4.9302468413255113E-2</v>
      </c>
      <c r="AA13" s="8" t="s">
        <v>19</v>
      </c>
      <c r="AB13" s="21" t="str">
        <f>INDEX($L$4:$L$99999,MATCH(AH13,$S$4:$S$99999,0))</f>
        <v>345</v>
      </c>
      <c r="AC13" s="21" t="str">
        <f>INDEX($M$4:$M$99999,MATCH(AH13,$S$4:$S$99999,0))</f>
        <v>1_ULS35</v>
      </c>
      <c r="AD13" s="22">
        <f>INDEX($O$4:$O$99999,MATCH(AH13,$S$4:$S$99999,0))</f>
        <v>-50.843337364776289</v>
      </c>
      <c r="AE13" s="22">
        <f>INDEX($P$4:$P$99999,MATCH(AH13,$S$4:$S$99999,0))</f>
        <v>1.1073276637571599</v>
      </c>
      <c r="AF13" s="22">
        <f>INDEX($Q$4:$Q$99999,MATCH(AH13,$S$4:$S$99999,0))</f>
        <v>5.2036860084209318</v>
      </c>
      <c r="AG13" s="22">
        <f>INDEX($R$4:$R$99999,MATCH(AH13,$S$4:$S$99999,0))</f>
        <v>1.5993506430281683</v>
      </c>
      <c r="AH13" s="17">
        <f>MIN($S$4:$S$99999)</f>
        <v>-187.89553368926212</v>
      </c>
      <c r="AI13" s="23">
        <f>INDEX($T$4:$T$99999,MATCH(AH13,$S$4:$S$99999,0))</f>
        <v>-4.0408218193244512E-3</v>
      </c>
    </row>
    <row r="14" spans="1:35" x14ac:dyDescent="0.25">
      <c r="A14" s="10" t="s">
        <v>47</v>
      </c>
      <c r="B14">
        <v>8</v>
      </c>
      <c r="C14">
        <v>54</v>
      </c>
      <c r="D14">
        <v>-0.7</v>
      </c>
      <c r="J14" s="10"/>
      <c r="K14" s="10"/>
      <c r="L14" s="10" t="s">
        <v>37</v>
      </c>
      <c r="M14" s="10" t="s">
        <v>101</v>
      </c>
      <c r="N14" s="10"/>
      <c r="O14" s="30">
        <v>16.933905309870692</v>
      </c>
      <c r="P14" s="30">
        <v>11.390237275091835</v>
      </c>
      <c r="Q14" s="30">
        <v>-8.1941629998021508</v>
      </c>
      <c r="R14" s="30">
        <v>-17.856509562506208</v>
      </c>
      <c r="S14" s="30">
        <v>-9.2337681187804446</v>
      </c>
      <c r="T14" s="30">
        <v>-0.126521352797933</v>
      </c>
      <c r="AA14" s="8" t="s">
        <v>20</v>
      </c>
      <c r="AB14" s="21" t="str">
        <f>INDEX($L$4:$L$99999,MATCH(AI14,$T$4:$T$99999,0))</f>
        <v>197</v>
      </c>
      <c r="AC14" s="21" t="str">
        <f>INDEX($M$4:$M$99999,MATCH(AI14,$T$4:$T$99999,0))</f>
        <v>1_ULS37</v>
      </c>
      <c r="AD14" s="22">
        <f>INDEX($O$4:$O$99999,MATCH(AI14,$T$4:$T$99999,0))</f>
        <v>-9.7088322153537199</v>
      </c>
      <c r="AE14" s="22">
        <f>INDEX($P$4:$P$99999,MATCH(AI14,$T$4:$T$99999,0))</f>
        <v>0.89496831340028782</v>
      </c>
      <c r="AF14" s="22">
        <f>INDEX($Q$4:$Q$99999,MATCH(AI14,$T$4:$T$99999,0))</f>
        <v>11.73782309131567</v>
      </c>
      <c r="AG14" s="22">
        <f>INDEX($R$4:$R$99999,MATCH(AI14,$T$4:$T$99999,0))</f>
        <v>-45.548270305385628</v>
      </c>
      <c r="AH14" s="22">
        <f>INDEX($S$4:$S$99999,MATCH(AI14,$T$4:$T$99999,0))</f>
        <v>11.550746420728478</v>
      </c>
      <c r="AI14" s="24">
        <f>MAX($T$4:$T$99999)</f>
        <v>0.31508077391212658</v>
      </c>
    </row>
    <row r="15" spans="1:35" x14ac:dyDescent="0.25">
      <c r="A15" s="10" t="s">
        <v>48</v>
      </c>
      <c r="B15">
        <v>16</v>
      </c>
      <c r="C15">
        <v>0</v>
      </c>
      <c r="D15">
        <v>-0.7</v>
      </c>
      <c r="J15" s="10"/>
      <c r="K15" s="10"/>
      <c r="L15" s="10" t="s">
        <v>37</v>
      </c>
      <c r="M15" s="10" t="s">
        <v>102</v>
      </c>
      <c r="N15" s="10"/>
      <c r="O15" s="30">
        <v>21.429604388565433</v>
      </c>
      <c r="P15" s="30">
        <v>9.386993334124055</v>
      </c>
      <c r="Q15" s="30">
        <v>0.5204686896675047</v>
      </c>
      <c r="R15" s="30">
        <v>-9.8419436304090944</v>
      </c>
      <c r="S15" s="30">
        <v>-12.098880529362598</v>
      </c>
      <c r="T15" s="30">
        <v>-4.5848419823041102E-2</v>
      </c>
      <c r="AA15" s="9" t="s">
        <v>21</v>
      </c>
      <c r="AB15" s="25" t="str">
        <f>INDEX($L$4:$L$99999,MATCH(AI15,$T$4:$T$99999,0))</f>
        <v>191</v>
      </c>
      <c r="AC15" s="25" t="str">
        <f>INDEX($M$4:$M$99999,MATCH(AI15,$T$4:$T$99999,0))</f>
        <v>1_ULS35</v>
      </c>
      <c r="AD15" s="26">
        <f>INDEX($O$4:$O$99999,MATCH(AI15,$T$4:$T$99999,0))</f>
        <v>-9.4927104850677591</v>
      </c>
      <c r="AE15" s="26">
        <f>INDEX($P$4:$P$99999,MATCH(AI15,$T$4:$T$99999,0))</f>
        <v>-0.97256814312504392</v>
      </c>
      <c r="AF15" s="26">
        <f>INDEX($Q$4:$Q$99999,MATCH(AI15,$T$4:$T$99999,0))</f>
        <v>10.963251662873461</v>
      </c>
      <c r="AG15" s="26">
        <f>INDEX($R$4:$R$99999,MATCH(AI15,$T$4:$T$99999,0))</f>
        <v>45.643524706891213</v>
      </c>
      <c r="AH15" s="26">
        <f>INDEX($S$4:$S$99999,MATCH(AI15,$T$4:$T$99999,0))</f>
        <v>11.199964075814885</v>
      </c>
      <c r="AI15" s="27">
        <f>MIN($T$4:$T$99999)</f>
        <v>-0.31677781201487315</v>
      </c>
    </row>
    <row r="16" spans="1:35" x14ac:dyDescent="0.25">
      <c r="A16" s="10" t="s">
        <v>49</v>
      </c>
      <c r="B16">
        <v>16</v>
      </c>
      <c r="C16">
        <v>18</v>
      </c>
      <c r="D16">
        <v>-0.7</v>
      </c>
      <c r="J16" s="10"/>
      <c r="K16" s="10"/>
      <c r="L16" s="10" t="s">
        <v>37</v>
      </c>
      <c r="M16" s="10" t="s">
        <v>103</v>
      </c>
      <c r="N16" s="10"/>
      <c r="O16" s="30">
        <v>-0.54936211506636834</v>
      </c>
      <c r="P16" s="30">
        <v>7.5894246829495247</v>
      </c>
      <c r="Q16" s="30">
        <v>38.671959213948846</v>
      </c>
      <c r="R16" s="30">
        <v>-6.039079827723155</v>
      </c>
      <c r="S16" s="30">
        <v>8.5757517409184398</v>
      </c>
      <c r="T16" s="30">
        <v>1.396551182118637E-3</v>
      </c>
      <c r="AA16" s="15"/>
      <c r="AB16" s="15"/>
      <c r="AC16" s="15"/>
      <c r="AD16" s="15"/>
      <c r="AE16" s="15"/>
      <c r="AF16" s="15"/>
      <c r="AG16" s="15"/>
      <c r="AH16" s="15"/>
      <c r="AI16" s="15"/>
    </row>
    <row r="17" spans="1:35" ht="15.75" x14ac:dyDescent="0.25">
      <c r="A17" s="10" t="s">
        <v>50</v>
      </c>
      <c r="B17">
        <v>16</v>
      </c>
      <c r="C17">
        <v>36</v>
      </c>
      <c r="D17">
        <v>-0.7</v>
      </c>
      <c r="J17" s="10"/>
      <c r="K17" s="10"/>
      <c r="L17" s="10" t="s">
        <v>37</v>
      </c>
      <c r="M17" s="10" t="s">
        <v>104</v>
      </c>
      <c r="N17" s="10"/>
      <c r="O17" s="30">
        <v>3.9449781637892536</v>
      </c>
      <c r="P17" s="30">
        <v>5.6122282227214324</v>
      </c>
      <c r="Q17" s="30">
        <v>47.084588385625494</v>
      </c>
      <c r="R17" s="30">
        <v>2.056857649145682</v>
      </c>
      <c r="S17" s="30">
        <v>5.7144371346924476</v>
      </c>
      <c r="T17" s="30">
        <v>8.1296907699683604E-2</v>
      </c>
      <c r="AA17" s="40" t="s">
        <v>36</v>
      </c>
      <c r="AB17" s="41"/>
      <c r="AC17" s="41"/>
      <c r="AD17" s="41"/>
      <c r="AE17" s="41"/>
      <c r="AF17" s="41"/>
      <c r="AG17" s="41"/>
      <c r="AH17" s="41"/>
      <c r="AI17" s="42"/>
    </row>
    <row r="18" spans="1:35" ht="15" customHeight="1" x14ac:dyDescent="0.25">
      <c r="A18" s="10" t="s">
        <v>51</v>
      </c>
      <c r="B18">
        <v>16</v>
      </c>
      <c r="C18">
        <v>54</v>
      </c>
      <c r="D18">
        <v>-0.7</v>
      </c>
      <c r="J18" s="10"/>
      <c r="K18" s="10"/>
      <c r="L18" s="10" t="s">
        <v>37</v>
      </c>
      <c r="M18" s="10" t="s">
        <v>105</v>
      </c>
      <c r="N18" s="10"/>
      <c r="O18" s="30">
        <v>-7.9693985116084018</v>
      </c>
      <c r="P18" s="30">
        <v>-0.65947684484570102</v>
      </c>
      <c r="Q18" s="30">
        <v>20.756319817374635</v>
      </c>
      <c r="R18" s="30">
        <v>39.868435560712655</v>
      </c>
      <c r="S18" s="30">
        <v>10.364937130430711</v>
      </c>
      <c r="T18" s="30">
        <v>-0.2060378290211321</v>
      </c>
      <c r="AA18" s="1" t="s">
        <v>0</v>
      </c>
      <c r="AB18" s="43" t="s">
        <v>35</v>
      </c>
      <c r="AC18" s="43" t="s">
        <v>1</v>
      </c>
      <c r="AD18" s="2" t="s">
        <v>2</v>
      </c>
      <c r="AE18" s="2" t="s">
        <v>3</v>
      </c>
      <c r="AF18" s="2" t="s">
        <v>4</v>
      </c>
      <c r="AG18" s="2" t="s">
        <v>5</v>
      </c>
      <c r="AH18" s="2" t="s">
        <v>6</v>
      </c>
      <c r="AI18" s="3" t="s">
        <v>7</v>
      </c>
    </row>
    <row r="19" spans="1:35" x14ac:dyDescent="0.25">
      <c r="A19" s="10" t="s">
        <v>52</v>
      </c>
      <c r="B19">
        <v>24</v>
      </c>
      <c r="C19">
        <v>0</v>
      </c>
      <c r="D19">
        <v>-0.7</v>
      </c>
      <c r="J19" s="10"/>
      <c r="K19" s="10"/>
      <c r="L19" s="10" t="s">
        <v>37</v>
      </c>
      <c r="M19" s="10" t="s">
        <v>106</v>
      </c>
      <c r="N19" s="10"/>
      <c r="O19" s="30">
        <v>-3.9916016370486886</v>
      </c>
      <c r="P19" s="30">
        <v>-7.648634057264843</v>
      </c>
      <c r="Q19" s="30">
        <v>53.38337792844851</v>
      </c>
      <c r="R19" s="30">
        <v>55.085808484174564</v>
      </c>
      <c r="S19" s="30">
        <v>8.1524911027740821</v>
      </c>
      <c r="T19" s="30">
        <v>-8.83675227082442E-3</v>
      </c>
      <c r="AA19" s="4"/>
      <c r="AB19" s="44"/>
      <c r="AC19" s="44"/>
      <c r="AD19" s="5" t="s">
        <v>8</v>
      </c>
      <c r="AE19" s="5" t="s">
        <v>8</v>
      </c>
      <c r="AF19" s="5" t="s">
        <v>8</v>
      </c>
      <c r="AG19" s="5" t="s">
        <v>9</v>
      </c>
      <c r="AH19" s="5" t="s">
        <v>9</v>
      </c>
      <c r="AI19" s="6" t="s">
        <v>9</v>
      </c>
    </row>
    <row r="20" spans="1:35" x14ac:dyDescent="0.25">
      <c r="A20" s="10" t="s">
        <v>53</v>
      </c>
      <c r="B20">
        <v>24</v>
      </c>
      <c r="C20">
        <v>18</v>
      </c>
      <c r="D20">
        <v>-0.7</v>
      </c>
      <c r="J20" s="10"/>
      <c r="K20" s="10"/>
      <c r="L20" s="10" t="s">
        <v>37</v>
      </c>
      <c r="M20" s="10" t="s">
        <v>107</v>
      </c>
      <c r="N20" s="10"/>
      <c r="O20" s="30">
        <v>-3.7155990219264972</v>
      </c>
      <c r="P20" s="30">
        <v>10.29362595426903</v>
      </c>
      <c r="Q20" s="30">
        <v>32.902495358337461</v>
      </c>
      <c r="R20" s="30">
        <v>-12.395453985307466</v>
      </c>
      <c r="S20" s="30">
        <v>7.6559747911903067</v>
      </c>
      <c r="T20" s="30">
        <v>-3.838749580036107E-2</v>
      </c>
      <c r="AA20" s="7" t="str">
        <f>AA4</f>
        <v>Max FX</v>
      </c>
      <c r="AB20" s="18" t="str">
        <f>AB4</f>
        <v>194</v>
      </c>
      <c r="AC20" s="18" t="str">
        <f>AC4</f>
        <v>1_ULS35</v>
      </c>
      <c r="AD20" s="16">
        <f>-AD4</f>
        <v>-50.768717127602173</v>
      </c>
      <c r="AE20" s="19">
        <f t="shared" ref="AE20:AI20" si="0">-AE4</f>
        <v>-1.0118049754551977</v>
      </c>
      <c r="AF20" s="19">
        <f t="shared" si="0"/>
        <v>-4.9611698660399917</v>
      </c>
      <c r="AG20" s="19">
        <f t="shared" si="0"/>
        <v>-1.6560303578478821</v>
      </c>
      <c r="AH20" s="19">
        <f t="shared" si="0"/>
        <v>-186.86314435437183</v>
      </c>
      <c r="AI20" s="20">
        <f t="shared" si="0"/>
        <v>-2.5369381745192137E-2</v>
      </c>
    </row>
    <row r="21" spans="1:35" x14ac:dyDescent="0.25">
      <c r="A21" s="10" t="s">
        <v>54</v>
      </c>
      <c r="B21">
        <v>24</v>
      </c>
      <c r="C21">
        <v>36</v>
      </c>
      <c r="D21">
        <v>-0.7</v>
      </c>
      <c r="J21" s="10"/>
      <c r="K21" s="10"/>
      <c r="L21" s="10" t="s">
        <v>37</v>
      </c>
      <c r="M21" s="10" t="s">
        <v>108</v>
      </c>
      <c r="N21" s="10"/>
      <c r="O21" s="30">
        <v>0.39494116245112576</v>
      </c>
      <c r="P21" s="30">
        <v>12.554787602741287</v>
      </c>
      <c r="Q21" s="30">
        <v>46.578571388083482</v>
      </c>
      <c r="R21" s="30">
        <v>-18.759571192660641</v>
      </c>
      <c r="S21" s="30">
        <v>5.3075237619657933</v>
      </c>
      <c r="T21" s="30">
        <v>0.12343442336418337</v>
      </c>
      <c r="AA21" s="8" t="str">
        <f t="shared" ref="AA21:AC21" si="1">AA5</f>
        <v>Min FX</v>
      </c>
      <c r="AB21" s="21" t="str">
        <f t="shared" si="1"/>
        <v>345</v>
      </c>
      <c r="AC21" s="21" t="str">
        <f t="shared" si="1"/>
        <v>1_ULS35</v>
      </c>
      <c r="AD21" s="17">
        <f t="shared" ref="AD21:AI21" si="2">-AD5</f>
        <v>50.843337364776289</v>
      </c>
      <c r="AE21" s="22">
        <f t="shared" si="2"/>
        <v>-1.1073276637571599</v>
      </c>
      <c r="AF21" s="22">
        <f t="shared" si="2"/>
        <v>-5.2036860084209318</v>
      </c>
      <c r="AG21" s="22">
        <f t="shared" si="2"/>
        <v>-1.5993506430281683</v>
      </c>
      <c r="AH21" s="22">
        <f t="shared" si="2"/>
        <v>187.89553368926212</v>
      </c>
      <c r="AI21" s="23">
        <f t="shared" si="2"/>
        <v>4.0408218193244512E-3</v>
      </c>
    </row>
    <row r="22" spans="1:35" x14ac:dyDescent="0.25">
      <c r="A22" s="10" t="s">
        <v>55</v>
      </c>
      <c r="B22">
        <v>24</v>
      </c>
      <c r="C22">
        <v>54</v>
      </c>
      <c r="D22">
        <v>-0.7</v>
      </c>
      <c r="J22" s="10"/>
      <c r="K22" s="10"/>
      <c r="L22" s="10" t="s">
        <v>37</v>
      </c>
      <c r="M22" s="10" t="s">
        <v>109</v>
      </c>
      <c r="N22" s="10"/>
      <c r="O22" s="30">
        <v>17.992555805654813</v>
      </c>
      <c r="P22" s="30">
        <v>12.231464428602308</v>
      </c>
      <c r="Q22" s="30">
        <v>-14.965062905766846</v>
      </c>
      <c r="R22" s="30">
        <v>-20.483842030884595</v>
      </c>
      <c r="S22" s="30">
        <v>-10.333545798248247</v>
      </c>
      <c r="T22" s="30">
        <v>-0.16062385027636036</v>
      </c>
      <c r="AA22" s="8" t="str">
        <f t="shared" ref="AA22:AC22" si="3">AA6</f>
        <v>Max FY</v>
      </c>
      <c r="AB22" s="21" t="str">
        <f t="shared" si="3"/>
        <v>326</v>
      </c>
      <c r="AC22" s="21" t="str">
        <f t="shared" si="3"/>
        <v>1_ULS37</v>
      </c>
      <c r="AD22" s="22">
        <f t="shared" ref="AD22:AI22" si="4">-AD6</f>
        <v>19.193130595893233</v>
      </c>
      <c r="AE22" s="17">
        <f t="shared" si="4"/>
        <v>-52.444365598009945</v>
      </c>
      <c r="AF22" s="22">
        <f t="shared" si="4"/>
        <v>55.681560549852776</v>
      </c>
      <c r="AG22" s="22">
        <f t="shared" si="4"/>
        <v>221.88447227533916</v>
      </c>
      <c r="AH22" s="22">
        <f t="shared" si="4"/>
        <v>14.932941942574601</v>
      </c>
      <c r="AI22" s="23">
        <f t="shared" si="4"/>
        <v>0.24042813506549721</v>
      </c>
    </row>
    <row r="23" spans="1:35" x14ac:dyDescent="0.25">
      <c r="A23" s="10" t="s">
        <v>56</v>
      </c>
      <c r="B23">
        <v>32</v>
      </c>
      <c r="C23">
        <v>0</v>
      </c>
      <c r="D23">
        <v>-0.7</v>
      </c>
      <c r="J23" s="10"/>
      <c r="K23" s="10"/>
      <c r="L23" s="10" t="s">
        <v>37</v>
      </c>
      <c r="M23" s="10" t="s">
        <v>110</v>
      </c>
      <c r="N23" s="10"/>
      <c r="O23" s="30">
        <v>22.987777004204528</v>
      </c>
      <c r="P23" s="30">
        <v>10.005637827527</v>
      </c>
      <c r="Q23" s="30">
        <v>-5.2821388063561159</v>
      </c>
      <c r="R23" s="30">
        <v>-11.578768772998911</v>
      </c>
      <c r="S23" s="30">
        <v>-13.517004032228417</v>
      </c>
      <c r="T23" s="30">
        <v>-7.098725808203607E-2</v>
      </c>
      <c r="AA23" s="8" t="str">
        <f t="shared" ref="AA23:AC23" si="5">AA7</f>
        <v>Min FY</v>
      </c>
      <c r="AB23" s="21" t="str">
        <f t="shared" si="5"/>
        <v>323</v>
      </c>
      <c r="AC23" s="21" t="str">
        <f t="shared" si="5"/>
        <v>1_ULS35</v>
      </c>
      <c r="AD23" s="22">
        <f t="shared" ref="AD23:AI23" si="6">-AD7</f>
        <v>19.473492896169091</v>
      </c>
      <c r="AE23" s="17">
        <f t="shared" si="6"/>
        <v>52.438817844162109</v>
      </c>
      <c r="AF23" s="22">
        <f t="shared" si="6"/>
        <v>56.135079077169657</v>
      </c>
      <c r="AG23" s="22">
        <f t="shared" si="6"/>
        <v>-221.84558415351742</v>
      </c>
      <c r="AH23" s="22">
        <f t="shared" si="6"/>
        <v>15.221972804845862</v>
      </c>
      <c r="AI23" s="23">
        <f t="shared" si="6"/>
        <v>-0.24046752558936588</v>
      </c>
    </row>
    <row r="24" spans="1:35" x14ac:dyDescent="0.25">
      <c r="A24" s="10" t="s">
        <v>57</v>
      </c>
      <c r="B24">
        <v>32</v>
      </c>
      <c r="C24">
        <v>18</v>
      </c>
      <c r="D24">
        <v>-0.7</v>
      </c>
      <c r="J24" s="10"/>
      <c r="K24" s="10"/>
      <c r="L24" s="10" t="s">
        <v>37</v>
      </c>
      <c r="M24" s="10" t="s">
        <v>111</v>
      </c>
      <c r="N24" s="10"/>
      <c r="O24" s="30">
        <v>-1.4332968887196937</v>
      </c>
      <c r="P24" s="30">
        <v>8.0083393262219662</v>
      </c>
      <c r="Q24" s="30">
        <v>37.108406220623152</v>
      </c>
      <c r="R24" s="30">
        <v>-7.3533645477923111</v>
      </c>
      <c r="S24" s="30">
        <v>9.4548096014171819</v>
      </c>
      <c r="T24" s="30">
        <v>-1.8492845854080786E-2</v>
      </c>
      <c r="AA24" s="8" t="str">
        <f t="shared" ref="AA24:AC24" si="7">AA8</f>
        <v>Max FZ</v>
      </c>
      <c r="AB24" s="21" t="str">
        <f t="shared" si="7"/>
        <v>298</v>
      </c>
      <c r="AC24" s="21" t="str">
        <f t="shared" si="7"/>
        <v>1_ULS46</v>
      </c>
      <c r="AD24" s="22">
        <f t="shared" ref="AD24:AI24" si="8">-AD8</f>
        <v>4.5048965267587953</v>
      </c>
      <c r="AE24" s="22">
        <f t="shared" si="8"/>
        <v>13.683921796902109</v>
      </c>
      <c r="AF24" s="17">
        <f t="shared" si="8"/>
        <v>-177.3183154349077</v>
      </c>
      <c r="AG24" s="22">
        <f t="shared" si="8"/>
        <v>-94.608896620429405</v>
      </c>
      <c r="AH24" s="22">
        <f t="shared" si="8"/>
        <v>3.9134300749885735</v>
      </c>
      <c r="AI24" s="23">
        <f t="shared" si="8"/>
        <v>-1.5083344562695838E-3</v>
      </c>
    </row>
    <row r="25" spans="1:35" x14ac:dyDescent="0.25">
      <c r="A25" s="10" t="s">
        <v>58</v>
      </c>
      <c r="B25">
        <v>32</v>
      </c>
      <c r="C25">
        <v>36</v>
      </c>
      <c r="D25">
        <v>-0.7</v>
      </c>
      <c r="J25" s="10"/>
      <c r="K25" s="10"/>
      <c r="L25" s="10" t="s">
        <v>37</v>
      </c>
      <c r="M25" s="10" t="s">
        <v>112</v>
      </c>
      <c r="N25" s="10"/>
      <c r="O25" s="30">
        <v>3.5604145322309986</v>
      </c>
      <c r="P25" s="30">
        <v>5.8114543704129735</v>
      </c>
      <c r="Q25" s="30">
        <v>46.455771966930534</v>
      </c>
      <c r="R25" s="30">
        <v>1.6421215376175069</v>
      </c>
      <c r="S25" s="30">
        <v>6.2755711500549634</v>
      </c>
      <c r="T25" s="30">
        <v>7.0285328054324733E-2</v>
      </c>
      <c r="AA25" s="8" t="str">
        <f t="shared" ref="AA25:AC25" si="9">AA9</f>
        <v>Min FZ</v>
      </c>
      <c r="AB25" s="21" t="str">
        <f t="shared" si="9"/>
        <v>208</v>
      </c>
      <c r="AC25" s="21" t="str">
        <f t="shared" si="9"/>
        <v>1_ULS31</v>
      </c>
      <c r="AD25" s="22">
        <f t="shared" ref="AD25:AI25" si="10">-AD9</f>
        <v>34.017996010637859</v>
      </c>
      <c r="AE25" s="22">
        <f t="shared" si="10"/>
        <v>12.151286559260614</v>
      </c>
      <c r="AF25" s="17">
        <f t="shared" si="10"/>
        <v>154.34476338427959</v>
      </c>
      <c r="AG25" s="22">
        <f t="shared" si="10"/>
        <v>-56.958472894971138</v>
      </c>
      <c r="AH25" s="22">
        <f t="shared" si="10"/>
        <v>26.843288391799156</v>
      </c>
      <c r="AI25" s="23">
        <f t="shared" si="10"/>
        <v>4.3447177675984487E-2</v>
      </c>
    </row>
    <row r="26" spans="1:35" x14ac:dyDescent="0.25">
      <c r="A26" s="10" t="s">
        <v>59</v>
      </c>
      <c r="B26">
        <v>32</v>
      </c>
      <c r="C26">
        <v>54</v>
      </c>
      <c r="D26">
        <v>-0.7</v>
      </c>
      <c r="J26" s="10"/>
      <c r="K26" s="10"/>
      <c r="L26" s="10" t="s">
        <v>37</v>
      </c>
      <c r="M26" s="10" t="s">
        <v>113</v>
      </c>
      <c r="N26" s="10"/>
      <c r="O26" s="30">
        <v>-9.6777817737663945</v>
      </c>
      <c r="P26" s="30">
        <v>-1.1571068157727302</v>
      </c>
      <c r="Q26" s="30">
        <v>17.202140224429584</v>
      </c>
      <c r="R26" s="30">
        <v>43.654985883803029</v>
      </c>
      <c r="S26" s="30">
        <v>11.442793367541926</v>
      </c>
      <c r="T26" s="30">
        <v>-0.24897549052435933</v>
      </c>
      <c r="AA26" s="8" t="str">
        <f t="shared" ref="AA26:AC26" si="11">AA10</f>
        <v>Max MX</v>
      </c>
      <c r="AB26" s="21" t="str">
        <f t="shared" si="11"/>
        <v>323</v>
      </c>
      <c r="AC26" s="21" t="str">
        <f t="shared" si="11"/>
        <v>1_ULS35</v>
      </c>
      <c r="AD26" s="22">
        <f t="shared" ref="AD26:AI26" si="12">-AD10</f>
        <v>19.473492896169091</v>
      </c>
      <c r="AE26" s="22">
        <f t="shared" si="12"/>
        <v>52.438817844162109</v>
      </c>
      <c r="AF26" s="22">
        <f t="shared" si="12"/>
        <v>56.135079077169657</v>
      </c>
      <c r="AG26" s="17">
        <f t="shared" si="12"/>
        <v>-221.84558415351742</v>
      </c>
      <c r="AH26" s="22">
        <f t="shared" si="12"/>
        <v>15.221972804845862</v>
      </c>
      <c r="AI26" s="23">
        <f t="shared" si="12"/>
        <v>-0.24046752558936588</v>
      </c>
    </row>
    <row r="27" spans="1:35" x14ac:dyDescent="0.25">
      <c r="A27" s="10" t="s">
        <v>60</v>
      </c>
      <c r="B27">
        <v>40</v>
      </c>
      <c r="C27">
        <v>0</v>
      </c>
      <c r="D27">
        <v>-0.7</v>
      </c>
      <c r="J27" s="10"/>
      <c r="K27" s="10"/>
      <c r="L27" s="10" t="s">
        <v>37</v>
      </c>
      <c r="M27" s="10" t="s">
        <v>114</v>
      </c>
      <c r="N27" s="10"/>
      <c r="O27" s="30">
        <v>-5.2580074687000486</v>
      </c>
      <c r="P27" s="30">
        <v>-8.9228370517939997</v>
      </c>
      <c r="Q27" s="30">
        <v>53.454427014511666</v>
      </c>
      <c r="R27" s="30">
        <v>60.563178020982939</v>
      </c>
      <c r="S27" s="30">
        <v>8.9845200034790036</v>
      </c>
      <c r="T27" s="30">
        <v>-2.9863183024017498E-2</v>
      </c>
      <c r="AA27" s="8" t="str">
        <f t="shared" ref="AA27:AC27" si="13">AA11</f>
        <v>Min MX</v>
      </c>
      <c r="AB27" s="21" t="str">
        <f t="shared" si="13"/>
        <v>326</v>
      </c>
      <c r="AC27" s="21" t="str">
        <f t="shared" si="13"/>
        <v>1_ULS37</v>
      </c>
      <c r="AD27" s="22">
        <f t="shared" ref="AD27:AI27" si="14">-AD11</f>
        <v>19.193130595893233</v>
      </c>
      <c r="AE27" s="22">
        <f t="shared" si="14"/>
        <v>-52.444365598009945</v>
      </c>
      <c r="AF27" s="22">
        <f t="shared" si="14"/>
        <v>55.681560549852776</v>
      </c>
      <c r="AG27" s="17">
        <f t="shared" si="14"/>
        <v>221.88447227533916</v>
      </c>
      <c r="AH27" s="22">
        <f t="shared" si="14"/>
        <v>14.932941942574601</v>
      </c>
      <c r="AI27" s="23">
        <f t="shared" si="14"/>
        <v>0.24042813506549721</v>
      </c>
    </row>
    <row r="28" spans="1:35" x14ac:dyDescent="0.25">
      <c r="A28" s="10" t="s">
        <v>61</v>
      </c>
      <c r="B28">
        <v>40</v>
      </c>
      <c r="C28">
        <v>18</v>
      </c>
      <c r="D28">
        <v>-0.7</v>
      </c>
      <c r="J28" s="10"/>
      <c r="K28" s="10"/>
      <c r="L28" s="10" t="s">
        <v>37</v>
      </c>
      <c r="M28" s="10" t="s">
        <v>115</v>
      </c>
      <c r="N28" s="10"/>
      <c r="O28" s="30">
        <v>-4.951337896342058</v>
      </c>
      <c r="P28" s="30">
        <v>11.013007405465862</v>
      </c>
      <c r="Q28" s="30">
        <v>30.697890825499385</v>
      </c>
      <c r="R28" s="30">
        <v>-14.416002500663769</v>
      </c>
      <c r="S28" s="30">
        <v>8.4328352128303639</v>
      </c>
      <c r="T28" s="30">
        <v>-6.2697342501280451E-2</v>
      </c>
      <c r="AA28" s="8" t="str">
        <f t="shared" ref="AA28:AC28" si="15">AA12</f>
        <v>Max MY</v>
      </c>
      <c r="AB28" s="21" t="str">
        <f t="shared" si="15"/>
        <v>194</v>
      </c>
      <c r="AC28" s="21" t="str">
        <f t="shared" si="15"/>
        <v>1_ULS37</v>
      </c>
      <c r="AD28" s="22">
        <f t="shared" ref="AD28:AI28" si="16">-AD12</f>
        <v>-50.767492425779814</v>
      </c>
      <c r="AE28" s="22">
        <f t="shared" si="16"/>
        <v>1.0104144259342482</v>
      </c>
      <c r="AF28" s="22">
        <f t="shared" si="16"/>
        <v>-4.8748023878463567</v>
      </c>
      <c r="AG28" s="22">
        <f t="shared" si="16"/>
        <v>1.6559636111659657</v>
      </c>
      <c r="AH28" s="17">
        <f t="shared" si="16"/>
        <v>-186.86831717719366</v>
      </c>
      <c r="AI28" s="23">
        <f t="shared" si="16"/>
        <v>-1.3747869822231409E-2</v>
      </c>
    </row>
    <row r="29" spans="1:35" x14ac:dyDescent="0.25">
      <c r="A29" s="10" t="s">
        <v>62</v>
      </c>
      <c r="B29">
        <v>40</v>
      </c>
      <c r="C29">
        <v>36</v>
      </c>
      <c r="D29">
        <v>-0.7</v>
      </c>
      <c r="J29" s="10"/>
      <c r="K29" s="10"/>
      <c r="L29" s="10" t="s">
        <v>37</v>
      </c>
      <c r="M29" s="10" t="s">
        <v>116</v>
      </c>
      <c r="N29" s="10"/>
      <c r="O29" s="30">
        <v>-0.38407102481136635</v>
      </c>
      <c r="P29" s="30">
        <v>13.5254092371017</v>
      </c>
      <c r="Q29" s="30">
        <v>45.893530858550527</v>
      </c>
      <c r="R29" s="30">
        <v>-21.487243842167295</v>
      </c>
      <c r="S29" s="30">
        <v>5.8234451803586813</v>
      </c>
      <c r="T29" s="30">
        <v>0.11710478990376891</v>
      </c>
      <c r="AA29" s="8" t="str">
        <f t="shared" ref="AA29:AC29" si="17">AA13</f>
        <v>Min MY</v>
      </c>
      <c r="AB29" s="21" t="str">
        <f t="shared" si="17"/>
        <v>345</v>
      </c>
      <c r="AC29" s="21" t="str">
        <f t="shared" si="17"/>
        <v>1_ULS35</v>
      </c>
      <c r="AD29" s="22">
        <f t="shared" ref="AD29:AI29" si="18">-AD13</f>
        <v>50.843337364776289</v>
      </c>
      <c r="AE29" s="22">
        <f t="shared" si="18"/>
        <v>-1.1073276637571599</v>
      </c>
      <c r="AF29" s="22">
        <f t="shared" si="18"/>
        <v>-5.2036860084209318</v>
      </c>
      <c r="AG29" s="22">
        <f t="shared" si="18"/>
        <v>-1.5993506430281683</v>
      </c>
      <c r="AH29" s="17">
        <f t="shared" si="18"/>
        <v>187.89553368926212</v>
      </c>
      <c r="AI29" s="23">
        <f t="shared" si="18"/>
        <v>4.0408218193244512E-3</v>
      </c>
    </row>
    <row r="30" spans="1:35" x14ac:dyDescent="0.25">
      <c r="A30" s="10" t="s">
        <v>63</v>
      </c>
      <c r="B30">
        <v>40</v>
      </c>
      <c r="C30">
        <v>54</v>
      </c>
      <c r="D30">
        <v>-0.7</v>
      </c>
      <c r="J30" s="10"/>
      <c r="K30" s="10"/>
      <c r="L30" s="10" t="s">
        <v>38</v>
      </c>
      <c r="M30" s="10" t="s">
        <v>91</v>
      </c>
      <c r="N30" s="10"/>
      <c r="O30" s="30">
        <v>-8.3969726981398971E-2</v>
      </c>
      <c r="P30" s="30">
        <v>-1.6038144324543933</v>
      </c>
      <c r="Q30" s="30">
        <v>47.974892036442725</v>
      </c>
      <c r="R30" s="30">
        <v>1.2407172312185479</v>
      </c>
      <c r="S30" s="30">
        <v>-0.24147538499889795</v>
      </c>
      <c r="T30" s="30">
        <v>-3.2916161284716355E-3</v>
      </c>
      <c r="AA30" s="8" t="str">
        <f t="shared" ref="AA30:AC30" si="19">AA14</f>
        <v>Max MZ</v>
      </c>
      <c r="AB30" s="21" t="str">
        <f t="shared" si="19"/>
        <v>197</v>
      </c>
      <c r="AC30" s="21" t="str">
        <f t="shared" si="19"/>
        <v>1_ULS37</v>
      </c>
      <c r="AD30" s="22">
        <f t="shared" ref="AD30:AI30" si="20">-AD14</f>
        <v>9.7088322153537199</v>
      </c>
      <c r="AE30" s="22">
        <f t="shared" si="20"/>
        <v>-0.89496831340028782</v>
      </c>
      <c r="AF30" s="22">
        <f t="shared" si="20"/>
        <v>-11.73782309131567</v>
      </c>
      <c r="AG30" s="22">
        <f t="shared" si="20"/>
        <v>45.548270305385628</v>
      </c>
      <c r="AH30" s="22">
        <f t="shared" si="20"/>
        <v>-11.550746420728478</v>
      </c>
      <c r="AI30" s="24">
        <f t="shared" si="20"/>
        <v>-0.31508077391212658</v>
      </c>
    </row>
    <row r="31" spans="1:35" x14ac:dyDescent="0.25">
      <c r="A31" s="10" t="s">
        <v>64</v>
      </c>
      <c r="B31">
        <v>48</v>
      </c>
      <c r="C31">
        <v>0</v>
      </c>
      <c r="D31">
        <v>-0.7</v>
      </c>
      <c r="J31" s="10"/>
      <c r="K31" s="10"/>
      <c r="L31" s="10" t="s">
        <v>38</v>
      </c>
      <c r="M31" s="10" t="s">
        <v>92</v>
      </c>
      <c r="N31" s="10"/>
      <c r="O31" s="30">
        <v>-6.8168290423210348E-2</v>
      </c>
      <c r="P31" s="30">
        <v>-0.99996730646560839</v>
      </c>
      <c r="Q31" s="30">
        <v>63.141428928485062</v>
      </c>
      <c r="R31" s="30">
        <v>0.92850856916095148</v>
      </c>
      <c r="S31" s="30">
        <v>-4.18702454341622E-2</v>
      </c>
      <c r="T31" s="30">
        <v>-6.68738451578105E-3</v>
      </c>
      <c r="AA31" s="9" t="str">
        <f t="shared" ref="AA31:AC31" si="21">AA15</f>
        <v>Min MZ</v>
      </c>
      <c r="AB31" s="25" t="str">
        <f t="shared" si="21"/>
        <v>191</v>
      </c>
      <c r="AC31" s="25" t="str">
        <f t="shared" si="21"/>
        <v>1_ULS35</v>
      </c>
      <c r="AD31" s="26">
        <f t="shared" ref="AD31:AI31" si="22">-AD15</f>
        <v>9.4927104850677591</v>
      </c>
      <c r="AE31" s="26">
        <f t="shared" si="22"/>
        <v>0.97256814312504392</v>
      </c>
      <c r="AF31" s="26">
        <f t="shared" si="22"/>
        <v>-10.963251662873461</v>
      </c>
      <c r="AG31" s="26">
        <f t="shared" si="22"/>
        <v>-45.643524706891213</v>
      </c>
      <c r="AH31" s="26">
        <f t="shared" si="22"/>
        <v>-11.199964075814885</v>
      </c>
      <c r="AI31" s="27">
        <f t="shared" si="22"/>
        <v>0.31677781201487315</v>
      </c>
    </row>
    <row r="32" spans="1:35" x14ac:dyDescent="0.25">
      <c r="A32" s="10" t="s">
        <v>65</v>
      </c>
      <c r="B32">
        <v>48</v>
      </c>
      <c r="C32">
        <v>18</v>
      </c>
      <c r="D32">
        <v>-0.7</v>
      </c>
      <c r="J32" s="10"/>
      <c r="K32" s="10"/>
      <c r="L32" s="10" t="s">
        <v>38</v>
      </c>
      <c r="M32" s="10" t="s">
        <v>93</v>
      </c>
      <c r="N32" s="10"/>
      <c r="O32" s="30">
        <v>-23.308829451739218</v>
      </c>
      <c r="P32" s="30">
        <v>1.0483547002141507</v>
      </c>
      <c r="Q32" s="30">
        <v>-38.943034580095912</v>
      </c>
      <c r="R32" s="30">
        <v>-1.6735013530340626</v>
      </c>
      <c r="S32" s="30">
        <v>-85.956096343268086</v>
      </c>
      <c r="T32" s="30">
        <v>9.1557304203026643E-2</v>
      </c>
    </row>
    <row r="33" spans="1:20" x14ac:dyDescent="0.25">
      <c r="A33" s="10" t="s">
        <v>66</v>
      </c>
      <c r="B33">
        <v>48</v>
      </c>
      <c r="C33">
        <v>36</v>
      </c>
      <c r="D33">
        <v>-0.7</v>
      </c>
      <c r="J33" s="10"/>
      <c r="K33" s="10"/>
      <c r="L33" s="10" t="s">
        <v>38</v>
      </c>
      <c r="M33" s="10" t="s">
        <v>94</v>
      </c>
      <c r="N33" s="10"/>
      <c r="O33" s="30">
        <v>-40.903547628851584</v>
      </c>
      <c r="P33" s="30">
        <v>-1.5236811756270978E-2</v>
      </c>
      <c r="Q33" s="30">
        <v>-17.251640854919</v>
      </c>
      <c r="R33" s="30">
        <v>-0.71128488980911819</v>
      </c>
      <c r="S33" s="30">
        <v>-146.96915283665328</v>
      </c>
      <c r="T33" s="30">
        <v>0.15931128977624132</v>
      </c>
    </row>
    <row r="34" spans="1:20" x14ac:dyDescent="0.25">
      <c r="A34" s="10" t="s">
        <v>67</v>
      </c>
      <c r="B34">
        <v>48</v>
      </c>
      <c r="C34">
        <v>54</v>
      </c>
      <c r="D34">
        <v>-0.7</v>
      </c>
      <c r="J34" s="10"/>
      <c r="K34" s="10"/>
      <c r="L34" s="10" t="s">
        <v>38</v>
      </c>
      <c r="M34" s="10" t="s">
        <v>95</v>
      </c>
      <c r="N34" s="10"/>
      <c r="O34" s="30">
        <v>23.029559545026839</v>
      </c>
      <c r="P34" s="30">
        <v>0.22021190227182769</v>
      </c>
      <c r="Q34" s="30">
        <v>4.9113209200718035</v>
      </c>
      <c r="R34" s="30">
        <v>-0.41501113680742507</v>
      </c>
      <c r="S34" s="30">
        <v>84.076343519286098</v>
      </c>
      <c r="T34" s="30">
        <v>-0.10719463003493587</v>
      </c>
    </row>
    <row r="35" spans="1:20" x14ac:dyDescent="0.25">
      <c r="A35" s="10" t="s">
        <v>68</v>
      </c>
      <c r="B35">
        <v>56</v>
      </c>
      <c r="C35">
        <v>0</v>
      </c>
      <c r="D35">
        <v>-0.7</v>
      </c>
      <c r="J35" s="10"/>
      <c r="K35" s="10"/>
      <c r="L35" s="10" t="s">
        <v>38</v>
      </c>
      <c r="M35" s="10" t="s">
        <v>96</v>
      </c>
      <c r="N35" s="10"/>
      <c r="O35" s="30">
        <v>5.4348822179478038</v>
      </c>
      <c r="P35" s="30">
        <v>-0.90537133666667269</v>
      </c>
      <c r="Q35" s="30">
        <v>26.375338818275821</v>
      </c>
      <c r="R35" s="30">
        <v>0.5674015033653268</v>
      </c>
      <c r="S35" s="30">
        <v>23.063590874821525</v>
      </c>
      <c r="T35" s="30">
        <v>-3.9092672189190367E-2</v>
      </c>
    </row>
    <row r="36" spans="1:20" x14ac:dyDescent="0.25">
      <c r="A36" s="10" t="s">
        <v>69</v>
      </c>
      <c r="B36">
        <v>56</v>
      </c>
      <c r="C36">
        <v>18</v>
      </c>
      <c r="D36">
        <v>-0.7</v>
      </c>
      <c r="J36" s="10"/>
      <c r="K36" s="10"/>
      <c r="L36" s="10" t="s">
        <v>38</v>
      </c>
      <c r="M36" s="10" t="s">
        <v>97</v>
      </c>
      <c r="N36" s="10"/>
      <c r="O36" s="30">
        <v>43.94909957973406</v>
      </c>
      <c r="P36" s="30">
        <v>-4.1413975356253099</v>
      </c>
      <c r="Q36" s="30">
        <v>2.4615013277106113</v>
      </c>
      <c r="R36" s="30">
        <v>5.3833520802060599</v>
      </c>
      <c r="S36" s="30">
        <v>152.90756075744844</v>
      </c>
      <c r="T36" s="30">
        <v>-9.5136196472644596E-2</v>
      </c>
    </row>
    <row r="37" spans="1:20" x14ac:dyDescent="0.25">
      <c r="A37" s="10" t="s">
        <v>70</v>
      </c>
      <c r="B37">
        <v>56</v>
      </c>
      <c r="C37">
        <v>36</v>
      </c>
      <c r="D37">
        <v>-0.7</v>
      </c>
      <c r="J37" s="10"/>
      <c r="K37" s="10"/>
      <c r="L37" s="10" t="s">
        <v>38</v>
      </c>
      <c r="M37" s="10" t="s">
        <v>98</v>
      </c>
      <c r="N37" s="10"/>
      <c r="O37" s="30">
        <v>26.39225903621454</v>
      </c>
      <c r="P37" s="30">
        <v>0.81276060134810979</v>
      </c>
      <c r="Q37" s="30">
        <v>61.127801471342174</v>
      </c>
      <c r="R37" s="30">
        <v>6.526186852763586</v>
      </c>
      <c r="S37" s="30">
        <v>92.384000506806757</v>
      </c>
      <c r="T37" s="30">
        <v>-3.0903882769459944E-2</v>
      </c>
    </row>
    <row r="38" spans="1:20" x14ac:dyDescent="0.25">
      <c r="A38" s="10" t="s">
        <v>71</v>
      </c>
      <c r="B38">
        <v>56</v>
      </c>
      <c r="C38">
        <v>54</v>
      </c>
      <c r="D38">
        <v>-0.7</v>
      </c>
      <c r="J38" s="10"/>
      <c r="K38" s="10"/>
      <c r="L38" s="10" t="s">
        <v>38</v>
      </c>
      <c r="M38" s="10" t="s">
        <v>99</v>
      </c>
      <c r="N38" s="10"/>
      <c r="O38" s="30">
        <v>43.913940159113722</v>
      </c>
      <c r="P38" s="30">
        <v>-3.4942737661855974</v>
      </c>
      <c r="Q38" s="30">
        <v>5.0065268411056882</v>
      </c>
      <c r="R38" s="30">
        <v>-0.87587906969840634</v>
      </c>
      <c r="S38" s="30">
        <v>152.4207215506801</v>
      </c>
      <c r="T38" s="30">
        <v>-0.17317520905820508</v>
      </c>
    </row>
    <row r="39" spans="1:20" x14ac:dyDescent="0.25">
      <c r="A39" s="10" t="s">
        <v>72</v>
      </c>
      <c r="B39">
        <v>64</v>
      </c>
      <c r="C39">
        <v>0</v>
      </c>
      <c r="D39">
        <v>-0.7</v>
      </c>
      <c r="J39" s="10"/>
      <c r="K39" s="10"/>
      <c r="L39" s="10" t="s">
        <v>38</v>
      </c>
      <c r="M39" s="10" t="s">
        <v>100</v>
      </c>
      <c r="N39" s="10"/>
      <c r="O39" s="30">
        <v>26.357447879139855</v>
      </c>
      <c r="P39" s="30">
        <v>-8.1271772226358703</v>
      </c>
      <c r="Q39" s="30">
        <v>30.779463425309164</v>
      </c>
      <c r="R39" s="30">
        <v>-1.2960350818669433</v>
      </c>
      <c r="S39" s="30">
        <v>91.84495534408272</v>
      </c>
      <c r="T39" s="30">
        <v>-0.1093150173222555</v>
      </c>
    </row>
    <row r="40" spans="1:20" x14ac:dyDescent="0.25">
      <c r="A40" s="10" t="s">
        <v>73</v>
      </c>
      <c r="B40">
        <v>64</v>
      </c>
      <c r="C40">
        <v>18</v>
      </c>
      <c r="D40">
        <v>-0.7</v>
      </c>
      <c r="J40" s="10"/>
      <c r="K40" s="10"/>
      <c r="L40" s="10" t="s">
        <v>38</v>
      </c>
      <c r="M40" s="10" t="s">
        <v>101</v>
      </c>
      <c r="N40" s="10"/>
      <c r="O40" s="30">
        <v>-20.970542042705251</v>
      </c>
      <c r="P40" s="30">
        <v>1.3869849129360812</v>
      </c>
      <c r="Q40" s="30">
        <v>-15.084705026399698</v>
      </c>
      <c r="R40" s="30">
        <v>-1.6942881566663981</v>
      </c>
      <c r="S40" s="30">
        <v>-77.185029107876446</v>
      </c>
      <c r="T40" s="30">
        <v>7.867664378256739E-2</v>
      </c>
    </row>
    <row r="41" spans="1:20" x14ac:dyDescent="0.25">
      <c r="A41" s="10" t="s">
        <v>74</v>
      </c>
      <c r="B41">
        <v>64</v>
      </c>
      <c r="C41">
        <v>36</v>
      </c>
      <c r="D41">
        <v>-0.7</v>
      </c>
      <c r="J41" s="10"/>
      <c r="K41" s="10"/>
      <c r="L41" s="10" t="s">
        <v>38</v>
      </c>
      <c r="M41" s="10" t="s">
        <v>102</v>
      </c>
      <c r="N41" s="10"/>
      <c r="O41" s="30">
        <v>-36.805788402106373</v>
      </c>
      <c r="P41" s="30">
        <v>0.42975255216270186</v>
      </c>
      <c r="Q41" s="30">
        <v>4.4375493262595187</v>
      </c>
      <c r="R41" s="30">
        <v>-0.82829333976394803</v>
      </c>
      <c r="S41" s="30">
        <v>-132.09677995192311</v>
      </c>
      <c r="T41" s="30">
        <v>0.13965523079846059</v>
      </c>
    </row>
    <row r="42" spans="1:20" x14ac:dyDescent="0.25">
      <c r="A42" s="10" t="s">
        <v>75</v>
      </c>
      <c r="B42">
        <v>64</v>
      </c>
      <c r="C42">
        <v>54</v>
      </c>
      <c r="D42">
        <v>-0.7</v>
      </c>
      <c r="J42" s="10"/>
      <c r="K42" s="10"/>
      <c r="L42" s="10" t="s">
        <v>38</v>
      </c>
      <c r="M42" s="10" t="s">
        <v>103</v>
      </c>
      <c r="N42" s="10"/>
      <c r="O42" s="30">
        <v>20.734008054384205</v>
      </c>
      <c r="P42" s="30">
        <v>0.64165639478799075</v>
      </c>
      <c r="Q42" s="30">
        <v>24.384214923751237</v>
      </c>
      <c r="R42" s="30">
        <v>-0.56164696206242415</v>
      </c>
      <c r="S42" s="30">
        <v>75.844166768422326</v>
      </c>
      <c r="T42" s="30">
        <v>-0.10020009703159886</v>
      </c>
    </row>
    <row r="43" spans="1:20" x14ac:dyDescent="0.25">
      <c r="A43" s="10" t="s">
        <v>76</v>
      </c>
      <c r="B43">
        <v>72</v>
      </c>
      <c r="C43">
        <v>0</v>
      </c>
      <c r="D43">
        <v>-0.7</v>
      </c>
      <c r="J43" s="10"/>
      <c r="K43" s="10"/>
      <c r="L43" s="10" t="s">
        <v>38</v>
      </c>
      <c r="M43" s="10" t="s">
        <v>104</v>
      </c>
      <c r="N43" s="10"/>
      <c r="O43" s="30">
        <v>4.8987984600130723</v>
      </c>
      <c r="P43" s="30">
        <v>-0.37136852025665967</v>
      </c>
      <c r="Q43" s="30">
        <v>43.701831032134855</v>
      </c>
      <c r="R43" s="30">
        <v>0.32252441409305244</v>
      </c>
      <c r="S43" s="30">
        <v>20.932689388404221</v>
      </c>
      <c r="T43" s="30">
        <v>-3.8908334970427914E-2</v>
      </c>
    </row>
    <row r="44" spans="1:20" x14ac:dyDescent="0.25">
      <c r="A44" s="10" t="s">
        <v>77</v>
      </c>
      <c r="B44">
        <v>72</v>
      </c>
      <c r="C44">
        <v>18</v>
      </c>
      <c r="D44">
        <v>-0.7</v>
      </c>
      <c r="J44" s="10"/>
      <c r="K44" s="10"/>
      <c r="L44" s="10" t="s">
        <v>38</v>
      </c>
      <c r="M44" s="10" t="s">
        <v>105</v>
      </c>
      <c r="N44" s="10"/>
      <c r="O44" s="30">
        <v>39.561594085620705</v>
      </c>
      <c r="P44" s="30">
        <v>-3.2837920993194336</v>
      </c>
      <c r="Q44" s="30">
        <v>22.17937729062616</v>
      </c>
      <c r="R44" s="30">
        <v>4.6568799332497131</v>
      </c>
      <c r="S44" s="30">
        <v>137.79226228276843</v>
      </c>
      <c r="T44" s="30">
        <v>-8.9347506825536716E-2</v>
      </c>
    </row>
    <row r="45" spans="1:20" x14ac:dyDescent="0.25">
      <c r="A45" s="10" t="s">
        <v>78</v>
      </c>
      <c r="B45">
        <v>72</v>
      </c>
      <c r="C45">
        <v>36</v>
      </c>
      <c r="D45">
        <v>-0.7</v>
      </c>
      <c r="J45" s="10"/>
      <c r="K45" s="10"/>
      <c r="L45" s="10" t="s">
        <v>38</v>
      </c>
      <c r="M45" s="10" t="s">
        <v>106</v>
      </c>
      <c r="N45" s="10"/>
      <c r="O45" s="30">
        <v>23.760437596453134</v>
      </c>
      <c r="P45" s="30">
        <v>1.1749502239566447</v>
      </c>
      <c r="Q45" s="30">
        <v>74.97904741989457</v>
      </c>
      <c r="R45" s="30">
        <v>5.6854312285514848</v>
      </c>
      <c r="S45" s="30">
        <v>83.321058057190925</v>
      </c>
      <c r="T45" s="30">
        <v>-3.1538424492670525E-2</v>
      </c>
    </row>
    <row r="46" spans="1:20" x14ac:dyDescent="0.25">
      <c r="A46" s="10" t="s">
        <v>79</v>
      </c>
      <c r="B46">
        <v>72</v>
      </c>
      <c r="C46">
        <v>54</v>
      </c>
      <c r="D46">
        <v>-0.7</v>
      </c>
      <c r="J46" s="10"/>
      <c r="K46" s="10"/>
      <c r="L46" s="10" t="s">
        <v>38</v>
      </c>
      <c r="M46" s="10" t="s">
        <v>107</v>
      </c>
      <c r="N46" s="10"/>
      <c r="O46" s="30">
        <v>39.529950607062396</v>
      </c>
      <c r="P46" s="30">
        <v>-2.7013807068236919</v>
      </c>
      <c r="Q46" s="30">
        <v>24.469900252681729</v>
      </c>
      <c r="R46" s="30">
        <v>-0.97642810166430727</v>
      </c>
      <c r="S46" s="30">
        <v>137.3541069966769</v>
      </c>
      <c r="T46" s="30">
        <v>-0.15958261815254118</v>
      </c>
    </row>
    <row r="47" spans="1:20" x14ac:dyDescent="0.25">
      <c r="A47" s="10" t="s">
        <v>80</v>
      </c>
      <c r="B47">
        <v>80</v>
      </c>
      <c r="C47">
        <v>0</v>
      </c>
      <c r="D47">
        <v>-0.7</v>
      </c>
      <c r="J47" s="10"/>
      <c r="K47" s="10"/>
      <c r="L47" s="10" t="s">
        <v>38</v>
      </c>
      <c r="M47" s="10" t="s">
        <v>108</v>
      </c>
      <c r="N47" s="10"/>
      <c r="O47" s="30">
        <v>23.729107555085921</v>
      </c>
      <c r="P47" s="30">
        <v>-6.8709938176289382</v>
      </c>
      <c r="Q47" s="30">
        <v>47.665543178464858</v>
      </c>
      <c r="R47" s="30">
        <v>-1.3545685126159905</v>
      </c>
      <c r="S47" s="30">
        <v>82.835917410739299</v>
      </c>
      <c r="T47" s="30">
        <v>-0.10210844559018653</v>
      </c>
    </row>
    <row r="48" spans="1:20" x14ac:dyDescent="0.25">
      <c r="A48" s="10" t="s">
        <v>81</v>
      </c>
      <c r="B48">
        <v>80</v>
      </c>
      <c r="C48">
        <v>18</v>
      </c>
      <c r="D48">
        <v>-0.7</v>
      </c>
      <c r="J48" s="10"/>
      <c r="K48" s="10"/>
      <c r="L48" s="10" t="s">
        <v>38</v>
      </c>
      <c r="M48" s="10" t="s">
        <v>109</v>
      </c>
      <c r="N48" s="10"/>
      <c r="O48" s="30">
        <v>-23.294608158836851</v>
      </c>
      <c r="P48" s="30">
        <v>1.5918171136040573</v>
      </c>
      <c r="Q48" s="30">
        <v>-25.293151377257807</v>
      </c>
      <c r="R48" s="30">
        <v>-1.9544891488858995</v>
      </c>
      <c r="S48" s="30">
        <v>-85.776451717659825</v>
      </c>
      <c r="T48" s="30">
        <v>8.8501112654448169E-2</v>
      </c>
    </row>
    <row r="49" spans="1:20" x14ac:dyDescent="0.25">
      <c r="A49" s="10" t="s">
        <v>82</v>
      </c>
      <c r="B49">
        <v>80</v>
      </c>
      <c r="C49">
        <v>36</v>
      </c>
      <c r="D49">
        <v>-0.7</v>
      </c>
      <c r="J49" s="10"/>
      <c r="K49" s="10"/>
      <c r="L49" s="10" t="s">
        <v>38</v>
      </c>
      <c r="M49" s="10" t="s">
        <v>110</v>
      </c>
      <c r="N49" s="10"/>
      <c r="O49" s="30">
        <v>-40.889326335949221</v>
      </c>
      <c r="P49" s="30">
        <v>0.52822560163363563</v>
      </c>
      <c r="Q49" s="30">
        <v>-3.6017576520808938</v>
      </c>
      <c r="R49" s="30">
        <v>-0.99227268566095506</v>
      </c>
      <c r="S49" s="30">
        <v>-146.78950821104502</v>
      </c>
      <c r="T49" s="30">
        <v>0.15625509822766281</v>
      </c>
    </row>
    <row r="50" spans="1:20" x14ac:dyDescent="0.25">
      <c r="A50" s="10" t="s">
        <v>83</v>
      </c>
      <c r="B50">
        <v>80</v>
      </c>
      <c r="C50">
        <v>54</v>
      </c>
      <c r="D50">
        <v>-0.7</v>
      </c>
      <c r="J50" s="10"/>
      <c r="K50" s="10"/>
      <c r="L50" s="10" t="s">
        <v>38</v>
      </c>
      <c r="M50" s="10" t="s">
        <v>111</v>
      </c>
      <c r="N50" s="10"/>
      <c r="O50" s="30">
        <v>23.043780837929209</v>
      </c>
      <c r="P50" s="30">
        <v>0.76367431566173427</v>
      </c>
      <c r="Q50" s="30">
        <v>18.56120412290991</v>
      </c>
      <c r="R50" s="30">
        <v>-0.69599893265926194</v>
      </c>
      <c r="S50" s="30">
        <v>84.255988144894374</v>
      </c>
      <c r="T50" s="30">
        <v>-0.11025082158351433</v>
      </c>
    </row>
    <row r="51" spans="1:20" x14ac:dyDescent="0.25">
      <c r="A51" s="10" t="s">
        <v>84</v>
      </c>
      <c r="B51">
        <v>88</v>
      </c>
      <c r="C51">
        <v>0</v>
      </c>
      <c r="D51">
        <v>-0.7</v>
      </c>
      <c r="J51" s="10"/>
      <c r="K51" s="10"/>
      <c r="L51" s="10" t="s">
        <v>38</v>
      </c>
      <c r="M51" s="10" t="s">
        <v>112</v>
      </c>
      <c r="N51" s="10"/>
      <c r="O51" s="30">
        <v>5.4491035108501737</v>
      </c>
      <c r="P51" s="30">
        <v>-0.36190892327676605</v>
      </c>
      <c r="Q51" s="30">
        <v>40.025222021113926</v>
      </c>
      <c r="R51" s="30">
        <v>0.28641370751348993</v>
      </c>
      <c r="S51" s="30">
        <v>23.243235500429787</v>
      </c>
      <c r="T51" s="30">
        <v>-4.2148863737768848E-2</v>
      </c>
    </row>
    <row r="52" spans="1:20" x14ac:dyDescent="0.25">
      <c r="A52" s="10" t="s">
        <v>85</v>
      </c>
      <c r="B52">
        <v>88</v>
      </c>
      <c r="C52">
        <v>9</v>
      </c>
      <c r="D52">
        <v>-0.7</v>
      </c>
      <c r="J52" s="10"/>
      <c r="K52" s="10"/>
      <c r="L52" s="10" t="s">
        <v>38</v>
      </c>
      <c r="M52" s="10" t="s">
        <v>113</v>
      </c>
      <c r="N52" s="10"/>
      <c r="O52" s="30">
        <v>43.963320872636423</v>
      </c>
      <c r="P52" s="30">
        <v>-3.5979351222354037</v>
      </c>
      <c r="Q52" s="30">
        <v>16.111384530548715</v>
      </c>
      <c r="R52" s="30">
        <v>5.1023642843542234</v>
      </c>
      <c r="S52" s="30">
        <v>153.0872053830567</v>
      </c>
      <c r="T52" s="30">
        <v>-9.8192388021223057E-2</v>
      </c>
    </row>
    <row r="53" spans="1:20" x14ac:dyDescent="0.25">
      <c r="A53" s="10" t="s">
        <v>86</v>
      </c>
      <c r="B53">
        <v>88</v>
      </c>
      <c r="C53">
        <v>18</v>
      </c>
      <c r="D53">
        <v>-0.7</v>
      </c>
      <c r="J53" s="10"/>
      <c r="K53" s="10"/>
      <c r="L53" s="10" t="s">
        <v>38</v>
      </c>
      <c r="M53" s="10" t="s">
        <v>114</v>
      </c>
      <c r="N53" s="10"/>
      <c r="O53" s="30">
        <v>26.40648032911691</v>
      </c>
      <c r="P53" s="30">
        <v>1.3562230147380163</v>
      </c>
      <c r="Q53" s="30">
        <v>74.777684674180293</v>
      </c>
      <c r="R53" s="30">
        <v>6.2451990569117495</v>
      </c>
      <c r="S53" s="30">
        <v>92.563645132415019</v>
      </c>
      <c r="T53" s="30">
        <v>-3.3960074318038422E-2</v>
      </c>
    </row>
    <row r="54" spans="1:20" x14ac:dyDescent="0.25">
      <c r="A54" s="10" t="s">
        <v>87</v>
      </c>
      <c r="B54">
        <v>88</v>
      </c>
      <c r="C54">
        <v>27</v>
      </c>
      <c r="D54">
        <v>-0.7</v>
      </c>
      <c r="J54" s="10"/>
      <c r="K54" s="10"/>
      <c r="L54" s="10" t="s">
        <v>38</v>
      </c>
      <c r="M54" s="10" t="s">
        <v>115</v>
      </c>
      <c r="N54" s="10"/>
      <c r="O54" s="30">
        <v>43.928161452016084</v>
      </c>
      <c r="P54" s="30">
        <v>-2.9508113527956907</v>
      </c>
      <c r="Q54" s="30">
        <v>18.656410043943794</v>
      </c>
      <c r="R54" s="30">
        <v>-1.1568668655502432</v>
      </c>
      <c r="S54" s="30">
        <v>152.60036617628836</v>
      </c>
      <c r="T54" s="30">
        <v>-0.17623140060678358</v>
      </c>
    </row>
    <row r="55" spans="1:20" x14ac:dyDescent="0.25">
      <c r="A55" s="10" t="s">
        <v>88</v>
      </c>
      <c r="B55">
        <v>88</v>
      </c>
      <c r="C55">
        <v>36</v>
      </c>
      <c r="D55">
        <v>-0.7</v>
      </c>
      <c r="J55" s="10"/>
      <c r="K55" s="10"/>
      <c r="L55" s="10" t="s">
        <v>38</v>
      </c>
      <c r="M55" s="10" t="s">
        <v>116</v>
      </c>
      <c r="N55" s="10"/>
      <c r="O55" s="30">
        <v>26.371669172042225</v>
      </c>
      <c r="P55" s="30">
        <v>-7.5837148092459641</v>
      </c>
      <c r="Q55" s="30">
        <v>44.429346628147272</v>
      </c>
      <c r="R55" s="30">
        <v>-1.57702287771878</v>
      </c>
      <c r="S55" s="30">
        <v>92.024599969690982</v>
      </c>
      <c r="T55" s="30">
        <v>-0.11237120887083397</v>
      </c>
    </row>
    <row r="56" spans="1:20" x14ac:dyDescent="0.25">
      <c r="A56" s="10" t="s">
        <v>89</v>
      </c>
      <c r="B56">
        <v>88</v>
      </c>
      <c r="C56">
        <v>45</v>
      </c>
      <c r="D56">
        <v>-0.7</v>
      </c>
      <c r="J56" s="10"/>
      <c r="K56" s="10"/>
      <c r="L56" s="10" t="s">
        <v>39</v>
      </c>
      <c r="M56" s="10" t="s">
        <v>91</v>
      </c>
      <c r="N56" s="10"/>
      <c r="O56" s="30">
        <v>7.5859266897387503</v>
      </c>
      <c r="P56" s="30">
        <v>-1.3871473002552444</v>
      </c>
      <c r="Q56" s="30">
        <v>58.635350908961186</v>
      </c>
      <c r="R56" s="30">
        <v>1.4116783866483269</v>
      </c>
      <c r="S56" s="30">
        <v>9.3125462863965044E-2</v>
      </c>
      <c r="T56" s="30">
        <v>-8.5973993255013357E-4</v>
      </c>
    </row>
    <row r="57" spans="1:20" x14ac:dyDescent="0.25">
      <c r="A57" s="10" t="s">
        <v>90</v>
      </c>
      <c r="B57">
        <v>88</v>
      </c>
      <c r="C57">
        <v>54</v>
      </c>
      <c r="D57">
        <v>-0.7</v>
      </c>
      <c r="J57" s="10"/>
      <c r="K57" s="10"/>
      <c r="L57" s="10" t="s">
        <v>39</v>
      </c>
      <c r="M57" s="10" t="s">
        <v>92</v>
      </c>
      <c r="N57" s="10"/>
      <c r="O57" s="30">
        <v>7.5687031665156992</v>
      </c>
      <c r="P57" s="30">
        <v>-1.2246571665175465</v>
      </c>
      <c r="Q57" s="30">
        <v>72.435457340901621</v>
      </c>
      <c r="R57" s="30">
        <v>1.1712611673508329</v>
      </c>
      <c r="S57" s="30">
        <v>0.22130495099768582</v>
      </c>
      <c r="T57" s="30">
        <v>-1.3543418267691806E-2</v>
      </c>
    </row>
    <row r="58" spans="1:20" x14ac:dyDescent="0.25">
      <c r="J58" s="10"/>
      <c r="K58" s="10"/>
      <c r="L58" s="10" t="s">
        <v>39</v>
      </c>
      <c r="M58" s="10" t="s">
        <v>93</v>
      </c>
      <c r="N58" s="10"/>
      <c r="O58" s="30">
        <v>26.545341810156849</v>
      </c>
      <c r="P58" s="30">
        <v>2.7502955556302715</v>
      </c>
      <c r="Q58" s="30">
        <v>-44.563028307513534</v>
      </c>
      <c r="R58" s="30">
        <v>-2.7149803015997755</v>
      </c>
      <c r="S58" s="30">
        <v>-18.397117440661628</v>
      </c>
      <c r="T58" s="30">
        <v>9.6475993631161328E-2</v>
      </c>
    </row>
    <row r="59" spans="1:20" x14ac:dyDescent="0.25">
      <c r="J59" s="10"/>
      <c r="K59" s="10"/>
      <c r="L59" s="10" t="s">
        <v>39</v>
      </c>
      <c r="M59" s="10" t="s">
        <v>94</v>
      </c>
      <c r="N59" s="10"/>
      <c r="O59" s="30">
        <v>36.307748772567066</v>
      </c>
      <c r="P59" s="30">
        <v>1.5762834761300542</v>
      </c>
      <c r="Q59" s="30">
        <v>-31.861059698695186</v>
      </c>
      <c r="R59" s="30">
        <v>-1.4404686526901957</v>
      </c>
      <c r="S59" s="30">
        <v>-27.571292901358188</v>
      </c>
      <c r="T59" s="30">
        <v>8.6280639949835605E-2</v>
      </c>
    </row>
    <row r="60" spans="1:20" x14ac:dyDescent="0.25">
      <c r="J60" s="10"/>
      <c r="K60" s="10"/>
      <c r="L60" s="10" t="s">
        <v>39</v>
      </c>
      <c r="M60" s="10" t="s">
        <v>95</v>
      </c>
      <c r="N60" s="10"/>
      <c r="O60" s="30">
        <v>-11.182138240175259</v>
      </c>
      <c r="P60" s="30">
        <v>0.63472701101305518</v>
      </c>
      <c r="Q60" s="30">
        <v>42.625282343564763</v>
      </c>
      <c r="R60" s="30">
        <v>-0.78942318580564441</v>
      </c>
      <c r="S60" s="30">
        <v>17.457115475581485</v>
      </c>
      <c r="T60" s="30">
        <v>2.1834121802919829E-2</v>
      </c>
    </row>
    <row r="61" spans="1:20" x14ac:dyDescent="0.25">
      <c r="J61" s="10"/>
      <c r="K61" s="10"/>
      <c r="L61" s="10" t="s">
        <v>39</v>
      </c>
      <c r="M61" s="10" t="s">
        <v>96</v>
      </c>
      <c r="N61" s="10"/>
      <c r="O61" s="30">
        <v>-1.4133342767666761</v>
      </c>
      <c r="P61" s="30">
        <v>-0.52797271228155385</v>
      </c>
      <c r="Q61" s="30">
        <v>55.348585411618664</v>
      </c>
      <c r="R61" s="30">
        <v>0.48671526211285498</v>
      </c>
      <c r="S61" s="30">
        <v>8.2777265668041977</v>
      </c>
      <c r="T61" s="30">
        <v>1.1950286907076363E-2</v>
      </c>
    </row>
    <row r="62" spans="1:20" x14ac:dyDescent="0.25">
      <c r="J62" s="10"/>
      <c r="K62" s="10"/>
      <c r="L62" s="10" t="s">
        <v>39</v>
      </c>
      <c r="M62" s="10" t="s">
        <v>97</v>
      </c>
      <c r="N62" s="10"/>
      <c r="O62" s="30">
        <v>-17.040731274188843</v>
      </c>
      <c r="P62" s="30">
        <v>-9.2160323311431753</v>
      </c>
      <c r="Q62" s="30">
        <v>40.136088932096527</v>
      </c>
      <c r="R62" s="30">
        <v>16.034803095467041</v>
      </c>
      <c r="S62" s="30">
        <v>23.303030500523452</v>
      </c>
      <c r="T62" s="30">
        <v>-9.5453100077231942E-2</v>
      </c>
    </row>
    <row r="63" spans="1:20" x14ac:dyDescent="0.25">
      <c r="J63" s="10"/>
      <c r="K63" s="10"/>
      <c r="L63" s="10" t="s">
        <v>39</v>
      </c>
      <c r="M63" s="10" t="s">
        <v>98</v>
      </c>
      <c r="N63" s="10"/>
      <c r="O63" s="30">
        <v>-7.2740162733759597</v>
      </c>
      <c r="P63" s="30">
        <v>-16.73808899623295</v>
      </c>
      <c r="Q63" s="30">
        <v>84.353227454253016</v>
      </c>
      <c r="R63" s="30">
        <v>31.041985649828952</v>
      </c>
      <c r="S63" s="30">
        <v>14.385341852342663</v>
      </c>
      <c r="T63" s="30">
        <v>-0.26942479746844195</v>
      </c>
    </row>
    <row r="64" spans="1:20" x14ac:dyDescent="0.25">
      <c r="J64" s="10"/>
      <c r="K64" s="10"/>
      <c r="L64" s="10" t="s">
        <v>39</v>
      </c>
      <c r="M64" s="10" t="s">
        <v>99</v>
      </c>
      <c r="N64" s="10"/>
      <c r="O64" s="30">
        <v>-16.937584456669395</v>
      </c>
      <c r="P64" s="30">
        <v>5.7606263921675085</v>
      </c>
      <c r="Q64" s="30">
        <v>37.93352002200303</v>
      </c>
      <c r="R64" s="30">
        <v>-12.096657877767425</v>
      </c>
      <c r="S64" s="30">
        <v>23.209505172577739</v>
      </c>
      <c r="T64" s="30">
        <v>0.1118441812442819</v>
      </c>
    </row>
    <row r="65" spans="10:20" x14ac:dyDescent="0.25">
      <c r="J65" s="10"/>
      <c r="K65" s="10"/>
      <c r="L65" s="10" t="s">
        <v>39</v>
      </c>
      <c r="M65" s="10" t="s">
        <v>100</v>
      </c>
      <c r="N65" s="10"/>
      <c r="O65" s="30">
        <v>-7.0981434350830623</v>
      </c>
      <c r="P65" s="30">
        <v>11.20956113854929</v>
      </c>
      <c r="Q65" s="30">
        <v>54.940872997165918</v>
      </c>
      <c r="R65" s="30">
        <v>-25.639775283421468</v>
      </c>
      <c r="S65" s="30">
        <v>13.998969275161643</v>
      </c>
      <c r="T65" s="30">
        <v>0.29234604685370918</v>
      </c>
    </row>
    <row r="66" spans="10:20" x14ac:dyDescent="0.25">
      <c r="J66" s="10"/>
      <c r="K66" s="10"/>
      <c r="L66" s="10" t="s">
        <v>39</v>
      </c>
      <c r="M66" s="10" t="s">
        <v>101</v>
      </c>
      <c r="N66" s="10"/>
      <c r="O66" s="30">
        <v>24.632176774891988</v>
      </c>
      <c r="P66" s="30">
        <v>2.4990414037794175</v>
      </c>
      <c r="Q66" s="30">
        <v>-20.443083953925637</v>
      </c>
      <c r="R66" s="30">
        <v>-2.5427316520724599</v>
      </c>
      <c r="S66" s="30">
        <v>-16.419913662175347</v>
      </c>
      <c r="T66" s="30">
        <v>7.4058741939648495E-2</v>
      </c>
    </row>
    <row r="67" spans="10:20" x14ac:dyDescent="0.25">
      <c r="J67" s="10"/>
      <c r="K67" s="10"/>
      <c r="L67" s="10" t="s">
        <v>39</v>
      </c>
      <c r="M67" s="10" t="s">
        <v>102</v>
      </c>
      <c r="N67" s="10"/>
      <c r="O67" s="30">
        <v>33.418343041061185</v>
      </c>
      <c r="P67" s="30">
        <v>1.4424305322292221</v>
      </c>
      <c r="Q67" s="30">
        <v>-9.0113122059891158</v>
      </c>
      <c r="R67" s="30">
        <v>-1.3956711680538378</v>
      </c>
      <c r="S67" s="30">
        <v>-24.676671576802256</v>
      </c>
      <c r="T67" s="30">
        <v>6.4882923626455355E-2</v>
      </c>
    </row>
    <row r="68" spans="10:20" x14ac:dyDescent="0.25">
      <c r="J68" s="10"/>
      <c r="K68" s="10"/>
      <c r="L68" s="10" t="s">
        <v>39</v>
      </c>
      <c r="M68" s="10" t="s">
        <v>103</v>
      </c>
      <c r="N68" s="10"/>
      <c r="O68" s="30">
        <v>-9.3225552704069106</v>
      </c>
      <c r="P68" s="30">
        <v>0.59502971362392287</v>
      </c>
      <c r="Q68" s="30">
        <v>58.026395632044839</v>
      </c>
      <c r="R68" s="30">
        <v>-0.80973024785774139</v>
      </c>
      <c r="S68" s="30">
        <v>15.848895962443454</v>
      </c>
      <c r="T68" s="30">
        <v>6.8810572942311571E-3</v>
      </c>
    </row>
    <row r="69" spans="10:20" x14ac:dyDescent="0.25">
      <c r="J69" s="10"/>
      <c r="K69" s="10"/>
      <c r="L69" s="10" t="s">
        <v>39</v>
      </c>
      <c r="M69" s="10" t="s">
        <v>104</v>
      </c>
      <c r="N69" s="10"/>
      <c r="O69" s="30">
        <v>-0.53063170333918419</v>
      </c>
      <c r="P69" s="30">
        <v>-0.45140003734122514</v>
      </c>
      <c r="Q69" s="30">
        <v>69.477368393293347</v>
      </c>
      <c r="R69" s="30">
        <v>0.338794355268908</v>
      </c>
      <c r="S69" s="30">
        <v>7.5874459445438962</v>
      </c>
      <c r="T69" s="30">
        <v>-2.014394112027959E-3</v>
      </c>
    </row>
    <row r="70" spans="10:20" x14ac:dyDescent="0.25">
      <c r="J70" s="10"/>
      <c r="K70" s="10"/>
      <c r="L70" s="10" t="s">
        <v>39</v>
      </c>
      <c r="M70" s="10" t="s">
        <v>105</v>
      </c>
      <c r="N70" s="10"/>
      <c r="O70" s="30">
        <v>-14.595289001019138</v>
      </c>
      <c r="P70" s="30">
        <v>-8.2706536943166853</v>
      </c>
      <c r="Q70" s="30">
        <v>55.786121561723419</v>
      </c>
      <c r="R70" s="30">
        <v>14.332073405287673</v>
      </c>
      <c r="S70" s="30">
        <v>21.110219484891221</v>
      </c>
      <c r="T70" s="30">
        <v>-9.8677442397905449E-2</v>
      </c>
    </row>
    <row r="71" spans="10:20" x14ac:dyDescent="0.25">
      <c r="J71" s="10"/>
      <c r="K71" s="10"/>
      <c r="L71" s="10" t="s">
        <v>39</v>
      </c>
      <c r="M71" s="10" t="s">
        <v>106</v>
      </c>
      <c r="N71" s="10"/>
      <c r="O71" s="30">
        <v>-5.8052455002875387</v>
      </c>
      <c r="P71" s="30">
        <v>-15.040504692897484</v>
      </c>
      <c r="Q71" s="30">
        <v>95.581546231664262</v>
      </c>
      <c r="R71" s="30">
        <v>27.838537704213394</v>
      </c>
      <c r="S71" s="30">
        <v>13.084299701528515</v>
      </c>
      <c r="T71" s="30">
        <v>-0.25525197004999445</v>
      </c>
    </row>
    <row r="72" spans="10:20" x14ac:dyDescent="0.25">
      <c r="J72" s="10"/>
      <c r="K72" s="10"/>
      <c r="L72" s="10" t="s">
        <v>39</v>
      </c>
      <c r="M72" s="10" t="s">
        <v>107</v>
      </c>
      <c r="N72" s="10"/>
      <c r="O72" s="30">
        <v>-14.502456865251633</v>
      </c>
      <c r="P72" s="30">
        <v>5.2083391566629302</v>
      </c>
      <c r="Q72" s="30">
        <v>53.803809542639272</v>
      </c>
      <c r="R72" s="30">
        <v>-10.986241470623344</v>
      </c>
      <c r="S72" s="30">
        <v>21.026046689740078</v>
      </c>
      <c r="T72" s="30">
        <v>8.7890110791457018E-2</v>
      </c>
    </row>
    <row r="73" spans="10:20" x14ac:dyDescent="0.25">
      <c r="J73" s="10"/>
      <c r="K73" s="10"/>
      <c r="L73" s="10" t="s">
        <v>39</v>
      </c>
      <c r="M73" s="10" t="s">
        <v>108</v>
      </c>
      <c r="N73" s="10"/>
      <c r="O73" s="30">
        <v>-5.6469599458239328</v>
      </c>
      <c r="P73" s="30">
        <v>10.112380428406533</v>
      </c>
      <c r="Q73" s="30">
        <v>69.110427220285871</v>
      </c>
      <c r="R73" s="30">
        <v>-23.175047135711985</v>
      </c>
      <c r="S73" s="30">
        <v>12.736564382065596</v>
      </c>
      <c r="T73" s="30">
        <v>0.25034178983994154</v>
      </c>
    </row>
    <row r="74" spans="10:20" x14ac:dyDescent="0.25">
      <c r="J74" s="10"/>
      <c r="K74" s="10"/>
      <c r="L74" s="10" t="s">
        <v>39</v>
      </c>
      <c r="M74" s="10" t="s">
        <v>109</v>
      </c>
      <c r="N74" s="10"/>
      <c r="O74" s="30">
        <v>26.529840639256101</v>
      </c>
      <c r="P74" s="30">
        <v>2.8965366759941999</v>
      </c>
      <c r="Q74" s="30">
        <v>-32.142932518767161</v>
      </c>
      <c r="R74" s="30">
        <v>-2.931355798967521</v>
      </c>
      <c r="S74" s="30">
        <v>-18.281755901341281</v>
      </c>
      <c r="T74" s="30">
        <v>8.5060683129533826E-2</v>
      </c>
    </row>
    <row r="75" spans="10:20" x14ac:dyDescent="0.25">
      <c r="J75" s="10"/>
      <c r="K75" s="10"/>
      <c r="L75" s="10" t="s">
        <v>39</v>
      </c>
      <c r="M75" s="10" t="s">
        <v>110</v>
      </c>
      <c r="N75" s="10"/>
      <c r="O75" s="30">
        <v>36.292247601666318</v>
      </c>
      <c r="P75" s="30">
        <v>1.7225245964939819</v>
      </c>
      <c r="Q75" s="30">
        <v>-19.44096390994881</v>
      </c>
      <c r="R75" s="30">
        <v>-1.6568441500579405</v>
      </c>
      <c r="S75" s="30">
        <v>-27.455931362037841</v>
      </c>
      <c r="T75" s="30">
        <v>7.4865329448208104E-2</v>
      </c>
    </row>
    <row r="76" spans="10:20" x14ac:dyDescent="0.25">
      <c r="J76" s="10"/>
      <c r="K76" s="10"/>
      <c r="L76" s="10" t="s">
        <v>39</v>
      </c>
      <c r="M76" s="10" t="s">
        <v>111</v>
      </c>
      <c r="N76" s="10"/>
      <c r="O76" s="30">
        <v>-11.197639411076006</v>
      </c>
      <c r="P76" s="30">
        <v>0.78096813137698295</v>
      </c>
      <c r="Q76" s="30">
        <v>55.045378132311143</v>
      </c>
      <c r="R76" s="30">
        <v>-1.0057986831733892</v>
      </c>
      <c r="S76" s="30">
        <v>17.572477014901832</v>
      </c>
      <c r="T76" s="30">
        <v>1.0418811301292321E-2</v>
      </c>
    </row>
    <row r="77" spans="10:20" x14ac:dyDescent="0.25">
      <c r="J77" s="10"/>
      <c r="K77" s="10"/>
      <c r="L77" s="10" t="s">
        <v>39</v>
      </c>
      <c r="M77" s="10" t="s">
        <v>112</v>
      </c>
      <c r="N77" s="10"/>
      <c r="O77" s="30">
        <v>-1.4288354476674219</v>
      </c>
      <c r="P77" s="30">
        <v>-0.38173159191762607</v>
      </c>
      <c r="Q77" s="30">
        <v>67.768681200365037</v>
      </c>
      <c r="R77" s="30">
        <v>0.27033976474511023</v>
      </c>
      <c r="S77" s="30">
        <v>8.3930881061245479</v>
      </c>
      <c r="T77" s="30">
        <v>5.3497640544885672E-4</v>
      </c>
    </row>
    <row r="78" spans="10:20" x14ac:dyDescent="0.25">
      <c r="J78" s="10"/>
      <c r="K78" s="10"/>
      <c r="L78" s="10" t="s">
        <v>39</v>
      </c>
      <c r="M78" s="10" t="s">
        <v>113</v>
      </c>
      <c r="N78" s="10"/>
      <c r="O78" s="30">
        <v>-17.056232445089591</v>
      </c>
      <c r="P78" s="30">
        <v>-9.0697912107792469</v>
      </c>
      <c r="Q78" s="30">
        <v>52.556184720842907</v>
      </c>
      <c r="R78" s="30">
        <v>15.818427598099294</v>
      </c>
      <c r="S78" s="30">
        <v>23.418392039843798</v>
      </c>
      <c r="T78" s="30">
        <v>-0.10686841057885944</v>
      </c>
    </row>
    <row r="79" spans="10:20" x14ac:dyDescent="0.25">
      <c r="J79" s="10"/>
      <c r="K79" s="10"/>
      <c r="L79" s="10" t="s">
        <v>39</v>
      </c>
      <c r="M79" s="10" t="s">
        <v>114</v>
      </c>
      <c r="N79" s="10"/>
      <c r="O79" s="30">
        <v>-7.2895174442767052</v>
      </c>
      <c r="P79" s="30">
        <v>-16.591847875869021</v>
      </c>
      <c r="Q79" s="30">
        <v>96.773323242999396</v>
      </c>
      <c r="R79" s="30">
        <v>30.825610152461209</v>
      </c>
      <c r="S79" s="30">
        <v>14.500703391663013</v>
      </c>
      <c r="T79" s="30">
        <v>-0.28084010797006942</v>
      </c>
    </row>
    <row r="80" spans="10:20" x14ac:dyDescent="0.25">
      <c r="J80" s="10"/>
      <c r="K80" s="10"/>
      <c r="L80" s="10" t="s">
        <v>39</v>
      </c>
      <c r="M80" s="10" t="s">
        <v>115</v>
      </c>
      <c r="N80" s="10"/>
      <c r="O80" s="30">
        <v>-16.95308562757014</v>
      </c>
      <c r="P80" s="30">
        <v>5.9068675125314369</v>
      </c>
      <c r="Q80" s="30">
        <v>50.35361581074941</v>
      </c>
      <c r="R80" s="30">
        <v>-12.313033375135172</v>
      </c>
      <c r="S80" s="30">
        <v>23.324866711898085</v>
      </c>
      <c r="T80" s="30">
        <v>0.1004288707426544</v>
      </c>
    </row>
    <row r="81" spans="10:20" x14ac:dyDescent="0.25">
      <c r="J81" s="10"/>
      <c r="K81" s="10"/>
      <c r="L81" s="10" t="s">
        <v>39</v>
      </c>
      <c r="M81" s="10" t="s">
        <v>116</v>
      </c>
      <c r="N81" s="10"/>
      <c r="O81" s="30">
        <v>-7.1136446059838088</v>
      </c>
      <c r="P81" s="30">
        <v>11.355802258913217</v>
      </c>
      <c r="Q81" s="30">
        <v>67.360968785912291</v>
      </c>
      <c r="R81" s="30">
        <v>-25.856150780789211</v>
      </c>
      <c r="S81" s="30">
        <v>14.114330814481992</v>
      </c>
      <c r="T81" s="30">
        <v>0.28093073635208171</v>
      </c>
    </row>
    <row r="82" spans="10:20" x14ac:dyDescent="0.25">
      <c r="J82" s="10"/>
      <c r="K82" s="10"/>
      <c r="L82" s="10" t="s">
        <v>40</v>
      </c>
      <c r="M82" s="10" t="s">
        <v>91</v>
      </c>
      <c r="N82" s="10"/>
      <c r="O82" s="30">
        <v>-2.479324050052923E-2</v>
      </c>
      <c r="P82" s="30">
        <v>4.1746862767236509E-4</v>
      </c>
      <c r="Q82" s="30">
        <v>49.093949927598736</v>
      </c>
      <c r="R82" s="30">
        <v>-5.5862971402328141E-4</v>
      </c>
      <c r="S82" s="30">
        <v>-0.56617945850187057</v>
      </c>
      <c r="T82" s="30">
        <v>3.4682713431876376E-4</v>
      </c>
    </row>
    <row r="83" spans="10:20" x14ac:dyDescent="0.25">
      <c r="J83" s="10"/>
      <c r="K83" s="10"/>
      <c r="L83" s="10" t="s">
        <v>40</v>
      </c>
      <c r="M83" s="10" t="s">
        <v>92</v>
      </c>
      <c r="N83" s="10"/>
      <c r="O83" s="30">
        <v>-5.3830675787918669E-2</v>
      </c>
      <c r="P83" s="30">
        <v>-3.5034583364280551E-4</v>
      </c>
      <c r="Q83" s="30">
        <v>65.322638589161954</v>
      </c>
      <c r="R83" s="30">
        <v>-1.4219109244466004E-3</v>
      </c>
      <c r="S83" s="30">
        <v>-0.95948529831812557</v>
      </c>
      <c r="T83" s="30">
        <v>-3.0566217194703322E-4</v>
      </c>
    </row>
    <row r="84" spans="10:20" x14ac:dyDescent="0.25">
      <c r="J84" s="10"/>
      <c r="K84" s="10"/>
      <c r="L84" s="10" t="s">
        <v>40</v>
      </c>
      <c r="M84" s="10" t="s">
        <v>93</v>
      </c>
      <c r="N84" s="10"/>
      <c r="O84" s="30">
        <v>-26.63526686323565</v>
      </c>
      <c r="P84" s="30">
        <v>8.0115732250798915E-3</v>
      </c>
      <c r="Q84" s="30">
        <v>-30.91722305246493</v>
      </c>
      <c r="R84" s="30">
        <v>4.1637865972207148E-3</v>
      </c>
      <c r="S84" s="30">
        <v>-103.69698376102362</v>
      </c>
      <c r="T84" s="30">
        <v>-1.0978318838782076E-2</v>
      </c>
    </row>
    <row r="85" spans="10:20" x14ac:dyDescent="0.25">
      <c r="J85" s="10"/>
      <c r="K85" s="10"/>
      <c r="L85" s="10" t="s">
        <v>40</v>
      </c>
      <c r="M85" s="10" t="s">
        <v>94</v>
      </c>
      <c r="N85" s="10"/>
      <c r="O85" s="30">
        <v>-46.953229971440095</v>
      </c>
      <c r="P85" s="30">
        <v>6.4303291677410583E-3</v>
      </c>
      <c r="Q85" s="30">
        <v>-10.502372548762816</v>
      </c>
      <c r="R85" s="30">
        <v>4.3053864398340724E-3</v>
      </c>
      <c r="S85" s="30">
        <v>-178.680269923727</v>
      </c>
      <c r="T85" s="30">
        <v>-1.8774503083995937E-2</v>
      </c>
    </row>
    <row r="86" spans="10:20" x14ac:dyDescent="0.25">
      <c r="J86" s="10"/>
      <c r="K86" s="10"/>
      <c r="L86" s="10" t="s">
        <v>40</v>
      </c>
      <c r="M86" s="10" t="s">
        <v>95</v>
      </c>
      <c r="N86" s="10"/>
      <c r="O86" s="30">
        <v>26.744627240523652</v>
      </c>
      <c r="P86" s="30">
        <v>3.3015830617349829E-3</v>
      </c>
      <c r="Q86" s="30">
        <v>9.8558935656184747</v>
      </c>
      <c r="R86" s="30">
        <v>-9.5682982476215004E-4</v>
      </c>
      <c r="S86" s="30">
        <v>104.72384621098011</v>
      </c>
      <c r="T86" s="30">
        <v>1.6385743475726865E-2</v>
      </c>
    </row>
    <row r="87" spans="10:20" x14ac:dyDescent="0.25">
      <c r="J87" s="10"/>
      <c r="K87" s="10"/>
      <c r="L87" s="10" t="s">
        <v>40</v>
      </c>
      <c r="M87" s="10" t="s">
        <v>96</v>
      </c>
      <c r="N87" s="10"/>
      <c r="O87" s="30">
        <v>6.4257913161252596</v>
      </c>
      <c r="P87" s="30">
        <v>1.6457354800032832E-3</v>
      </c>
      <c r="Q87" s="30">
        <v>30.286060555965676</v>
      </c>
      <c r="R87" s="30">
        <v>-7.4522660088606192E-4</v>
      </c>
      <c r="S87" s="30">
        <v>29.72869820585748</v>
      </c>
      <c r="T87" s="30">
        <v>8.5854223384346767E-3</v>
      </c>
    </row>
    <row r="88" spans="10:20" x14ac:dyDescent="0.25">
      <c r="J88" s="10"/>
      <c r="K88" s="10"/>
      <c r="L88" s="10" t="s">
        <v>40</v>
      </c>
      <c r="M88" s="10" t="s">
        <v>97</v>
      </c>
      <c r="N88" s="10"/>
      <c r="O88" s="30">
        <v>50.768717127602173</v>
      </c>
      <c r="P88" s="30">
        <v>1.0118049754551977</v>
      </c>
      <c r="Q88" s="30">
        <v>4.9611698660399917</v>
      </c>
      <c r="R88" s="30">
        <v>1.6560303578478821</v>
      </c>
      <c r="S88" s="30">
        <v>186.86314435437183</v>
      </c>
      <c r="T88" s="30">
        <v>2.5369381745192137E-2</v>
      </c>
    </row>
    <row r="89" spans="10:20" x14ac:dyDescent="0.25">
      <c r="J89" s="10"/>
      <c r="K89" s="10"/>
      <c r="L89" s="10" t="s">
        <v>40</v>
      </c>
      <c r="M89" s="10" t="s">
        <v>98</v>
      </c>
      <c r="N89" s="10"/>
      <c r="O89" s="30">
        <v>30.370090453152468</v>
      </c>
      <c r="P89" s="30">
        <v>3.774290945213751</v>
      </c>
      <c r="Q89" s="30">
        <v>59.046615237065652</v>
      </c>
      <c r="R89" s="30">
        <v>2.9700111225887276</v>
      </c>
      <c r="S89" s="30">
        <v>110.77705923926749</v>
      </c>
      <c r="T89" s="30">
        <v>2.8868058381985133E-2</v>
      </c>
    </row>
    <row r="90" spans="10:20" x14ac:dyDescent="0.25">
      <c r="J90" s="10"/>
      <c r="K90" s="10"/>
      <c r="L90" s="10" t="s">
        <v>40</v>
      </c>
      <c r="M90" s="10" t="s">
        <v>99</v>
      </c>
      <c r="N90" s="10"/>
      <c r="O90" s="30">
        <v>50.767492425779814</v>
      </c>
      <c r="P90" s="30">
        <v>-1.0104144259342482</v>
      </c>
      <c r="Q90" s="30">
        <v>4.8748023878463567</v>
      </c>
      <c r="R90" s="30">
        <v>-1.6559636111659657</v>
      </c>
      <c r="S90" s="30">
        <v>186.86831717719366</v>
      </c>
      <c r="T90" s="30">
        <v>1.3747869822231409E-2</v>
      </c>
    </row>
    <row r="91" spans="10:20" x14ac:dyDescent="0.25">
      <c r="J91" s="10"/>
      <c r="K91" s="10"/>
      <c r="L91" s="10" t="s">
        <v>40</v>
      </c>
      <c r="M91" s="10" t="s">
        <v>100</v>
      </c>
      <c r="N91" s="10"/>
      <c r="O91" s="30">
        <v>30.369569208188722</v>
      </c>
      <c r="P91" s="30">
        <v>-3.7700957205376713</v>
      </c>
      <c r="Q91" s="30">
        <v>58.856671923051998</v>
      </c>
      <c r="R91" s="30">
        <v>-2.9741772122783523</v>
      </c>
      <c r="S91" s="30">
        <v>110.82632492221427</v>
      </c>
      <c r="T91" s="30">
        <v>-7.5991882305178997E-3</v>
      </c>
    </row>
    <row r="92" spans="10:20" x14ac:dyDescent="0.25">
      <c r="J92" s="10"/>
      <c r="K92" s="10"/>
      <c r="L92" s="10" t="s">
        <v>40</v>
      </c>
      <c r="M92" s="10" t="s">
        <v>101</v>
      </c>
      <c r="N92" s="10"/>
      <c r="O92" s="30">
        <v>-24.003256936249525</v>
      </c>
      <c r="P92" s="30">
        <v>6.4843483040239675E-3</v>
      </c>
      <c r="Q92" s="30">
        <v>-6.6874170928953447</v>
      </c>
      <c r="R92" s="30">
        <v>2.8282637556729961E-3</v>
      </c>
      <c r="S92" s="30">
        <v>-93.777209170587696</v>
      </c>
      <c r="T92" s="30">
        <v>-1.049829354773779E-2</v>
      </c>
    </row>
    <row r="93" spans="10:20" x14ac:dyDescent="0.25">
      <c r="J93" s="10"/>
      <c r="K93" s="10"/>
      <c r="L93" s="10" t="s">
        <v>40</v>
      </c>
      <c r="M93" s="10" t="s">
        <v>102</v>
      </c>
      <c r="N93" s="10"/>
      <c r="O93" s="30">
        <v>-42.289423733633527</v>
      </c>
      <c r="P93" s="30">
        <v>5.0612286524190191E-3</v>
      </c>
      <c r="Q93" s="30">
        <v>11.68594836043655</v>
      </c>
      <c r="R93" s="30">
        <v>2.9557036140250184E-3</v>
      </c>
      <c r="S93" s="30">
        <v>-161.2621667170207</v>
      </c>
      <c r="T93" s="30">
        <v>-1.7514859368430263E-2</v>
      </c>
    </row>
    <row r="94" spans="10:20" x14ac:dyDescent="0.25">
      <c r="J94" s="10"/>
      <c r="K94" s="10"/>
      <c r="L94" s="10" t="s">
        <v>40</v>
      </c>
      <c r="M94" s="10" t="s">
        <v>103</v>
      </c>
      <c r="N94" s="10"/>
      <c r="O94" s="30">
        <v>24.038647757133841</v>
      </c>
      <c r="P94" s="30">
        <v>2.2453571570135514E-3</v>
      </c>
      <c r="Q94" s="30">
        <v>30.008387863379717</v>
      </c>
      <c r="R94" s="30">
        <v>-1.7802910241115823E-3</v>
      </c>
      <c r="S94" s="30">
        <v>93.80153780421567</v>
      </c>
      <c r="T94" s="30">
        <v>1.4129362535320258E-2</v>
      </c>
    </row>
    <row r="95" spans="10:20" x14ac:dyDescent="0.25">
      <c r="J95" s="10"/>
      <c r="K95" s="10"/>
      <c r="L95" s="10" t="s">
        <v>40</v>
      </c>
      <c r="M95" s="10" t="s">
        <v>104</v>
      </c>
      <c r="N95" s="10"/>
      <c r="O95" s="30">
        <v>5.7516954251752912</v>
      </c>
      <c r="P95" s="30">
        <v>7.5509433345502096E-4</v>
      </c>
      <c r="Q95" s="30">
        <v>48.395538154692197</v>
      </c>
      <c r="R95" s="30">
        <v>-1.5898481226231029E-3</v>
      </c>
      <c r="S95" s="30">
        <v>26.305904599605295</v>
      </c>
      <c r="T95" s="30">
        <v>7.1090735117572872E-3</v>
      </c>
    </row>
    <row r="96" spans="10:20" x14ac:dyDescent="0.25">
      <c r="J96" s="10"/>
      <c r="K96" s="10"/>
      <c r="L96" s="10" t="s">
        <v>40</v>
      </c>
      <c r="M96" s="10" t="s">
        <v>105</v>
      </c>
      <c r="N96" s="10"/>
      <c r="O96" s="30">
        <v>45.660328655504507</v>
      </c>
      <c r="P96" s="30">
        <v>0.90989841031112995</v>
      </c>
      <c r="Q96" s="30">
        <v>25.603136533759077</v>
      </c>
      <c r="R96" s="30">
        <v>1.4895081778812684</v>
      </c>
      <c r="S96" s="30">
        <v>167.72690613326822</v>
      </c>
      <c r="T96" s="30">
        <v>2.2214636977839E-2</v>
      </c>
    </row>
    <row r="97" spans="10:20" x14ac:dyDescent="0.25">
      <c r="J97" s="10"/>
      <c r="K97" s="10"/>
      <c r="L97" s="10" t="s">
        <v>40</v>
      </c>
      <c r="M97" s="10" t="s">
        <v>106</v>
      </c>
      <c r="N97" s="10"/>
      <c r="O97" s="30">
        <v>27.301564648499781</v>
      </c>
      <c r="P97" s="30">
        <v>3.3961357830938286</v>
      </c>
      <c r="Q97" s="30">
        <v>74.280037367682183</v>
      </c>
      <c r="R97" s="30">
        <v>2.6720908661480292</v>
      </c>
      <c r="S97" s="30">
        <v>99.249429529674302</v>
      </c>
      <c r="T97" s="30">
        <v>2.5363445950952697E-2</v>
      </c>
    </row>
    <row r="98" spans="10:20" x14ac:dyDescent="0.25">
      <c r="J98" s="10"/>
      <c r="K98" s="10"/>
      <c r="L98" s="10" t="s">
        <v>40</v>
      </c>
      <c r="M98" s="10" t="s">
        <v>107</v>
      </c>
      <c r="N98" s="10"/>
      <c r="O98" s="30">
        <v>45.659226423864389</v>
      </c>
      <c r="P98" s="30">
        <v>-0.91009905093937138</v>
      </c>
      <c r="Q98" s="30">
        <v>25.525405803384807</v>
      </c>
      <c r="R98" s="30">
        <v>-1.4912863942311947</v>
      </c>
      <c r="S98" s="30">
        <v>167.73156167380787</v>
      </c>
      <c r="T98" s="30">
        <v>1.1755276247174347E-2</v>
      </c>
    </row>
    <row r="99" spans="10:20" x14ac:dyDescent="0.25">
      <c r="J99" s="10"/>
      <c r="K99" s="10"/>
      <c r="L99" s="10" t="s">
        <v>40</v>
      </c>
      <c r="M99" s="10" t="s">
        <v>108</v>
      </c>
      <c r="N99" s="10"/>
      <c r="O99" s="30">
        <v>27.301095528032409</v>
      </c>
      <c r="P99" s="30">
        <v>-3.393812216082452</v>
      </c>
      <c r="Q99" s="30">
        <v>74.109088385069882</v>
      </c>
      <c r="R99" s="30">
        <v>-2.677678635232343</v>
      </c>
      <c r="S99" s="30">
        <v>99.293768644326391</v>
      </c>
      <c r="T99" s="30">
        <v>-7.4570760003000308E-3</v>
      </c>
    </row>
    <row r="100" spans="10:20" x14ac:dyDescent="0.25">
      <c r="J100" s="10"/>
      <c r="K100" s="10"/>
      <c r="L100" s="10" t="s">
        <v>40</v>
      </c>
      <c r="M100" s="10" t="s">
        <v>109</v>
      </c>
      <c r="N100" s="10"/>
      <c r="O100" s="30">
        <v>-26.661400554994298</v>
      </c>
      <c r="P100" s="30">
        <v>7.3205402098962371E-3</v>
      </c>
      <c r="Q100" s="30">
        <v>-16.311403257058036</v>
      </c>
      <c r="R100" s="30">
        <v>3.3868335078397279E-3</v>
      </c>
      <c r="S100" s="30">
        <v>-104.05095901685824</v>
      </c>
      <c r="T100" s="30">
        <v>-1.1565559214421295E-2</v>
      </c>
    </row>
    <row r="101" spans="10:20" x14ac:dyDescent="0.25">
      <c r="J101" s="10"/>
      <c r="K101" s="10"/>
      <c r="L101" s="10" t="s">
        <v>40</v>
      </c>
      <c r="M101" s="10" t="s">
        <v>110</v>
      </c>
      <c r="N101" s="10"/>
      <c r="O101" s="30">
        <v>-46.979363663198747</v>
      </c>
      <c r="P101" s="30">
        <v>5.7392961525574047E-3</v>
      </c>
      <c r="Q101" s="30">
        <v>4.1034472466440777</v>
      </c>
      <c r="R101" s="30">
        <v>3.5284333504530859E-3</v>
      </c>
      <c r="S101" s="30">
        <v>-179.03424517956162</v>
      </c>
      <c r="T101" s="30">
        <v>-1.936174345963515E-2</v>
      </c>
    </row>
    <row r="102" spans="10:20" x14ac:dyDescent="0.25">
      <c r="J102" s="10"/>
      <c r="K102" s="10"/>
      <c r="L102" s="10" t="s">
        <v>40</v>
      </c>
      <c r="M102" s="10" t="s">
        <v>111</v>
      </c>
      <c r="N102" s="10"/>
      <c r="O102" s="30">
        <v>26.718493548765004</v>
      </c>
      <c r="P102" s="30">
        <v>2.6105500465513293E-3</v>
      </c>
      <c r="Q102" s="30">
        <v>24.461713361025367</v>
      </c>
      <c r="R102" s="30">
        <v>-1.7337829141431372E-3</v>
      </c>
      <c r="S102" s="30">
        <v>104.3698709551455</v>
      </c>
      <c r="T102" s="30">
        <v>1.5798503100087648E-2</v>
      </c>
    </row>
    <row r="103" spans="10:20" x14ac:dyDescent="0.25">
      <c r="J103" s="10"/>
      <c r="K103" s="10"/>
      <c r="L103" s="10" t="s">
        <v>40</v>
      </c>
      <c r="M103" s="10" t="s">
        <v>112</v>
      </c>
      <c r="N103" s="10"/>
      <c r="O103" s="30">
        <v>6.3996576243666095</v>
      </c>
      <c r="P103" s="30">
        <v>9.5470246481962949E-4</v>
      </c>
      <c r="Q103" s="30">
        <v>44.891880351372571</v>
      </c>
      <c r="R103" s="30">
        <v>-1.5221796902670491E-3</v>
      </c>
      <c r="S103" s="30">
        <v>29.374722950022853</v>
      </c>
      <c r="T103" s="30">
        <v>7.9981819627954597E-3</v>
      </c>
    </row>
    <row r="104" spans="10:20" x14ac:dyDescent="0.25">
      <c r="J104" s="10"/>
      <c r="K104" s="10"/>
      <c r="L104" s="10" t="s">
        <v>40</v>
      </c>
      <c r="M104" s="10" t="s">
        <v>113</v>
      </c>
      <c r="N104" s="10"/>
      <c r="O104" s="30">
        <v>50.742583435843521</v>
      </c>
      <c r="P104" s="30">
        <v>1.011113942440014</v>
      </c>
      <c r="Q104" s="30">
        <v>19.566989661446886</v>
      </c>
      <c r="R104" s="30">
        <v>1.6552534047585012</v>
      </c>
      <c r="S104" s="30">
        <v>186.5091690985372</v>
      </c>
      <c r="T104" s="30">
        <v>2.478214136955292E-2</v>
      </c>
    </row>
    <row r="105" spans="10:20" x14ac:dyDescent="0.25">
      <c r="J105" s="10"/>
      <c r="K105" s="10"/>
      <c r="L105" s="10" t="s">
        <v>40</v>
      </c>
      <c r="M105" s="10" t="s">
        <v>114</v>
      </c>
      <c r="N105" s="10"/>
      <c r="O105" s="30">
        <v>30.343956761393816</v>
      </c>
      <c r="P105" s="30">
        <v>3.7735999121985677</v>
      </c>
      <c r="Q105" s="30">
        <v>73.652435032472539</v>
      </c>
      <c r="R105" s="30">
        <v>2.9692341694993467</v>
      </c>
      <c r="S105" s="30">
        <v>110.42308398343286</v>
      </c>
      <c r="T105" s="30">
        <v>2.828081800634592E-2</v>
      </c>
    </row>
    <row r="106" spans="10:20" x14ac:dyDescent="0.25">
      <c r="J106" s="10"/>
      <c r="K106" s="10"/>
      <c r="L106" s="10" t="s">
        <v>40</v>
      </c>
      <c r="M106" s="10" t="s">
        <v>115</v>
      </c>
      <c r="N106" s="10"/>
      <c r="O106" s="30">
        <v>50.741358734021162</v>
      </c>
      <c r="P106" s="30">
        <v>-1.0111054589494319</v>
      </c>
      <c r="Q106" s="30">
        <v>19.480622183253249</v>
      </c>
      <c r="R106" s="30">
        <v>-1.6567405642553465</v>
      </c>
      <c r="S106" s="30">
        <v>186.51434192135901</v>
      </c>
      <c r="T106" s="30">
        <v>1.3160629446592192E-2</v>
      </c>
    </row>
    <row r="107" spans="10:20" x14ac:dyDescent="0.25">
      <c r="J107" s="10"/>
      <c r="K107" s="10"/>
      <c r="L107" s="10" t="s">
        <v>40</v>
      </c>
      <c r="M107" s="10" t="s">
        <v>116</v>
      </c>
      <c r="N107" s="10"/>
      <c r="O107" s="30">
        <v>30.343435516430073</v>
      </c>
      <c r="P107" s="30">
        <v>-3.770786753552855</v>
      </c>
      <c r="Q107" s="30">
        <v>73.462491718458878</v>
      </c>
      <c r="R107" s="30">
        <v>-2.9749541653677336</v>
      </c>
      <c r="S107" s="30">
        <v>110.47234966637964</v>
      </c>
      <c r="T107" s="30">
        <v>-8.1864286061571166E-3</v>
      </c>
    </row>
    <row r="108" spans="10:20" x14ac:dyDescent="0.25">
      <c r="J108" s="10"/>
      <c r="K108" s="10"/>
      <c r="L108" s="10" t="s">
        <v>41</v>
      </c>
      <c r="M108" s="10" t="s">
        <v>91</v>
      </c>
      <c r="N108" s="10"/>
      <c r="O108" s="30">
        <v>7.5483338096260075</v>
      </c>
      <c r="P108" s="30">
        <v>1.3868103124079165</v>
      </c>
      <c r="Q108" s="30">
        <v>58.484888394832169</v>
      </c>
      <c r="R108" s="30">
        <v>-1.4179469694461724</v>
      </c>
      <c r="S108" s="30">
        <v>3.7479952391131298E-2</v>
      </c>
      <c r="T108" s="30">
        <v>1.094119151857293E-3</v>
      </c>
    </row>
    <row r="109" spans="10:20" x14ac:dyDescent="0.25">
      <c r="J109" s="10"/>
      <c r="K109" s="10"/>
      <c r="L109" s="10" t="s">
        <v>41</v>
      </c>
      <c r="M109" s="10" t="s">
        <v>92</v>
      </c>
      <c r="N109" s="10"/>
      <c r="O109" s="30">
        <v>7.0534040499504256</v>
      </c>
      <c r="P109" s="30">
        <v>1.2284776633417327</v>
      </c>
      <c r="Q109" s="30">
        <v>72.059672619009774</v>
      </c>
      <c r="R109" s="30">
        <v>-1.1921278589632043</v>
      </c>
      <c r="S109" s="30">
        <v>7.0037178472466072E-2</v>
      </c>
      <c r="T109" s="30">
        <v>1.3156162807387427E-2</v>
      </c>
    </row>
    <row r="110" spans="10:20" x14ac:dyDescent="0.25">
      <c r="J110" s="10"/>
      <c r="K110" s="10"/>
      <c r="L110" s="10" t="s">
        <v>41</v>
      </c>
      <c r="M110" s="10" t="s">
        <v>93</v>
      </c>
      <c r="N110" s="10"/>
      <c r="O110" s="30">
        <v>31.468871159126245</v>
      </c>
      <c r="P110" s="30">
        <v>-2.7883090338848127</v>
      </c>
      <c r="Q110" s="30">
        <v>-36.904231145858681</v>
      </c>
      <c r="R110" s="30">
        <v>2.8039533890846728</v>
      </c>
      <c r="S110" s="30">
        <v>-15.324727730729048</v>
      </c>
      <c r="T110" s="30">
        <v>-8.949827991508702E-2</v>
      </c>
    </row>
    <row r="111" spans="10:20" x14ac:dyDescent="0.25">
      <c r="J111" s="10"/>
      <c r="K111" s="10"/>
      <c r="L111" s="10" t="s">
        <v>41</v>
      </c>
      <c r="M111" s="10" t="s">
        <v>94</v>
      </c>
      <c r="N111" s="10"/>
      <c r="O111" s="30">
        <v>41.968646932414465</v>
      </c>
      <c r="P111" s="30">
        <v>-1.6090893598239804</v>
      </c>
      <c r="Q111" s="30">
        <v>-21.121765152461919</v>
      </c>
      <c r="R111" s="30">
        <v>1.5271613668214914</v>
      </c>
      <c r="S111" s="30">
        <v>-23.303922339227135</v>
      </c>
      <c r="T111" s="30">
        <v>-8.0466507702404683E-2</v>
      </c>
    </row>
    <row r="112" spans="10:20" x14ac:dyDescent="0.25">
      <c r="J112" s="10"/>
      <c r="K112" s="10"/>
      <c r="L112" s="10" t="s">
        <v>41</v>
      </c>
      <c r="M112" s="10" t="s">
        <v>95</v>
      </c>
      <c r="N112" s="10"/>
      <c r="O112" s="30">
        <v>-12.656794727488702</v>
      </c>
      <c r="P112" s="30">
        <v>-0.64386960044369845</v>
      </c>
      <c r="Q112" s="30">
        <v>36.270469005266172</v>
      </c>
      <c r="R112" s="30">
        <v>0.78505892585349091</v>
      </c>
      <c r="S112" s="30">
        <v>14.971580917033572</v>
      </c>
      <c r="T112" s="30">
        <v>-1.8978161415454081E-2</v>
      </c>
    </row>
    <row r="113" spans="10:20" x14ac:dyDescent="0.25">
      <c r="J113" s="10"/>
      <c r="K113" s="10"/>
      <c r="L113" s="10" t="s">
        <v>41</v>
      </c>
      <c r="M113" s="10" t="s">
        <v>96</v>
      </c>
      <c r="N113" s="10"/>
      <c r="O113" s="30">
        <v>-2.1493722818027958</v>
      </c>
      <c r="P113" s="30">
        <v>0.52414685386758808</v>
      </c>
      <c r="Q113" s="30">
        <v>52.077078704061023</v>
      </c>
      <c r="R113" s="30">
        <v>-0.49265771677287507</v>
      </c>
      <c r="S113" s="30">
        <v>6.9882551681649803</v>
      </c>
      <c r="T113" s="30">
        <v>-1.0292594725863743E-2</v>
      </c>
    </row>
    <row r="114" spans="10:20" x14ac:dyDescent="0.25">
      <c r="J114" s="10"/>
      <c r="K114" s="10"/>
      <c r="L114" s="10" t="s">
        <v>41</v>
      </c>
      <c r="M114" s="10" t="s">
        <v>97</v>
      </c>
      <c r="N114" s="10"/>
      <c r="O114" s="30">
        <v>-19.168570601309977</v>
      </c>
      <c r="P114" s="30">
        <v>-6.1041956565280664</v>
      </c>
      <c r="Q114" s="30">
        <v>29.867962563083687</v>
      </c>
      <c r="R114" s="30">
        <v>11.683635836330144</v>
      </c>
      <c r="S114" s="30">
        <v>20.081465676484008</v>
      </c>
      <c r="T114" s="30">
        <v>-4.3889927944588937E-2</v>
      </c>
    </row>
    <row r="115" spans="10:20" x14ac:dyDescent="0.25">
      <c r="J115" s="10"/>
      <c r="K115" s="10"/>
      <c r="L115" s="10" t="s">
        <v>41</v>
      </c>
      <c r="M115" s="10" t="s">
        <v>98</v>
      </c>
      <c r="N115" s="10"/>
      <c r="O115" s="30">
        <v>-8.8334614982580035</v>
      </c>
      <c r="P115" s="30">
        <v>-11.985268254144142</v>
      </c>
      <c r="Q115" s="30">
        <v>49.78585955261962</v>
      </c>
      <c r="R115" s="30">
        <v>24.690120050906273</v>
      </c>
      <c r="S115" s="30">
        <v>12.00614524387097</v>
      </c>
      <c r="T115" s="30">
        <v>-0.13430279208226381</v>
      </c>
    </row>
    <row r="116" spans="10:20" x14ac:dyDescent="0.25">
      <c r="J116" s="10"/>
      <c r="K116" s="10"/>
      <c r="L116" s="10" t="s">
        <v>41</v>
      </c>
      <c r="M116" s="10" t="s">
        <v>99</v>
      </c>
      <c r="N116" s="10"/>
      <c r="O116" s="30">
        <v>-19.313074583077167</v>
      </c>
      <c r="P116" s="30">
        <v>9.5572963254834615</v>
      </c>
      <c r="Q116" s="30">
        <v>32.070461062251539</v>
      </c>
      <c r="R116" s="30">
        <v>-15.623495202411704</v>
      </c>
      <c r="S116" s="30">
        <v>20.162528272290778</v>
      </c>
      <c r="T116" s="30">
        <v>2.7829279943552106E-2</v>
      </c>
    </row>
    <row r="117" spans="10:20" x14ac:dyDescent="0.25">
      <c r="J117" s="10"/>
      <c r="K117" s="10"/>
      <c r="L117" s="10" t="s">
        <v>41</v>
      </c>
      <c r="M117" s="10" t="s">
        <v>100</v>
      </c>
      <c r="N117" s="10"/>
      <c r="O117" s="30">
        <v>-9.9321789747221096</v>
      </c>
      <c r="P117" s="30">
        <v>17.50247645847001</v>
      </c>
      <c r="Q117" s="30">
        <v>78.918514484107149</v>
      </c>
      <c r="R117" s="30">
        <v>-30.138315750564832</v>
      </c>
      <c r="S117" s="30">
        <v>12.239876029221621</v>
      </c>
      <c r="T117" s="30">
        <v>0.11585903647397724</v>
      </c>
    </row>
    <row r="118" spans="10:20" x14ac:dyDescent="0.25">
      <c r="J118" s="10"/>
      <c r="K118" s="10"/>
      <c r="L118" s="10" t="s">
        <v>41</v>
      </c>
      <c r="M118" s="10" t="s">
        <v>101</v>
      </c>
      <c r="N118" s="10"/>
      <c r="O118" s="30">
        <v>28.581887664500638</v>
      </c>
      <c r="P118" s="30">
        <v>-2.5291297483217234</v>
      </c>
      <c r="Q118" s="30">
        <v>-13.790534967611991</v>
      </c>
      <c r="R118" s="30">
        <v>2.6075824637145559</v>
      </c>
      <c r="S118" s="30">
        <v>-13.755949736335698</v>
      </c>
      <c r="T118" s="30">
        <v>-6.8376996352862443E-2</v>
      </c>
    </row>
    <row r="119" spans="10:20" x14ac:dyDescent="0.25">
      <c r="J119" s="10"/>
      <c r="K119" s="10"/>
      <c r="L119" s="10" t="s">
        <v>41</v>
      </c>
      <c r="M119" s="10" t="s">
        <v>102</v>
      </c>
      <c r="N119" s="10"/>
      <c r="O119" s="30">
        <v>38.031685860460044</v>
      </c>
      <c r="P119" s="30">
        <v>-1.4678320416669743</v>
      </c>
      <c r="Q119" s="30">
        <v>0.4136844264450919</v>
      </c>
      <c r="R119" s="30">
        <v>1.4584696436776929</v>
      </c>
      <c r="S119" s="30">
        <v>-20.937224883983976</v>
      </c>
      <c r="T119" s="30">
        <v>-6.0248401361448357E-2</v>
      </c>
    </row>
    <row r="120" spans="10:20" x14ac:dyDescent="0.25">
      <c r="J120" s="10"/>
      <c r="K120" s="10"/>
      <c r="L120" s="10" t="s">
        <v>41</v>
      </c>
      <c r="M120" s="10" t="s">
        <v>103</v>
      </c>
      <c r="N120" s="10"/>
      <c r="O120" s="30">
        <v>-11.131211633452812</v>
      </c>
      <c r="P120" s="30">
        <v>-0.59913425822472088</v>
      </c>
      <c r="Q120" s="30">
        <v>52.066695168400372</v>
      </c>
      <c r="R120" s="30">
        <v>0.79057744680649278</v>
      </c>
      <c r="S120" s="30">
        <v>13.510728046650664</v>
      </c>
      <c r="T120" s="30">
        <v>-4.9088897031928083E-3</v>
      </c>
    </row>
    <row r="121" spans="10:20" x14ac:dyDescent="0.25">
      <c r="J121" s="10"/>
      <c r="K121" s="10"/>
      <c r="L121" s="10" t="s">
        <v>41</v>
      </c>
      <c r="M121" s="10" t="s">
        <v>104</v>
      </c>
      <c r="N121" s="10"/>
      <c r="O121" s="30">
        <v>-1.6745314323354965</v>
      </c>
      <c r="P121" s="30">
        <v>0.45208055065543717</v>
      </c>
      <c r="Q121" s="30">
        <v>66.292643897315742</v>
      </c>
      <c r="R121" s="30">
        <v>-0.35936753155723661</v>
      </c>
      <c r="S121" s="30">
        <v>6.3257348726689306</v>
      </c>
      <c r="T121" s="30">
        <v>2.9081203174384949E-3</v>
      </c>
    </row>
    <row r="122" spans="10:20" x14ac:dyDescent="0.25">
      <c r="J122" s="10"/>
      <c r="K122" s="10"/>
      <c r="L122" s="10" t="s">
        <v>41</v>
      </c>
      <c r="M122" s="10" t="s">
        <v>105</v>
      </c>
      <c r="N122" s="10"/>
      <c r="O122" s="30">
        <v>-16.991809919891963</v>
      </c>
      <c r="P122" s="30">
        <v>-5.513427708700652</v>
      </c>
      <c r="Q122" s="30">
        <v>46.304439370436135</v>
      </c>
      <c r="R122" s="30">
        <v>10.599296666235482</v>
      </c>
      <c r="S122" s="30">
        <v>18.109624330156056</v>
      </c>
      <c r="T122" s="30">
        <v>-2.7329479579414184E-2</v>
      </c>
    </row>
    <row r="123" spans="10:20" x14ac:dyDescent="0.25">
      <c r="J123" s="10"/>
      <c r="K123" s="10"/>
      <c r="L123" s="10" t="s">
        <v>41</v>
      </c>
      <c r="M123" s="10" t="s">
        <v>106</v>
      </c>
      <c r="N123" s="10"/>
      <c r="O123" s="30">
        <v>-7.6902117271451838</v>
      </c>
      <c r="P123" s="30">
        <v>-10.806393046555121</v>
      </c>
      <c r="Q123" s="30">
        <v>64.230546661018479</v>
      </c>
      <c r="R123" s="30">
        <v>22.305132459353992</v>
      </c>
      <c r="S123" s="30">
        <v>10.841835940804323</v>
      </c>
      <c r="T123" s="30">
        <v>-0.10870105730332159</v>
      </c>
    </row>
    <row r="124" spans="10:20" x14ac:dyDescent="0.25">
      <c r="J124" s="10"/>
      <c r="K124" s="10"/>
      <c r="L124" s="10" t="s">
        <v>41</v>
      </c>
      <c r="M124" s="10" t="s">
        <v>107</v>
      </c>
      <c r="N124" s="10"/>
      <c r="O124" s="30">
        <v>-17.121863503482434</v>
      </c>
      <c r="P124" s="30">
        <v>8.5819150751097215</v>
      </c>
      <c r="Q124" s="30">
        <v>48.286688019687197</v>
      </c>
      <c r="R124" s="30">
        <v>-13.977121268632184</v>
      </c>
      <c r="S124" s="30">
        <v>18.182580666382151</v>
      </c>
      <c r="T124" s="30">
        <v>3.7217807519912764E-2</v>
      </c>
    </row>
    <row r="125" spans="10:20" x14ac:dyDescent="0.25">
      <c r="J125" s="10"/>
      <c r="K125" s="10"/>
      <c r="L125" s="10" t="s">
        <v>41</v>
      </c>
      <c r="M125" s="10" t="s">
        <v>108</v>
      </c>
      <c r="N125" s="10"/>
      <c r="O125" s="30">
        <v>-8.6790574559628784</v>
      </c>
      <c r="P125" s="30">
        <v>15.732577194797615</v>
      </c>
      <c r="Q125" s="30">
        <v>90.449936099357245</v>
      </c>
      <c r="R125" s="30">
        <v>-27.040459761969998</v>
      </c>
      <c r="S125" s="30">
        <v>11.052193647619907</v>
      </c>
      <c r="T125" s="30">
        <v>0.11644458839729539</v>
      </c>
    </row>
    <row r="126" spans="10:20" x14ac:dyDescent="0.25">
      <c r="J126" s="10"/>
      <c r="K126" s="10"/>
      <c r="L126" s="10" t="s">
        <v>41</v>
      </c>
      <c r="M126" s="10" t="s">
        <v>109</v>
      </c>
      <c r="N126" s="10"/>
      <c r="O126" s="30">
        <v>31.023434375418219</v>
      </c>
      <c r="P126" s="30">
        <v>-2.9308084180443785</v>
      </c>
      <c r="Q126" s="30">
        <v>-24.686925344098835</v>
      </c>
      <c r="R126" s="30">
        <v>3.0071905885193444</v>
      </c>
      <c r="S126" s="30">
        <v>-15.295426227255847</v>
      </c>
      <c r="T126" s="30">
        <v>-7.8642440625109888E-2</v>
      </c>
    </row>
    <row r="127" spans="10:20" x14ac:dyDescent="0.25">
      <c r="J127" s="10"/>
      <c r="K127" s="10"/>
      <c r="L127" s="10" t="s">
        <v>41</v>
      </c>
      <c r="M127" s="10" t="s">
        <v>110</v>
      </c>
      <c r="N127" s="10"/>
      <c r="O127" s="30">
        <v>41.52321014870644</v>
      </c>
      <c r="P127" s="30">
        <v>-1.7515887439835458</v>
      </c>
      <c r="Q127" s="30">
        <v>-8.9044593507020746</v>
      </c>
      <c r="R127" s="30">
        <v>1.7303985662561627</v>
      </c>
      <c r="S127" s="30">
        <v>-23.274620835753932</v>
      </c>
      <c r="T127" s="30">
        <v>-6.9610668412427565E-2</v>
      </c>
    </row>
    <row r="128" spans="10:20" x14ac:dyDescent="0.25">
      <c r="J128" s="10"/>
      <c r="K128" s="10"/>
      <c r="L128" s="10" t="s">
        <v>41</v>
      </c>
      <c r="M128" s="10" t="s">
        <v>111</v>
      </c>
      <c r="N128" s="10"/>
      <c r="O128" s="30">
        <v>-13.102231511196727</v>
      </c>
      <c r="P128" s="30">
        <v>-0.78636898460326399</v>
      </c>
      <c r="Q128" s="30">
        <v>48.487774807026021</v>
      </c>
      <c r="R128" s="30">
        <v>0.98829612528816213</v>
      </c>
      <c r="S128" s="30">
        <v>15.000882420506773</v>
      </c>
      <c r="T128" s="30">
        <v>-8.1223221254769617E-3</v>
      </c>
    </row>
    <row r="129" spans="10:20" x14ac:dyDescent="0.25">
      <c r="J129" s="10"/>
      <c r="K129" s="10"/>
      <c r="L129" s="10" t="s">
        <v>41</v>
      </c>
      <c r="M129" s="10" t="s">
        <v>112</v>
      </c>
      <c r="N129" s="10"/>
      <c r="O129" s="30">
        <v>-2.5948090655108196</v>
      </c>
      <c r="P129" s="30">
        <v>0.38164746970802255</v>
      </c>
      <c r="Q129" s="30">
        <v>64.294384505820858</v>
      </c>
      <c r="R129" s="30">
        <v>-0.28942051733820379</v>
      </c>
      <c r="S129" s="30">
        <v>7.0175566716381823</v>
      </c>
      <c r="T129" s="30">
        <v>5.632445641133762E-4</v>
      </c>
    </row>
    <row r="130" spans="10:20" x14ac:dyDescent="0.25">
      <c r="J130" s="10"/>
      <c r="K130" s="10"/>
      <c r="L130" s="10" t="s">
        <v>41</v>
      </c>
      <c r="M130" s="10" t="s">
        <v>113</v>
      </c>
      <c r="N130" s="10"/>
      <c r="O130" s="30">
        <v>-19.614007385018002</v>
      </c>
      <c r="P130" s="30">
        <v>-6.2466950406876327</v>
      </c>
      <c r="Q130" s="30">
        <v>42.085268364843529</v>
      </c>
      <c r="R130" s="30">
        <v>11.886873035764816</v>
      </c>
      <c r="S130" s="30">
        <v>20.110767179957211</v>
      </c>
      <c r="T130" s="30">
        <v>-3.3034088654611819E-2</v>
      </c>
    </row>
    <row r="131" spans="10:20" x14ac:dyDescent="0.25">
      <c r="J131" s="10"/>
      <c r="K131" s="10"/>
      <c r="L131" s="10" t="s">
        <v>41</v>
      </c>
      <c r="M131" s="10" t="s">
        <v>114</v>
      </c>
      <c r="N131" s="10"/>
      <c r="O131" s="30">
        <v>-9.2788982819660291</v>
      </c>
      <c r="P131" s="30">
        <v>-12.127767638303709</v>
      </c>
      <c r="Q131" s="30">
        <v>62.003165354379462</v>
      </c>
      <c r="R131" s="30">
        <v>24.893357250340941</v>
      </c>
      <c r="S131" s="30">
        <v>12.035446747344173</v>
      </c>
      <c r="T131" s="30">
        <v>-0.12344695279228671</v>
      </c>
    </row>
    <row r="132" spans="10:20" x14ac:dyDescent="0.25">
      <c r="J132" s="10"/>
      <c r="K132" s="10"/>
      <c r="L132" s="10" t="s">
        <v>41</v>
      </c>
      <c r="M132" s="10" t="s">
        <v>115</v>
      </c>
      <c r="N132" s="10"/>
      <c r="O132" s="30">
        <v>-19.758511366785189</v>
      </c>
      <c r="P132" s="30">
        <v>9.4147969413238943</v>
      </c>
      <c r="Q132" s="30">
        <v>44.287766864011374</v>
      </c>
      <c r="R132" s="30">
        <v>-15.420258002977032</v>
      </c>
      <c r="S132" s="30">
        <v>20.191829775763981</v>
      </c>
      <c r="T132" s="30">
        <v>3.8685119233529228E-2</v>
      </c>
    </row>
    <row r="133" spans="10:20" x14ac:dyDescent="0.25">
      <c r="J133" s="10"/>
      <c r="K133" s="10"/>
      <c r="L133" s="10" t="s">
        <v>41</v>
      </c>
      <c r="M133" s="10" t="s">
        <v>116</v>
      </c>
      <c r="N133" s="10"/>
      <c r="O133" s="30">
        <v>-10.377615758430135</v>
      </c>
      <c r="P133" s="30">
        <v>17.359977074310446</v>
      </c>
      <c r="Q133" s="30">
        <v>91.135820285866998</v>
      </c>
      <c r="R133" s="30">
        <v>-29.935078551130161</v>
      </c>
      <c r="S133" s="30">
        <v>12.269177532694822</v>
      </c>
      <c r="T133" s="30">
        <v>0.12671487576395438</v>
      </c>
    </row>
    <row r="134" spans="10:20" x14ac:dyDescent="0.25">
      <c r="J134" s="10"/>
      <c r="K134" s="10"/>
      <c r="L134" s="10" t="s">
        <v>42</v>
      </c>
      <c r="M134" s="10" t="s">
        <v>91</v>
      </c>
      <c r="N134" s="10"/>
      <c r="O134" s="30">
        <v>-8.2006883330460467E-2</v>
      </c>
      <c r="P134" s="30">
        <v>1.6039501802464626</v>
      </c>
      <c r="Q134" s="30">
        <v>47.974454921016147</v>
      </c>
      <c r="R134" s="30">
        <v>-1.2414235469535231</v>
      </c>
      <c r="S134" s="30">
        <v>-0.21865782325772365</v>
      </c>
      <c r="T134" s="30">
        <v>2.8605058710828657E-3</v>
      </c>
    </row>
    <row r="135" spans="10:20" x14ac:dyDescent="0.25">
      <c r="J135" s="10"/>
      <c r="K135" s="10"/>
      <c r="L135" s="10" t="s">
        <v>42</v>
      </c>
      <c r="M135" s="10" t="s">
        <v>92</v>
      </c>
      <c r="N135" s="10"/>
      <c r="O135" s="30">
        <v>-6.3213178016762475E-2</v>
      </c>
      <c r="P135" s="30">
        <v>0.99838197697265418</v>
      </c>
      <c r="Q135" s="30">
        <v>63.142263702745183</v>
      </c>
      <c r="R135" s="30">
        <v>-0.93071835536930403</v>
      </c>
      <c r="S135" s="30">
        <v>1.9772167968368559E-2</v>
      </c>
      <c r="T135" s="30">
        <v>6.8529710873908405E-3</v>
      </c>
    </row>
    <row r="136" spans="10:20" x14ac:dyDescent="0.25">
      <c r="J136" s="10"/>
      <c r="K136" s="10"/>
      <c r="L136" s="10" t="s">
        <v>42</v>
      </c>
      <c r="M136" s="10" t="s">
        <v>93</v>
      </c>
      <c r="N136" s="10"/>
      <c r="O136" s="30">
        <v>-23.409595544657574</v>
      </c>
      <c r="P136" s="30">
        <v>-1.0276918628623486</v>
      </c>
      <c r="Q136" s="30">
        <v>-38.931654284622795</v>
      </c>
      <c r="R136" s="30">
        <v>1.6810678838478144</v>
      </c>
      <c r="S136" s="30">
        <v>-87.153433321398637</v>
      </c>
      <c r="T136" s="30">
        <v>-7.7533904292430345E-2</v>
      </c>
    </row>
    <row r="137" spans="10:20" x14ac:dyDescent="0.25">
      <c r="J137" s="10"/>
      <c r="K137" s="10"/>
      <c r="L137" s="10" t="s">
        <v>42</v>
      </c>
      <c r="M137" s="10" t="s">
        <v>94</v>
      </c>
      <c r="N137" s="10"/>
      <c r="O137" s="30">
        <v>-41.044616952549227</v>
      </c>
      <c r="P137" s="30">
        <v>3.5390431039638078E-2</v>
      </c>
      <c r="Q137" s="30">
        <v>-17.228269213496866</v>
      </c>
      <c r="R137" s="30">
        <v>0.71829868037225264</v>
      </c>
      <c r="S137" s="30">
        <v>-148.63370303502208</v>
      </c>
      <c r="T137" s="30">
        <v>-0.13598661139499998</v>
      </c>
    </row>
    <row r="138" spans="10:20" x14ac:dyDescent="0.25">
      <c r="J138" s="10"/>
      <c r="K138" s="10"/>
      <c r="L138" s="10" t="s">
        <v>42</v>
      </c>
      <c r="M138" s="10" t="s">
        <v>95</v>
      </c>
      <c r="N138" s="10"/>
      <c r="O138" s="30">
        <v>23.11279059340362</v>
      </c>
      <c r="P138" s="30">
        <v>-0.21981491403629999</v>
      </c>
      <c r="Q138" s="30">
        <v>4.8871243544008678</v>
      </c>
      <c r="R138" s="30">
        <v>0.41518408300422005</v>
      </c>
      <c r="S138" s="30">
        <v>85.04063349809941</v>
      </c>
      <c r="T138" s="30">
        <v>8.7664771847279666E-2</v>
      </c>
    </row>
    <row r="139" spans="10:20" x14ac:dyDescent="0.25">
      <c r="J139" s="10"/>
      <c r="K139" s="10"/>
      <c r="L139" s="10" t="s">
        <v>42</v>
      </c>
      <c r="M139" s="10" t="s">
        <v>96</v>
      </c>
      <c r="N139" s="10"/>
      <c r="O139" s="30">
        <v>5.4777743486299926</v>
      </c>
      <c r="P139" s="30">
        <v>0.90520024244113795</v>
      </c>
      <c r="Q139" s="30">
        <v>26.363160877255822</v>
      </c>
      <c r="R139" s="30">
        <v>-0.56769671900322749</v>
      </c>
      <c r="S139" s="30">
        <v>23.560243693540258</v>
      </c>
      <c r="T139" s="30">
        <v>2.8871765383285182E-2</v>
      </c>
    </row>
    <row r="140" spans="10:20" x14ac:dyDescent="0.25">
      <c r="J140" s="10"/>
      <c r="K140" s="10"/>
      <c r="L140" s="10" t="s">
        <v>42</v>
      </c>
      <c r="M140" s="10" t="s">
        <v>97</v>
      </c>
      <c r="N140" s="10"/>
      <c r="O140" s="30">
        <v>44.018323128879807</v>
      </c>
      <c r="P140" s="30">
        <v>3.5666843708781726</v>
      </c>
      <c r="Q140" s="30">
        <v>4.9501977600229869</v>
      </c>
      <c r="R140" s="30">
        <v>0.81964953714468425</v>
      </c>
      <c r="S140" s="30">
        <v>153.64253015305886</v>
      </c>
      <c r="T140" s="30">
        <v>0.14760208099130689</v>
      </c>
    </row>
    <row r="141" spans="10:20" x14ac:dyDescent="0.25">
      <c r="J141" s="10"/>
      <c r="K141" s="10"/>
      <c r="L141" s="10" t="s">
        <v>42</v>
      </c>
      <c r="M141" s="10" t="s">
        <v>98</v>
      </c>
      <c r="N141" s="10"/>
      <c r="O141" s="30">
        <v>26.420947348759132</v>
      </c>
      <c r="P141" s="30">
        <v>8.3006953027080712</v>
      </c>
      <c r="Q141" s="30">
        <v>30.698580212200568</v>
      </c>
      <c r="R141" s="30">
        <v>1.1647681228032167</v>
      </c>
      <c r="S141" s="30">
        <v>92.607136712100797</v>
      </c>
      <c r="T141" s="30">
        <v>9.020549874619363E-2</v>
      </c>
    </row>
    <row r="142" spans="10:20" x14ac:dyDescent="0.25">
      <c r="J142" s="10"/>
      <c r="K142" s="10"/>
      <c r="L142" s="10" t="s">
        <v>42</v>
      </c>
      <c r="M142" s="10" t="s">
        <v>99</v>
      </c>
      <c r="N142" s="10"/>
      <c r="O142" s="30">
        <v>44.055915841474651</v>
      </c>
      <c r="P142" s="30">
        <v>4.0594108407441496</v>
      </c>
      <c r="Q142" s="30">
        <v>2.4612240802805969</v>
      </c>
      <c r="R142" s="30">
        <v>-5.3246673942787721</v>
      </c>
      <c r="S142" s="30">
        <v>154.13971345325317</v>
      </c>
      <c r="T142" s="30">
        <v>7.4103144388777034E-2</v>
      </c>
    </row>
    <row r="143" spans="10:20" x14ac:dyDescent="0.25">
      <c r="J143" s="10"/>
      <c r="K143" s="10"/>
      <c r="L143" s="10" t="s">
        <v>42</v>
      </c>
      <c r="M143" s="10" t="s">
        <v>100</v>
      </c>
      <c r="N143" s="10"/>
      <c r="O143" s="30">
        <v>26.467478952601905</v>
      </c>
      <c r="P143" s="30">
        <v>-0.98489058639410021</v>
      </c>
      <c r="Q143" s="30">
        <v>61.175559432961329</v>
      </c>
      <c r="R143" s="30">
        <v>-6.3992862645307786</v>
      </c>
      <c r="S143" s="30">
        <v>93.248616257949536</v>
      </c>
      <c r="T143" s="30">
        <v>2.3572167001184231E-2</v>
      </c>
    </row>
    <row r="144" spans="10:20" x14ac:dyDescent="0.25">
      <c r="J144" s="10"/>
      <c r="K144" s="10"/>
      <c r="L144" s="10" t="s">
        <v>42</v>
      </c>
      <c r="M144" s="10" t="s">
        <v>101</v>
      </c>
      <c r="N144" s="10"/>
      <c r="O144" s="30">
        <v>-21.058042973211165</v>
      </c>
      <c r="P144" s="30">
        <v>-1.3700958618252759</v>
      </c>
      <c r="Q144" s="30">
        <v>-15.073234582329873</v>
      </c>
      <c r="R144" s="30">
        <v>1.6995239323518994</v>
      </c>
      <c r="S144" s="30">
        <v>-78.221525780358462</v>
      </c>
      <c r="T144" s="30">
        <v>-6.5501998059771055E-2</v>
      </c>
    </row>
    <row r="145" spans="10:20" x14ac:dyDescent="0.25">
      <c r="J145" s="10"/>
      <c r="K145" s="10"/>
      <c r="L145" s="10" t="s">
        <v>42</v>
      </c>
      <c r="M145" s="10" t="s">
        <v>102</v>
      </c>
      <c r="N145" s="10"/>
      <c r="O145" s="30">
        <v>-36.929562240313651</v>
      </c>
      <c r="P145" s="30">
        <v>-0.41332179731348789</v>
      </c>
      <c r="Q145" s="30">
        <v>4.4598119816834725</v>
      </c>
      <c r="R145" s="30">
        <v>0.83303164922389417</v>
      </c>
      <c r="S145" s="30">
        <v>-133.55376852261955</v>
      </c>
      <c r="T145" s="30">
        <v>-0.1181094344520837</v>
      </c>
    </row>
    <row r="146" spans="10:20" x14ac:dyDescent="0.25">
      <c r="J146" s="10"/>
      <c r="K146" s="10"/>
      <c r="L146" s="10" t="s">
        <v>42</v>
      </c>
      <c r="M146" s="10" t="s">
        <v>103</v>
      </c>
      <c r="N146" s="10"/>
      <c r="O146" s="30">
        <v>20.812104551043909</v>
      </c>
      <c r="P146" s="30">
        <v>-0.64300660788183217</v>
      </c>
      <c r="Q146" s="30">
        <v>24.363666192791428</v>
      </c>
      <c r="R146" s="30">
        <v>0.56022851159266462</v>
      </c>
      <c r="S146" s="30">
        <v>76.753134357189793</v>
      </c>
      <c r="T146" s="30">
        <v>8.3176810465967976E-2</v>
      </c>
    </row>
    <row r="147" spans="10:20" x14ac:dyDescent="0.25">
      <c r="J147" s="10"/>
      <c r="K147" s="10"/>
      <c r="L147" s="10" t="s">
        <v>42</v>
      </c>
      <c r="M147" s="10" t="s">
        <v>104</v>
      </c>
      <c r="N147" s="10"/>
      <c r="O147" s="30">
        <v>4.9405899307476444</v>
      </c>
      <c r="P147" s="30">
        <v>0.36950703294786197</v>
      </c>
      <c r="Q147" s="30">
        <v>43.692099063360885</v>
      </c>
      <c r="R147" s="30">
        <v>-0.32436421021403805</v>
      </c>
      <c r="S147" s="30">
        <v>21.420783533086553</v>
      </c>
      <c r="T147" s="30">
        <v>3.026310464837292E-2</v>
      </c>
    </row>
    <row r="148" spans="10:20" x14ac:dyDescent="0.25">
      <c r="J148" s="10"/>
      <c r="K148" s="10"/>
      <c r="L148" s="10" t="s">
        <v>42</v>
      </c>
      <c r="M148" s="10" t="s">
        <v>105</v>
      </c>
      <c r="N148" s="10"/>
      <c r="O148" s="30">
        <v>39.627083832972481</v>
      </c>
      <c r="P148" s="30">
        <v>2.7648427485411933</v>
      </c>
      <c r="Q148" s="30">
        <v>24.420432257851335</v>
      </c>
      <c r="R148" s="30">
        <v>0.92424742031908247</v>
      </c>
      <c r="S148" s="30">
        <v>138.49484134665326</v>
      </c>
      <c r="T148" s="30">
        <v>0.13712038869559245</v>
      </c>
    </row>
    <row r="149" spans="10:20" x14ac:dyDescent="0.25">
      <c r="J149" s="10"/>
      <c r="K149" s="10"/>
      <c r="L149" s="10" t="s">
        <v>42</v>
      </c>
      <c r="M149" s="10" t="s">
        <v>106</v>
      </c>
      <c r="N149" s="10"/>
      <c r="O149" s="30">
        <v>23.789445630863874</v>
      </c>
      <c r="P149" s="30">
        <v>7.0254525871881013</v>
      </c>
      <c r="Q149" s="30">
        <v>47.593976464811156</v>
      </c>
      <c r="R149" s="30">
        <v>1.2348541474117616</v>
      </c>
      <c r="S149" s="30">
        <v>83.562987249791036</v>
      </c>
      <c r="T149" s="30">
        <v>8.5463464674990539E-2</v>
      </c>
    </row>
    <row r="150" spans="10:20" x14ac:dyDescent="0.25">
      <c r="J150" s="10"/>
      <c r="K150" s="10"/>
      <c r="L150" s="10" t="s">
        <v>42</v>
      </c>
      <c r="M150" s="10" t="s">
        <v>107</v>
      </c>
      <c r="N150" s="10"/>
      <c r="O150" s="30">
        <v>39.660917274307835</v>
      </c>
      <c r="P150" s="30">
        <v>3.2082965714205725</v>
      </c>
      <c r="Q150" s="30">
        <v>22.180355946083186</v>
      </c>
      <c r="R150" s="30">
        <v>-4.6056378179620285</v>
      </c>
      <c r="S150" s="30">
        <v>138.94230631682817</v>
      </c>
      <c r="T150" s="30">
        <v>7.0971345753315596E-2</v>
      </c>
    </row>
    <row r="151" spans="10:20" x14ac:dyDescent="0.25">
      <c r="J151" s="10"/>
      <c r="K151" s="10"/>
      <c r="L151" s="10" t="s">
        <v>42</v>
      </c>
      <c r="M151" s="10" t="s">
        <v>108</v>
      </c>
      <c r="N151" s="10"/>
      <c r="O151" s="30">
        <v>23.831324074322364</v>
      </c>
      <c r="P151" s="30">
        <v>-1.3315747130038524</v>
      </c>
      <c r="Q151" s="30">
        <v>75.023257763495849</v>
      </c>
      <c r="R151" s="30">
        <v>-5.5727948011888344</v>
      </c>
      <c r="S151" s="30">
        <v>84.140318841054906</v>
      </c>
      <c r="T151" s="30">
        <v>2.5493466104482068E-2</v>
      </c>
    </row>
    <row r="152" spans="10:20" x14ac:dyDescent="0.25">
      <c r="J152" s="10"/>
      <c r="K152" s="10"/>
      <c r="L152" s="10" t="s">
        <v>42</v>
      </c>
      <c r="M152" s="10" t="s">
        <v>109</v>
      </c>
      <c r="N152" s="10"/>
      <c r="O152" s="30">
        <v>-23.392681209875246</v>
      </c>
      <c r="P152" s="30">
        <v>-1.5727032458087762</v>
      </c>
      <c r="Q152" s="30">
        <v>-25.280626381066668</v>
      </c>
      <c r="R152" s="30">
        <v>1.9607025562736111</v>
      </c>
      <c r="S152" s="30">
        <v>-86.938846329295146</v>
      </c>
      <c r="T152" s="30">
        <v>-7.3940685597753159E-2</v>
      </c>
    </row>
    <row r="153" spans="10:20" x14ac:dyDescent="0.25">
      <c r="J153" s="10"/>
      <c r="K153" s="10"/>
      <c r="L153" s="10" t="s">
        <v>42</v>
      </c>
      <c r="M153" s="10" t="s">
        <v>110</v>
      </c>
      <c r="N153" s="10"/>
      <c r="O153" s="30">
        <v>-41.027702617766906</v>
      </c>
      <c r="P153" s="30">
        <v>-0.50962095190678947</v>
      </c>
      <c r="Q153" s="30">
        <v>-3.5772413099407343</v>
      </c>
      <c r="R153" s="30">
        <v>0.99793335279804962</v>
      </c>
      <c r="S153" s="30">
        <v>-148.41911604291857</v>
      </c>
      <c r="T153" s="30">
        <v>-0.13239339270032277</v>
      </c>
    </row>
    <row r="154" spans="10:20" x14ac:dyDescent="0.25">
      <c r="J154" s="10"/>
      <c r="K154" s="10"/>
      <c r="L154" s="10" t="s">
        <v>42</v>
      </c>
      <c r="M154" s="10" t="s">
        <v>111</v>
      </c>
      <c r="N154" s="10"/>
      <c r="O154" s="30">
        <v>23.129704928185951</v>
      </c>
      <c r="P154" s="30">
        <v>-0.76482629698272753</v>
      </c>
      <c r="Q154" s="30">
        <v>18.538152257956998</v>
      </c>
      <c r="R154" s="30">
        <v>0.69481875543001703</v>
      </c>
      <c r="S154" s="30">
        <v>85.255220490202902</v>
      </c>
      <c r="T154" s="30">
        <v>9.1257990541956838E-2</v>
      </c>
    </row>
    <row r="155" spans="10:20" x14ac:dyDescent="0.25">
      <c r="J155" s="10"/>
      <c r="K155" s="10"/>
      <c r="L155" s="10" t="s">
        <v>42</v>
      </c>
      <c r="M155" s="10" t="s">
        <v>112</v>
      </c>
      <c r="N155" s="10"/>
      <c r="O155" s="30">
        <v>5.4946886834123205</v>
      </c>
      <c r="P155" s="30">
        <v>0.36018885949471047</v>
      </c>
      <c r="Q155" s="30">
        <v>40.014188780811956</v>
      </c>
      <c r="R155" s="30">
        <v>-0.28806204657743051</v>
      </c>
      <c r="S155" s="30">
        <v>23.774830685643739</v>
      </c>
      <c r="T155" s="30">
        <v>3.2464984077962361E-2</v>
      </c>
    </row>
    <row r="156" spans="10:20" x14ac:dyDescent="0.25">
      <c r="J156" s="10"/>
      <c r="K156" s="10"/>
      <c r="L156" s="10" t="s">
        <v>42</v>
      </c>
      <c r="M156" s="10" t="s">
        <v>113</v>
      </c>
      <c r="N156" s="10"/>
      <c r="O156" s="30">
        <v>44.035237463662128</v>
      </c>
      <c r="P156" s="30">
        <v>3.021672987931745</v>
      </c>
      <c r="Q156" s="30">
        <v>18.601225663579115</v>
      </c>
      <c r="R156" s="30">
        <v>1.0992842095704811</v>
      </c>
      <c r="S156" s="30">
        <v>153.85711714516233</v>
      </c>
      <c r="T156" s="30">
        <v>0.15119529968598408</v>
      </c>
    </row>
    <row r="157" spans="10:20" x14ac:dyDescent="0.25">
      <c r="J157" s="10"/>
      <c r="K157" s="10"/>
      <c r="L157" s="10" t="s">
        <v>42</v>
      </c>
      <c r="M157" s="10" t="s">
        <v>114</v>
      </c>
      <c r="N157" s="10"/>
      <c r="O157" s="30">
        <v>26.437861683541463</v>
      </c>
      <c r="P157" s="30">
        <v>7.7556839197616432</v>
      </c>
      <c r="Q157" s="30">
        <v>44.349608115756702</v>
      </c>
      <c r="R157" s="30">
        <v>1.4444027952290137</v>
      </c>
      <c r="S157" s="30">
        <v>92.821723704204288</v>
      </c>
      <c r="T157" s="30">
        <v>9.3798717440870816E-2</v>
      </c>
    </row>
    <row r="158" spans="10:20" x14ac:dyDescent="0.25">
      <c r="J158" s="10"/>
      <c r="K158" s="10"/>
      <c r="L158" s="10" t="s">
        <v>42</v>
      </c>
      <c r="M158" s="10" t="s">
        <v>115</v>
      </c>
      <c r="N158" s="10"/>
      <c r="O158" s="30">
        <v>44.072830176256971</v>
      </c>
      <c r="P158" s="30">
        <v>3.514399457797722</v>
      </c>
      <c r="Q158" s="30">
        <v>16.112251983836728</v>
      </c>
      <c r="R158" s="30">
        <v>-5.0450327218529747</v>
      </c>
      <c r="S158" s="30">
        <v>154.35430044535667</v>
      </c>
      <c r="T158" s="30">
        <v>7.769636308345422E-2</v>
      </c>
    </row>
    <row r="159" spans="10:20" x14ac:dyDescent="0.25">
      <c r="J159" s="10"/>
      <c r="K159" s="10"/>
      <c r="L159" s="10" t="s">
        <v>42</v>
      </c>
      <c r="M159" s="10" t="s">
        <v>116</v>
      </c>
      <c r="N159" s="10"/>
      <c r="O159" s="30">
        <v>26.484393287384233</v>
      </c>
      <c r="P159" s="30">
        <v>-1.5299019693405278</v>
      </c>
      <c r="Q159" s="30">
        <v>74.826587336517463</v>
      </c>
      <c r="R159" s="30">
        <v>-6.1196515921049821</v>
      </c>
      <c r="S159" s="30">
        <v>93.463203250053027</v>
      </c>
      <c r="T159" s="30">
        <v>2.7165385695861407E-2</v>
      </c>
    </row>
    <row r="160" spans="10:20" x14ac:dyDescent="0.25">
      <c r="J160" s="10"/>
      <c r="K160" s="10"/>
      <c r="L160" s="10" t="s">
        <v>43</v>
      </c>
      <c r="M160" s="10" t="s">
        <v>91</v>
      </c>
      <c r="N160" s="10"/>
      <c r="O160" s="30">
        <v>7.7928561640962659</v>
      </c>
      <c r="P160" s="30">
        <v>-4.2072729912358788</v>
      </c>
      <c r="Q160" s="30">
        <v>39.5869148491361</v>
      </c>
      <c r="R160" s="30">
        <v>-9.9903936706535248</v>
      </c>
      <c r="S160" s="30">
        <v>0.1581469507510786</v>
      </c>
      <c r="T160" s="30">
        <v>-3.7316559585580666E-2</v>
      </c>
    </row>
    <row r="161" spans="10:20" x14ac:dyDescent="0.25">
      <c r="J161" s="10"/>
      <c r="K161" s="10"/>
      <c r="L161" s="10" t="s">
        <v>43</v>
      </c>
      <c r="M161" s="10" t="s">
        <v>92</v>
      </c>
      <c r="N161" s="10"/>
      <c r="O161" s="30">
        <v>7.5817176696217183</v>
      </c>
      <c r="P161" s="30">
        <v>-3.9981750682275679</v>
      </c>
      <c r="Q161" s="30">
        <v>46.536389945539575</v>
      </c>
      <c r="R161" s="30">
        <v>-7.792799148083752</v>
      </c>
      <c r="S161" s="30">
        <v>0.43682262463917026</v>
      </c>
      <c r="T161" s="30">
        <v>-0.11264982474259157</v>
      </c>
    </row>
    <row r="162" spans="10:20" x14ac:dyDescent="0.25">
      <c r="J162" s="10"/>
      <c r="K162" s="10"/>
      <c r="L162" s="10" t="s">
        <v>43</v>
      </c>
      <c r="M162" s="10" t="s">
        <v>93</v>
      </c>
      <c r="N162" s="10"/>
      <c r="O162" s="30">
        <v>18.380185300817406</v>
      </c>
      <c r="P162" s="30">
        <v>-12.445789046894797</v>
      </c>
      <c r="Q162" s="30">
        <v>-21.913042864778706</v>
      </c>
      <c r="R162" s="30">
        <v>18.575855945720967</v>
      </c>
      <c r="S162" s="30">
        <v>-10.904320272096923</v>
      </c>
      <c r="T162" s="30">
        <v>0.22968263163643551</v>
      </c>
    </row>
    <row r="163" spans="10:20" x14ac:dyDescent="0.25">
      <c r="J163" s="10"/>
      <c r="K163" s="10"/>
      <c r="L163" s="10" t="s">
        <v>43</v>
      </c>
      <c r="M163" s="10" t="s">
        <v>94</v>
      </c>
      <c r="N163" s="10"/>
      <c r="O163" s="30">
        <v>23.458238379194839</v>
      </c>
      <c r="P163" s="30">
        <v>-10.220243048347911</v>
      </c>
      <c r="Q163" s="30">
        <v>-12.528763930598249</v>
      </c>
      <c r="R163" s="30">
        <v>9.6616161532992564</v>
      </c>
      <c r="S163" s="30">
        <v>-14.222147997243907</v>
      </c>
      <c r="T163" s="30">
        <v>0.14074246220035516</v>
      </c>
    </row>
    <row r="164" spans="10:20" x14ac:dyDescent="0.25">
      <c r="J164" s="10"/>
      <c r="K164" s="10"/>
      <c r="L164" s="10" t="s">
        <v>43</v>
      </c>
      <c r="M164" s="10" t="s">
        <v>95</v>
      </c>
      <c r="N164" s="10"/>
      <c r="O164" s="30">
        <v>-1.4194672984388141</v>
      </c>
      <c r="P164" s="30">
        <v>-8.1899349343768701</v>
      </c>
      <c r="Q164" s="30">
        <v>31.486186449758069</v>
      </c>
      <c r="R164" s="30">
        <v>5.3772888608451588</v>
      </c>
      <c r="S164" s="30">
        <v>9.4899596022095487</v>
      </c>
      <c r="T164" s="30">
        <v>8.4856552667741253E-2</v>
      </c>
    </row>
    <row r="165" spans="10:20" x14ac:dyDescent="0.25">
      <c r="J165" s="10"/>
      <c r="K165" s="10"/>
      <c r="L165" s="10" t="s">
        <v>43</v>
      </c>
      <c r="M165" s="10" t="s">
        <v>96</v>
      </c>
      <c r="N165" s="10"/>
      <c r="O165" s="30">
        <v>3.6571461027957821</v>
      </c>
      <c r="P165" s="30">
        <v>-5.9934820459603708</v>
      </c>
      <c r="Q165" s="30">
        <v>40.534679512522771</v>
      </c>
      <c r="R165" s="30">
        <v>-3.6271040936897174</v>
      </c>
      <c r="S165" s="30">
        <v>6.1762379847275133</v>
      </c>
      <c r="T165" s="30">
        <v>-3.2251292342706139E-3</v>
      </c>
    </row>
    <row r="166" spans="10:20" x14ac:dyDescent="0.25">
      <c r="J166" s="10"/>
      <c r="K166" s="10"/>
      <c r="L166" s="10" t="s">
        <v>43</v>
      </c>
      <c r="M166" s="10" t="s">
        <v>97</v>
      </c>
      <c r="N166" s="10"/>
      <c r="O166" s="30">
        <v>-4.9828258954472702</v>
      </c>
      <c r="P166" s="30">
        <v>-11.111418178581275</v>
      </c>
      <c r="Q166" s="30">
        <v>25.238071259469095</v>
      </c>
      <c r="R166" s="30">
        <v>12.346545956971596</v>
      </c>
      <c r="S166" s="30">
        <v>8.5415305691294563</v>
      </c>
      <c r="T166" s="30">
        <v>0.12868646289124785</v>
      </c>
    </row>
    <row r="167" spans="10:20" x14ac:dyDescent="0.25">
      <c r="J167" s="10"/>
      <c r="K167" s="10"/>
      <c r="L167" s="10" t="s">
        <v>43</v>
      </c>
      <c r="M167" s="10" t="s">
        <v>98</v>
      </c>
      <c r="N167" s="10"/>
      <c r="O167" s="30">
        <v>-0.33573491179459775</v>
      </c>
      <c r="P167" s="30">
        <v>-13.518856474907073</v>
      </c>
      <c r="Q167" s="30">
        <v>40.148152705963888</v>
      </c>
      <c r="R167" s="30">
        <v>19.298209116920855</v>
      </c>
      <c r="S167" s="30">
        <v>5.8025617532800879</v>
      </c>
      <c r="T167" s="30">
        <v>-5.0723437692365661E-2</v>
      </c>
    </row>
    <row r="168" spans="10:20" x14ac:dyDescent="0.25">
      <c r="J168" s="10"/>
      <c r="K168" s="10"/>
      <c r="L168" s="10" t="s">
        <v>43</v>
      </c>
      <c r="M168" s="10" t="s">
        <v>99</v>
      </c>
      <c r="N168" s="10"/>
      <c r="O168" s="30">
        <v>-9.7088322153537199</v>
      </c>
      <c r="P168" s="30">
        <v>0.89496831340028782</v>
      </c>
      <c r="Q168" s="30">
        <v>11.73782309131567</v>
      </c>
      <c r="R168" s="30">
        <v>-45.548270305385628</v>
      </c>
      <c r="S168" s="30">
        <v>11.550746420728478</v>
      </c>
      <c r="T168" s="30">
        <v>0.31508077391212658</v>
      </c>
    </row>
    <row r="169" spans="10:20" x14ac:dyDescent="0.25">
      <c r="J169" s="10"/>
      <c r="K169" s="10"/>
      <c r="L169" s="10" t="s">
        <v>43</v>
      </c>
      <c r="M169" s="10" t="s">
        <v>100</v>
      </c>
      <c r="N169" s="10"/>
      <c r="O169" s="30">
        <v>-5.2184970665380472</v>
      </c>
      <c r="P169" s="30">
        <v>8.5607766301218096</v>
      </c>
      <c r="Q169" s="30">
        <v>47.733284566089203</v>
      </c>
      <c r="R169" s="30">
        <v>-62.354451708629675</v>
      </c>
      <c r="S169" s="30">
        <v>8.9778529658559556</v>
      </c>
      <c r="T169" s="30">
        <v>9.6741953644699064E-2</v>
      </c>
    </row>
    <row r="170" spans="10:20" x14ac:dyDescent="0.25">
      <c r="J170" s="10"/>
      <c r="K170" s="10"/>
      <c r="L170" s="10" t="s">
        <v>43</v>
      </c>
      <c r="M170" s="10" t="s">
        <v>101</v>
      </c>
      <c r="N170" s="10"/>
      <c r="O170" s="30">
        <v>17.110313892670739</v>
      </c>
      <c r="P170" s="30">
        <v>-11.412839518320594</v>
      </c>
      <c r="Q170" s="30">
        <v>-8.8135719969837503</v>
      </c>
      <c r="R170" s="30">
        <v>17.916825506653293</v>
      </c>
      <c r="S170" s="30">
        <v>-9.5193978759240316</v>
      </c>
      <c r="T170" s="30">
        <v>0.127649447357223</v>
      </c>
    </row>
    <row r="171" spans="10:20" x14ac:dyDescent="0.25">
      <c r="J171" s="10"/>
      <c r="K171" s="10"/>
      <c r="L171" s="10" t="s">
        <v>43</v>
      </c>
      <c r="M171" s="10" t="s">
        <v>102</v>
      </c>
      <c r="N171" s="10"/>
      <c r="O171" s="30">
        <v>21.680561663210437</v>
      </c>
      <c r="P171" s="30">
        <v>-9.4098481196283963</v>
      </c>
      <c r="Q171" s="30">
        <v>-0.36772095622133194</v>
      </c>
      <c r="R171" s="30">
        <v>9.89400969347375</v>
      </c>
      <c r="S171" s="30">
        <v>-12.505442828556319</v>
      </c>
      <c r="T171" s="30">
        <v>4.7603294864750657E-2</v>
      </c>
    </row>
    <row r="172" spans="10:20" x14ac:dyDescent="0.25">
      <c r="J172" s="10"/>
      <c r="K172" s="10"/>
      <c r="L172" s="10" t="s">
        <v>43</v>
      </c>
      <c r="M172" s="10" t="s">
        <v>103</v>
      </c>
      <c r="N172" s="10"/>
      <c r="O172" s="30">
        <v>-0.70937344665985336</v>
      </c>
      <c r="P172" s="30">
        <v>-7.582570817054461</v>
      </c>
      <c r="Q172" s="30">
        <v>39.245734386099357</v>
      </c>
      <c r="R172" s="30">
        <v>6.0381151302650631</v>
      </c>
      <c r="S172" s="30">
        <v>8.8354540109517945</v>
      </c>
      <c r="T172" s="30">
        <v>-2.6940237146018476E-3</v>
      </c>
    </row>
    <row r="173" spans="10:20" x14ac:dyDescent="0.25">
      <c r="J173" s="10"/>
      <c r="K173" s="10"/>
      <c r="L173" s="10" t="s">
        <v>43</v>
      </c>
      <c r="M173" s="10" t="s">
        <v>104</v>
      </c>
      <c r="N173" s="10"/>
      <c r="O173" s="30">
        <v>3.8595786144512836</v>
      </c>
      <c r="P173" s="30">
        <v>-5.6057632174796099</v>
      </c>
      <c r="Q173" s="30">
        <v>47.389378142587589</v>
      </c>
      <c r="R173" s="30">
        <v>-2.0658385288163243</v>
      </c>
      <c r="S173" s="30">
        <v>5.8531045552179624</v>
      </c>
      <c r="T173" s="30">
        <v>-8.1967537426412523E-2</v>
      </c>
    </row>
    <row r="174" spans="10:20" x14ac:dyDescent="0.25">
      <c r="J174" s="10"/>
      <c r="K174" s="10"/>
      <c r="L174" s="10" t="s">
        <v>43</v>
      </c>
      <c r="M174" s="10" t="s">
        <v>105</v>
      </c>
      <c r="N174" s="10"/>
      <c r="O174" s="30">
        <v>-3.916396183967465</v>
      </c>
      <c r="P174" s="30">
        <v>-10.211905736838423</v>
      </c>
      <c r="Q174" s="30">
        <v>33.622430714839275</v>
      </c>
      <c r="R174" s="30">
        <v>12.310446516778857</v>
      </c>
      <c r="S174" s="30">
        <v>7.981867881179709</v>
      </c>
      <c r="T174" s="30">
        <v>3.6752895486554124E-2</v>
      </c>
    </row>
    <row r="175" spans="10:20" x14ac:dyDescent="0.25">
      <c r="J175" s="10"/>
      <c r="K175" s="10"/>
      <c r="L175" s="10" t="s">
        <v>43</v>
      </c>
      <c r="M175" s="10" t="s">
        <v>106</v>
      </c>
      <c r="N175" s="10"/>
      <c r="O175" s="30">
        <v>0.26598570131994159</v>
      </c>
      <c r="P175" s="30">
        <v>-12.37860020353164</v>
      </c>
      <c r="Q175" s="30">
        <v>47.041504016684591</v>
      </c>
      <c r="R175" s="30">
        <v>18.566943360733191</v>
      </c>
      <c r="S175" s="30">
        <v>5.5167959469152787</v>
      </c>
      <c r="T175" s="30">
        <v>-0.12471601503869806</v>
      </c>
    </row>
    <row r="176" spans="10:20" x14ac:dyDescent="0.25">
      <c r="J176" s="10"/>
      <c r="K176" s="10"/>
      <c r="L176" s="10" t="s">
        <v>43</v>
      </c>
      <c r="M176" s="10" t="s">
        <v>107</v>
      </c>
      <c r="N176" s="10"/>
      <c r="O176" s="30">
        <v>-8.1698018718832675</v>
      </c>
      <c r="P176" s="30">
        <v>0.59384210594498188</v>
      </c>
      <c r="Q176" s="30">
        <v>21.472207363501195</v>
      </c>
      <c r="R176" s="30">
        <v>-39.794888119342644</v>
      </c>
      <c r="S176" s="30">
        <v>10.690162147618828</v>
      </c>
      <c r="T176" s="30">
        <v>0.20450777540534495</v>
      </c>
    </row>
    <row r="177" spans="10:20" x14ac:dyDescent="0.25">
      <c r="J177" s="10"/>
      <c r="K177" s="10"/>
      <c r="L177" s="10" t="s">
        <v>43</v>
      </c>
      <c r="M177" s="10" t="s">
        <v>108</v>
      </c>
      <c r="N177" s="10"/>
      <c r="O177" s="30">
        <v>-4.1285002379491615</v>
      </c>
      <c r="P177" s="30">
        <v>7.4930695909943497</v>
      </c>
      <c r="Q177" s="30">
        <v>53.868122690797371</v>
      </c>
      <c r="R177" s="30">
        <v>-54.920451382262286</v>
      </c>
      <c r="S177" s="30">
        <v>8.3745580382335589</v>
      </c>
      <c r="T177" s="30">
        <v>8.0028371646602009E-3</v>
      </c>
    </row>
    <row r="178" spans="10:20" x14ac:dyDescent="0.25">
      <c r="J178" s="10"/>
      <c r="K178" s="10"/>
      <c r="L178" s="10" t="s">
        <v>43</v>
      </c>
      <c r="M178" s="10" t="s">
        <v>109</v>
      </c>
      <c r="N178" s="10"/>
      <c r="O178" s="30">
        <v>18.190160655790311</v>
      </c>
      <c r="P178" s="30">
        <v>-12.257600916187316</v>
      </c>
      <c r="Q178" s="30">
        <v>-15.658515278015575</v>
      </c>
      <c r="R178" s="30">
        <v>20.553691016033763</v>
      </c>
      <c r="S178" s="30">
        <v>-10.653512165597641</v>
      </c>
      <c r="T178" s="30">
        <v>0.16188269299512567</v>
      </c>
    </row>
    <row r="179" spans="10:20" x14ac:dyDescent="0.25">
      <c r="J179" s="10"/>
      <c r="K179" s="10"/>
      <c r="L179" s="10" t="s">
        <v>43</v>
      </c>
      <c r="M179" s="10" t="s">
        <v>110</v>
      </c>
      <c r="N179" s="10"/>
      <c r="O179" s="30">
        <v>23.268213734167748</v>
      </c>
      <c r="P179" s="30">
        <v>-10.032054917640432</v>
      </c>
      <c r="Q179" s="30">
        <v>-6.2742363438351152</v>
      </c>
      <c r="R179" s="30">
        <v>11.639451223612053</v>
      </c>
      <c r="S179" s="30">
        <v>-13.971339890744625</v>
      </c>
      <c r="T179" s="30">
        <v>7.2942523559045333E-2</v>
      </c>
    </row>
    <row r="180" spans="10:20" x14ac:dyDescent="0.25">
      <c r="J180" s="10"/>
      <c r="K180" s="10"/>
      <c r="L180" s="10" t="s">
        <v>43</v>
      </c>
      <c r="M180" s="10" t="s">
        <v>111</v>
      </c>
      <c r="N180" s="10"/>
      <c r="O180" s="30">
        <v>-1.6094919434659065</v>
      </c>
      <c r="P180" s="30">
        <v>-8.0017468036693895</v>
      </c>
      <c r="Q180" s="30">
        <v>37.740714036521204</v>
      </c>
      <c r="R180" s="30">
        <v>7.3551239311579542</v>
      </c>
      <c r="S180" s="30">
        <v>9.740767708708832</v>
      </c>
      <c r="T180" s="30">
        <v>1.7056614026431442E-2</v>
      </c>
    </row>
    <row r="181" spans="10:20" x14ac:dyDescent="0.25">
      <c r="J181" s="10"/>
      <c r="K181" s="10"/>
      <c r="L181" s="10" t="s">
        <v>43</v>
      </c>
      <c r="M181" s="10" t="s">
        <v>112</v>
      </c>
      <c r="N181" s="10"/>
      <c r="O181" s="30">
        <v>3.4671214577686897</v>
      </c>
      <c r="P181" s="30">
        <v>-5.8052939152528902</v>
      </c>
      <c r="Q181" s="30">
        <v>46.789207099285903</v>
      </c>
      <c r="R181" s="30">
        <v>-1.6492690233769216</v>
      </c>
      <c r="S181" s="30">
        <v>6.4270460912267957</v>
      </c>
      <c r="T181" s="30">
        <v>-7.1025067875580425E-2</v>
      </c>
    </row>
    <row r="182" spans="10:20" x14ac:dyDescent="0.25">
      <c r="J182" s="10"/>
      <c r="K182" s="10"/>
      <c r="L182" s="10" t="s">
        <v>43</v>
      </c>
      <c r="M182" s="10" t="s">
        <v>113</v>
      </c>
      <c r="N182" s="10"/>
      <c r="O182" s="30">
        <v>-5.1728505404743625</v>
      </c>
      <c r="P182" s="30">
        <v>-10.923230047873794</v>
      </c>
      <c r="Q182" s="30">
        <v>31.49259884623223</v>
      </c>
      <c r="R182" s="30">
        <v>14.324381027284391</v>
      </c>
      <c r="S182" s="30">
        <v>8.7923386756287378</v>
      </c>
      <c r="T182" s="30">
        <v>6.0886524249938054E-2</v>
      </c>
    </row>
    <row r="183" spans="10:20" x14ac:dyDescent="0.25">
      <c r="J183" s="10"/>
      <c r="K183" s="10"/>
      <c r="L183" s="10" t="s">
        <v>43</v>
      </c>
      <c r="M183" s="10" t="s">
        <v>114</v>
      </c>
      <c r="N183" s="10"/>
      <c r="O183" s="30">
        <v>-0.52575955682169018</v>
      </c>
      <c r="P183" s="30">
        <v>-13.330668344199593</v>
      </c>
      <c r="Q183" s="30">
        <v>46.402680292727027</v>
      </c>
      <c r="R183" s="30">
        <v>21.276044187233651</v>
      </c>
      <c r="S183" s="30">
        <v>6.0533698597793704</v>
      </c>
      <c r="T183" s="30">
        <v>-0.11852337633367548</v>
      </c>
    </row>
    <row r="184" spans="10:20" x14ac:dyDescent="0.25">
      <c r="J184" s="10"/>
      <c r="K184" s="10"/>
      <c r="L184" s="10" t="s">
        <v>43</v>
      </c>
      <c r="M184" s="10" t="s">
        <v>115</v>
      </c>
      <c r="N184" s="10"/>
      <c r="O184" s="30">
        <v>-9.8988568603808105</v>
      </c>
      <c r="P184" s="30">
        <v>1.0831564441077679</v>
      </c>
      <c r="Q184" s="30">
        <v>17.992350678078804</v>
      </c>
      <c r="R184" s="30">
        <v>-43.570435235072836</v>
      </c>
      <c r="S184" s="30">
        <v>11.80155452722776</v>
      </c>
      <c r="T184" s="30">
        <v>0.24728083527081673</v>
      </c>
    </row>
    <row r="185" spans="10:20" x14ac:dyDescent="0.25">
      <c r="J185" s="10"/>
      <c r="K185" s="10"/>
      <c r="L185" s="10" t="s">
        <v>43</v>
      </c>
      <c r="M185" s="10" t="s">
        <v>116</v>
      </c>
      <c r="N185" s="10"/>
      <c r="O185" s="30">
        <v>-5.4085217115651396</v>
      </c>
      <c r="P185" s="30">
        <v>8.7489647608292884</v>
      </c>
      <c r="Q185" s="30">
        <v>53.987812152852335</v>
      </c>
      <c r="R185" s="30">
        <v>-60.376616638316875</v>
      </c>
      <c r="S185" s="30">
        <v>9.2286610723552389</v>
      </c>
      <c r="T185" s="30">
        <v>2.8942015003389249E-2</v>
      </c>
    </row>
    <row r="186" spans="10:20" x14ac:dyDescent="0.25">
      <c r="J186" s="10"/>
      <c r="K186" s="10"/>
      <c r="L186" s="10" t="s">
        <v>44</v>
      </c>
      <c r="M186" s="10" t="s">
        <v>91</v>
      </c>
      <c r="N186" s="10"/>
      <c r="O186" s="30">
        <v>-4.0780152545699053</v>
      </c>
      <c r="P186" s="30">
        <v>6.9045740490027043</v>
      </c>
      <c r="Q186" s="30">
        <v>49.687038284495543</v>
      </c>
      <c r="R186" s="30">
        <v>-30.178267384412578</v>
      </c>
      <c r="S186" s="30">
        <v>-2.72063782886244</v>
      </c>
      <c r="T186" s="30">
        <v>5.719849011175563E-2</v>
      </c>
    </row>
    <row r="187" spans="10:20" x14ac:dyDescent="0.25">
      <c r="J187" s="10"/>
      <c r="K187" s="10"/>
      <c r="L187" s="10" t="s">
        <v>44</v>
      </c>
      <c r="M187" s="10" t="s">
        <v>92</v>
      </c>
      <c r="N187" s="10"/>
      <c r="O187" s="30">
        <v>-3.7042548439189624</v>
      </c>
      <c r="P187" s="30">
        <v>18.804993468673683</v>
      </c>
      <c r="Q187" s="30">
        <v>76.85658896051784</v>
      </c>
      <c r="R187" s="30">
        <v>-81.820916407198453</v>
      </c>
      <c r="S187" s="30">
        <v>-2.3755480558432884</v>
      </c>
      <c r="T187" s="30">
        <v>0.12296790219970716</v>
      </c>
    </row>
    <row r="188" spans="10:20" x14ac:dyDescent="0.25">
      <c r="J188" s="10"/>
      <c r="K188" s="10"/>
      <c r="L188" s="10" t="s">
        <v>44</v>
      </c>
      <c r="M188" s="10" t="s">
        <v>93</v>
      </c>
      <c r="N188" s="10"/>
      <c r="O188" s="30">
        <v>-21.014650402658269</v>
      </c>
      <c r="P188" s="30">
        <v>-15.92480244473702</v>
      </c>
      <c r="Q188" s="30">
        <v>-72.41827377404492</v>
      </c>
      <c r="R188" s="30">
        <v>110.94386704115429</v>
      </c>
      <c r="S188" s="30">
        <v>-17.552467619128677</v>
      </c>
      <c r="T188" s="30">
        <v>-6.1686951648106829E-2</v>
      </c>
    </row>
    <row r="189" spans="10:20" x14ac:dyDescent="0.25">
      <c r="J189" s="10"/>
      <c r="K189" s="10"/>
      <c r="L189" s="10" t="s">
        <v>44</v>
      </c>
      <c r="M189" s="10" t="s">
        <v>94</v>
      </c>
      <c r="N189" s="10"/>
      <c r="O189" s="30">
        <v>-27.520633190089963</v>
      </c>
      <c r="P189" s="30">
        <v>-11.373881800005508</v>
      </c>
      <c r="Q189" s="30">
        <v>-29.125287221797119</v>
      </c>
      <c r="R189" s="30">
        <v>73.687644680881476</v>
      </c>
      <c r="S189" s="30">
        <v>-22.475403418107792</v>
      </c>
      <c r="T189" s="30">
        <v>-2.5451122210892276E-3</v>
      </c>
    </row>
    <row r="190" spans="10:20" x14ac:dyDescent="0.25">
      <c r="J190" s="10"/>
      <c r="K190" s="10"/>
      <c r="L190" s="10" t="s">
        <v>44</v>
      </c>
      <c r="M190" s="10" t="s">
        <v>95</v>
      </c>
      <c r="N190" s="10"/>
      <c r="O190" s="30">
        <v>10.404510544070268</v>
      </c>
      <c r="P190" s="30">
        <v>-4.6748764456616891</v>
      </c>
      <c r="Q190" s="30">
        <v>-44.948448428642472</v>
      </c>
      <c r="R190" s="30">
        <v>51.485001866343787</v>
      </c>
      <c r="S190" s="30">
        <v>9.9512467384876473</v>
      </c>
      <c r="T190" s="30">
        <v>-7.1166634278244864E-2</v>
      </c>
    </row>
    <row r="191" spans="10:20" x14ac:dyDescent="0.25">
      <c r="J191" s="10"/>
      <c r="K191" s="10"/>
      <c r="L191" s="10" t="s">
        <v>44</v>
      </c>
      <c r="M191" s="10" t="s">
        <v>96</v>
      </c>
      <c r="N191" s="10"/>
      <c r="O191" s="30">
        <v>3.9020896731489798</v>
      </c>
      <c r="P191" s="30">
        <v>-0.2573402960732164</v>
      </c>
      <c r="Q191" s="30">
        <v>-2.1503759051556841</v>
      </c>
      <c r="R191" s="30">
        <v>14.781107698384371</v>
      </c>
      <c r="S191" s="30">
        <v>5.0333380006710158</v>
      </c>
      <c r="T191" s="30">
        <v>-1.188851215527883E-2</v>
      </c>
    </row>
    <row r="192" spans="10:20" x14ac:dyDescent="0.25">
      <c r="J192" s="10"/>
      <c r="K192" s="10"/>
      <c r="L192" s="10" t="s">
        <v>44</v>
      </c>
      <c r="M192" s="10" t="s">
        <v>97</v>
      </c>
      <c r="N192" s="10"/>
      <c r="O192" s="30">
        <v>18.662886025744427</v>
      </c>
      <c r="P192" s="30">
        <v>-52.398124173063209</v>
      </c>
      <c r="Q192" s="30">
        <v>-54.766388405654098</v>
      </c>
      <c r="R192" s="30">
        <v>221.5181924629297</v>
      </c>
      <c r="S192" s="30">
        <v>14.372333331581205</v>
      </c>
      <c r="T192" s="30">
        <v>-0.22846722360221894</v>
      </c>
    </row>
    <row r="193" spans="10:20" x14ac:dyDescent="0.25">
      <c r="J193" s="10"/>
      <c r="K193" s="10"/>
      <c r="L193" s="10" t="s">
        <v>44</v>
      </c>
      <c r="M193" s="10" t="s">
        <v>98</v>
      </c>
      <c r="N193" s="10"/>
      <c r="O193" s="30">
        <v>13.197103188591093</v>
      </c>
      <c r="P193" s="30">
        <v>-25.955940041774053</v>
      </c>
      <c r="Q193" s="30">
        <v>69.081754554190923</v>
      </c>
      <c r="R193" s="30">
        <v>111.99078113702276</v>
      </c>
      <c r="S193" s="30">
        <v>10.386964577349739</v>
      </c>
      <c r="T193" s="30">
        <v>-7.3893231159865083E-2</v>
      </c>
    </row>
    <row r="194" spans="10:20" x14ac:dyDescent="0.25">
      <c r="J194" s="10"/>
      <c r="K194" s="10"/>
      <c r="L194" s="10" t="s">
        <v>44</v>
      </c>
      <c r="M194" s="10" t="s">
        <v>99</v>
      </c>
      <c r="N194" s="10"/>
      <c r="O194" s="30">
        <v>12.356023837926944</v>
      </c>
      <c r="P194" s="30">
        <v>-3.4358844031428317</v>
      </c>
      <c r="Q194" s="30">
        <v>-31.140751600790626</v>
      </c>
      <c r="R194" s="30">
        <v>21.111914640947521</v>
      </c>
      <c r="S194" s="30">
        <v>9.6989332423564392</v>
      </c>
      <c r="T194" s="30">
        <v>-3.4662429825792297E-2</v>
      </c>
    </row>
    <row r="195" spans="10:20" x14ac:dyDescent="0.25">
      <c r="J195" s="10"/>
      <c r="K195" s="10"/>
      <c r="L195" s="10" t="s">
        <v>44</v>
      </c>
      <c r="M195" s="10" t="s">
        <v>100</v>
      </c>
      <c r="N195" s="10"/>
      <c r="O195" s="30">
        <v>6.5136448825927387</v>
      </c>
      <c r="P195" s="30">
        <v>12.303956476252612</v>
      </c>
      <c r="Q195" s="30">
        <v>21.778335369417061</v>
      </c>
      <c r="R195" s="30">
        <v>-90.304611989995252</v>
      </c>
      <c r="S195" s="30">
        <v>5.4925674498640893</v>
      </c>
      <c r="T195" s="30">
        <v>0.11338211179581544</v>
      </c>
    </row>
    <row r="196" spans="10:20" x14ac:dyDescent="0.25">
      <c r="J196" s="10"/>
      <c r="K196" s="10"/>
      <c r="L196" s="10" t="s">
        <v>44</v>
      </c>
      <c r="M196" s="10" t="s">
        <v>101</v>
      </c>
      <c r="N196" s="10"/>
      <c r="O196" s="30">
        <v>-18.947226477198491</v>
      </c>
      <c r="P196" s="30">
        <v>-1.7414453756920698</v>
      </c>
      <c r="Q196" s="30">
        <v>-33.038191892168577</v>
      </c>
      <c r="R196" s="30">
        <v>45.18900457581173</v>
      </c>
      <c r="S196" s="30">
        <v>-15.7241948670829</v>
      </c>
      <c r="T196" s="30">
        <v>1.5971004615830953E-2</v>
      </c>
    </row>
    <row r="197" spans="10:20" x14ac:dyDescent="0.25">
      <c r="J197" s="10"/>
      <c r="K197" s="10"/>
      <c r="L197" s="10" t="s">
        <v>44</v>
      </c>
      <c r="M197" s="10" t="s">
        <v>102</v>
      </c>
      <c r="N197" s="10"/>
      <c r="O197" s="30">
        <v>-24.802610985887014</v>
      </c>
      <c r="P197" s="30">
        <v>2.3543832045662887</v>
      </c>
      <c r="Q197" s="30">
        <v>5.9254960048544296</v>
      </c>
      <c r="R197" s="30">
        <v>11.658404451566202</v>
      </c>
      <c r="S197" s="30">
        <v>-20.154837086164108</v>
      </c>
      <c r="T197" s="30">
        <v>6.9198660100146775E-2</v>
      </c>
    </row>
    <row r="198" spans="10:20" x14ac:dyDescent="0.25">
      <c r="J198" s="10"/>
      <c r="K198" s="10"/>
      <c r="L198" s="10" t="s">
        <v>44</v>
      </c>
      <c r="M198" s="10" t="s">
        <v>103</v>
      </c>
      <c r="N198" s="10"/>
      <c r="O198" s="30">
        <v>9.330018374857195</v>
      </c>
      <c r="P198" s="30">
        <v>8.3834880234757279</v>
      </c>
      <c r="Q198" s="30">
        <v>-8.3153490813063815</v>
      </c>
      <c r="R198" s="30">
        <v>-8.3239740815177239</v>
      </c>
      <c r="S198" s="30">
        <v>9.0291480547717899</v>
      </c>
      <c r="T198" s="30">
        <v>7.439290248706717E-3</v>
      </c>
    </row>
    <row r="199" spans="10:20" x14ac:dyDescent="0.25">
      <c r="J199" s="10"/>
      <c r="K199" s="10"/>
      <c r="L199" s="10" t="s">
        <v>44</v>
      </c>
      <c r="M199" s="10" t="s">
        <v>104</v>
      </c>
      <c r="N199" s="10"/>
      <c r="O199" s="30">
        <v>3.4778395910280344</v>
      </c>
      <c r="P199" s="30">
        <v>12.359270558105354</v>
      </c>
      <c r="Q199" s="30">
        <v>30.202916189831733</v>
      </c>
      <c r="R199" s="30">
        <v>-41.357478832681196</v>
      </c>
      <c r="S199" s="30">
        <v>4.6030301907368214</v>
      </c>
      <c r="T199" s="30">
        <v>6.0789600159376136E-2</v>
      </c>
    </row>
    <row r="200" spans="10:20" x14ac:dyDescent="0.25">
      <c r="J200" s="10"/>
      <c r="K200" s="10"/>
      <c r="L200" s="10" t="s">
        <v>44</v>
      </c>
      <c r="M200" s="10" t="s">
        <v>105</v>
      </c>
      <c r="N200" s="10"/>
      <c r="O200" s="30">
        <v>16.762556308363941</v>
      </c>
      <c r="P200" s="30">
        <v>-34.567434931185645</v>
      </c>
      <c r="Q200" s="30">
        <v>-17.151495060616838</v>
      </c>
      <c r="R200" s="30">
        <v>144.7058974554096</v>
      </c>
      <c r="S200" s="30">
        <v>13.008125988555991</v>
      </c>
      <c r="T200" s="30">
        <v>-0.13413124014286995</v>
      </c>
    </row>
    <row r="201" spans="10:20" x14ac:dyDescent="0.25">
      <c r="J201" s="10"/>
      <c r="K201" s="10"/>
      <c r="L201" s="10" t="s">
        <v>44</v>
      </c>
      <c r="M201" s="10" t="s">
        <v>106</v>
      </c>
      <c r="N201" s="10"/>
      <c r="O201" s="30">
        <v>11.843351754925935</v>
      </c>
      <c r="P201" s="30">
        <v>-10.769469213025403</v>
      </c>
      <c r="Q201" s="30">
        <v>94.31183360324367</v>
      </c>
      <c r="R201" s="30">
        <v>46.131227262093354</v>
      </c>
      <c r="S201" s="30">
        <v>9.4212941097476719</v>
      </c>
      <c r="T201" s="30">
        <v>4.9853530552485016E-3</v>
      </c>
    </row>
    <row r="202" spans="10:20" x14ac:dyDescent="0.25">
      <c r="J202" s="10"/>
      <c r="K202" s="10"/>
      <c r="L202" s="10" t="s">
        <v>44</v>
      </c>
      <c r="M202" s="10" t="s">
        <v>107</v>
      </c>
      <c r="N202" s="10"/>
      <c r="O202" s="30">
        <v>11.086380339328203</v>
      </c>
      <c r="P202" s="30">
        <v>9.498580861742699</v>
      </c>
      <c r="Q202" s="30">
        <v>4.1115780637602866</v>
      </c>
      <c r="R202" s="30">
        <v>-35.65975258437436</v>
      </c>
      <c r="S202" s="30">
        <v>8.8020659082537005</v>
      </c>
      <c r="T202" s="30">
        <v>4.029307425591401E-2</v>
      </c>
    </row>
    <row r="203" spans="10:20" x14ac:dyDescent="0.25">
      <c r="J203" s="10"/>
      <c r="K203" s="10"/>
      <c r="L203" s="10" t="s">
        <v>44</v>
      </c>
      <c r="M203" s="10" t="s">
        <v>108</v>
      </c>
      <c r="N203" s="10"/>
      <c r="O203" s="30">
        <v>5.828239279527418</v>
      </c>
      <c r="P203" s="30">
        <v>23.6644376531986</v>
      </c>
      <c r="Q203" s="30">
        <v>51.738756336947205</v>
      </c>
      <c r="R203" s="30">
        <v>-135.93462655222285</v>
      </c>
      <c r="S203" s="30">
        <v>5.0163366950105885</v>
      </c>
      <c r="T203" s="30">
        <v>0.17353316171536098</v>
      </c>
    </row>
    <row r="204" spans="10:20" x14ac:dyDescent="0.25">
      <c r="J204" s="10"/>
      <c r="K204" s="10"/>
      <c r="L204" s="10" t="s">
        <v>44</v>
      </c>
      <c r="M204" s="10" t="s">
        <v>109</v>
      </c>
      <c r="N204" s="10"/>
      <c r="O204" s="30">
        <v>-20.678266033072422</v>
      </c>
      <c r="P204" s="30">
        <v>-5.21442496703314</v>
      </c>
      <c r="Q204" s="30">
        <v>-47.965678165624837</v>
      </c>
      <c r="R204" s="30">
        <v>64.465482920647005</v>
      </c>
      <c r="S204" s="30">
        <v>-17.241886823411441</v>
      </c>
      <c r="T204" s="30">
        <v>-2.4944807689504518E-3</v>
      </c>
    </row>
    <row r="205" spans="10:20" x14ac:dyDescent="0.25">
      <c r="J205" s="10"/>
      <c r="K205" s="10"/>
      <c r="L205" s="10" t="s">
        <v>44</v>
      </c>
      <c r="M205" s="10" t="s">
        <v>110</v>
      </c>
      <c r="N205" s="10"/>
      <c r="O205" s="30">
        <v>-27.184248820504113</v>
      </c>
      <c r="P205" s="30">
        <v>-0.66350432230162903</v>
      </c>
      <c r="Q205" s="30">
        <v>-4.672691613377042</v>
      </c>
      <c r="R205" s="30">
        <v>27.209260560374194</v>
      </c>
      <c r="S205" s="30">
        <v>-22.164822622390556</v>
      </c>
      <c r="T205" s="30">
        <v>5.6647358658067144E-2</v>
      </c>
    </row>
    <row r="206" spans="10:20" x14ac:dyDescent="0.25">
      <c r="J206" s="10"/>
      <c r="K206" s="10"/>
      <c r="L206" s="10" t="s">
        <v>44</v>
      </c>
      <c r="M206" s="10" t="s">
        <v>111</v>
      </c>
      <c r="N206" s="10"/>
      <c r="O206" s="30">
        <v>10.740894913656117</v>
      </c>
      <c r="P206" s="30">
        <v>6.0355010320421902</v>
      </c>
      <c r="Q206" s="30">
        <v>-20.495852820222392</v>
      </c>
      <c r="R206" s="30">
        <v>5.0066177458364951</v>
      </c>
      <c r="S206" s="30">
        <v>10.261827534204883</v>
      </c>
      <c r="T206" s="30">
        <v>-1.1974163399088484E-2</v>
      </c>
    </row>
    <row r="207" spans="10:20" x14ac:dyDescent="0.25">
      <c r="J207" s="10"/>
      <c r="K207" s="10"/>
      <c r="L207" s="10" t="s">
        <v>44</v>
      </c>
      <c r="M207" s="10" t="s">
        <v>112</v>
      </c>
      <c r="N207" s="10"/>
      <c r="O207" s="30">
        <v>4.2384740427348291</v>
      </c>
      <c r="P207" s="30">
        <v>10.453037181630663</v>
      </c>
      <c r="Q207" s="30">
        <v>22.302219703264392</v>
      </c>
      <c r="R207" s="30">
        <v>-31.697276422122918</v>
      </c>
      <c r="S207" s="30">
        <v>5.3439187963882526</v>
      </c>
      <c r="T207" s="30">
        <v>4.7303958723877541E-2</v>
      </c>
    </row>
    <row r="208" spans="10:20" x14ac:dyDescent="0.25">
      <c r="J208" s="10"/>
      <c r="K208" s="10"/>
      <c r="L208" s="10" t="s">
        <v>44</v>
      </c>
      <c r="M208" s="10" t="s">
        <v>113</v>
      </c>
      <c r="N208" s="10"/>
      <c r="O208" s="30">
        <v>18.999270395330278</v>
      </c>
      <c r="P208" s="30">
        <v>-41.68774669535933</v>
      </c>
      <c r="Q208" s="30">
        <v>-30.313792797234019</v>
      </c>
      <c r="R208" s="30">
        <v>175.03980834242242</v>
      </c>
      <c r="S208" s="30">
        <v>14.68291412729844</v>
      </c>
      <c r="T208" s="30">
        <v>-0.16927475272306255</v>
      </c>
    </row>
    <row r="209" spans="10:20" x14ac:dyDescent="0.25">
      <c r="J209" s="10"/>
      <c r="K209" s="10"/>
      <c r="L209" s="10" t="s">
        <v>44</v>
      </c>
      <c r="M209" s="10" t="s">
        <v>114</v>
      </c>
      <c r="N209" s="10"/>
      <c r="O209" s="30">
        <v>13.533487558176942</v>
      </c>
      <c r="P209" s="30">
        <v>-15.245562564070173</v>
      </c>
      <c r="Q209" s="30">
        <v>93.534350162611005</v>
      </c>
      <c r="R209" s="30">
        <v>65.512397016515479</v>
      </c>
      <c r="S209" s="30">
        <v>10.697545373066976</v>
      </c>
      <c r="T209" s="30">
        <v>-1.4700760280708706E-2</v>
      </c>
    </row>
    <row r="210" spans="10:20" x14ac:dyDescent="0.25">
      <c r="J210" s="10"/>
      <c r="K210" s="10"/>
      <c r="L210" s="10" t="s">
        <v>44</v>
      </c>
      <c r="M210" s="10" t="s">
        <v>115</v>
      </c>
      <c r="N210" s="10"/>
      <c r="O210" s="30">
        <v>12.692408207512793</v>
      </c>
      <c r="P210" s="30">
        <v>7.2744930745610477</v>
      </c>
      <c r="Q210" s="30">
        <v>-6.6881559923705485</v>
      </c>
      <c r="R210" s="30">
        <v>-25.366469479559765</v>
      </c>
      <c r="S210" s="30">
        <v>10.009514038073675</v>
      </c>
      <c r="T210" s="30">
        <v>2.4530041053364076E-2</v>
      </c>
    </row>
    <row r="211" spans="10:20" x14ac:dyDescent="0.25">
      <c r="J211" s="10"/>
      <c r="K211" s="10"/>
      <c r="L211" s="10" t="s">
        <v>44</v>
      </c>
      <c r="M211" s="10" t="s">
        <v>116</v>
      </c>
      <c r="N211" s="10"/>
      <c r="O211" s="30">
        <v>6.8500292521785875</v>
      </c>
      <c r="P211" s="30">
        <v>23.014333953956495</v>
      </c>
      <c r="Q211" s="30">
        <v>46.23093097783714</v>
      </c>
      <c r="R211" s="30">
        <v>-136.78299611050252</v>
      </c>
      <c r="S211" s="30">
        <v>5.8031482455813252</v>
      </c>
      <c r="T211" s="30">
        <v>0.1725745826749718</v>
      </c>
    </row>
    <row r="212" spans="10:20" x14ac:dyDescent="0.25">
      <c r="J212" s="10"/>
      <c r="K212" s="10"/>
      <c r="L212" s="10" t="s">
        <v>45</v>
      </c>
      <c r="M212" s="10" t="s">
        <v>91</v>
      </c>
      <c r="N212" s="10"/>
      <c r="O212" s="30">
        <v>-4.0835485394855526</v>
      </c>
      <c r="P212" s="30">
        <v>-0.66195837685799319</v>
      </c>
      <c r="Q212" s="30">
        <v>71.770841956943315</v>
      </c>
      <c r="R212" s="30">
        <v>2.4018211311716824</v>
      </c>
      <c r="S212" s="30">
        <v>-2.7998236594948289</v>
      </c>
      <c r="T212" s="30">
        <v>3.3721066521742596E-3</v>
      </c>
    </row>
    <row r="213" spans="10:20" x14ac:dyDescent="0.25">
      <c r="J213" s="10"/>
      <c r="K213" s="10"/>
      <c r="L213" s="10" t="s">
        <v>45</v>
      </c>
      <c r="M213" s="10" t="s">
        <v>92</v>
      </c>
      <c r="N213" s="10"/>
      <c r="O213" s="30">
        <v>-4.2713738204389839</v>
      </c>
      <c r="P213" s="30">
        <v>-2.8024531535562445</v>
      </c>
      <c r="Q213" s="30">
        <v>127.64492647718482</v>
      </c>
      <c r="R213" s="30">
        <v>11.818724808785863</v>
      </c>
      <c r="S213" s="30">
        <v>-2.7794614925918961</v>
      </c>
      <c r="T213" s="30">
        <v>4.6709984582100524E-3</v>
      </c>
    </row>
    <row r="214" spans="10:20" x14ac:dyDescent="0.25">
      <c r="J214" s="10"/>
      <c r="K214" s="10"/>
      <c r="L214" s="10" t="s">
        <v>45</v>
      </c>
      <c r="M214" s="10" t="s">
        <v>93</v>
      </c>
      <c r="N214" s="10"/>
      <c r="O214" s="30">
        <v>-29.341622309129651</v>
      </c>
      <c r="P214" s="30">
        <v>12.176987058271278</v>
      </c>
      <c r="Q214" s="30">
        <v>-147.14198528146477</v>
      </c>
      <c r="R214" s="30">
        <v>-57.342238187878394</v>
      </c>
      <c r="S214" s="30">
        <v>-27.308111682678351</v>
      </c>
      <c r="T214" s="30">
        <v>-1.7819513450280672E-2</v>
      </c>
    </row>
    <row r="215" spans="10:20" x14ac:dyDescent="0.25">
      <c r="J215" s="10"/>
      <c r="K215" s="10"/>
      <c r="L215" s="10" t="s">
        <v>45</v>
      </c>
      <c r="M215" s="10" t="s">
        <v>94</v>
      </c>
      <c r="N215" s="10"/>
      <c r="O215" s="30">
        <v>-43.081027085967222</v>
      </c>
      <c r="P215" s="30">
        <v>8.4374124485772413</v>
      </c>
      <c r="Q215" s="30">
        <v>-60.883488110889523</v>
      </c>
      <c r="R215" s="30">
        <v>-40.212102410159773</v>
      </c>
      <c r="S215" s="30">
        <v>-39.693022432468027</v>
      </c>
      <c r="T215" s="30">
        <v>-1.7292209630860058E-2</v>
      </c>
    </row>
    <row r="216" spans="10:20" x14ac:dyDescent="0.25">
      <c r="J216" s="10"/>
      <c r="K216" s="10"/>
      <c r="L216" s="10" t="s">
        <v>45</v>
      </c>
      <c r="M216" s="10" t="s">
        <v>95</v>
      </c>
      <c r="N216" s="10"/>
      <c r="O216" s="30">
        <v>22.414415872722948</v>
      </c>
      <c r="P216" s="30">
        <v>6.2424073538522924</v>
      </c>
      <c r="Q216" s="30">
        <v>-111.33642508429432</v>
      </c>
      <c r="R216" s="30">
        <v>-28.809424016001703</v>
      </c>
      <c r="S216" s="30">
        <v>21.373517423948915</v>
      </c>
      <c r="T216" s="30">
        <v>4.8364807760690864E-3</v>
      </c>
    </row>
    <row r="217" spans="10:20" x14ac:dyDescent="0.25">
      <c r="J217" s="10"/>
      <c r="K217" s="10"/>
      <c r="L217" s="10" t="s">
        <v>45</v>
      </c>
      <c r="M217" s="10" t="s">
        <v>96</v>
      </c>
      <c r="N217" s="10"/>
      <c r="O217" s="30">
        <v>8.6672702662035359</v>
      </c>
      <c r="P217" s="30">
        <v>2.5511648328758012</v>
      </c>
      <c r="Q217" s="30">
        <v>-25.120014608545368</v>
      </c>
      <c r="R217" s="30">
        <v>-11.924232854228578</v>
      </c>
      <c r="S217" s="30">
        <v>8.9810175208360086</v>
      </c>
      <c r="T217" s="30">
        <v>5.1691736592636506E-3</v>
      </c>
    </row>
    <row r="218" spans="10:20" x14ac:dyDescent="0.25">
      <c r="J218" s="10"/>
      <c r="K218" s="10"/>
      <c r="L218" s="10" t="s">
        <v>45</v>
      </c>
      <c r="M218" s="10" t="s">
        <v>97</v>
      </c>
      <c r="N218" s="10"/>
      <c r="O218" s="30">
        <v>30.378962764589339</v>
      </c>
      <c r="P218" s="30">
        <v>1.0184445185555142</v>
      </c>
      <c r="Q218" s="30">
        <v>-103.69854957021052</v>
      </c>
      <c r="R218" s="30">
        <v>12.282547154596145</v>
      </c>
      <c r="S218" s="30">
        <v>28.428236040546199</v>
      </c>
      <c r="T218" s="30">
        <v>2.7396288314669677E-2</v>
      </c>
    </row>
    <row r="219" spans="10:20" x14ac:dyDescent="0.25">
      <c r="J219" s="10"/>
      <c r="K219" s="10"/>
      <c r="L219" s="10" t="s">
        <v>45</v>
      </c>
      <c r="M219" s="10" t="s">
        <v>98</v>
      </c>
      <c r="N219" s="10"/>
      <c r="O219" s="30">
        <v>16.146074483617337</v>
      </c>
      <c r="P219" s="30">
        <v>-14.431122513275414</v>
      </c>
      <c r="Q219" s="30">
        <v>112.22376332653334</v>
      </c>
      <c r="R219" s="30">
        <v>103.51599466176435</v>
      </c>
      <c r="S219" s="30">
        <v>16.033536939779609</v>
      </c>
      <c r="T219" s="30">
        <v>5.506139380270629E-2</v>
      </c>
    </row>
    <row r="220" spans="10:20" x14ac:dyDescent="0.25">
      <c r="J220" s="10"/>
      <c r="K220" s="10"/>
      <c r="L220" s="10" t="s">
        <v>45</v>
      </c>
      <c r="M220" s="10" t="s">
        <v>99</v>
      </c>
      <c r="N220" s="10"/>
      <c r="O220" s="30">
        <v>30.259754708134786</v>
      </c>
      <c r="P220" s="30">
        <v>11.024284005477634</v>
      </c>
      <c r="Q220" s="30">
        <v>-105.04485823583478</v>
      </c>
      <c r="R220" s="30">
        <v>-67.2803731679099</v>
      </c>
      <c r="S220" s="30">
        <v>28.303277727386337</v>
      </c>
      <c r="T220" s="30">
        <v>-2.0774426692691202E-2</v>
      </c>
    </row>
    <row r="221" spans="10:20" x14ac:dyDescent="0.25">
      <c r="J221" s="10"/>
      <c r="K221" s="10"/>
      <c r="L221" s="10" t="s">
        <v>45</v>
      </c>
      <c r="M221" s="10" t="s">
        <v>100</v>
      </c>
      <c r="N221" s="10"/>
      <c r="O221" s="30">
        <v>16.255554891907085</v>
      </c>
      <c r="P221" s="30">
        <v>20.684755941670417</v>
      </c>
      <c r="Q221" s="30">
        <v>16.012863134414385</v>
      </c>
      <c r="R221" s="30">
        <v>-138.07128414561183</v>
      </c>
      <c r="S221" s="30">
        <v>15.780504350178045</v>
      </c>
      <c r="T221" s="30">
        <v>-1.5243517881776749E-2</v>
      </c>
    </row>
    <row r="222" spans="10:20" x14ac:dyDescent="0.25">
      <c r="J222" s="10"/>
      <c r="K222" s="10"/>
      <c r="L222" s="10" t="s">
        <v>45</v>
      </c>
      <c r="M222" s="10" t="s">
        <v>101</v>
      </c>
      <c r="N222" s="10"/>
      <c r="O222" s="30">
        <v>-27.003640213118672</v>
      </c>
      <c r="P222" s="30">
        <v>8.7525977380601017</v>
      </c>
      <c r="Q222" s="30">
        <v>-69.376618037382457</v>
      </c>
      <c r="R222" s="30">
        <v>-41.950928578359203</v>
      </c>
      <c r="S222" s="30">
        <v>-24.836920713457072</v>
      </c>
      <c r="T222" s="30">
        <v>-1.4401459633999386E-2</v>
      </c>
    </row>
    <row r="223" spans="10:20" x14ac:dyDescent="0.25">
      <c r="J223" s="10"/>
      <c r="K223" s="10"/>
      <c r="L223" s="10" t="s">
        <v>45</v>
      </c>
      <c r="M223" s="10" t="s">
        <v>102</v>
      </c>
      <c r="N223" s="10"/>
      <c r="O223" s="30">
        <v>-39.369104512272479</v>
      </c>
      <c r="P223" s="30">
        <v>5.386980589335467</v>
      </c>
      <c r="Q223" s="30">
        <v>8.256029416135263</v>
      </c>
      <c r="R223" s="30">
        <v>-26.53380637841245</v>
      </c>
      <c r="S223" s="30">
        <v>-35.98334038826777</v>
      </c>
      <c r="T223" s="30">
        <v>-1.3926886196520835E-2</v>
      </c>
    </row>
    <row r="224" spans="10:20" x14ac:dyDescent="0.25">
      <c r="J224" s="10"/>
      <c r="K224" s="10"/>
      <c r="L224" s="10" t="s">
        <v>45</v>
      </c>
      <c r="M224" s="10" t="s">
        <v>103</v>
      </c>
      <c r="N224" s="10"/>
      <c r="O224" s="30">
        <v>19.576794150548668</v>
      </c>
      <c r="P224" s="30">
        <v>3.4114760040830121</v>
      </c>
      <c r="Q224" s="30">
        <v>-37.151613859929064</v>
      </c>
      <c r="R224" s="30">
        <v>-16.271395823670186</v>
      </c>
      <c r="S224" s="30">
        <v>18.976545482507476</v>
      </c>
      <c r="T224" s="30">
        <v>5.9889351697153962E-3</v>
      </c>
    </row>
    <row r="225" spans="10:20" x14ac:dyDescent="0.25">
      <c r="J225" s="10"/>
      <c r="K225" s="10"/>
      <c r="L225" s="10" t="s">
        <v>45</v>
      </c>
      <c r="M225" s="10" t="s">
        <v>104</v>
      </c>
      <c r="N225" s="10"/>
      <c r="O225" s="30">
        <v>7.204363104681196</v>
      </c>
      <c r="P225" s="30">
        <v>8.9357735204170216E-2</v>
      </c>
      <c r="Q225" s="30">
        <v>40.443155568245004</v>
      </c>
      <c r="R225" s="30">
        <v>-1.0747237780743724</v>
      </c>
      <c r="S225" s="30">
        <v>7.8232955697058566</v>
      </c>
      <c r="T225" s="30">
        <v>6.2883587645905029E-3</v>
      </c>
    </row>
    <row r="226" spans="10:20" x14ac:dyDescent="0.25">
      <c r="J226" s="10"/>
      <c r="K226" s="10"/>
      <c r="L226" s="10" t="s">
        <v>45</v>
      </c>
      <c r="M226" s="10" t="s">
        <v>105</v>
      </c>
      <c r="N226" s="10"/>
      <c r="O226" s="30">
        <v>26.744886353228416</v>
      </c>
      <c r="P226" s="30">
        <v>-1.2900905476840878</v>
      </c>
      <c r="Q226" s="30">
        <v>-30.277525897253632</v>
      </c>
      <c r="R226" s="30">
        <v>20.711378229867879</v>
      </c>
      <c r="S226" s="30">
        <v>25.325792237445029</v>
      </c>
      <c r="T226" s="30">
        <v>2.6292761954455929E-2</v>
      </c>
    </row>
    <row r="227" spans="10:20" x14ac:dyDescent="0.25">
      <c r="J227" s="10"/>
      <c r="K227" s="10"/>
      <c r="L227" s="10" t="s">
        <v>45</v>
      </c>
      <c r="M227" s="10" t="s">
        <v>106</v>
      </c>
      <c r="N227" s="10"/>
      <c r="O227" s="30">
        <v>13.935286900353619</v>
      </c>
      <c r="P227" s="30">
        <v>-15.194700876331924</v>
      </c>
      <c r="Q227" s="30">
        <v>164.05255570981586</v>
      </c>
      <c r="R227" s="30">
        <v>102.82148098631926</v>
      </c>
      <c r="S227" s="30">
        <v>14.170563046755095</v>
      </c>
      <c r="T227" s="30">
        <v>5.119135689368888E-2</v>
      </c>
    </row>
    <row r="228" spans="10:20" x14ac:dyDescent="0.25">
      <c r="J228" s="10"/>
      <c r="K228" s="10"/>
      <c r="L228" s="10" t="s">
        <v>45</v>
      </c>
      <c r="M228" s="10" t="s">
        <v>107</v>
      </c>
      <c r="N228" s="10"/>
      <c r="O228" s="30">
        <v>26.637599102419319</v>
      </c>
      <c r="P228" s="30">
        <v>7.7151649905458219</v>
      </c>
      <c r="Q228" s="30">
        <v>-31.489203696315474</v>
      </c>
      <c r="R228" s="30">
        <v>-50.895250060387575</v>
      </c>
      <c r="S228" s="30">
        <v>25.213329755601155</v>
      </c>
      <c r="T228" s="30">
        <v>-1.7060881552168863E-2</v>
      </c>
    </row>
    <row r="229" spans="10:20" x14ac:dyDescent="0.25">
      <c r="J229" s="10"/>
      <c r="K229" s="10"/>
      <c r="L229" s="10" t="s">
        <v>45</v>
      </c>
      <c r="M229" s="10" t="s">
        <v>108</v>
      </c>
      <c r="N229" s="10"/>
      <c r="O229" s="30">
        <v>14.03381926781439</v>
      </c>
      <c r="P229" s="30">
        <v>16.409589733119322</v>
      </c>
      <c r="Q229" s="30">
        <v>77.462745536908784</v>
      </c>
      <c r="R229" s="30">
        <v>-114.60706994031926</v>
      </c>
      <c r="S229" s="30">
        <v>13.942833716113691</v>
      </c>
      <c r="T229" s="30">
        <v>-1.2083063622345855E-2</v>
      </c>
    </row>
    <row r="230" spans="10:20" x14ac:dyDescent="0.25">
      <c r="J230" s="10"/>
      <c r="K230" s="10"/>
      <c r="L230" s="10" t="s">
        <v>45</v>
      </c>
      <c r="M230" s="10" t="s">
        <v>109</v>
      </c>
      <c r="N230" s="10"/>
      <c r="O230" s="30">
        <v>-29.510665061987737</v>
      </c>
      <c r="P230" s="30">
        <v>10.250541759242854</v>
      </c>
      <c r="Q230" s="30">
        <v>-96.855309213247395</v>
      </c>
      <c r="R230" s="30">
        <v>-48.867024878025632</v>
      </c>
      <c r="S230" s="30">
        <v>-27.28978573246571</v>
      </c>
      <c r="T230" s="30">
        <v>-1.6650510824848457E-2</v>
      </c>
    </row>
    <row r="231" spans="10:20" x14ac:dyDescent="0.25">
      <c r="J231" s="10"/>
      <c r="K231" s="10"/>
      <c r="L231" s="10" t="s">
        <v>45</v>
      </c>
      <c r="M231" s="10" t="s">
        <v>110</v>
      </c>
      <c r="N231" s="10"/>
      <c r="O231" s="30">
        <v>-43.250069838825304</v>
      </c>
      <c r="P231" s="30">
        <v>6.5109671495488151</v>
      </c>
      <c r="Q231" s="30">
        <v>-10.596812042672155</v>
      </c>
      <c r="R231" s="30">
        <v>-31.73688910030701</v>
      </c>
      <c r="S231" s="30">
        <v>-39.674696482255385</v>
      </c>
      <c r="T231" s="30">
        <v>-1.6123207005427846E-2</v>
      </c>
    </row>
    <row r="232" spans="10:20" x14ac:dyDescent="0.25">
      <c r="J232" s="10"/>
      <c r="K232" s="10"/>
      <c r="L232" s="10" t="s">
        <v>45</v>
      </c>
      <c r="M232" s="10" t="s">
        <v>111</v>
      </c>
      <c r="N232" s="10"/>
      <c r="O232" s="30">
        <v>22.245373119864858</v>
      </c>
      <c r="P232" s="30">
        <v>4.3159620548238653</v>
      </c>
      <c r="Q232" s="30">
        <v>-61.049749016076952</v>
      </c>
      <c r="R232" s="30">
        <v>-20.334210706148941</v>
      </c>
      <c r="S232" s="30">
        <v>21.391843374161553</v>
      </c>
      <c r="T232" s="30">
        <v>6.0054834015013008E-3</v>
      </c>
    </row>
    <row r="233" spans="10:20" x14ac:dyDescent="0.25">
      <c r="J233" s="10"/>
      <c r="K233" s="10"/>
      <c r="L233" s="10" t="s">
        <v>45</v>
      </c>
      <c r="M233" s="10" t="s">
        <v>112</v>
      </c>
      <c r="N233" s="10"/>
      <c r="O233" s="30">
        <v>8.4982275133454479</v>
      </c>
      <c r="P233" s="30">
        <v>0.62471953384737422</v>
      </c>
      <c r="Q233" s="30">
        <v>25.166661459672</v>
      </c>
      <c r="R233" s="30">
        <v>-3.4490195443758154</v>
      </c>
      <c r="S233" s="30">
        <v>8.9993434710486468</v>
      </c>
      <c r="T233" s="30">
        <v>6.3381762846958633E-3</v>
      </c>
    </row>
    <row r="234" spans="10:20" x14ac:dyDescent="0.25">
      <c r="J234" s="10"/>
      <c r="K234" s="10"/>
      <c r="L234" s="10" t="s">
        <v>45</v>
      </c>
      <c r="M234" s="10" t="s">
        <v>113</v>
      </c>
      <c r="N234" s="10"/>
      <c r="O234" s="30">
        <v>30.209920011731253</v>
      </c>
      <c r="P234" s="30">
        <v>-0.90800078047291233</v>
      </c>
      <c r="Q234" s="30">
        <v>-53.411873501993149</v>
      </c>
      <c r="R234" s="30">
        <v>20.757760464448907</v>
      </c>
      <c r="S234" s="30">
        <v>28.446561990758838</v>
      </c>
      <c r="T234" s="30">
        <v>2.8565290940101892E-2</v>
      </c>
    </row>
    <row r="235" spans="10:20" x14ac:dyDescent="0.25">
      <c r="J235" s="10"/>
      <c r="K235" s="10"/>
      <c r="L235" s="10" t="s">
        <v>45</v>
      </c>
      <c r="M235" s="10" t="s">
        <v>114</v>
      </c>
      <c r="N235" s="10"/>
      <c r="O235" s="30">
        <v>15.977031730759249</v>
      </c>
      <c r="P235" s="30">
        <v>-16.357567812303841</v>
      </c>
      <c r="Q235" s="30">
        <v>162.5104393947507</v>
      </c>
      <c r="R235" s="30">
        <v>111.99120797161711</v>
      </c>
      <c r="S235" s="30">
        <v>16.051862889992247</v>
      </c>
      <c r="T235" s="30">
        <v>5.6230396428138506E-2</v>
      </c>
    </row>
    <row r="236" spans="10:20" x14ac:dyDescent="0.25">
      <c r="J236" s="10"/>
      <c r="K236" s="10"/>
      <c r="L236" s="10" t="s">
        <v>45</v>
      </c>
      <c r="M236" s="10" t="s">
        <v>115</v>
      </c>
      <c r="N236" s="10"/>
      <c r="O236" s="30">
        <v>30.090711955276699</v>
      </c>
      <c r="P236" s="30">
        <v>9.0978387064492097</v>
      </c>
      <c r="Q236" s="30">
        <v>-54.75818216761742</v>
      </c>
      <c r="R236" s="30">
        <v>-58.805159858057145</v>
      </c>
      <c r="S236" s="30">
        <v>28.321603677598976</v>
      </c>
      <c r="T236" s="30">
        <v>-1.960542406725899E-2</v>
      </c>
    </row>
    <row r="237" spans="10:20" x14ac:dyDescent="0.25">
      <c r="J237" s="10"/>
      <c r="K237" s="10"/>
      <c r="L237" s="10" t="s">
        <v>45</v>
      </c>
      <c r="M237" s="10" t="s">
        <v>116</v>
      </c>
      <c r="N237" s="10"/>
      <c r="O237" s="30">
        <v>16.086512139048999</v>
      </c>
      <c r="P237" s="30">
        <v>18.758310642641991</v>
      </c>
      <c r="Q237" s="30">
        <v>66.299539202631763</v>
      </c>
      <c r="R237" s="30">
        <v>-129.59607083575904</v>
      </c>
      <c r="S237" s="30">
        <v>15.798830300390687</v>
      </c>
      <c r="T237" s="30">
        <v>-1.4074515256344535E-2</v>
      </c>
    </row>
    <row r="238" spans="10:20" x14ac:dyDescent="0.25">
      <c r="J238" s="10"/>
      <c r="K238" s="10"/>
      <c r="L238" s="10" t="s">
        <v>46</v>
      </c>
      <c r="M238" s="10" t="s">
        <v>91</v>
      </c>
      <c r="N238" s="10"/>
      <c r="O238" s="30">
        <v>-4.0484555407126486</v>
      </c>
      <c r="P238" s="30">
        <v>0.6618560253218787</v>
      </c>
      <c r="Q238" s="30">
        <v>71.91465939368355</v>
      </c>
      <c r="R238" s="30">
        <v>-2.3986181640488473</v>
      </c>
      <c r="S238" s="30">
        <v>-2.8316425970904642</v>
      </c>
      <c r="T238" s="30">
        <v>-1.9253072037201549E-3</v>
      </c>
    </row>
    <row r="239" spans="10:20" x14ac:dyDescent="0.25">
      <c r="J239" s="10"/>
      <c r="K239" s="10"/>
      <c r="L239" s="10" t="s">
        <v>46</v>
      </c>
      <c r="M239" s="10" t="s">
        <v>92</v>
      </c>
      <c r="N239" s="10"/>
      <c r="O239" s="30">
        <v>-3.7821579541667902</v>
      </c>
      <c r="P239" s="30">
        <v>2.8020214306956515</v>
      </c>
      <c r="Q239" s="30">
        <v>127.99344644641027</v>
      </c>
      <c r="R239" s="30">
        <v>-11.789781813256972</v>
      </c>
      <c r="S239" s="30">
        <v>-2.6941720830343159</v>
      </c>
      <c r="T239" s="30">
        <v>8.8905507752044741E-3</v>
      </c>
    </row>
    <row r="240" spans="10:20" x14ac:dyDescent="0.25">
      <c r="J240" s="10"/>
      <c r="K240" s="10"/>
      <c r="L240" s="10" t="s">
        <v>46</v>
      </c>
      <c r="M240" s="10" t="s">
        <v>93</v>
      </c>
      <c r="N240" s="10"/>
      <c r="O240" s="30">
        <v>-34.017996010637859</v>
      </c>
      <c r="P240" s="30">
        <v>-12.151286559260614</v>
      </c>
      <c r="Q240" s="30">
        <v>-154.34476338427959</v>
      </c>
      <c r="R240" s="30">
        <v>56.958472894971138</v>
      </c>
      <c r="S240" s="30">
        <v>-26.843288391799156</v>
      </c>
      <c r="T240" s="30">
        <v>-4.3447177675984487E-2</v>
      </c>
    </row>
    <row r="241" spans="10:20" x14ac:dyDescent="0.25">
      <c r="J241" s="10"/>
      <c r="K241" s="10"/>
      <c r="L241" s="10" t="s">
        <v>46</v>
      </c>
      <c r="M241" s="10" t="s">
        <v>94</v>
      </c>
      <c r="N241" s="10"/>
      <c r="O241" s="30">
        <v>-48.429390343622543</v>
      </c>
      <c r="P241" s="30">
        <v>-8.4143232596136635</v>
      </c>
      <c r="Q241" s="30">
        <v>-71.014338820870194</v>
      </c>
      <c r="R241" s="30">
        <v>39.889510280915353</v>
      </c>
      <c r="S241" s="30">
        <v>-38.562775434559065</v>
      </c>
      <c r="T241" s="30">
        <v>-2.291321003827812E-2</v>
      </c>
    </row>
    <row r="242" spans="10:20" x14ac:dyDescent="0.25">
      <c r="J242" s="10"/>
      <c r="K242" s="10"/>
      <c r="L242" s="10" t="s">
        <v>46</v>
      </c>
      <c r="M242" s="10" t="s">
        <v>95</v>
      </c>
      <c r="N242" s="10"/>
      <c r="O242" s="30">
        <v>23.777175426451834</v>
      </c>
      <c r="P242" s="30">
        <v>-6.2402133927113068</v>
      </c>
      <c r="Q242" s="30">
        <v>-105.30020388824447</v>
      </c>
      <c r="R242" s="30">
        <v>28.723655213967671</v>
      </c>
      <c r="S242" s="30">
        <v>19.966412272506627</v>
      </c>
      <c r="T242" s="30">
        <v>-4.2326086621309274E-2</v>
      </c>
    </row>
    <row r="243" spans="10:20" x14ac:dyDescent="0.25">
      <c r="J243" s="10"/>
      <c r="K243" s="10"/>
      <c r="L243" s="10" t="s">
        <v>46</v>
      </c>
      <c r="M243" s="10" t="s">
        <v>96</v>
      </c>
      <c r="N243" s="10"/>
      <c r="O243" s="30">
        <v>9.3569337778410731</v>
      </c>
      <c r="P243" s="30">
        <v>-2.5513458593206733</v>
      </c>
      <c r="Q243" s="30">
        <v>-22.014568963661656</v>
      </c>
      <c r="R243" s="30">
        <v>11.896991750739032</v>
      </c>
      <c r="S243" s="30">
        <v>8.2397194617159073</v>
      </c>
      <c r="T243" s="30">
        <v>-2.1807312487638675E-2</v>
      </c>
    </row>
    <row r="244" spans="10:20" x14ac:dyDescent="0.25">
      <c r="J244" s="10"/>
      <c r="K244" s="10"/>
      <c r="L244" s="10" t="s">
        <v>46</v>
      </c>
      <c r="M244" s="10" t="s">
        <v>97</v>
      </c>
      <c r="N244" s="10"/>
      <c r="O244" s="30">
        <v>32.308420364452004</v>
      </c>
      <c r="P244" s="30">
        <v>-10.955420352046366</v>
      </c>
      <c r="Q244" s="30">
        <v>-97.394490859619637</v>
      </c>
      <c r="R244" s="30">
        <v>66.430467247565602</v>
      </c>
      <c r="S244" s="30">
        <v>26.681769479975738</v>
      </c>
      <c r="T244" s="30">
        <v>-7.6878719709867038E-2</v>
      </c>
    </row>
    <row r="245" spans="10:20" x14ac:dyDescent="0.25">
      <c r="J245" s="10"/>
      <c r="K245" s="10"/>
      <c r="L245" s="10" t="s">
        <v>46</v>
      </c>
      <c r="M245" s="10" t="s">
        <v>98</v>
      </c>
      <c r="N245" s="10"/>
      <c r="O245" s="30">
        <v>17.848608585594281</v>
      </c>
      <c r="P245" s="30">
        <v>-20.489773417576814</v>
      </c>
      <c r="Q245" s="30">
        <v>20.879971677106006</v>
      </c>
      <c r="R245" s="30">
        <v>135.81039901262011</v>
      </c>
      <c r="S245" s="30">
        <v>14.869820728008341</v>
      </c>
      <c r="T245" s="30">
        <v>-0.17127458591180167</v>
      </c>
    </row>
    <row r="246" spans="10:20" x14ac:dyDescent="0.25">
      <c r="J246" s="10"/>
      <c r="K246" s="10"/>
      <c r="L246" s="10" t="s">
        <v>46</v>
      </c>
      <c r="M246" s="10" t="s">
        <v>99</v>
      </c>
      <c r="N246" s="10"/>
      <c r="O246" s="30">
        <v>32.47242979652745</v>
      </c>
      <c r="P246" s="30">
        <v>-1.0846328470627309</v>
      </c>
      <c r="Q246" s="30">
        <v>-96.027535731146273</v>
      </c>
      <c r="R246" s="30">
        <v>-11.570113260948805</v>
      </c>
      <c r="S246" s="30">
        <v>26.815379792594932</v>
      </c>
      <c r="T246" s="30">
        <v>-2.9310303270748254E-3</v>
      </c>
    </row>
    <row r="247" spans="10:20" x14ac:dyDescent="0.25">
      <c r="J247" s="10"/>
      <c r="K247" s="10"/>
      <c r="L247" s="10" t="s">
        <v>46</v>
      </c>
      <c r="M247" s="10" t="s">
        <v>100</v>
      </c>
      <c r="N247" s="10"/>
      <c r="O247" s="30">
        <v>18.641863935907768</v>
      </c>
      <c r="P247" s="30">
        <v>14.263806530282279</v>
      </c>
      <c r="Q247" s="30">
        <v>117.37615784575033</v>
      </c>
      <c r="R247" s="30">
        <v>-101.58473830341887</v>
      </c>
      <c r="S247" s="30">
        <v>15.384405326617241</v>
      </c>
      <c r="T247" s="30">
        <v>9.5316875073714752E-2</v>
      </c>
    </row>
    <row r="248" spans="10:20" x14ac:dyDescent="0.25">
      <c r="J248" s="10"/>
      <c r="K248" s="10"/>
      <c r="L248" s="10" t="s">
        <v>46</v>
      </c>
      <c r="M248" s="10" t="s">
        <v>101</v>
      </c>
      <c r="N248" s="10"/>
      <c r="O248" s="30">
        <v>-30.754744377099481</v>
      </c>
      <c r="P248" s="30">
        <v>-8.7298068954285917</v>
      </c>
      <c r="Q248" s="30">
        <v>-75.640034053756551</v>
      </c>
      <c r="R248" s="30">
        <v>41.631600139861021</v>
      </c>
      <c r="S248" s="30">
        <v>-24.304653298272143</v>
      </c>
      <c r="T248" s="30">
        <v>-2.8479132649833427E-2</v>
      </c>
    </row>
    <row r="249" spans="10:20" x14ac:dyDescent="0.25">
      <c r="J249" s="10"/>
      <c r="K249" s="10"/>
      <c r="L249" s="10" t="s">
        <v>46</v>
      </c>
      <c r="M249" s="10" t="s">
        <v>102</v>
      </c>
      <c r="N249" s="10"/>
      <c r="O249" s="30">
        <v>-43.724999276785695</v>
      </c>
      <c r="P249" s="30">
        <v>-5.3665399257463386</v>
      </c>
      <c r="Q249" s="30">
        <v>-0.64265194668811443</v>
      </c>
      <c r="R249" s="30">
        <v>26.269533787210811</v>
      </c>
      <c r="S249" s="30">
        <v>-34.852191636756061</v>
      </c>
      <c r="T249" s="30">
        <v>-9.9985617758976963E-3</v>
      </c>
    </row>
    <row r="250" spans="10:20" x14ac:dyDescent="0.25">
      <c r="J250" s="10"/>
      <c r="K250" s="10"/>
      <c r="L250" s="10" t="s">
        <v>46</v>
      </c>
      <c r="M250" s="10" t="s">
        <v>103</v>
      </c>
      <c r="N250" s="10"/>
      <c r="O250" s="30">
        <v>21.260909916281246</v>
      </c>
      <c r="P250" s="30">
        <v>-3.409841045534217</v>
      </c>
      <c r="Q250" s="30">
        <v>-31.499930507324979</v>
      </c>
      <c r="R250" s="30">
        <v>16.220264226957891</v>
      </c>
      <c r="S250" s="30">
        <v>17.824077299603065</v>
      </c>
      <c r="T250" s="30">
        <v>-2.7470150700625726E-2</v>
      </c>
    </row>
    <row r="251" spans="10:20" x14ac:dyDescent="0.25">
      <c r="J251" s="10"/>
      <c r="K251" s="10"/>
      <c r="L251" s="10" t="s">
        <v>46</v>
      </c>
      <c r="M251" s="10" t="s">
        <v>104</v>
      </c>
      <c r="N251" s="10"/>
      <c r="O251" s="30">
        <v>8.2826924325315598</v>
      </c>
      <c r="P251" s="30">
        <v>-8.9860265482645876E-2</v>
      </c>
      <c r="Q251" s="30">
        <v>43.457140924799582</v>
      </c>
      <c r="R251" s="30">
        <v>1.0762671100521197</v>
      </c>
      <c r="S251" s="30">
        <v>7.2700537698914189</v>
      </c>
      <c r="T251" s="30">
        <v>-9.0032539803221925E-3</v>
      </c>
    </row>
    <row r="252" spans="10:20" x14ac:dyDescent="0.25">
      <c r="J252" s="10"/>
      <c r="K252" s="10"/>
      <c r="L252" s="10" t="s">
        <v>46</v>
      </c>
      <c r="M252" s="10" t="s">
        <v>105</v>
      </c>
      <c r="N252" s="10"/>
      <c r="O252" s="30">
        <v>28.9390303604814</v>
      </c>
      <c r="P252" s="30">
        <v>-7.6535273089357689</v>
      </c>
      <c r="Q252" s="30">
        <v>-24.384788781562612</v>
      </c>
      <c r="R252" s="30">
        <v>50.156395057196022</v>
      </c>
      <c r="S252" s="30">
        <v>23.867898786325267</v>
      </c>
      <c r="T252" s="30">
        <v>-5.8567520480327713E-2</v>
      </c>
    </row>
    <row r="253" spans="10:20" x14ac:dyDescent="0.25">
      <c r="J253" s="10"/>
      <c r="K253" s="10"/>
      <c r="L253" s="10" t="s">
        <v>46</v>
      </c>
      <c r="M253" s="10" t="s">
        <v>106</v>
      </c>
      <c r="N253" s="10"/>
      <c r="O253" s="30">
        <v>15.925199759509447</v>
      </c>
      <c r="P253" s="30">
        <v>-16.234445067913171</v>
      </c>
      <c r="Q253" s="30">
        <v>82.062227501490483</v>
      </c>
      <c r="R253" s="30">
        <v>112.5983336457451</v>
      </c>
      <c r="S253" s="30">
        <v>13.23714490955461</v>
      </c>
      <c r="T253" s="30">
        <v>-0.14352380006206894</v>
      </c>
    </row>
    <row r="254" spans="10:20" x14ac:dyDescent="0.25">
      <c r="J254" s="10"/>
      <c r="K254" s="10"/>
      <c r="L254" s="10" t="s">
        <v>46</v>
      </c>
      <c r="M254" s="10" t="s">
        <v>107</v>
      </c>
      <c r="N254" s="10"/>
      <c r="O254" s="30">
        <v>29.086638849349299</v>
      </c>
      <c r="P254" s="30">
        <v>1.2301814455495026</v>
      </c>
      <c r="Q254" s="30">
        <v>-23.15452916593657</v>
      </c>
      <c r="R254" s="30">
        <v>-20.044127400466934</v>
      </c>
      <c r="S254" s="30">
        <v>23.988148067682541</v>
      </c>
      <c r="T254" s="30">
        <v>7.9853999641852687E-3</v>
      </c>
    </row>
    <row r="255" spans="10:20" x14ac:dyDescent="0.25">
      <c r="J255" s="10"/>
      <c r="K255" s="10"/>
      <c r="L255" s="10" t="s">
        <v>46</v>
      </c>
      <c r="M255" s="10" t="s">
        <v>108</v>
      </c>
      <c r="N255" s="10"/>
      <c r="O255" s="30">
        <v>16.639129574791582</v>
      </c>
      <c r="P255" s="30">
        <v>15.04377688516001</v>
      </c>
      <c r="Q255" s="30">
        <v>168.90879505327035</v>
      </c>
      <c r="R255" s="30">
        <v>-101.05728993868999</v>
      </c>
      <c r="S255" s="30">
        <v>13.70027104830262</v>
      </c>
      <c r="T255" s="30">
        <v>9.6408514824895888E-2</v>
      </c>
    </row>
    <row r="256" spans="10:20" x14ac:dyDescent="0.25">
      <c r="J256" s="10"/>
      <c r="K256" s="10"/>
      <c r="L256" s="10" t="s">
        <v>46</v>
      </c>
      <c r="M256" s="10" t="s">
        <v>109</v>
      </c>
      <c r="N256" s="10"/>
      <c r="O256" s="30">
        <v>-33.778328182746591</v>
      </c>
      <c r="P256" s="30">
        <v>-10.225137694424216</v>
      </c>
      <c r="Q256" s="30">
        <v>-103.87385503682553</v>
      </c>
      <c r="R256" s="30">
        <v>48.506425610683834</v>
      </c>
      <c r="S256" s="30">
        <v>-26.719564929148621</v>
      </c>
      <c r="T256" s="30">
        <v>-3.3712905494952324E-2</v>
      </c>
    </row>
    <row r="257" spans="10:20" x14ac:dyDescent="0.25">
      <c r="J257" s="10"/>
      <c r="K257" s="10"/>
      <c r="L257" s="10" t="s">
        <v>46</v>
      </c>
      <c r="M257" s="10" t="s">
        <v>110</v>
      </c>
      <c r="N257" s="10"/>
      <c r="O257" s="30">
        <v>-48.189722515731269</v>
      </c>
      <c r="P257" s="30">
        <v>-6.4881743947772677</v>
      </c>
      <c r="Q257" s="30">
        <v>-20.543430473416137</v>
      </c>
      <c r="R257" s="30">
        <v>31.437462996628046</v>
      </c>
      <c r="S257" s="30">
        <v>-38.439051971908526</v>
      </c>
      <c r="T257" s="30">
        <v>-1.317893785724595E-2</v>
      </c>
    </row>
    <row r="258" spans="10:20" x14ac:dyDescent="0.25">
      <c r="J258" s="10"/>
      <c r="K258" s="10"/>
      <c r="L258" s="10" t="s">
        <v>46</v>
      </c>
      <c r="M258" s="10" t="s">
        <v>111</v>
      </c>
      <c r="N258" s="10"/>
      <c r="O258" s="30">
        <v>24.016843254343108</v>
      </c>
      <c r="P258" s="30">
        <v>-4.3140645278749119</v>
      </c>
      <c r="Q258" s="30">
        <v>-54.829295540790412</v>
      </c>
      <c r="R258" s="30">
        <v>20.271607929680357</v>
      </c>
      <c r="S258" s="30">
        <v>20.090135735157162</v>
      </c>
      <c r="T258" s="30">
        <v>-3.2591814440277103E-2</v>
      </c>
    </row>
    <row r="259" spans="10:20" x14ac:dyDescent="0.25">
      <c r="J259" s="10"/>
      <c r="K259" s="10"/>
      <c r="L259" s="10" t="s">
        <v>46</v>
      </c>
      <c r="M259" s="10" t="s">
        <v>112</v>
      </c>
      <c r="N259" s="10"/>
      <c r="O259" s="30">
        <v>9.5966016057323476</v>
      </c>
      <c r="P259" s="30">
        <v>-0.62519699448427757</v>
      </c>
      <c r="Q259" s="30">
        <v>28.456339383792404</v>
      </c>
      <c r="R259" s="30">
        <v>3.4449444664517204</v>
      </c>
      <c r="S259" s="30">
        <v>8.3634429243664421</v>
      </c>
      <c r="T259" s="30">
        <v>-1.2073040306606506E-2</v>
      </c>
    </row>
    <row r="260" spans="10:20" x14ac:dyDescent="0.25">
      <c r="J260" s="10"/>
      <c r="K260" s="10"/>
      <c r="L260" s="10" t="s">
        <v>46</v>
      </c>
      <c r="M260" s="10" t="s">
        <v>113</v>
      </c>
      <c r="N260" s="10"/>
      <c r="O260" s="30">
        <v>32.548088192343279</v>
      </c>
      <c r="P260" s="30">
        <v>-9.0292714872099697</v>
      </c>
      <c r="Q260" s="30">
        <v>-46.923582512165588</v>
      </c>
      <c r="R260" s="30">
        <v>57.978419963278284</v>
      </c>
      <c r="S260" s="30">
        <v>26.805492942626273</v>
      </c>
      <c r="T260" s="30">
        <v>-6.7144447528834875E-2</v>
      </c>
    </row>
    <row r="261" spans="10:20" x14ac:dyDescent="0.25">
      <c r="J261" s="10"/>
      <c r="K261" s="10"/>
      <c r="L261" s="10" t="s">
        <v>46</v>
      </c>
      <c r="M261" s="10" t="s">
        <v>114</v>
      </c>
      <c r="N261" s="10"/>
      <c r="O261" s="30">
        <v>18.088276413485552</v>
      </c>
      <c r="P261" s="30">
        <v>-18.563624552740418</v>
      </c>
      <c r="Q261" s="30">
        <v>71.35088002456007</v>
      </c>
      <c r="R261" s="30">
        <v>127.35835172833282</v>
      </c>
      <c r="S261" s="30">
        <v>14.993544190658875</v>
      </c>
      <c r="T261" s="30">
        <v>-0.16154031373076952</v>
      </c>
    </row>
    <row r="262" spans="10:20" x14ac:dyDescent="0.25">
      <c r="J262" s="10"/>
      <c r="K262" s="10"/>
      <c r="L262" s="10" t="s">
        <v>46</v>
      </c>
      <c r="M262" s="10" t="s">
        <v>115</v>
      </c>
      <c r="N262" s="10"/>
      <c r="O262" s="30">
        <v>32.712097624418725</v>
      </c>
      <c r="P262" s="30">
        <v>0.8415160177736648</v>
      </c>
      <c r="Q262" s="30">
        <v>-45.556627383692209</v>
      </c>
      <c r="R262" s="30">
        <v>-20.022160545236112</v>
      </c>
      <c r="S262" s="30">
        <v>26.939103255245467</v>
      </c>
      <c r="T262" s="30">
        <v>6.8032418539573413E-3</v>
      </c>
    </row>
    <row r="263" spans="10:20" x14ac:dyDescent="0.25">
      <c r="J263" s="10"/>
      <c r="K263" s="10"/>
      <c r="L263" s="10" t="s">
        <v>46</v>
      </c>
      <c r="M263" s="10" t="s">
        <v>116</v>
      </c>
      <c r="N263" s="10"/>
      <c r="O263" s="30">
        <v>18.881531763799043</v>
      </c>
      <c r="P263" s="30">
        <v>16.189955395118677</v>
      </c>
      <c r="Q263" s="30">
        <v>167.8470661932044</v>
      </c>
      <c r="R263" s="30">
        <v>-110.03678558770618</v>
      </c>
      <c r="S263" s="30">
        <v>15.508128789267774</v>
      </c>
      <c r="T263" s="30">
        <v>0.10505114725474692</v>
      </c>
    </row>
    <row r="264" spans="10:20" x14ac:dyDescent="0.25">
      <c r="J264" s="10"/>
      <c r="K264" s="10"/>
      <c r="L264" s="10" t="s">
        <v>47</v>
      </c>
      <c r="M264" s="10" t="s">
        <v>91</v>
      </c>
      <c r="N264" s="10"/>
      <c r="O264" s="30">
        <v>-4.0706209722368749</v>
      </c>
      <c r="P264" s="30">
        <v>-6.905593147136444</v>
      </c>
      <c r="Q264" s="30">
        <v>49.672923264430359</v>
      </c>
      <c r="R264" s="30">
        <v>30.178514135515073</v>
      </c>
      <c r="S264" s="30">
        <v>-2.712503879520038</v>
      </c>
      <c r="T264" s="30">
        <v>-5.6564759932088142E-2</v>
      </c>
    </row>
    <row r="265" spans="10:20" x14ac:dyDescent="0.25">
      <c r="J265" s="10"/>
      <c r="K265" s="10"/>
      <c r="L265" s="10" t="s">
        <v>47</v>
      </c>
      <c r="M265" s="10" t="s">
        <v>92</v>
      </c>
      <c r="N265" s="10"/>
      <c r="O265" s="30">
        <v>-3.6862181779444163</v>
      </c>
      <c r="P265" s="30">
        <v>-18.809898775557272</v>
      </c>
      <c r="Q265" s="30">
        <v>76.821775788222666</v>
      </c>
      <c r="R265" s="30">
        <v>81.824566695945265</v>
      </c>
      <c r="S265" s="30">
        <v>-2.3561668185576572</v>
      </c>
      <c r="T265" s="30">
        <v>-0.12468602947174912</v>
      </c>
    </row>
    <row r="266" spans="10:20" x14ac:dyDescent="0.25">
      <c r="J266" s="10"/>
      <c r="K266" s="10"/>
      <c r="L266" s="10" t="s">
        <v>47</v>
      </c>
      <c r="M266" s="10" t="s">
        <v>93</v>
      </c>
      <c r="N266" s="10"/>
      <c r="O266" s="30">
        <v>-21.406050095467318</v>
      </c>
      <c r="P266" s="30">
        <v>15.934488304624837</v>
      </c>
      <c r="Q266" s="30">
        <v>-71.731363264059809</v>
      </c>
      <c r="R266" s="30">
        <v>-110.9122159638203</v>
      </c>
      <c r="S266" s="30">
        <v>-17.967473453369962</v>
      </c>
      <c r="T266" s="30">
        <v>6.9796575228747493E-2</v>
      </c>
    </row>
    <row r="267" spans="10:20" x14ac:dyDescent="0.25">
      <c r="J267" s="10"/>
      <c r="K267" s="10"/>
      <c r="L267" s="10" t="s">
        <v>47</v>
      </c>
      <c r="M267" s="10" t="s">
        <v>94</v>
      </c>
      <c r="N267" s="10"/>
      <c r="O267" s="30">
        <v>-28.072069837875638</v>
      </c>
      <c r="P267" s="30">
        <v>11.385113831216769</v>
      </c>
      <c r="Q267" s="30">
        <v>-28.165058974811192</v>
      </c>
      <c r="R267" s="30">
        <v>-73.689254967471058</v>
      </c>
      <c r="S267" s="30">
        <v>-23.060306469572712</v>
      </c>
      <c r="T267" s="30">
        <v>7.0930804392166959E-3</v>
      </c>
    </row>
    <row r="268" spans="10:20" x14ac:dyDescent="0.25">
      <c r="J268" s="10"/>
      <c r="K268" s="10"/>
      <c r="L268" s="10" t="s">
        <v>47</v>
      </c>
      <c r="M268" s="10" t="s">
        <v>95</v>
      </c>
      <c r="N268" s="10"/>
      <c r="O268" s="30">
        <v>10.735148218578537</v>
      </c>
      <c r="P268" s="30">
        <v>4.6720885002811672</v>
      </c>
      <c r="Q268" s="30">
        <v>-45.515225786466303</v>
      </c>
      <c r="R268" s="30">
        <v>-51.428245345233798</v>
      </c>
      <c r="S268" s="30">
        <v>10.302557027964072</v>
      </c>
      <c r="T268" s="30">
        <v>7.8920764703257554E-2</v>
      </c>
    </row>
    <row r="269" spans="10:20" x14ac:dyDescent="0.25">
      <c r="J269" s="10"/>
      <c r="K269" s="10"/>
      <c r="L269" s="10" t="s">
        <v>47</v>
      </c>
      <c r="M269" s="10" t="s">
        <v>96</v>
      </c>
      <c r="N269" s="10"/>
      <c r="O269" s="30">
        <v>4.0725549544624124</v>
      </c>
      <c r="P269" s="30">
        <v>0.25604037504592175</v>
      </c>
      <c r="Q269" s="30">
        <v>-2.4435830107132128</v>
      </c>
      <c r="R269" s="30">
        <v>-14.757141451906088</v>
      </c>
      <c r="S269" s="30">
        <v>5.2146073051785331</v>
      </c>
      <c r="T269" s="30">
        <v>1.6081319275833415E-2</v>
      </c>
    </row>
    <row r="270" spans="10:20" x14ac:dyDescent="0.25">
      <c r="J270" s="10"/>
      <c r="K270" s="10"/>
      <c r="L270" s="10" t="s">
        <v>47</v>
      </c>
      <c r="M270" s="10" t="s">
        <v>97</v>
      </c>
      <c r="N270" s="10"/>
      <c r="O270" s="30">
        <v>12.774173565051019</v>
      </c>
      <c r="P270" s="30">
        <v>3.4363628860113815</v>
      </c>
      <c r="Q270" s="30">
        <v>-31.864868320611386</v>
      </c>
      <c r="R270" s="30">
        <v>-21.066750337777922</v>
      </c>
      <c r="S270" s="30">
        <v>10.143211186395247</v>
      </c>
      <c r="T270" s="30">
        <v>4.2504084772461793E-2</v>
      </c>
    </row>
    <row r="271" spans="10:20" x14ac:dyDescent="0.25">
      <c r="J271" s="10"/>
      <c r="K271" s="10"/>
      <c r="L271" s="10" t="s">
        <v>47</v>
      </c>
      <c r="M271" s="10" t="s">
        <v>98</v>
      </c>
      <c r="N271" s="10"/>
      <c r="O271" s="30">
        <v>6.7771675532400373</v>
      </c>
      <c r="P271" s="30">
        <v>-12.300390491602878</v>
      </c>
      <c r="Q271" s="30">
        <v>21.309426154426571</v>
      </c>
      <c r="R271" s="30">
        <v>90.319027196022617</v>
      </c>
      <c r="S271" s="30">
        <v>5.7729032124753488</v>
      </c>
      <c r="T271" s="30">
        <v>-0.10390177937141956</v>
      </c>
    </row>
    <row r="272" spans="10:20" x14ac:dyDescent="0.25">
      <c r="J272" s="10"/>
      <c r="K272" s="10"/>
      <c r="L272" s="10" t="s">
        <v>47</v>
      </c>
      <c r="M272" s="10" t="s">
        <v>99</v>
      </c>
      <c r="N272" s="10"/>
      <c r="O272" s="30">
        <v>19.08039645109853</v>
      </c>
      <c r="P272" s="30">
        <v>52.390624837882648</v>
      </c>
      <c r="Q272" s="30">
        <v>-55.478688240226582</v>
      </c>
      <c r="R272" s="30">
        <v>-221.44912094840819</v>
      </c>
      <c r="S272" s="30">
        <v>14.815765444240151</v>
      </c>
      <c r="T272" s="30">
        <v>0.23558933092181389</v>
      </c>
    </row>
    <row r="273" spans="10:20" x14ac:dyDescent="0.25">
      <c r="J273" s="10"/>
      <c r="K273" s="10"/>
      <c r="L273" s="10" t="s">
        <v>47</v>
      </c>
      <c r="M273" s="10" t="s">
        <v>100</v>
      </c>
      <c r="N273" s="10"/>
      <c r="O273" s="30">
        <v>13.478740611226476</v>
      </c>
      <c r="P273" s="30">
        <v>25.919074432133989</v>
      </c>
      <c r="Q273" s="30">
        <v>68.610538035381651</v>
      </c>
      <c r="R273" s="30">
        <v>-111.80849274948176</v>
      </c>
      <c r="S273" s="30">
        <v>10.685717103055694</v>
      </c>
      <c r="T273" s="30">
        <v>6.782757358459178E-2</v>
      </c>
    </row>
    <row r="274" spans="10:20" x14ac:dyDescent="0.25">
      <c r="J274" s="10"/>
      <c r="K274" s="10"/>
      <c r="L274" s="10" t="s">
        <v>47</v>
      </c>
      <c r="M274" s="10" t="s">
        <v>101</v>
      </c>
      <c r="N274" s="10"/>
      <c r="O274" s="30">
        <v>-19.288104388851814</v>
      </c>
      <c r="P274" s="30">
        <v>1.7461745310278818</v>
      </c>
      <c r="Q274" s="30">
        <v>-32.442082087418477</v>
      </c>
      <c r="R274" s="30">
        <v>-45.157090393456549</v>
      </c>
      <c r="S274" s="30">
        <v>-16.085639435022589</v>
      </c>
      <c r="T274" s="30">
        <v>-1.0960827826997045E-2</v>
      </c>
    </row>
    <row r="275" spans="10:20" x14ac:dyDescent="0.25">
      <c r="J275" s="10"/>
      <c r="K275" s="10"/>
      <c r="L275" s="10" t="s">
        <v>47</v>
      </c>
      <c r="M275" s="10" t="s">
        <v>102</v>
      </c>
      <c r="N275" s="10"/>
      <c r="O275" s="30">
        <v>-25.2875221570193</v>
      </c>
      <c r="P275" s="30">
        <v>-2.3482624950393762</v>
      </c>
      <c r="Q275" s="30">
        <v>6.7675917729052735</v>
      </c>
      <c r="R275" s="30">
        <v>-11.656425496742246</v>
      </c>
      <c r="S275" s="30">
        <v>-20.669189149605064</v>
      </c>
      <c r="T275" s="30">
        <v>-6.7393973137574767E-2</v>
      </c>
    </row>
    <row r="276" spans="10:20" x14ac:dyDescent="0.25">
      <c r="J276" s="10"/>
      <c r="K276" s="10"/>
      <c r="L276" s="10" t="s">
        <v>47</v>
      </c>
      <c r="M276" s="10" t="s">
        <v>103</v>
      </c>
      <c r="N276" s="10"/>
      <c r="O276" s="30">
        <v>9.6389740937894555</v>
      </c>
      <c r="P276" s="30">
        <v>-8.3899852928814198</v>
      </c>
      <c r="Q276" s="30">
        <v>-8.8475583575843313</v>
      </c>
      <c r="R276" s="30">
        <v>8.3784831632712908</v>
      </c>
      <c r="S276" s="30">
        <v>9.3573879981780426</v>
      </c>
      <c r="T276" s="30">
        <v>-2.7490572999379795E-3</v>
      </c>
    </row>
    <row r="277" spans="10:20" x14ac:dyDescent="0.25">
      <c r="J277" s="10"/>
      <c r="K277" s="10"/>
      <c r="L277" s="10" t="s">
        <v>47</v>
      </c>
      <c r="M277" s="10" t="s">
        <v>104</v>
      </c>
      <c r="N277" s="10"/>
      <c r="O277" s="30">
        <v>3.642640156084942</v>
      </c>
      <c r="P277" s="30">
        <v>-12.364428605593142</v>
      </c>
      <c r="Q277" s="30">
        <v>29.916920140593458</v>
      </c>
      <c r="R277" s="30">
        <v>41.382476667266225</v>
      </c>
      <c r="S277" s="30">
        <v>4.7782332476710572</v>
      </c>
      <c r="T277" s="30">
        <v>-5.9304558184619716E-2</v>
      </c>
    </row>
    <row r="278" spans="10:20" x14ac:dyDescent="0.25">
      <c r="J278" s="10"/>
      <c r="K278" s="10"/>
      <c r="L278" s="10" t="s">
        <v>47</v>
      </c>
      <c r="M278" s="10" t="s">
        <v>105</v>
      </c>
      <c r="N278" s="10"/>
      <c r="O278" s="30">
        <v>11.474096905614687</v>
      </c>
      <c r="P278" s="30">
        <v>-9.5021383457242283</v>
      </c>
      <c r="Q278" s="30">
        <v>3.4377633616851084</v>
      </c>
      <c r="R278" s="30">
        <v>35.703828669981576</v>
      </c>
      <c r="S278" s="30">
        <v>9.2139767407660997</v>
      </c>
      <c r="T278" s="30">
        <v>-3.5524069237654173E-2</v>
      </c>
    </row>
    <row r="279" spans="10:20" x14ac:dyDescent="0.25">
      <c r="J279" s="10"/>
      <c r="K279" s="10"/>
      <c r="L279" s="10" t="s">
        <v>47</v>
      </c>
      <c r="M279" s="10" t="s">
        <v>106</v>
      </c>
      <c r="N279" s="10"/>
      <c r="O279" s="30">
        <v>6.0767914949848034</v>
      </c>
      <c r="P279" s="30">
        <v>-23.665216385577061</v>
      </c>
      <c r="Q279" s="30">
        <v>51.294628389219262</v>
      </c>
      <c r="R279" s="30">
        <v>135.95102845040208</v>
      </c>
      <c r="S279" s="30">
        <v>5.2806995642381889</v>
      </c>
      <c r="T279" s="30">
        <v>-0.1672893469671474</v>
      </c>
    </row>
    <row r="280" spans="10:20" x14ac:dyDescent="0.25">
      <c r="J280" s="10"/>
      <c r="K280" s="10"/>
      <c r="L280" s="10" t="s">
        <v>47</v>
      </c>
      <c r="M280" s="10" t="s">
        <v>107</v>
      </c>
      <c r="N280" s="10"/>
      <c r="O280" s="30">
        <v>17.149697503057446</v>
      </c>
      <c r="P280" s="30">
        <v>34.556697410959913</v>
      </c>
      <c r="Q280" s="30">
        <v>-17.814674565968581</v>
      </c>
      <c r="R280" s="30">
        <v>-144.64030487958564</v>
      </c>
      <c r="S280" s="30">
        <v>13.419275572826512</v>
      </c>
      <c r="T280" s="30">
        <v>0.13825265229676276</v>
      </c>
    </row>
    <row r="281" spans="10:20" x14ac:dyDescent="0.25">
      <c r="J281" s="10"/>
      <c r="K281" s="10"/>
      <c r="L281" s="10" t="s">
        <v>47</v>
      </c>
      <c r="M281" s="10" t="s">
        <v>108</v>
      </c>
      <c r="N281" s="10"/>
      <c r="O281" s="30">
        <v>12.108207247172597</v>
      </c>
      <c r="P281" s="30">
        <v>10.732302045786119</v>
      </c>
      <c r="Q281" s="30">
        <v>93.865629082078826</v>
      </c>
      <c r="R281" s="30">
        <v>-45.963739500551867</v>
      </c>
      <c r="S281" s="30">
        <v>9.7022320657605015</v>
      </c>
      <c r="T281" s="30">
        <v>-1.2732929306737188E-2</v>
      </c>
    </row>
    <row r="282" spans="10:20" x14ac:dyDescent="0.25">
      <c r="J282" s="10"/>
      <c r="K282" s="10"/>
      <c r="L282" s="10" t="s">
        <v>47</v>
      </c>
      <c r="M282" s="10" t="s">
        <v>109</v>
      </c>
      <c r="N282" s="10"/>
      <c r="O282" s="30">
        <v>-21.060087580604105</v>
      </c>
      <c r="P282" s="30">
        <v>5.2206132390460871</v>
      </c>
      <c r="Q282" s="30">
        <v>-47.297395992646727</v>
      </c>
      <c r="R282" s="30">
        <v>-64.430768659433113</v>
      </c>
      <c r="S282" s="30">
        <v>-17.646770098503819</v>
      </c>
      <c r="T282" s="30">
        <v>8.4874326430526108E-3</v>
      </c>
    </row>
    <row r="283" spans="10:20" x14ac:dyDescent="0.25">
      <c r="J283" s="10"/>
      <c r="K283" s="10"/>
      <c r="L283" s="10" t="s">
        <v>47</v>
      </c>
      <c r="M283" s="10" t="s">
        <v>110</v>
      </c>
      <c r="N283" s="10"/>
      <c r="O283" s="30">
        <v>-27.726107323012421</v>
      </c>
      <c r="P283" s="30">
        <v>0.67123876563801954</v>
      </c>
      <c r="Q283" s="30">
        <v>-3.7310917033981088</v>
      </c>
      <c r="R283" s="30">
        <v>-27.207807663083873</v>
      </c>
      <c r="S283" s="30">
        <v>-22.739603114706568</v>
      </c>
      <c r="T283" s="30">
        <v>-5.4216062146478179E-2</v>
      </c>
    </row>
    <row r="284" spans="10:20" x14ac:dyDescent="0.25">
      <c r="J284" s="10"/>
      <c r="K284" s="10"/>
      <c r="L284" s="10" t="s">
        <v>47</v>
      </c>
      <c r="M284" s="10" t="s">
        <v>111</v>
      </c>
      <c r="N284" s="10"/>
      <c r="O284" s="30">
        <v>11.081110733441749</v>
      </c>
      <c r="P284" s="30">
        <v>-6.0417865652975822</v>
      </c>
      <c r="Q284" s="30">
        <v>-21.081258515053221</v>
      </c>
      <c r="R284" s="30">
        <v>-4.9467980408466143</v>
      </c>
      <c r="S284" s="30">
        <v>10.623260382830214</v>
      </c>
      <c r="T284" s="30">
        <v>1.7611622117562682E-2</v>
      </c>
    </row>
    <row r="285" spans="10:20" x14ac:dyDescent="0.25">
      <c r="J285" s="10"/>
      <c r="K285" s="10"/>
      <c r="L285" s="10" t="s">
        <v>47</v>
      </c>
      <c r="M285" s="10" t="s">
        <v>112</v>
      </c>
      <c r="N285" s="10"/>
      <c r="O285" s="30">
        <v>4.4185174693256251</v>
      </c>
      <c r="P285" s="30">
        <v>-10.457834690532827</v>
      </c>
      <c r="Q285" s="30">
        <v>21.990384260699869</v>
      </c>
      <c r="R285" s="30">
        <v>31.724305852481095</v>
      </c>
      <c r="S285" s="30">
        <v>5.5353106600446758</v>
      </c>
      <c r="T285" s="30">
        <v>-4.5227823309861463E-2</v>
      </c>
    </row>
    <row r="286" spans="10:20" x14ac:dyDescent="0.25">
      <c r="J286" s="10"/>
      <c r="K286" s="10"/>
      <c r="L286" s="10" t="s">
        <v>47</v>
      </c>
      <c r="M286" s="10" t="s">
        <v>113</v>
      </c>
      <c r="N286" s="10"/>
      <c r="O286" s="30">
        <v>13.120136079914232</v>
      </c>
      <c r="P286" s="30">
        <v>-7.2775121795673678</v>
      </c>
      <c r="Q286" s="30">
        <v>-7.4309010491983045</v>
      </c>
      <c r="R286" s="30">
        <v>25.414696966609263</v>
      </c>
      <c r="S286" s="30">
        <v>10.46391454126139</v>
      </c>
      <c r="T286" s="30">
        <v>-1.8805057813233082E-2</v>
      </c>
    </row>
    <row r="287" spans="10:20" x14ac:dyDescent="0.25">
      <c r="J287" s="10"/>
      <c r="K287" s="10"/>
      <c r="L287" s="10" t="s">
        <v>47</v>
      </c>
      <c r="M287" s="10" t="s">
        <v>114</v>
      </c>
      <c r="N287" s="10"/>
      <c r="O287" s="30">
        <v>7.123130068103249</v>
      </c>
      <c r="P287" s="30">
        <v>-23.014265557181627</v>
      </c>
      <c r="Q287" s="30">
        <v>45.743393425839656</v>
      </c>
      <c r="R287" s="30">
        <v>136.80047450040982</v>
      </c>
      <c r="S287" s="30">
        <v>6.0936065673414905</v>
      </c>
      <c r="T287" s="30">
        <v>-0.16521092195711443</v>
      </c>
    </row>
    <row r="288" spans="10:20" x14ac:dyDescent="0.25">
      <c r="J288" s="10"/>
      <c r="K288" s="10"/>
      <c r="L288" s="10" t="s">
        <v>47</v>
      </c>
      <c r="M288" s="10" t="s">
        <v>115</v>
      </c>
      <c r="N288" s="10"/>
      <c r="O288" s="30">
        <v>19.426358965961743</v>
      </c>
      <c r="P288" s="30">
        <v>41.6767497723039</v>
      </c>
      <c r="Q288" s="30">
        <v>-31.044720968813497</v>
      </c>
      <c r="R288" s="30">
        <v>-174.96767364402098</v>
      </c>
      <c r="S288" s="30">
        <v>15.136468799106293</v>
      </c>
      <c r="T288" s="30">
        <v>0.17428018833611902</v>
      </c>
    </row>
    <row r="289" spans="10:20" x14ac:dyDescent="0.25">
      <c r="J289" s="10"/>
      <c r="K289" s="10"/>
      <c r="L289" s="10" t="s">
        <v>47</v>
      </c>
      <c r="M289" s="10" t="s">
        <v>116</v>
      </c>
      <c r="N289" s="10"/>
      <c r="O289" s="30">
        <v>13.824703126089688</v>
      </c>
      <c r="P289" s="30">
        <v>15.20519936655524</v>
      </c>
      <c r="Q289" s="30">
        <v>93.044505306794733</v>
      </c>
      <c r="R289" s="30">
        <v>-65.327045445094569</v>
      </c>
      <c r="S289" s="30">
        <v>11.006420457921838</v>
      </c>
      <c r="T289" s="30">
        <v>6.5184309988969022E-3</v>
      </c>
    </row>
    <row r="290" spans="10:20" x14ac:dyDescent="0.25">
      <c r="J290" s="10"/>
      <c r="K290" s="10"/>
      <c r="L290" s="10" t="s">
        <v>48</v>
      </c>
      <c r="M290" s="10" t="s">
        <v>91</v>
      </c>
      <c r="N290" s="10"/>
      <c r="O290" s="30">
        <v>-1.3882220634180353</v>
      </c>
      <c r="P290" s="30">
        <v>6.5169722965251919</v>
      </c>
      <c r="Q290" s="30">
        <v>50.502892469392826</v>
      </c>
      <c r="R290" s="30">
        <v>-29.512030255566895</v>
      </c>
      <c r="S290" s="30">
        <v>-1.1267693677974802</v>
      </c>
      <c r="T290" s="30">
        <v>-1.3863870810092585E-3</v>
      </c>
    </row>
    <row r="291" spans="10:20" x14ac:dyDescent="0.25">
      <c r="J291" s="10"/>
      <c r="K291" s="10"/>
      <c r="L291" s="10" t="s">
        <v>48</v>
      </c>
      <c r="M291" s="10" t="s">
        <v>92</v>
      </c>
      <c r="N291" s="10"/>
      <c r="O291" s="30">
        <v>-1.0942702904773827</v>
      </c>
      <c r="P291" s="30">
        <v>17.692812017191887</v>
      </c>
      <c r="Q291" s="30">
        <v>78.088530618961528</v>
      </c>
      <c r="R291" s="30">
        <v>-79.219793238561053</v>
      </c>
      <c r="S291" s="30">
        <v>-0.90121669915028479</v>
      </c>
      <c r="T291" s="30">
        <v>-2.526181327409855E-3</v>
      </c>
    </row>
    <row r="292" spans="10:20" x14ac:dyDescent="0.25">
      <c r="J292" s="10"/>
      <c r="K292" s="10"/>
      <c r="L292" s="10" t="s">
        <v>48</v>
      </c>
      <c r="M292" s="10" t="s">
        <v>93</v>
      </c>
      <c r="N292" s="10"/>
      <c r="O292" s="30">
        <v>-14.075295294386287</v>
      </c>
      <c r="P292" s="30">
        <v>4.0889980397311545</v>
      </c>
      <c r="Q292" s="30">
        <v>-39.078549306451485</v>
      </c>
      <c r="R292" s="30">
        <v>27.997593349004195</v>
      </c>
      <c r="S292" s="30">
        <v>-11.013319412424824</v>
      </c>
      <c r="T292" s="30">
        <v>8.4684230653546161E-2</v>
      </c>
    </row>
    <row r="293" spans="10:20" x14ac:dyDescent="0.25">
      <c r="J293" s="10"/>
      <c r="K293" s="10"/>
      <c r="L293" s="10" t="s">
        <v>48</v>
      </c>
      <c r="M293" s="10" t="s">
        <v>94</v>
      </c>
      <c r="N293" s="10"/>
      <c r="O293" s="30">
        <v>-17.103518907002211</v>
      </c>
      <c r="P293" s="30">
        <v>7.423117668252968</v>
      </c>
      <c r="Q293" s="30">
        <v>2.9047639018876721</v>
      </c>
      <c r="R293" s="30">
        <v>-5.3616682828750264</v>
      </c>
      <c r="S293" s="30">
        <v>-13.422663082461625</v>
      </c>
      <c r="T293" s="30">
        <v>8.2597197783391224E-2</v>
      </c>
    </row>
    <row r="294" spans="10:20" x14ac:dyDescent="0.25">
      <c r="J294" s="10"/>
      <c r="K294" s="10"/>
      <c r="L294" s="10" t="s">
        <v>48</v>
      </c>
      <c r="M294" s="10" t="s">
        <v>95</v>
      </c>
      <c r="N294" s="10"/>
      <c r="O294" s="30">
        <v>9.574777928230974</v>
      </c>
      <c r="P294" s="30">
        <v>-2.9273129044671271</v>
      </c>
      <c r="Q294" s="30">
        <v>-33.091073053452639</v>
      </c>
      <c r="R294" s="30">
        <v>45.487127363155274</v>
      </c>
      <c r="S294" s="30">
        <v>7.4150091988383062</v>
      </c>
      <c r="T294" s="30">
        <v>5.0267596069588222E-3</v>
      </c>
    </row>
    <row r="295" spans="10:20" x14ac:dyDescent="0.25">
      <c r="J295" s="10"/>
      <c r="K295" s="10"/>
      <c r="L295" s="10" t="s">
        <v>48</v>
      </c>
      <c r="M295" s="10" t="s">
        <v>96</v>
      </c>
      <c r="N295" s="10"/>
      <c r="O295" s="30">
        <v>6.5532376231383678</v>
      </c>
      <c r="P295" s="30">
        <v>0.40582030512953127</v>
      </c>
      <c r="Q295" s="30">
        <v>8.8921537715410643</v>
      </c>
      <c r="R295" s="30">
        <v>12.133553283643376</v>
      </c>
      <c r="S295" s="30">
        <v>5.0106016087422898</v>
      </c>
      <c r="T295" s="30">
        <v>3.7329265905063479E-3</v>
      </c>
    </row>
    <row r="296" spans="10:20" x14ac:dyDescent="0.25">
      <c r="J296" s="10"/>
      <c r="K296" s="10"/>
      <c r="L296" s="10" t="s">
        <v>48</v>
      </c>
      <c r="M296" s="10" t="s">
        <v>97</v>
      </c>
      <c r="N296" s="10"/>
      <c r="O296" s="30">
        <v>9.091723333051716</v>
      </c>
      <c r="P296" s="30">
        <v>-49.810643497527636</v>
      </c>
      <c r="Q296" s="30">
        <v>-45.294212455367607</v>
      </c>
      <c r="R296" s="30">
        <v>212.4183705968249</v>
      </c>
      <c r="S296" s="30">
        <v>7.2060614002474654</v>
      </c>
      <c r="T296" s="30">
        <v>1.1670492039987325E-2</v>
      </c>
    </row>
    <row r="297" spans="10:20" x14ac:dyDescent="0.25">
      <c r="J297" s="10"/>
      <c r="K297" s="10"/>
      <c r="L297" s="10" t="s">
        <v>48</v>
      </c>
      <c r="M297" s="10" t="s">
        <v>98</v>
      </c>
      <c r="N297" s="10"/>
      <c r="O297" s="30">
        <v>6.8454094128716232</v>
      </c>
      <c r="P297" s="30">
        <v>-27.379227581195863</v>
      </c>
      <c r="Q297" s="30">
        <v>72.285945157597141</v>
      </c>
      <c r="R297" s="30">
        <v>116.60551446750146</v>
      </c>
      <c r="S297" s="30">
        <v>5.3994441392810577</v>
      </c>
      <c r="T297" s="30">
        <v>1.6231400185845795E-3</v>
      </c>
    </row>
    <row r="298" spans="10:20" x14ac:dyDescent="0.25">
      <c r="J298" s="10"/>
      <c r="K298" s="10"/>
      <c r="L298" s="10" t="s">
        <v>48</v>
      </c>
      <c r="M298" s="10" t="s">
        <v>99</v>
      </c>
      <c r="N298" s="10"/>
      <c r="O298" s="30">
        <v>6.2578846461769126</v>
      </c>
      <c r="P298" s="30">
        <v>-1.6002391333064168</v>
      </c>
      <c r="Q298" s="30">
        <v>-28.030037708583361</v>
      </c>
      <c r="R298" s="30">
        <v>15.133637718098592</v>
      </c>
      <c r="S298" s="30">
        <v>4.9537399263660875</v>
      </c>
      <c r="T298" s="30">
        <v>1.7085593928998851E-4</v>
      </c>
    </row>
    <row r="299" spans="10:20" x14ac:dyDescent="0.25">
      <c r="J299" s="10"/>
      <c r="K299" s="10"/>
      <c r="L299" s="10" t="s">
        <v>48</v>
      </c>
      <c r="M299" s="10" t="s">
        <v>100</v>
      </c>
      <c r="N299" s="10"/>
      <c r="O299" s="30">
        <v>3.8803442349537391</v>
      </c>
      <c r="P299" s="30">
        <v>13.45136312783479</v>
      </c>
      <c r="Q299" s="30">
        <v>25.292468110713838</v>
      </c>
      <c r="R299" s="30">
        <v>-97.001861197465033</v>
      </c>
      <c r="S299" s="30">
        <v>3.0475981593800818</v>
      </c>
      <c r="T299" s="30">
        <v>1.7099058121601374E-3</v>
      </c>
    </row>
    <row r="300" spans="10:20" x14ac:dyDescent="0.25">
      <c r="J300" s="10"/>
      <c r="K300" s="10"/>
      <c r="L300" s="10" t="s">
        <v>48</v>
      </c>
      <c r="M300" s="10" t="s">
        <v>101</v>
      </c>
      <c r="N300" s="10"/>
      <c r="O300" s="30">
        <v>-12.512636198348808</v>
      </c>
      <c r="P300" s="30">
        <v>15.507635186077252</v>
      </c>
      <c r="Q300" s="30">
        <v>-2.5347669792983645</v>
      </c>
      <c r="R300" s="30">
        <v>-27.461131994447076</v>
      </c>
      <c r="S300" s="30">
        <v>-9.7991117393148937</v>
      </c>
      <c r="T300" s="30">
        <v>7.4937374633690032E-2</v>
      </c>
    </row>
    <row r="301" spans="10:20" x14ac:dyDescent="0.25">
      <c r="J301" s="10"/>
      <c r="K301" s="10"/>
      <c r="L301" s="10" t="s">
        <v>48</v>
      </c>
      <c r="M301" s="10" t="s">
        <v>102</v>
      </c>
      <c r="N301" s="10"/>
      <c r="O301" s="30">
        <v>-15.238037449703141</v>
      </c>
      <c r="P301" s="30">
        <v>18.508342851746882</v>
      </c>
      <c r="Q301" s="30">
        <v>35.250214908206878</v>
      </c>
      <c r="R301" s="30">
        <v>-57.484467463138373</v>
      </c>
      <c r="S301" s="30">
        <v>-11.967521042348015</v>
      </c>
      <c r="T301" s="30">
        <v>7.3059045050550581E-2</v>
      </c>
    </row>
    <row r="302" spans="10:20" x14ac:dyDescent="0.25">
      <c r="J302" s="10"/>
      <c r="K302" s="10"/>
      <c r="L302" s="10" t="s">
        <v>48</v>
      </c>
      <c r="M302" s="10" t="s">
        <v>103</v>
      </c>
      <c r="N302" s="10"/>
      <c r="O302" s="30">
        <v>8.7724297020067254</v>
      </c>
      <c r="P302" s="30">
        <v>9.1929553362987964</v>
      </c>
      <c r="Q302" s="30">
        <v>2.8539616484005959</v>
      </c>
      <c r="R302" s="30">
        <v>-11.720551381711108</v>
      </c>
      <c r="S302" s="30">
        <v>6.7863840108219238</v>
      </c>
      <c r="T302" s="30">
        <v>3.2456506917614186E-3</v>
      </c>
    </row>
    <row r="303" spans="10:20" x14ac:dyDescent="0.25">
      <c r="J303" s="10"/>
      <c r="K303" s="10"/>
      <c r="L303" s="10" t="s">
        <v>48</v>
      </c>
      <c r="M303" s="10" t="s">
        <v>104</v>
      </c>
      <c r="N303" s="10"/>
      <c r="O303" s="30">
        <v>6.05304342742338</v>
      </c>
      <c r="P303" s="30">
        <v>12.19277522493579</v>
      </c>
      <c r="Q303" s="30">
        <v>40.63886579089494</v>
      </c>
      <c r="R303" s="30">
        <v>-41.738768053271812</v>
      </c>
      <c r="S303" s="30">
        <v>4.6224171797355087</v>
      </c>
      <c r="T303" s="30">
        <v>2.0812009769541912E-3</v>
      </c>
    </row>
    <row r="304" spans="10:20" x14ac:dyDescent="0.25">
      <c r="J304" s="10"/>
      <c r="K304" s="10"/>
      <c r="L304" s="10" t="s">
        <v>48</v>
      </c>
      <c r="M304" s="10" t="s">
        <v>105</v>
      </c>
      <c r="N304" s="10"/>
      <c r="O304" s="30">
        <v>8.3376805663453926</v>
      </c>
      <c r="P304" s="30">
        <v>-33.002042197455658</v>
      </c>
      <c r="Q304" s="30">
        <v>-8.1288638133228801</v>
      </c>
      <c r="R304" s="30">
        <v>138.51756752859154</v>
      </c>
      <c r="S304" s="30">
        <v>6.5983309920901663</v>
      </c>
      <c r="T304" s="30">
        <v>9.2250098814870701E-3</v>
      </c>
    </row>
    <row r="305" spans="10:20" x14ac:dyDescent="0.25">
      <c r="J305" s="10"/>
      <c r="K305" s="10"/>
      <c r="L305" s="10" t="s">
        <v>48</v>
      </c>
      <c r="M305" s="10" t="s">
        <v>106</v>
      </c>
      <c r="N305" s="10"/>
      <c r="O305" s="30">
        <v>6.3159980381833112</v>
      </c>
      <c r="P305" s="30">
        <v>-12.813767872757065</v>
      </c>
      <c r="Q305" s="30">
        <v>97.693278038345397</v>
      </c>
      <c r="R305" s="30">
        <v>52.285997012200461</v>
      </c>
      <c r="S305" s="30">
        <v>4.9723754572203998</v>
      </c>
      <c r="T305" s="30">
        <v>1.8239306222459932E-4</v>
      </c>
    </row>
    <row r="306" spans="10:20" x14ac:dyDescent="0.25">
      <c r="J306" s="10"/>
      <c r="K306" s="10"/>
      <c r="L306" s="10" t="s">
        <v>48</v>
      </c>
      <c r="M306" s="10" t="s">
        <v>107</v>
      </c>
      <c r="N306" s="10"/>
      <c r="O306" s="30">
        <v>5.7872257481580718</v>
      </c>
      <c r="P306" s="30">
        <v>10.387321730343437</v>
      </c>
      <c r="Q306" s="30">
        <v>7.4088934587829556</v>
      </c>
      <c r="R306" s="30">
        <v>-39.038692062262122</v>
      </c>
      <c r="S306" s="30">
        <v>4.5712416655969266</v>
      </c>
      <c r="T306" s="30">
        <v>-1.1246626091405327E-3</v>
      </c>
    </row>
    <row r="307" spans="10:20" x14ac:dyDescent="0.25">
      <c r="J307" s="10"/>
      <c r="K307" s="10"/>
      <c r="L307" s="10" t="s">
        <v>48</v>
      </c>
      <c r="M307" s="10" t="s">
        <v>108</v>
      </c>
      <c r="N307" s="10"/>
      <c r="O307" s="30">
        <v>3.6474393780572152</v>
      </c>
      <c r="P307" s="30">
        <v>23.933763765370522</v>
      </c>
      <c r="Q307" s="30">
        <v>55.399148696150434</v>
      </c>
      <c r="R307" s="30">
        <v>-139.96064108626939</v>
      </c>
      <c r="S307" s="30">
        <v>2.8557140753095207</v>
      </c>
      <c r="T307" s="30">
        <v>2.6048227644260115E-4</v>
      </c>
    </row>
    <row r="308" spans="10:20" x14ac:dyDescent="0.25">
      <c r="J308" s="10"/>
      <c r="K308" s="10"/>
      <c r="L308" s="10" t="s">
        <v>48</v>
      </c>
      <c r="M308" s="10" t="s">
        <v>109</v>
      </c>
      <c r="N308" s="10"/>
      <c r="O308" s="30">
        <v>-13.8107386987397</v>
      </c>
      <c r="P308" s="30">
        <v>14.147253788331183</v>
      </c>
      <c r="Q308" s="30">
        <v>-14.251474971839661</v>
      </c>
      <c r="R308" s="30">
        <v>-16.739393335690554</v>
      </c>
      <c r="S308" s="30">
        <v>-10.810322010642347</v>
      </c>
      <c r="T308" s="30">
        <v>8.3658415831785626E-2</v>
      </c>
    </row>
    <row r="309" spans="10:20" x14ac:dyDescent="0.25">
      <c r="J309" s="10"/>
      <c r="K309" s="10"/>
      <c r="L309" s="10" t="s">
        <v>48</v>
      </c>
      <c r="M309" s="10" t="s">
        <v>110</v>
      </c>
      <c r="N309" s="10"/>
      <c r="O309" s="30">
        <v>-16.838962311355623</v>
      </c>
      <c r="P309" s="30">
        <v>17.481373416852996</v>
      </c>
      <c r="Q309" s="30">
        <v>27.731838236499499</v>
      </c>
      <c r="R309" s="30">
        <v>-50.098654967569772</v>
      </c>
      <c r="S309" s="30">
        <v>-13.219665680679149</v>
      </c>
      <c r="T309" s="30">
        <v>8.157138296163069E-2</v>
      </c>
    </row>
    <row r="310" spans="10:20" x14ac:dyDescent="0.25">
      <c r="J310" s="10"/>
      <c r="K310" s="10"/>
      <c r="L310" s="10" t="s">
        <v>48</v>
      </c>
      <c r="M310" s="10" t="s">
        <v>111</v>
      </c>
      <c r="N310" s="10"/>
      <c r="O310" s="30">
        <v>9.8393345238775609</v>
      </c>
      <c r="P310" s="30">
        <v>7.1309428441329006</v>
      </c>
      <c r="Q310" s="30">
        <v>-8.2639987188408099</v>
      </c>
      <c r="R310" s="30">
        <v>0.75014067846052335</v>
      </c>
      <c r="S310" s="30">
        <v>7.6180066006207827</v>
      </c>
      <c r="T310" s="30">
        <v>4.0009447851982859E-3</v>
      </c>
    </row>
    <row r="311" spans="10:20" x14ac:dyDescent="0.25">
      <c r="J311" s="10"/>
      <c r="K311" s="10"/>
      <c r="L311" s="10" t="s">
        <v>48</v>
      </c>
      <c r="M311" s="10" t="s">
        <v>112</v>
      </c>
      <c r="N311" s="10"/>
      <c r="O311" s="30">
        <v>6.8177942187849556</v>
      </c>
      <c r="P311" s="30">
        <v>10.464076053729558</v>
      </c>
      <c r="Q311" s="30">
        <v>33.71922810615289</v>
      </c>
      <c r="R311" s="30">
        <v>-32.603433401051369</v>
      </c>
      <c r="S311" s="30">
        <v>5.2135990105247654</v>
      </c>
      <c r="T311" s="30">
        <v>2.7071117687458113E-3</v>
      </c>
    </row>
    <row r="312" spans="10:20" x14ac:dyDescent="0.25">
      <c r="J312" s="10"/>
      <c r="K312" s="10"/>
      <c r="L312" s="10" t="s">
        <v>48</v>
      </c>
      <c r="M312" s="10" t="s">
        <v>113</v>
      </c>
      <c r="N312" s="10"/>
      <c r="O312" s="30">
        <v>9.3562799286983029</v>
      </c>
      <c r="P312" s="30">
        <v>-39.752387748927603</v>
      </c>
      <c r="Q312" s="30">
        <v>-20.467138120755781</v>
      </c>
      <c r="R312" s="30">
        <v>167.68138391213014</v>
      </c>
      <c r="S312" s="30">
        <v>7.409058802029941</v>
      </c>
      <c r="T312" s="30">
        <v>1.0644677218226789E-2</v>
      </c>
    </row>
    <row r="313" spans="10:20" x14ac:dyDescent="0.25">
      <c r="J313" s="10"/>
      <c r="K313" s="10"/>
      <c r="L313" s="10" t="s">
        <v>48</v>
      </c>
      <c r="M313" s="10" t="s">
        <v>114</v>
      </c>
      <c r="N313" s="10"/>
      <c r="O313" s="30">
        <v>7.1099660085182101</v>
      </c>
      <c r="P313" s="30">
        <v>-17.320971832595834</v>
      </c>
      <c r="Q313" s="30">
        <v>97.113019492208963</v>
      </c>
      <c r="R313" s="30">
        <v>71.868527782806709</v>
      </c>
      <c r="S313" s="30">
        <v>5.6024415410635333</v>
      </c>
      <c r="T313" s="30">
        <v>5.9732519682404275E-4</v>
      </c>
    </row>
    <row r="314" spans="10:20" x14ac:dyDescent="0.25">
      <c r="J314" s="10"/>
      <c r="K314" s="10"/>
      <c r="L314" s="10" t="s">
        <v>48</v>
      </c>
      <c r="M314" s="10" t="s">
        <v>115</v>
      </c>
      <c r="N314" s="10"/>
      <c r="O314" s="30">
        <v>6.5224412418234996</v>
      </c>
      <c r="P314" s="30">
        <v>8.4580166152936105</v>
      </c>
      <c r="Q314" s="30">
        <v>-3.2029633739715346</v>
      </c>
      <c r="R314" s="30">
        <v>-29.603348966596155</v>
      </c>
      <c r="S314" s="30">
        <v>5.1567373281485631</v>
      </c>
      <c r="T314" s="30">
        <v>-8.5495888247054841E-4</v>
      </c>
    </row>
    <row r="315" spans="10:20" x14ac:dyDescent="0.25">
      <c r="J315" s="10"/>
      <c r="K315" s="10"/>
      <c r="L315" s="10" t="s">
        <v>48</v>
      </c>
      <c r="M315" s="10" t="s">
        <v>116</v>
      </c>
      <c r="N315" s="10"/>
      <c r="O315" s="30">
        <v>4.1449008306003261</v>
      </c>
      <c r="P315" s="30">
        <v>23.509618876434818</v>
      </c>
      <c r="Q315" s="30">
        <v>50.119542445325663</v>
      </c>
      <c r="R315" s="30">
        <v>-141.7388478821598</v>
      </c>
      <c r="S315" s="30">
        <v>3.2505955611625574</v>
      </c>
      <c r="T315" s="30">
        <v>6.8409099039960059E-4</v>
      </c>
    </row>
    <row r="316" spans="10:20" x14ac:dyDescent="0.25">
      <c r="J316" s="10"/>
      <c r="K316" s="10"/>
      <c r="L316" s="10" t="s">
        <v>49</v>
      </c>
      <c r="M316" s="10" t="s">
        <v>91</v>
      </c>
      <c r="N316" s="10"/>
      <c r="O316" s="30">
        <v>-1.4672294775167349</v>
      </c>
      <c r="P316" s="30">
        <v>-0.13468681900863166</v>
      </c>
      <c r="Q316" s="30">
        <v>68.905514134963298</v>
      </c>
      <c r="R316" s="30">
        <v>-0.57835963831566817</v>
      </c>
      <c r="S316" s="30">
        <v>-1.1889028538509394</v>
      </c>
      <c r="T316" s="30">
        <v>3.1781183654511513E-3</v>
      </c>
    </row>
    <row r="317" spans="10:20" x14ac:dyDescent="0.25">
      <c r="J317" s="10"/>
      <c r="K317" s="10"/>
      <c r="L317" s="10" t="s">
        <v>49</v>
      </c>
      <c r="M317" s="10" t="s">
        <v>92</v>
      </c>
      <c r="N317" s="10"/>
      <c r="O317" s="30">
        <v>-1.2996411210284167</v>
      </c>
      <c r="P317" s="30">
        <v>-1.1817697468986081</v>
      </c>
      <c r="Q317" s="30">
        <v>125.92805724285529</v>
      </c>
      <c r="R317" s="30">
        <v>2.7847146134421141</v>
      </c>
      <c r="S317" s="30">
        <v>-1.0747009922774966</v>
      </c>
      <c r="T317" s="30">
        <v>7.316214643107978E-3</v>
      </c>
    </row>
    <row r="318" spans="10:20" x14ac:dyDescent="0.25">
      <c r="J318" s="10"/>
      <c r="K318" s="10"/>
      <c r="L318" s="10" t="s">
        <v>49</v>
      </c>
      <c r="M318" s="10" t="s">
        <v>93</v>
      </c>
      <c r="N318" s="10"/>
      <c r="O318" s="30">
        <v>-22.093894116300664</v>
      </c>
      <c r="P318" s="30">
        <v>4.9403736195093364</v>
      </c>
      <c r="Q318" s="30">
        <v>-101.24468193348093</v>
      </c>
      <c r="R318" s="30">
        <v>-21.247705578687142</v>
      </c>
      <c r="S318" s="30">
        <v>-17.133312255083183</v>
      </c>
      <c r="T318" s="30">
        <v>-4.5679930740774713E-2</v>
      </c>
    </row>
    <row r="319" spans="10:20" x14ac:dyDescent="0.25">
      <c r="J319" s="10"/>
      <c r="K319" s="10"/>
      <c r="L319" s="10" t="s">
        <v>49</v>
      </c>
      <c r="M319" s="10" t="s">
        <v>94</v>
      </c>
      <c r="N319" s="10"/>
      <c r="O319" s="30">
        <v>-31.138515363826798</v>
      </c>
      <c r="P319" s="30">
        <v>2.6021362273231774</v>
      </c>
      <c r="Q319" s="30">
        <v>-20.319962870619577</v>
      </c>
      <c r="R319" s="30">
        <v>-11.826743305628582</v>
      </c>
      <c r="S319" s="30">
        <v>-24.147939569326571</v>
      </c>
      <c r="T319" s="30">
        <v>-4.1395156644409487E-2</v>
      </c>
    </row>
    <row r="320" spans="10:20" x14ac:dyDescent="0.25">
      <c r="J320" s="10"/>
      <c r="K320" s="10"/>
      <c r="L320" s="10" t="s">
        <v>49</v>
      </c>
      <c r="M320" s="10" t="s">
        <v>95</v>
      </c>
      <c r="N320" s="10"/>
      <c r="O320" s="30">
        <v>17.867526496446494</v>
      </c>
      <c r="P320" s="30">
        <v>4.4995627011941686</v>
      </c>
      <c r="Q320" s="30">
        <v>-93.069986133997887</v>
      </c>
      <c r="R320" s="30">
        <v>-19.159233838207843</v>
      </c>
      <c r="S320" s="30">
        <v>13.842146500986223</v>
      </c>
      <c r="T320" s="30">
        <v>1.7963274445194496E-3</v>
      </c>
    </row>
    <row r="321" spans="10:20" x14ac:dyDescent="0.25">
      <c r="J321" s="10"/>
      <c r="K321" s="10"/>
      <c r="L321" s="10" t="s">
        <v>49</v>
      </c>
      <c r="M321" s="10" t="s">
        <v>96</v>
      </c>
      <c r="N321" s="10"/>
      <c r="O321" s="30">
        <v>8.8160560655837923</v>
      </c>
      <c r="P321" s="30">
        <v>2.1615773977080837</v>
      </c>
      <c r="Q321" s="30">
        <v>-12.145233155088468</v>
      </c>
      <c r="R321" s="30">
        <v>-9.7401576980018216</v>
      </c>
      <c r="S321" s="30">
        <v>6.8221152541485637</v>
      </c>
      <c r="T321" s="30">
        <v>5.7213648098322339E-3</v>
      </c>
    </row>
    <row r="322" spans="10:20" x14ac:dyDescent="0.25">
      <c r="J322" s="10"/>
      <c r="K322" s="10"/>
      <c r="L322" s="10" t="s">
        <v>49</v>
      </c>
      <c r="M322" s="10" t="s">
        <v>97</v>
      </c>
      <c r="N322" s="10"/>
      <c r="O322" s="30">
        <v>21.477378066052534</v>
      </c>
      <c r="P322" s="30">
        <v>-1.4927656644192704</v>
      </c>
      <c r="Q322" s="30">
        <v>-92.474926881573268</v>
      </c>
      <c r="R322" s="30">
        <v>25.53043960145218</v>
      </c>
      <c r="S322" s="30">
        <v>16.594235085997536</v>
      </c>
      <c r="T322" s="30">
        <v>-7.166742700416822E-3</v>
      </c>
    </row>
    <row r="323" spans="10:20" x14ac:dyDescent="0.25">
      <c r="J323" s="10"/>
      <c r="K323" s="10"/>
      <c r="L323" s="10" t="s">
        <v>49</v>
      </c>
      <c r="M323" s="10" t="s">
        <v>98</v>
      </c>
      <c r="N323" s="10"/>
      <c r="O323" s="30">
        <v>12.772394640420595</v>
      </c>
      <c r="P323" s="30">
        <v>-12.973883522756193</v>
      </c>
      <c r="Q323" s="30">
        <v>121.24648061579461</v>
      </c>
      <c r="R323" s="30">
        <v>94.842371168396625</v>
      </c>
      <c r="S323" s="30">
        <v>9.8055785135783893</v>
      </c>
      <c r="T323" s="30">
        <v>6.3681811484223661E-3</v>
      </c>
    </row>
    <row r="324" spans="10:20" x14ac:dyDescent="0.25">
      <c r="J324" s="10"/>
      <c r="K324" s="10"/>
      <c r="L324" s="10" t="s">
        <v>49</v>
      </c>
      <c r="M324" s="10" t="s">
        <v>99</v>
      </c>
      <c r="N324" s="10"/>
      <c r="O324" s="30">
        <v>21.367893132650412</v>
      </c>
      <c r="P324" s="30">
        <v>8.6321732490544232</v>
      </c>
      <c r="Q324" s="30">
        <v>-94.645213035718953</v>
      </c>
      <c r="R324" s="30">
        <v>-53.619657143399237</v>
      </c>
      <c r="S324" s="30">
        <v>16.509997060360405</v>
      </c>
      <c r="T324" s="30">
        <v>-6.7306195445012004E-3</v>
      </c>
    </row>
    <row r="325" spans="10:20" x14ac:dyDescent="0.25">
      <c r="J325" s="10"/>
      <c r="K325" s="10"/>
      <c r="L325" s="10" t="s">
        <v>49</v>
      </c>
      <c r="M325" s="10" t="s">
        <v>100</v>
      </c>
      <c r="N325" s="10"/>
      <c r="O325" s="30">
        <v>12.285327923757349</v>
      </c>
      <c r="P325" s="30">
        <v>21.414412262214185</v>
      </c>
      <c r="Q325" s="30">
        <v>24.008634166814463</v>
      </c>
      <c r="R325" s="30">
        <v>-141.47973496354427</v>
      </c>
      <c r="S325" s="30">
        <v>9.4546666489597531</v>
      </c>
      <c r="T325" s="30">
        <v>1.0509958043591212E-2</v>
      </c>
    </row>
    <row r="326" spans="10:20" x14ac:dyDescent="0.25">
      <c r="J326" s="10"/>
      <c r="K326" s="10"/>
      <c r="L326" s="10" t="s">
        <v>49</v>
      </c>
      <c r="M326" s="10" t="s">
        <v>101</v>
      </c>
      <c r="N326" s="10"/>
      <c r="O326" s="30">
        <v>-19.863639295933954</v>
      </c>
      <c r="P326" s="30">
        <v>3.3857846477675628</v>
      </c>
      <c r="Q326" s="30">
        <v>-27.207119218744506</v>
      </c>
      <c r="R326" s="30">
        <v>-15.817696732892214</v>
      </c>
      <c r="S326" s="30">
        <v>-15.424669453386519</v>
      </c>
      <c r="T326" s="30">
        <v>-3.6656029552495299E-2</v>
      </c>
    </row>
    <row r="327" spans="10:20" x14ac:dyDescent="0.25">
      <c r="J327" s="10"/>
      <c r="K327" s="10"/>
      <c r="L327" s="10" t="s">
        <v>49</v>
      </c>
      <c r="M327" s="10" t="s">
        <v>102</v>
      </c>
      <c r="N327" s="10"/>
      <c r="O327" s="30">
        <v>-28.003798418707476</v>
      </c>
      <c r="P327" s="30">
        <v>1.2813709948000198</v>
      </c>
      <c r="Q327" s="30">
        <v>45.625127937830712</v>
      </c>
      <c r="R327" s="30">
        <v>-7.3388306871395077</v>
      </c>
      <c r="S327" s="30">
        <v>-21.737834036205566</v>
      </c>
      <c r="T327" s="30">
        <v>-3.2799732865766602E-2</v>
      </c>
    </row>
    <row r="328" spans="10:20" x14ac:dyDescent="0.25">
      <c r="J328" s="10"/>
      <c r="K328" s="10"/>
      <c r="L328" s="10" t="s">
        <v>49</v>
      </c>
      <c r="M328" s="10" t="s">
        <v>103</v>
      </c>
      <c r="N328" s="10"/>
      <c r="O328" s="30">
        <v>16.10163925553849</v>
      </c>
      <c r="P328" s="30">
        <v>2.9890548212839119</v>
      </c>
      <c r="Q328" s="30">
        <v>-19.849892999209779</v>
      </c>
      <c r="R328" s="30">
        <v>-13.938072166460843</v>
      </c>
      <c r="S328" s="30">
        <v>12.453243427075948</v>
      </c>
      <c r="T328" s="30">
        <v>6.0726028142694469E-3</v>
      </c>
    </row>
    <row r="329" spans="10:20" x14ac:dyDescent="0.25">
      <c r="J329" s="10"/>
      <c r="K329" s="10"/>
      <c r="L329" s="10" t="s">
        <v>49</v>
      </c>
      <c r="M329" s="10" t="s">
        <v>104</v>
      </c>
      <c r="N329" s="10"/>
      <c r="O329" s="30">
        <v>7.9553158677620583</v>
      </c>
      <c r="P329" s="30">
        <v>0.8848680481464356</v>
      </c>
      <c r="Q329" s="30">
        <v>52.982384681808711</v>
      </c>
      <c r="R329" s="30">
        <v>-5.460903640275423</v>
      </c>
      <c r="S329" s="30">
        <v>6.1352153049220561</v>
      </c>
      <c r="T329" s="30">
        <v>9.6051364430509521E-3</v>
      </c>
    </row>
    <row r="330" spans="10:20" x14ac:dyDescent="0.25">
      <c r="J330" s="10"/>
      <c r="K330" s="10"/>
      <c r="L330" s="10" t="s">
        <v>49</v>
      </c>
      <c r="M330" s="10" t="s">
        <v>105</v>
      </c>
      <c r="N330" s="10"/>
      <c r="O330" s="30">
        <v>19.350505668183928</v>
      </c>
      <c r="P330" s="30">
        <v>-2.4040407077681829</v>
      </c>
      <c r="Q330" s="30">
        <v>-19.314339672027618</v>
      </c>
      <c r="R330" s="30">
        <v>26.282633929233178</v>
      </c>
      <c r="S330" s="30">
        <v>14.930123153586132</v>
      </c>
      <c r="T330" s="30">
        <v>-1.9941603161731979E-3</v>
      </c>
    </row>
    <row r="331" spans="10:20" x14ac:dyDescent="0.25">
      <c r="J331" s="10"/>
      <c r="K331" s="10"/>
      <c r="L331" s="10" t="s">
        <v>49</v>
      </c>
      <c r="M331" s="10" t="s">
        <v>106</v>
      </c>
      <c r="N331" s="10"/>
      <c r="O331" s="30">
        <v>11.516020585115182</v>
      </c>
      <c r="P331" s="30">
        <v>-12.737046780271413</v>
      </c>
      <c r="Q331" s="30">
        <v>173.03492707560349</v>
      </c>
      <c r="R331" s="30">
        <v>88.663372339483161</v>
      </c>
      <c r="S331" s="30">
        <v>8.8203322384089002</v>
      </c>
      <c r="T331" s="30">
        <v>1.0187271147782071E-2</v>
      </c>
    </row>
    <row r="332" spans="10:20" x14ac:dyDescent="0.25">
      <c r="J332" s="10"/>
      <c r="K332" s="10"/>
      <c r="L332" s="10" t="s">
        <v>49</v>
      </c>
      <c r="M332" s="10" t="s">
        <v>107</v>
      </c>
      <c r="N332" s="10"/>
      <c r="O332" s="30">
        <v>19.251969228122014</v>
      </c>
      <c r="P332" s="30">
        <v>6.7084043143581429</v>
      </c>
      <c r="Q332" s="30">
        <v>-21.267597210758741</v>
      </c>
      <c r="R332" s="30">
        <v>-44.952453141133098</v>
      </c>
      <c r="S332" s="30">
        <v>14.854308930512712</v>
      </c>
      <c r="T332" s="30">
        <v>-1.6016494758491367E-3</v>
      </c>
    </row>
    <row r="333" spans="10:20" x14ac:dyDescent="0.25">
      <c r="J333" s="10"/>
      <c r="K333" s="10"/>
      <c r="L333" s="10" t="s">
        <v>49</v>
      </c>
      <c r="M333" s="10" t="s">
        <v>108</v>
      </c>
      <c r="N333" s="10"/>
      <c r="O333" s="30">
        <v>11.077660540118261</v>
      </c>
      <c r="P333" s="30">
        <v>18.212419426201926</v>
      </c>
      <c r="Q333" s="30">
        <v>85.52086527152133</v>
      </c>
      <c r="R333" s="30">
        <v>-124.02652317926363</v>
      </c>
      <c r="S333" s="30">
        <v>8.5045115602521282</v>
      </c>
      <c r="T333" s="30">
        <v>1.3914870353434031E-2</v>
      </c>
    </row>
    <row r="334" spans="10:20" x14ac:dyDescent="0.25">
      <c r="J334" s="10"/>
      <c r="K334" s="10"/>
      <c r="L334" s="10" t="s">
        <v>49</v>
      </c>
      <c r="M334" s="10" t="s">
        <v>109</v>
      </c>
      <c r="N334" s="10"/>
      <c r="O334" s="30">
        <v>-21.943064595461173</v>
      </c>
      <c r="P334" s="30">
        <v>3.9979989844083565</v>
      </c>
      <c r="Q334" s="30">
        <v>-49.924393136378136</v>
      </c>
      <c r="R334" s="30">
        <v>-18.220938752105138</v>
      </c>
      <c r="S334" s="30">
        <v>-17.030530579667086</v>
      </c>
      <c r="T334" s="30">
        <v>-4.1955644090883572E-2</v>
      </c>
    </row>
    <row r="335" spans="10:20" x14ac:dyDescent="0.25">
      <c r="J335" s="10"/>
      <c r="K335" s="10"/>
      <c r="L335" s="10" t="s">
        <v>49</v>
      </c>
      <c r="M335" s="10" t="s">
        <v>110</v>
      </c>
      <c r="N335" s="10"/>
      <c r="O335" s="30">
        <v>-30.987685842987311</v>
      </c>
      <c r="P335" s="30">
        <v>1.6597615922221984</v>
      </c>
      <c r="Q335" s="30">
        <v>31.000325926483224</v>
      </c>
      <c r="R335" s="30">
        <v>-8.7999764790465775</v>
      </c>
      <c r="S335" s="30">
        <v>-24.045157893910474</v>
      </c>
      <c r="T335" s="30">
        <v>-3.7670869994518352E-2</v>
      </c>
    </row>
    <row r="336" spans="10:20" x14ac:dyDescent="0.25">
      <c r="J336" s="10"/>
      <c r="K336" s="10"/>
      <c r="L336" s="10" t="s">
        <v>49</v>
      </c>
      <c r="M336" s="10" t="s">
        <v>111</v>
      </c>
      <c r="N336" s="10"/>
      <c r="O336" s="30">
        <v>18.018356017285985</v>
      </c>
      <c r="P336" s="30">
        <v>3.5571880660931896</v>
      </c>
      <c r="Q336" s="30">
        <v>-41.749697336895089</v>
      </c>
      <c r="R336" s="30">
        <v>-16.132467011625842</v>
      </c>
      <c r="S336" s="30">
        <v>13.944928176402321</v>
      </c>
      <c r="T336" s="30">
        <v>5.520614094410594E-3</v>
      </c>
    </row>
    <row r="337" spans="10:20" x14ac:dyDescent="0.25">
      <c r="J337" s="10"/>
      <c r="K337" s="10"/>
      <c r="L337" s="10" t="s">
        <v>49</v>
      </c>
      <c r="M337" s="10" t="s">
        <v>112</v>
      </c>
      <c r="N337" s="10"/>
      <c r="O337" s="30">
        <v>8.9668855864232793</v>
      </c>
      <c r="P337" s="30">
        <v>1.2192027626071045</v>
      </c>
      <c r="Q337" s="30">
        <v>39.175055642014335</v>
      </c>
      <c r="R337" s="30">
        <v>-6.7133908714198176</v>
      </c>
      <c r="S337" s="30">
        <v>6.9248969295646621</v>
      </c>
      <c r="T337" s="30">
        <v>9.4456514597233785E-3</v>
      </c>
    </row>
    <row r="338" spans="10:20" x14ac:dyDescent="0.25">
      <c r="J338" s="10"/>
      <c r="K338" s="10"/>
      <c r="L338" s="10" t="s">
        <v>49</v>
      </c>
      <c r="M338" s="10" t="s">
        <v>113</v>
      </c>
      <c r="N338" s="10"/>
      <c r="O338" s="30">
        <v>21.628207586892021</v>
      </c>
      <c r="P338" s="30">
        <v>-2.4351402995202491</v>
      </c>
      <c r="Q338" s="30">
        <v>-41.154638084470463</v>
      </c>
      <c r="R338" s="30">
        <v>28.557206428034185</v>
      </c>
      <c r="S338" s="30">
        <v>16.697016761413632</v>
      </c>
      <c r="T338" s="30">
        <v>-3.4424560505256769E-3</v>
      </c>
    </row>
    <row r="339" spans="10:20" x14ac:dyDescent="0.25">
      <c r="J339" s="10"/>
      <c r="K339" s="10"/>
      <c r="L339" s="10" t="s">
        <v>49</v>
      </c>
      <c r="M339" s="10" t="s">
        <v>114</v>
      </c>
      <c r="N339" s="10"/>
      <c r="O339" s="30">
        <v>12.923224161260082</v>
      </c>
      <c r="P339" s="30">
        <v>-13.916258157857172</v>
      </c>
      <c r="Q339" s="30">
        <v>172.5667694128974</v>
      </c>
      <c r="R339" s="30">
        <v>97.86913799497863</v>
      </c>
      <c r="S339" s="30">
        <v>9.9083601889944894</v>
      </c>
      <c r="T339" s="30">
        <v>1.0092467798313512E-2</v>
      </c>
    </row>
    <row r="340" spans="10:20" x14ac:dyDescent="0.25">
      <c r="J340" s="10"/>
      <c r="K340" s="10"/>
      <c r="L340" s="10" t="s">
        <v>49</v>
      </c>
      <c r="M340" s="10" t="s">
        <v>115</v>
      </c>
      <c r="N340" s="10"/>
      <c r="O340" s="30">
        <v>21.518722653489903</v>
      </c>
      <c r="P340" s="30">
        <v>7.6897986139534442</v>
      </c>
      <c r="Q340" s="30">
        <v>-43.324924238616155</v>
      </c>
      <c r="R340" s="30">
        <v>-50.592890316817233</v>
      </c>
      <c r="S340" s="30">
        <v>16.612778735776502</v>
      </c>
      <c r="T340" s="30">
        <v>-3.0063328946100549E-3</v>
      </c>
    </row>
    <row r="341" spans="10:20" x14ac:dyDescent="0.25">
      <c r="J341" s="10"/>
      <c r="K341" s="10"/>
      <c r="L341" s="10" t="s">
        <v>49</v>
      </c>
      <c r="M341" s="10" t="s">
        <v>116</v>
      </c>
      <c r="N341" s="10"/>
      <c r="O341" s="30">
        <v>12.436157444596835</v>
      </c>
      <c r="P341" s="30">
        <v>20.472037627113203</v>
      </c>
      <c r="Q341" s="30">
        <v>75.328922963917265</v>
      </c>
      <c r="R341" s="30">
        <v>-138.45296813696226</v>
      </c>
      <c r="S341" s="30">
        <v>9.5574483243758532</v>
      </c>
      <c r="T341" s="30">
        <v>1.4234244693482357E-2</v>
      </c>
    </row>
    <row r="342" spans="10:20" x14ac:dyDescent="0.25">
      <c r="J342" s="10"/>
      <c r="K342" s="10"/>
      <c r="L342" s="10" t="s">
        <v>50</v>
      </c>
      <c r="M342" s="10" t="s">
        <v>91</v>
      </c>
      <c r="N342" s="10"/>
      <c r="O342" s="30">
        <v>-1.5286298802758307</v>
      </c>
      <c r="P342" s="30">
        <v>0.15170746809242436</v>
      </c>
      <c r="Q342" s="30">
        <v>67.814207469727293</v>
      </c>
      <c r="R342" s="30">
        <v>0.10114188012785741</v>
      </c>
      <c r="S342" s="30">
        <v>-1.2328549031934941</v>
      </c>
      <c r="T342" s="30">
        <v>-3.1923433946151282E-3</v>
      </c>
    </row>
    <row r="343" spans="10:20" x14ac:dyDescent="0.25">
      <c r="J343" s="10"/>
      <c r="K343" s="10"/>
      <c r="L343" s="10" t="s">
        <v>50</v>
      </c>
      <c r="M343" s="10" t="s">
        <v>92</v>
      </c>
      <c r="N343" s="10"/>
      <c r="O343" s="30">
        <v>-1.4495575223193722</v>
      </c>
      <c r="P343" s="30">
        <v>1.8474777163919784</v>
      </c>
      <c r="Q343" s="30">
        <v>124.86938850056161</v>
      </c>
      <c r="R343" s="30">
        <v>-7.2790268038808597</v>
      </c>
      <c r="S343" s="30">
        <v>-1.1712819557735645</v>
      </c>
      <c r="T343" s="30">
        <v>-7.4721705300469675E-3</v>
      </c>
    </row>
    <row r="344" spans="10:20" x14ac:dyDescent="0.25">
      <c r="J344" s="10"/>
      <c r="K344" s="10"/>
      <c r="L344" s="10" t="s">
        <v>50</v>
      </c>
      <c r="M344" s="10" t="s">
        <v>93</v>
      </c>
      <c r="N344" s="10"/>
      <c r="O344" s="30">
        <v>-19.009516311899009</v>
      </c>
      <c r="P344" s="30">
        <v>-6.9107797742118624</v>
      </c>
      <c r="Q344" s="30">
        <v>-102.89327043116663</v>
      </c>
      <c r="R344" s="30">
        <v>32.845765370453833</v>
      </c>
      <c r="S344" s="30">
        <v>-14.976004986568784</v>
      </c>
      <c r="T344" s="30">
        <v>4.6324757035870988E-2</v>
      </c>
    </row>
    <row r="345" spans="10:20" x14ac:dyDescent="0.25">
      <c r="J345" s="10"/>
      <c r="K345" s="10"/>
      <c r="L345" s="10" t="s">
        <v>50</v>
      </c>
      <c r="M345" s="10" t="s">
        <v>94</v>
      </c>
      <c r="N345" s="10"/>
      <c r="O345" s="30">
        <v>-26.80995945312095</v>
      </c>
      <c r="P345" s="30">
        <v>-3.6360831146718438</v>
      </c>
      <c r="Q345" s="30">
        <v>-22.025751776843315</v>
      </c>
      <c r="R345" s="30">
        <v>17.723708864370739</v>
      </c>
      <c r="S345" s="30">
        <v>-21.096976296754853</v>
      </c>
      <c r="T345" s="30">
        <v>4.1668389032326607E-2</v>
      </c>
    </row>
    <row r="346" spans="10:20" x14ac:dyDescent="0.25">
      <c r="J346" s="10"/>
      <c r="K346" s="10"/>
      <c r="L346" s="10" t="s">
        <v>50</v>
      </c>
      <c r="M346" s="10" t="s">
        <v>95</v>
      </c>
      <c r="N346" s="10"/>
      <c r="O346" s="30">
        <v>15.312510461077247</v>
      </c>
      <c r="P346" s="30">
        <v>-6.3601430821077214</v>
      </c>
      <c r="Q346" s="30">
        <v>-94.036403981439648</v>
      </c>
      <c r="R346" s="30">
        <v>30.126687306448655</v>
      </c>
      <c r="S346" s="30">
        <v>11.983394068380901</v>
      </c>
      <c r="T346" s="30">
        <v>-9.8736372488112127E-4</v>
      </c>
    </row>
    <row r="347" spans="10:20" x14ac:dyDescent="0.25">
      <c r="J347" s="10"/>
      <c r="K347" s="10"/>
      <c r="L347" s="10" t="s">
        <v>50</v>
      </c>
      <c r="M347" s="10" t="s">
        <v>96</v>
      </c>
      <c r="N347" s="10"/>
      <c r="O347" s="30">
        <v>7.5062922707691282</v>
      </c>
      <c r="P347" s="30">
        <v>-3.0857139229939721</v>
      </c>
      <c r="Q347" s="30">
        <v>-13.16897113591153</v>
      </c>
      <c r="R347" s="30">
        <v>15.006599275579795</v>
      </c>
      <c r="S347" s="30">
        <v>5.8577912499645448</v>
      </c>
      <c r="T347" s="30">
        <v>-5.2802817069085945E-3</v>
      </c>
    </row>
    <row r="348" spans="10:20" x14ac:dyDescent="0.25">
      <c r="J348" s="10"/>
      <c r="K348" s="10"/>
      <c r="L348" s="10" t="s">
        <v>50</v>
      </c>
      <c r="M348" s="10" t="s">
        <v>97</v>
      </c>
      <c r="N348" s="10"/>
      <c r="O348" s="30">
        <v>18.114751693024171</v>
      </c>
      <c r="P348" s="30">
        <v>-10.348476150089866</v>
      </c>
      <c r="Q348" s="30">
        <v>-95.340646180723581</v>
      </c>
      <c r="R348" s="30">
        <v>64.028620871220056</v>
      </c>
      <c r="S348" s="30">
        <v>14.18100995717225</v>
      </c>
      <c r="T348" s="30">
        <v>8.5590257657450486E-3</v>
      </c>
    </row>
    <row r="349" spans="10:20" x14ac:dyDescent="0.25">
      <c r="J349" s="10"/>
      <c r="K349" s="10"/>
      <c r="L349" s="10" t="s">
        <v>50</v>
      </c>
      <c r="M349" s="10" t="s">
        <v>98</v>
      </c>
      <c r="N349" s="10"/>
      <c r="O349" s="30">
        <v>10.215585036920229</v>
      </c>
      <c r="P349" s="30">
        <v>-21.870564339150139</v>
      </c>
      <c r="Q349" s="30">
        <v>23.535881062238175</v>
      </c>
      <c r="R349" s="30">
        <v>143.35966176305277</v>
      </c>
      <c r="S349" s="30">
        <v>7.9810016699541171</v>
      </c>
      <c r="T349" s="30">
        <v>-6.946872539590746E-3</v>
      </c>
    </row>
    <row r="350" spans="10:20" x14ac:dyDescent="0.25">
      <c r="J350" s="10"/>
      <c r="K350" s="10"/>
      <c r="L350" s="10" t="s">
        <v>50</v>
      </c>
      <c r="M350" s="10" t="s">
        <v>99</v>
      </c>
      <c r="N350" s="10"/>
      <c r="O350" s="30">
        <v>18.212822957036128</v>
      </c>
      <c r="P350" s="30">
        <v>-0.49948866530763064</v>
      </c>
      <c r="Q350" s="30">
        <v>-93.381166269464188</v>
      </c>
      <c r="R350" s="30">
        <v>-13.735768086534456</v>
      </c>
      <c r="S350" s="30">
        <v>14.258248348936382</v>
      </c>
      <c r="T350" s="30">
        <v>6.6885342660735663E-3</v>
      </c>
    </row>
    <row r="351" spans="10:20" x14ac:dyDescent="0.25">
      <c r="J351" s="10"/>
      <c r="K351" s="10"/>
      <c r="L351" s="10" t="s">
        <v>50</v>
      </c>
      <c r="M351" s="10" t="s">
        <v>100</v>
      </c>
      <c r="N351" s="10"/>
      <c r="O351" s="30">
        <v>10.573147889264032</v>
      </c>
      <c r="P351" s="30">
        <v>13.136494117167535</v>
      </c>
      <c r="Q351" s="30">
        <v>119.77381078211724</v>
      </c>
      <c r="R351" s="30">
        <v>-96.066263453140209</v>
      </c>
      <c r="S351" s="30">
        <v>8.2620273678845813</v>
      </c>
      <c r="T351" s="30">
        <v>-8.9272849334427282E-3</v>
      </c>
    </row>
    <row r="352" spans="10:20" x14ac:dyDescent="0.25">
      <c r="J352" s="10"/>
      <c r="K352" s="10"/>
      <c r="L352" s="10" t="s">
        <v>50</v>
      </c>
      <c r="M352" s="10" t="s">
        <v>101</v>
      </c>
      <c r="N352" s="10"/>
      <c r="O352" s="30">
        <v>-17.182355310780235</v>
      </c>
      <c r="P352" s="30">
        <v>-4.5087608016818796</v>
      </c>
      <c r="Q352" s="30">
        <v>-28.767341610242941</v>
      </c>
      <c r="R352" s="30">
        <v>22.191134337412514</v>
      </c>
      <c r="S352" s="30">
        <v>-13.540117030811325</v>
      </c>
      <c r="T352" s="30">
        <v>3.7093219857390537E-2</v>
      </c>
    </row>
    <row r="353" spans="10:20" x14ac:dyDescent="0.25">
      <c r="J353" s="10"/>
      <c r="K353" s="10"/>
      <c r="L353" s="10" t="s">
        <v>50</v>
      </c>
      <c r="M353" s="10" t="s">
        <v>102</v>
      </c>
      <c r="N353" s="10"/>
      <c r="O353" s="30">
        <v>-24.202754137879978</v>
      </c>
      <c r="P353" s="30">
        <v>-1.561533808095863</v>
      </c>
      <c r="Q353" s="30">
        <v>44.013425178648063</v>
      </c>
      <c r="R353" s="30">
        <v>8.5812834819377333</v>
      </c>
      <c r="S353" s="30">
        <v>-19.048991209978787</v>
      </c>
      <c r="T353" s="30">
        <v>3.290248865420059E-2</v>
      </c>
    </row>
    <row r="354" spans="10:20" x14ac:dyDescent="0.25">
      <c r="J354" s="10"/>
      <c r="K354" s="10"/>
      <c r="L354" s="10" t="s">
        <v>50</v>
      </c>
      <c r="M354" s="10" t="s">
        <v>103</v>
      </c>
      <c r="N354" s="10"/>
      <c r="O354" s="30">
        <v>13.707468784898403</v>
      </c>
      <c r="P354" s="30">
        <v>-4.0131877787881534</v>
      </c>
      <c r="Q354" s="30">
        <v>-20.796161805488644</v>
      </c>
      <c r="R354" s="30">
        <v>19.743964079807856</v>
      </c>
      <c r="S354" s="30">
        <v>10.723342118643393</v>
      </c>
      <c r="T354" s="30">
        <v>-5.4876888272863611E-3</v>
      </c>
    </row>
    <row r="355" spans="10:20" x14ac:dyDescent="0.25">
      <c r="J355" s="10"/>
      <c r="K355" s="10"/>
      <c r="L355" s="10" t="s">
        <v>50</v>
      </c>
      <c r="M355" s="10" t="s">
        <v>104</v>
      </c>
      <c r="N355" s="10"/>
      <c r="O355" s="30">
        <v>6.6818724136210905</v>
      </c>
      <c r="P355" s="30">
        <v>-1.0662015355857781</v>
      </c>
      <c r="Q355" s="30">
        <v>51.984527755486667</v>
      </c>
      <c r="R355" s="30">
        <v>6.1358848520258844</v>
      </c>
      <c r="S355" s="30">
        <v>5.2102995820686697</v>
      </c>
      <c r="T355" s="30">
        <v>-9.3513150111110867E-3</v>
      </c>
    </row>
    <row r="356" spans="10:20" x14ac:dyDescent="0.25">
      <c r="J356" s="10"/>
      <c r="K356" s="10"/>
      <c r="L356" s="10" t="s">
        <v>50</v>
      </c>
      <c r="M356" s="10" t="s">
        <v>105</v>
      </c>
      <c r="N356" s="10"/>
      <c r="O356" s="30">
        <v>16.229485893650633</v>
      </c>
      <c r="P356" s="30">
        <v>-7.6026875399720835</v>
      </c>
      <c r="Q356" s="30">
        <v>-21.969979784844192</v>
      </c>
      <c r="R356" s="30">
        <v>50.255704288102123</v>
      </c>
      <c r="S356" s="30">
        <v>12.701196418555607</v>
      </c>
      <c r="T356" s="30">
        <v>3.1040617142771925E-3</v>
      </c>
    </row>
    <row r="357" spans="10:20" x14ac:dyDescent="0.25">
      <c r="J357" s="10"/>
      <c r="K357" s="10"/>
      <c r="L357" s="10" t="s">
        <v>50</v>
      </c>
      <c r="M357" s="10" t="s">
        <v>106</v>
      </c>
      <c r="N357" s="10"/>
      <c r="O357" s="30">
        <v>9.1202359031570808</v>
      </c>
      <c r="P357" s="30">
        <v>-17.972566910126329</v>
      </c>
      <c r="Q357" s="30">
        <v>85.018894733821398</v>
      </c>
      <c r="R357" s="30">
        <v>121.65364109075159</v>
      </c>
      <c r="S357" s="30">
        <v>7.1211889600592855</v>
      </c>
      <c r="T357" s="30">
        <v>-1.0851246760525023E-2</v>
      </c>
    </row>
    <row r="358" spans="10:20" x14ac:dyDescent="0.25">
      <c r="J358" s="10"/>
      <c r="K358" s="10"/>
      <c r="L358" s="10" t="s">
        <v>50</v>
      </c>
      <c r="M358" s="10" t="s">
        <v>107</v>
      </c>
      <c r="N358" s="10"/>
      <c r="O358" s="30">
        <v>16.317750031261394</v>
      </c>
      <c r="P358" s="30">
        <v>1.2614011963319289</v>
      </c>
      <c r="Q358" s="30">
        <v>-20.206447864710714</v>
      </c>
      <c r="R358" s="30">
        <v>-19.73224577387694</v>
      </c>
      <c r="S358" s="30">
        <v>12.770710971143327</v>
      </c>
      <c r="T358" s="30">
        <v>1.4206193645728577E-3</v>
      </c>
    </row>
    <row r="359" spans="10:20" x14ac:dyDescent="0.25">
      <c r="J359" s="10"/>
      <c r="K359" s="10"/>
      <c r="L359" s="10" t="s">
        <v>50</v>
      </c>
      <c r="M359" s="10" t="s">
        <v>108</v>
      </c>
      <c r="N359" s="10"/>
      <c r="O359" s="30">
        <v>9.4420424702665038</v>
      </c>
      <c r="P359" s="30">
        <v>13.533785700559578</v>
      </c>
      <c r="Q359" s="30">
        <v>171.63303148171255</v>
      </c>
      <c r="R359" s="30">
        <v>-93.829691603822113</v>
      </c>
      <c r="S359" s="30">
        <v>7.3741120881967035</v>
      </c>
      <c r="T359" s="30">
        <v>-1.2633617914991806E-2</v>
      </c>
    </row>
    <row r="360" spans="10:20" x14ac:dyDescent="0.25">
      <c r="J360" s="10"/>
      <c r="K360" s="10"/>
      <c r="L360" s="10" t="s">
        <v>50</v>
      </c>
      <c r="M360" s="10" t="s">
        <v>109</v>
      </c>
      <c r="N360" s="10"/>
      <c r="O360" s="30">
        <v>-18.938351189738196</v>
      </c>
      <c r="P360" s="30">
        <v>-5.384586550742263</v>
      </c>
      <c r="Q360" s="30">
        <v>-51.543607503415743</v>
      </c>
      <c r="R360" s="30">
        <v>26.203613554845983</v>
      </c>
      <c r="S360" s="30">
        <v>-14.920589333890847</v>
      </c>
      <c r="T360" s="30">
        <v>4.2472912613982332E-2</v>
      </c>
    </row>
    <row r="361" spans="10:20" x14ac:dyDescent="0.25">
      <c r="J361" s="10"/>
      <c r="K361" s="10"/>
      <c r="L361" s="10" t="s">
        <v>50</v>
      </c>
      <c r="M361" s="10" t="s">
        <v>110</v>
      </c>
      <c r="N361" s="10"/>
      <c r="O361" s="30">
        <v>-26.738794330960136</v>
      </c>
      <c r="P361" s="30">
        <v>-2.1098898912022452</v>
      </c>
      <c r="Q361" s="30">
        <v>29.323911150907566</v>
      </c>
      <c r="R361" s="30">
        <v>11.081557048762892</v>
      </c>
      <c r="S361" s="30">
        <v>-21.041560644076917</v>
      </c>
      <c r="T361" s="30">
        <v>3.7816544610437951E-2</v>
      </c>
    </row>
    <row r="362" spans="10:20" x14ac:dyDescent="0.25">
      <c r="J362" s="10"/>
      <c r="K362" s="10"/>
      <c r="L362" s="10" t="s">
        <v>50</v>
      </c>
      <c r="M362" s="10" t="s">
        <v>111</v>
      </c>
      <c r="N362" s="10"/>
      <c r="O362" s="30">
        <v>15.383675583238061</v>
      </c>
      <c r="P362" s="30">
        <v>-4.833949858638122</v>
      </c>
      <c r="Q362" s="30">
        <v>-42.68674105368877</v>
      </c>
      <c r="R362" s="30">
        <v>23.484535490840809</v>
      </c>
      <c r="S362" s="30">
        <v>12.038809721058838</v>
      </c>
      <c r="T362" s="30">
        <v>-4.8392081467697762E-3</v>
      </c>
    </row>
    <row r="363" spans="10:20" x14ac:dyDescent="0.25">
      <c r="J363" s="10"/>
      <c r="K363" s="10"/>
      <c r="L363" s="10" t="s">
        <v>50</v>
      </c>
      <c r="M363" s="10" t="s">
        <v>112</v>
      </c>
      <c r="N363" s="10"/>
      <c r="O363" s="30">
        <v>7.5774573929299409</v>
      </c>
      <c r="P363" s="30">
        <v>-1.5595206995243731</v>
      </c>
      <c r="Q363" s="30">
        <v>38.180691791839351</v>
      </c>
      <c r="R363" s="30">
        <v>8.3644474599719487</v>
      </c>
      <c r="S363" s="30">
        <v>5.9132069026424814</v>
      </c>
      <c r="T363" s="30">
        <v>-9.1321261287972497E-3</v>
      </c>
    </row>
    <row r="364" spans="10:20" x14ac:dyDescent="0.25">
      <c r="J364" s="10"/>
      <c r="K364" s="10"/>
      <c r="L364" s="10" t="s">
        <v>50</v>
      </c>
      <c r="M364" s="10" t="s">
        <v>113</v>
      </c>
      <c r="N364" s="10"/>
      <c r="O364" s="30">
        <v>18.185916815184985</v>
      </c>
      <c r="P364" s="30">
        <v>-8.822282926620268</v>
      </c>
      <c r="Q364" s="30">
        <v>-43.990983252972704</v>
      </c>
      <c r="R364" s="30">
        <v>57.386469055612217</v>
      </c>
      <c r="S364" s="30">
        <v>14.236425609850187</v>
      </c>
      <c r="T364" s="30">
        <v>4.7071813438563934E-3</v>
      </c>
    </row>
    <row r="365" spans="10:20" x14ac:dyDescent="0.25">
      <c r="J365" s="10"/>
      <c r="K365" s="10"/>
      <c r="L365" s="10" t="s">
        <v>50</v>
      </c>
      <c r="M365" s="10" t="s">
        <v>114</v>
      </c>
      <c r="N365" s="10"/>
      <c r="O365" s="30">
        <v>10.286750159081041</v>
      </c>
      <c r="P365" s="30">
        <v>-20.344371115680541</v>
      </c>
      <c r="Q365" s="30">
        <v>74.885543989989046</v>
      </c>
      <c r="R365" s="30">
        <v>136.71750994744494</v>
      </c>
      <c r="S365" s="30">
        <v>8.0364173226320545</v>
      </c>
      <c r="T365" s="30">
        <v>-1.0798716961479401E-2</v>
      </c>
    </row>
    <row r="366" spans="10:20" x14ac:dyDescent="0.25">
      <c r="J366" s="10"/>
      <c r="K366" s="10"/>
      <c r="L366" s="10" t="s">
        <v>50</v>
      </c>
      <c r="M366" s="10" t="s">
        <v>115</v>
      </c>
      <c r="N366" s="10"/>
      <c r="O366" s="30">
        <v>18.283988079196945</v>
      </c>
      <c r="P366" s="30">
        <v>1.026704558161968</v>
      </c>
      <c r="Q366" s="30">
        <v>-42.031503341713304</v>
      </c>
      <c r="R366" s="30">
        <v>-20.377919902142303</v>
      </c>
      <c r="S366" s="30">
        <v>14.313664001614319</v>
      </c>
      <c r="T366" s="30">
        <v>2.8366898441849111E-3</v>
      </c>
    </row>
    <row r="367" spans="10:20" x14ac:dyDescent="0.25">
      <c r="J367" s="10"/>
      <c r="K367" s="10"/>
      <c r="L367" s="10" t="s">
        <v>50</v>
      </c>
      <c r="M367" s="10" t="s">
        <v>116</v>
      </c>
      <c r="N367" s="10"/>
      <c r="O367" s="30">
        <v>10.644313011424844</v>
      </c>
      <c r="P367" s="30">
        <v>14.662687340637133</v>
      </c>
      <c r="Q367" s="30">
        <v>171.12347370986811</v>
      </c>
      <c r="R367" s="30">
        <v>-102.70841526874806</v>
      </c>
      <c r="S367" s="30">
        <v>8.3174430205625178</v>
      </c>
      <c r="T367" s="30">
        <v>-1.2779129355331384E-2</v>
      </c>
    </row>
    <row r="368" spans="10:20" x14ac:dyDescent="0.25">
      <c r="J368" s="10"/>
      <c r="K368" s="10"/>
      <c r="L368" s="10" t="s">
        <v>51</v>
      </c>
      <c r="M368" s="10" t="s">
        <v>91</v>
      </c>
      <c r="N368" s="10"/>
      <c r="O368" s="30">
        <v>-1.3797137102039569</v>
      </c>
      <c r="P368" s="30">
        <v>-6.5349728850115243</v>
      </c>
      <c r="Q368" s="30">
        <v>49.964320946193737</v>
      </c>
      <c r="R368" s="30">
        <v>29.09062468287178</v>
      </c>
      <c r="S368" s="30">
        <v>-1.1202069212843195</v>
      </c>
      <c r="T368" s="30">
        <v>1.3573879584481187E-3</v>
      </c>
    </row>
    <row r="369" spans="10:20" x14ac:dyDescent="0.25">
      <c r="J369" s="10"/>
      <c r="K369" s="10"/>
      <c r="L369" s="10" t="s">
        <v>51</v>
      </c>
      <c r="M369" s="10" t="s">
        <v>92</v>
      </c>
      <c r="N369" s="10"/>
      <c r="O369" s="30">
        <v>-1.0741197828311417</v>
      </c>
      <c r="P369" s="30">
        <v>-18.361976728968362</v>
      </c>
      <c r="Q369" s="30">
        <v>77.639554093451864</v>
      </c>
      <c r="R369" s="30">
        <v>80.456105629063728</v>
      </c>
      <c r="S369" s="30">
        <v>-0.88567381175430937</v>
      </c>
      <c r="T369" s="30">
        <v>2.4642843819333853E-3</v>
      </c>
    </row>
    <row r="370" spans="10:20" x14ac:dyDescent="0.25">
      <c r="J370" s="10"/>
      <c r="K370" s="10"/>
      <c r="L370" s="10" t="s">
        <v>51</v>
      </c>
      <c r="M370" s="10" t="s">
        <v>93</v>
      </c>
      <c r="N370" s="10"/>
      <c r="O370" s="30">
        <v>-14.505090961654449</v>
      </c>
      <c r="P370" s="30">
        <v>-2.1125831177732057</v>
      </c>
      <c r="Q370" s="30">
        <v>-39.830047864693888</v>
      </c>
      <c r="R370" s="30">
        <v>-33.701873552130969</v>
      </c>
      <c r="S370" s="30">
        <v>-11.344753718434713</v>
      </c>
      <c r="T370" s="30">
        <v>-8.4543337590838638E-2</v>
      </c>
    </row>
    <row r="371" spans="10:20" x14ac:dyDescent="0.25">
      <c r="J371" s="10"/>
      <c r="K371" s="10"/>
      <c r="L371" s="10" t="s">
        <v>51</v>
      </c>
      <c r="M371" s="10" t="s">
        <v>94</v>
      </c>
      <c r="N371" s="10"/>
      <c r="O371" s="30">
        <v>-17.709233560710434</v>
      </c>
      <c r="P371" s="30">
        <v>-6.3862892487705185</v>
      </c>
      <c r="Q371" s="30">
        <v>2.2617693336024165</v>
      </c>
      <c r="R371" s="30">
        <v>2.13694319162739</v>
      </c>
      <c r="S371" s="30">
        <v>-13.889789155168975</v>
      </c>
      <c r="T371" s="30">
        <v>-8.2544948053236908E-2</v>
      </c>
    </row>
    <row r="372" spans="10:20" x14ac:dyDescent="0.25">
      <c r="J372" s="10"/>
      <c r="K372" s="10"/>
      <c r="L372" s="10" t="s">
        <v>51</v>
      </c>
      <c r="M372" s="10" t="s">
        <v>95</v>
      </c>
      <c r="N372" s="10"/>
      <c r="O372" s="30">
        <v>9.9387902422296701</v>
      </c>
      <c r="P372" s="30">
        <v>4.7933744002362531</v>
      </c>
      <c r="Q372" s="30">
        <v>-33.85055851588379</v>
      </c>
      <c r="R372" s="30">
        <v>-50.868809308779568</v>
      </c>
      <c r="S372" s="30">
        <v>7.6957016504262441</v>
      </c>
      <c r="T372" s="30">
        <v>-4.8933422358000776E-3</v>
      </c>
    </row>
    <row r="373" spans="10:20" x14ac:dyDescent="0.25">
      <c r="J373" s="10"/>
      <c r="K373" s="10"/>
      <c r="L373" s="10" t="s">
        <v>51</v>
      </c>
      <c r="M373" s="10" t="s">
        <v>96</v>
      </c>
      <c r="N373" s="10"/>
      <c r="O373" s="30">
        <v>6.7411820312107142</v>
      </c>
      <c r="P373" s="30">
        <v>0.52066762145768997</v>
      </c>
      <c r="Q373" s="30">
        <v>8.2411702052881139</v>
      </c>
      <c r="R373" s="30">
        <v>-15.035697510431985</v>
      </c>
      <c r="S373" s="30">
        <v>5.1554874400157136</v>
      </c>
      <c r="T373" s="30">
        <v>-3.6874633286313472E-3</v>
      </c>
    </row>
    <row r="374" spans="10:20" x14ac:dyDescent="0.25">
      <c r="J374" s="10"/>
      <c r="K374" s="10"/>
      <c r="L374" s="10" t="s">
        <v>51</v>
      </c>
      <c r="M374" s="10" t="s">
        <v>97</v>
      </c>
      <c r="N374" s="10"/>
      <c r="O374" s="30">
        <v>6.7179842053033978</v>
      </c>
      <c r="P374" s="30">
        <v>3.5344531580145433</v>
      </c>
      <c r="Q374" s="30">
        <v>-28.939933310307854</v>
      </c>
      <c r="R374" s="30">
        <v>-20.647930480002287</v>
      </c>
      <c r="S374" s="30">
        <v>5.3086279591847445</v>
      </c>
      <c r="T374" s="30">
        <v>-4.5881902140067486E-5</v>
      </c>
    </row>
    <row r="375" spans="10:20" x14ac:dyDescent="0.25">
      <c r="J375" s="10"/>
      <c r="K375" s="10"/>
      <c r="L375" s="10" t="s">
        <v>51</v>
      </c>
      <c r="M375" s="10" t="s">
        <v>98</v>
      </c>
      <c r="N375" s="10"/>
      <c r="O375" s="30">
        <v>4.1705813336556643</v>
      </c>
      <c r="P375" s="30">
        <v>-11.9645117785076</v>
      </c>
      <c r="Q375" s="30">
        <v>24.264377342431182</v>
      </c>
      <c r="R375" s="30">
        <v>90.330946838099422</v>
      </c>
      <c r="S375" s="30">
        <v>3.2714678350983832</v>
      </c>
      <c r="T375" s="30">
        <v>-1.7594900046859199E-3</v>
      </c>
    </row>
    <row r="376" spans="10:20" x14ac:dyDescent="0.25">
      <c r="J376" s="10"/>
      <c r="K376" s="10"/>
      <c r="L376" s="10" t="s">
        <v>51</v>
      </c>
      <c r="M376" s="10" t="s">
        <v>99</v>
      </c>
      <c r="N376" s="10"/>
      <c r="O376" s="30">
        <v>9.5509907723731562</v>
      </c>
      <c r="P376" s="30">
        <v>51.596311526486126</v>
      </c>
      <c r="Q376" s="30">
        <v>-45.990853620985973</v>
      </c>
      <c r="R376" s="30">
        <v>-217.28040125910536</v>
      </c>
      <c r="S376" s="30">
        <v>7.5603068515770566</v>
      </c>
      <c r="T376" s="30">
        <v>-1.1514385612437731E-2</v>
      </c>
    </row>
    <row r="377" spans="10:20" x14ac:dyDescent="0.25">
      <c r="J377" s="10"/>
      <c r="K377" s="10"/>
      <c r="L377" s="10" t="s">
        <v>51</v>
      </c>
      <c r="M377" s="10" t="s">
        <v>100</v>
      </c>
      <c r="N377" s="10"/>
      <c r="O377" s="30">
        <v>7.1549273079640745</v>
      </c>
      <c r="P377" s="30">
        <v>26.183124657001407</v>
      </c>
      <c r="Q377" s="30">
        <v>72.294163919329989</v>
      </c>
      <c r="R377" s="30">
        <v>-112.15973347575935</v>
      </c>
      <c r="S377" s="30">
        <v>5.6381870369383318</v>
      </c>
      <c r="T377" s="30">
        <v>-1.3882189673337041E-3</v>
      </c>
    </row>
    <row r="378" spans="10:20" x14ac:dyDescent="0.25">
      <c r="J378" s="10"/>
      <c r="K378" s="10"/>
      <c r="L378" s="10" t="s">
        <v>51</v>
      </c>
      <c r="M378" s="10" t="s">
        <v>101</v>
      </c>
      <c r="N378" s="10"/>
      <c r="O378" s="30">
        <v>-12.886959309136586</v>
      </c>
      <c r="P378" s="30">
        <v>-14.381825938453877</v>
      </c>
      <c r="Q378" s="30">
        <v>-3.1753778363470042</v>
      </c>
      <c r="R378" s="30">
        <v>23.942857217561262</v>
      </c>
      <c r="S378" s="30">
        <v>-10.087765929189665</v>
      </c>
      <c r="T378" s="30">
        <v>-7.4846368612424719E-2</v>
      </c>
    </row>
    <row r="379" spans="10:20" x14ac:dyDescent="0.25">
      <c r="J379" s="10"/>
      <c r="K379" s="10"/>
      <c r="L379" s="10" t="s">
        <v>51</v>
      </c>
      <c r="M379" s="10" t="s">
        <v>102</v>
      </c>
      <c r="N379" s="10"/>
      <c r="O379" s="30">
        <v>-15.770687648286971</v>
      </c>
      <c r="P379" s="30">
        <v>-18.228161456351454</v>
      </c>
      <c r="Q379" s="30">
        <v>34.707257642119679</v>
      </c>
      <c r="R379" s="30">
        <v>56.19779228694378</v>
      </c>
      <c r="S379" s="30">
        <v>-12.3782978222505</v>
      </c>
      <c r="T379" s="30">
        <v>-7.3047818028583164E-2</v>
      </c>
    </row>
    <row r="380" spans="10:20" x14ac:dyDescent="0.25">
      <c r="J380" s="10"/>
      <c r="K380" s="10"/>
      <c r="L380" s="10" t="s">
        <v>51</v>
      </c>
      <c r="M380" s="10" t="s">
        <v>103</v>
      </c>
      <c r="N380" s="10"/>
      <c r="O380" s="30">
        <v>9.1125337743591253</v>
      </c>
      <c r="P380" s="30">
        <v>-8.1664641722453624</v>
      </c>
      <c r="Q380" s="30">
        <v>2.2061625775820861</v>
      </c>
      <c r="R380" s="30">
        <v>8.4926150365775204</v>
      </c>
      <c r="S380" s="30">
        <v>7.0486439027851988</v>
      </c>
      <c r="T380" s="30">
        <v>-3.1613727928899919E-3</v>
      </c>
    </row>
    <row r="381" spans="10:20" x14ac:dyDescent="0.25">
      <c r="J381" s="10"/>
      <c r="K381" s="10"/>
      <c r="L381" s="10" t="s">
        <v>51</v>
      </c>
      <c r="M381" s="10" t="s">
        <v>104</v>
      </c>
      <c r="N381" s="10"/>
      <c r="O381" s="30">
        <v>6.234686384442063</v>
      </c>
      <c r="P381" s="30">
        <v>-12.011900273146068</v>
      </c>
      <c r="Q381" s="30">
        <v>40.088718426636802</v>
      </c>
      <c r="R381" s="30">
        <v>40.74241565509034</v>
      </c>
      <c r="S381" s="30">
        <v>4.7624511134157208</v>
      </c>
      <c r="T381" s="30">
        <v>-2.0760817764381347E-3</v>
      </c>
    </row>
    <row r="382" spans="10:20" x14ac:dyDescent="0.25">
      <c r="J382" s="10"/>
      <c r="K382" s="10"/>
      <c r="L382" s="10" t="s">
        <v>51</v>
      </c>
      <c r="M382" s="10" t="s">
        <v>105</v>
      </c>
      <c r="N382" s="10"/>
      <c r="O382" s="30">
        <v>6.2138083411254765</v>
      </c>
      <c r="P382" s="30">
        <v>-9.2994932902449001</v>
      </c>
      <c r="Q382" s="30">
        <v>6.6257252626004322</v>
      </c>
      <c r="R382" s="30">
        <v>35.691405982477072</v>
      </c>
      <c r="S382" s="30">
        <v>4.9002775806678489</v>
      </c>
      <c r="T382" s="30">
        <v>1.2013415074040175E-3</v>
      </c>
    </row>
    <row r="383" spans="10:20" x14ac:dyDescent="0.25">
      <c r="J383" s="10"/>
      <c r="K383" s="10"/>
      <c r="L383" s="10" t="s">
        <v>51</v>
      </c>
      <c r="M383" s="10" t="s">
        <v>106</v>
      </c>
      <c r="N383" s="10"/>
      <c r="O383" s="30">
        <v>3.9211457566425167</v>
      </c>
      <c r="P383" s="30">
        <v>-23.24856173311483</v>
      </c>
      <c r="Q383" s="30">
        <v>54.509604850065564</v>
      </c>
      <c r="R383" s="30">
        <v>135.57239556876863</v>
      </c>
      <c r="S383" s="30">
        <v>3.0668334689901227</v>
      </c>
      <c r="T383" s="30">
        <v>-3.4090578488724977E-4</v>
      </c>
    </row>
    <row r="384" spans="10:20" x14ac:dyDescent="0.25">
      <c r="J384" s="10"/>
      <c r="K384" s="10"/>
      <c r="L384" s="10" t="s">
        <v>51</v>
      </c>
      <c r="M384" s="10" t="s">
        <v>107</v>
      </c>
      <c r="N384" s="10"/>
      <c r="O384" s="30">
        <v>8.7635142514882585</v>
      </c>
      <c r="P384" s="30">
        <v>33.95617924137953</v>
      </c>
      <c r="Q384" s="30">
        <v>-8.7201030170098655</v>
      </c>
      <c r="R384" s="30">
        <v>-141.27781771871568</v>
      </c>
      <c r="S384" s="30">
        <v>6.9267885838209287</v>
      </c>
      <c r="T384" s="30">
        <v>-9.1203118318638823E-3</v>
      </c>
    </row>
    <row r="385" spans="10:20" x14ac:dyDescent="0.25">
      <c r="J385" s="10"/>
      <c r="K385" s="10"/>
      <c r="L385" s="10" t="s">
        <v>51</v>
      </c>
      <c r="M385" s="10" t="s">
        <v>108</v>
      </c>
      <c r="N385" s="10"/>
      <c r="O385" s="30">
        <v>6.6070571335200858</v>
      </c>
      <c r="P385" s="30">
        <v>11.084311058843276</v>
      </c>
      <c r="Q385" s="30">
        <v>97.736412769274509</v>
      </c>
      <c r="R385" s="30">
        <v>-46.669216713704294</v>
      </c>
      <c r="S385" s="30">
        <v>5.196880750646077</v>
      </c>
      <c r="T385" s="30">
        <v>-6.7618512702556456E-6</v>
      </c>
    </row>
    <row r="386" spans="10:20" x14ac:dyDescent="0.25">
      <c r="J386" s="10"/>
      <c r="K386" s="10"/>
      <c r="L386" s="10" t="s">
        <v>51</v>
      </c>
      <c r="M386" s="10" t="s">
        <v>109</v>
      </c>
      <c r="N386" s="10"/>
      <c r="O386" s="30">
        <v>-14.230056427018914</v>
      </c>
      <c r="P386" s="30">
        <v>-12.75688657733436</v>
      </c>
      <c r="Q386" s="30">
        <v>-14.922338032161568</v>
      </c>
      <c r="R386" s="30">
        <v>12.527059299441804</v>
      </c>
      <c r="S386" s="30">
        <v>-11.133673919857705</v>
      </c>
      <c r="T386" s="30">
        <v>-8.35471308097019E-2</v>
      </c>
    </row>
    <row r="387" spans="10:20" x14ac:dyDescent="0.25">
      <c r="J387" s="10"/>
      <c r="K387" s="10"/>
      <c r="L387" s="10" t="s">
        <v>51</v>
      </c>
      <c r="M387" s="10" t="s">
        <v>110</v>
      </c>
      <c r="N387" s="10"/>
      <c r="O387" s="30">
        <v>-17.4341990260749</v>
      </c>
      <c r="P387" s="30">
        <v>-17.030592708331671</v>
      </c>
      <c r="Q387" s="30">
        <v>27.169479166134735</v>
      </c>
      <c r="R387" s="30">
        <v>48.36587604320016</v>
      </c>
      <c r="S387" s="30">
        <v>-13.678709356591966</v>
      </c>
      <c r="T387" s="30">
        <v>-8.154874127210017E-2</v>
      </c>
    </row>
    <row r="388" spans="10:20" x14ac:dyDescent="0.25">
      <c r="J388" s="10"/>
      <c r="K388" s="10"/>
      <c r="L388" s="10" t="s">
        <v>51</v>
      </c>
      <c r="M388" s="10" t="s">
        <v>111</v>
      </c>
      <c r="N388" s="10"/>
      <c r="O388" s="30">
        <v>10.213824776865206</v>
      </c>
      <c r="P388" s="30">
        <v>-5.8509290593249013</v>
      </c>
      <c r="Q388" s="30">
        <v>-8.9428486833514746</v>
      </c>
      <c r="R388" s="30">
        <v>-4.6398764572067996</v>
      </c>
      <c r="S388" s="30">
        <v>7.9067814490032537</v>
      </c>
      <c r="T388" s="30">
        <v>-3.8971354546633382E-3</v>
      </c>
    </row>
    <row r="389" spans="10:20" x14ac:dyDescent="0.25">
      <c r="J389" s="10"/>
      <c r="K389" s="10"/>
      <c r="L389" s="10" t="s">
        <v>51</v>
      </c>
      <c r="M389" s="10" t="s">
        <v>112</v>
      </c>
      <c r="N389" s="10"/>
      <c r="O389" s="30">
        <v>7.0162165658462481</v>
      </c>
      <c r="P389" s="30">
        <v>-10.123635838103464</v>
      </c>
      <c r="Q389" s="30">
        <v>33.148880037820433</v>
      </c>
      <c r="R389" s="30">
        <v>31.193235341140785</v>
      </c>
      <c r="S389" s="30">
        <v>5.3665672385927232</v>
      </c>
      <c r="T389" s="30">
        <v>-2.6912565474946078E-3</v>
      </c>
    </row>
    <row r="390" spans="10:20" x14ac:dyDescent="0.25">
      <c r="J390" s="10"/>
      <c r="K390" s="10"/>
      <c r="L390" s="10" t="s">
        <v>51</v>
      </c>
      <c r="M390" s="10" t="s">
        <v>113</v>
      </c>
      <c r="N390" s="10"/>
      <c r="O390" s="30">
        <v>6.9930187399389308</v>
      </c>
      <c r="P390" s="30">
        <v>-7.1098503015466106</v>
      </c>
      <c r="Q390" s="30">
        <v>-4.0322234777755357</v>
      </c>
      <c r="R390" s="30">
        <v>25.581002371570484</v>
      </c>
      <c r="S390" s="30">
        <v>5.5197077577617542</v>
      </c>
      <c r="T390" s="30">
        <v>9.5032487899667211E-4</v>
      </c>
    </row>
    <row r="391" spans="10:20" x14ac:dyDescent="0.25">
      <c r="J391" s="10"/>
      <c r="K391" s="10"/>
      <c r="L391" s="10" t="s">
        <v>51</v>
      </c>
      <c r="M391" s="10" t="s">
        <v>114</v>
      </c>
      <c r="N391" s="10"/>
      <c r="O391" s="30">
        <v>4.4456158682911973</v>
      </c>
      <c r="P391" s="30">
        <v>-22.608815238068754</v>
      </c>
      <c r="Q391" s="30">
        <v>49.172087174963501</v>
      </c>
      <c r="R391" s="30">
        <v>136.55987968967219</v>
      </c>
      <c r="S391" s="30">
        <v>3.4825476336753924</v>
      </c>
      <c r="T391" s="30">
        <v>-7.6328322354918038E-4</v>
      </c>
    </row>
    <row r="392" spans="10:20" x14ac:dyDescent="0.25">
      <c r="J392" s="10"/>
      <c r="K392" s="10"/>
      <c r="L392" s="10" t="s">
        <v>51</v>
      </c>
      <c r="M392" s="10" t="s">
        <v>115</v>
      </c>
      <c r="N392" s="10"/>
      <c r="O392" s="30">
        <v>9.8260253070086883</v>
      </c>
      <c r="P392" s="30">
        <v>40.952008066924975</v>
      </c>
      <c r="Q392" s="30">
        <v>-21.083143788453654</v>
      </c>
      <c r="R392" s="30">
        <v>-171.05146840753258</v>
      </c>
      <c r="S392" s="30">
        <v>7.7713866501540663</v>
      </c>
      <c r="T392" s="30">
        <v>-1.0518178831300989E-2</v>
      </c>
    </row>
    <row r="393" spans="10:20" x14ac:dyDescent="0.25">
      <c r="J393" s="10"/>
      <c r="K393" s="10"/>
      <c r="L393" s="10" t="s">
        <v>51</v>
      </c>
      <c r="M393" s="10" t="s">
        <v>116</v>
      </c>
      <c r="N393" s="10"/>
      <c r="O393" s="30">
        <v>7.4299618425996083</v>
      </c>
      <c r="P393" s="30">
        <v>15.538821197440251</v>
      </c>
      <c r="Q393" s="30">
        <v>97.201873751862323</v>
      </c>
      <c r="R393" s="30">
        <v>-65.930800624186588</v>
      </c>
      <c r="S393" s="30">
        <v>5.8492668355153414</v>
      </c>
      <c r="T393" s="30">
        <v>-3.9201218619696454E-4</v>
      </c>
    </row>
    <row r="394" spans="10:20" x14ac:dyDescent="0.25">
      <c r="J394" s="10"/>
      <c r="K394" s="10"/>
      <c r="L394" s="10" t="s">
        <v>52</v>
      </c>
      <c r="M394" s="10" t="s">
        <v>91</v>
      </c>
      <c r="N394" s="10"/>
      <c r="O394" s="30">
        <v>-0.84338700193052196</v>
      </c>
      <c r="P394" s="30">
        <v>6.8497051319453481</v>
      </c>
      <c r="Q394" s="30">
        <v>50.600263751900307</v>
      </c>
      <c r="R394" s="30">
        <v>-30.639430971838319</v>
      </c>
      <c r="S394" s="30">
        <v>-0.59159333915355938</v>
      </c>
      <c r="T394" s="30">
        <v>2.0448009344649428E-3</v>
      </c>
    </row>
    <row r="395" spans="10:20" x14ac:dyDescent="0.25">
      <c r="J395" s="10"/>
      <c r="K395" s="10"/>
      <c r="L395" s="10" t="s">
        <v>52</v>
      </c>
      <c r="M395" s="10" t="s">
        <v>92</v>
      </c>
      <c r="N395" s="10"/>
      <c r="O395" s="30">
        <v>-0.82934451102298767</v>
      </c>
      <c r="P395" s="30">
        <v>18.841848518165289</v>
      </c>
      <c r="Q395" s="30">
        <v>78.461753979648563</v>
      </c>
      <c r="R395" s="30">
        <v>-83.171343349945801</v>
      </c>
      <c r="S395" s="30">
        <v>-0.49987436516856937</v>
      </c>
      <c r="T395" s="30">
        <v>6.2163957752063579E-3</v>
      </c>
    </row>
    <row r="396" spans="10:20" x14ac:dyDescent="0.25">
      <c r="J396" s="10"/>
      <c r="K396" s="10"/>
      <c r="L396" s="10" t="s">
        <v>52</v>
      </c>
      <c r="M396" s="10" t="s">
        <v>93</v>
      </c>
      <c r="N396" s="10"/>
      <c r="O396" s="30">
        <v>-5.157235511652468</v>
      </c>
      <c r="P396" s="30">
        <v>-4.9208813835034642</v>
      </c>
      <c r="Q396" s="30">
        <v>-41.746775129069292</v>
      </c>
      <c r="R396" s="30">
        <v>52.676885526031676</v>
      </c>
      <c r="S396" s="30">
        <v>-6.5577824989989466</v>
      </c>
      <c r="T396" s="30">
        <v>-3.4227438581973649E-2</v>
      </c>
    </row>
    <row r="397" spans="10:20" x14ac:dyDescent="0.25">
      <c r="J397" s="10"/>
      <c r="K397" s="10"/>
      <c r="L397" s="10" t="s">
        <v>52</v>
      </c>
      <c r="M397" s="10" t="s">
        <v>94</v>
      </c>
      <c r="N397" s="10"/>
      <c r="O397" s="30">
        <v>-6.8489856149641373</v>
      </c>
      <c r="P397" s="30">
        <v>-0.42884296020119828</v>
      </c>
      <c r="Q397" s="30">
        <v>0.10869462379945614</v>
      </c>
      <c r="R397" s="30">
        <v>15.318763599878173</v>
      </c>
      <c r="S397" s="30">
        <v>-7.8379684423316887</v>
      </c>
      <c r="T397" s="30">
        <v>-2.8191968749048561E-2</v>
      </c>
    </row>
    <row r="398" spans="10:20" x14ac:dyDescent="0.25">
      <c r="J398" s="10"/>
      <c r="K398" s="10"/>
      <c r="L398" s="10" t="s">
        <v>52</v>
      </c>
      <c r="M398" s="10" t="s">
        <v>95</v>
      </c>
      <c r="N398" s="10"/>
      <c r="O398" s="30">
        <v>3.3736555970704178</v>
      </c>
      <c r="P398" s="30">
        <v>-4.9218512675090178</v>
      </c>
      <c r="Q398" s="30">
        <v>-25.350136428803463</v>
      </c>
      <c r="R398" s="30">
        <v>52.15012466572675</v>
      </c>
      <c r="S398" s="30">
        <v>4.8281146808582474</v>
      </c>
      <c r="T398" s="30">
        <v>-1.3501249619471927E-2</v>
      </c>
    </row>
    <row r="399" spans="10:20" x14ac:dyDescent="0.25">
      <c r="J399" s="10"/>
      <c r="K399" s="10"/>
      <c r="L399" s="10" t="s">
        <v>52</v>
      </c>
      <c r="M399" s="10" t="s">
        <v>96</v>
      </c>
      <c r="N399" s="10"/>
      <c r="O399" s="30">
        <v>1.6835091124077981</v>
      </c>
      <c r="P399" s="30">
        <v>-0.42986560935900969</v>
      </c>
      <c r="Q399" s="30">
        <v>16.512365581371395</v>
      </c>
      <c r="R399" s="30">
        <v>14.793252240894574</v>
      </c>
      <c r="S399" s="30">
        <v>3.5511158660339546</v>
      </c>
      <c r="T399" s="30">
        <v>-7.4876617638018599E-3</v>
      </c>
    </row>
    <row r="400" spans="10:20" x14ac:dyDescent="0.25">
      <c r="J400" s="10"/>
      <c r="K400" s="10"/>
      <c r="L400" s="10" t="s">
        <v>52</v>
      </c>
      <c r="M400" s="10" t="s">
        <v>97</v>
      </c>
      <c r="N400" s="10"/>
      <c r="O400" s="30">
        <v>4.8030689766865544</v>
      </c>
      <c r="P400" s="30">
        <v>-51.802085192596969</v>
      </c>
      <c r="Q400" s="30">
        <v>-44.508905631851626</v>
      </c>
      <c r="R400" s="30">
        <v>219.39715217780017</v>
      </c>
      <c r="S400" s="30">
        <v>3.7787248031690832</v>
      </c>
      <c r="T400" s="30">
        <v>-1.0528039850201296E-2</v>
      </c>
    </row>
    <row r="401" spans="10:20" x14ac:dyDescent="0.25">
      <c r="J401" s="10"/>
      <c r="K401" s="10"/>
      <c r="L401" s="10" t="s">
        <v>52</v>
      </c>
      <c r="M401" s="10" t="s">
        <v>98</v>
      </c>
      <c r="N401" s="10"/>
      <c r="O401" s="30">
        <v>3.1420075765883686</v>
      </c>
      <c r="P401" s="30">
        <v>-26.186233530865625</v>
      </c>
      <c r="Q401" s="30">
        <v>73.808712577215559</v>
      </c>
      <c r="R401" s="30">
        <v>112.82917243010468</v>
      </c>
      <c r="S401" s="30">
        <v>2.7427217824188781</v>
      </c>
      <c r="T401" s="30">
        <v>5.6495768824723824E-3</v>
      </c>
    </row>
    <row r="402" spans="10:20" x14ac:dyDescent="0.25">
      <c r="J402" s="10"/>
      <c r="K402" s="10"/>
      <c r="L402" s="10" t="s">
        <v>52</v>
      </c>
      <c r="M402" s="10" t="s">
        <v>99</v>
      </c>
      <c r="N402" s="10"/>
      <c r="O402" s="30">
        <v>3.31665585725997</v>
      </c>
      <c r="P402" s="30">
        <v>-3.6404992347272902</v>
      </c>
      <c r="Q402" s="30">
        <v>-27.675644071245124</v>
      </c>
      <c r="R402" s="30">
        <v>22.008670686702022</v>
      </c>
      <c r="S402" s="30">
        <v>2.6073645585567022</v>
      </c>
      <c r="T402" s="30">
        <v>-1.008114834771095E-2</v>
      </c>
    </row>
    <row r="403" spans="10:20" x14ac:dyDescent="0.25">
      <c r="J403" s="10"/>
      <c r="K403" s="10"/>
      <c r="L403" s="10" t="s">
        <v>52</v>
      </c>
      <c r="M403" s="10" t="s">
        <v>100</v>
      </c>
      <c r="N403" s="10"/>
      <c r="O403" s="30">
        <v>1.8520846085907352</v>
      </c>
      <c r="P403" s="30">
        <v>12.598499369975134</v>
      </c>
      <c r="Q403" s="30">
        <v>25.897605359820993</v>
      </c>
      <c r="R403" s="30">
        <v>-94.15624223948879</v>
      </c>
      <c r="S403" s="30">
        <v>1.5969593258368728</v>
      </c>
      <c r="T403" s="30">
        <v>-4.0836573430501214E-3</v>
      </c>
    </row>
    <row r="404" spans="10:20" x14ac:dyDescent="0.25">
      <c r="J404" s="10"/>
      <c r="K404" s="10"/>
      <c r="L404" s="10" t="s">
        <v>52</v>
      </c>
      <c r="M404" s="10" t="s">
        <v>101</v>
      </c>
      <c r="N404" s="10"/>
      <c r="O404" s="30">
        <v>-4.7118081697727385</v>
      </c>
      <c r="P404" s="30">
        <v>8.2483206542613594</v>
      </c>
      <c r="Q404" s="30">
        <v>-4.6505810132240866</v>
      </c>
      <c r="R404" s="30">
        <v>-8.1866585018628069</v>
      </c>
      <c r="S404" s="30">
        <v>-5.8694446090294186</v>
      </c>
      <c r="T404" s="30">
        <v>-2.6428619789588374E-2</v>
      </c>
    </row>
    <row r="405" spans="10:20" x14ac:dyDescent="0.25">
      <c r="J405" s="10"/>
      <c r="K405" s="10"/>
      <c r="L405" s="10" t="s">
        <v>52</v>
      </c>
      <c r="M405" s="10" t="s">
        <v>102</v>
      </c>
      <c r="N405" s="10"/>
      <c r="O405" s="30">
        <v>-6.2343832627532407</v>
      </c>
      <c r="P405" s="30">
        <v>12.291155235233397</v>
      </c>
      <c r="Q405" s="30">
        <v>33.01934176435779</v>
      </c>
      <c r="R405" s="30">
        <v>-41.808968235400961</v>
      </c>
      <c r="S405" s="30">
        <v>-7.0216119580288847</v>
      </c>
      <c r="T405" s="30">
        <v>-2.0996696939955796E-2</v>
      </c>
    </row>
    <row r="406" spans="10:20" x14ac:dyDescent="0.25">
      <c r="J406" s="10"/>
      <c r="K406" s="10"/>
      <c r="L406" s="10" t="s">
        <v>52</v>
      </c>
      <c r="M406" s="10" t="s">
        <v>103</v>
      </c>
      <c r="N406" s="10"/>
      <c r="O406" s="30">
        <v>2.9659938280778588</v>
      </c>
      <c r="P406" s="30">
        <v>8.2474477586563602</v>
      </c>
      <c r="Q406" s="30">
        <v>10.106393817015165</v>
      </c>
      <c r="R406" s="30">
        <v>-8.6607432761372447</v>
      </c>
      <c r="S406" s="30">
        <v>4.3778628528420569</v>
      </c>
      <c r="T406" s="30">
        <v>-7.7750497233368236E-3</v>
      </c>
    </row>
    <row r="407" spans="10:20" x14ac:dyDescent="0.25">
      <c r="J407" s="10"/>
      <c r="K407" s="10"/>
      <c r="L407" s="10" t="s">
        <v>52</v>
      </c>
      <c r="M407" s="10" t="s">
        <v>104</v>
      </c>
      <c r="N407" s="10"/>
      <c r="O407" s="30">
        <v>1.4448619918815009</v>
      </c>
      <c r="P407" s="30">
        <v>12.29023485099137</v>
      </c>
      <c r="Q407" s="30">
        <v>47.782645626172545</v>
      </c>
      <c r="R407" s="30">
        <v>-42.281928458486206</v>
      </c>
      <c r="S407" s="30">
        <v>3.2285639195001932</v>
      </c>
      <c r="T407" s="30">
        <v>-2.3628206532337638E-3</v>
      </c>
    </row>
    <row r="408" spans="10:20" x14ac:dyDescent="0.25">
      <c r="J408" s="10"/>
      <c r="K408" s="10"/>
      <c r="L408" s="10" t="s">
        <v>52</v>
      </c>
      <c r="M408" s="10" t="s">
        <v>105</v>
      </c>
      <c r="N408" s="10"/>
      <c r="O408" s="30">
        <v>4.2524658697323812</v>
      </c>
      <c r="P408" s="30">
        <v>-33.94476277392279</v>
      </c>
      <c r="Q408" s="30">
        <v>-7.136498465728188</v>
      </c>
      <c r="R408" s="30">
        <v>141.86158148472884</v>
      </c>
      <c r="S408" s="30">
        <v>3.4334119629218094</v>
      </c>
      <c r="T408" s="30">
        <v>-5.0991609309932575E-3</v>
      </c>
    </row>
    <row r="409" spans="10:20" x14ac:dyDescent="0.25">
      <c r="J409" s="10"/>
      <c r="K409" s="10"/>
      <c r="L409" s="10" t="s">
        <v>52</v>
      </c>
      <c r="M409" s="10" t="s">
        <v>106</v>
      </c>
      <c r="N409" s="10"/>
      <c r="O409" s="30">
        <v>2.7575106096440143</v>
      </c>
      <c r="P409" s="30">
        <v>-10.890496278364584</v>
      </c>
      <c r="Q409" s="30">
        <v>99.34935792243229</v>
      </c>
      <c r="R409" s="30">
        <v>45.950399711802902</v>
      </c>
      <c r="S409" s="30">
        <v>2.5010092442466236</v>
      </c>
      <c r="T409" s="30">
        <v>9.4606941284130532E-3</v>
      </c>
    </row>
    <row r="410" spans="10:20" x14ac:dyDescent="0.25">
      <c r="J410" s="10"/>
      <c r="K410" s="10"/>
      <c r="L410" s="10" t="s">
        <v>52</v>
      </c>
      <c r="M410" s="10" t="s">
        <v>107</v>
      </c>
      <c r="N410" s="10"/>
      <c r="O410" s="30">
        <v>2.9146940622484552</v>
      </c>
      <c r="P410" s="30">
        <v>9.4006645881599162</v>
      </c>
      <c r="Q410" s="30">
        <v>8.0134369388176694</v>
      </c>
      <c r="R410" s="30">
        <v>-35.788051857259504</v>
      </c>
      <c r="S410" s="30">
        <v>2.3791877427706662</v>
      </c>
      <c r="T410" s="30">
        <v>-4.6969585787519468E-3</v>
      </c>
    </row>
    <row r="411" spans="10:20" x14ac:dyDescent="0.25">
      <c r="J411" s="10"/>
      <c r="K411" s="10"/>
      <c r="L411" s="10" t="s">
        <v>52</v>
      </c>
      <c r="M411" s="10" t="s">
        <v>108</v>
      </c>
      <c r="N411" s="10"/>
      <c r="O411" s="30">
        <v>1.5965799384461439</v>
      </c>
      <c r="P411" s="30">
        <v>24.015763332392098</v>
      </c>
      <c r="Q411" s="30">
        <v>56.229361426777182</v>
      </c>
      <c r="R411" s="30">
        <v>-140.33647349083122</v>
      </c>
      <c r="S411" s="30">
        <v>1.4698230333228195</v>
      </c>
      <c r="T411" s="30">
        <v>7.0078332544280038E-4</v>
      </c>
    </row>
    <row r="412" spans="10:20" x14ac:dyDescent="0.25">
      <c r="J412" s="10"/>
      <c r="K412" s="10"/>
      <c r="L412" s="10" t="s">
        <v>52</v>
      </c>
      <c r="M412" s="10" t="s">
        <v>109</v>
      </c>
      <c r="N412" s="10"/>
      <c r="O412" s="30">
        <v>-5.1445972698356863</v>
      </c>
      <c r="P412" s="30">
        <v>5.8720476640944881</v>
      </c>
      <c r="Q412" s="30">
        <v>-16.671433924095862</v>
      </c>
      <c r="R412" s="30">
        <v>5.3981643857349288</v>
      </c>
      <c r="S412" s="30">
        <v>-6.4752354224124549</v>
      </c>
      <c r="T412" s="30">
        <v>-3.0473003225306369E-2</v>
      </c>
    </row>
    <row r="413" spans="10:20" x14ac:dyDescent="0.25">
      <c r="J413" s="10"/>
      <c r="K413" s="10"/>
      <c r="L413" s="10" t="s">
        <v>52</v>
      </c>
      <c r="M413" s="10" t="s">
        <v>110</v>
      </c>
      <c r="N413" s="10"/>
      <c r="O413" s="30">
        <v>-6.8363473731473556</v>
      </c>
      <c r="P413" s="30">
        <v>10.364086087396753</v>
      </c>
      <c r="Q413" s="30">
        <v>25.184035828772885</v>
      </c>
      <c r="R413" s="30">
        <v>-31.959957540418571</v>
      </c>
      <c r="S413" s="30">
        <v>-7.7554213657451969</v>
      </c>
      <c r="T413" s="30">
        <v>-2.4437533392381288E-2</v>
      </c>
    </row>
    <row r="414" spans="10:20" x14ac:dyDescent="0.25">
      <c r="J414" s="10"/>
      <c r="K414" s="10"/>
      <c r="L414" s="10" t="s">
        <v>52</v>
      </c>
      <c r="M414" s="10" t="s">
        <v>111</v>
      </c>
      <c r="N414" s="10"/>
      <c r="O414" s="30">
        <v>3.3862938388871986</v>
      </c>
      <c r="P414" s="30">
        <v>5.8710777800889344</v>
      </c>
      <c r="Q414" s="30">
        <v>-0.27479522383003491</v>
      </c>
      <c r="R414" s="30">
        <v>4.8714035254300079</v>
      </c>
      <c r="S414" s="30">
        <v>4.9106617574447391</v>
      </c>
      <c r="T414" s="30">
        <v>-9.7468142628046525E-3</v>
      </c>
    </row>
    <row r="415" spans="10:20" x14ac:dyDescent="0.25">
      <c r="J415" s="10"/>
      <c r="K415" s="10"/>
      <c r="L415" s="10" t="s">
        <v>52</v>
      </c>
      <c r="M415" s="10" t="s">
        <v>112</v>
      </c>
      <c r="N415" s="10"/>
      <c r="O415" s="30">
        <v>1.6961473542245791</v>
      </c>
      <c r="P415" s="30">
        <v>10.363063438238941</v>
      </c>
      <c r="Q415" s="30">
        <v>41.587706786344825</v>
      </c>
      <c r="R415" s="30">
        <v>-32.485468899402171</v>
      </c>
      <c r="S415" s="30">
        <v>3.6336629426204454</v>
      </c>
      <c r="T415" s="30">
        <v>-3.7332264071345861E-3</v>
      </c>
    </row>
    <row r="416" spans="10:20" x14ac:dyDescent="0.25">
      <c r="J416" s="10"/>
      <c r="K416" s="10"/>
      <c r="L416" s="10" t="s">
        <v>52</v>
      </c>
      <c r="M416" s="10" t="s">
        <v>113</v>
      </c>
      <c r="N416" s="10"/>
      <c r="O416" s="30">
        <v>4.8157072185033361</v>
      </c>
      <c r="P416" s="30">
        <v>-41.009156144999011</v>
      </c>
      <c r="Q416" s="30">
        <v>-19.433564426878203</v>
      </c>
      <c r="R416" s="30">
        <v>172.1184310375034</v>
      </c>
      <c r="S416" s="30">
        <v>3.8612718797555741</v>
      </c>
      <c r="T416" s="30">
        <v>-6.7736044935340235E-3</v>
      </c>
    </row>
    <row r="417" spans="10:20" x14ac:dyDescent="0.25">
      <c r="J417" s="10"/>
      <c r="K417" s="10"/>
      <c r="L417" s="10" t="s">
        <v>52</v>
      </c>
      <c r="M417" s="10" t="s">
        <v>114</v>
      </c>
      <c r="N417" s="10"/>
      <c r="O417" s="30">
        <v>3.1546458184051498</v>
      </c>
      <c r="P417" s="30">
        <v>-15.393304483267672</v>
      </c>
      <c r="Q417" s="30">
        <v>98.884053782188985</v>
      </c>
      <c r="R417" s="30">
        <v>65.550451289807924</v>
      </c>
      <c r="S417" s="30">
        <v>2.8252688590053689</v>
      </c>
      <c r="T417" s="30">
        <v>9.4040122391396558E-3</v>
      </c>
    </row>
    <row r="418" spans="10:20" x14ac:dyDescent="0.25">
      <c r="J418" s="10"/>
      <c r="K418" s="10"/>
      <c r="L418" s="10" t="s">
        <v>52</v>
      </c>
      <c r="M418" s="10" t="s">
        <v>115</v>
      </c>
      <c r="N418" s="10"/>
      <c r="O418" s="30">
        <v>3.3292940990767508</v>
      </c>
      <c r="P418" s="30">
        <v>7.152429812870662</v>
      </c>
      <c r="Q418" s="30">
        <v>-2.6003028662716963</v>
      </c>
      <c r="R418" s="30">
        <v>-25.270050453594724</v>
      </c>
      <c r="S418" s="30">
        <v>2.6899116351431931</v>
      </c>
      <c r="T418" s="30">
        <v>-6.3267129910436759E-3</v>
      </c>
    </row>
    <row r="419" spans="10:20" x14ac:dyDescent="0.25">
      <c r="J419" s="10"/>
      <c r="K419" s="10"/>
      <c r="L419" s="10" t="s">
        <v>52</v>
      </c>
      <c r="M419" s="10" t="s">
        <v>116</v>
      </c>
      <c r="N419" s="10"/>
      <c r="O419" s="30">
        <v>1.8647228504075162</v>
      </c>
      <c r="P419" s="30">
        <v>23.391428417573085</v>
      </c>
      <c r="Q419" s="30">
        <v>50.97294656479442</v>
      </c>
      <c r="R419" s="30">
        <v>-141.43496337978553</v>
      </c>
      <c r="S419" s="30">
        <v>1.6795064024233637</v>
      </c>
      <c r="T419" s="30">
        <v>-3.2922198638284762E-4</v>
      </c>
    </row>
    <row r="420" spans="10:20" x14ac:dyDescent="0.25">
      <c r="J420" s="10"/>
      <c r="K420" s="10"/>
      <c r="L420" s="10" t="s">
        <v>53</v>
      </c>
      <c r="M420" s="10" t="s">
        <v>91</v>
      </c>
      <c r="N420" s="10"/>
      <c r="O420" s="30">
        <v>-0.83195437927954485</v>
      </c>
      <c r="P420" s="30">
        <v>-0.24516574268100771</v>
      </c>
      <c r="Q420" s="30">
        <v>72.136953690230484</v>
      </c>
      <c r="R420" s="30">
        <v>0.164476462877301</v>
      </c>
      <c r="S420" s="30">
        <v>-0.59245820327967103</v>
      </c>
      <c r="T420" s="30">
        <v>-9.6600438995181846E-4</v>
      </c>
    </row>
    <row r="421" spans="10:20" x14ac:dyDescent="0.25">
      <c r="J421" s="10"/>
      <c r="K421" s="10"/>
      <c r="L421" s="10" t="s">
        <v>53</v>
      </c>
      <c r="M421" s="10" t="s">
        <v>92</v>
      </c>
      <c r="N421" s="10"/>
      <c r="O421" s="30">
        <v>-0.82100423977866011</v>
      </c>
      <c r="P421" s="30">
        <v>-1.8772409849913965</v>
      </c>
      <c r="Q421" s="30">
        <v>128.87741923223004</v>
      </c>
      <c r="R421" s="30">
        <v>6.8343191423020775</v>
      </c>
      <c r="S421" s="30">
        <v>-0.53719754256486696</v>
      </c>
      <c r="T421" s="30">
        <v>-5.6440278718720401E-3</v>
      </c>
    </row>
    <row r="422" spans="10:20" x14ac:dyDescent="0.25">
      <c r="J422" s="10"/>
      <c r="K422" s="10"/>
      <c r="L422" s="10" t="s">
        <v>53</v>
      </c>
      <c r="M422" s="10" t="s">
        <v>93</v>
      </c>
      <c r="N422" s="10"/>
      <c r="O422" s="30">
        <v>-10.032342919168775</v>
      </c>
      <c r="P422" s="30">
        <v>5.6507098068532482</v>
      </c>
      <c r="Q422" s="30">
        <v>-98.345240922594513</v>
      </c>
      <c r="R422" s="30">
        <v>-25.593476737823345</v>
      </c>
      <c r="S422" s="30">
        <v>-9.6170561731599928</v>
      </c>
      <c r="T422" s="30">
        <v>1.5020138250495542E-2</v>
      </c>
    </row>
    <row r="423" spans="10:20" x14ac:dyDescent="0.25">
      <c r="J423" s="10"/>
      <c r="K423" s="10"/>
      <c r="L423" s="10" t="s">
        <v>53</v>
      </c>
      <c r="M423" s="10" t="s">
        <v>94</v>
      </c>
      <c r="N423" s="10"/>
      <c r="O423" s="30">
        <v>-14.410184951416143</v>
      </c>
      <c r="P423" s="30">
        <v>2.4244448026883765</v>
      </c>
      <c r="Q423" s="30">
        <v>-18.594969889068086</v>
      </c>
      <c r="R423" s="30">
        <v>-11.219287547217496</v>
      </c>
      <c r="S423" s="30">
        <v>-13.079572068773867</v>
      </c>
      <c r="T423" s="30">
        <v>8.4581683892991991E-3</v>
      </c>
    </row>
    <row r="424" spans="10:20" x14ac:dyDescent="0.25">
      <c r="J424" s="10"/>
      <c r="K424" s="10"/>
      <c r="L424" s="10" t="s">
        <v>53</v>
      </c>
      <c r="M424" s="10" t="s">
        <v>95</v>
      </c>
      <c r="N424" s="10"/>
      <c r="O424" s="30">
        <v>8.1419981316932493</v>
      </c>
      <c r="P424" s="30">
        <v>6.5944425693336486</v>
      </c>
      <c r="Q424" s="30">
        <v>-78.490172535819099</v>
      </c>
      <c r="R424" s="30">
        <v>-30.614613981094237</v>
      </c>
      <c r="S424" s="30">
        <v>7.9904793939330432</v>
      </c>
      <c r="T424" s="30">
        <v>8.4644349514078013E-3</v>
      </c>
    </row>
    <row r="425" spans="10:20" x14ac:dyDescent="0.25">
      <c r="J425" s="10"/>
      <c r="K425" s="10"/>
      <c r="L425" s="10" t="s">
        <v>53</v>
      </c>
      <c r="M425" s="10" t="s">
        <v>96</v>
      </c>
      <c r="N425" s="10"/>
      <c r="O425" s="30">
        <v>3.7613042154360747</v>
      </c>
      <c r="P425" s="30">
        <v>3.3667329911507973</v>
      </c>
      <c r="Q425" s="30">
        <v>1.2503224265689494</v>
      </c>
      <c r="R425" s="30">
        <v>-16.232760227664933</v>
      </c>
      <c r="S425" s="30">
        <v>4.5245149390017056</v>
      </c>
      <c r="T425" s="30">
        <v>1.9247364780599478E-3</v>
      </c>
    </row>
    <row r="426" spans="10:20" x14ac:dyDescent="0.25">
      <c r="J426" s="10"/>
      <c r="K426" s="10"/>
      <c r="L426" s="10" t="s">
        <v>53</v>
      </c>
      <c r="M426" s="10" t="s">
        <v>97</v>
      </c>
      <c r="N426" s="10"/>
      <c r="O426" s="30">
        <v>10.207839014938777</v>
      </c>
      <c r="P426" s="30">
        <v>0.2253982747619091</v>
      </c>
      <c r="Q426" s="30">
        <v>-86.394876736285966</v>
      </c>
      <c r="R426" s="30">
        <v>16.132223051365102</v>
      </c>
      <c r="S426" s="30">
        <v>8.1914198701023402</v>
      </c>
      <c r="T426" s="30">
        <v>1.2445960141361911E-2</v>
      </c>
    </row>
    <row r="427" spans="10:20" x14ac:dyDescent="0.25">
      <c r="J427" s="10"/>
      <c r="K427" s="10"/>
      <c r="L427" s="10" t="s">
        <v>53</v>
      </c>
      <c r="M427" s="10" t="s">
        <v>98</v>
      </c>
      <c r="N427" s="10"/>
      <c r="O427" s="30">
        <v>5.836655834196451</v>
      </c>
      <c r="P427" s="30">
        <v>-13.398538063308507</v>
      </c>
      <c r="Q427" s="30">
        <v>125.16313654658025</v>
      </c>
      <c r="R427" s="30">
        <v>97.842418772552378</v>
      </c>
      <c r="S427" s="30">
        <v>4.8343818763223618</v>
      </c>
      <c r="T427" s="30">
        <v>-4.306852724737323E-3</v>
      </c>
    </row>
    <row r="428" spans="10:20" x14ac:dyDescent="0.25">
      <c r="J428" s="10"/>
      <c r="K428" s="10"/>
      <c r="L428" s="10" t="s">
        <v>53</v>
      </c>
      <c r="M428" s="10" t="s">
        <v>99</v>
      </c>
      <c r="N428" s="10"/>
      <c r="O428" s="30">
        <v>10.165445782606497</v>
      </c>
      <c r="P428" s="30">
        <v>10.195964402968087</v>
      </c>
      <c r="Q428" s="30">
        <v>-88.367224676534917</v>
      </c>
      <c r="R428" s="30">
        <v>-62.50109915240796</v>
      </c>
      <c r="S428" s="30">
        <v>8.1469525021896647</v>
      </c>
      <c r="T428" s="30">
        <v>1.12569287887127E-2</v>
      </c>
    </row>
    <row r="429" spans="10:20" x14ac:dyDescent="0.25">
      <c r="J429" s="10"/>
      <c r="K429" s="10"/>
      <c r="L429" s="10" t="s">
        <v>53</v>
      </c>
      <c r="M429" s="10" t="s">
        <v>100</v>
      </c>
      <c r="N429" s="10"/>
      <c r="O429" s="30">
        <v>5.749982880119239</v>
      </c>
      <c r="P429" s="30">
        <v>22.023189717453274</v>
      </c>
      <c r="Q429" s="30">
        <v>28.685346519631945</v>
      </c>
      <c r="R429" s="30">
        <v>-145.04371215797732</v>
      </c>
      <c r="S429" s="30">
        <v>4.6510848125031972</v>
      </c>
      <c r="T429" s="30">
        <v>4.5335276899009366E-3</v>
      </c>
    </row>
    <row r="430" spans="10:20" x14ac:dyDescent="0.25">
      <c r="J430" s="10"/>
      <c r="K430" s="10"/>
      <c r="L430" s="10" t="s">
        <v>53</v>
      </c>
      <c r="M430" s="10" t="s">
        <v>101</v>
      </c>
      <c r="N430" s="10"/>
      <c r="O430" s="30">
        <v>-9.1013539256789677</v>
      </c>
      <c r="P430" s="30">
        <v>3.4290470095894348</v>
      </c>
      <c r="Q430" s="30">
        <v>-24.556555919312459</v>
      </c>
      <c r="R430" s="30">
        <v>-16.347838738328502</v>
      </c>
      <c r="S430" s="30">
        <v>-8.6593357154571571</v>
      </c>
      <c r="T430" s="30">
        <v>8.7435005045305835E-3</v>
      </c>
    </row>
    <row r="431" spans="10:20" x14ac:dyDescent="0.25">
      <c r="J431" s="10"/>
      <c r="K431" s="10"/>
      <c r="L431" s="10" t="s">
        <v>53</v>
      </c>
      <c r="M431" s="10" t="s">
        <v>102</v>
      </c>
      <c r="N431" s="10"/>
      <c r="O431" s="30">
        <v>-13.041411754701599</v>
      </c>
      <c r="P431" s="30">
        <v>0.52540850584104981</v>
      </c>
      <c r="Q431" s="30">
        <v>47.2186880108613</v>
      </c>
      <c r="R431" s="30">
        <v>-3.4110684667832416</v>
      </c>
      <c r="S431" s="30">
        <v>-11.775600021509645</v>
      </c>
      <c r="T431" s="30">
        <v>2.8377276294538744E-3</v>
      </c>
    </row>
    <row r="432" spans="10:20" x14ac:dyDescent="0.25">
      <c r="J432" s="10"/>
      <c r="K432" s="10"/>
      <c r="L432" s="10" t="s">
        <v>53</v>
      </c>
      <c r="M432" s="10" t="s">
        <v>103</v>
      </c>
      <c r="N432" s="10"/>
      <c r="O432" s="30">
        <v>7.2555530200968548</v>
      </c>
      <c r="P432" s="30">
        <v>4.2784064958217938</v>
      </c>
      <c r="Q432" s="30">
        <v>-6.6869943712145892</v>
      </c>
      <c r="R432" s="30">
        <v>-20.866862257272306</v>
      </c>
      <c r="S432" s="30">
        <v>7.1874462949265761</v>
      </c>
      <c r="T432" s="30">
        <v>2.8433675353516184E-3</v>
      </c>
    </row>
    <row r="433" spans="10:20" x14ac:dyDescent="0.25">
      <c r="J433" s="10"/>
      <c r="K433" s="10"/>
      <c r="L433" s="10" t="s">
        <v>53</v>
      </c>
      <c r="M433" s="10" t="s">
        <v>104</v>
      </c>
      <c r="N433" s="10"/>
      <c r="O433" s="30">
        <v>3.3129284954653979</v>
      </c>
      <c r="P433" s="30">
        <v>1.3734678754572283</v>
      </c>
      <c r="Q433" s="30">
        <v>65.07945109493464</v>
      </c>
      <c r="R433" s="30">
        <v>-7.9231938791859333</v>
      </c>
      <c r="S433" s="30">
        <v>4.0680782854883715</v>
      </c>
      <c r="T433" s="30">
        <v>-3.0423610906614505E-3</v>
      </c>
    </row>
    <row r="434" spans="10:20" x14ac:dyDescent="0.25">
      <c r="J434" s="10"/>
      <c r="K434" s="10"/>
      <c r="L434" s="10" t="s">
        <v>53</v>
      </c>
      <c r="M434" s="10" t="s">
        <v>105</v>
      </c>
      <c r="N434" s="10"/>
      <c r="O434" s="30">
        <v>9.1148098150178303</v>
      </c>
      <c r="P434" s="30">
        <v>-1.4537333692927712</v>
      </c>
      <c r="Q434" s="30">
        <v>-13.801228151634769</v>
      </c>
      <c r="R434" s="30">
        <v>21.205291071941101</v>
      </c>
      <c r="S434" s="30">
        <v>7.3682927234789437</v>
      </c>
      <c r="T434" s="30">
        <v>6.4267402063103163E-3</v>
      </c>
    </row>
    <row r="435" spans="10:20" x14ac:dyDescent="0.25">
      <c r="J435" s="10"/>
      <c r="K435" s="10"/>
      <c r="L435" s="10" t="s">
        <v>53</v>
      </c>
      <c r="M435" s="10" t="s">
        <v>106</v>
      </c>
      <c r="N435" s="10"/>
      <c r="O435" s="30">
        <v>5.1807449523497358</v>
      </c>
      <c r="P435" s="30">
        <v>-13.715276073556147</v>
      </c>
      <c r="Q435" s="30">
        <v>176.60098380294482</v>
      </c>
      <c r="R435" s="30">
        <v>94.744467221009643</v>
      </c>
      <c r="S435" s="30">
        <v>4.3469585290769635</v>
      </c>
      <c r="T435" s="30">
        <v>-8.6507913731789961E-3</v>
      </c>
    </row>
    <row r="436" spans="10:20" x14ac:dyDescent="0.25">
      <c r="J436" s="10"/>
      <c r="K436" s="10"/>
      <c r="L436" s="10" t="s">
        <v>53</v>
      </c>
      <c r="M436" s="10" t="s">
        <v>107</v>
      </c>
      <c r="N436" s="10"/>
      <c r="O436" s="30">
        <v>9.0766559059187788</v>
      </c>
      <c r="P436" s="30">
        <v>7.5197761460927888</v>
      </c>
      <c r="Q436" s="30">
        <v>-15.576341297858857</v>
      </c>
      <c r="R436" s="30">
        <v>-49.564698911454656</v>
      </c>
      <c r="S436" s="30">
        <v>7.328272092357536</v>
      </c>
      <c r="T436" s="30">
        <v>5.3566119889260268E-3</v>
      </c>
    </row>
    <row r="437" spans="10:20" x14ac:dyDescent="0.25">
      <c r="J437" s="10"/>
      <c r="K437" s="10"/>
      <c r="L437" s="10" t="s">
        <v>53</v>
      </c>
      <c r="M437" s="10" t="s">
        <v>108</v>
      </c>
      <c r="N437" s="10"/>
      <c r="O437" s="30">
        <v>5.1027392936802451</v>
      </c>
      <c r="P437" s="30">
        <v>18.164278929129463</v>
      </c>
      <c r="Q437" s="30">
        <v>89.770972778691345</v>
      </c>
      <c r="R437" s="30">
        <v>-123.85305061646709</v>
      </c>
      <c r="S437" s="30">
        <v>4.181991171639714</v>
      </c>
      <c r="T437" s="30">
        <v>-6.9444900000456143E-4</v>
      </c>
    </row>
    <row r="438" spans="10:20" x14ac:dyDescent="0.25">
      <c r="J438" s="10"/>
      <c r="K438" s="10"/>
      <c r="L438" s="10" t="s">
        <v>53</v>
      </c>
      <c r="M438" s="10" t="s">
        <v>109</v>
      </c>
      <c r="N438" s="10"/>
      <c r="O438" s="30">
        <v>-10.02248779361798</v>
      </c>
      <c r="P438" s="30">
        <v>4.181842088773899</v>
      </c>
      <c r="Q438" s="30">
        <v>-47.278821934794927</v>
      </c>
      <c r="R438" s="30">
        <v>-19.590618326341044</v>
      </c>
      <c r="S438" s="30">
        <v>-9.5673215785166708</v>
      </c>
      <c r="T438" s="30">
        <v>1.0809917116767343E-2</v>
      </c>
    </row>
    <row r="439" spans="10:20" x14ac:dyDescent="0.25">
      <c r="J439" s="10"/>
      <c r="K439" s="10"/>
      <c r="L439" s="10" t="s">
        <v>53</v>
      </c>
      <c r="M439" s="10" t="s">
        <v>110</v>
      </c>
      <c r="N439" s="10"/>
      <c r="O439" s="30">
        <v>-14.400329825865347</v>
      </c>
      <c r="P439" s="30">
        <v>0.95557708460902657</v>
      </c>
      <c r="Q439" s="30">
        <v>32.471449098731505</v>
      </c>
      <c r="R439" s="30">
        <v>-5.216429135735198</v>
      </c>
      <c r="S439" s="30">
        <v>-13.029837474130545</v>
      </c>
      <c r="T439" s="30">
        <v>4.2479472555709977E-3</v>
      </c>
    </row>
    <row r="440" spans="10:20" x14ac:dyDescent="0.25">
      <c r="J440" s="10"/>
      <c r="K440" s="10"/>
      <c r="L440" s="10" t="s">
        <v>53</v>
      </c>
      <c r="M440" s="10" t="s">
        <v>111</v>
      </c>
      <c r="N440" s="10"/>
      <c r="O440" s="30">
        <v>8.1518532572440456</v>
      </c>
      <c r="P440" s="30">
        <v>5.1255748512542985</v>
      </c>
      <c r="Q440" s="30">
        <v>-27.423753548019516</v>
      </c>
      <c r="R440" s="30">
        <v>-24.611755569611937</v>
      </c>
      <c r="S440" s="30">
        <v>8.040213988576367</v>
      </c>
      <c r="T440" s="30">
        <v>4.2542138176796017E-3</v>
      </c>
    </row>
    <row r="441" spans="10:20" x14ac:dyDescent="0.25">
      <c r="J441" s="10"/>
      <c r="K441" s="10"/>
      <c r="L441" s="10" t="s">
        <v>53</v>
      </c>
      <c r="M441" s="10" t="s">
        <v>112</v>
      </c>
      <c r="N441" s="10"/>
      <c r="O441" s="30">
        <v>3.7711593409868711</v>
      </c>
      <c r="P441" s="30">
        <v>1.8978652730714471</v>
      </c>
      <c r="Q441" s="30">
        <v>52.316741414368536</v>
      </c>
      <c r="R441" s="30">
        <v>-10.229901816182633</v>
      </c>
      <c r="S441" s="30">
        <v>4.5742495336450286</v>
      </c>
      <c r="T441" s="30">
        <v>-2.2854846556682527E-3</v>
      </c>
    </row>
    <row r="442" spans="10:20" x14ac:dyDescent="0.25">
      <c r="J442" s="10"/>
      <c r="K442" s="10"/>
      <c r="L442" s="10" t="s">
        <v>53</v>
      </c>
      <c r="M442" s="10" t="s">
        <v>113</v>
      </c>
      <c r="N442" s="10"/>
      <c r="O442" s="30">
        <v>10.217694140489574</v>
      </c>
      <c r="P442" s="30">
        <v>-1.2434694433174411</v>
      </c>
      <c r="Q442" s="30">
        <v>-35.328457748486379</v>
      </c>
      <c r="R442" s="30">
        <v>22.135081462847403</v>
      </c>
      <c r="S442" s="30">
        <v>8.241154464745664</v>
      </c>
      <c r="T442" s="30">
        <v>8.235739007633712E-3</v>
      </c>
    </row>
    <row r="443" spans="10:20" x14ac:dyDescent="0.25">
      <c r="J443" s="10"/>
      <c r="K443" s="10"/>
      <c r="L443" s="10" t="s">
        <v>53</v>
      </c>
      <c r="M443" s="10" t="s">
        <v>114</v>
      </c>
      <c r="N443" s="10"/>
      <c r="O443" s="30">
        <v>5.8465109597472473</v>
      </c>
      <c r="P443" s="30">
        <v>-14.867405781387857</v>
      </c>
      <c r="Q443" s="30">
        <v>176.22955553437984</v>
      </c>
      <c r="R443" s="30">
        <v>103.84527718403469</v>
      </c>
      <c r="S443" s="30">
        <v>4.8841164709656857</v>
      </c>
      <c r="T443" s="30">
        <v>-8.5170738584655244E-3</v>
      </c>
    </row>
    <row r="444" spans="10:20" x14ac:dyDescent="0.25">
      <c r="J444" s="10"/>
      <c r="K444" s="10"/>
      <c r="L444" s="10" t="s">
        <v>53</v>
      </c>
      <c r="M444" s="10" t="s">
        <v>115</v>
      </c>
      <c r="N444" s="10"/>
      <c r="O444" s="30">
        <v>10.175300908157293</v>
      </c>
      <c r="P444" s="30">
        <v>8.7270966848887372</v>
      </c>
      <c r="Q444" s="30">
        <v>-37.300805688735338</v>
      </c>
      <c r="R444" s="30">
        <v>-56.49824074092566</v>
      </c>
      <c r="S444" s="30">
        <v>8.1966870968329886</v>
      </c>
      <c r="T444" s="30">
        <v>7.0467076549844999E-3</v>
      </c>
    </row>
    <row r="445" spans="10:20" x14ac:dyDescent="0.25">
      <c r="J445" s="10"/>
      <c r="K445" s="10"/>
      <c r="L445" s="10" t="s">
        <v>53</v>
      </c>
      <c r="M445" s="10" t="s">
        <v>116</v>
      </c>
      <c r="N445" s="10"/>
      <c r="O445" s="30">
        <v>5.7598380056700353</v>
      </c>
      <c r="P445" s="30">
        <v>20.554321999373926</v>
      </c>
      <c r="Q445" s="30">
        <v>79.751765507431543</v>
      </c>
      <c r="R445" s="30">
        <v>-139.04085374649503</v>
      </c>
      <c r="S445" s="30">
        <v>4.700819407146521</v>
      </c>
      <c r="T445" s="30">
        <v>3.2330655617273616E-4</v>
      </c>
    </row>
    <row r="446" spans="10:20" x14ac:dyDescent="0.25">
      <c r="J446" s="10"/>
      <c r="K446" s="10"/>
      <c r="L446" s="10" t="s">
        <v>54</v>
      </c>
      <c r="M446" s="10" t="s">
        <v>91</v>
      </c>
      <c r="N446" s="10"/>
      <c r="O446" s="30">
        <v>-0.85702052301373055</v>
      </c>
      <c r="P446" s="30">
        <v>0.245980455562231</v>
      </c>
      <c r="Q446" s="30">
        <v>72.14052297636691</v>
      </c>
      <c r="R446" s="30">
        <v>-0.17160373590563374</v>
      </c>
      <c r="S446" s="30">
        <v>-0.61247579801425744</v>
      </c>
      <c r="T446" s="30">
        <v>2.5855366449162298E-4</v>
      </c>
    </row>
    <row r="447" spans="10:20" x14ac:dyDescent="0.25">
      <c r="J447" s="10"/>
      <c r="K447" s="10"/>
      <c r="L447" s="10" t="s">
        <v>54</v>
      </c>
      <c r="M447" s="10" t="s">
        <v>92</v>
      </c>
      <c r="N447" s="10"/>
      <c r="O447" s="30">
        <v>-0.86886142742163863</v>
      </c>
      <c r="P447" s="30">
        <v>1.8826175284558266</v>
      </c>
      <c r="Q447" s="30">
        <v>128.88457195215707</v>
      </c>
      <c r="R447" s="30">
        <v>-6.879534810632812</v>
      </c>
      <c r="S447" s="30">
        <v>-0.57583023673933464</v>
      </c>
      <c r="T447" s="30">
        <v>-9.1508126605156239E-4</v>
      </c>
    </row>
    <row r="448" spans="10:20" x14ac:dyDescent="0.25">
      <c r="J448" s="10"/>
      <c r="K448" s="10"/>
      <c r="L448" s="10" t="s">
        <v>54</v>
      </c>
      <c r="M448" s="10" t="s">
        <v>93</v>
      </c>
      <c r="N448" s="10"/>
      <c r="O448" s="30">
        <v>-8.8038159416141024</v>
      </c>
      <c r="P448" s="30">
        <v>-5.6727612581786753</v>
      </c>
      <c r="Q448" s="30">
        <v>-98.465310871063224</v>
      </c>
      <c r="R448" s="30">
        <v>25.769718972024656</v>
      </c>
      <c r="S448" s="30">
        <v>-8.6522371882717621</v>
      </c>
      <c r="T448" s="30">
        <v>1.9555529227987421E-3</v>
      </c>
    </row>
    <row r="449" spans="10:20" x14ac:dyDescent="0.25">
      <c r="J449" s="10"/>
      <c r="K449" s="10"/>
      <c r="L449" s="10" t="s">
        <v>54</v>
      </c>
      <c r="M449" s="10" t="s">
        <v>94</v>
      </c>
      <c r="N449" s="10"/>
      <c r="O449" s="30">
        <v>-12.655018149365548</v>
      </c>
      <c r="P449" s="30">
        <v>-2.4443717726526777</v>
      </c>
      <c r="Q449" s="30">
        <v>-18.763931013672448</v>
      </c>
      <c r="R449" s="30">
        <v>11.374561919057399</v>
      </c>
      <c r="S449" s="30">
        <v>-11.702766935461002</v>
      </c>
      <c r="T449" s="30">
        <v>2.7409480300830634E-4</v>
      </c>
    </row>
    <row r="450" spans="10:20" x14ac:dyDescent="0.25">
      <c r="J450" s="10"/>
      <c r="K450" s="10"/>
      <c r="L450" s="10" t="s">
        <v>54</v>
      </c>
      <c r="M450" s="10" t="s">
        <v>95</v>
      </c>
      <c r="N450" s="10"/>
      <c r="O450" s="30">
        <v>7.0295913640122887</v>
      </c>
      <c r="P450" s="30">
        <v>-6.5978408353133533</v>
      </c>
      <c r="Q450" s="30">
        <v>-78.385253127470619</v>
      </c>
      <c r="R450" s="30">
        <v>30.649222517988349</v>
      </c>
      <c r="S450" s="30">
        <v>7.1215961397375374</v>
      </c>
      <c r="T450" s="30">
        <v>7.3733186974473015E-3</v>
      </c>
    </row>
    <row r="451" spans="10:20" x14ac:dyDescent="0.25">
      <c r="J451" s="10"/>
      <c r="K451" s="10"/>
      <c r="L451" s="10" t="s">
        <v>54</v>
      </c>
      <c r="M451" s="10" t="s">
        <v>96</v>
      </c>
      <c r="N451" s="10"/>
      <c r="O451" s="30">
        <v>3.1759931229654601</v>
      </c>
      <c r="P451" s="30">
        <v>-3.3680101843854313</v>
      </c>
      <c r="Q451" s="30">
        <v>1.3063073182053337</v>
      </c>
      <c r="R451" s="30">
        <v>16.246427157051684</v>
      </c>
      <c r="S451" s="30">
        <v>4.0679744654330356</v>
      </c>
      <c r="T451" s="30">
        <v>5.6696112452808544E-3</v>
      </c>
    </row>
    <row r="452" spans="10:20" x14ac:dyDescent="0.25">
      <c r="J452" s="10"/>
      <c r="K452" s="10"/>
      <c r="L452" s="10" t="s">
        <v>54</v>
      </c>
      <c r="M452" s="10" t="s">
        <v>97</v>
      </c>
      <c r="N452" s="10"/>
      <c r="O452" s="30">
        <v>8.7997193115245889</v>
      </c>
      <c r="P452" s="30">
        <v>-10.196538876262473</v>
      </c>
      <c r="Q452" s="30">
        <v>-88.244364326347522</v>
      </c>
      <c r="R452" s="30">
        <v>62.514906788083415</v>
      </c>
      <c r="S452" s="30">
        <v>7.0769307895042539</v>
      </c>
      <c r="T452" s="30">
        <v>3.7063957987693657E-3</v>
      </c>
    </row>
    <row r="453" spans="10:20" x14ac:dyDescent="0.25">
      <c r="J453" s="10"/>
      <c r="K453" s="10"/>
      <c r="L453" s="10" t="s">
        <v>54</v>
      </c>
      <c r="M453" s="10" t="s">
        <v>98</v>
      </c>
      <c r="N453" s="10"/>
      <c r="O453" s="30">
        <v>4.8945908736683323</v>
      </c>
      <c r="P453" s="30">
        <v>-22.015732733786603</v>
      </c>
      <c r="Q453" s="30">
        <v>28.734591579327471</v>
      </c>
      <c r="R453" s="30">
        <v>144.99223944887254</v>
      </c>
      <c r="S453" s="30">
        <v>3.9758850794411873</v>
      </c>
      <c r="T453" s="30">
        <v>-2.054448206121549E-3</v>
      </c>
    </row>
    <row r="454" spans="10:20" x14ac:dyDescent="0.25">
      <c r="J454" s="10"/>
      <c r="K454" s="10"/>
      <c r="L454" s="10" t="s">
        <v>54</v>
      </c>
      <c r="M454" s="10" t="s">
        <v>99</v>
      </c>
      <c r="N454" s="10"/>
      <c r="O454" s="30">
        <v>8.8381335923333246</v>
      </c>
      <c r="P454" s="30">
        <v>-0.22757879299413339</v>
      </c>
      <c r="Q454" s="30">
        <v>-86.260775618635918</v>
      </c>
      <c r="R454" s="30">
        <v>-16.106600894456658</v>
      </c>
      <c r="S454" s="30">
        <v>7.1196238067912869</v>
      </c>
      <c r="T454" s="30">
        <v>4.6263233734461064E-3</v>
      </c>
    </row>
    <row r="455" spans="10:20" x14ac:dyDescent="0.25">
      <c r="J455" s="10"/>
      <c r="K455" s="10"/>
      <c r="L455" s="10" t="s">
        <v>54</v>
      </c>
      <c r="M455" s="10" t="s">
        <v>100</v>
      </c>
      <c r="N455" s="10"/>
      <c r="O455" s="30">
        <v>4.9523171802298984</v>
      </c>
      <c r="P455" s="30">
        <v>13.404356376247115</v>
      </c>
      <c r="Q455" s="30">
        <v>125.28418874444577</v>
      </c>
      <c r="R455" s="30">
        <v>-97.892401624524751</v>
      </c>
      <c r="S455" s="30">
        <v>4.144273533062151</v>
      </c>
      <c r="T455" s="30">
        <v>2.5526781598749762E-3</v>
      </c>
    </row>
    <row r="456" spans="10:20" x14ac:dyDescent="0.25">
      <c r="J456" s="10"/>
      <c r="K456" s="10"/>
      <c r="L456" s="10" t="s">
        <v>54</v>
      </c>
      <c r="M456" s="10" t="s">
        <v>101</v>
      </c>
      <c r="N456" s="10"/>
      <c r="O456" s="30">
        <v>-8.0209773041619723</v>
      </c>
      <c r="P456" s="30">
        <v>-3.4442500139109891</v>
      </c>
      <c r="Q456" s="30">
        <v>-24.660678510530033</v>
      </c>
      <c r="R456" s="30">
        <v>16.467655626504445</v>
      </c>
      <c r="S456" s="30">
        <v>-7.81161548797109</v>
      </c>
      <c r="T456" s="30">
        <v>6.1221806642484499E-4</v>
      </c>
    </row>
    <row r="457" spans="10:20" x14ac:dyDescent="0.25">
      <c r="J457" s="10"/>
      <c r="K457" s="10"/>
      <c r="L457" s="10" t="s">
        <v>54</v>
      </c>
      <c r="M457" s="10" t="s">
        <v>102</v>
      </c>
      <c r="N457" s="10"/>
      <c r="O457" s="30">
        <v>-11.487059291138275</v>
      </c>
      <c r="P457" s="30">
        <v>-0.53869947693759113</v>
      </c>
      <c r="Q457" s="30">
        <v>47.07056336112165</v>
      </c>
      <c r="R457" s="30">
        <v>3.5120142788339193</v>
      </c>
      <c r="S457" s="30">
        <v>-10.557092260441406</v>
      </c>
      <c r="T457" s="30">
        <v>-9.0109424138654732E-4</v>
      </c>
    </row>
    <row r="458" spans="10:20" x14ac:dyDescent="0.25">
      <c r="J458" s="10"/>
      <c r="K458" s="10"/>
      <c r="L458" s="10" t="s">
        <v>54</v>
      </c>
      <c r="M458" s="10" t="s">
        <v>103</v>
      </c>
      <c r="N458" s="10"/>
      <c r="O458" s="30">
        <v>6.2290892709017784</v>
      </c>
      <c r="P458" s="30">
        <v>-4.2768216333322</v>
      </c>
      <c r="Q458" s="30">
        <v>-6.5886265412967173</v>
      </c>
      <c r="R458" s="30">
        <v>20.859208817871774</v>
      </c>
      <c r="S458" s="30">
        <v>6.3848345072372803</v>
      </c>
      <c r="T458" s="30">
        <v>5.4882072636085492E-3</v>
      </c>
    </row>
    <row r="459" spans="10:20" x14ac:dyDescent="0.25">
      <c r="J459" s="10"/>
      <c r="K459" s="10"/>
      <c r="L459" s="10" t="s">
        <v>54</v>
      </c>
      <c r="M459" s="10" t="s">
        <v>104</v>
      </c>
      <c r="N459" s="10"/>
      <c r="O459" s="30">
        <v>2.7608508539596333</v>
      </c>
      <c r="P459" s="30">
        <v>-1.3699740474970694</v>
      </c>
      <c r="Q459" s="30">
        <v>65.133777859811659</v>
      </c>
      <c r="R459" s="30">
        <v>7.8966929930287764</v>
      </c>
      <c r="S459" s="30">
        <v>3.6365750003632296</v>
      </c>
      <c r="T459" s="30">
        <v>3.9548705566587461E-3</v>
      </c>
    </row>
    <row r="460" spans="10:20" x14ac:dyDescent="0.25">
      <c r="J460" s="10"/>
      <c r="K460" s="10"/>
      <c r="L460" s="10" t="s">
        <v>54</v>
      </c>
      <c r="M460" s="10" t="s">
        <v>105</v>
      </c>
      <c r="N460" s="10"/>
      <c r="O460" s="30">
        <v>7.822204423662849</v>
      </c>
      <c r="P460" s="30">
        <v>-7.5156498701864081</v>
      </c>
      <c r="Q460" s="30">
        <v>-15.461826620285921</v>
      </c>
      <c r="R460" s="30">
        <v>49.538324660957336</v>
      </c>
      <c r="S460" s="30">
        <v>6.3446356920273272</v>
      </c>
      <c r="T460" s="30">
        <v>2.1879766547984064E-3</v>
      </c>
    </row>
    <row r="461" spans="10:20" x14ac:dyDescent="0.25">
      <c r="J461" s="10"/>
      <c r="K461" s="10"/>
      <c r="L461" s="10" t="s">
        <v>54</v>
      </c>
      <c r="M461" s="10" t="s">
        <v>106</v>
      </c>
      <c r="N461" s="10"/>
      <c r="O461" s="30">
        <v>4.307588829592218</v>
      </c>
      <c r="P461" s="30">
        <v>-18.152924341958126</v>
      </c>
      <c r="Q461" s="30">
        <v>89.819233694821577</v>
      </c>
      <c r="R461" s="30">
        <v>123.76792405566756</v>
      </c>
      <c r="S461" s="30">
        <v>3.5536945529705655</v>
      </c>
      <c r="T461" s="30">
        <v>-2.9967829496034171E-3</v>
      </c>
    </row>
    <row r="462" spans="10:20" x14ac:dyDescent="0.25">
      <c r="J462" s="10"/>
      <c r="K462" s="10"/>
      <c r="L462" s="10" t="s">
        <v>54</v>
      </c>
      <c r="M462" s="10" t="s">
        <v>107</v>
      </c>
      <c r="N462" s="10"/>
      <c r="O462" s="30">
        <v>7.8567772763907113</v>
      </c>
      <c r="P462" s="30">
        <v>1.4564142047550985</v>
      </c>
      <c r="Q462" s="30">
        <v>-13.676596783345476</v>
      </c>
      <c r="R462" s="30">
        <v>-21.221032253328737</v>
      </c>
      <c r="S462" s="30">
        <v>6.3830594075856553</v>
      </c>
      <c r="T462" s="30">
        <v>3.0159114720074731E-3</v>
      </c>
    </row>
    <row r="463" spans="10:20" x14ac:dyDescent="0.25">
      <c r="J463" s="10"/>
      <c r="K463" s="10"/>
      <c r="L463" s="10" t="s">
        <v>54</v>
      </c>
      <c r="M463" s="10" t="s">
        <v>108</v>
      </c>
      <c r="N463" s="10"/>
      <c r="O463" s="30">
        <v>4.359542505497628</v>
      </c>
      <c r="P463" s="30">
        <v>13.725155857072224</v>
      </c>
      <c r="Q463" s="30">
        <v>176.71387114342804</v>
      </c>
      <c r="R463" s="30">
        <v>-94.828252910390006</v>
      </c>
      <c r="S463" s="30">
        <v>3.7052441612294333</v>
      </c>
      <c r="T463" s="30">
        <v>1.1496307797934553E-3</v>
      </c>
    </row>
    <row r="464" spans="10:20" x14ac:dyDescent="0.25">
      <c r="J464" s="10"/>
      <c r="K464" s="10"/>
      <c r="L464" s="10" t="s">
        <v>54</v>
      </c>
      <c r="M464" s="10" t="s">
        <v>109</v>
      </c>
      <c r="N464" s="10"/>
      <c r="O464" s="30">
        <v>-8.814472755581221</v>
      </c>
      <c r="P464" s="30">
        <v>-4.199787892574439</v>
      </c>
      <c r="Q464" s="30">
        <v>-47.395666792852055</v>
      </c>
      <c r="R464" s="30">
        <v>19.732581004770193</v>
      </c>
      <c r="S464" s="30">
        <v>-8.6192561831243317</v>
      </c>
      <c r="T464" s="30">
        <v>8.9928148530987522E-4</v>
      </c>
    </row>
    <row r="465" spans="10:20" x14ac:dyDescent="0.25">
      <c r="J465" s="10"/>
      <c r="K465" s="10"/>
      <c r="L465" s="10" t="s">
        <v>54</v>
      </c>
      <c r="M465" s="10" t="s">
        <v>110</v>
      </c>
      <c r="N465" s="10"/>
      <c r="O465" s="30">
        <v>-12.665674963332666</v>
      </c>
      <c r="P465" s="30">
        <v>-0.97139840704844171</v>
      </c>
      <c r="Q465" s="30">
        <v>32.305713064538715</v>
      </c>
      <c r="R465" s="30">
        <v>5.3374239518029398</v>
      </c>
      <c r="S465" s="30">
        <v>-11.669785930313573</v>
      </c>
      <c r="T465" s="30">
        <v>-7.8217663448056053E-4</v>
      </c>
    </row>
    <row r="466" spans="10:20" x14ac:dyDescent="0.25">
      <c r="J466" s="10"/>
      <c r="K466" s="10"/>
      <c r="L466" s="10" t="s">
        <v>54</v>
      </c>
      <c r="M466" s="10" t="s">
        <v>111</v>
      </c>
      <c r="N466" s="10"/>
      <c r="O466" s="30">
        <v>7.018934550045171</v>
      </c>
      <c r="P466" s="30">
        <v>-5.124867469709117</v>
      </c>
      <c r="Q466" s="30">
        <v>-27.315609049259461</v>
      </c>
      <c r="R466" s="30">
        <v>24.612084550733886</v>
      </c>
      <c r="S466" s="30">
        <v>7.1545771448849669</v>
      </c>
      <c r="T466" s="30">
        <v>6.317047259958436E-3</v>
      </c>
    </row>
    <row r="467" spans="10:20" x14ac:dyDescent="0.25">
      <c r="J467" s="10"/>
      <c r="K467" s="10"/>
      <c r="L467" s="10" t="s">
        <v>54</v>
      </c>
      <c r="M467" s="10" t="s">
        <v>112</v>
      </c>
      <c r="N467" s="10"/>
      <c r="O467" s="30">
        <v>3.1653363089983428</v>
      </c>
      <c r="P467" s="30">
        <v>-1.895036818781195</v>
      </c>
      <c r="Q467" s="30">
        <v>52.375951396416497</v>
      </c>
      <c r="R467" s="30">
        <v>10.209289189797225</v>
      </c>
      <c r="S467" s="30">
        <v>4.1009554705804661</v>
      </c>
      <c r="T467" s="30">
        <v>4.6133398077919871E-3</v>
      </c>
    </row>
    <row r="468" spans="10:20" x14ac:dyDescent="0.25">
      <c r="J468" s="10"/>
      <c r="K468" s="10"/>
      <c r="L468" s="10" t="s">
        <v>54</v>
      </c>
      <c r="M468" s="10" t="s">
        <v>113</v>
      </c>
      <c r="N468" s="10"/>
      <c r="O468" s="30">
        <v>8.7890624975574703</v>
      </c>
      <c r="P468" s="30">
        <v>-8.7235655106582364</v>
      </c>
      <c r="Q468" s="30">
        <v>-37.174720248136353</v>
      </c>
      <c r="R468" s="30">
        <v>56.477768820828963</v>
      </c>
      <c r="S468" s="30">
        <v>7.1099117946516852</v>
      </c>
      <c r="T468" s="30">
        <v>2.6501243612804988E-3</v>
      </c>
    </row>
    <row r="469" spans="10:20" x14ac:dyDescent="0.25">
      <c r="J469" s="10"/>
      <c r="K469" s="10"/>
      <c r="L469" s="10" t="s">
        <v>54</v>
      </c>
      <c r="M469" s="10" t="s">
        <v>114</v>
      </c>
      <c r="N469" s="10"/>
      <c r="O469" s="30">
        <v>4.8839340597012146</v>
      </c>
      <c r="P469" s="30">
        <v>-20.54275936818237</v>
      </c>
      <c r="Q469" s="30">
        <v>79.804235657538641</v>
      </c>
      <c r="R469" s="30">
        <v>138.95510148161807</v>
      </c>
      <c r="S469" s="30">
        <v>4.0088660845886182</v>
      </c>
      <c r="T469" s="30">
        <v>-3.1107196436104159E-3</v>
      </c>
    </row>
    <row r="470" spans="10:20" x14ac:dyDescent="0.25">
      <c r="J470" s="10"/>
      <c r="K470" s="10"/>
      <c r="L470" s="10" t="s">
        <v>54</v>
      </c>
      <c r="M470" s="10" t="s">
        <v>115</v>
      </c>
      <c r="N470" s="10"/>
      <c r="O470" s="30">
        <v>8.827476778366206</v>
      </c>
      <c r="P470" s="30">
        <v>1.2453945726101026</v>
      </c>
      <c r="Q470" s="30">
        <v>-35.191131540424749</v>
      </c>
      <c r="R470" s="30">
        <v>-22.143738861711117</v>
      </c>
      <c r="S470" s="30">
        <v>7.1526048119387182</v>
      </c>
      <c r="T470" s="30">
        <v>3.5700519359572395E-3</v>
      </c>
    </row>
    <row r="471" spans="10:20" x14ac:dyDescent="0.25">
      <c r="J471" s="10"/>
      <c r="K471" s="10"/>
      <c r="L471" s="10" t="s">
        <v>54</v>
      </c>
      <c r="M471" s="10" t="s">
        <v>116</v>
      </c>
      <c r="N471" s="10"/>
      <c r="O471" s="30">
        <v>4.9416603662627816</v>
      </c>
      <c r="P471" s="30">
        <v>14.877329741851353</v>
      </c>
      <c r="Q471" s="30">
        <v>176.35383282265695</v>
      </c>
      <c r="R471" s="30">
        <v>-103.9295395917792</v>
      </c>
      <c r="S471" s="30">
        <v>4.1772545382095814</v>
      </c>
      <c r="T471" s="30">
        <v>1.4964067223861093E-3</v>
      </c>
    </row>
    <row r="472" spans="10:20" x14ac:dyDescent="0.25">
      <c r="J472" s="10"/>
      <c r="K472" s="10"/>
      <c r="L472" s="10" t="s">
        <v>55</v>
      </c>
      <c r="M472" s="10" t="s">
        <v>91</v>
      </c>
      <c r="N472" s="10"/>
      <c r="O472" s="30">
        <v>-0.84038441267501485</v>
      </c>
      <c r="P472" s="30">
        <v>-6.8505546402970827</v>
      </c>
      <c r="Q472" s="30">
        <v>50.607190811169801</v>
      </c>
      <c r="R472" s="30">
        <v>30.639424149324149</v>
      </c>
      <c r="S472" s="30">
        <v>-0.58732107986256599</v>
      </c>
      <c r="T472" s="30">
        <v>-2.7004574780411651E-3</v>
      </c>
    </row>
    <row r="473" spans="10:20" x14ac:dyDescent="0.25">
      <c r="J473" s="10"/>
      <c r="K473" s="10"/>
      <c r="L473" s="10" t="s">
        <v>55</v>
      </c>
      <c r="M473" s="10" t="s">
        <v>92</v>
      </c>
      <c r="N473" s="10"/>
      <c r="O473" s="30">
        <v>-0.82277807884975385</v>
      </c>
      <c r="P473" s="30">
        <v>-18.848747820215376</v>
      </c>
      <c r="Q473" s="30">
        <v>78.477314013666714</v>
      </c>
      <c r="R473" s="30">
        <v>83.1947480315999</v>
      </c>
      <c r="S473" s="30">
        <v>-0.48987947272030602</v>
      </c>
      <c r="T473" s="30">
        <v>-4.5133838527392734E-3</v>
      </c>
    </row>
    <row r="474" spans="10:20" x14ac:dyDescent="0.25">
      <c r="J474" s="10"/>
      <c r="K474" s="10"/>
      <c r="L474" s="10" t="s">
        <v>55</v>
      </c>
      <c r="M474" s="10" t="s">
        <v>93</v>
      </c>
      <c r="N474" s="10"/>
      <c r="O474" s="30">
        <v>-5.2904606328207908</v>
      </c>
      <c r="P474" s="30">
        <v>4.927485589955495</v>
      </c>
      <c r="Q474" s="30">
        <v>-42.125054403823746</v>
      </c>
      <c r="R474" s="30">
        <v>-52.671986928499514</v>
      </c>
      <c r="S474" s="30">
        <v>-6.769150080800987</v>
      </c>
      <c r="T474" s="30">
        <v>2.6001410945985438E-2</v>
      </c>
    </row>
    <row r="475" spans="10:20" x14ac:dyDescent="0.25">
      <c r="J475" s="10"/>
      <c r="K475" s="10"/>
      <c r="L475" s="10" t="s">
        <v>55</v>
      </c>
      <c r="M475" s="10" t="s">
        <v>94</v>
      </c>
      <c r="N475" s="10"/>
      <c r="O475" s="30">
        <v>-7.0370873063578117</v>
      </c>
      <c r="P475" s="30">
        <v>0.42174105523657629</v>
      </c>
      <c r="Q475" s="30">
        <v>-0.42873231725622457</v>
      </c>
      <c r="R475" s="30">
        <v>-15.243609033258144</v>
      </c>
      <c r="S475" s="30">
        <v>-8.1359436673360488</v>
      </c>
      <c r="T475" s="30">
        <v>2.3494035443338661E-2</v>
      </c>
    </row>
    <row r="476" spans="10:20" x14ac:dyDescent="0.25">
      <c r="J476" s="10"/>
      <c r="K476" s="10"/>
      <c r="L476" s="10" t="s">
        <v>55</v>
      </c>
      <c r="M476" s="10" t="s">
        <v>95</v>
      </c>
      <c r="N476" s="10"/>
      <c r="O476" s="30">
        <v>3.4874042830998349</v>
      </c>
      <c r="P476" s="30">
        <v>4.948547030776048</v>
      </c>
      <c r="Q476" s="30">
        <v>-25.021785306311077</v>
      </c>
      <c r="R476" s="30">
        <v>-52.291408138762755</v>
      </c>
      <c r="S476" s="30">
        <v>5.0073054927256857</v>
      </c>
      <c r="T476" s="30">
        <v>5.7902906932634909E-3</v>
      </c>
    </row>
    <row r="477" spans="10:20" x14ac:dyDescent="0.25">
      <c r="J477" s="10"/>
      <c r="K477" s="10"/>
      <c r="L477" s="10" t="s">
        <v>55</v>
      </c>
      <c r="M477" s="10" t="s">
        <v>96</v>
      </c>
      <c r="N477" s="10"/>
      <c r="O477" s="30">
        <v>1.7423348998248489</v>
      </c>
      <c r="P477" s="30">
        <v>0.44285147631703414</v>
      </c>
      <c r="Q477" s="30">
        <v>16.681436454154262</v>
      </c>
      <c r="R477" s="30">
        <v>-14.864252087473835</v>
      </c>
      <c r="S477" s="30">
        <v>3.6436257466755637</v>
      </c>
      <c r="T477" s="30">
        <v>3.3047392536424604E-3</v>
      </c>
    </row>
    <row r="478" spans="10:20" x14ac:dyDescent="0.25">
      <c r="J478" s="10"/>
      <c r="K478" s="10"/>
      <c r="L478" s="10" t="s">
        <v>55</v>
      </c>
      <c r="M478" s="10" t="s">
        <v>97</v>
      </c>
      <c r="N478" s="10"/>
      <c r="O478" s="30">
        <v>3.4606274562286798</v>
      </c>
      <c r="P478" s="30">
        <v>3.6705762650453511</v>
      </c>
      <c r="Q478" s="30">
        <v>-27.261405222065044</v>
      </c>
      <c r="R478" s="30">
        <v>-22.171801749823459</v>
      </c>
      <c r="S478" s="30">
        <v>2.8339615847553126</v>
      </c>
      <c r="T478" s="30">
        <v>2.1928822438658665E-3</v>
      </c>
    </row>
    <row r="479" spans="10:20" x14ac:dyDescent="0.25">
      <c r="J479" s="10"/>
      <c r="K479" s="10"/>
      <c r="L479" s="10" t="s">
        <v>55</v>
      </c>
      <c r="M479" s="10" t="s">
        <v>98</v>
      </c>
      <c r="N479" s="10"/>
      <c r="O479" s="30">
        <v>1.943380068576062</v>
      </c>
      <c r="P479" s="30">
        <v>-12.580280835480147</v>
      </c>
      <c r="Q479" s="30">
        <v>26.156256141176314</v>
      </c>
      <c r="R479" s="30">
        <v>94.034826983410099</v>
      </c>
      <c r="S479" s="30">
        <v>1.7399051267659613</v>
      </c>
      <c r="T479" s="30">
        <v>-5.7284881755067189E-3</v>
      </c>
    </row>
    <row r="480" spans="10:20" x14ac:dyDescent="0.25">
      <c r="J480" s="10"/>
      <c r="K480" s="10"/>
      <c r="L480" s="10" t="s">
        <v>55</v>
      </c>
      <c r="M480" s="10" t="s">
        <v>99</v>
      </c>
      <c r="N480" s="10"/>
      <c r="O480" s="30">
        <v>4.9465544844664322</v>
      </c>
      <c r="P480" s="30">
        <v>51.831112205362047</v>
      </c>
      <c r="Q480" s="30">
        <v>-44.09533205765927</v>
      </c>
      <c r="R480" s="30">
        <v>-219.55329541329854</v>
      </c>
      <c r="S480" s="30">
        <v>4.0049135392051571</v>
      </c>
      <c r="T480" s="30">
        <v>3.5997119143239341E-3</v>
      </c>
    </row>
    <row r="481" spans="10:20" x14ac:dyDescent="0.25">
      <c r="J481" s="10"/>
      <c r="K481" s="10"/>
      <c r="L481" s="10" t="s">
        <v>55</v>
      </c>
      <c r="M481" s="10" t="s">
        <v>100</v>
      </c>
      <c r="N481" s="10"/>
      <c r="O481" s="30">
        <v>3.2382126787488152</v>
      </c>
      <c r="P481" s="30">
        <v>26.183978722554833</v>
      </c>
      <c r="Q481" s="30">
        <v>74.083424794744388</v>
      </c>
      <c r="R481" s="30">
        <v>-112.83020832850394</v>
      </c>
      <c r="S481" s="30">
        <v>2.895172706457533</v>
      </c>
      <c r="T481" s="30">
        <v>8.4534938514854393E-4</v>
      </c>
    </row>
    <row r="482" spans="10:20" x14ac:dyDescent="0.25">
      <c r="J482" s="10"/>
      <c r="K482" s="10"/>
      <c r="L482" s="10" t="s">
        <v>55</v>
      </c>
      <c r="M482" s="10" t="s">
        <v>101</v>
      </c>
      <c r="N482" s="10"/>
      <c r="O482" s="30">
        <v>-4.8278466769809532</v>
      </c>
      <c r="P482" s="30">
        <v>-8.2485116129880574</v>
      </c>
      <c r="Q482" s="30">
        <v>-4.9817066798274743</v>
      </c>
      <c r="R482" s="30">
        <v>8.2144780615586015</v>
      </c>
      <c r="S482" s="30">
        <v>-6.0535255735648859</v>
      </c>
      <c r="T482" s="30">
        <v>2.1318297728884668E-2</v>
      </c>
    </row>
    <row r="483" spans="10:20" x14ac:dyDescent="0.25">
      <c r="J483" s="10"/>
      <c r="K483" s="10"/>
      <c r="L483" s="10" t="s">
        <v>55</v>
      </c>
      <c r="M483" s="10" t="s">
        <v>102</v>
      </c>
      <c r="N483" s="10"/>
      <c r="O483" s="30">
        <v>-6.3998106831642705</v>
      </c>
      <c r="P483" s="30">
        <v>-12.303681694235083</v>
      </c>
      <c r="Q483" s="30">
        <v>32.544983198083294</v>
      </c>
      <c r="R483" s="30">
        <v>41.900018167275846</v>
      </c>
      <c r="S483" s="30">
        <v>-7.2836398014464416</v>
      </c>
      <c r="T483" s="30">
        <v>1.9061659776502576E-2</v>
      </c>
    </row>
    <row r="484" spans="10:20" x14ac:dyDescent="0.25">
      <c r="J484" s="10"/>
      <c r="K484" s="10"/>
      <c r="L484" s="10" t="s">
        <v>55</v>
      </c>
      <c r="M484" s="10" t="s">
        <v>103</v>
      </c>
      <c r="N484" s="10"/>
      <c r="O484" s="30">
        <v>3.0722317473476113</v>
      </c>
      <c r="P484" s="30">
        <v>-8.2295563162495586</v>
      </c>
      <c r="Q484" s="30">
        <v>10.411235507933931</v>
      </c>
      <c r="R484" s="30">
        <v>8.5569989723216864</v>
      </c>
      <c r="S484" s="30">
        <v>4.5452844426091197</v>
      </c>
      <c r="T484" s="30">
        <v>3.1282895014349181E-3</v>
      </c>
    </row>
    <row r="485" spans="10:20" x14ac:dyDescent="0.25">
      <c r="J485" s="10"/>
      <c r="K485" s="10"/>
      <c r="L485" s="10" t="s">
        <v>55</v>
      </c>
      <c r="M485" s="10" t="s">
        <v>104</v>
      </c>
      <c r="N485" s="10"/>
      <c r="O485" s="30">
        <v>1.501669302400124</v>
      </c>
      <c r="P485" s="30">
        <v>-12.284682315262671</v>
      </c>
      <c r="Q485" s="30">
        <v>47.944135092352724</v>
      </c>
      <c r="R485" s="30">
        <v>42.241439418481718</v>
      </c>
      <c r="S485" s="30">
        <v>3.3179726711640107</v>
      </c>
      <c r="T485" s="30">
        <v>8.9129320577598971E-4</v>
      </c>
    </row>
    <row r="486" spans="10:20" x14ac:dyDescent="0.25">
      <c r="J486" s="10"/>
      <c r="K486" s="10"/>
      <c r="L486" s="10" t="s">
        <v>55</v>
      </c>
      <c r="M486" s="10" t="s">
        <v>105</v>
      </c>
      <c r="N486" s="10"/>
      <c r="O486" s="30">
        <v>3.0481326031635714</v>
      </c>
      <c r="P486" s="30">
        <v>-9.3797300054071862</v>
      </c>
      <c r="Q486" s="30">
        <v>8.395577583755351</v>
      </c>
      <c r="R486" s="30">
        <v>35.664644722367051</v>
      </c>
      <c r="S486" s="30">
        <v>2.5892749254357845</v>
      </c>
      <c r="T486" s="30">
        <v>-1.0937810302294472E-4</v>
      </c>
    </row>
    <row r="487" spans="10:20" x14ac:dyDescent="0.25">
      <c r="J487" s="10"/>
      <c r="K487" s="10"/>
      <c r="L487" s="10" t="s">
        <v>55</v>
      </c>
      <c r="M487" s="10" t="s">
        <v>106</v>
      </c>
      <c r="N487" s="10"/>
      <c r="O487" s="30">
        <v>1.6826099542762154</v>
      </c>
      <c r="P487" s="30">
        <v>-24.005501395880131</v>
      </c>
      <c r="Q487" s="30">
        <v>56.47147281067258</v>
      </c>
      <c r="R487" s="30">
        <v>140.25061058227726</v>
      </c>
      <c r="S487" s="30">
        <v>1.6046241132453685</v>
      </c>
      <c r="T487" s="30">
        <v>-7.2386114804582711E-3</v>
      </c>
    </row>
    <row r="488" spans="10:20" x14ac:dyDescent="0.25">
      <c r="J488" s="10"/>
      <c r="K488" s="10"/>
      <c r="L488" s="10" t="s">
        <v>55</v>
      </c>
      <c r="M488" s="10" t="s">
        <v>107</v>
      </c>
      <c r="N488" s="10"/>
      <c r="O488" s="30">
        <v>4.3854669285775483</v>
      </c>
      <c r="P488" s="30">
        <v>33.964752340877844</v>
      </c>
      <c r="Q488" s="30">
        <v>-6.7549565682794626</v>
      </c>
      <c r="R488" s="30">
        <v>-141.97869957476053</v>
      </c>
      <c r="S488" s="30">
        <v>3.6431316844406454</v>
      </c>
      <c r="T488" s="30">
        <v>1.1567686003893165E-3</v>
      </c>
    </row>
    <row r="489" spans="10:20" x14ac:dyDescent="0.25">
      <c r="J489" s="10"/>
      <c r="K489" s="10"/>
      <c r="L489" s="10" t="s">
        <v>55</v>
      </c>
      <c r="M489" s="10" t="s">
        <v>108</v>
      </c>
      <c r="N489" s="10"/>
      <c r="O489" s="30">
        <v>2.8479593034316935</v>
      </c>
      <c r="P489" s="30">
        <v>10.88233220635135</v>
      </c>
      <c r="Q489" s="30">
        <v>99.605924598883846</v>
      </c>
      <c r="R489" s="30">
        <v>-45.927921198445368</v>
      </c>
      <c r="S489" s="30">
        <v>2.6443649349677836</v>
      </c>
      <c r="T489" s="30">
        <v>-1.3221576758685352E-3</v>
      </c>
    </row>
    <row r="490" spans="10:20" x14ac:dyDescent="0.25">
      <c r="J490" s="10"/>
      <c r="K490" s="10"/>
      <c r="L490" s="10" t="s">
        <v>55</v>
      </c>
      <c r="M490" s="10" t="s">
        <v>109</v>
      </c>
      <c r="N490" s="10"/>
      <c r="O490" s="30">
        <v>-5.2746149323780562</v>
      </c>
      <c r="P490" s="30">
        <v>-5.8708882719709683</v>
      </c>
      <c r="Q490" s="30">
        <v>-17.041943521576524</v>
      </c>
      <c r="R490" s="30">
        <v>-5.3721954344513252</v>
      </c>
      <c r="S490" s="30">
        <v>-6.6814526343729534</v>
      </c>
      <c r="T490" s="30">
        <v>2.4369777208757142E-2</v>
      </c>
    </row>
    <row r="491" spans="10:20" x14ac:dyDescent="0.25">
      <c r="J491" s="10"/>
      <c r="K491" s="10"/>
      <c r="L491" s="10" t="s">
        <v>55</v>
      </c>
      <c r="M491" s="10" t="s">
        <v>110</v>
      </c>
      <c r="N491" s="10"/>
      <c r="O491" s="30">
        <v>-7.0212416059150762</v>
      </c>
      <c r="P491" s="30">
        <v>-10.376632806689887</v>
      </c>
      <c r="Q491" s="30">
        <v>24.654378564991003</v>
      </c>
      <c r="R491" s="30">
        <v>32.056182460790048</v>
      </c>
      <c r="S491" s="30">
        <v>-8.0482462209080161</v>
      </c>
      <c r="T491" s="30">
        <v>2.1862401706110368E-2</v>
      </c>
    </row>
    <row r="492" spans="10:20" x14ac:dyDescent="0.25">
      <c r="J492" s="10"/>
      <c r="K492" s="10"/>
      <c r="L492" s="10" t="s">
        <v>55</v>
      </c>
      <c r="M492" s="10" t="s">
        <v>111</v>
      </c>
      <c r="N492" s="10"/>
      <c r="O492" s="30">
        <v>3.5032499835425699</v>
      </c>
      <c r="P492" s="30">
        <v>-5.8498268311504154</v>
      </c>
      <c r="Q492" s="30">
        <v>6.1325575936149096E-2</v>
      </c>
      <c r="R492" s="30">
        <v>-4.9916166447145631</v>
      </c>
      <c r="S492" s="30">
        <v>5.0950029391537193</v>
      </c>
      <c r="T492" s="30">
        <v>4.1586569560351939E-3</v>
      </c>
    </row>
    <row r="493" spans="10:20" x14ac:dyDescent="0.25">
      <c r="J493" s="10"/>
      <c r="K493" s="10"/>
      <c r="L493" s="10" t="s">
        <v>55</v>
      </c>
      <c r="M493" s="10" t="s">
        <v>112</v>
      </c>
      <c r="N493" s="10"/>
      <c r="O493" s="30">
        <v>1.7581806002675842</v>
      </c>
      <c r="P493" s="30">
        <v>-10.355522385609429</v>
      </c>
      <c r="Q493" s="30">
        <v>41.764547336401492</v>
      </c>
      <c r="R493" s="30">
        <v>32.43553940657435</v>
      </c>
      <c r="S493" s="30">
        <v>3.7313231931035973</v>
      </c>
      <c r="T493" s="30">
        <v>1.673105516414163E-3</v>
      </c>
    </row>
    <row r="494" spans="10:20" x14ac:dyDescent="0.25">
      <c r="J494" s="10"/>
      <c r="K494" s="10"/>
      <c r="L494" s="10" t="s">
        <v>55</v>
      </c>
      <c r="M494" s="10" t="s">
        <v>113</v>
      </c>
      <c r="N494" s="10"/>
      <c r="O494" s="30">
        <v>3.4764731566714149</v>
      </c>
      <c r="P494" s="30">
        <v>-7.1277975968811118</v>
      </c>
      <c r="Q494" s="30">
        <v>-2.1782943398178172</v>
      </c>
      <c r="R494" s="30">
        <v>25.127989744224728</v>
      </c>
      <c r="S494" s="30">
        <v>2.9216590311833461</v>
      </c>
      <c r="T494" s="30">
        <v>5.6124850663756922E-4</v>
      </c>
    </row>
    <row r="495" spans="10:20" x14ac:dyDescent="0.25">
      <c r="J495" s="10"/>
      <c r="K495" s="10"/>
      <c r="L495" s="10" t="s">
        <v>55</v>
      </c>
      <c r="M495" s="10" t="s">
        <v>114</v>
      </c>
      <c r="N495" s="10"/>
      <c r="O495" s="30">
        <v>1.9592257690187971</v>
      </c>
      <c r="P495" s="30">
        <v>-23.37865469740661</v>
      </c>
      <c r="Q495" s="30">
        <v>51.23936702342354</v>
      </c>
      <c r="R495" s="30">
        <v>141.33461847745829</v>
      </c>
      <c r="S495" s="30">
        <v>1.8276025731939953</v>
      </c>
      <c r="T495" s="30">
        <v>-7.3601219127350159E-3</v>
      </c>
    </row>
    <row r="496" spans="10:20" x14ac:dyDescent="0.25">
      <c r="J496" s="10"/>
      <c r="K496" s="10"/>
      <c r="L496" s="10" t="s">
        <v>55</v>
      </c>
      <c r="M496" s="10" t="s">
        <v>115</v>
      </c>
      <c r="N496" s="10"/>
      <c r="O496" s="30">
        <v>4.9624001849091668</v>
      </c>
      <c r="P496" s="30">
        <v>41.032738343435589</v>
      </c>
      <c r="Q496" s="30">
        <v>-19.012221175412048</v>
      </c>
      <c r="R496" s="30">
        <v>-172.25350391925036</v>
      </c>
      <c r="S496" s="30">
        <v>4.0926109856331916</v>
      </c>
      <c r="T496" s="30">
        <v>1.9680781770956366E-3</v>
      </c>
    </row>
    <row r="497" spans="10:20" x14ac:dyDescent="0.25">
      <c r="J497" s="10"/>
      <c r="K497" s="10"/>
      <c r="L497" s="10" t="s">
        <v>55</v>
      </c>
      <c r="M497" s="10" t="s">
        <v>116</v>
      </c>
      <c r="N497" s="10"/>
      <c r="O497" s="30">
        <v>3.2540583791915503</v>
      </c>
      <c r="P497" s="30">
        <v>15.385604860628369</v>
      </c>
      <c r="Q497" s="30">
        <v>99.166535676991614</v>
      </c>
      <c r="R497" s="30">
        <v>-65.530416834455735</v>
      </c>
      <c r="S497" s="30">
        <v>2.982870152885567</v>
      </c>
      <c r="T497" s="30">
        <v>-7.8628435207975353E-4</v>
      </c>
    </row>
    <row r="498" spans="10:20" x14ac:dyDescent="0.25">
      <c r="J498" s="10"/>
      <c r="K498" s="10"/>
      <c r="L498" s="10" t="s">
        <v>56</v>
      </c>
      <c r="M498" s="10" t="s">
        <v>91</v>
      </c>
      <c r="N498" s="10"/>
      <c r="O498" s="30">
        <v>-0.27268043165715339</v>
      </c>
      <c r="P498" s="30">
        <v>6.9741505346051094</v>
      </c>
      <c r="Q498" s="30">
        <v>49.665384375985219</v>
      </c>
      <c r="R498" s="30">
        <v>-30.925913964166391</v>
      </c>
      <c r="S498" s="30">
        <v>-0.23811269605380339</v>
      </c>
      <c r="T498" s="30">
        <v>-1.0838115172371952E-3</v>
      </c>
    </row>
    <row r="499" spans="10:20" x14ac:dyDescent="0.25">
      <c r="J499" s="10"/>
      <c r="K499" s="10"/>
      <c r="L499" s="10" t="s">
        <v>56</v>
      </c>
      <c r="M499" s="10" t="s">
        <v>92</v>
      </c>
      <c r="N499" s="10"/>
      <c r="O499" s="30">
        <v>-0.14316201132580825</v>
      </c>
      <c r="P499" s="30">
        <v>18.97570502707924</v>
      </c>
      <c r="Q499" s="30">
        <v>77.319504715042413</v>
      </c>
      <c r="R499" s="30">
        <v>-83.534516784081276</v>
      </c>
      <c r="S499" s="30">
        <v>-0.16020195657621356</v>
      </c>
      <c r="T499" s="30">
        <v>-1.1695188427814558E-3</v>
      </c>
    </row>
    <row r="500" spans="10:20" x14ac:dyDescent="0.25">
      <c r="J500" s="10"/>
      <c r="K500" s="10"/>
      <c r="L500" s="10" t="s">
        <v>56</v>
      </c>
      <c r="M500" s="10" t="s">
        <v>93</v>
      </c>
      <c r="N500" s="10"/>
      <c r="O500" s="30">
        <v>-3.1335125753168978</v>
      </c>
      <c r="P500" s="30">
        <v>-4.8239405604704508</v>
      </c>
      <c r="Q500" s="30">
        <v>-25.559213668080407</v>
      </c>
      <c r="R500" s="30">
        <v>52.076481787077029</v>
      </c>
      <c r="S500" s="30">
        <v>-4.7658635705895902</v>
      </c>
      <c r="T500" s="30">
        <v>6.066432397794061E-4</v>
      </c>
    </row>
    <row r="501" spans="10:20" x14ac:dyDescent="0.25">
      <c r="J501" s="10"/>
      <c r="K501" s="10"/>
      <c r="L501" s="10" t="s">
        <v>56</v>
      </c>
      <c r="M501" s="10" t="s">
        <v>94</v>
      </c>
      <c r="N501" s="10"/>
      <c r="O501" s="30">
        <v>-3.4980885076856936</v>
      </c>
      <c r="P501" s="30">
        <v>-0.31436310162460623</v>
      </c>
      <c r="Q501" s="30">
        <v>16.871443182895554</v>
      </c>
      <c r="R501" s="30">
        <v>14.554023960864626</v>
      </c>
      <c r="S501" s="30">
        <v>-5.2723116588018843</v>
      </c>
      <c r="T501" s="30">
        <v>5.3138781484370057E-4</v>
      </c>
    </row>
    <row r="502" spans="10:20" x14ac:dyDescent="0.25">
      <c r="J502" s="10"/>
      <c r="K502" s="10"/>
      <c r="L502" s="10" t="s">
        <v>56</v>
      </c>
      <c r="M502" s="10" t="s">
        <v>95</v>
      </c>
      <c r="N502" s="10"/>
      <c r="O502" s="30">
        <v>1.7805886763295582</v>
      </c>
      <c r="P502" s="30">
        <v>-4.8270970930918162</v>
      </c>
      <c r="Q502" s="30">
        <v>-42.316688580550583</v>
      </c>
      <c r="R502" s="30">
        <v>52.661454777603808</v>
      </c>
      <c r="S502" s="30">
        <v>3.8260920828145562</v>
      </c>
      <c r="T502" s="30">
        <v>-1.3031531771160415E-3</v>
      </c>
    </row>
    <row r="503" spans="10:20" x14ac:dyDescent="0.25">
      <c r="J503" s="10"/>
      <c r="K503" s="10"/>
      <c r="L503" s="10" t="s">
        <v>56</v>
      </c>
      <c r="M503" s="10" t="s">
        <v>96</v>
      </c>
      <c r="N503" s="10"/>
      <c r="O503" s="30">
        <v>1.4169505754129916</v>
      </c>
      <c r="P503" s="30">
        <v>-0.31746077406441592</v>
      </c>
      <c r="Q503" s="30">
        <v>0.1068966631036237</v>
      </c>
      <c r="R503" s="30">
        <v>15.137776146945969</v>
      </c>
      <c r="S503" s="30">
        <v>3.3223387678250531</v>
      </c>
      <c r="T503" s="30">
        <v>-1.3752338201638355E-3</v>
      </c>
    </row>
    <row r="504" spans="10:20" x14ac:dyDescent="0.25">
      <c r="J504" s="10"/>
      <c r="K504" s="10"/>
      <c r="L504" s="10" t="s">
        <v>56</v>
      </c>
      <c r="M504" s="10" t="s">
        <v>97</v>
      </c>
      <c r="N504" s="10"/>
      <c r="O504" s="30">
        <v>1.2538345236031703</v>
      </c>
      <c r="P504" s="30">
        <v>-51.708172392451367</v>
      </c>
      <c r="Q504" s="30">
        <v>-47.282897375815743</v>
      </c>
      <c r="R504" s="30">
        <v>219.42840618995461</v>
      </c>
      <c r="S504" s="30">
        <v>1.5728024452550211</v>
      </c>
      <c r="T504" s="30">
        <v>-9.0596673471996349E-4</v>
      </c>
    </row>
    <row r="505" spans="10:20" x14ac:dyDescent="0.25">
      <c r="J505" s="10"/>
      <c r="K505" s="10"/>
      <c r="L505" s="10" t="s">
        <v>56</v>
      </c>
      <c r="M505" s="10" t="s">
        <v>98</v>
      </c>
      <c r="N505" s="10"/>
      <c r="O505" s="30">
        <v>1.2475781122260208</v>
      </c>
      <c r="P505" s="30">
        <v>-26.051442665389594</v>
      </c>
      <c r="Q505" s="30">
        <v>71.060394052604437</v>
      </c>
      <c r="R505" s="30">
        <v>112.50215589960378</v>
      </c>
      <c r="S505" s="30">
        <v>1.2779467707611263</v>
      </c>
      <c r="T505" s="30">
        <v>-1.2041316083197145E-3</v>
      </c>
    </row>
    <row r="506" spans="10:20" x14ac:dyDescent="0.25">
      <c r="J506" s="10"/>
      <c r="K506" s="10"/>
      <c r="L506" s="10" t="s">
        <v>56</v>
      </c>
      <c r="M506" s="10" t="s">
        <v>99</v>
      </c>
      <c r="N506" s="10"/>
      <c r="O506" s="30">
        <v>0.75752351121456984</v>
      </c>
      <c r="P506" s="30">
        <v>-3.5617352116357135</v>
      </c>
      <c r="Q506" s="30">
        <v>-30.017642794098656</v>
      </c>
      <c r="R506" s="30">
        <v>22.145806182358875</v>
      </c>
      <c r="S506" s="30">
        <v>1.0581642743994997</v>
      </c>
      <c r="T506" s="30">
        <v>-1.0098686498761309E-3</v>
      </c>
    </row>
    <row r="507" spans="10:20" x14ac:dyDescent="0.25">
      <c r="J507" s="10"/>
      <c r="K507" s="10"/>
      <c r="L507" s="10" t="s">
        <v>56</v>
      </c>
      <c r="M507" s="10" t="s">
        <v>100</v>
      </c>
      <c r="N507" s="10"/>
      <c r="O507" s="30">
        <v>0.45237224467811282</v>
      </c>
      <c r="P507" s="30">
        <v>12.701324591526648</v>
      </c>
      <c r="Q507" s="30">
        <v>23.452356774629742</v>
      </c>
      <c r="R507" s="30">
        <v>-94.296738616216103</v>
      </c>
      <c r="S507" s="30">
        <v>0.69513677057713308</v>
      </c>
      <c r="T507" s="30">
        <v>-9.7205255772104279E-4</v>
      </c>
    </row>
    <row r="508" spans="10:20" x14ac:dyDescent="0.25">
      <c r="J508" s="10"/>
      <c r="K508" s="10"/>
      <c r="L508" s="10" t="s">
        <v>56</v>
      </c>
      <c r="M508" s="10" t="s">
        <v>101</v>
      </c>
      <c r="N508" s="10"/>
      <c r="O508" s="30">
        <v>-2.7179109406195781</v>
      </c>
      <c r="P508" s="30">
        <v>8.3574230415112343</v>
      </c>
      <c r="Q508" s="30">
        <v>9.6173664753833421</v>
      </c>
      <c r="R508" s="30">
        <v>-8.8323606079621886</v>
      </c>
      <c r="S508" s="30">
        <v>-4.2351777436584213</v>
      </c>
      <c r="T508" s="30">
        <v>3.5189043853348551E-4</v>
      </c>
    </row>
    <row r="509" spans="10:20" x14ac:dyDescent="0.25">
      <c r="J509" s="10"/>
      <c r="K509" s="10"/>
      <c r="L509" s="10" t="s">
        <v>56</v>
      </c>
      <c r="M509" s="10" t="s">
        <v>102</v>
      </c>
      <c r="N509" s="10"/>
      <c r="O509" s="30">
        <v>-3.0460292797514943</v>
      </c>
      <c r="P509" s="30">
        <v>12.416042754472494</v>
      </c>
      <c r="Q509" s="30">
        <v>47.804957641261709</v>
      </c>
      <c r="R509" s="30">
        <v>-42.602572651553359</v>
      </c>
      <c r="S509" s="30">
        <v>-4.6909810230494857</v>
      </c>
      <c r="T509" s="30">
        <v>2.8416055609135031E-4</v>
      </c>
    </row>
    <row r="510" spans="10:20" x14ac:dyDescent="0.25">
      <c r="J510" s="10"/>
      <c r="K510" s="10"/>
      <c r="L510" s="10" t="s">
        <v>56</v>
      </c>
      <c r="M510" s="10" t="s">
        <v>103</v>
      </c>
      <c r="N510" s="10"/>
      <c r="O510" s="30">
        <v>1.7047801858622322</v>
      </c>
      <c r="P510" s="30">
        <v>8.3545821621520044</v>
      </c>
      <c r="Q510" s="30">
        <v>-5.4643609458398119</v>
      </c>
      <c r="R510" s="30">
        <v>-8.3058849164880932</v>
      </c>
      <c r="S510" s="30">
        <v>3.4975823444053096</v>
      </c>
      <c r="T510" s="30">
        <v>-1.3669263366724175E-3</v>
      </c>
    </row>
    <row r="511" spans="10:20" x14ac:dyDescent="0.25">
      <c r="J511" s="10"/>
      <c r="K511" s="10"/>
      <c r="L511" s="10" t="s">
        <v>56</v>
      </c>
      <c r="M511" s="10" t="s">
        <v>104</v>
      </c>
      <c r="N511" s="10"/>
      <c r="O511" s="30">
        <v>1.3775058950373222</v>
      </c>
      <c r="P511" s="30">
        <v>12.413254849276667</v>
      </c>
      <c r="Q511" s="30">
        <v>32.716865773448966</v>
      </c>
      <c r="R511" s="30">
        <v>-42.077195684080145</v>
      </c>
      <c r="S511" s="30">
        <v>3.0442043609147573</v>
      </c>
      <c r="T511" s="30">
        <v>-1.431798915415432E-3</v>
      </c>
    </row>
    <row r="512" spans="10:20" x14ac:dyDescent="0.25">
      <c r="J512" s="10"/>
      <c r="K512" s="10"/>
      <c r="L512" s="10" t="s">
        <v>56</v>
      </c>
      <c r="M512" s="10" t="s">
        <v>105</v>
      </c>
      <c r="N512" s="10"/>
      <c r="O512" s="30">
        <v>1.2307014484084831</v>
      </c>
      <c r="P512" s="30">
        <v>-33.838385607271597</v>
      </c>
      <c r="Q512" s="30">
        <v>-9.9339488615784628</v>
      </c>
      <c r="R512" s="30">
        <v>141.78437135462764</v>
      </c>
      <c r="S512" s="30">
        <v>1.4696216706017284</v>
      </c>
      <c r="T512" s="30">
        <v>-1.0094585385159473E-3</v>
      </c>
    </row>
    <row r="513" spans="10:20" x14ac:dyDescent="0.25">
      <c r="J513" s="10"/>
      <c r="K513" s="10"/>
      <c r="L513" s="10" t="s">
        <v>56</v>
      </c>
      <c r="M513" s="10" t="s">
        <v>106</v>
      </c>
      <c r="N513" s="10"/>
      <c r="O513" s="30">
        <v>1.2250706781690488</v>
      </c>
      <c r="P513" s="30">
        <v>-10.747328852915995</v>
      </c>
      <c r="Q513" s="30">
        <v>96.575013423999692</v>
      </c>
      <c r="R513" s="30">
        <v>45.550746093311894</v>
      </c>
      <c r="S513" s="30">
        <v>1.2042515635572231</v>
      </c>
      <c r="T513" s="30">
        <v>-1.2778069247557232E-3</v>
      </c>
    </row>
    <row r="514" spans="10:20" x14ac:dyDescent="0.25">
      <c r="J514" s="10"/>
      <c r="K514" s="10"/>
      <c r="L514" s="10" t="s">
        <v>56</v>
      </c>
      <c r="M514" s="10" t="s">
        <v>107</v>
      </c>
      <c r="N514" s="10"/>
      <c r="O514" s="30">
        <v>0.78402153725874268</v>
      </c>
      <c r="P514" s="30">
        <v>9.4934078554624968</v>
      </c>
      <c r="Q514" s="30">
        <v>5.6047802619669227</v>
      </c>
      <c r="R514" s="30">
        <v>-35.769968652208526</v>
      </c>
      <c r="S514" s="30">
        <v>1.0064473168317594</v>
      </c>
      <c r="T514" s="30">
        <v>-1.1029702621564979E-3</v>
      </c>
    </row>
    <row r="515" spans="10:20" x14ac:dyDescent="0.25">
      <c r="J515" s="10"/>
      <c r="K515" s="10"/>
      <c r="L515" s="10" t="s">
        <v>56</v>
      </c>
      <c r="M515" s="10" t="s">
        <v>108</v>
      </c>
      <c r="N515" s="10"/>
      <c r="O515" s="30">
        <v>0.50938539737593136</v>
      </c>
      <c r="P515" s="30">
        <v>24.130161678308625</v>
      </c>
      <c r="Q515" s="30">
        <v>53.72777987382247</v>
      </c>
      <c r="R515" s="30">
        <v>-140.56825897092602</v>
      </c>
      <c r="S515" s="30">
        <v>0.67972256339162929</v>
      </c>
      <c r="T515" s="30">
        <v>-1.0689357792169187E-3</v>
      </c>
    </row>
    <row r="516" spans="10:20" x14ac:dyDescent="0.25">
      <c r="J516" s="10"/>
      <c r="K516" s="10"/>
      <c r="L516" s="10" t="s">
        <v>56</v>
      </c>
      <c r="M516" s="10" t="s">
        <v>109</v>
      </c>
      <c r="N516" s="10"/>
      <c r="O516" s="30">
        <v>-3.0169459970186869</v>
      </c>
      <c r="P516" s="30">
        <v>5.9774584827562656</v>
      </c>
      <c r="Q516" s="30">
        <v>-0.67050536292894669</v>
      </c>
      <c r="R516" s="30">
        <v>4.7287392491536275</v>
      </c>
      <c r="S516" s="30">
        <v>-4.6957439050597589</v>
      </c>
      <c r="T516" s="30">
        <v>5.2950664678957156E-4</v>
      </c>
    </row>
    <row r="517" spans="10:20" x14ac:dyDescent="0.25">
      <c r="J517" s="10"/>
      <c r="K517" s="10"/>
      <c r="L517" s="10" t="s">
        <v>56</v>
      </c>
      <c r="M517" s="10" t="s">
        <v>110</v>
      </c>
      <c r="N517" s="10"/>
      <c r="O517" s="30">
        <v>-3.3815219293874832</v>
      </c>
      <c r="P517" s="30">
        <v>10.487035941602111</v>
      </c>
      <c r="Q517" s="30">
        <v>41.760151488047015</v>
      </c>
      <c r="R517" s="30">
        <v>-32.793718577058776</v>
      </c>
      <c r="S517" s="30">
        <v>-5.2021919932720531</v>
      </c>
      <c r="T517" s="30">
        <v>4.5425122185386603E-4</v>
      </c>
    </row>
    <row r="518" spans="10:20" x14ac:dyDescent="0.25">
      <c r="J518" s="10"/>
      <c r="K518" s="10"/>
      <c r="L518" s="10" t="s">
        <v>56</v>
      </c>
      <c r="M518" s="10" t="s">
        <v>111</v>
      </c>
      <c r="N518" s="10"/>
      <c r="O518" s="30">
        <v>1.8971552546277686</v>
      </c>
      <c r="P518" s="30">
        <v>5.9743019501348993</v>
      </c>
      <c r="Q518" s="30">
        <v>-17.427980275399122</v>
      </c>
      <c r="R518" s="30">
        <v>5.3137122396804077</v>
      </c>
      <c r="S518" s="30">
        <v>3.896211748344387</v>
      </c>
      <c r="T518" s="30">
        <v>-1.380289770105876E-3</v>
      </c>
    </row>
    <row r="519" spans="10:20" x14ac:dyDescent="0.25">
      <c r="J519" s="10"/>
      <c r="K519" s="10"/>
      <c r="L519" s="10" t="s">
        <v>56</v>
      </c>
      <c r="M519" s="10" t="s">
        <v>112</v>
      </c>
      <c r="N519" s="10"/>
      <c r="O519" s="30">
        <v>1.533517153711202</v>
      </c>
      <c r="P519" s="30">
        <v>10.483938269162302</v>
      </c>
      <c r="Q519" s="30">
        <v>24.995604968255083</v>
      </c>
      <c r="R519" s="30">
        <v>-32.209966390977435</v>
      </c>
      <c r="S519" s="30">
        <v>3.392458433354884</v>
      </c>
      <c r="T519" s="30">
        <v>-1.4523704131536703E-3</v>
      </c>
    </row>
    <row r="520" spans="10:20" x14ac:dyDescent="0.25">
      <c r="J520" s="10"/>
      <c r="K520" s="10"/>
      <c r="L520" s="10" t="s">
        <v>56</v>
      </c>
      <c r="M520" s="10" t="s">
        <v>113</v>
      </c>
      <c r="N520" s="10"/>
      <c r="O520" s="30">
        <v>1.3704011019013806</v>
      </c>
      <c r="P520" s="30">
        <v>-40.906773349224657</v>
      </c>
      <c r="Q520" s="30">
        <v>-22.394189070664282</v>
      </c>
      <c r="R520" s="30">
        <v>172.08066365203121</v>
      </c>
      <c r="S520" s="30">
        <v>1.642922110784852</v>
      </c>
      <c r="T520" s="30">
        <v>-9.8310332770979803E-4</v>
      </c>
    </row>
    <row r="521" spans="10:20" x14ac:dyDescent="0.25">
      <c r="J521" s="10"/>
      <c r="K521" s="10"/>
      <c r="L521" s="10" t="s">
        <v>56</v>
      </c>
      <c r="M521" s="10" t="s">
        <v>114</v>
      </c>
      <c r="N521" s="10"/>
      <c r="O521" s="30">
        <v>1.3641446905242314</v>
      </c>
      <c r="P521" s="30">
        <v>-15.250043622162881</v>
      </c>
      <c r="Q521" s="30">
        <v>95.949102357755891</v>
      </c>
      <c r="R521" s="30">
        <v>65.154413361680383</v>
      </c>
      <c r="S521" s="30">
        <v>1.3480664362909571</v>
      </c>
      <c r="T521" s="30">
        <v>-1.281268201309549E-3</v>
      </c>
    </row>
    <row r="522" spans="10:20" x14ac:dyDescent="0.25">
      <c r="J522" s="10"/>
      <c r="K522" s="10"/>
      <c r="L522" s="10" t="s">
        <v>56</v>
      </c>
      <c r="M522" s="10" t="s">
        <v>115</v>
      </c>
      <c r="N522" s="10"/>
      <c r="O522" s="30">
        <v>0.87409008951278044</v>
      </c>
      <c r="P522" s="30">
        <v>7.2396638315910025</v>
      </c>
      <c r="Q522" s="30">
        <v>-5.1289344889471966</v>
      </c>
      <c r="R522" s="30">
        <v>-25.201936355564527</v>
      </c>
      <c r="S522" s="30">
        <v>1.1282839399293305</v>
      </c>
      <c r="T522" s="30">
        <v>-1.0870052428659652E-3</v>
      </c>
    </row>
    <row r="523" spans="10:20" x14ac:dyDescent="0.25">
      <c r="J523" s="10"/>
      <c r="K523" s="10"/>
      <c r="L523" s="10" t="s">
        <v>56</v>
      </c>
      <c r="M523" s="10" t="s">
        <v>116</v>
      </c>
      <c r="N523" s="10"/>
      <c r="O523" s="30">
        <v>0.56893882297632348</v>
      </c>
      <c r="P523" s="30">
        <v>23.502723634753366</v>
      </c>
      <c r="Q523" s="30">
        <v>48.341065079781202</v>
      </c>
      <c r="R523" s="30">
        <v>-141.6444811541395</v>
      </c>
      <c r="S523" s="30">
        <v>0.76525643610696392</v>
      </c>
      <c r="T523" s="30">
        <v>-1.0491891507108772E-3</v>
      </c>
    </row>
    <row r="524" spans="10:20" x14ac:dyDescent="0.25">
      <c r="J524" s="10"/>
      <c r="K524" s="10"/>
      <c r="L524" s="10" t="s">
        <v>57</v>
      </c>
      <c r="M524" s="10" t="s">
        <v>91</v>
      </c>
      <c r="N524" s="10"/>
      <c r="O524" s="30">
        <v>-0.29410485860942159</v>
      </c>
      <c r="P524" s="30">
        <v>-0.20811388782288379</v>
      </c>
      <c r="Q524" s="30">
        <v>72.369831424798051</v>
      </c>
      <c r="R524" s="30">
        <v>-3.0873271740027696E-2</v>
      </c>
      <c r="S524" s="30">
        <v>-0.32138813404129657</v>
      </c>
      <c r="T524" s="30">
        <v>1.0424864761011663E-3</v>
      </c>
    </row>
    <row r="525" spans="10:20" x14ac:dyDescent="0.25">
      <c r="J525" s="10"/>
      <c r="K525" s="10"/>
      <c r="L525" s="10" t="s">
        <v>57</v>
      </c>
      <c r="M525" s="10" t="s">
        <v>92</v>
      </c>
      <c r="N525" s="10"/>
      <c r="O525" s="30">
        <v>-0.2057049747328388</v>
      </c>
      <c r="P525" s="30">
        <v>-1.7971439047714941</v>
      </c>
      <c r="Q525" s="30">
        <v>129.43216295470179</v>
      </c>
      <c r="R525" s="30">
        <v>6.4174688052915911</v>
      </c>
      <c r="S525" s="30">
        <v>-0.33767507905770888</v>
      </c>
      <c r="T525" s="30">
        <v>1.412809377691066E-3</v>
      </c>
    </row>
    <row r="526" spans="10:20" x14ac:dyDescent="0.25">
      <c r="J526" s="10"/>
      <c r="K526" s="10"/>
      <c r="L526" s="10" t="s">
        <v>57</v>
      </c>
      <c r="M526" s="10" t="s">
        <v>93</v>
      </c>
      <c r="N526" s="10"/>
      <c r="O526" s="30">
        <v>-5.8506808739896341</v>
      </c>
      <c r="P526" s="30">
        <v>6.5110623227365556</v>
      </c>
      <c r="Q526" s="30">
        <v>-78.789033270526772</v>
      </c>
      <c r="R526" s="30">
        <v>-30.192736239294</v>
      </c>
      <c r="S526" s="30">
        <v>-6.1008233660436844</v>
      </c>
      <c r="T526" s="30">
        <v>4.0753348457868944E-3</v>
      </c>
    </row>
    <row r="527" spans="10:20" x14ac:dyDescent="0.25">
      <c r="J527" s="10"/>
      <c r="K527" s="10"/>
      <c r="L527" s="10" t="s">
        <v>57</v>
      </c>
      <c r="M527" s="10" t="s">
        <v>94</v>
      </c>
      <c r="N527" s="10"/>
      <c r="O527" s="30">
        <v>-7.7164557095025028</v>
      </c>
      <c r="P527" s="30">
        <v>3.3921165635527539</v>
      </c>
      <c r="Q527" s="30">
        <v>2.4146989207066065</v>
      </c>
      <c r="R527" s="30">
        <v>-16.387554067495394</v>
      </c>
      <c r="S527" s="30">
        <v>-7.7753631418425142</v>
      </c>
      <c r="T527" s="30">
        <v>4.7913985386310058E-3</v>
      </c>
    </row>
    <row r="528" spans="10:20" x14ac:dyDescent="0.25">
      <c r="J528" s="10"/>
      <c r="K528" s="10"/>
      <c r="L528" s="10" t="s">
        <v>57</v>
      </c>
      <c r="M528" s="10" t="s">
        <v>95</v>
      </c>
      <c r="N528" s="10"/>
      <c r="O528" s="30">
        <v>4.6831521270498406</v>
      </c>
      <c r="P528" s="30">
        <v>5.5659208612847566</v>
      </c>
      <c r="Q528" s="30">
        <v>-99.431286385990603</v>
      </c>
      <c r="R528" s="30">
        <v>-25.155484274106186</v>
      </c>
      <c r="S528" s="30">
        <v>5.4909914144621235</v>
      </c>
      <c r="T528" s="30">
        <v>-4.0484914305936367E-3</v>
      </c>
    </row>
    <row r="529" spans="10:20" x14ac:dyDescent="0.25">
      <c r="J529" s="10"/>
      <c r="K529" s="10"/>
      <c r="L529" s="10" t="s">
        <v>57</v>
      </c>
      <c r="M529" s="10" t="s">
        <v>96</v>
      </c>
      <c r="N529" s="10"/>
      <c r="O529" s="30">
        <v>2.8156241041973828</v>
      </c>
      <c r="P529" s="30">
        <v>2.4484162242500398</v>
      </c>
      <c r="Q529" s="30">
        <v>-18.217661522456442</v>
      </c>
      <c r="R529" s="30">
        <v>-11.35797708352896</v>
      </c>
      <c r="S529" s="30">
        <v>3.8138618873340828</v>
      </c>
      <c r="T529" s="30">
        <v>-3.3206747566922297E-3</v>
      </c>
    </row>
    <row r="530" spans="10:20" x14ac:dyDescent="0.25">
      <c r="J530" s="10"/>
      <c r="K530" s="10"/>
      <c r="L530" s="10" t="s">
        <v>57</v>
      </c>
      <c r="M530" s="10" t="s">
        <v>97</v>
      </c>
      <c r="N530" s="10"/>
      <c r="O530" s="30">
        <v>4.4680887353454262</v>
      </c>
      <c r="P530" s="30">
        <v>1.5445719652914644E-2</v>
      </c>
      <c r="Q530" s="30">
        <v>-89.813192195901308</v>
      </c>
      <c r="R530" s="30">
        <v>17.238007391400647</v>
      </c>
      <c r="S530" s="30">
        <v>3.9000001713941446</v>
      </c>
      <c r="T530" s="30">
        <v>-6.5963640647690456E-4</v>
      </c>
    </row>
    <row r="531" spans="10:20" x14ac:dyDescent="0.25">
      <c r="J531" s="10"/>
      <c r="K531" s="10"/>
      <c r="L531" s="10" t="s">
        <v>57</v>
      </c>
      <c r="M531" s="10" t="s">
        <v>98</v>
      </c>
      <c r="N531" s="10"/>
      <c r="O531" s="30">
        <v>2.8012391415600191</v>
      </c>
      <c r="P531" s="30">
        <v>-13.382371752985518</v>
      </c>
      <c r="Q531" s="30">
        <v>124.08257291760685</v>
      </c>
      <c r="R531" s="30">
        <v>97.76663334647931</v>
      </c>
      <c r="S531" s="30">
        <v>2.1741682419158739</v>
      </c>
      <c r="T531" s="30">
        <v>7.7109967430780883E-4</v>
      </c>
    </row>
    <row r="532" spans="10:20" x14ac:dyDescent="0.25">
      <c r="J532" s="10"/>
      <c r="K532" s="10"/>
      <c r="L532" s="10" t="s">
        <v>57</v>
      </c>
      <c r="M532" s="10" t="s">
        <v>99</v>
      </c>
      <c r="N532" s="10"/>
      <c r="O532" s="30">
        <v>4.4490711639431053</v>
      </c>
      <c r="P532" s="30">
        <v>9.9726039888623461</v>
      </c>
      <c r="Q532" s="30">
        <v>-91.691338894494535</v>
      </c>
      <c r="R532" s="30">
        <v>-61.295791959479537</v>
      </c>
      <c r="S532" s="30">
        <v>3.8783775097551452</v>
      </c>
      <c r="T532" s="30">
        <v>-4.2836790620676574E-4</v>
      </c>
    </row>
    <row r="533" spans="10:20" x14ac:dyDescent="0.25">
      <c r="J533" s="10"/>
      <c r="K533" s="10"/>
      <c r="L533" s="10" t="s">
        <v>57</v>
      </c>
      <c r="M533" s="10" t="s">
        <v>100</v>
      </c>
      <c r="N533" s="10"/>
      <c r="O533" s="30">
        <v>2.631630337688514</v>
      </c>
      <c r="P533" s="30">
        <v>22.029692664126348</v>
      </c>
      <c r="Q533" s="30">
        <v>27.609631381462286</v>
      </c>
      <c r="R533" s="30">
        <v>-145.06292223811246</v>
      </c>
      <c r="S533" s="30">
        <v>2.1503671157620778</v>
      </c>
      <c r="T533" s="30">
        <v>9.69081358357376E-4</v>
      </c>
    </row>
    <row r="534" spans="10:20" x14ac:dyDescent="0.25">
      <c r="J534" s="10"/>
      <c r="K534" s="10"/>
      <c r="L534" s="10" t="s">
        <v>57</v>
      </c>
      <c r="M534" s="10" t="s">
        <v>101</v>
      </c>
      <c r="N534" s="10"/>
      <c r="O534" s="30">
        <v>-5.2066233885750304</v>
      </c>
      <c r="P534" s="30">
        <v>4.2501146847320008</v>
      </c>
      <c r="Q534" s="30">
        <v>-6.6108152710905399</v>
      </c>
      <c r="R534" s="30">
        <v>-20.728207865506981</v>
      </c>
      <c r="S534" s="30">
        <v>-5.5391667878598581</v>
      </c>
      <c r="T534" s="30">
        <v>4.1423729104082211E-3</v>
      </c>
    </row>
    <row r="535" spans="10:20" x14ac:dyDescent="0.25">
      <c r="J535" s="10"/>
      <c r="K535" s="10"/>
      <c r="L535" s="10" t="s">
        <v>57</v>
      </c>
      <c r="M535" s="10" t="s">
        <v>102</v>
      </c>
      <c r="N535" s="10"/>
      <c r="O535" s="30">
        <v>-6.8858207405366132</v>
      </c>
      <c r="P535" s="30">
        <v>1.4430635014665802</v>
      </c>
      <c r="Q535" s="30">
        <v>66.47254370101949</v>
      </c>
      <c r="R535" s="30">
        <v>-8.3035439108882372</v>
      </c>
      <c r="S535" s="30">
        <v>-7.0462525860788059</v>
      </c>
      <c r="T535" s="30">
        <v>4.786830233967922E-3</v>
      </c>
    </row>
    <row r="536" spans="10:20" x14ac:dyDescent="0.25">
      <c r="J536" s="10"/>
      <c r="K536" s="10"/>
      <c r="L536" s="10" t="s">
        <v>57</v>
      </c>
      <c r="M536" s="10" t="s">
        <v>103</v>
      </c>
      <c r="N536" s="10"/>
      <c r="O536" s="30">
        <v>4.2738263123604971</v>
      </c>
      <c r="P536" s="30">
        <v>3.3994873694253829</v>
      </c>
      <c r="Q536" s="30">
        <v>-25.188843075008009</v>
      </c>
      <c r="R536" s="30">
        <v>-16.194681096837954</v>
      </c>
      <c r="S536" s="30">
        <v>4.8934665145953682</v>
      </c>
      <c r="T536" s="30">
        <v>-3.169070738334257E-3</v>
      </c>
    </row>
    <row r="537" spans="10:20" x14ac:dyDescent="0.25">
      <c r="J537" s="10"/>
      <c r="K537" s="10"/>
      <c r="L537" s="10" t="s">
        <v>57</v>
      </c>
      <c r="M537" s="10" t="s">
        <v>104</v>
      </c>
      <c r="N537" s="10"/>
      <c r="O537" s="30">
        <v>2.5930510917932854</v>
      </c>
      <c r="P537" s="30">
        <v>0.59373319609413722</v>
      </c>
      <c r="Q537" s="30">
        <v>47.903419302172743</v>
      </c>
      <c r="R537" s="30">
        <v>-3.7769246253184461</v>
      </c>
      <c r="S537" s="30">
        <v>3.3840499401801325</v>
      </c>
      <c r="T537" s="30">
        <v>-2.5140357318229902E-3</v>
      </c>
    </row>
    <row r="538" spans="10:20" x14ac:dyDescent="0.25">
      <c r="J538" s="10"/>
      <c r="K538" s="10"/>
      <c r="L538" s="10" t="s">
        <v>57</v>
      </c>
      <c r="M538" s="10" t="s">
        <v>105</v>
      </c>
      <c r="N538" s="10"/>
      <c r="O538" s="30">
        <v>4.0802692598265251</v>
      </c>
      <c r="P538" s="30">
        <v>-1.5959402580432753</v>
      </c>
      <c r="Q538" s="30">
        <v>-16.532558303927651</v>
      </c>
      <c r="R538" s="30">
        <v>21.959461402118198</v>
      </c>
      <c r="S538" s="30">
        <v>3.4615743958341887</v>
      </c>
      <c r="T538" s="30">
        <v>-1.1910121662919798E-4</v>
      </c>
    </row>
    <row r="539" spans="10:20" x14ac:dyDescent="0.25">
      <c r="J539" s="10"/>
      <c r="K539" s="10"/>
      <c r="L539" s="10" t="s">
        <v>57</v>
      </c>
      <c r="M539" s="10" t="s">
        <v>106</v>
      </c>
      <c r="N539" s="10"/>
      <c r="O539" s="30">
        <v>2.5801046254196582</v>
      </c>
      <c r="P539" s="30">
        <v>-13.653975983417865</v>
      </c>
      <c r="Q539" s="30">
        <v>175.97363029822972</v>
      </c>
      <c r="R539" s="30">
        <v>94.435224761689</v>
      </c>
      <c r="S539" s="30">
        <v>1.9083256593037448</v>
      </c>
      <c r="T539" s="30">
        <v>1.1685612560770444E-3</v>
      </c>
    </row>
    <row r="540" spans="10:20" x14ac:dyDescent="0.25">
      <c r="J540" s="10"/>
      <c r="K540" s="10"/>
      <c r="L540" s="10" t="s">
        <v>57</v>
      </c>
      <c r="M540" s="10" t="s">
        <v>107</v>
      </c>
      <c r="N540" s="10"/>
      <c r="O540" s="30">
        <v>4.0631534455644367</v>
      </c>
      <c r="P540" s="30">
        <v>7.3655021842452122</v>
      </c>
      <c r="Q540" s="30">
        <v>-18.222890332661535</v>
      </c>
      <c r="R540" s="30">
        <v>-48.720958013673972</v>
      </c>
      <c r="S540" s="30">
        <v>3.4421140003590889</v>
      </c>
      <c r="T540" s="30">
        <v>8.9040433613927209E-5</v>
      </c>
    </row>
    <row r="541" spans="10:20" x14ac:dyDescent="0.25">
      <c r="J541" s="10"/>
      <c r="K541" s="10"/>
      <c r="L541" s="10" t="s">
        <v>57</v>
      </c>
      <c r="M541" s="10" t="s">
        <v>108</v>
      </c>
      <c r="N541" s="10"/>
      <c r="O541" s="30">
        <v>2.4274567019353035</v>
      </c>
      <c r="P541" s="30">
        <v>18.216881991982813</v>
      </c>
      <c r="Q541" s="30">
        <v>89.1479829156996</v>
      </c>
      <c r="R541" s="30">
        <v>-124.11137526444362</v>
      </c>
      <c r="S541" s="30">
        <v>1.8869046457653282</v>
      </c>
      <c r="T541" s="30">
        <v>1.3467447717216549E-3</v>
      </c>
    </row>
    <row r="542" spans="10:20" x14ac:dyDescent="0.25">
      <c r="J542" s="10"/>
      <c r="K542" s="10"/>
      <c r="L542" s="10" t="s">
        <v>57</v>
      </c>
      <c r="M542" s="10" t="s">
        <v>109</v>
      </c>
      <c r="N542" s="10"/>
      <c r="O542" s="30">
        <v>-5.7711209785007105</v>
      </c>
      <c r="P542" s="30">
        <v>5.0809353074828056</v>
      </c>
      <c r="Q542" s="30">
        <v>-27.4329348936134</v>
      </c>
      <c r="R542" s="30">
        <v>-24.389228369965544</v>
      </c>
      <c r="S542" s="30">
        <v>-6.1154816165584558</v>
      </c>
      <c r="T542" s="30">
        <v>4.4086254572178038E-3</v>
      </c>
    </row>
    <row r="543" spans="10:20" x14ac:dyDescent="0.25">
      <c r="J543" s="10"/>
      <c r="K543" s="10"/>
      <c r="L543" s="10" t="s">
        <v>57</v>
      </c>
      <c r="M543" s="10" t="s">
        <v>110</v>
      </c>
      <c r="N543" s="10"/>
      <c r="O543" s="30">
        <v>-7.6368958140135792</v>
      </c>
      <c r="P543" s="30">
        <v>1.9619895482990046</v>
      </c>
      <c r="Q543" s="30">
        <v>53.770797297619985</v>
      </c>
      <c r="R543" s="30">
        <v>-10.584046198166936</v>
      </c>
      <c r="S543" s="30">
        <v>-7.7900213923572856</v>
      </c>
      <c r="T543" s="30">
        <v>5.1246891500619151E-3</v>
      </c>
    </row>
    <row r="544" spans="10:20" x14ac:dyDescent="0.25">
      <c r="J544" s="10"/>
      <c r="K544" s="10"/>
      <c r="L544" s="10" t="s">
        <v>57</v>
      </c>
      <c r="M544" s="10" t="s">
        <v>111</v>
      </c>
      <c r="N544" s="10"/>
      <c r="O544" s="30">
        <v>4.7627120225387651</v>
      </c>
      <c r="P544" s="30">
        <v>4.1357938460310084</v>
      </c>
      <c r="Q544" s="30">
        <v>-48.075188009077223</v>
      </c>
      <c r="R544" s="30">
        <v>-19.35197640477773</v>
      </c>
      <c r="S544" s="30">
        <v>5.476333163947352</v>
      </c>
      <c r="T544" s="30">
        <v>-3.7152008191627273E-3</v>
      </c>
    </row>
    <row r="545" spans="10:20" x14ac:dyDescent="0.25">
      <c r="J545" s="10"/>
      <c r="K545" s="10"/>
      <c r="L545" s="10" t="s">
        <v>57</v>
      </c>
      <c r="M545" s="10" t="s">
        <v>112</v>
      </c>
      <c r="N545" s="10"/>
      <c r="O545" s="30">
        <v>2.8951839996863078</v>
      </c>
      <c r="P545" s="30">
        <v>1.0182892089962905</v>
      </c>
      <c r="Q545" s="30">
        <v>33.138436854456941</v>
      </c>
      <c r="R545" s="30">
        <v>-5.554469214200501</v>
      </c>
      <c r="S545" s="30">
        <v>3.7992036368193118</v>
      </c>
      <c r="T545" s="30">
        <v>-2.9873841452613199E-3</v>
      </c>
    </row>
    <row r="546" spans="10:20" x14ac:dyDescent="0.25">
      <c r="J546" s="10"/>
      <c r="K546" s="10"/>
      <c r="L546" s="10" t="s">
        <v>57</v>
      </c>
      <c r="M546" s="10" t="s">
        <v>113</v>
      </c>
      <c r="N546" s="10"/>
      <c r="O546" s="30">
        <v>4.5476486308343507</v>
      </c>
      <c r="P546" s="30">
        <v>-1.4146812956008348</v>
      </c>
      <c r="Q546" s="30">
        <v>-38.457093818987929</v>
      </c>
      <c r="R546" s="30">
        <v>23.041515260729103</v>
      </c>
      <c r="S546" s="30">
        <v>3.8853419208793736</v>
      </c>
      <c r="T546" s="30">
        <v>-3.2634579504599483E-4</v>
      </c>
    </row>
    <row r="547" spans="10:20" x14ac:dyDescent="0.25">
      <c r="J547" s="10"/>
      <c r="K547" s="10"/>
      <c r="L547" s="10" t="s">
        <v>57</v>
      </c>
      <c r="M547" s="10" t="s">
        <v>114</v>
      </c>
      <c r="N547" s="10"/>
      <c r="O547" s="30">
        <v>2.8807990370489436</v>
      </c>
      <c r="P547" s="30">
        <v>-14.812498768239267</v>
      </c>
      <c r="Q547" s="30">
        <v>175.43867129452022</v>
      </c>
      <c r="R547" s="30">
        <v>103.57014121580778</v>
      </c>
      <c r="S547" s="30">
        <v>2.1595099914011033</v>
      </c>
      <c r="T547" s="30">
        <v>1.1043902857387185E-3</v>
      </c>
    </row>
    <row r="548" spans="10:20" x14ac:dyDescent="0.25">
      <c r="J548" s="10"/>
      <c r="K548" s="10"/>
      <c r="L548" s="10" t="s">
        <v>57</v>
      </c>
      <c r="M548" s="10" t="s">
        <v>115</v>
      </c>
      <c r="N548" s="10"/>
      <c r="O548" s="30">
        <v>4.5286310594320307</v>
      </c>
      <c r="P548" s="30">
        <v>8.5424769736085953</v>
      </c>
      <c r="Q548" s="30">
        <v>-40.335240517581148</v>
      </c>
      <c r="R548" s="30">
        <v>-55.492284090151088</v>
      </c>
      <c r="S548" s="30">
        <v>3.8637192592403742</v>
      </c>
      <c r="T548" s="30">
        <v>-9.5077294775855971E-5</v>
      </c>
    </row>
    <row r="549" spans="10:20" x14ac:dyDescent="0.25">
      <c r="J549" s="10"/>
      <c r="K549" s="10"/>
      <c r="L549" s="10" t="s">
        <v>57</v>
      </c>
      <c r="M549" s="10" t="s">
        <v>116</v>
      </c>
      <c r="N549" s="10"/>
      <c r="O549" s="30">
        <v>2.7111902331774385</v>
      </c>
      <c r="P549" s="30">
        <v>20.599565648872602</v>
      </c>
      <c r="Q549" s="30">
        <v>78.965729758375659</v>
      </c>
      <c r="R549" s="30">
        <v>-139.25941436878404</v>
      </c>
      <c r="S549" s="30">
        <v>2.1357088652473069</v>
      </c>
      <c r="T549" s="30">
        <v>1.3023719697882858E-3</v>
      </c>
    </row>
    <row r="550" spans="10:20" x14ac:dyDescent="0.25">
      <c r="J550" s="10"/>
      <c r="K550" s="10"/>
      <c r="L550" s="10" t="s">
        <v>58</v>
      </c>
      <c r="M550" s="10" t="s">
        <v>91</v>
      </c>
      <c r="N550" s="10"/>
      <c r="O550" s="30">
        <v>-0.3076955738979158</v>
      </c>
      <c r="P550" s="30">
        <v>0.20831609471548412</v>
      </c>
      <c r="Q550" s="30">
        <v>72.368534733797588</v>
      </c>
      <c r="R550" s="30">
        <v>2.9240151945657555E-2</v>
      </c>
      <c r="S550" s="30">
        <v>-0.33168433456387825</v>
      </c>
      <c r="T550" s="30">
        <v>-1.0268896393815119E-3</v>
      </c>
    </row>
    <row r="551" spans="10:20" x14ac:dyDescent="0.25">
      <c r="J551" s="10"/>
      <c r="K551" s="10"/>
      <c r="L551" s="10" t="s">
        <v>58</v>
      </c>
      <c r="M551" s="10" t="s">
        <v>92</v>
      </c>
      <c r="N551" s="10"/>
      <c r="O551" s="30">
        <v>-0.23237024572445747</v>
      </c>
      <c r="P551" s="30">
        <v>1.7984660592795076</v>
      </c>
      <c r="Q551" s="30">
        <v>129.42902189094735</v>
      </c>
      <c r="R551" s="30">
        <v>-6.4282762533118891</v>
      </c>
      <c r="S551" s="30">
        <v>-0.35771704115179587</v>
      </c>
      <c r="T551" s="30">
        <v>-1.2362005547402089E-3</v>
      </c>
    </row>
    <row r="552" spans="10:20" x14ac:dyDescent="0.25">
      <c r="J552" s="10"/>
      <c r="K552" s="10"/>
      <c r="L552" s="10" t="s">
        <v>58</v>
      </c>
      <c r="M552" s="10" t="s">
        <v>93</v>
      </c>
      <c r="N552" s="10"/>
      <c r="O552" s="30">
        <v>-5.2056417622262492</v>
      </c>
      <c r="P552" s="30">
        <v>-6.504984335300005</v>
      </c>
      <c r="Q552" s="30">
        <v>-78.720467403695963</v>
      </c>
      <c r="R552" s="30">
        <v>30.148703857298326</v>
      </c>
      <c r="S552" s="30">
        <v>-5.6121677404410626</v>
      </c>
      <c r="T552" s="30">
        <v>-4.4300095371557118E-3</v>
      </c>
    </row>
    <row r="553" spans="10:20" x14ac:dyDescent="0.25">
      <c r="J553" s="10"/>
      <c r="K553" s="10"/>
      <c r="L553" s="10" t="s">
        <v>58</v>
      </c>
      <c r="M553" s="10" t="s">
        <v>94</v>
      </c>
      <c r="N553" s="10"/>
      <c r="O553" s="30">
        <v>-6.7973926289029976</v>
      </c>
      <c r="P553" s="30">
        <v>-3.3801163658276208</v>
      </c>
      <c r="Q553" s="30">
        <v>2.5113997814920728</v>
      </c>
      <c r="R553" s="30">
        <v>16.297706321511036</v>
      </c>
      <c r="S553" s="30">
        <v>-7.0787603737510771</v>
      </c>
      <c r="T553" s="30">
        <v>-4.8636350090262761E-3</v>
      </c>
    </row>
    <row r="554" spans="10:20" x14ac:dyDescent="0.25">
      <c r="J554" s="10"/>
      <c r="K554" s="10"/>
      <c r="L554" s="10" t="s">
        <v>58</v>
      </c>
      <c r="M554" s="10" t="s">
        <v>95</v>
      </c>
      <c r="N554" s="10"/>
      <c r="O554" s="30">
        <v>4.1064706791719754</v>
      </c>
      <c r="P554" s="30">
        <v>-5.5776673978532605</v>
      </c>
      <c r="Q554" s="30">
        <v>-99.489299649092146</v>
      </c>
      <c r="R554" s="30">
        <v>25.24627945746116</v>
      </c>
      <c r="S554" s="30">
        <v>5.0530249592040608</v>
      </c>
      <c r="T554" s="30">
        <v>3.4966041715030908E-3</v>
      </c>
    </row>
    <row r="555" spans="10:20" x14ac:dyDescent="0.25">
      <c r="J555" s="10"/>
      <c r="K555" s="10"/>
      <c r="L555" s="10" t="s">
        <v>58</v>
      </c>
      <c r="M555" s="10" t="s">
        <v>96</v>
      </c>
      <c r="N555" s="10"/>
      <c r="O555" s="30">
        <v>2.5132036950425021</v>
      </c>
      <c r="P555" s="30">
        <v>-2.4542372072584446</v>
      </c>
      <c r="Q555" s="30">
        <v>-18.247516207517382</v>
      </c>
      <c r="R555" s="30">
        <v>11.402931594109427</v>
      </c>
      <c r="S555" s="30">
        <v>3.5840226104503285</v>
      </c>
      <c r="T555" s="30">
        <v>3.0512693580319319E-3</v>
      </c>
    </row>
    <row r="556" spans="10:20" x14ac:dyDescent="0.25">
      <c r="J556" s="10"/>
      <c r="K556" s="10"/>
      <c r="L556" s="10" t="s">
        <v>58</v>
      </c>
      <c r="M556" s="10" t="s">
        <v>97</v>
      </c>
      <c r="N556" s="10"/>
      <c r="O556" s="30">
        <v>3.7370390025543041</v>
      </c>
      <c r="P556" s="30">
        <v>-9.9872434322318568</v>
      </c>
      <c r="Q556" s="30">
        <v>-91.759256334531983</v>
      </c>
      <c r="R556" s="30">
        <v>61.407098872884724</v>
      </c>
      <c r="S556" s="30">
        <v>3.3374170273090362</v>
      </c>
      <c r="T556" s="30">
        <v>-1.2607134597737872E-4</v>
      </c>
    </row>
    <row r="557" spans="10:20" x14ac:dyDescent="0.25">
      <c r="J557" s="10"/>
      <c r="K557" s="10"/>
      <c r="L557" s="10" t="s">
        <v>58</v>
      </c>
      <c r="M557" s="10" t="s">
        <v>98</v>
      </c>
      <c r="N557" s="10"/>
      <c r="O557" s="30">
        <v>2.1839143287346303</v>
      </c>
      <c r="P557" s="30">
        <v>-22.039280906529363</v>
      </c>
      <c r="Q557" s="30">
        <v>27.596707478205115</v>
      </c>
      <c r="R557" s="30">
        <v>145.12887834393888</v>
      </c>
      <c r="S557" s="30">
        <v>1.8059569148120731</v>
      </c>
      <c r="T557" s="30">
        <v>-1.1509658285696769E-3</v>
      </c>
    </row>
    <row r="558" spans="10:20" x14ac:dyDescent="0.25">
      <c r="J558" s="10"/>
      <c r="K558" s="10"/>
      <c r="L558" s="10" t="s">
        <v>58</v>
      </c>
      <c r="M558" s="10" t="s">
        <v>99</v>
      </c>
      <c r="N558" s="10"/>
      <c r="O558" s="30">
        <v>3.7540257847604201</v>
      </c>
      <c r="P558" s="30">
        <v>-2.8891772574330156E-2</v>
      </c>
      <c r="Q558" s="30">
        <v>-89.892157133673479</v>
      </c>
      <c r="R558" s="30">
        <v>-17.132895064662407</v>
      </c>
      <c r="S558" s="30">
        <v>3.3590190918663092</v>
      </c>
      <c r="T558" s="30">
        <v>4.5503431383989654E-5</v>
      </c>
    </row>
    <row r="559" spans="10:20" x14ac:dyDescent="0.25">
      <c r="J559" s="10"/>
      <c r="K559" s="10"/>
      <c r="L559" s="10" t="s">
        <v>58</v>
      </c>
      <c r="M559" s="10" t="s">
        <v>100</v>
      </c>
      <c r="N559" s="10"/>
      <c r="O559" s="30">
        <v>2.3371799818825627</v>
      </c>
      <c r="P559" s="30">
        <v>13.37885855655086</v>
      </c>
      <c r="Q559" s="30">
        <v>123.99972980194039</v>
      </c>
      <c r="R559" s="30">
        <v>-97.733361423491559</v>
      </c>
      <c r="S559" s="30">
        <v>1.8275007388998694</v>
      </c>
      <c r="T559" s="30">
        <v>-7.8855707050444924E-4</v>
      </c>
    </row>
    <row r="560" spans="10:20" x14ac:dyDescent="0.25">
      <c r="J560" s="10"/>
      <c r="K560" s="10"/>
      <c r="L560" s="10" t="s">
        <v>58</v>
      </c>
      <c r="M560" s="10" t="s">
        <v>101</v>
      </c>
      <c r="N560" s="10"/>
      <c r="O560" s="30">
        <v>-4.640521815219957</v>
      </c>
      <c r="P560" s="30">
        <v>-4.2435043277344322</v>
      </c>
      <c r="Q560" s="30">
        <v>-6.5510800327968308</v>
      </c>
      <c r="R560" s="30">
        <v>20.679241081505513</v>
      </c>
      <c r="S560" s="30">
        <v>-5.1101521064412614</v>
      </c>
      <c r="T560" s="30">
        <v>-4.2990084627369876E-3</v>
      </c>
    </row>
    <row r="561" spans="10:20" x14ac:dyDescent="0.25">
      <c r="J561" s="10"/>
      <c r="K561" s="10"/>
      <c r="L561" s="10" t="s">
        <v>58</v>
      </c>
      <c r="M561" s="10" t="s">
        <v>102</v>
      </c>
      <c r="N561" s="10"/>
      <c r="O561" s="30">
        <v>-6.0730975952290303</v>
      </c>
      <c r="P561" s="30">
        <v>-1.4311231552092865</v>
      </c>
      <c r="Q561" s="30">
        <v>66.557600433872409</v>
      </c>
      <c r="R561" s="30">
        <v>8.21334329929695</v>
      </c>
      <c r="S561" s="30">
        <v>-6.4300854764202739</v>
      </c>
      <c r="T561" s="30">
        <v>-4.6892713874204968E-3</v>
      </c>
    </row>
    <row r="562" spans="10:20" x14ac:dyDescent="0.25">
      <c r="J562" s="10"/>
      <c r="K562" s="10"/>
      <c r="L562" s="10" t="s">
        <v>58</v>
      </c>
      <c r="M562" s="10" t="s">
        <v>103</v>
      </c>
      <c r="N562" s="10"/>
      <c r="O562" s="30">
        <v>3.7403793820384448</v>
      </c>
      <c r="P562" s="30">
        <v>-3.408919084032362</v>
      </c>
      <c r="Q562" s="30">
        <v>-25.24302905365338</v>
      </c>
      <c r="R562" s="30">
        <v>16.267059121652068</v>
      </c>
      <c r="S562" s="30">
        <v>4.4885213232393495</v>
      </c>
      <c r="T562" s="30">
        <v>2.834943875055933E-3</v>
      </c>
    </row>
    <row r="563" spans="10:20" x14ac:dyDescent="0.25">
      <c r="J563" s="10"/>
      <c r="K563" s="10"/>
      <c r="L563" s="10" t="s">
        <v>58</v>
      </c>
      <c r="M563" s="10" t="s">
        <v>104</v>
      </c>
      <c r="N563" s="10"/>
      <c r="O563" s="30">
        <v>2.306439096321919</v>
      </c>
      <c r="P563" s="30">
        <v>-0.59783191249702838</v>
      </c>
      <c r="Q563" s="30">
        <v>47.874576043763902</v>
      </c>
      <c r="R563" s="30">
        <v>3.8080460446355033</v>
      </c>
      <c r="S563" s="30">
        <v>3.1664192093609898</v>
      </c>
      <c r="T563" s="30">
        <v>2.4341425429318902E-3</v>
      </c>
    </row>
    <row r="564" spans="10:20" x14ac:dyDescent="0.25">
      <c r="J564" s="10"/>
      <c r="K564" s="10"/>
      <c r="L564" s="10" t="s">
        <v>58</v>
      </c>
      <c r="M564" s="10" t="s">
        <v>105</v>
      </c>
      <c r="N564" s="10"/>
      <c r="O564" s="30">
        <v>3.4078908730825406</v>
      </c>
      <c r="P564" s="30">
        <v>-7.3775375149731008</v>
      </c>
      <c r="Q564" s="30">
        <v>-18.285990070549243</v>
      </c>
      <c r="R564" s="30">
        <v>48.811796595533266</v>
      </c>
      <c r="S564" s="30">
        <v>2.9444741845338278</v>
      </c>
      <c r="T564" s="30">
        <v>-4.254640906764889E-4</v>
      </c>
    </row>
    <row r="565" spans="10:20" x14ac:dyDescent="0.25">
      <c r="J565" s="10"/>
      <c r="K565" s="10"/>
      <c r="L565" s="10" t="s">
        <v>58</v>
      </c>
      <c r="M565" s="10" t="s">
        <v>106</v>
      </c>
      <c r="N565" s="10"/>
      <c r="O565" s="30">
        <v>2.010078666644834</v>
      </c>
      <c r="P565" s="30">
        <v>-18.224371241840849</v>
      </c>
      <c r="Q565" s="30">
        <v>89.134377360914144</v>
      </c>
      <c r="R565" s="30">
        <v>124.16139811948203</v>
      </c>
      <c r="S565" s="30">
        <v>1.5661600832865605</v>
      </c>
      <c r="T565" s="30">
        <v>-1.3478691250095574E-3</v>
      </c>
    </row>
    <row r="566" spans="10:20" x14ac:dyDescent="0.25">
      <c r="J566" s="10"/>
      <c r="K566" s="10"/>
      <c r="L566" s="10" t="s">
        <v>58</v>
      </c>
      <c r="M566" s="10" t="s">
        <v>107</v>
      </c>
      <c r="N566" s="10"/>
      <c r="O566" s="30">
        <v>3.4231789770680447</v>
      </c>
      <c r="P566" s="30">
        <v>1.5849789787186748</v>
      </c>
      <c r="Q566" s="30">
        <v>-16.605600789776592</v>
      </c>
      <c r="R566" s="30">
        <v>-21.874197948259148</v>
      </c>
      <c r="S566" s="30">
        <v>2.9639160426353732</v>
      </c>
      <c r="T566" s="30">
        <v>-2.7104679105125742E-4</v>
      </c>
    </row>
    <row r="567" spans="10:20" x14ac:dyDescent="0.25">
      <c r="J567" s="10"/>
      <c r="K567" s="10"/>
      <c r="L567" s="10" t="s">
        <v>58</v>
      </c>
      <c r="M567" s="10" t="s">
        <v>108</v>
      </c>
      <c r="N567" s="10"/>
      <c r="O567" s="30">
        <v>2.1480177544779733</v>
      </c>
      <c r="P567" s="30">
        <v>13.651954274931345</v>
      </c>
      <c r="Q567" s="30">
        <v>175.89709745227589</v>
      </c>
      <c r="R567" s="30">
        <v>-94.414617671205377</v>
      </c>
      <c r="S567" s="30">
        <v>1.5855495249655771</v>
      </c>
      <c r="T567" s="30">
        <v>-1.0217012427508525E-3</v>
      </c>
    </row>
    <row r="568" spans="10:20" x14ac:dyDescent="0.25">
      <c r="J568" s="10"/>
      <c r="K568" s="10"/>
      <c r="L568" s="10" t="s">
        <v>58</v>
      </c>
      <c r="M568" s="10" t="s">
        <v>109</v>
      </c>
      <c r="N568" s="10"/>
      <c r="O568" s="30">
        <v>-5.1378489668701368</v>
      </c>
      <c r="P568" s="30">
        <v>-5.0738493671923832</v>
      </c>
      <c r="Q568" s="30">
        <v>-27.366028962261154</v>
      </c>
      <c r="R568" s="30">
        <v>24.336939092566531</v>
      </c>
      <c r="S568" s="30">
        <v>-5.6355971763701893</v>
      </c>
      <c r="T568" s="30">
        <v>-4.6183893609785375E-3</v>
      </c>
    </row>
    <row r="569" spans="10:20" x14ac:dyDescent="0.25">
      <c r="J569" s="10"/>
      <c r="K569" s="10"/>
      <c r="L569" s="10" t="s">
        <v>58</v>
      </c>
      <c r="M569" s="10" t="s">
        <v>110</v>
      </c>
      <c r="N569" s="10"/>
      <c r="O569" s="30">
        <v>-6.7295998335468843</v>
      </c>
      <c r="P569" s="30">
        <v>-1.9489813977199992</v>
      </c>
      <c r="Q569" s="30">
        <v>53.865838222926882</v>
      </c>
      <c r="R569" s="30">
        <v>10.485941556779244</v>
      </c>
      <c r="S569" s="30">
        <v>-7.102189809680203</v>
      </c>
      <c r="T569" s="30">
        <v>-5.0520148328491036E-3</v>
      </c>
    </row>
    <row r="570" spans="10:20" x14ac:dyDescent="0.25">
      <c r="J570" s="10"/>
      <c r="K570" s="10"/>
      <c r="L570" s="10" t="s">
        <v>58</v>
      </c>
      <c r="M570" s="10" t="s">
        <v>111</v>
      </c>
      <c r="N570" s="10"/>
      <c r="O570" s="30">
        <v>4.1742634745280887</v>
      </c>
      <c r="P570" s="30">
        <v>-4.1465324297456378</v>
      </c>
      <c r="Q570" s="30">
        <v>-48.134861207657337</v>
      </c>
      <c r="R570" s="30">
        <v>19.434514692729369</v>
      </c>
      <c r="S570" s="30">
        <v>5.0295955232749341</v>
      </c>
      <c r="T570" s="30">
        <v>3.3082243476802633E-3</v>
      </c>
    </row>
    <row r="571" spans="10:20" x14ac:dyDescent="0.25">
      <c r="J571" s="10"/>
      <c r="K571" s="10"/>
      <c r="L571" s="10" t="s">
        <v>58</v>
      </c>
      <c r="M571" s="10" t="s">
        <v>112</v>
      </c>
      <c r="N571" s="10"/>
      <c r="O571" s="30">
        <v>2.5809964903986145</v>
      </c>
      <c r="P571" s="30">
        <v>-1.0231022391508233</v>
      </c>
      <c r="Q571" s="30">
        <v>33.106922233917423</v>
      </c>
      <c r="R571" s="30">
        <v>5.5911668293776353</v>
      </c>
      <c r="S571" s="30">
        <v>3.5605931745212027</v>
      </c>
      <c r="T571" s="30">
        <v>2.8628895342091049E-3</v>
      </c>
    </row>
    <row r="572" spans="10:20" x14ac:dyDescent="0.25">
      <c r="J572" s="10"/>
      <c r="K572" s="10"/>
      <c r="L572" s="10" t="s">
        <v>58</v>
      </c>
      <c r="M572" s="10" t="s">
        <v>113</v>
      </c>
      <c r="N572" s="10"/>
      <c r="O572" s="30">
        <v>3.8048317979104165</v>
      </c>
      <c r="P572" s="30">
        <v>-8.556108464124236</v>
      </c>
      <c r="Q572" s="30">
        <v>-40.404817893097167</v>
      </c>
      <c r="R572" s="30">
        <v>55.595334108152933</v>
      </c>
      <c r="S572" s="30">
        <v>3.3139875913799108</v>
      </c>
      <c r="T572" s="30">
        <v>-3.1445116980020606E-4</v>
      </c>
    </row>
    <row r="573" spans="10:20" x14ac:dyDescent="0.25">
      <c r="J573" s="10"/>
      <c r="K573" s="10"/>
      <c r="L573" s="10" t="s">
        <v>58</v>
      </c>
      <c r="M573" s="10" t="s">
        <v>114</v>
      </c>
      <c r="N573" s="10"/>
      <c r="O573" s="30">
        <v>2.2517071240907427</v>
      </c>
      <c r="P573" s="30">
        <v>-20.608145938421739</v>
      </c>
      <c r="Q573" s="30">
        <v>78.951145919639927</v>
      </c>
      <c r="R573" s="30">
        <v>139.31711357920707</v>
      </c>
      <c r="S573" s="30">
        <v>1.7825274788829473</v>
      </c>
      <c r="T573" s="30">
        <v>-1.3393456523925044E-3</v>
      </c>
    </row>
    <row r="574" spans="10:20" x14ac:dyDescent="0.25">
      <c r="J574" s="10"/>
      <c r="K574" s="10"/>
      <c r="L574" s="10" t="s">
        <v>58</v>
      </c>
      <c r="M574" s="10" t="s">
        <v>115</v>
      </c>
      <c r="N574" s="10"/>
      <c r="O574" s="30">
        <v>3.8218185801165325</v>
      </c>
      <c r="P574" s="30">
        <v>1.4022431955332915</v>
      </c>
      <c r="Q574" s="30">
        <v>-38.53771869223867</v>
      </c>
      <c r="R574" s="30">
        <v>-22.944659829394201</v>
      </c>
      <c r="S574" s="30">
        <v>3.3355896559371838</v>
      </c>
      <c r="T574" s="30">
        <v>-1.4287639243883764E-4</v>
      </c>
    </row>
    <row r="575" spans="10:20" x14ac:dyDescent="0.25">
      <c r="J575" s="10"/>
      <c r="K575" s="10"/>
      <c r="L575" s="10" t="s">
        <v>58</v>
      </c>
      <c r="M575" s="10" t="s">
        <v>116</v>
      </c>
      <c r="N575" s="10"/>
      <c r="O575" s="30">
        <v>2.4049727772386751</v>
      </c>
      <c r="P575" s="30">
        <v>14.809993524658481</v>
      </c>
      <c r="Q575" s="30">
        <v>175.3541682433752</v>
      </c>
      <c r="R575" s="30">
        <v>-103.54512618822334</v>
      </c>
      <c r="S575" s="30">
        <v>1.8040713029707436</v>
      </c>
      <c r="T575" s="30">
        <v>-9.7693689432727659E-4</v>
      </c>
    </row>
    <row r="576" spans="10:20" x14ac:dyDescent="0.25">
      <c r="J576" s="10"/>
      <c r="K576" s="10"/>
      <c r="L576" s="10" t="s">
        <v>59</v>
      </c>
      <c r="M576" s="10" t="s">
        <v>91</v>
      </c>
      <c r="N576" s="10"/>
      <c r="O576" s="30">
        <v>-0.27151537469054704</v>
      </c>
      <c r="P576" s="30">
        <v>-6.9739362733200458</v>
      </c>
      <c r="Q576" s="30">
        <v>49.657506471049309</v>
      </c>
      <c r="R576" s="30">
        <v>30.924258499040111</v>
      </c>
      <c r="S576" s="30">
        <v>-0.23493460596525212</v>
      </c>
      <c r="T576" s="30">
        <v>1.1079174758609085E-3</v>
      </c>
    </row>
    <row r="577" spans="10:20" x14ac:dyDescent="0.25">
      <c r="J577" s="10"/>
      <c r="K577" s="10"/>
      <c r="L577" s="10" t="s">
        <v>59</v>
      </c>
      <c r="M577" s="10" t="s">
        <v>92</v>
      </c>
      <c r="N577" s="10"/>
      <c r="O577" s="30">
        <v>-0.14028508327466252</v>
      </c>
      <c r="P577" s="30">
        <v>-18.974163116753619</v>
      </c>
      <c r="Q577" s="30">
        <v>77.300349497897216</v>
      </c>
      <c r="R577" s="30">
        <v>83.523405518686417</v>
      </c>
      <c r="S577" s="30">
        <v>-0.15259421813522397</v>
      </c>
      <c r="T577" s="30">
        <v>1.140376203521201E-3</v>
      </c>
    </row>
    <row r="578" spans="10:20" x14ac:dyDescent="0.25">
      <c r="J578" s="10"/>
      <c r="K578" s="10"/>
      <c r="L578" s="10" t="s">
        <v>59</v>
      </c>
      <c r="M578" s="10" t="s">
        <v>93</v>
      </c>
      <c r="N578" s="10"/>
      <c r="O578" s="30">
        <v>-3.1964818455662289</v>
      </c>
      <c r="P578" s="30">
        <v>4.8310016445562187</v>
      </c>
      <c r="Q578" s="30">
        <v>-25.169219799373732</v>
      </c>
      <c r="R578" s="30">
        <v>-52.12695343388107</v>
      </c>
      <c r="S578" s="30">
        <v>-4.9288626265920046</v>
      </c>
      <c r="T578" s="30">
        <v>-2.8460478209460819E-4</v>
      </c>
    </row>
    <row r="579" spans="10:20" x14ac:dyDescent="0.25">
      <c r="J579" s="10"/>
      <c r="K579" s="10"/>
      <c r="L579" s="10" t="s">
        <v>59</v>
      </c>
      <c r="M579" s="10" t="s">
        <v>94</v>
      </c>
      <c r="N579" s="10"/>
      <c r="O579" s="30">
        <v>-3.5867958232288299</v>
      </c>
      <c r="P579" s="30">
        <v>0.32839667309777354</v>
      </c>
      <c r="Q579" s="30">
        <v>17.419229163592078</v>
      </c>
      <c r="R579" s="30">
        <v>-14.654127421920332</v>
      </c>
      <c r="S579" s="30">
        <v>-5.5019896849626706</v>
      </c>
      <c r="T579" s="30">
        <v>-2.3270321108885143E-4</v>
      </c>
    </row>
    <row r="580" spans="10:20" x14ac:dyDescent="0.25">
      <c r="J580" s="10"/>
      <c r="K580" s="10"/>
      <c r="L580" s="10" t="s">
        <v>59</v>
      </c>
      <c r="M580" s="10" t="s">
        <v>95</v>
      </c>
      <c r="N580" s="10"/>
      <c r="O580" s="30">
        <v>1.8337369479284813</v>
      </c>
      <c r="P580" s="30">
        <v>4.8132443034266625</v>
      </c>
      <c r="Q580" s="30">
        <v>-42.643280511233165</v>
      </c>
      <c r="R580" s="30">
        <v>-52.562973443108135</v>
      </c>
      <c r="S580" s="30">
        <v>3.9639730386746095</v>
      </c>
      <c r="T580" s="30">
        <v>1.3727197672793302E-3</v>
      </c>
    </row>
    <row r="581" spans="10:20" x14ac:dyDescent="0.25">
      <c r="J581" s="10"/>
      <c r="K581" s="10"/>
      <c r="L581" s="10" t="s">
        <v>59</v>
      </c>
      <c r="M581" s="10" t="s">
        <v>96</v>
      </c>
      <c r="N581" s="10"/>
      <c r="O581" s="30">
        <v>1.4443390097991511</v>
      </c>
      <c r="P581" s="30">
        <v>0.31058439822533906</v>
      </c>
      <c r="Q581" s="30">
        <v>-6.1768701593355207E-2</v>
      </c>
      <c r="R581" s="30">
        <v>-15.088954587911758</v>
      </c>
      <c r="S581" s="30">
        <v>3.3934842874192412</v>
      </c>
      <c r="T581" s="30">
        <v>1.4214928336158744E-3</v>
      </c>
    </row>
    <row r="582" spans="10:20" x14ac:dyDescent="0.25">
      <c r="J582" s="10"/>
      <c r="K582" s="10"/>
      <c r="L582" s="10" t="s">
        <v>59</v>
      </c>
      <c r="M582" s="10" t="s">
        <v>97</v>
      </c>
      <c r="N582" s="10"/>
      <c r="O582" s="30">
        <v>0.82471244801819765</v>
      </c>
      <c r="P582" s="30">
        <v>3.5451729290688028</v>
      </c>
      <c r="Q582" s="30">
        <v>-30.431032271949466</v>
      </c>
      <c r="R582" s="30">
        <v>-22.027697832085781</v>
      </c>
      <c r="S582" s="30">
        <v>1.2324560392057289</v>
      </c>
      <c r="T582" s="30">
        <v>1.0514827067557527E-3</v>
      </c>
    </row>
    <row r="583" spans="10:20" x14ac:dyDescent="0.25">
      <c r="J583" s="10"/>
      <c r="K583" s="10"/>
      <c r="L583" s="10" t="s">
        <v>59</v>
      </c>
      <c r="M583" s="10" t="s">
        <v>98</v>
      </c>
      <c r="N583" s="10"/>
      <c r="O583" s="30">
        <v>0.49457551315685466</v>
      </c>
      <c r="P583" s="30">
        <v>-12.709187763409716</v>
      </c>
      <c r="Q583" s="30">
        <v>23.190607813263629</v>
      </c>
      <c r="R583" s="30">
        <v>94.353530572178997</v>
      </c>
      <c r="S583" s="30">
        <v>0.80484489953410243</v>
      </c>
      <c r="T583" s="30">
        <v>1.1498684843190348E-3</v>
      </c>
    </row>
    <row r="584" spans="10:20" x14ac:dyDescent="0.25">
      <c r="J584" s="10"/>
      <c r="K584" s="10"/>
      <c r="L584" s="10" t="s">
        <v>59</v>
      </c>
      <c r="M584" s="10" t="s">
        <v>99</v>
      </c>
      <c r="N584" s="10"/>
      <c r="O584" s="30">
        <v>1.3209907575738431</v>
      </c>
      <c r="P584" s="30">
        <v>51.691655287805922</v>
      </c>
      <c r="Q584" s="30">
        <v>-47.695674707836233</v>
      </c>
      <c r="R584" s="30">
        <v>-219.31118375437981</v>
      </c>
      <c r="S584" s="30">
        <v>1.7468985730901729</v>
      </c>
      <c r="T584" s="30">
        <v>9.2262741959804248E-4</v>
      </c>
    </row>
    <row r="585" spans="10:20" x14ac:dyDescent="0.25">
      <c r="J585" s="10"/>
      <c r="K585" s="10"/>
      <c r="L585" s="10" t="s">
        <v>59</v>
      </c>
      <c r="M585" s="10" t="s">
        <v>100</v>
      </c>
      <c r="N585" s="10"/>
      <c r="O585" s="30">
        <v>1.2930028300909622</v>
      </c>
      <c r="P585" s="30">
        <v>26.043850206189735</v>
      </c>
      <c r="Q585" s="30">
        <v>70.780326301608213</v>
      </c>
      <c r="R585" s="30">
        <v>-112.44929128269511</v>
      </c>
      <c r="S585" s="30">
        <v>1.3955412113693451</v>
      </c>
      <c r="T585" s="30">
        <v>9.5531787143858743E-4</v>
      </c>
    </row>
    <row r="586" spans="10:20" x14ac:dyDescent="0.25">
      <c r="J586" s="10"/>
      <c r="K586" s="10"/>
      <c r="L586" s="10" t="s">
        <v>59</v>
      </c>
      <c r="M586" s="10" t="s">
        <v>101</v>
      </c>
      <c r="N586" s="10"/>
      <c r="O586" s="30">
        <v>-2.7727549070627764</v>
      </c>
      <c r="P586" s="30">
        <v>-8.3497189906649805</v>
      </c>
      <c r="Q586" s="30">
        <v>9.9562958545164708</v>
      </c>
      <c r="R586" s="30">
        <v>8.7773147790573667</v>
      </c>
      <c r="S586" s="30">
        <v>-4.3771294366993008</v>
      </c>
      <c r="T586" s="30">
        <v>-1.1289382863876423E-4</v>
      </c>
    </row>
    <row r="587" spans="10:20" x14ac:dyDescent="0.25">
      <c r="J587" s="10"/>
      <c r="K587" s="10"/>
      <c r="L587" s="10" t="s">
        <v>59</v>
      </c>
      <c r="M587" s="10" t="s">
        <v>102</v>
      </c>
      <c r="N587" s="10"/>
      <c r="O587" s="30">
        <v>-3.124037486959117</v>
      </c>
      <c r="P587" s="30">
        <v>-12.40206346497758</v>
      </c>
      <c r="Q587" s="30">
        <v>48.285899921185703</v>
      </c>
      <c r="R587" s="30">
        <v>42.502858189822021</v>
      </c>
      <c r="S587" s="30">
        <v>-4.8929437892329011</v>
      </c>
      <c r="T587" s="30">
        <v>-6.6182414733583059E-5</v>
      </c>
    </row>
    <row r="588" spans="10:20" x14ac:dyDescent="0.25">
      <c r="J588" s="10"/>
      <c r="K588" s="10"/>
      <c r="L588" s="10" t="s">
        <v>59</v>
      </c>
      <c r="M588" s="10" t="s">
        <v>103</v>
      </c>
      <c r="N588" s="10"/>
      <c r="O588" s="30">
        <v>1.7544420070824631</v>
      </c>
      <c r="P588" s="30">
        <v>-8.365700597681581</v>
      </c>
      <c r="Q588" s="30">
        <v>-5.7703587861570114</v>
      </c>
      <c r="R588" s="30">
        <v>8.3848967707530093</v>
      </c>
      <c r="S588" s="30">
        <v>3.6264226620406514</v>
      </c>
      <c r="T588" s="30">
        <v>1.3786982657977807E-3</v>
      </c>
    </row>
    <row r="589" spans="10:20" x14ac:dyDescent="0.25">
      <c r="J589" s="10"/>
      <c r="K589" s="10"/>
      <c r="L589" s="10" t="s">
        <v>59</v>
      </c>
      <c r="M589" s="10" t="s">
        <v>104</v>
      </c>
      <c r="N589" s="10"/>
      <c r="O589" s="30">
        <v>1.4039838627660661</v>
      </c>
      <c r="P589" s="30">
        <v>-12.418094512362771</v>
      </c>
      <c r="Q589" s="30">
        <v>32.553001842518817</v>
      </c>
      <c r="R589" s="30">
        <v>42.111513740429743</v>
      </c>
      <c r="S589" s="30">
        <v>3.1129827859108201</v>
      </c>
      <c r="T589" s="30">
        <v>1.4225940255006703E-3</v>
      </c>
    </row>
    <row r="590" spans="10:20" x14ac:dyDescent="0.25">
      <c r="J590" s="10"/>
      <c r="K590" s="10"/>
      <c r="L590" s="10" t="s">
        <v>59</v>
      </c>
      <c r="M590" s="10" t="s">
        <v>105</v>
      </c>
      <c r="N590" s="10"/>
      <c r="O590" s="30">
        <v>0.84631995716320763</v>
      </c>
      <c r="P590" s="30">
        <v>-9.5069648346036537</v>
      </c>
      <c r="Q590" s="30">
        <v>5.2206646291983185</v>
      </c>
      <c r="R590" s="30">
        <v>35.866644820673123</v>
      </c>
      <c r="S590" s="30">
        <v>1.1680573625186592</v>
      </c>
      <c r="T590" s="30">
        <v>1.0895849113265609E-3</v>
      </c>
    </row>
    <row r="591" spans="10:20" x14ac:dyDescent="0.25">
      <c r="J591" s="10"/>
      <c r="K591" s="10"/>
      <c r="L591" s="10" t="s">
        <v>59</v>
      </c>
      <c r="M591" s="10" t="s">
        <v>106</v>
      </c>
      <c r="N591" s="10"/>
      <c r="O591" s="30">
        <v>0.54919671578799911</v>
      </c>
      <c r="P591" s="30">
        <v>-24.13588945783432</v>
      </c>
      <c r="Q591" s="30">
        <v>53.480140705890101</v>
      </c>
      <c r="R591" s="30">
        <v>140.60975038451141</v>
      </c>
      <c r="S591" s="30">
        <v>0.78320733681419519</v>
      </c>
      <c r="T591" s="30">
        <v>1.1781321111335146E-3</v>
      </c>
    </row>
    <row r="592" spans="10:20" x14ac:dyDescent="0.25">
      <c r="J592" s="10"/>
      <c r="K592" s="10"/>
      <c r="L592" s="10" t="s">
        <v>59</v>
      </c>
      <c r="M592" s="10" t="s">
        <v>107</v>
      </c>
      <c r="N592" s="10"/>
      <c r="O592" s="30">
        <v>1.2929704357632887</v>
      </c>
      <c r="P592" s="30">
        <v>33.824869288259748</v>
      </c>
      <c r="Q592" s="30">
        <v>-10.317513563099766</v>
      </c>
      <c r="R592" s="30">
        <v>-141.68849250939155</v>
      </c>
      <c r="S592" s="30">
        <v>1.6310556430146588</v>
      </c>
      <c r="T592" s="30">
        <v>9.7361515288462146E-4</v>
      </c>
    </row>
    <row r="593" spans="10:20" x14ac:dyDescent="0.25">
      <c r="J593" s="10"/>
      <c r="K593" s="10"/>
      <c r="L593" s="10" t="s">
        <v>59</v>
      </c>
      <c r="M593" s="10" t="s">
        <v>108</v>
      </c>
      <c r="N593" s="10"/>
      <c r="O593" s="30">
        <v>1.2677813010286956</v>
      </c>
      <c r="P593" s="30">
        <v>10.741844714805179</v>
      </c>
      <c r="Q593" s="30">
        <v>96.310887345400232</v>
      </c>
      <c r="R593" s="30">
        <v>-45.512789284875289</v>
      </c>
      <c r="S593" s="30">
        <v>1.3148340174659137</v>
      </c>
      <c r="T593" s="30">
        <v>1.0030365595411119E-3</v>
      </c>
    </row>
    <row r="594" spans="10:20" x14ac:dyDescent="0.25">
      <c r="J594" s="10"/>
      <c r="K594" s="10"/>
      <c r="L594" s="10" t="s">
        <v>59</v>
      </c>
      <c r="M594" s="10" t="s">
        <v>109</v>
      </c>
      <c r="N594" s="10"/>
      <c r="O594" s="30">
        <v>-3.0783745832919323</v>
      </c>
      <c r="P594" s="30">
        <v>-5.9692025145339986</v>
      </c>
      <c r="Q594" s="30">
        <v>-0.29066107521062073</v>
      </c>
      <c r="R594" s="30">
        <v>-4.7877211161993731</v>
      </c>
      <c r="S594" s="30">
        <v>-4.85475627754498</v>
      </c>
      <c r="T594" s="30">
        <v>-2.5539192720034493E-4</v>
      </c>
    </row>
    <row r="595" spans="10:20" x14ac:dyDescent="0.25">
      <c r="J595" s="10"/>
      <c r="K595" s="10"/>
      <c r="L595" s="10" t="s">
        <v>59</v>
      </c>
      <c r="M595" s="10" t="s">
        <v>110</v>
      </c>
      <c r="N595" s="10"/>
      <c r="O595" s="30">
        <v>-3.4686885609545337</v>
      </c>
      <c r="P595" s="30">
        <v>-10.471807485992443</v>
      </c>
      <c r="Q595" s="30">
        <v>42.297787887755192</v>
      </c>
      <c r="R595" s="30">
        <v>32.685104895761363</v>
      </c>
      <c r="S595" s="30">
        <v>-5.427883335915646</v>
      </c>
      <c r="T595" s="30">
        <v>-2.0349035619458817E-4</v>
      </c>
    </row>
    <row r="596" spans="10:20" x14ac:dyDescent="0.25">
      <c r="J596" s="10"/>
      <c r="K596" s="10"/>
      <c r="L596" s="10" t="s">
        <v>59</v>
      </c>
      <c r="M596" s="10" t="s">
        <v>111</v>
      </c>
      <c r="N596" s="10"/>
      <c r="O596" s="30">
        <v>1.9518442102027773</v>
      </c>
      <c r="P596" s="30">
        <v>-5.9869598556635548</v>
      </c>
      <c r="Q596" s="30">
        <v>-17.764721787070052</v>
      </c>
      <c r="R596" s="30">
        <v>-5.2237411254264403</v>
      </c>
      <c r="S596" s="30">
        <v>4.038079387721635</v>
      </c>
      <c r="T596" s="30">
        <v>1.4019326221735935E-3</v>
      </c>
    </row>
    <row r="597" spans="10:20" x14ac:dyDescent="0.25">
      <c r="J597" s="10"/>
      <c r="K597" s="10"/>
      <c r="L597" s="10" t="s">
        <v>59</v>
      </c>
      <c r="M597" s="10" t="s">
        <v>112</v>
      </c>
      <c r="N597" s="10"/>
      <c r="O597" s="30">
        <v>1.5624462720734471</v>
      </c>
      <c r="P597" s="30">
        <v>-10.489619760864878</v>
      </c>
      <c r="Q597" s="30">
        <v>24.816790022569755</v>
      </c>
      <c r="R597" s="30">
        <v>32.250277729769934</v>
      </c>
      <c r="S597" s="30">
        <v>3.4675906364662668</v>
      </c>
      <c r="T597" s="30">
        <v>1.4507056885101376E-3</v>
      </c>
    </row>
    <row r="598" spans="10:20" x14ac:dyDescent="0.25">
      <c r="J598" s="10"/>
      <c r="K598" s="10"/>
      <c r="L598" s="10" t="s">
        <v>59</v>
      </c>
      <c r="M598" s="10" t="s">
        <v>113</v>
      </c>
      <c r="N598" s="10"/>
      <c r="O598" s="30">
        <v>0.94281971029249378</v>
      </c>
      <c r="P598" s="30">
        <v>-7.2550312300214141</v>
      </c>
      <c r="Q598" s="30">
        <v>-5.5524735477863567</v>
      </c>
      <c r="R598" s="30">
        <v>25.311534485595914</v>
      </c>
      <c r="S598" s="30">
        <v>1.3065623882527544</v>
      </c>
      <c r="T598" s="30">
        <v>1.080695561650016E-3</v>
      </c>
    </row>
    <row r="599" spans="10:20" x14ac:dyDescent="0.25">
      <c r="J599" s="10"/>
      <c r="K599" s="10"/>
      <c r="L599" s="10" t="s">
        <v>59</v>
      </c>
      <c r="M599" s="10" t="s">
        <v>114</v>
      </c>
      <c r="N599" s="10"/>
      <c r="O599" s="30">
        <v>0.61268277543115068</v>
      </c>
      <c r="P599" s="30">
        <v>-23.509391922499933</v>
      </c>
      <c r="Q599" s="30">
        <v>48.069166537426739</v>
      </c>
      <c r="R599" s="30">
        <v>141.69276288986069</v>
      </c>
      <c r="S599" s="30">
        <v>0.87895124858112772</v>
      </c>
      <c r="T599" s="30">
        <v>1.1790813392132981E-3</v>
      </c>
    </row>
    <row r="600" spans="10:20" x14ac:dyDescent="0.25">
      <c r="J600" s="10"/>
      <c r="K600" s="10"/>
      <c r="L600" s="10" t="s">
        <v>59</v>
      </c>
      <c r="M600" s="10" t="s">
        <v>115</v>
      </c>
      <c r="N600" s="10"/>
      <c r="O600" s="30">
        <v>1.4390980198481393</v>
      </c>
      <c r="P600" s="30">
        <v>40.891451128715701</v>
      </c>
      <c r="Q600" s="30">
        <v>-22.817115983673119</v>
      </c>
      <c r="R600" s="30">
        <v>-171.97195143669813</v>
      </c>
      <c r="S600" s="30">
        <v>1.8210049221371982</v>
      </c>
      <c r="T600" s="30">
        <v>9.5184027449230575E-4</v>
      </c>
    </row>
    <row r="601" spans="10:20" x14ac:dyDescent="0.25">
      <c r="J601" s="10"/>
      <c r="K601" s="10"/>
      <c r="L601" s="10" t="s">
        <v>59</v>
      </c>
      <c r="M601" s="10" t="s">
        <v>116</v>
      </c>
      <c r="N601" s="10"/>
      <c r="O601" s="30">
        <v>1.4111100923652582</v>
      </c>
      <c r="P601" s="30">
        <v>15.243646047099515</v>
      </c>
      <c r="Q601" s="30">
        <v>95.658885025771312</v>
      </c>
      <c r="R601" s="30">
        <v>-65.110058965013422</v>
      </c>
      <c r="S601" s="30">
        <v>1.4696475604163706</v>
      </c>
      <c r="T601" s="30">
        <v>9.8453072633285059E-4</v>
      </c>
    </row>
    <row r="602" spans="10:20" x14ac:dyDescent="0.25">
      <c r="J602" s="10"/>
      <c r="K602" s="10"/>
      <c r="L602" s="10" t="s">
        <v>60</v>
      </c>
      <c r="M602" s="10" t="s">
        <v>91</v>
      </c>
      <c r="N602" s="10"/>
      <c r="O602" s="30">
        <v>-0.10220326427045259</v>
      </c>
      <c r="P602" s="30">
        <v>6.7372348566174329</v>
      </c>
      <c r="Q602" s="30">
        <v>49.234488097399513</v>
      </c>
      <c r="R602" s="30">
        <v>-29.917153987012508</v>
      </c>
      <c r="S602" s="30">
        <v>-7.7988696577276417E-2</v>
      </c>
      <c r="T602" s="30">
        <v>-1.4704765649293488E-3</v>
      </c>
    </row>
    <row r="603" spans="10:20" x14ac:dyDescent="0.25">
      <c r="J603" s="10"/>
      <c r="K603" s="10"/>
      <c r="L603" s="10" t="s">
        <v>60</v>
      </c>
      <c r="M603" s="10" t="s">
        <v>92</v>
      </c>
      <c r="N603" s="10"/>
      <c r="O603" s="30">
        <v>-8.935222484798E-2</v>
      </c>
      <c r="P603" s="30">
        <v>18.738803258184163</v>
      </c>
      <c r="Q603" s="30">
        <v>77.000071966462841</v>
      </c>
      <c r="R603" s="30">
        <v>-82.508567177897049</v>
      </c>
      <c r="S603" s="30">
        <v>-6.5736048461252389E-2</v>
      </c>
      <c r="T603" s="30">
        <v>-1.4934951144166657E-3</v>
      </c>
    </row>
    <row r="604" spans="10:20" x14ac:dyDescent="0.25">
      <c r="J604" s="10"/>
      <c r="K604" s="10"/>
      <c r="L604" s="10" t="s">
        <v>60</v>
      </c>
      <c r="M604" s="10" t="s">
        <v>93</v>
      </c>
      <c r="N604" s="10"/>
      <c r="O604" s="30">
        <v>-5.6160828667119249</v>
      </c>
      <c r="P604" s="30">
        <v>-5.0607483066665608</v>
      </c>
      <c r="Q604" s="30">
        <v>-34.433120853603818</v>
      </c>
      <c r="R604" s="30">
        <v>53.314839683911728</v>
      </c>
      <c r="S604" s="30">
        <v>-4.4267681939027543</v>
      </c>
      <c r="T604" s="30">
        <v>-2.3003240186098813E-3</v>
      </c>
    </row>
    <row r="605" spans="10:20" x14ac:dyDescent="0.25">
      <c r="J605" s="10"/>
      <c r="K605" s="10"/>
      <c r="L605" s="10" t="s">
        <v>60</v>
      </c>
      <c r="M605" s="10" t="s">
        <v>94</v>
      </c>
      <c r="N605" s="10"/>
      <c r="O605" s="30">
        <v>-5.8530585408010705</v>
      </c>
      <c r="P605" s="30">
        <v>-0.55559336122400771</v>
      </c>
      <c r="Q605" s="30">
        <v>7.7197262502869402</v>
      </c>
      <c r="R605" s="30">
        <v>15.861192225933268</v>
      </c>
      <c r="S605" s="30">
        <v>-4.5949723000293607</v>
      </c>
      <c r="T605" s="30">
        <v>-2.4006230836032712E-3</v>
      </c>
    </row>
    <row r="606" spans="10:20" x14ac:dyDescent="0.25">
      <c r="J606" s="10"/>
      <c r="K606" s="10"/>
      <c r="L606" s="10" t="s">
        <v>60</v>
      </c>
      <c r="M606" s="10" t="s">
        <v>95</v>
      </c>
      <c r="N606" s="10"/>
      <c r="O606" s="30">
        <v>5.3520042454232506</v>
      </c>
      <c r="P606" s="30">
        <v>-5.0591597214148258</v>
      </c>
      <c r="Q606" s="30">
        <v>-34.898508900706382</v>
      </c>
      <c r="R606" s="30">
        <v>53.310138924417231</v>
      </c>
      <c r="S606" s="30">
        <v>4.2094894344883684</v>
      </c>
      <c r="T606" s="30">
        <v>-4.9654545953691669E-4</v>
      </c>
    </row>
    <row r="607" spans="10:20" x14ac:dyDescent="0.25">
      <c r="J607" s="10"/>
      <c r="K607" s="10"/>
      <c r="L607" s="10" t="s">
        <v>60</v>
      </c>
      <c r="M607" s="10" t="s">
        <v>96</v>
      </c>
      <c r="N607" s="10"/>
      <c r="O607" s="30">
        <v>5.1188147147659198</v>
      </c>
      <c r="P607" s="30">
        <v>-0.55400715085188301</v>
      </c>
      <c r="Q607" s="30">
        <v>7.2541535758467566</v>
      </c>
      <c r="R607" s="30">
        <v>15.856497498535566</v>
      </c>
      <c r="S607" s="30">
        <v>4.0442651917093135</v>
      </c>
      <c r="T607" s="30">
        <v>-5.9850391970582876E-4</v>
      </c>
    </row>
    <row r="608" spans="10:20" x14ac:dyDescent="0.25">
      <c r="J608" s="10"/>
      <c r="K608" s="10"/>
      <c r="L608" s="10" t="s">
        <v>60</v>
      </c>
      <c r="M608" s="10" t="s">
        <v>97</v>
      </c>
      <c r="N608" s="10"/>
      <c r="O608" s="30">
        <v>0.71050567484681082</v>
      </c>
      <c r="P608" s="30">
        <v>-51.939308467579508</v>
      </c>
      <c r="Q608" s="30">
        <v>-46.803943152751948</v>
      </c>
      <c r="R608" s="30">
        <v>220.31121870904079</v>
      </c>
      <c r="S608" s="30">
        <v>0.51164098383727108</v>
      </c>
      <c r="T608" s="30">
        <v>-1.2880449212309367E-3</v>
      </c>
    </row>
    <row r="609" spans="10:20" x14ac:dyDescent="0.25">
      <c r="J609" s="10"/>
      <c r="K609" s="10"/>
      <c r="L609" s="10" t="s">
        <v>60</v>
      </c>
      <c r="M609" s="10" t="s">
        <v>98</v>
      </c>
      <c r="N609" s="10"/>
      <c r="O609" s="30">
        <v>0.50839185163150924</v>
      </c>
      <c r="P609" s="30">
        <v>-26.287599362198048</v>
      </c>
      <c r="Q609" s="30">
        <v>71.557833260336437</v>
      </c>
      <c r="R609" s="30">
        <v>113.50487054891867</v>
      </c>
      <c r="S609" s="30">
        <v>0.37718109463264432</v>
      </c>
      <c r="T609" s="30">
        <v>-1.4576352862613186E-3</v>
      </c>
    </row>
    <row r="610" spans="10:20" x14ac:dyDescent="0.25">
      <c r="J610" s="10"/>
      <c r="K610" s="10"/>
      <c r="L610" s="10" t="s">
        <v>60</v>
      </c>
      <c r="M610" s="10" t="s">
        <v>99</v>
      </c>
      <c r="N610" s="10"/>
      <c r="O610" s="30">
        <v>0.46656317247507872</v>
      </c>
      <c r="P610" s="30">
        <v>-3.7855032026309203</v>
      </c>
      <c r="Q610" s="30">
        <v>-29.758906124543227</v>
      </c>
      <c r="R610" s="30">
        <v>22.975475147972112</v>
      </c>
      <c r="S610" s="30">
        <v>0.32832462179492022</v>
      </c>
      <c r="T610" s="30">
        <v>-1.2058806312187909E-3</v>
      </c>
    </row>
    <row r="611" spans="10:20" x14ac:dyDescent="0.25">
      <c r="J611" s="10"/>
      <c r="K611" s="10"/>
      <c r="L611" s="10" t="s">
        <v>60</v>
      </c>
      <c r="M611" s="10" t="s">
        <v>100</v>
      </c>
      <c r="N611" s="10"/>
      <c r="O611" s="30">
        <v>0.32361242557991271</v>
      </c>
      <c r="P611" s="30">
        <v>12.470234871550296</v>
      </c>
      <c r="Q611" s="30">
        <v>23.765339887539248</v>
      </c>
      <c r="R611" s="30">
        <v>-93.342207893614457</v>
      </c>
      <c r="S611" s="30">
        <v>0.22834325773961911</v>
      </c>
      <c r="T611" s="30">
        <v>-1.3942090012032608E-3</v>
      </c>
    </row>
    <row r="612" spans="10:20" x14ac:dyDescent="0.25">
      <c r="J612" s="10"/>
      <c r="K612" s="10"/>
      <c r="L612" s="10" t="s">
        <v>60</v>
      </c>
      <c r="M612" s="10" t="s">
        <v>101</v>
      </c>
      <c r="N612" s="10"/>
      <c r="O612" s="30">
        <v>-5.0518438670453056</v>
      </c>
      <c r="P612" s="30">
        <v>8.1206184112285662</v>
      </c>
      <c r="Q612" s="30">
        <v>1.6992239105598415</v>
      </c>
      <c r="R612" s="30">
        <v>-7.5997728740652182</v>
      </c>
      <c r="S612" s="30">
        <v>-3.9796375960541823</v>
      </c>
      <c r="T612" s="30">
        <v>-2.2403578227291449E-3</v>
      </c>
    </row>
    <row r="613" spans="10:20" x14ac:dyDescent="0.25">
      <c r="J613" s="10"/>
      <c r="K613" s="10"/>
      <c r="L613" s="10" t="s">
        <v>60</v>
      </c>
      <c r="M613" s="10" t="s">
        <v>102</v>
      </c>
      <c r="N613" s="10"/>
      <c r="O613" s="30">
        <v>-5.2651219737255364</v>
      </c>
      <c r="P613" s="30">
        <v>12.175257862126866</v>
      </c>
      <c r="Q613" s="30">
        <v>39.636786304061516</v>
      </c>
      <c r="R613" s="30">
        <v>-41.30805558624585</v>
      </c>
      <c r="S613" s="30">
        <v>-4.1310212915681275</v>
      </c>
      <c r="T613" s="30">
        <v>-2.3306269812231957E-3</v>
      </c>
    </row>
    <row r="614" spans="10:20" x14ac:dyDescent="0.25">
      <c r="J614" s="10"/>
      <c r="K614" s="10"/>
      <c r="L614" s="10" t="s">
        <v>60</v>
      </c>
      <c r="M614" s="10" t="s">
        <v>103</v>
      </c>
      <c r="N614" s="10"/>
      <c r="O614" s="30">
        <v>4.8194345338763522</v>
      </c>
      <c r="P614" s="30">
        <v>8.1220481379551277</v>
      </c>
      <c r="Q614" s="30">
        <v>1.2803746681675254</v>
      </c>
      <c r="R614" s="30">
        <v>-7.6040035576102865</v>
      </c>
      <c r="S614" s="30">
        <v>3.7929942694978269</v>
      </c>
      <c r="T614" s="30">
        <v>-6.1695711956347664E-4</v>
      </c>
    </row>
    <row r="615" spans="10:20" x14ac:dyDescent="0.25">
      <c r="J615" s="10"/>
      <c r="K615" s="10"/>
      <c r="L615" s="10" t="s">
        <v>60</v>
      </c>
      <c r="M615" s="10" t="s">
        <v>104</v>
      </c>
      <c r="N615" s="10"/>
      <c r="O615" s="30">
        <v>4.6095639562847559</v>
      </c>
      <c r="P615" s="30">
        <v>12.176685451461777</v>
      </c>
      <c r="Q615" s="30">
        <v>39.217770897065357</v>
      </c>
      <c r="R615" s="30">
        <v>-41.312280840903782</v>
      </c>
      <c r="S615" s="30">
        <v>3.6442924509966792</v>
      </c>
      <c r="T615" s="30">
        <v>-7.0871973371549755E-4</v>
      </c>
    </row>
    <row r="616" spans="10:20" x14ac:dyDescent="0.25">
      <c r="J616" s="10"/>
      <c r="K616" s="10"/>
      <c r="L616" s="10" t="s">
        <v>60</v>
      </c>
      <c r="M616" s="10" t="s">
        <v>105</v>
      </c>
      <c r="N616" s="10"/>
      <c r="O616" s="30">
        <v>0.64208582035755701</v>
      </c>
      <c r="P616" s="30">
        <v>-34.070085733593089</v>
      </c>
      <c r="Q616" s="30">
        <v>-9.4345161586734747</v>
      </c>
      <c r="R616" s="30">
        <v>142.69696824855092</v>
      </c>
      <c r="S616" s="30">
        <v>0.46493066391184035</v>
      </c>
      <c r="T616" s="30">
        <v>-1.3293066350880947E-3</v>
      </c>
    </row>
    <row r="617" spans="10:20" x14ac:dyDescent="0.25">
      <c r="J617" s="10"/>
      <c r="K617" s="10"/>
      <c r="L617" s="10" t="s">
        <v>60</v>
      </c>
      <c r="M617" s="10" t="s">
        <v>106</v>
      </c>
      <c r="N617" s="10"/>
      <c r="O617" s="30">
        <v>0.46018337946378562</v>
      </c>
      <c r="P617" s="30">
        <v>-10.98354753874977</v>
      </c>
      <c r="Q617" s="30">
        <v>97.091082613106067</v>
      </c>
      <c r="R617" s="30">
        <v>46.57125490444102</v>
      </c>
      <c r="S617" s="30">
        <v>0.34391676362767626</v>
      </c>
      <c r="T617" s="30">
        <v>-1.4819379636154383E-3</v>
      </c>
    </row>
    <row r="618" spans="10:20" x14ac:dyDescent="0.25">
      <c r="J618" s="10"/>
      <c r="K618" s="10"/>
      <c r="L618" s="10" t="s">
        <v>60</v>
      </c>
      <c r="M618" s="10" t="s">
        <v>107</v>
      </c>
      <c r="N618" s="10"/>
      <c r="O618" s="30">
        <v>0.42253756822299821</v>
      </c>
      <c r="P618" s="30">
        <v>9.2683390048606427</v>
      </c>
      <c r="Q618" s="30">
        <v>5.9060171667143724</v>
      </c>
      <c r="R618" s="30">
        <v>-34.90520095641088</v>
      </c>
      <c r="S618" s="30">
        <v>0.29994593807372461</v>
      </c>
      <c r="T618" s="30">
        <v>-1.2553587740771633E-3</v>
      </c>
    </row>
    <row r="619" spans="10:20" x14ac:dyDescent="0.25">
      <c r="J619" s="10"/>
      <c r="K619" s="10"/>
      <c r="L619" s="10" t="s">
        <v>60</v>
      </c>
      <c r="M619" s="10" t="s">
        <v>108</v>
      </c>
      <c r="N619" s="10"/>
      <c r="O619" s="30">
        <v>0.29388189601734876</v>
      </c>
      <c r="P619" s="30">
        <v>23.898503271623738</v>
      </c>
      <c r="Q619" s="30">
        <v>54.077838577588601</v>
      </c>
      <c r="R619" s="30">
        <v>-139.59111569383879</v>
      </c>
      <c r="S619" s="30">
        <v>0.20996271042395359</v>
      </c>
      <c r="T619" s="30">
        <v>-1.4248543070631864E-3</v>
      </c>
    </row>
    <row r="620" spans="10:20" x14ac:dyDescent="0.25">
      <c r="J620" s="10"/>
      <c r="K620" s="10"/>
      <c r="L620" s="10" t="s">
        <v>60</v>
      </c>
      <c r="M620" s="10" t="s">
        <v>109</v>
      </c>
      <c r="N620" s="10"/>
      <c r="O620" s="30">
        <v>-5.6045169312316991</v>
      </c>
      <c r="P620" s="30">
        <v>5.7406632547434953</v>
      </c>
      <c r="Q620" s="30">
        <v>-9.4440953714468332</v>
      </c>
      <c r="R620" s="30">
        <v>5.9825678121156383</v>
      </c>
      <c r="S620" s="30">
        <v>-4.4157408105983329</v>
      </c>
      <c r="T620" s="30">
        <v>-2.3210407131484664E-3</v>
      </c>
    </row>
    <row r="621" spans="10:20" x14ac:dyDescent="0.25">
      <c r="J621" s="10"/>
      <c r="K621" s="10"/>
      <c r="L621" s="10" t="s">
        <v>60</v>
      </c>
      <c r="M621" s="10" t="s">
        <v>110</v>
      </c>
      <c r="N621" s="10"/>
      <c r="O621" s="30">
        <v>-5.8414926053208456</v>
      </c>
      <c r="P621" s="30">
        <v>10.245818200186049</v>
      </c>
      <c r="Q621" s="30">
        <v>32.708751732443929</v>
      </c>
      <c r="R621" s="30">
        <v>-31.471079645862826</v>
      </c>
      <c r="S621" s="30">
        <v>-4.5839449167249393</v>
      </c>
      <c r="T621" s="30">
        <v>-2.4213397781418563E-3</v>
      </c>
    </row>
    <row r="622" spans="10:20" x14ac:dyDescent="0.25">
      <c r="J622" s="10"/>
      <c r="K622" s="10"/>
      <c r="L622" s="10" t="s">
        <v>60</v>
      </c>
      <c r="M622" s="10" t="s">
        <v>111</v>
      </c>
      <c r="N622" s="10"/>
      <c r="O622" s="30">
        <v>5.3635701809034764</v>
      </c>
      <c r="P622" s="30">
        <v>5.7422518399952303</v>
      </c>
      <c r="Q622" s="30">
        <v>-9.9094834185493941</v>
      </c>
      <c r="R622" s="30">
        <v>5.9778670526211393</v>
      </c>
      <c r="S622" s="30">
        <v>4.220516817792789</v>
      </c>
      <c r="T622" s="30">
        <v>-5.172621540755017E-4</v>
      </c>
    </row>
    <row r="623" spans="10:20" x14ac:dyDescent="0.25">
      <c r="J623" s="10"/>
      <c r="K623" s="10"/>
      <c r="L623" s="10" t="s">
        <v>60</v>
      </c>
      <c r="M623" s="10" t="s">
        <v>112</v>
      </c>
      <c r="N623" s="10"/>
      <c r="O623" s="30">
        <v>5.1303806502461455</v>
      </c>
      <c r="P623" s="30">
        <v>10.247404410558172</v>
      </c>
      <c r="Q623" s="30">
        <v>32.24317905800374</v>
      </c>
      <c r="R623" s="30">
        <v>-31.475774373260528</v>
      </c>
      <c r="S623" s="30">
        <v>4.0552925750137359</v>
      </c>
      <c r="T623" s="30">
        <v>-6.1922061424441377E-4</v>
      </c>
    </row>
    <row r="624" spans="10:20" x14ac:dyDescent="0.25">
      <c r="J624" s="10"/>
      <c r="K624" s="10"/>
      <c r="L624" s="10" t="s">
        <v>60</v>
      </c>
      <c r="M624" s="10" t="s">
        <v>113</v>
      </c>
      <c r="N624" s="10"/>
      <c r="O624" s="30">
        <v>0.72207161032703615</v>
      </c>
      <c r="P624" s="30">
        <v>-41.137896906169452</v>
      </c>
      <c r="Q624" s="30">
        <v>-21.814917670594962</v>
      </c>
      <c r="R624" s="30">
        <v>172.97894683724471</v>
      </c>
      <c r="S624" s="30">
        <v>0.52266836714169274</v>
      </c>
      <c r="T624" s="30">
        <v>-1.3087616157695216E-3</v>
      </c>
    </row>
    <row r="625" spans="10:20" x14ac:dyDescent="0.25">
      <c r="J625" s="10"/>
      <c r="K625" s="10"/>
      <c r="L625" s="10" t="s">
        <v>60</v>
      </c>
      <c r="M625" s="10" t="s">
        <v>114</v>
      </c>
      <c r="N625" s="10"/>
      <c r="O625" s="30">
        <v>0.51995778711173468</v>
      </c>
      <c r="P625" s="30">
        <v>-15.48618780078799</v>
      </c>
      <c r="Q625" s="30">
        <v>96.546858742493427</v>
      </c>
      <c r="R625" s="30">
        <v>66.172598677122593</v>
      </c>
      <c r="S625" s="30">
        <v>0.38820847793706603</v>
      </c>
      <c r="T625" s="30">
        <v>-1.4783519807999035E-3</v>
      </c>
    </row>
    <row r="626" spans="10:20" x14ac:dyDescent="0.25">
      <c r="J626" s="10"/>
      <c r="K626" s="10"/>
      <c r="L626" s="10" t="s">
        <v>60</v>
      </c>
      <c r="M626" s="10" t="s">
        <v>115</v>
      </c>
      <c r="N626" s="10"/>
      <c r="O626" s="30">
        <v>0.47812910795530406</v>
      </c>
      <c r="P626" s="30">
        <v>7.0159083587791358</v>
      </c>
      <c r="Q626" s="30">
        <v>-4.7698806423862399</v>
      </c>
      <c r="R626" s="30">
        <v>-24.35679672382398</v>
      </c>
      <c r="S626" s="30">
        <v>0.33935200509934188</v>
      </c>
      <c r="T626" s="30">
        <v>-1.226597325757376E-3</v>
      </c>
    </row>
    <row r="627" spans="10:20" x14ac:dyDescent="0.25">
      <c r="J627" s="10"/>
      <c r="K627" s="10"/>
      <c r="L627" s="10" t="s">
        <v>60</v>
      </c>
      <c r="M627" s="10" t="s">
        <v>116</v>
      </c>
      <c r="N627" s="10"/>
      <c r="O627" s="30">
        <v>0.33517836106013804</v>
      </c>
      <c r="P627" s="30">
        <v>23.271646432960353</v>
      </c>
      <c r="Q627" s="30">
        <v>48.754365369696231</v>
      </c>
      <c r="R627" s="30">
        <v>-140.67447976541055</v>
      </c>
      <c r="S627" s="30">
        <v>0.23937064104404077</v>
      </c>
      <c r="T627" s="30">
        <v>-1.4149256957418457E-3</v>
      </c>
    </row>
    <row r="628" spans="10:20" x14ac:dyDescent="0.25">
      <c r="J628" s="10"/>
      <c r="K628" s="10"/>
      <c r="L628" s="10" t="s">
        <v>61</v>
      </c>
      <c r="M628" s="10" t="s">
        <v>91</v>
      </c>
      <c r="N628" s="10"/>
      <c r="O628" s="30">
        <v>-0.16233546842371621</v>
      </c>
      <c r="P628" s="30">
        <v>-0.10490783837039087</v>
      </c>
      <c r="Q628" s="30">
        <v>67.703678453579158</v>
      </c>
      <c r="R628" s="30">
        <v>-0.52493036067151122</v>
      </c>
      <c r="S628" s="30">
        <v>-0.11931304822980256</v>
      </c>
      <c r="T628" s="30">
        <v>7.0671415567923773E-4</v>
      </c>
    </row>
    <row r="629" spans="10:20" x14ac:dyDescent="0.25">
      <c r="J629" s="10"/>
      <c r="K629" s="10"/>
      <c r="L629" s="10" t="s">
        <v>61</v>
      </c>
      <c r="M629" s="10" t="s">
        <v>92</v>
      </c>
      <c r="N629" s="10"/>
      <c r="O629" s="30">
        <v>-0.20792291496053902</v>
      </c>
      <c r="P629" s="30">
        <v>-1.7166266406713531</v>
      </c>
      <c r="Q629" s="30">
        <v>124.62222385792097</v>
      </c>
      <c r="R629" s="30">
        <v>6.0469317467145851</v>
      </c>
      <c r="S629" s="30">
        <v>-0.14907880453424219</v>
      </c>
      <c r="T629" s="30">
        <v>5.1024668264191902E-4</v>
      </c>
    </row>
    <row r="630" spans="10:20" x14ac:dyDescent="0.25">
      <c r="J630" s="10"/>
      <c r="K630" s="10"/>
      <c r="L630" s="10" t="s">
        <v>61</v>
      </c>
      <c r="M630" s="10" t="s">
        <v>93</v>
      </c>
      <c r="N630" s="10"/>
      <c r="O630" s="30">
        <v>-6.188065248482121</v>
      </c>
      <c r="P630" s="30">
        <v>6.2076539401128281</v>
      </c>
      <c r="Q630" s="30">
        <v>-93.166343561188881</v>
      </c>
      <c r="R630" s="30">
        <v>-28.534646223143433</v>
      </c>
      <c r="S630" s="30">
        <v>-4.8762709832697748</v>
      </c>
      <c r="T630" s="30">
        <v>-1.9709600106982833E-3</v>
      </c>
    </row>
    <row r="631" spans="10:20" x14ac:dyDescent="0.25">
      <c r="J631" s="10"/>
      <c r="K631" s="10"/>
      <c r="L631" s="10" t="s">
        <v>61</v>
      </c>
      <c r="M631" s="10" t="s">
        <v>94</v>
      </c>
      <c r="N631" s="10"/>
      <c r="O631" s="30">
        <v>-6.9150348066137912</v>
      </c>
      <c r="P631" s="30">
        <v>3.0324011627870102</v>
      </c>
      <c r="Q631" s="30">
        <v>-12.716406851959819</v>
      </c>
      <c r="R631" s="30">
        <v>-14.419225946731885</v>
      </c>
      <c r="S631" s="30">
        <v>-5.4317796327898513</v>
      </c>
      <c r="T631" s="30">
        <v>-2.4687235242506016E-3</v>
      </c>
    </row>
    <row r="632" spans="10:20" x14ac:dyDescent="0.25">
      <c r="J632" s="10"/>
      <c r="K632" s="10"/>
      <c r="L632" s="10" t="s">
        <v>61</v>
      </c>
      <c r="M632" s="10" t="s">
        <v>95</v>
      </c>
      <c r="N632" s="10"/>
      <c r="O632" s="30">
        <v>6.1002006035980418</v>
      </c>
      <c r="P632" s="30">
        <v>6.2049505349166774</v>
      </c>
      <c r="Q632" s="30">
        <v>-93.561173850491215</v>
      </c>
      <c r="R632" s="30">
        <v>-28.508914057469468</v>
      </c>
      <c r="S632" s="30">
        <v>4.789516680225347</v>
      </c>
      <c r="T632" s="30">
        <v>4.505813452029956E-3</v>
      </c>
    </row>
    <row r="633" spans="10:20" x14ac:dyDescent="0.25">
      <c r="J633" s="10"/>
      <c r="K633" s="10"/>
      <c r="L633" s="10" t="s">
        <v>61</v>
      </c>
      <c r="M633" s="10" t="s">
        <v>96</v>
      </c>
      <c r="N633" s="10"/>
      <c r="O633" s="30">
        <v>5.3701340988144297</v>
      </c>
      <c r="P633" s="30">
        <v>3.0297018694692186</v>
      </c>
      <c r="Q633" s="30">
        <v>-13.111110957760987</v>
      </c>
      <c r="R633" s="30">
        <v>-14.393532886607403</v>
      </c>
      <c r="S633" s="30">
        <v>4.2315669583969973</v>
      </c>
      <c r="T633" s="30">
        <v>3.9975492292979283E-3</v>
      </c>
    </row>
    <row r="634" spans="10:20" x14ac:dyDescent="0.25">
      <c r="J634" s="10"/>
      <c r="K634" s="10"/>
      <c r="L634" s="10" t="s">
        <v>61</v>
      </c>
      <c r="M634" s="10" t="s">
        <v>97</v>
      </c>
      <c r="N634" s="10"/>
      <c r="O634" s="30">
        <v>1.6504568675444922</v>
      </c>
      <c r="P634" s="30">
        <v>0.24732449957356528</v>
      </c>
      <c r="Q634" s="30">
        <v>-92.574008062763681</v>
      </c>
      <c r="R634" s="30">
        <v>16.042718712538594</v>
      </c>
      <c r="S634" s="30">
        <v>1.2690209595805648</v>
      </c>
      <c r="T634" s="30">
        <v>1.8360690680012395E-3</v>
      </c>
    </row>
    <row r="635" spans="10:20" x14ac:dyDescent="0.25">
      <c r="J635" s="10"/>
      <c r="K635" s="10"/>
      <c r="L635" s="10" t="s">
        <v>61</v>
      </c>
      <c r="M635" s="10" t="s">
        <v>98</v>
      </c>
      <c r="N635" s="10"/>
      <c r="O635" s="30">
        <v>0.80774107589281452</v>
      </c>
      <c r="P635" s="30">
        <v>-13.271706260555591</v>
      </c>
      <c r="Q635" s="30">
        <v>120.16433247210826</v>
      </c>
      <c r="R635" s="30">
        <v>97.233624497647071</v>
      </c>
      <c r="S635" s="30">
        <v>0.63707222319393941</v>
      </c>
      <c r="T635" s="30">
        <v>7.9125208064870787E-4</v>
      </c>
    </row>
    <row r="636" spans="10:20" x14ac:dyDescent="0.25">
      <c r="J636" s="10"/>
      <c r="K636" s="10"/>
      <c r="L636" s="10" t="s">
        <v>61</v>
      </c>
      <c r="M636" s="10" t="s">
        <v>99</v>
      </c>
      <c r="N636" s="10"/>
      <c r="O636" s="30">
        <v>1.6398916501206395</v>
      </c>
      <c r="P636" s="30">
        <v>10.211213835302038</v>
      </c>
      <c r="Q636" s="30">
        <v>-94.499723654874344</v>
      </c>
      <c r="R636" s="30">
        <v>-62.540453553436485</v>
      </c>
      <c r="S636" s="30">
        <v>1.2611462781990188</v>
      </c>
      <c r="T636" s="30">
        <v>1.9008295476332813E-3</v>
      </c>
    </row>
    <row r="637" spans="10:20" x14ac:dyDescent="0.25">
      <c r="J637" s="10"/>
      <c r="K637" s="10"/>
      <c r="L637" s="10" t="s">
        <v>61</v>
      </c>
      <c r="M637" s="10" t="s">
        <v>100</v>
      </c>
      <c r="N637" s="10"/>
      <c r="O637" s="30">
        <v>0.85132734832067336</v>
      </c>
      <c r="P637" s="30">
        <v>22.152916684151243</v>
      </c>
      <c r="Q637" s="30">
        <v>23.667407349054464</v>
      </c>
      <c r="R637" s="30">
        <v>-145.68034593643475</v>
      </c>
      <c r="S637" s="30">
        <v>0.66324990950845308</v>
      </c>
      <c r="T637" s="30">
        <v>9.0730835369829538E-4</v>
      </c>
    </row>
    <row r="638" spans="10:20" x14ac:dyDescent="0.25">
      <c r="J638" s="10"/>
      <c r="K638" s="10"/>
      <c r="L638" s="10" t="s">
        <v>61</v>
      </c>
      <c r="M638" s="10" t="s">
        <v>101</v>
      </c>
      <c r="N638" s="10"/>
      <c r="O638" s="30">
        <v>-5.6310797170131028</v>
      </c>
      <c r="P638" s="30">
        <v>3.9646789599635448</v>
      </c>
      <c r="Q638" s="30">
        <v>-20.160795955370265</v>
      </c>
      <c r="R638" s="30">
        <v>-19.161812529510144</v>
      </c>
      <c r="S638" s="30">
        <v>-4.4303409460702179</v>
      </c>
      <c r="T638" s="30">
        <v>-1.8996600670978506E-3</v>
      </c>
    </row>
    <row r="639" spans="10:20" x14ac:dyDescent="0.25">
      <c r="J639" s="10"/>
      <c r="K639" s="10"/>
      <c r="L639" s="10" t="s">
        <v>61</v>
      </c>
      <c r="M639" s="10" t="s">
        <v>102</v>
      </c>
      <c r="N639" s="10"/>
      <c r="O639" s="30">
        <v>-6.2853523193316052</v>
      </c>
      <c r="P639" s="30">
        <v>1.1069514603703081</v>
      </c>
      <c r="Q639" s="30">
        <v>52.244147082935889</v>
      </c>
      <c r="R639" s="30">
        <v>-6.4579342807397513</v>
      </c>
      <c r="S639" s="30">
        <v>-4.9302987306382873</v>
      </c>
      <c r="T639" s="30">
        <v>-2.3476472292949364E-3</v>
      </c>
    </row>
    <row r="640" spans="10:20" x14ac:dyDescent="0.25">
      <c r="J640" s="10"/>
      <c r="K640" s="10"/>
      <c r="L640" s="10" t="s">
        <v>61</v>
      </c>
      <c r="M640" s="10" t="s">
        <v>103</v>
      </c>
      <c r="N640" s="10"/>
      <c r="O640" s="30">
        <v>5.428359549859044</v>
      </c>
      <c r="P640" s="30">
        <v>3.9622458952870088</v>
      </c>
      <c r="Q640" s="30">
        <v>-20.516143215742364</v>
      </c>
      <c r="R640" s="30">
        <v>-19.138653580403577</v>
      </c>
      <c r="S640" s="30">
        <v>4.268867951075392</v>
      </c>
      <c r="T640" s="30">
        <v>3.9294360493575655E-3</v>
      </c>
    </row>
    <row r="641" spans="10:20" x14ac:dyDescent="0.25">
      <c r="J641" s="10"/>
      <c r="K641" s="10"/>
      <c r="L641" s="10" t="s">
        <v>61</v>
      </c>
      <c r="M641" s="10" t="s">
        <v>104</v>
      </c>
      <c r="N641" s="10"/>
      <c r="O641" s="30">
        <v>4.7712996955537932</v>
      </c>
      <c r="P641" s="30">
        <v>1.1045220963842954</v>
      </c>
      <c r="Q641" s="30">
        <v>51.888913387714844</v>
      </c>
      <c r="R641" s="30">
        <v>-6.4348105266277198</v>
      </c>
      <c r="S641" s="30">
        <v>3.7667132014298779</v>
      </c>
      <c r="T641" s="30">
        <v>3.4719982488987402E-3</v>
      </c>
    </row>
    <row r="642" spans="10:20" x14ac:dyDescent="0.25">
      <c r="J642" s="10"/>
      <c r="K642" s="10"/>
      <c r="L642" s="10" t="s">
        <v>61</v>
      </c>
      <c r="M642" s="10" t="s">
        <v>105</v>
      </c>
      <c r="N642" s="10"/>
      <c r="O642" s="30">
        <v>1.4235901874108488</v>
      </c>
      <c r="P642" s="30">
        <v>-1.3996175365217924</v>
      </c>
      <c r="Q642" s="30">
        <v>-19.627694006787578</v>
      </c>
      <c r="R642" s="30">
        <v>20.957815912603678</v>
      </c>
      <c r="S642" s="30">
        <v>1.1004218024950885</v>
      </c>
      <c r="T642" s="30">
        <v>1.5266661037317208E-3</v>
      </c>
    </row>
    <row r="643" spans="10:20" x14ac:dyDescent="0.25">
      <c r="J643" s="10"/>
      <c r="K643" s="10"/>
      <c r="L643" s="10" t="s">
        <v>61</v>
      </c>
      <c r="M643" s="10" t="s">
        <v>106</v>
      </c>
      <c r="N643" s="10"/>
      <c r="O643" s="30">
        <v>0.66514597492433869</v>
      </c>
      <c r="P643" s="30">
        <v>-13.566745220638033</v>
      </c>
      <c r="Q643" s="30">
        <v>171.83681247459717</v>
      </c>
      <c r="R643" s="30">
        <v>94.029631119201312</v>
      </c>
      <c r="S643" s="30">
        <v>0.53166793974712556</v>
      </c>
      <c r="T643" s="30">
        <v>5.8633081511444212E-4</v>
      </c>
    </row>
    <row r="644" spans="10:20" x14ac:dyDescent="0.25">
      <c r="J644" s="10"/>
      <c r="K644" s="10"/>
      <c r="L644" s="10" t="s">
        <v>61</v>
      </c>
      <c r="M644" s="10" t="s">
        <v>107</v>
      </c>
      <c r="N644" s="10"/>
      <c r="O644" s="30">
        <v>1.4140814917293811</v>
      </c>
      <c r="P644" s="30">
        <v>7.5678828656338339</v>
      </c>
      <c r="Q644" s="30">
        <v>-21.360838039687192</v>
      </c>
      <c r="R644" s="30">
        <v>-49.767039126773895</v>
      </c>
      <c r="S644" s="30">
        <v>1.093334589251697</v>
      </c>
      <c r="T644" s="30">
        <v>1.5849505354005582E-3</v>
      </c>
    </row>
    <row r="645" spans="10:20" x14ac:dyDescent="0.25">
      <c r="J645" s="10"/>
      <c r="K645" s="10"/>
      <c r="L645" s="10" t="s">
        <v>61</v>
      </c>
      <c r="M645" s="10" t="s">
        <v>108</v>
      </c>
      <c r="N645" s="10"/>
      <c r="O645" s="30">
        <v>0.70437362010941162</v>
      </c>
      <c r="P645" s="30">
        <v>18.315415429598119</v>
      </c>
      <c r="Q645" s="30">
        <v>84.989579863848746</v>
      </c>
      <c r="R645" s="30">
        <v>-124.59294227147232</v>
      </c>
      <c r="S645" s="30">
        <v>0.55522785743018799</v>
      </c>
      <c r="T645" s="30">
        <v>6.9078146085907097E-4</v>
      </c>
    </row>
    <row r="646" spans="10:20" x14ac:dyDescent="0.25">
      <c r="J646" s="10"/>
      <c r="K646" s="10"/>
      <c r="L646" s="10" t="s">
        <v>61</v>
      </c>
      <c r="M646" s="10" t="s">
        <v>109</v>
      </c>
      <c r="N646" s="10"/>
      <c r="O646" s="30">
        <v>-6.2290939503652609</v>
      </c>
      <c r="P646" s="30">
        <v>4.7571070180419621</v>
      </c>
      <c r="Q646" s="30">
        <v>-41.939652697281232</v>
      </c>
      <c r="R646" s="30">
        <v>-22.619970326495942</v>
      </c>
      <c r="S646" s="30">
        <v>-4.9030601639437705</v>
      </c>
      <c r="T646" s="30">
        <v>-2.1477807364318705E-3</v>
      </c>
    </row>
    <row r="647" spans="10:20" x14ac:dyDescent="0.25">
      <c r="J647" s="10"/>
      <c r="K647" s="10"/>
      <c r="L647" s="10" t="s">
        <v>61</v>
      </c>
      <c r="M647" s="10" t="s">
        <v>110</v>
      </c>
      <c r="N647" s="10"/>
      <c r="O647" s="30">
        <v>-6.9560635084969311</v>
      </c>
      <c r="P647" s="30">
        <v>1.5818542407161442</v>
      </c>
      <c r="Q647" s="30">
        <v>38.510284011947824</v>
      </c>
      <c r="R647" s="30">
        <v>-8.5045500500843971</v>
      </c>
      <c r="S647" s="30">
        <v>-5.4585688134638479</v>
      </c>
      <c r="T647" s="30">
        <v>-2.6455442499841884E-3</v>
      </c>
    </row>
    <row r="648" spans="10:20" x14ac:dyDescent="0.25">
      <c r="J648" s="10"/>
      <c r="K648" s="10"/>
      <c r="L648" s="10" t="s">
        <v>61</v>
      </c>
      <c r="M648" s="10" t="s">
        <v>111</v>
      </c>
      <c r="N648" s="10"/>
      <c r="O648" s="30">
        <v>6.0591719017149011</v>
      </c>
      <c r="P648" s="30">
        <v>4.7544036128458114</v>
      </c>
      <c r="Q648" s="30">
        <v>-42.334482986583566</v>
      </c>
      <c r="R648" s="30">
        <v>-22.59423816082198</v>
      </c>
      <c r="S648" s="30">
        <v>4.7627274995513513</v>
      </c>
      <c r="T648" s="30">
        <v>4.3289927262963697E-3</v>
      </c>
    </row>
    <row r="649" spans="10:20" x14ac:dyDescent="0.25">
      <c r="J649" s="10"/>
      <c r="K649" s="10"/>
      <c r="L649" s="10" t="s">
        <v>61</v>
      </c>
      <c r="M649" s="10" t="s">
        <v>112</v>
      </c>
      <c r="N649" s="10"/>
      <c r="O649" s="30">
        <v>5.3291053969312898</v>
      </c>
      <c r="P649" s="30">
        <v>1.5791549473983524</v>
      </c>
      <c r="Q649" s="30">
        <v>38.115579906146664</v>
      </c>
      <c r="R649" s="30">
        <v>-8.4788569899599153</v>
      </c>
      <c r="S649" s="30">
        <v>4.2047777777230015</v>
      </c>
      <c r="T649" s="30">
        <v>3.8207285035643411E-3</v>
      </c>
    </row>
    <row r="650" spans="10:20" x14ac:dyDescent="0.25">
      <c r="J650" s="10"/>
      <c r="K650" s="10"/>
      <c r="L650" s="10" t="s">
        <v>61</v>
      </c>
      <c r="M650" s="10" t="s">
        <v>113</v>
      </c>
      <c r="N650" s="10"/>
      <c r="O650" s="30">
        <v>1.6094281656613518</v>
      </c>
      <c r="P650" s="30">
        <v>-1.2032224224973009</v>
      </c>
      <c r="Q650" s="30">
        <v>-41.347317198856025</v>
      </c>
      <c r="R650" s="30">
        <v>21.957394609186085</v>
      </c>
      <c r="S650" s="30">
        <v>1.2422317789065691</v>
      </c>
      <c r="T650" s="30">
        <v>1.6592483422676529E-3</v>
      </c>
    </row>
    <row r="651" spans="10:20" x14ac:dyDescent="0.25">
      <c r="J651" s="10"/>
      <c r="K651" s="10"/>
      <c r="L651" s="10" t="s">
        <v>61</v>
      </c>
      <c r="M651" s="10" t="s">
        <v>114</v>
      </c>
      <c r="N651" s="10"/>
      <c r="O651" s="30">
        <v>0.76671237400967407</v>
      </c>
      <c r="P651" s="30">
        <v>-14.722253182626458</v>
      </c>
      <c r="Q651" s="30">
        <v>171.39102333601591</v>
      </c>
      <c r="R651" s="30">
        <v>103.14830039429455</v>
      </c>
      <c r="S651" s="30">
        <v>0.6102830425199437</v>
      </c>
      <c r="T651" s="30">
        <v>6.1443135491512108E-4</v>
      </c>
    </row>
    <row r="652" spans="10:20" x14ac:dyDescent="0.25">
      <c r="J652" s="10"/>
      <c r="K652" s="10"/>
      <c r="L652" s="10" t="s">
        <v>61</v>
      </c>
      <c r="M652" s="10" t="s">
        <v>115</v>
      </c>
      <c r="N652" s="10"/>
      <c r="O652" s="30">
        <v>1.5988629482374992</v>
      </c>
      <c r="P652" s="30">
        <v>8.7606669132311712</v>
      </c>
      <c r="Q652" s="30">
        <v>-43.273032790966703</v>
      </c>
      <c r="R652" s="30">
        <v>-56.625777656788998</v>
      </c>
      <c r="S652" s="30">
        <v>1.2343570975250231</v>
      </c>
      <c r="T652" s="30">
        <v>1.7240088218996943E-3</v>
      </c>
    </row>
    <row r="653" spans="10:20" x14ac:dyDescent="0.25">
      <c r="J653" s="10"/>
      <c r="K653" s="10"/>
      <c r="L653" s="10" t="s">
        <v>61</v>
      </c>
      <c r="M653" s="10" t="s">
        <v>116</v>
      </c>
      <c r="N653" s="10"/>
      <c r="O653" s="30">
        <v>0.81029864643753269</v>
      </c>
      <c r="P653" s="30">
        <v>20.70236976208038</v>
      </c>
      <c r="Q653" s="30">
        <v>74.894098212962106</v>
      </c>
      <c r="R653" s="30">
        <v>-139.76567003978727</v>
      </c>
      <c r="S653" s="30">
        <v>0.63646072883445737</v>
      </c>
      <c r="T653" s="30">
        <v>7.3048762796470859E-4</v>
      </c>
    </row>
    <row r="654" spans="10:20" x14ac:dyDescent="0.25">
      <c r="J654" s="10"/>
      <c r="K654" s="10"/>
      <c r="L654" s="10" t="s">
        <v>62</v>
      </c>
      <c r="M654" s="10" t="s">
        <v>91</v>
      </c>
      <c r="N654" s="10"/>
      <c r="O654" s="30">
        <v>-0.16862477314372318</v>
      </c>
      <c r="P654" s="30">
        <v>0.10490930121970254</v>
      </c>
      <c r="Q654" s="30">
        <v>67.703884679870256</v>
      </c>
      <c r="R654" s="30">
        <v>0.5249178836236692</v>
      </c>
      <c r="S654" s="30">
        <v>-0.12426485475875709</v>
      </c>
      <c r="T654" s="30">
        <v>-7.0984314119031209E-4</v>
      </c>
    </row>
    <row r="655" spans="10:20" x14ac:dyDescent="0.25">
      <c r="J655" s="10"/>
      <c r="K655" s="10"/>
      <c r="L655" s="10" t="s">
        <v>62</v>
      </c>
      <c r="M655" s="10" t="s">
        <v>92</v>
      </c>
      <c r="N655" s="10"/>
      <c r="O655" s="30">
        <v>-0.22000366443447866</v>
      </c>
      <c r="P655" s="30">
        <v>1.7166376221443995</v>
      </c>
      <c r="Q655" s="30">
        <v>124.62261706874153</v>
      </c>
      <c r="R655" s="30">
        <v>-6.0470153013648078</v>
      </c>
      <c r="S655" s="30">
        <v>-0.15859467907549224</v>
      </c>
      <c r="T655" s="30">
        <v>-5.3303900720269603E-4</v>
      </c>
    </row>
    <row r="656" spans="10:20" x14ac:dyDescent="0.25">
      <c r="J656" s="10"/>
      <c r="K656" s="10"/>
      <c r="L656" s="10" t="s">
        <v>62</v>
      </c>
      <c r="M656" s="10" t="s">
        <v>93</v>
      </c>
      <c r="N656" s="10"/>
      <c r="O656" s="30">
        <v>-5.8899327245874042</v>
      </c>
      <c r="P656" s="30">
        <v>-6.2076264513487853</v>
      </c>
      <c r="Q656" s="30">
        <v>-93.176092458502424</v>
      </c>
      <c r="R656" s="30">
        <v>28.534338735105447</v>
      </c>
      <c r="S656" s="30">
        <v>-4.6415928204741448</v>
      </c>
      <c r="T656" s="30">
        <v>1.9271971950358753E-3</v>
      </c>
    </row>
    <row r="657" spans="10:20" x14ac:dyDescent="0.25">
      <c r="J657" s="10"/>
      <c r="K657" s="10"/>
      <c r="L657" s="10" t="s">
        <v>62</v>
      </c>
      <c r="M657" s="10" t="s">
        <v>94</v>
      </c>
      <c r="N657" s="10"/>
      <c r="O657" s="30">
        <v>-6.4896838176604961</v>
      </c>
      <c r="P657" s="30">
        <v>-3.0323345378688455</v>
      </c>
      <c r="Q657" s="30">
        <v>-12.730319123607577</v>
      </c>
      <c r="R657" s="30">
        <v>14.41857923055565</v>
      </c>
      <c r="S657" s="30">
        <v>-5.0969718263632799</v>
      </c>
      <c r="T657" s="30">
        <v>2.3503507463750704E-3</v>
      </c>
    </row>
    <row r="658" spans="10:20" x14ac:dyDescent="0.25">
      <c r="J658" s="10"/>
      <c r="K658" s="10"/>
      <c r="L658" s="10" t="s">
        <v>62</v>
      </c>
      <c r="M658" s="10" t="s">
        <v>95</v>
      </c>
      <c r="N658" s="10"/>
      <c r="O658" s="30">
        <v>5.8319290378500499</v>
      </c>
      <c r="P658" s="30">
        <v>-6.2050279863260194</v>
      </c>
      <c r="Q658" s="30">
        <v>-93.552376256889616</v>
      </c>
      <c r="R658" s="30">
        <v>28.509585873354734</v>
      </c>
      <c r="S658" s="30">
        <v>4.5783803048558918</v>
      </c>
      <c r="T658" s="30">
        <v>-4.3585124034781148E-3</v>
      </c>
    </row>
    <row r="659" spans="10:20" x14ac:dyDescent="0.25">
      <c r="J659" s="10"/>
      <c r="K659" s="10"/>
      <c r="L659" s="10" t="s">
        <v>62</v>
      </c>
      <c r="M659" s="10" t="s">
        <v>96</v>
      </c>
      <c r="N659" s="10"/>
      <c r="O659" s="30">
        <v>5.2291912787305321</v>
      </c>
      <c r="P659" s="30">
        <v>-3.0297401649173228</v>
      </c>
      <c r="Q659" s="30">
        <v>-13.106480358982035</v>
      </c>
      <c r="R659" s="30">
        <v>14.393865290388366</v>
      </c>
      <c r="S659" s="30">
        <v>4.1206470221675948</v>
      </c>
      <c r="T659" s="30">
        <v>-3.9248942598072963E-3</v>
      </c>
    </row>
    <row r="660" spans="10:20" x14ac:dyDescent="0.25">
      <c r="J660" s="10"/>
      <c r="K660" s="10"/>
      <c r="L660" s="10" t="s">
        <v>62</v>
      </c>
      <c r="M660" s="10" t="s">
        <v>97</v>
      </c>
      <c r="N660" s="10"/>
      <c r="O660" s="30">
        <v>1.3082473684505496</v>
      </c>
      <c r="P660" s="30">
        <v>-10.21130602606245</v>
      </c>
      <c r="Q660" s="30">
        <v>-94.488848019492067</v>
      </c>
      <c r="R660" s="30">
        <v>62.541267205035759</v>
      </c>
      <c r="S660" s="30">
        <v>1.0001169834838752</v>
      </c>
      <c r="T660" s="30">
        <v>-1.7255124843665644E-3</v>
      </c>
    </row>
    <row r="661" spans="10:20" x14ac:dyDescent="0.25">
      <c r="J661" s="10"/>
      <c r="K661" s="10"/>
      <c r="L661" s="10" t="s">
        <v>62</v>
      </c>
      <c r="M661" s="10" t="s">
        <v>98</v>
      </c>
      <c r="N661" s="10"/>
      <c r="O661" s="30">
        <v>0.63556085628612546</v>
      </c>
      <c r="P661" s="30">
        <v>-22.152965400976928</v>
      </c>
      <c r="Q661" s="30">
        <v>23.674621316613838</v>
      </c>
      <c r="R661" s="30">
        <v>145.68079138250758</v>
      </c>
      <c r="S661" s="30">
        <v>0.49343804981181766</v>
      </c>
      <c r="T661" s="30">
        <v>-8.1168736854716074E-4</v>
      </c>
    </row>
    <row r="662" spans="10:20" x14ac:dyDescent="0.25">
      <c r="J662" s="10"/>
      <c r="K662" s="10"/>
      <c r="L662" s="10" t="s">
        <v>62</v>
      </c>
      <c r="M662" s="10" t="s">
        <v>99</v>
      </c>
      <c r="N662" s="10"/>
      <c r="O662" s="30">
        <v>1.3204362007179717</v>
      </c>
      <c r="P662" s="30">
        <v>-0.24741452915628503</v>
      </c>
      <c r="Q662" s="30">
        <v>-92.563233349258084</v>
      </c>
      <c r="R662" s="30">
        <v>-16.041935201421833</v>
      </c>
      <c r="S662" s="30">
        <v>1.009263191686792</v>
      </c>
      <c r="T662" s="30">
        <v>-1.6666864347465898E-3</v>
      </c>
    </row>
    <row r="663" spans="10:20" x14ac:dyDescent="0.25">
      <c r="J663" s="10"/>
      <c r="K663" s="10"/>
      <c r="L663" s="10" t="s">
        <v>62</v>
      </c>
      <c r="M663" s="10" t="s">
        <v>100</v>
      </c>
      <c r="N663" s="10"/>
      <c r="O663" s="30">
        <v>0.60151594413154585</v>
      </c>
      <c r="P663" s="30">
        <v>13.271676802015408</v>
      </c>
      <c r="Q663" s="30">
        <v>120.17091502516074</v>
      </c>
      <c r="R663" s="30">
        <v>-97.233348277226398</v>
      </c>
      <c r="S663" s="30">
        <v>0.47471798079765337</v>
      </c>
      <c r="T663" s="30">
        <v>-7.4453101355292299E-4</v>
      </c>
    </row>
    <row r="664" spans="10:20" x14ac:dyDescent="0.25">
      <c r="J664" s="10"/>
      <c r="K664" s="10"/>
      <c r="L664" s="10" t="s">
        <v>62</v>
      </c>
      <c r="M664" s="10" t="s">
        <v>101</v>
      </c>
      <c r="N664" s="10"/>
      <c r="O664" s="30">
        <v>-5.3691808207337921</v>
      </c>
      <c r="P664" s="30">
        <v>-3.9646445551672396</v>
      </c>
      <c r="Q664" s="30">
        <v>-20.169362355793879</v>
      </c>
      <c r="R664" s="30">
        <v>19.161463464968794</v>
      </c>
      <c r="S664" s="30">
        <v>-4.2241898482193401</v>
      </c>
      <c r="T664" s="30">
        <v>1.8402972954008729E-3</v>
      </c>
    </row>
    <row r="665" spans="10:20" x14ac:dyDescent="0.25">
      <c r="J665" s="10"/>
      <c r="K665" s="10"/>
      <c r="L665" s="10" t="s">
        <v>62</v>
      </c>
      <c r="M665" s="10" t="s">
        <v>102</v>
      </c>
      <c r="N665" s="10"/>
      <c r="O665" s="30">
        <v>-5.9089568044995744</v>
      </c>
      <c r="P665" s="30">
        <v>-1.1068818330352941</v>
      </c>
      <c r="Q665" s="30">
        <v>52.231833645611481</v>
      </c>
      <c r="R665" s="30">
        <v>6.457279910873976</v>
      </c>
      <c r="S665" s="30">
        <v>-4.634030953519563</v>
      </c>
      <c r="T665" s="30">
        <v>2.2211354916061481E-3</v>
      </c>
    </row>
    <row r="666" spans="10:20" x14ac:dyDescent="0.25">
      <c r="J666" s="10"/>
      <c r="K666" s="10"/>
      <c r="L666" s="10" t="s">
        <v>62</v>
      </c>
      <c r="M666" s="10" t="s">
        <v>103</v>
      </c>
      <c r="N666" s="10"/>
      <c r="O666" s="30">
        <v>5.1804947654599163</v>
      </c>
      <c r="P666" s="30">
        <v>-3.9623059366467506</v>
      </c>
      <c r="Q666" s="30">
        <v>-20.508017774342353</v>
      </c>
      <c r="R666" s="30">
        <v>19.139185889393151</v>
      </c>
      <c r="S666" s="30">
        <v>4.0737859645776924</v>
      </c>
      <c r="T666" s="30">
        <v>-3.8168413432617182E-3</v>
      </c>
    </row>
    <row r="667" spans="10:20" x14ac:dyDescent="0.25">
      <c r="J667" s="10"/>
      <c r="K667" s="10"/>
      <c r="L667" s="10" t="s">
        <v>62</v>
      </c>
      <c r="M667" s="10" t="s">
        <v>104</v>
      </c>
      <c r="N667" s="10"/>
      <c r="O667" s="30">
        <v>4.6380307822523505</v>
      </c>
      <c r="P667" s="30">
        <v>-1.1045468973789236</v>
      </c>
      <c r="Q667" s="30">
        <v>51.893288533774474</v>
      </c>
      <c r="R667" s="30">
        <v>6.4350373647234198</v>
      </c>
      <c r="S667" s="30">
        <v>3.661826010158225</v>
      </c>
      <c r="T667" s="30">
        <v>-3.4265850139579817E-3</v>
      </c>
    </row>
    <row r="668" spans="10:20" x14ac:dyDescent="0.25">
      <c r="J668" s="10"/>
      <c r="K668" s="10"/>
      <c r="L668" s="10" t="s">
        <v>62</v>
      </c>
      <c r="M668" s="10" t="s">
        <v>105</v>
      </c>
      <c r="N668" s="10"/>
      <c r="O668" s="30">
        <v>1.109181263000367</v>
      </c>
      <c r="P668" s="30">
        <v>-7.5679561724095379</v>
      </c>
      <c r="Q668" s="30">
        <v>-21.350842360684556</v>
      </c>
      <c r="R668" s="30">
        <v>49.767699087906081</v>
      </c>
      <c r="S668" s="30">
        <v>0.8533489753428769</v>
      </c>
      <c r="T668" s="30">
        <v>-1.4471414160613231E-3</v>
      </c>
    </row>
    <row r="669" spans="10:20" x14ac:dyDescent="0.25">
      <c r="J669" s="10"/>
      <c r="K669" s="10"/>
      <c r="L669" s="10" t="s">
        <v>62</v>
      </c>
      <c r="M669" s="10" t="s">
        <v>106</v>
      </c>
      <c r="N669" s="10"/>
      <c r="O669" s="30">
        <v>0.50376340205238523</v>
      </c>
      <c r="P669" s="30">
        <v>-18.315449609832566</v>
      </c>
      <c r="Q669" s="30">
        <v>84.996280041810749</v>
      </c>
      <c r="R669" s="30">
        <v>124.59327084763072</v>
      </c>
      <c r="S669" s="30">
        <v>0.39733793503802495</v>
      </c>
      <c r="T669" s="30">
        <v>-6.246988118238599E-4</v>
      </c>
    </row>
    <row r="670" spans="10:20" x14ac:dyDescent="0.25">
      <c r="J670" s="10"/>
      <c r="K670" s="10"/>
      <c r="L670" s="10" t="s">
        <v>62</v>
      </c>
      <c r="M670" s="10" t="s">
        <v>107</v>
      </c>
      <c r="N670" s="10"/>
      <c r="O670" s="30">
        <v>1.1201512120410468</v>
      </c>
      <c r="P670" s="30">
        <v>1.3995461748060105</v>
      </c>
      <c r="Q670" s="30">
        <v>-19.617789157473972</v>
      </c>
      <c r="R670" s="30">
        <v>-20.957183077905761</v>
      </c>
      <c r="S670" s="30">
        <v>0.86158056272550199</v>
      </c>
      <c r="T670" s="30">
        <v>-1.3941979714033462E-3</v>
      </c>
    </row>
    <row r="671" spans="10:20" x14ac:dyDescent="0.25">
      <c r="J671" s="10"/>
      <c r="K671" s="10"/>
      <c r="L671" s="10" t="s">
        <v>62</v>
      </c>
      <c r="M671" s="10" t="s">
        <v>108</v>
      </c>
      <c r="N671" s="10"/>
      <c r="O671" s="30">
        <v>0.47312298111326351</v>
      </c>
      <c r="P671" s="30">
        <v>13.566728372860533</v>
      </c>
      <c r="Q671" s="30">
        <v>171.842944379503</v>
      </c>
      <c r="R671" s="30">
        <v>-94.029454846129866</v>
      </c>
      <c r="S671" s="30">
        <v>0.38048987292527714</v>
      </c>
      <c r="T671" s="30">
        <v>-5.6425809232904587E-4</v>
      </c>
    </row>
    <row r="672" spans="10:20" x14ac:dyDescent="0.25">
      <c r="J672" s="10"/>
      <c r="K672" s="10"/>
      <c r="L672" s="10" t="s">
        <v>62</v>
      </c>
      <c r="M672" s="10" t="s">
        <v>109</v>
      </c>
      <c r="N672" s="10"/>
      <c r="O672" s="30">
        <v>-5.9361737267490842</v>
      </c>
      <c r="P672" s="30">
        <v>-4.7570709625165586</v>
      </c>
      <c r="Q672" s="30">
        <v>-41.949233308518266</v>
      </c>
      <c r="R672" s="30">
        <v>22.619598868615814</v>
      </c>
      <c r="S672" s="30">
        <v>-4.6724896623592063</v>
      </c>
      <c r="T672" s="30">
        <v>2.0863209156247297E-3</v>
      </c>
    </row>
    <row r="673" spans="10:20" x14ac:dyDescent="0.25">
      <c r="J673" s="10"/>
      <c r="K673" s="10"/>
      <c r="L673" s="10" t="s">
        <v>62</v>
      </c>
      <c r="M673" s="10" t="s">
        <v>110</v>
      </c>
      <c r="N673" s="10"/>
      <c r="O673" s="30">
        <v>-6.5359248198221751</v>
      </c>
      <c r="P673" s="30">
        <v>-1.5817790490366179</v>
      </c>
      <c r="Q673" s="30">
        <v>38.496540026376586</v>
      </c>
      <c r="R673" s="30">
        <v>8.5038393640660193</v>
      </c>
      <c r="S673" s="30">
        <v>-5.1278686682483423</v>
      </c>
      <c r="T673" s="30">
        <v>2.5094744669639248E-3</v>
      </c>
    </row>
    <row r="674" spans="10:20" x14ac:dyDescent="0.25">
      <c r="J674" s="10"/>
      <c r="K674" s="10"/>
      <c r="L674" s="10" t="s">
        <v>62</v>
      </c>
      <c r="M674" s="10" t="s">
        <v>111</v>
      </c>
      <c r="N674" s="10"/>
      <c r="O674" s="30">
        <v>5.78568803568837</v>
      </c>
      <c r="P674" s="30">
        <v>-4.7544724974937917</v>
      </c>
      <c r="Q674" s="30">
        <v>-42.325517106905458</v>
      </c>
      <c r="R674" s="30">
        <v>22.594846006865101</v>
      </c>
      <c r="S674" s="30">
        <v>4.5474834629708303</v>
      </c>
      <c r="T674" s="30">
        <v>-4.19938868288926E-3</v>
      </c>
    </row>
    <row r="675" spans="10:20" x14ac:dyDescent="0.25">
      <c r="J675" s="10"/>
      <c r="K675" s="10"/>
      <c r="L675" s="10" t="s">
        <v>62</v>
      </c>
      <c r="M675" s="10" t="s">
        <v>112</v>
      </c>
      <c r="N675" s="10"/>
      <c r="O675" s="30">
        <v>5.1829502765688522</v>
      </c>
      <c r="P675" s="30">
        <v>-1.5791846760850956</v>
      </c>
      <c r="Q675" s="30">
        <v>38.120378791002125</v>
      </c>
      <c r="R675" s="30">
        <v>8.4791254238987364</v>
      </c>
      <c r="S675" s="30">
        <v>4.0897501802825333</v>
      </c>
      <c r="T675" s="30">
        <v>-3.7657705392184415E-3</v>
      </c>
    </row>
    <row r="676" spans="10:20" x14ac:dyDescent="0.25">
      <c r="J676" s="10"/>
      <c r="K676" s="10"/>
      <c r="L676" s="10" t="s">
        <v>62</v>
      </c>
      <c r="M676" s="10" t="s">
        <v>113</v>
      </c>
      <c r="N676" s="10"/>
      <c r="O676" s="30">
        <v>1.2620063662888696</v>
      </c>
      <c r="P676" s="30">
        <v>-8.7607505372302228</v>
      </c>
      <c r="Q676" s="30">
        <v>-43.261988869507903</v>
      </c>
      <c r="R676" s="30">
        <v>56.626527338546126</v>
      </c>
      <c r="S676" s="30">
        <v>0.96922014159881353</v>
      </c>
      <c r="T676" s="30">
        <v>-1.5663887637777103E-3</v>
      </c>
    </row>
    <row r="677" spans="10:20" x14ac:dyDescent="0.25">
      <c r="J677" s="10"/>
      <c r="K677" s="10"/>
      <c r="L677" s="10" t="s">
        <v>62</v>
      </c>
      <c r="M677" s="10" t="s">
        <v>114</v>
      </c>
      <c r="N677" s="10"/>
      <c r="O677" s="30">
        <v>0.58931985412444554</v>
      </c>
      <c r="P677" s="30">
        <v>-20.702409912144699</v>
      </c>
      <c r="Q677" s="30">
        <v>74.901480466597988</v>
      </c>
      <c r="R677" s="30">
        <v>139.76605151601797</v>
      </c>
      <c r="S677" s="30">
        <v>0.46254120792675602</v>
      </c>
      <c r="T677" s="30">
        <v>-6.5256364795830636E-4</v>
      </c>
    </row>
    <row r="678" spans="10:20" x14ac:dyDescent="0.25">
      <c r="J678" s="10"/>
      <c r="K678" s="10"/>
      <c r="L678" s="10" t="s">
        <v>62</v>
      </c>
      <c r="M678" s="10" t="s">
        <v>115</v>
      </c>
      <c r="N678" s="10"/>
      <c r="O678" s="30">
        <v>1.2741951985562918</v>
      </c>
      <c r="P678" s="30">
        <v>1.2031409596759424</v>
      </c>
      <c r="Q678" s="30">
        <v>-41.336374199273926</v>
      </c>
      <c r="R678" s="30">
        <v>-21.956675067911462</v>
      </c>
      <c r="S678" s="30">
        <v>0.97836634980173043</v>
      </c>
      <c r="T678" s="30">
        <v>-1.5075627141577356E-3</v>
      </c>
    </row>
    <row r="679" spans="10:20" x14ac:dyDescent="0.25">
      <c r="J679" s="10"/>
      <c r="K679" s="10"/>
      <c r="L679" s="10" t="s">
        <v>62</v>
      </c>
      <c r="M679" s="10" t="s">
        <v>116</v>
      </c>
      <c r="N679" s="10"/>
      <c r="O679" s="30">
        <v>0.55527494196986593</v>
      </c>
      <c r="P679" s="30">
        <v>14.722232290847636</v>
      </c>
      <c r="Q679" s="30">
        <v>171.39777417514489</v>
      </c>
      <c r="R679" s="30">
        <v>-103.14808814371602</v>
      </c>
      <c r="S679" s="30">
        <v>0.44382113891259173</v>
      </c>
      <c r="T679" s="30">
        <v>-5.8540729296406851E-4</v>
      </c>
    </row>
    <row r="680" spans="10:20" x14ac:dyDescent="0.25">
      <c r="J680" s="10"/>
      <c r="K680" s="10"/>
      <c r="L680" s="10" t="s">
        <v>63</v>
      </c>
      <c r="M680" s="10" t="s">
        <v>91</v>
      </c>
      <c r="N680" s="10"/>
      <c r="O680" s="30">
        <v>-9.7978812229860587E-2</v>
      </c>
      <c r="P680" s="30">
        <v>-6.7372343262017891</v>
      </c>
      <c r="Q680" s="30">
        <v>49.234260443728516</v>
      </c>
      <c r="R680" s="30">
        <v>29.917145828478585</v>
      </c>
      <c r="S680" s="30">
        <v>-7.4679963039086167E-2</v>
      </c>
      <c r="T680" s="30">
        <v>1.4667629878400332E-3</v>
      </c>
    </row>
    <row r="681" spans="10:20" x14ac:dyDescent="0.25">
      <c r="J681" s="10"/>
      <c r="K681" s="10"/>
      <c r="L681" s="10" t="s">
        <v>63</v>
      </c>
      <c r="M681" s="10" t="s">
        <v>92</v>
      </c>
      <c r="N681" s="10"/>
      <c r="O681" s="30">
        <v>-7.9299935307030833E-2</v>
      </c>
      <c r="P681" s="30">
        <v>-18.738802653095473</v>
      </c>
      <c r="Q681" s="30">
        <v>76.999530253784499</v>
      </c>
      <c r="R681" s="30">
        <v>82.508516887079224</v>
      </c>
      <c r="S681" s="30">
        <v>-5.7861361183887808E-2</v>
      </c>
      <c r="T681" s="30">
        <v>1.477364422311736E-3</v>
      </c>
    </row>
    <row r="682" spans="10:20" x14ac:dyDescent="0.25">
      <c r="J682" s="10"/>
      <c r="K682" s="10"/>
      <c r="L682" s="10" t="s">
        <v>63</v>
      </c>
      <c r="M682" s="10" t="s">
        <v>93</v>
      </c>
      <c r="N682" s="10"/>
      <c r="O682" s="30">
        <v>-5.8305228252483694</v>
      </c>
      <c r="P682" s="30">
        <v>5.0607628628530161</v>
      </c>
      <c r="Q682" s="30">
        <v>-34.421672872976096</v>
      </c>
      <c r="R682" s="30">
        <v>-53.315078800335897</v>
      </c>
      <c r="S682" s="30">
        <v>-4.5947827084241464</v>
      </c>
      <c r="T682" s="30">
        <v>2.2339991931863232E-3</v>
      </c>
    </row>
    <row r="683" spans="10:20" x14ac:dyDescent="0.25">
      <c r="J683" s="10"/>
      <c r="K683" s="10"/>
      <c r="L683" s="10" t="s">
        <v>63</v>
      </c>
      <c r="M683" s="10" t="s">
        <v>94</v>
      </c>
      <c r="N683" s="10"/>
      <c r="O683" s="30">
        <v>-6.1552327627625294</v>
      </c>
      <c r="P683" s="30">
        <v>0.55561451506079984</v>
      </c>
      <c r="Q683" s="30">
        <v>7.7358506617247098</v>
      </c>
      <c r="R683" s="30">
        <v>-15.8616584823981</v>
      </c>
      <c r="S683" s="30">
        <v>-4.8317268636812445</v>
      </c>
      <c r="T683" s="30">
        <v>2.2704365004210252E-3</v>
      </c>
    </row>
    <row r="684" spans="10:20" x14ac:dyDescent="0.25">
      <c r="J684" s="10"/>
      <c r="K684" s="10"/>
      <c r="L684" s="10" t="s">
        <v>63</v>
      </c>
      <c r="M684" s="10" t="s">
        <v>95</v>
      </c>
      <c r="N684" s="10"/>
      <c r="O684" s="30">
        <v>5.53347659048735</v>
      </c>
      <c r="P684" s="30">
        <v>5.0591469060768137</v>
      </c>
      <c r="Q684" s="30">
        <v>-34.908184331909958</v>
      </c>
      <c r="R684" s="30">
        <v>-53.309688760242672</v>
      </c>
      <c r="S684" s="30">
        <v>4.3516726207032717</v>
      </c>
      <c r="T684" s="30">
        <v>6.2170670972354369E-4</v>
      </c>
    </row>
    <row r="685" spans="10:20" x14ac:dyDescent="0.25">
      <c r="J685" s="10"/>
      <c r="K685" s="10"/>
      <c r="L685" s="10" t="s">
        <v>63</v>
      </c>
      <c r="M685" s="10" t="s">
        <v>96</v>
      </c>
      <c r="N685" s="10"/>
      <c r="O685" s="30">
        <v>5.2124784955765602</v>
      </c>
      <c r="P685" s="30">
        <v>0.55400093828344499</v>
      </c>
      <c r="Q685" s="30">
        <v>7.2491585396482536</v>
      </c>
      <c r="R685" s="30">
        <v>-15.856274603767581</v>
      </c>
      <c r="S685" s="30">
        <v>4.1176501139614654</v>
      </c>
      <c r="T685" s="30">
        <v>6.5976751536714155E-4</v>
      </c>
    </row>
    <row r="686" spans="10:20" x14ac:dyDescent="0.25">
      <c r="J686" s="10"/>
      <c r="K686" s="10"/>
      <c r="L686" s="10" t="s">
        <v>63</v>
      </c>
      <c r="M686" s="10" t="s">
        <v>97</v>
      </c>
      <c r="N686" s="10"/>
      <c r="O686" s="30">
        <v>0.69591874572906542</v>
      </c>
      <c r="P686" s="30">
        <v>3.7854879917114577</v>
      </c>
      <c r="Q686" s="30">
        <v>-29.771140363656002</v>
      </c>
      <c r="R686" s="30">
        <v>-22.974939021072863</v>
      </c>
      <c r="S686" s="30">
        <v>0.50802062573885243</v>
      </c>
      <c r="T686" s="30">
        <v>1.3565267852521474E-3</v>
      </c>
    </row>
    <row r="687" spans="10:20" x14ac:dyDescent="0.25">
      <c r="J687" s="10"/>
      <c r="K687" s="10"/>
      <c r="L687" s="10" t="s">
        <v>63</v>
      </c>
      <c r="M687" s="10" t="s">
        <v>98</v>
      </c>
      <c r="N687" s="10"/>
      <c r="O687" s="30">
        <v>0.46791277781718271</v>
      </c>
      <c r="P687" s="30">
        <v>-12.47023488665938</v>
      </c>
      <c r="Q687" s="30">
        <v>23.757620649380446</v>
      </c>
      <c r="R687" s="30">
        <v>93.342438839592972</v>
      </c>
      <c r="S687" s="30">
        <v>0.34138609507635775</v>
      </c>
      <c r="T687" s="30">
        <v>1.4578257939301057E-3</v>
      </c>
    </row>
    <row r="688" spans="10:20" x14ac:dyDescent="0.25">
      <c r="J688" s="10"/>
      <c r="K688" s="10"/>
      <c r="L688" s="10" t="s">
        <v>63</v>
      </c>
      <c r="M688" s="10" t="s">
        <v>99</v>
      </c>
      <c r="N688" s="10"/>
      <c r="O688" s="30">
        <v>0.9396418322252249</v>
      </c>
      <c r="P688" s="30">
        <v>51.939290830293373</v>
      </c>
      <c r="Q688" s="30">
        <v>-46.816157018451932</v>
      </c>
      <c r="R688" s="30">
        <v>-220.31067658688193</v>
      </c>
      <c r="S688" s="30">
        <v>0.69117191992696547</v>
      </c>
      <c r="T688" s="30">
        <v>1.4382519544325427E-3</v>
      </c>
    </row>
    <row r="689" spans="10:20" x14ac:dyDescent="0.25">
      <c r="J689" s="10"/>
      <c r="K689" s="10"/>
      <c r="L689" s="10" t="s">
        <v>63</v>
      </c>
      <c r="M689" s="10" t="s">
        <v>100</v>
      </c>
      <c r="N689" s="10"/>
      <c r="O689" s="30">
        <v>0.66324977280574671</v>
      </c>
      <c r="P689" s="30">
        <v>26.287581059980543</v>
      </c>
      <c r="Q689" s="30">
        <v>71.549588000237975</v>
      </c>
      <c r="R689" s="30">
        <v>-113.50459675481342</v>
      </c>
      <c r="S689" s="30">
        <v>0.49852669774395669</v>
      </c>
      <c r="T689" s="30">
        <v>1.5300243704837058E-3</v>
      </c>
    </row>
    <row r="690" spans="10:20" x14ac:dyDescent="0.25">
      <c r="J690" s="10"/>
      <c r="K690" s="10"/>
      <c r="L690" s="10" t="s">
        <v>63</v>
      </c>
      <c r="M690" s="10" t="s">
        <v>101</v>
      </c>
      <c r="N690" s="10"/>
      <c r="O690" s="30">
        <v>-5.2385895470236878</v>
      </c>
      <c r="P690" s="30">
        <v>-8.1206051829461483</v>
      </c>
      <c r="Q690" s="30">
        <v>1.7091902687503457</v>
      </c>
      <c r="R690" s="30">
        <v>7.5995147211461944</v>
      </c>
      <c r="S690" s="30">
        <v>-4.1259538320304419</v>
      </c>
      <c r="T690" s="30">
        <v>2.1678770071233968E-3</v>
      </c>
    </row>
    <row r="691" spans="10:20" x14ac:dyDescent="0.25">
      <c r="J691" s="10"/>
      <c r="K691" s="10"/>
      <c r="L691" s="10" t="s">
        <v>63</v>
      </c>
      <c r="M691" s="10" t="s">
        <v>102</v>
      </c>
      <c r="N691" s="10"/>
      <c r="O691" s="30">
        <v>-5.5308284907864333</v>
      </c>
      <c r="P691" s="30">
        <v>-12.175238695959143</v>
      </c>
      <c r="Q691" s="30">
        <v>39.650961449981068</v>
      </c>
      <c r="R691" s="30">
        <v>41.307593007290194</v>
      </c>
      <c r="S691" s="30">
        <v>-4.3392035717618302</v>
      </c>
      <c r="T691" s="30">
        <v>2.2006705836346285E-3</v>
      </c>
    </row>
    <row r="692" spans="10:20" x14ac:dyDescent="0.25">
      <c r="J692" s="10"/>
      <c r="K692" s="10"/>
      <c r="L692" s="10" t="s">
        <v>63</v>
      </c>
      <c r="M692" s="10" t="s">
        <v>103</v>
      </c>
      <c r="N692" s="10"/>
      <c r="O692" s="30">
        <v>4.9890099271384587</v>
      </c>
      <c r="P692" s="30">
        <v>-8.1220595440447312</v>
      </c>
      <c r="Q692" s="30">
        <v>1.2713299557098652</v>
      </c>
      <c r="R692" s="30">
        <v>7.6043657572300862</v>
      </c>
      <c r="S692" s="30">
        <v>3.9258559641842341</v>
      </c>
      <c r="T692" s="30">
        <v>7.1681377200689543E-4</v>
      </c>
    </row>
    <row r="693" spans="10:20" x14ac:dyDescent="0.25">
      <c r="J693" s="10"/>
      <c r="K693" s="10"/>
      <c r="L693" s="10" t="s">
        <v>63</v>
      </c>
      <c r="M693" s="10" t="s">
        <v>104</v>
      </c>
      <c r="N693" s="10"/>
      <c r="O693" s="30">
        <v>4.7001116417187481</v>
      </c>
      <c r="P693" s="30">
        <v>-12.176690915058764</v>
      </c>
      <c r="Q693" s="30">
        <v>39.212938540112262</v>
      </c>
      <c r="R693" s="30">
        <v>41.312438498057666</v>
      </c>
      <c r="S693" s="30">
        <v>3.7152357081166092</v>
      </c>
      <c r="T693" s="30">
        <v>7.5106849708613346E-4</v>
      </c>
    </row>
    <row r="694" spans="10:20" x14ac:dyDescent="0.25">
      <c r="J694" s="10"/>
      <c r="K694" s="10"/>
      <c r="L694" s="10" t="s">
        <v>63</v>
      </c>
      <c r="M694" s="10" t="s">
        <v>105</v>
      </c>
      <c r="N694" s="10"/>
      <c r="O694" s="30">
        <v>0.63520786685600261</v>
      </c>
      <c r="P694" s="30">
        <v>-9.2683525669735509</v>
      </c>
      <c r="Q694" s="30">
        <v>5.8946695271384364</v>
      </c>
      <c r="R694" s="30">
        <v>34.905640522482912</v>
      </c>
      <c r="S694" s="30">
        <v>0.46656916871625698</v>
      </c>
      <c r="T694" s="30">
        <v>1.3781518399826388E-3</v>
      </c>
    </row>
    <row r="695" spans="10:20" x14ac:dyDescent="0.25">
      <c r="J695" s="10"/>
      <c r="K695" s="10"/>
      <c r="L695" s="10" t="s">
        <v>63</v>
      </c>
      <c r="M695" s="10" t="s">
        <v>106</v>
      </c>
      <c r="N695" s="10"/>
      <c r="O695" s="30">
        <v>0.43000249573530813</v>
      </c>
      <c r="P695" s="30">
        <v>-23.898503157507303</v>
      </c>
      <c r="Q695" s="30">
        <v>54.070554438871234</v>
      </c>
      <c r="R695" s="30">
        <v>139.59128059708218</v>
      </c>
      <c r="S695" s="30">
        <v>0.31659809112001175</v>
      </c>
      <c r="T695" s="30">
        <v>1.4693209477928011E-3</v>
      </c>
    </row>
    <row r="696" spans="10:20" x14ac:dyDescent="0.25">
      <c r="J696" s="10"/>
      <c r="K696" s="10"/>
      <c r="L696" s="10" t="s">
        <v>63</v>
      </c>
      <c r="M696" s="10" t="s">
        <v>107</v>
      </c>
      <c r="N696" s="10"/>
      <c r="O696" s="30">
        <v>0.85455864470254617</v>
      </c>
      <c r="P696" s="30">
        <v>34.07006998775018</v>
      </c>
      <c r="Q696" s="30">
        <v>-9.4458454621779069</v>
      </c>
      <c r="R696" s="30">
        <v>-142.69652328674528</v>
      </c>
      <c r="S696" s="30">
        <v>0.63140533348555872</v>
      </c>
      <c r="T696" s="30">
        <v>1.4517044922449946E-3</v>
      </c>
    </row>
    <row r="697" spans="10:20" x14ac:dyDescent="0.25">
      <c r="J697" s="10"/>
      <c r="K697" s="10"/>
      <c r="L697" s="10" t="s">
        <v>63</v>
      </c>
      <c r="M697" s="10" t="s">
        <v>108</v>
      </c>
      <c r="N697" s="10"/>
      <c r="O697" s="30">
        <v>0.60580579122501577</v>
      </c>
      <c r="P697" s="30">
        <v>10.983531194468627</v>
      </c>
      <c r="Q697" s="30">
        <v>97.083325054643012</v>
      </c>
      <c r="R697" s="30">
        <v>-46.57105143788359</v>
      </c>
      <c r="S697" s="30">
        <v>0.45802463352085071</v>
      </c>
      <c r="T697" s="30">
        <v>1.5342996666910414E-3</v>
      </c>
    </row>
    <row r="698" spans="10:20" x14ac:dyDescent="0.25">
      <c r="J698" s="10"/>
      <c r="K698" s="10"/>
      <c r="L698" s="10" t="s">
        <v>63</v>
      </c>
      <c r="M698" s="10" t="s">
        <v>109</v>
      </c>
      <c r="N698" s="10"/>
      <c r="O698" s="30">
        <v>-5.8137118360178226</v>
      </c>
      <c r="P698" s="30">
        <v>-5.7406486313513003</v>
      </c>
      <c r="Q698" s="30">
        <v>-9.4329300439257047</v>
      </c>
      <c r="R698" s="30">
        <v>-5.9828448475953175</v>
      </c>
      <c r="S698" s="30">
        <v>-4.5796459667544678</v>
      </c>
      <c r="T698" s="30">
        <v>2.2435404842108559E-3</v>
      </c>
    </row>
    <row r="699" spans="10:20" x14ac:dyDescent="0.25">
      <c r="J699" s="10"/>
      <c r="K699" s="10"/>
      <c r="L699" s="10" t="s">
        <v>63</v>
      </c>
      <c r="M699" s="10" t="s">
        <v>110</v>
      </c>
      <c r="N699" s="10"/>
      <c r="O699" s="30">
        <v>-6.1384217735319835</v>
      </c>
      <c r="P699" s="30">
        <v>-10.245796979143517</v>
      </c>
      <c r="Q699" s="30">
        <v>32.724593490775099</v>
      </c>
      <c r="R699" s="30">
        <v>31.470575470342478</v>
      </c>
      <c r="S699" s="30">
        <v>-4.8165901220115659</v>
      </c>
      <c r="T699" s="30">
        <v>2.2799777914455574E-3</v>
      </c>
    </row>
    <row r="700" spans="10:20" x14ac:dyDescent="0.25">
      <c r="J700" s="10"/>
      <c r="K700" s="10"/>
      <c r="L700" s="10" t="s">
        <v>63</v>
      </c>
      <c r="M700" s="10" t="s">
        <v>111</v>
      </c>
      <c r="N700" s="10"/>
      <c r="O700" s="30">
        <v>5.5502875797178968</v>
      </c>
      <c r="P700" s="30">
        <v>-5.7422645881275027</v>
      </c>
      <c r="Q700" s="30">
        <v>-9.9194415028595664</v>
      </c>
      <c r="R700" s="30">
        <v>-5.977454807502089</v>
      </c>
      <c r="S700" s="30">
        <v>4.3668093623729494</v>
      </c>
      <c r="T700" s="30">
        <v>6.3124800074807624E-4</v>
      </c>
    </row>
    <row r="701" spans="10:20" x14ac:dyDescent="0.25">
      <c r="J701" s="10"/>
      <c r="K701" s="10"/>
      <c r="L701" s="10" t="s">
        <v>63</v>
      </c>
      <c r="M701" s="10" t="s">
        <v>112</v>
      </c>
      <c r="N701" s="10"/>
      <c r="O701" s="30">
        <v>5.2292894848071061</v>
      </c>
      <c r="P701" s="30">
        <v>-10.247410555920871</v>
      </c>
      <c r="Q701" s="30">
        <v>32.237901368698644</v>
      </c>
      <c r="R701" s="30">
        <v>31.475959348972999</v>
      </c>
      <c r="S701" s="30">
        <v>4.132786855631144</v>
      </c>
      <c r="T701" s="30">
        <v>6.6930880639167411E-4</v>
      </c>
    </row>
    <row r="702" spans="10:20" x14ac:dyDescent="0.25">
      <c r="J702" s="10"/>
      <c r="K702" s="10"/>
      <c r="L702" s="10" t="s">
        <v>63</v>
      </c>
      <c r="M702" s="10" t="s">
        <v>113</v>
      </c>
      <c r="N702" s="10"/>
      <c r="O702" s="30">
        <v>0.71272973495961223</v>
      </c>
      <c r="P702" s="30">
        <v>-7.0159235024928588</v>
      </c>
      <c r="Q702" s="30">
        <v>-4.7823975346056091</v>
      </c>
      <c r="R702" s="30">
        <v>24.357294931667717</v>
      </c>
      <c r="S702" s="30">
        <v>0.52315736740853092</v>
      </c>
      <c r="T702" s="30">
        <v>1.3660680762766801E-3</v>
      </c>
    </row>
    <row r="703" spans="10:20" x14ac:dyDescent="0.25">
      <c r="J703" s="10"/>
      <c r="K703" s="10"/>
      <c r="L703" s="10" t="s">
        <v>63</v>
      </c>
      <c r="M703" s="10" t="s">
        <v>114</v>
      </c>
      <c r="N703" s="10"/>
      <c r="O703" s="30">
        <v>0.48472376704772957</v>
      </c>
      <c r="P703" s="30">
        <v>-23.271646380863693</v>
      </c>
      <c r="Q703" s="30">
        <v>48.746363478430837</v>
      </c>
      <c r="R703" s="30">
        <v>140.67467279233352</v>
      </c>
      <c r="S703" s="30">
        <v>0.3565228367460363</v>
      </c>
      <c r="T703" s="30">
        <v>1.4673670849546382E-3</v>
      </c>
    </row>
    <row r="704" spans="10:20" x14ac:dyDescent="0.25">
      <c r="J704" s="10"/>
      <c r="K704" s="10"/>
      <c r="L704" s="10" t="s">
        <v>63</v>
      </c>
      <c r="M704" s="10" t="s">
        <v>115</v>
      </c>
      <c r="N704" s="10"/>
      <c r="O704" s="30">
        <v>0.95645282145577182</v>
      </c>
      <c r="P704" s="30">
        <v>41.137879336089064</v>
      </c>
      <c r="Q704" s="30">
        <v>-21.827414189401544</v>
      </c>
      <c r="R704" s="30">
        <v>-172.97844263414137</v>
      </c>
      <c r="S704" s="30">
        <v>0.70630866159664407</v>
      </c>
      <c r="T704" s="30">
        <v>1.4477932454570752E-3</v>
      </c>
    </row>
    <row r="705" spans="10:20" x14ac:dyDescent="0.25">
      <c r="J705" s="10"/>
      <c r="K705" s="10"/>
      <c r="L705" s="10" t="s">
        <v>63</v>
      </c>
      <c r="M705" s="10" t="s">
        <v>116</v>
      </c>
      <c r="N705" s="10"/>
      <c r="O705" s="30">
        <v>0.68006076203629351</v>
      </c>
      <c r="P705" s="30">
        <v>15.486169565776226</v>
      </c>
      <c r="Q705" s="30">
        <v>96.53833082928837</v>
      </c>
      <c r="R705" s="30">
        <v>-66.17236280207284</v>
      </c>
      <c r="S705" s="30">
        <v>0.51366343941363524</v>
      </c>
      <c r="T705" s="30">
        <v>1.5395656615082383E-3</v>
      </c>
    </row>
    <row r="706" spans="10:20" x14ac:dyDescent="0.25">
      <c r="J706" s="10"/>
      <c r="K706" s="10"/>
      <c r="L706" s="10" t="s">
        <v>64</v>
      </c>
      <c r="M706" s="10" t="s">
        <v>91</v>
      </c>
      <c r="N706" s="10"/>
      <c r="O706" s="30">
        <v>9.2842997901820712E-2</v>
      </c>
      <c r="P706" s="30">
        <v>6.7372371094018364</v>
      </c>
      <c r="Q706" s="30">
        <v>49.234045199562217</v>
      </c>
      <c r="R706" s="30">
        <v>-29.917159583914497</v>
      </c>
      <c r="S706" s="30">
        <v>7.0618051105324806E-2</v>
      </c>
      <c r="T706" s="30">
        <v>1.4682429365843392E-3</v>
      </c>
    </row>
    <row r="707" spans="10:20" x14ac:dyDescent="0.25">
      <c r="J707" s="10"/>
      <c r="K707" s="10"/>
      <c r="L707" s="10" t="s">
        <v>64</v>
      </c>
      <c r="M707" s="10" t="s">
        <v>92</v>
      </c>
      <c r="N707" s="10"/>
      <c r="O707" s="30">
        <v>6.7030248430743927E-2</v>
      </c>
      <c r="P707" s="30">
        <v>18.738810061596475</v>
      </c>
      <c r="Q707" s="30">
        <v>76.999018244978018</v>
      </c>
      <c r="R707" s="30">
        <v>-82.508567272888314</v>
      </c>
      <c r="S707" s="30">
        <v>4.8157539972649141E-2</v>
      </c>
      <c r="T707" s="30">
        <v>1.4868042252311627E-3</v>
      </c>
    </row>
    <row r="708" spans="10:20" x14ac:dyDescent="0.25">
      <c r="J708" s="10"/>
      <c r="K708" s="10"/>
      <c r="L708" s="10" t="s">
        <v>64</v>
      </c>
      <c r="M708" s="10" t="s">
        <v>93</v>
      </c>
      <c r="N708" s="10"/>
      <c r="O708" s="30">
        <v>-5.3358024319245443</v>
      </c>
      <c r="P708" s="30">
        <v>-5.0591604937219659</v>
      </c>
      <c r="Q708" s="30">
        <v>-34.900318476821724</v>
      </c>
      <c r="R708" s="30">
        <v>53.310068591301459</v>
      </c>
      <c r="S708" s="30">
        <v>-4.1951650156651441</v>
      </c>
      <c r="T708" s="30">
        <v>5.081349081579831E-4</v>
      </c>
    </row>
    <row r="709" spans="10:20" x14ac:dyDescent="0.25">
      <c r="J709" s="10"/>
      <c r="K709" s="10"/>
      <c r="L709" s="10" t="s">
        <v>64</v>
      </c>
      <c r="M709" s="10" t="s">
        <v>94</v>
      </c>
      <c r="N709" s="10"/>
      <c r="O709" s="30">
        <v>-4.9088745147271053</v>
      </c>
      <c r="P709" s="30">
        <v>-0.55405556101449283</v>
      </c>
      <c r="Q709" s="30">
        <v>7.2614559509511079</v>
      </c>
      <c r="R709" s="30">
        <v>15.856724950674627</v>
      </c>
      <c r="S709" s="30">
        <v>-3.877366715978634</v>
      </c>
      <c r="T709" s="30">
        <v>6.0417248149916046E-4</v>
      </c>
    </row>
    <row r="710" spans="10:20" x14ac:dyDescent="0.25">
      <c r="J710" s="10"/>
      <c r="K710" s="10"/>
      <c r="L710" s="10" t="s">
        <v>64</v>
      </c>
      <c r="M710" s="10" t="s">
        <v>95</v>
      </c>
      <c r="N710" s="10"/>
      <c r="O710" s="30">
        <v>5.6732249418194822</v>
      </c>
      <c r="P710" s="30">
        <v>-5.0607742288389863</v>
      </c>
      <c r="Q710" s="30">
        <v>-34.427859515586078</v>
      </c>
      <c r="R710" s="30">
        <v>53.314892576653648</v>
      </c>
      <c r="S710" s="30">
        <v>4.4702067091593971</v>
      </c>
      <c r="T710" s="30">
        <v>2.3096516977191288E-3</v>
      </c>
    </row>
    <row r="711" spans="10:20" x14ac:dyDescent="0.25">
      <c r="J711" s="10"/>
      <c r="K711" s="10"/>
      <c r="L711" s="10" t="s">
        <v>64</v>
      </c>
      <c r="M711" s="10" t="s">
        <v>96</v>
      </c>
      <c r="N711" s="10"/>
      <c r="O711" s="30">
        <v>6.1039313715647303</v>
      </c>
      <c r="P711" s="30">
        <v>-0.55566691599830287</v>
      </c>
      <c r="Q711" s="30">
        <v>7.7340982215641034</v>
      </c>
      <c r="R711" s="30">
        <v>15.861542879408132</v>
      </c>
      <c r="S711" s="30">
        <v>4.7909794453887198</v>
      </c>
      <c r="T711" s="30">
        <v>2.404029841500027E-3</v>
      </c>
    </row>
    <row r="712" spans="10:20" x14ac:dyDescent="0.25">
      <c r="J712" s="10"/>
      <c r="K712" s="10"/>
      <c r="L712" s="10" t="s">
        <v>64</v>
      </c>
      <c r="M712" s="10" t="s">
        <v>97</v>
      </c>
      <c r="N712" s="10"/>
      <c r="O712" s="30">
        <v>-1.2185244817819236</v>
      </c>
      <c r="P712" s="30">
        <v>-51.939182149000509</v>
      </c>
      <c r="Q712" s="30">
        <v>-46.827839107063078</v>
      </c>
      <c r="R712" s="30">
        <v>220.31046312623459</v>
      </c>
      <c r="S712" s="30">
        <v>-0.91171953361286784</v>
      </c>
      <c r="T712" s="30">
        <v>1.2972626010437328E-3</v>
      </c>
    </row>
    <row r="713" spans="10:20" x14ac:dyDescent="0.25">
      <c r="J713" s="10"/>
      <c r="K713" s="10"/>
      <c r="L713" s="10" t="s">
        <v>64</v>
      </c>
      <c r="M713" s="10" t="s">
        <v>98</v>
      </c>
      <c r="N713" s="10"/>
      <c r="O713" s="30">
        <v>-0.85262300081922004</v>
      </c>
      <c r="P713" s="30">
        <v>-26.287509706248901</v>
      </c>
      <c r="Q713" s="30">
        <v>71.541637043338454</v>
      </c>
      <c r="R713" s="30">
        <v>113.50443203429963</v>
      </c>
      <c r="S713" s="30">
        <v>-0.64827334704545336</v>
      </c>
      <c r="T713" s="30">
        <v>1.4478253376503055E-3</v>
      </c>
    </row>
    <row r="714" spans="10:20" x14ac:dyDescent="0.25">
      <c r="J714" s="10"/>
      <c r="K714" s="10"/>
      <c r="L714" s="10" t="s">
        <v>64</v>
      </c>
      <c r="M714" s="10" t="s">
        <v>99</v>
      </c>
      <c r="N714" s="10"/>
      <c r="O714" s="30">
        <v>-0.97059651468396324</v>
      </c>
      <c r="P714" s="30">
        <v>-3.7853785198317573</v>
      </c>
      <c r="Q714" s="30">
        <v>-29.782614230689457</v>
      </c>
      <c r="R714" s="30">
        <v>22.974723234449201</v>
      </c>
      <c r="S714" s="30">
        <v>-0.72526366561043709</v>
      </c>
      <c r="T714" s="30">
        <v>1.2171450268322519E-3</v>
      </c>
    </row>
    <row r="715" spans="10:20" x14ac:dyDescent="0.25">
      <c r="J715" s="10"/>
      <c r="K715" s="10"/>
      <c r="L715" s="10" t="s">
        <v>64</v>
      </c>
      <c r="M715" s="10" t="s">
        <v>100</v>
      </c>
      <c r="N715" s="10"/>
      <c r="O715" s="30">
        <v>-0.64026146715671717</v>
      </c>
      <c r="P715" s="30">
        <v>12.470312271460333</v>
      </c>
      <c r="Q715" s="30">
        <v>23.750445005410764</v>
      </c>
      <c r="R715" s="30">
        <v>-93.342663200548174</v>
      </c>
      <c r="S715" s="30">
        <v>-0.47771123786396119</v>
      </c>
      <c r="T715" s="30">
        <v>1.3990110245459377E-3</v>
      </c>
    </row>
    <row r="716" spans="10:20" x14ac:dyDescent="0.25">
      <c r="J716" s="10"/>
      <c r="K716" s="10"/>
      <c r="L716" s="10" t="s">
        <v>64</v>
      </c>
      <c r="M716" s="10" t="s">
        <v>101</v>
      </c>
      <c r="N716" s="10"/>
      <c r="O716" s="30">
        <v>-4.8187506384129843</v>
      </c>
      <c r="P716" s="30">
        <v>8.1220522187850523</v>
      </c>
      <c r="Q716" s="30">
        <v>1.2780909362324597</v>
      </c>
      <c r="R716" s="30">
        <v>-7.6040619151939435</v>
      </c>
      <c r="S716" s="30">
        <v>-3.7910472201207734</v>
      </c>
      <c r="T716" s="30">
        <v>6.227069996474424E-4</v>
      </c>
    </row>
    <row r="717" spans="10:20" x14ac:dyDescent="0.25">
      <c r="J717" s="10"/>
      <c r="K717" s="10"/>
      <c r="L717" s="10" t="s">
        <v>64</v>
      </c>
      <c r="M717" s="10" t="s">
        <v>102</v>
      </c>
      <c r="N717" s="10"/>
      <c r="O717" s="30">
        <v>-4.4345155129352909</v>
      </c>
      <c r="P717" s="30">
        <v>12.176646658221779</v>
      </c>
      <c r="Q717" s="30">
        <v>39.223687921228013</v>
      </c>
      <c r="R717" s="30">
        <v>-41.3120711917581</v>
      </c>
      <c r="S717" s="30">
        <v>-3.5050287504029138</v>
      </c>
      <c r="T717" s="30">
        <v>7.0914081565450198E-4</v>
      </c>
    </row>
    <row r="718" spans="10:20" x14ac:dyDescent="0.25">
      <c r="J718" s="10"/>
      <c r="K718" s="10"/>
      <c r="L718" s="10" t="s">
        <v>64</v>
      </c>
      <c r="M718" s="10" t="s">
        <v>103</v>
      </c>
      <c r="N718" s="10"/>
      <c r="O718" s="30">
        <v>5.0893739979566393</v>
      </c>
      <c r="P718" s="30">
        <v>8.1205998571797338</v>
      </c>
      <c r="Q718" s="30">
        <v>1.7033040013445422</v>
      </c>
      <c r="R718" s="30">
        <v>-7.5997203283769919</v>
      </c>
      <c r="S718" s="30">
        <v>4.007787332221314</v>
      </c>
      <c r="T718" s="30">
        <v>2.2440721102524736E-3</v>
      </c>
    </row>
    <row r="719" spans="10:20" x14ac:dyDescent="0.25">
      <c r="J719" s="10"/>
      <c r="K719" s="10"/>
      <c r="L719" s="10" t="s">
        <v>64</v>
      </c>
      <c r="M719" s="10" t="s">
        <v>104</v>
      </c>
      <c r="N719" s="10"/>
      <c r="O719" s="30">
        <v>5.477009784727362</v>
      </c>
      <c r="P719" s="30">
        <v>12.175196438736348</v>
      </c>
      <c r="Q719" s="30">
        <v>39.649065964779709</v>
      </c>
      <c r="R719" s="30">
        <v>-41.307735055897943</v>
      </c>
      <c r="S719" s="30">
        <v>4.2964827948277051</v>
      </c>
      <c r="T719" s="30">
        <v>2.3290124396552819E-3</v>
      </c>
    </row>
    <row r="720" spans="10:20" x14ac:dyDescent="0.25">
      <c r="J720" s="10"/>
      <c r="K720" s="10"/>
      <c r="L720" s="10" t="s">
        <v>64</v>
      </c>
      <c r="M720" s="10" t="s">
        <v>105</v>
      </c>
      <c r="N720" s="10"/>
      <c r="O720" s="30">
        <v>-1.1132004832846261</v>
      </c>
      <c r="P720" s="30">
        <v>-34.069967270965627</v>
      </c>
      <c r="Q720" s="30">
        <v>-9.4566776309847604</v>
      </c>
      <c r="R720" s="30">
        <v>142.69629316624591</v>
      </c>
      <c r="S720" s="30">
        <v>-0.83594628627372425</v>
      </c>
      <c r="T720" s="30">
        <v>1.332921923244617E-3</v>
      </c>
    </row>
    <row r="721" spans="10:20" x14ac:dyDescent="0.25">
      <c r="J721" s="10"/>
      <c r="K721" s="10"/>
      <c r="L721" s="10" t="s">
        <v>64</v>
      </c>
      <c r="M721" s="10" t="s">
        <v>106</v>
      </c>
      <c r="N721" s="10"/>
      <c r="O721" s="30">
        <v>-0.78388915041819274</v>
      </c>
      <c r="P721" s="30">
        <v>-10.983462072489191</v>
      </c>
      <c r="Q721" s="30">
        <v>97.075850904376637</v>
      </c>
      <c r="R721" s="30">
        <v>46.570865183504388</v>
      </c>
      <c r="S721" s="30">
        <v>-0.5988447183630512</v>
      </c>
      <c r="T721" s="30">
        <v>1.4684283861905326E-3</v>
      </c>
    </row>
    <row r="722" spans="10:20" x14ac:dyDescent="0.25">
      <c r="J722" s="10"/>
      <c r="K722" s="10"/>
      <c r="L722" s="10" t="s">
        <v>64</v>
      </c>
      <c r="M722" s="10" t="s">
        <v>107</v>
      </c>
      <c r="N722" s="10"/>
      <c r="O722" s="30">
        <v>-0.89006531289646162</v>
      </c>
      <c r="P722" s="30">
        <v>9.2684559952862404</v>
      </c>
      <c r="Q722" s="30">
        <v>5.8840247577515097</v>
      </c>
      <c r="R722" s="30">
        <v>-34.905872736360983</v>
      </c>
      <c r="S722" s="30">
        <v>-0.66813600507153648</v>
      </c>
      <c r="T722" s="30">
        <v>1.2608161064542843E-3</v>
      </c>
    </row>
    <row r="723" spans="10:20" x14ac:dyDescent="0.25">
      <c r="J723" s="10"/>
      <c r="K723" s="10"/>
      <c r="L723" s="10" t="s">
        <v>64</v>
      </c>
      <c r="M723" s="10" t="s">
        <v>108</v>
      </c>
      <c r="N723" s="10"/>
      <c r="O723" s="30">
        <v>-0.59276377012194015</v>
      </c>
      <c r="P723" s="30">
        <v>23.898577707449121</v>
      </c>
      <c r="Q723" s="30">
        <v>54.063778070241696</v>
      </c>
      <c r="R723" s="30">
        <v>-139.59152052785865</v>
      </c>
      <c r="S723" s="30">
        <v>-0.44533882009970832</v>
      </c>
      <c r="T723" s="30">
        <v>1.4244955043966013E-3</v>
      </c>
    </row>
    <row r="724" spans="10:20" x14ac:dyDescent="0.25">
      <c r="J724" s="10"/>
      <c r="K724" s="10"/>
      <c r="L724" s="10" t="s">
        <v>64</v>
      </c>
      <c r="M724" s="10" t="s">
        <v>109</v>
      </c>
      <c r="N724" s="10"/>
      <c r="O724" s="30">
        <v>-5.3590339064485129</v>
      </c>
      <c r="P724" s="30">
        <v>5.7422551632532075</v>
      </c>
      <c r="Q724" s="30">
        <v>-9.9118427359475145</v>
      </c>
      <c r="R724" s="30">
        <v>5.9778016712250244</v>
      </c>
      <c r="S724" s="30">
        <v>-4.2153794756845535</v>
      </c>
      <c r="T724" s="30">
        <v>5.248400679401245E-4</v>
      </c>
    </row>
    <row r="725" spans="10:20" x14ac:dyDescent="0.25">
      <c r="J725" s="10"/>
      <c r="K725" s="10"/>
      <c r="L725" s="10" t="s">
        <v>64</v>
      </c>
      <c r="M725" s="10" t="s">
        <v>110</v>
      </c>
      <c r="N725" s="10"/>
      <c r="O725" s="30">
        <v>-4.9321059892510748</v>
      </c>
      <c r="P725" s="30">
        <v>10.247360095960682</v>
      </c>
      <c r="Q725" s="30">
        <v>32.249931691825317</v>
      </c>
      <c r="R725" s="30">
        <v>-31.475541969401807</v>
      </c>
      <c r="S725" s="30">
        <v>-3.8975811759980417</v>
      </c>
      <c r="T725" s="30">
        <v>6.2087764128130197E-4</v>
      </c>
    </row>
    <row r="726" spans="10:20" x14ac:dyDescent="0.25">
      <c r="J726" s="10"/>
      <c r="K726" s="10"/>
      <c r="L726" s="10" t="s">
        <v>64</v>
      </c>
      <c r="M726" s="10" t="s">
        <v>111</v>
      </c>
      <c r="N726" s="10"/>
      <c r="O726" s="30">
        <v>5.6499934672955128</v>
      </c>
      <c r="P726" s="30">
        <v>5.7406414281361871</v>
      </c>
      <c r="Q726" s="30">
        <v>-9.4393837747118656</v>
      </c>
      <c r="R726" s="30">
        <v>5.9826256565772127</v>
      </c>
      <c r="S726" s="30">
        <v>4.4499922491399886</v>
      </c>
      <c r="T726" s="30">
        <v>2.32635685750127E-3</v>
      </c>
    </row>
    <row r="727" spans="10:20" x14ac:dyDescent="0.25">
      <c r="J727" s="10"/>
      <c r="K727" s="10"/>
      <c r="L727" s="10" t="s">
        <v>64</v>
      </c>
      <c r="M727" s="10" t="s">
        <v>112</v>
      </c>
      <c r="N727" s="10"/>
      <c r="O727" s="30">
        <v>6.0806998970407609</v>
      </c>
      <c r="P727" s="30">
        <v>10.24574874097687</v>
      </c>
      <c r="Q727" s="30">
        <v>32.722573962438311</v>
      </c>
      <c r="R727" s="30">
        <v>-31.470724040668301</v>
      </c>
      <c r="S727" s="30">
        <v>4.7707649853693113</v>
      </c>
      <c r="T727" s="30">
        <v>2.4207350012821682E-3</v>
      </c>
    </row>
    <row r="728" spans="10:20" x14ac:dyDescent="0.25">
      <c r="J728" s="10"/>
      <c r="K728" s="10"/>
      <c r="L728" s="10" t="s">
        <v>64</v>
      </c>
      <c r="M728" s="10" t="s">
        <v>113</v>
      </c>
      <c r="N728" s="10"/>
      <c r="O728" s="30">
        <v>-1.2417559563058929</v>
      </c>
      <c r="P728" s="30">
        <v>-41.137766492025335</v>
      </c>
      <c r="Q728" s="30">
        <v>-21.83936336618887</v>
      </c>
      <c r="R728" s="30">
        <v>172.97819620615817</v>
      </c>
      <c r="S728" s="30">
        <v>-0.93193399363227591</v>
      </c>
      <c r="T728" s="30">
        <v>1.3139677608258742E-3</v>
      </c>
    </row>
    <row r="729" spans="10:20" x14ac:dyDescent="0.25">
      <c r="J729" s="10"/>
      <c r="K729" s="10"/>
      <c r="L729" s="10" t="s">
        <v>64</v>
      </c>
      <c r="M729" s="10" t="s">
        <v>114</v>
      </c>
      <c r="N729" s="10"/>
      <c r="O729" s="30">
        <v>-0.87585447534318905</v>
      </c>
      <c r="P729" s="30">
        <v>-15.48609404927373</v>
      </c>
      <c r="Q729" s="30">
        <v>96.530112784212676</v>
      </c>
      <c r="R729" s="30">
        <v>66.172165114223191</v>
      </c>
      <c r="S729" s="30">
        <v>-0.66848780706486133</v>
      </c>
      <c r="T729" s="30">
        <v>1.4645304974324471E-3</v>
      </c>
    </row>
    <row r="730" spans="10:20" x14ac:dyDescent="0.25">
      <c r="J730" s="10"/>
      <c r="K730" s="10"/>
      <c r="L730" s="10" t="s">
        <v>64</v>
      </c>
      <c r="M730" s="10" t="s">
        <v>115</v>
      </c>
      <c r="N730" s="10"/>
      <c r="O730" s="30">
        <v>-0.99382798920793225</v>
      </c>
      <c r="P730" s="30">
        <v>7.0160371371434165</v>
      </c>
      <c r="Q730" s="30">
        <v>-4.7941384898152455</v>
      </c>
      <c r="R730" s="30">
        <v>-24.357543685627231</v>
      </c>
      <c r="S730" s="30">
        <v>-0.74547812562984517</v>
      </c>
      <c r="T730" s="30">
        <v>1.2338501866143933E-3</v>
      </c>
    </row>
    <row r="731" spans="10:20" x14ac:dyDescent="0.25">
      <c r="J731" s="10"/>
      <c r="K731" s="10"/>
      <c r="L731" s="10" t="s">
        <v>64</v>
      </c>
      <c r="M731" s="10" t="s">
        <v>116</v>
      </c>
      <c r="N731" s="10"/>
      <c r="O731" s="30">
        <v>-0.66349294168068629</v>
      </c>
      <c r="P731" s="30">
        <v>23.271727928435507</v>
      </c>
      <c r="Q731" s="30">
        <v>48.738920746284975</v>
      </c>
      <c r="R731" s="30">
        <v>-140.67493012062462</v>
      </c>
      <c r="S731" s="30">
        <v>-0.49792569788336927</v>
      </c>
      <c r="T731" s="30">
        <v>1.4157161843280791E-3</v>
      </c>
    </row>
    <row r="732" spans="10:20" x14ac:dyDescent="0.25">
      <c r="J732" s="10"/>
      <c r="K732" s="10"/>
      <c r="L732" s="10" t="s">
        <v>65</v>
      </c>
      <c r="M732" s="10" t="s">
        <v>91</v>
      </c>
      <c r="N732" s="10"/>
      <c r="O732" s="30">
        <v>0.16521826296433825</v>
      </c>
      <c r="P732" s="30">
        <v>-0.10491141918121023</v>
      </c>
      <c r="Q732" s="30">
        <v>67.703474490398804</v>
      </c>
      <c r="R732" s="30">
        <v>-0.52489460518767628</v>
      </c>
      <c r="S732" s="30">
        <v>0.12157799384765551</v>
      </c>
      <c r="T732" s="30">
        <v>-7.1562301924778086E-4</v>
      </c>
    </row>
    <row r="733" spans="10:20" x14ac:dyDescent="0.25">
      <c r="J733" s="10"/>
      <c r="K733" s="10"/>
      <c r="L733" s="10" t="s">
        <v>65</v>
      </c>
      <c r="M733" s="10" t="s">
        <v>92</v>
      </c>
      <c r="N733" s="10"/>
      <c r="O733" s="30">
        <v>0.21046394988624487</v>
      </c>
      <c r="P733" s="30">
        <v>-1.716640484868067</v>
      </c>
      <c r="Q733" s="30">
        <v>124.62169147711367</v>
      </c>
      <c r="R733" s="30">
        <v>6.0470467070501766</v>
      </c>
      <c r="S733" s="30">
        <v>0.15107470339732523</v>
      </c>
      <c r="T733" s="30">
        <v>-5.4204030313850543E-4</v>
      </c>
    </row>
    <row r="734" spans="10:20" x14ac:dyDescent="0.25">
      <c r="J734" s="10"/>
      <c r="K734" s="10"/>
      <c r="L734" s="10" t="s">
        <v>65</v>
      </c>
      <c r="M734" s="10" t="s">
        <v>93</v>
      </c>
      <c r="N734" s="10"/>
      <c r="O734" s="30">
        <v>-5.9587441735547433</v>
      </c>
      <c r="P734" s="30">
        <v>6.2049668111045539</v>
      </c>
      <c r="Q734" s="30">
        <v>-93.546333191178448</v>
      </c>
      <c r="R734" s="30">
        <v>-28.509000749202041</v>
      </c>
      <c r="S734" s="30">
        <v>-4.6773451119333291</v>
      </c>
      <c r="T734" s="30">
        <v>-4.4841132223725497E-3</v>
      </c>
    </row>
    <row r="735" spans="10:20" x14ac:dyDescent="0.25">
      <c r="J735" s="10"/>
      <c r="K735" s="10"/>
      <c r="L735" s="10" t="s">
        <v>65</v>
      </c>
      <c r="M735" s="10" t="s">
        <v>94</v>
      </c>
      <c r="N735" s="10"/>
      <c r="O735" s="30">
        <v>-5.2856332085999078</v>
      </c>
      <c r="P735" s="30">
        <v>3.0297603301873135</v>
      </c>
      <c r="Q735" s="30">
        <v>-13.092070489100818</v>
      </c>
      <c r="R735" s="30">
        <v>-14.394054392018415</v>
      </c>
      <c r="S735" s="30">
        <v>-4.1641056748241887</v>
      </c>
      <c r="T735" s="30">
        <v>-3.8516998784891335E-3</v>
      </c>
    </row>
    <row r="736" spans="10:20" x14ac:dyDescent="0.25">
      <c r="J736" s="10"/>
      <c r="K736" s="10"/>
      <c r="L736" s="10" t="s">
        <v>65</v>
      </c>
      <c r="M736" s="10" t="s">
        <v>95</v>
      </c>
      <c r="N736" s="10"/>
      <c r="O736" s="30">
        <v>6.0533601430156629</v>
      </c>
      <c r="P736" s="30">
        <v>6.2076954410437581</v>
      </c>
      <c r="Q736" s="30">
        <v>-93.179251118899927</v>
      </c>
      <c r="R736" s="30">
        <v>-28.534994596990202</v>
      </c>
      <c r="S736" s="30">
        <v>4.7694062125045633</v>
      </c>
      <c r="T736" s="30">
        <v>2.0787899637755842E-3</v>
      </c>
    </row>
    <row r="737" spans="10:20" x14ac:dyDescent="0.25">
      <c r="J737" s="10"/>
      <c r="K737" s="10"/>
      <c r="L737" s="10" t="s">
        <v>65</v>
      </c>
      <c r="M737" s="10" t="s">
        <v>96</v>
      </c>
      <c r="N737" s="10"/>
      <c r="O737" s="30">
        <v>6.7234274438917714</v>
      </c>
      <c r="P737" s="30">
        <v>3.0324848428087665</v>
      </c>
      <c r="Q737" s="30">
        <v>-12.725109259562084</v>
      </c>
      <c r="R737" s="30">
        <v>-14.42000907681034</v>
      </c>
      <c r="S737" s="30">
        <v>5.2802468505935698</v>
      </c>
      <c r="T737" s="30">
        <v>2.7006841692360948E-3</v>
      </c>
    </row>
    <row r="738" spans="10:20" x14ac:dyDescent="0.25">
      <c r="J738" s="10"/>
      <c r="K738" s="10"/>
      <c r="L738" s="10" t="s">
        <v>65</v>
      </c>
      <c r="M738" s="10" t="s">
        <v>97</v>
      </c>
      <c r="N738" s="10"/>
      <c r="O738" s="30">
        <v>-1.5049930726981113</v>
      </c>
      <c r="P738" s="30">
        <v>0.2472062967585453</v>
      </c>
      <c r="Q738" s="30">
        <v>-92.585091533545196</v>
      </c>
      <c r="R738" s="30">
        <v>16.04391678255039</v>
      </c>
      <c r="S738" s="30">
        <v>-1.1548320830767118</v>
      </c>
      <c r="T738" s="30">
        <v>-2.176895582365653E-3</v>
      </c>
    </row>
    <row r="739" spans="10:20" x14ac:dyDescent="0.25">
      <c r="J739" s="10"/>
      <c r="K739" s="10"/>
      <c r="L739" s="10" t="s">
        <v>65</v>
      </c>
      <c r="M739" s="10" t="s">
        <v>98</v>
      </c>
      <c r="N739" s="10"/>
      <c r="O739" s="30">
        <v>-0.72158564333303876</v>
      </c>
      <c r="P739" s="30">
        <v>-13.271808032833174</v>
      </c>
      <c r="Q739" s="30">
        <v>120.15665566703585</v>
      </c>
      <c r="R739" s="30">
        <v>97.23459274753418</v>
      </c>
      <c r="S739" s="30">
        <v>-0.56944427182255575</v>
      </c>
      <c r="T739" s="30">
        <v>-1.065277300783812E-3</v>
      </c>
    </row>
    <row r="740" spans="10:20" x14ac:dyDescent="0.25">
      <c r="J740" s="10"/>
      <c r="K740" s="10"/>
      <c r="L740" s="10" t="s">
        <v>65</v>
      </c>
      <c r="M740" s="10" t="s">
        <v>99</v>
      </c>
      <c r="N740" s="10"/>
      <c r="O740" s="30">
        <v>-1.4932360923288261</v>
      </c>
      <c r="P740" s="30">
        <v>10.211098145696587</v>
      </c>
      <c r="Q740" s="30">
        <v>-94.510668103497821</v>
      </c>
      <c r="R740" s="30">
        <v>-62.539284410709755</v>
      </c>
      <c r="S740" s="30">
        <v>-1.146018887024822</v>
      </c>
      <c r="T740" s="30">
        <v>-2.2350916973526E-3</v>
      </c>
    </row>
    <row r="741" spans="10:20" x14ac:dyDescent="0.25">
      <c r="J741" s="10"/>
      <c r="K741" s="10"/>
      <c r="L741" s="10" t="s">
        <v>65</v>
      </c>
      <c r="M741" s="10" t="s">
        <v>100</v>
      </c>
      <c r="N741" s="10"/>
      <c r="O741" s="30">
        <v>-0.76114709885276044</v>
      </c>
      <c r="P741" s="30">
        <v>22.152842569714576</v>
      </c>
      <c r="Q741" s="30">
        <v>23.660564405838446</v>
      </c>
      <c r="R741" s="30">
        <v>-145.67960654879715</v>
      </c>
      <c r="S741" s="30">
        <v>-0.59245236442688187</v>
      </c>
      <c r="T741" s="30">
        <v>-1.1187493900619867E-3</v>
      </c>
    </row>
    <row r="742" spans="10:20" x14ac:dyDescent="0.25">
      <c r="J742" s="10"/>
      <c r="K742" s="10"/>
      <c r="L742" s="10" t="s">
        <v>65</v>
      </c>
      <c r="M742" s="10" t="s">
        <v>101</v>
      </c>
      <c r="N742" s="10"/>
      <c r="O742" s="30">
        <v>-5.301102242980928</v>
      </c>
      <c r="P742" s="30">
        <v>3.9622499223891205</v>
      </c>
      <c r="Q742" s="30">
        <v>-20.503135436305861</v>
      </c>
      <c r="R742" s="30">
        <v>-19.138648822562754</v>
      </c>
      <c r="S742" s="30">
        <v>-4.1679560918055607</v>
      </c>
      <c r="T742" s="30">
        <v>-3.9336814859507966E-3</v>
      </c>
    </row>
    <row r="743" spans="10:20" x14ac:dyDescent="0.25">
      <c r="J743" s="10"/>
      <c r="K743" s="10"/>
      <c r="L743" s="10" t="s">
        <v>65</v>
      </c>
      <c r="M743" s="10" t="s">
        <v>102</v>
      </c>
      <c r="N743" s="10"/>
      <c r="O743" s="30">
        <v>-4.6953023745215772</v>
      </c>
      <c r="P743" s="30">
        <v>1.1045640895636051</v>
      </c>
      <c r="Q743" s="30">
        <v>51.905700995563997</v>
      </c>
      <c r="R743" s="30">
        <v>-6.4351971010974891</v>
      </c>
      <c r="S743" s="30">
        <v>-3.706040598407335</v>
      </c>
      <c r="T743" s="30">
        <v>-3.3645094764557224E-3</v>
      </c>
    </row>
    <row r="744" spans="10:20" x14ac:dyDescent="0.25">
      <c r="J744" s="10"/>
      <c r="K744" s="10"/>
      <c r="L744" s="10" t="s">
        <v>65</v>
      </c>
      <c r="M744" s="10" t="s">
        <v>103</v>
      </c>
      <c r="N744" s="10"/>
      <c r="O744" s="30">
        <v>5.5097916419324369</v>
      </c>
      <c r="P744" s="30">
        <v>3.964705689334405</v>
      </c>
      <c r="Q744" s="30">
        <v>-20.17276157125519</v>
      </c>
      <c r="R744" s="30">
        <v>-19.162043285572096</v>
      </c>
      <c r="S744" s="30">
        <v>4.3341201001885432</v>
      </c>
      <c r="T744" s="30">
        <v>1.9729313815825232E-3</v>
      </c>
    </row>
    <row r="745" spans="10:20" x14ac:dyDescent="0.25">
      <c r="J745" s="10"/>
      <c r="K745" s="10"/>
      <c r="L745" s="10" t="s">
        <v>65</v>
      </c>
      <c r="M745" s="10" t="s">
        <v>104</v>
      </c>
      <c r="N745" s="10"/>
      <c r="O745" s="30">
        <v>6.1128522127209353</v>
      </c>
      <c r="P745" s="30">
        <v>1.1070161509229122</v>
      </c>
      <c r="Q745" s="30">
        <v>52.235966102148879</v>
      </c>
      <c r="R745" s="30">
        <v>-6.4585563174102196</v>
      </c>
      <c r="S745" s="30">
        <v>4.793876674468649</v>
      </c>
      <c r="T745" s="30">
        <v>2.5326361664969829E-3</v>
      </c>
    </row>
    <row r="746" spans="10:20" x14ac:dyDescent="0.25">
      <c r="J746" s="10"/>
      <c r="K746" s="10"/>
      <c r="L746" s="10" t="s">
        <v>65</v>
      </c>
      <c r="M746" s="10" t="s">
        <v>105</v>
      </c>
      <c r="N746" s="10"/>
      <c r="O746" s="30">
        <v>-1.2927262522099596</v>
      </c>
      <c r="P746" s="30">
        <v>-1.399734540522287</v>
      </c>
      <c r="Q746" s="30">
        <v>-19.638017944435934</v>
      </c>
      <c r="R746" s="30">
        <v>20.958976956014435</v>
      </c>
      <c r="S746" s="30">
        <v>-0.99769436583460558</v>
      </c>
      <c r="T746" s="30">
        <v>-1.8571856099445902E-3</v>
      </c>
    </row>
    <row r="747" spans="10:20" x14ac:dyDescent="0.25">
      <c r="J747" s="10"/>
      <c r="K747" s="10"/>
      <c r="L747" s="10" t="s">
        <v>65</v>
      </c>
      <c r="M747" s="10" t="s">
        <v>106</v>
      </c>
      <c r="N747" s="10"/>
      <c r="O747" s="30">
        <v>-0.58765956578139444</v>
      </c>
      <c r="P747" s="30">
        <v>-13.566847437154834</v>
      </c>
      <c r="Q747" s="30">
        <v>171.82955453608702</v>
      </c>
      <c r="R747" s="30">
        <v>94.030585324499839</v>
      </c>
      <c r="S747" s="30">
        <v>-0.47084533570586495</v>
      </c>
      <c r="T747" s="30">
        <v>-8.5672915652093345E-4</v>
      </c>
    </row>
    <row r="748" spans="10:20" x14ac:dyDescent="0.25">
      <c r="J748" s="10"/>
      <c r="K748" s="10"/>
      <c r="L748" s="10" t="s">
        <v>65</v>
      </c>
      <c r="M748" s="10" t="s">
        <v>107</v>
      </c>
      <c r="N748" s="10"/>
      <c r="O748" s="30">
        <v>-1.2821449698776035</v>
      </c>
      <c r="P748" s="30">
        <v>7.5677681235219501</v>
      </c>
      <c r="Q748" s="30">
        <v>-21.371036857393275</v>
      </c>
      <c r="R748" s="30">
        <v>-49.765904117919703</v>
      </c>
      <c r="S748" s="30">
        <v>-0.98976248938790479</v>
      </c>
      <c r="T748" s="30">
        <v>-1.9095621134328426E-3</v>
      </c>
    </row>
    <row r="749" spans="10:20" x14ac:dyDescent="0.25">
      <c r="J749" s="10"/>
      <c r="K749" s="10"/>
      <c r="L749" s="10" t="s">
        <v>65</v>
      </c>
      <c r="M749" s="10" t="s">
        <v>108</v>
      </c>
      <c r="N749" s="10"/>
      <c r="O749" s="30">
        <v>-0.62326487574914391</v>
      </c>
      <c r="P749" s="30">
        <v>18.315338105138139</v>
      </c>
      <c r="Q749" s="30">
        <v>84.983072401009338</v>
      </c>
      <c r="R749" s="30">
        <v>-124.59219404219836</v>
      </c>
      <c r="S749" s="30">
        <v>-0.49155261904975839</v>
      </c>
      <c r="T749" s="30">
        <v>-9.048540368712906E-4</v>
      </c>
    </row>
    <row r="750" spans="10:20" x14ac:dyDescent="0.25">
      <c r="J750" s="10"/>
      <c r="K750" s="10"/>
      <c r="L750" s="10" t="s">
        <v>65</v>
      </c>
      <c r="M750" s="10" t="s">
        <v>109</v>
      </c>
      <c r="N750" s="10"/>
      <c r="O750" s="30">
        <v>-5.918023055325027</v>
      </c>
      <c r="P750" s="30">
        <v>4.7544106519863822</v>
      </c>
      <c r="Q750" s="30">
        <v>-42.319937903135049</v>
      </c>
      <c r="R750" s="30">
        <v>-22.594253568187977</v>
      </c>
      <c r="S750" s="30">
        <v>-4.6507980733386258</v>
      </c>
      <c r="T750" s="30">
        <v>-4.3278887778742019E-3</v>
      </c>
    </row>
    <row r="751" spans="10:20" x14ac:dyDescent="0.25">
      <c r="J751" s="10"/>
      <c r="K751" s="10"/>
      <c r="L751" s="10" t="s">
        <v>65</v>
      </c>
      <c r="M751" s="10" t="s">
        <v>110</v>
      </c>
      <c r="N751" s="10"/>
      <c r="O751" s="30">
        <v>-5.2449120903701925</v>
      </c>
      <c r="P751" s="30">
        <v>1.5792041710691425</v>
      </c>
      <c r="Q751" s="30">
        <v>38.134324798942579</v>
      </c>
      <c r="R751" s="30">
        <v>-8.4793072110043468</v>
      </c>
      <c r="S751" s="30">
        <v>-4.1375586362294863</v>
      </c>
      <c r="T751" s="30">
        <v>-3.6954754339907853E-3</v>
      </c>
    </row>
    <row r="752" spans="10:20" x14ac:dyDescent="0.25">
      <c r="J752" s="10"/>
      <c r="K752" s="10"/>
      <c r="L752" s="10" t="s">
        <v>65</v>
      </c>
      <c r="M752" s="10" t="s">
        <v>111</v>
      </c>
      <c r="N752" s="10"/>
      <c r="O752" s="30">
        <v>6.0940812612453792</v>
      </c>
      <c r="P752" s="30">
        <v>4.7571392819255873</v>
      </c>
      <c r="Q752" s="30">
        <v>-41.952855830856535</v>
      </c>
      <c r="R752" s="30">
        <v>-22.620247415976131</v>
      </c>
      <c r="S752" s="30">
        <v>4.7959532510992666</v>
      </c>
      <c r="T752" s="30">
        <v>2.2350144082739325E-3</v>
      </c>
    </row>
    <row r="753" spans="10:20" x14ac:dyDescent="0.25">
      <c r="J753" s="10"/>
      <c r="K753" s="10"/>
      <c r="L753" s="10" t="s">
        <v>65</v>
      </c>
      <c r="M753" s="10" t="s">
        <v>112</v>
      </c>
      <c r="N753" s="10"/>
      <c r="O753" s="30">
        <v>6.7641485621214876</v>
      </c>
      <c r="P753" s="30">
        <v>1.581928683690595</v>
      </c>
      <c r="Q753" s="30">
        <v>38.501286028481317</v>
      </c>
      <c r="R753" s="30">
        <v>-8.50526189579627</v>
      </c>
      <c r="S753" s="30">
        <v>5.3067938891882731</v>
      </c>
      <c r="T753" s="30">
        <v>2.8569086137344426E-3</v>
      </c>
    </row>
    <row r="754" spans="10:20" x14ac:dyDescent="0.25">
      <c r="J754" s="10"/>
      <c r="K754" s="10"/>
      <c r="L754" s="10" t="s">
        <v>65</v>
      </c>
      <c r="M754" s="10" t="s">
        <v>113</v>
      </c>
      <c r="N754" s="10"/>
      <c r="O754" s="30">
        <v>-1.4642719544683953</v>
      </c>
      <c r="P754" s="30">
        <v>-1.2033498623596259</v>
      </c>
      <c r="Q754" s="30">
        <v>-41.358696245501797</v>
      </c>
      <c r="R754" s="30">
        <v>21.958663963564458</v>
      </c>
      <c r="S754" s="30">
        <v>-1.1282850444820092</v>
      </c>
      <c r="T754" s="30">
        <v>-2.0206711378673047E-3</v>
      </c>
    </row>
    <row r="755" spans="10:20" x14ac:dyDescent="0.25">
      <c r="J755" s="10"/>
      <c r="K755" s="10"/>
      <c r="L755" s="10" t="s">
        <v>65</v>
      </c>
      <c r="M755" s="10" t="s">
        <v>114</v>
      </c>
      <c r="N755" s="10"/>
      <c r="O755" s="30">
        <v>-0.68086452510332285</v>
      </c>
      <c r="P755" s="30">
        <v>-14.722364191951346</v>
      </c>
      <c r="Q755" s="30">
        <v>171.38305095507926</v>
      </c>
      <c r="R755" s="30">
        <v>103.14933992854823</v>
      </c>
      <c r="S755" s="30">
        <v>-0.5428972332278531</v>
      </c>
      <c r="T755" s="30">
        <v>-9.0905285628546401E-4</v>
      </c>
    </row>
    <row r="756" spans="10:20" x14ac:dyDescent="0.25">
      <c r="J756" s="10"/>
      <c r="K756" s="10"/>
      <c r="L756" s="10" t="s">
        <v>65</v>
      </c>
      <c r="M756" s="10" t="s">
        <v>115</v>
      </c>
      <c r="N756" s="10"/>
      <c r="O756" s="30">
        <v>-1.4525149740991103</v>
      </c>
      <c r="P756" s="30">
        <v>8.7605419865784153</v>
      </c>
      <c r="Q756" s="30">
        <v>-43.284272815454422</v>
      </c>
      <c r="R756" s="30">
        <v>-56.624537229695683</v>
      </c>
      <c r="S756" s="30">
        <v>-1.1194718484301194</v>
      </c>
      <c r="T756" s="30">
        <v>-2.0788672528542517E-3</v>
      </c>
    </row>
    <row r="757" spans="10:20" x14ac:dyDescent="0.25">
      <c r="J757" s="10"/>
      <c r="K757" s="10"/>
      <c r="L757" s="10" t="s">
        <v>65</v>
      </c>
      <c r="M757" s="10" t="s">
        <v>116</v>
      </c>
      <c r="N757" s="10"/>
      <c r="O757" s="30">
        <v>-0.72042598062304442</v>
      </c>
      <c r="P757" s="30">
        <v>20.702286410596408</v>
      </c>
      <c r="Q757" s="30">
        <v>74.886959693881849</v>
      </c>
      <c r="R757" s="30">
        <v>-139.76485936778306</v>
      </c>
      <c r="S757" s="30">
        <v>-0.56590532583217901</v>
      </c>
      <c r="T757" s="30">
        <v>-9.6252494556363876E-4</v>
      </c>
    </row>
    <row r="758" spans="10:20" x14ac:dyDescent="0.25">
      <c r="J758" s="10"/>
      <c r="K758" s="10"/>
      <c r="L758" s="10" t="s">
        <v>66</v>
      </c>
      <c r="M758" s="10" t="s">
        <v>91</v>
      </c>
      <c r="N758" s="10"/>
      <c r="O758" s="30">
        <v>0.16229220676006476</v>
      </c>
      <c r="P758" s="30">
        <v>0.10491229099269569</v>
      </c>
      <c r="Q758" s="30">
        <v>67.70362318752295</v>
      </c>
      <c r="R758" s="30">
        <v>0.52488590436911431</v>
      </c>
      <c r="S758" s="30">
        <v>0.11927822739703647</v>
      </c>
      <c r="T758" s="30">
        <v>7.174314998039114E-4</v>
      </c>
    </row>
    <row r="759" spans="10:20" x14ac:dyDescent="0.25">
      <c r="J759" s="10"/>
      <c r="K759" s="10"/>
      <c r="L759" s="10" t="s">
        <v>66</v>
      </c>
      <c r="M759" s="10" t="s">
        <v>92</v>
      </c>
      <c r="N759" s="10"/>
      <c r="O759" s="30">
        <v>0.20496663640854776</v>
      </c>
      <c r="P759" s="30">
        <v>1.7166423430077469</v>
      </c>
      <c r="Q759" s="30">
        <v>124.62199375280873</v>
      </c>
      <c r="R759" s="30">
        <v>-6.0470674450497146</v>
      </c>
      <c r="S759" s="30">
        <v>0.14675404758825106</v>
      </c>
      <c r="T759" s="30">
        <v>5.4681955365438637E-4</v>
      </c>
    </row>
    <row r="760" spans="10:20" x14ac:dyDescent="0.25">
      <c r="J760" s="10"/>
      <c r="K760" s="10"/>
      <c r="L760" s="10" t="s">
        <v>66</v>
      </c>
      <c r="M760" s="10" t="s">
        <v>93</v>
      </c>
      <c r="N760" s="10"/>
      <c r="O760" s="30">
        <v>-5.8209934317054799</v>
      </c>
      <c r="P760" s="30">
        <v>-6.2050134161910924</v>
      </c>
      <c r="Q760" s="30">
        <v>-93.553485880394589</v>
      </c>
      <c r="R760" s="30">
        <v>28.509437013603367</v>
      </c>
      <c r="S760" s="30">
        <v>-4.5690726534893482</v>
      </c>
      <c r="T760" s="30">
        <v>4.3988990036188304E-3</v>
      </c>
    </row>
    <row r="761" spans="10:20" x14ac:dyDescent="0.25">
      <c r="J761" s="10"/>
      <c r="K761" s="10"/>
      <c r="L761" s="10" t="s">
        <v>66</v>
      </c>
      <c r="M761" s="10" t="s">
        <v>94</v>
      </c>
      <c r="N761" s="10"/>
      <c r="O761" s="30">
        <v>-5.0888641333845079</v>
      </c>
      <c r="P761" s="30">
        <v>-3.0298267672470405</v>
      </c>
      <c r="Q761" s="30">
        <v>-13.102242187413864</v>
      </c>
      <c r="R761" s="30">
        <v>14.394668678338322</v>
      </c>
      <c r="S761" s="30">
        <v>-4.0094443764930405</v>
      </c>
      <c r="T761" s="30">
        <v>3.7334064003084208E-3</v>
      </c>
    </row>
    <row r="762" spans="10:20" x14ac:dyDescent="0.25">
      <c r="J762" s="10"/>
      <c r="K762" s="10"/>
      <c r="L762" s="10" t="s">
        <v>66</v>
      </c>
      <c r="M762" s="10" t="s">
        <v>95</v>
      </c>
      <c r="N762" s="10"/>
      <c r="O762" s="30">
        <v>5.9286858449238578</v>
      </c>
      <c r="P762" s="30">
        <v>-6.2076545036501356</v>
      </c>
      <c r="Q762" s="30">
        <v>-93.172915559564288</v>
      </c>
      <c r="R762" s="30">
        <v>28.534626208503713</v>
      </c>
      <c r="S762" s="30">
        <v>4.6714110026289104</v>
      </c>
      <c r="T762" s="30">
        <v>-2.0101335621499419E-3</v>
      </c>
    </row>
    <row r="763" spans="10:20" x14ac:dyDescent="0.25">
      <c r="J763" s="10"/>
      <c r="K763" s="10"/>
      <c r="L763" s="10" t="s">
        <v>66</v>
      </c>
      <c r="M763" s="10" t="s">
        <v>96</v>
      </c>
      <c r="N763" s="10"/>
      <c r="O763" s="30">
        <v>6.6578227531817431</v>
      </c>
      <c r="P763" s="30">
        <v>-3.0324637538222827</v>
      </c>
      <c r="Q763" s="30">
        <v>-12.721795311433537</v>
      </c>
      <c r="R763" s="30">
        <v>14.419818861261007</v>
      </c>
      <c r="S763" s="30">
        <v>5.2286807822933437</v>
      </c>
      <c r="T763" s="30">
        <v>-2.6651358976368666E-3</v>
      </c>
    </row>
    <row r="764" spans="10:20" x14ac:dyDescent="0.25">
      <c r="J764" s="10"/>
      <c r="K764" s="10"/>
      <c r="L764" s="10" t="s">
        <v>66</v>
      </c>
      <c r="M764" s="10" t="s">
        <v>97</v>
      </c>
      <c r="N764" s="10"/>
      <c r="O764" s="30">
        <v>-1.6477698393250721</v>
      </c>
      <c r="P764" s="30">
        <v>-10.211045355673097</v>
      </c>
      <c r="Q764" s="30">
        <v>-94.502882282993937</v>
      </c>
      <c r="R764" s="30">
        <v>62.538806914724105</v>
      </c>
      <c r="S764" s="30">
        <v>-1.2674901267988037</v>
      </c>
      <c r="T764" s="30">
        <v>2.325443108225295E-3</v>
      </c>
    </row>
    <row r="765" spans="10:20" x14ac:dyDescent="0.25">
      <c r="J765" s="10"/>
      <c r="K765" s="10"/>
      <c r="L765" s="10" t="s">
        <v>66</v>
      </c>
      <c r="M765" s="10" t="s">
        <v>98</v>
      </c>
      <c r="N765" s="10"/>
      <c r="O765" s="30">
        <v>-0.86596521826173856</v>
      </c>
      <c r="P765" s="30">
        <v>-22.152802887307892</v>
      </c>
      <c r="Q765" s="30">
        <v>23.665090927208507</v>
      </c>
      <c r="R765" s="30">
        <v>145.67924068575707</v>
      </c>
      <c r="S765" s="30">
        <v>-0.67488148038468521</v>
      </c>
      <c r="T765" s="30">
        <v>1.1927321783818403E-3</v>
      </c>
    </row>
    <row r="766" spans="10:20" x14ac:dyDescent="0.25">
      <c r="J766" s="10"/>
      <c r="K766" s="10"/>
      <c r="L766" s="10" t="s">
        <v>66</v>
      </c>
      <c r="M766" s="10" t="s">
        <v>99</v>
      </c>
      <c r="N766" s="10"/>
      <c r="O766" s="30">
        <v>-1.657279671151628</v>
      </c>
      <c r="P766" s="30">
        <v>-0.24715604090054064</v>
      </c>
      <c r="Q766" s="30">
        <v>-92.577155253246261</v>
      </c>
      <c r="R766" s="30">
        <v>-16.044370132966169</v>
      </c>
      <c r="S766" s="30">
        <v>-1.274523389365106</v>
      </c>
      <c r="T766" s="30">
        <v>2.2608488329788844E-3</v>
      </c>
    </row>
    <row r="767" spans="10:20" x14ac:dyDescent="0.25">
      <c r="J767" s="10"/>
      <c r="K767" s="10"/>
      <c r="L767" s="10" t="s">
        <v>66</v>
      </c>
      <c r="M767" s="10" t="s">
        <v>100</v>
      </c>
      <c r="N767" s="10"/>
      <c r="O767" s="30">
        <v>-0.8120252126945201</v>
      </c>
      <c r="P767" s="30">
        <v>13.271834482834249</v>
      </c>
      <c r="Q767" s="30">
        <v>120.16221584722676</v>
      </c>
      <c r="R767" s="30">
        <v>-97.234835027797374</v>
      </c>
      <c r="S767" s="30">
        <v>-0.64048822887701429</v>
      </c>
      <c r="T767" s="30">
        <v>1.1076130588752089E-3</v>
      </c>
    </row>
    <row r="768" spans="10:20" x14ac:dyDescent="0.25">
      <c r="J768" s="10"/>
      <c r="K768" s="10"/>
      <c r="L768" s="10" t="s">
        <v>66</v>
      </c>
      <c r="M768" s="10" t="s">
        <v>101</v>
      </c>
      <c r="N768" s="10"/>
      <c r="O768" s="30">
        <v>-5.1799904382104422</v>
      </c>
      <c r="P768" s="30">
        <v>-3.9622907934576626</v>
      </c>
      <c r="Q768" s="30">
        <v>-20.509404408317071</v>
      </c>
      <c r="R768" s="30">
        <v>19.13902855326111</v>
      </c>
      <c r="S768" s="30">
        <v>-4.0727617452094949</v>
      </c>
      <c r="T768" s="30">
        <v>3.8601403070878133E-3</v>
      </c>
    </row>
    <row r="769" spans="10:20" x14ac:dyDescent="0.25">
      <c r="J769" s="10"/>
      <c r="K769" s="10"/>
      <c r="L769" s="10" t="s">
        <v>66</v>
      </c>
      <c r="M769" s="10" t="s">
        <v>102</v>
      </c>
      <c r="N769" s="10"/>
      <c r="O769" s="30">
        <v>-4.5210740697215677</v>
      </c>
      <c r="P769" s="30">
        <v>-1.1046228094080153</v>
      </c>
      <c r="Q769" s="30">
        <v>51.896714915365614</v>
      </c>
      <c r="R769" s="30">
        <v>6.4357370515225716</v>
      </c>
      <c r="S769" s="30">
        <v>-3.5690962959128179</v>
      </c>
      <c r="T769" s="30">
        <v>3.2611969641084442E-3</v>
      </c>
    </row>
    <row r="770" spans="10:20" x14ac:dyDescent="0.25">
      <c r="J770" s="10"/>
      <c r="K770" s="10"/>
      <c r="L770" s="10" t="s">
        <v>66</v>
      </c>
      <c r="M770" s="10" t="s">
        <v>103</v>
      </c>
      <c r="N770" s="10"/>
      <c r="O770" s="30">
        <v>5.3947209107559617</v>
      </c>
      <c r="P770" s="30">
        <v>-3.964667772170801</v>
      </c>
      <c r="Q770" s="30">
        <v>-20.166891119569783</v>
      </c>
      <c r="R770" s="30">
        <v>19.161698828671419</v>
      </c>
      <c r="S770" s="30">
        <v>4.2436735452969367</v>
      </c>
      <c r="T770" s="30">
        <v>-1.9079890021040816E-3</v>
      </c>
    </row>
    <row r="771" spans="10:20" x14ac:dyDescent="0.25">
      <c r="J771" s="10"/>
      <c r="K771" s="10"/>
      <c r="L771" s="10" t="s">
        <v>66</v>
      </c>
      <c r="M771" s="10" t="s">
        <v>104</v>
      </c>
      <c r="N771" s="10"/>
      <c r="O771" s="30">
        <v>6.0509441281880587</v>
      </c>
      <c r="P771" s="30">
        <v>-1.106996097325734</v>
      </c>
      <c r="Q771" s="30">
        <v>52.239117103747894</v>
      </c>
      <c r="R771" s="30">
        <v>6.4583722161529886</v>
      </c>
      <c r="S771" s="30">
        <v>4.745216346994928</v>
      </c>
      <c r="T771" s="30">
        <v>-2.4974911040423144E-3</v>
      </c>
    </row>
    <row r="772" spans="10:20" x14ac:dyDescent="0.25">
      <c r="J772" s="10"/>
      <c r="K772" s="10"/>
      <c r="L772" s="10" t="s">
        <v>66</v>
      </c>
      <c r="M772" s="10" t="s">
        <v>105</v>
      </c>
      <c r="N772" s="10"/>
      <c r="O772" s="30">
        <v>-1.4240892050680756</v>
      </c>
      <c r="P772" s="30">
        <v>-7.567719538991466</v>
      </c>
      <c r="Q772" s="30">
        <v>-21.363861170656467</v>
      </c>
      <c r="R772" s="30">
        <v>49.765461464269777</v>
      </c>
      <c r="S772" s="30">
        <v>-1.1013374711880051</v>
      </c>
      <c r="T772" s="30">
        <v>1.9940300012336316E-3</v>
      </c>
    </row>
    <row r="773" spans="10:20" x14ac:dyDescent="0.25">
      <c r="J773" s="10"/>
      <c r="K773" s="10"/>
      <c r="L773" s="10" t="s">
        <v>66</v>
      </c>
      <c r="M773" s="10" t="s">
        <v>106</v>
      </c>
      <c r="N773" s="10"/>
      <c r="O773" s="30">
        <v>-0.72046504611107509</v>
      </c>
      <c r="P773" s="30">
        <v>-18.315301317462783</v>
      </c>
      <c r="Q773" s="30">
        <v>84.987314718525752</v>
      </c>
      <c r="R773" s="30">
        <v>124.59185185819943</v>
      </c>
      <c r="S773" s="30">
        <v>-0.56798968941529837</v>
      </c>
      <c r="T773" s="30">
        <v>9.7459016437452235E-4</v>
      </c>
    </row>
    <row r="774" spans="10:20" x14ac:dyDescent="0.25">
      <c r="J774" s="10"/>
      <c r="K774" s="10"/>
      <c r="L774" s="10" t="s">
        <v>66</v>
      </c>
      <c r="M774" s="10" t="s">
        <v>107</v>
      </c>
      <c r="N774" s="10"/>
      <c r="O774" s="30">
        <v>-1.4326480537119757</v>
      </c>
      <c r="P774" s="30">
        <v>1.3997808443038342</v>
      </c>
      <c r="Q774" s="30">
        <v>-19.630706843883566</v>
      </c>
      <c r="R774" s="30">
        <v>-20.959397878651473</v>
      </c>
      <c r="S774" s="30">
        <v>-1.1076674074976771</v>
      </c>
      <c r="T774" s="30">
        <v>1.9358951535118621E-3</v>
      </c>
    </row>
    <row r="775" spans="10:20" x14ac:dyDescent="0.25">
      <c r="J775" s="10"/>
      <c r="K775" s="10"/>
      <c r="L775" s="10" t="s">
        <v>66</v>
      </c>
      <c r="M775" s="10" t="s">
        <v>108</v>
      </c>
      <c r="N775" s="10"/>
      <c r="O775" s="30">
        <v>-0.67191904110057876</v>
      </c>
      <c r="P775" s="30">
        <v>13.566872315665146</v>
      </c>
      <c r="Q775" s="30">
        <v>171.83472714654218</v>
      </c>
      <c r="R775" s="30">
        <v>-94.030816283999556</v>
      </c>
      <c r="S775" s="30">
        <v>-0.53703576305839473</v>
      </c>
      <c r="T775" s="30">
        <v>8.9798295681855415E-4</v>
      </c>
    </row>
    <row r="776" spans="10:20" x14ac:dyDescent="0.25">
      <c r="J776" s="10"/>
      <c r="K776" s="10"/>
      <c r="L776" s="10" t="s">
        <v>66</v>
      </c>
      <c r="M776" s="10" t="s">
        <v>109</v>
      </c>
      <c r="N776" s="10"/>
      <c r="O776" s="30">
        <v>-5.7825864450218454</v>
      </c>
      <c r="P776" s="30">
        <v>-4.7544563693775466</v>
      </c>
      <c r="Q776" s="30">
        <v>-42.326952371637375</v>
      </c>
      <c r="R776" s="30">
        <v>22.594678999126423</v>
      </c>
      <c r="S776" s="30">
        <v>-4.5443444153172559</v>
      </c>
      <c r="T776" s="30">
        <v>4.2453482520842583E-3</v>
      </c>
    </row>
    <row r="777" spans="10:20" x14ac:dyDescent="0.25">
      <c r="J777" s="10"/>
      <c r="K777" s="10"/>
      <c r="L777" s="10" t="s">
        <v>66</v>
      </c>
      <c r="M777" s="10" t="s">
        <v>110</v>
      </c>
      <c r="N777" s="10"/>
      <c r="O777" s="30">
        <v>-5.0504571467008734</v>
      </c>
      <c r="P777" s="30">
        <v>-1.579269720433494</v>
      </c>
      <c r="Q777" s="30">
        <v>38.124291321343357</v>
      </c>
      <c r="R777" s="30">
        <v>8.479910663861375</v>
      </c>
      <c r="S777" s="30">
        <v>-3.9847161383209468</v>
      </c>
      <c r="T777" s="30">
        <v>3.5798556487738479E-3</v>
      </c>
    </row>
    <row r="778" spans="10:20" x14ac:dyDescent="0.25">
      <c r="J778" s="10"/>
      <c r="K778" s="10"/>
      <c r="L778" s="10" t="s">
        <v>66</v>
      </c>
      <c r="M778" s="10" t="s">
        <v>111</v>
      </c>
      <c r="N778" s="10"/>
      <c r="O778" s="30">
        <v>5.9670928316074923</v>
      </c>
      <c r="P778" s="30">
        <v>-4.7570974568365889</v>
      </c>
      <c r="Q778" s="30">
        <v>-41.946382050807067</v>
      </c>
      <c r="R778" s="30">
        <v>22.619868194026761</v>
      </c>
      <c r="S778" s="30">
        <v>4.6961392408010028</v>
      </c>
      <c r="T778" s="30">
        <v>-2.1636843136845149E-3</v>
      </c>
    </row>
    <row r="779" spans="10:20" x14ac:dyDescent="0.25">
      <c r="J779" s="10"/>
      <c r="K779" s="10"/>
      <c r="L779" s="10" t="s">
        <v>66</v>
      </c>
      <c r="M779" s="10" t="s">
        <v>112</v>
      </c>
      <c r="N779" s="10"/>
      <c r="O779" s="30">
        <v>6.6962297398653776</v>
      </c>
      <c r="P779" s="30">
        <v>-1.5819067070087367</v>
      </c>
      <c r="Q779" s="30">
        <v>38.504738197323682</v>
      </c>
      <c r="R779" s="30">
        <v>8.50506084678406</v>
      </c>
      <c r="S779" s="30">
        <v>5.253409020465436</v>
      </c>
      <c r="T779" s="30">
        <v>-2.8186866491714392E-3</v>
      </c>
    </row>
    <row r="780" spans="10:20" x14ac:dyDescent="0.25">
      <c r="J780" s="10"/>
      <c r="K780" s="10"/>
      <c r="L780" s="10" t="s">
        <v>66</v>
      </c>
      <c r="M780" s="10" t="s">
        <v>113</v>
      </c>
      <c r="N780" s="10"/>
      <c r="O780" s="30">
        <v>-1.6093628526414376</v>
      </c>
      <c r="P780" s="30">
        <v>-8.76048830885955</v>
      </c>
      <c r="Q780" s="30">
        <v>-43.276348774236723</v>
      </c>
      <c r="R780" s="30">
        <v>56.624048900247153</v>
      </c>
      <c r="S780" s="30">
        <v>-1.2427618886267104</v>
      </c>
      <c r="T780" s="30">
        <v>2.171892356690722E-3</v>
      </c>
    </row>
    <row r="781" spans="10:20" x14ac:dyDescent="0.25">
      <c r="J781" s="10"/>
      <c r="K781" s="10"/>
      <c r="L781" s="10" t="s">
        <v>66</v>
      </c>
      <c r="M781" s="10" t="s">
        <v>114</v>
      </c>
      <c r="N781" s="10"/>
      <c r="O781" s="30">
        <v>-0.82755823157810382</v>
      </c>
      <c r="P781" s="30">
        <v>-20.702245840494346</v>
      </c>
      <c r="Q781" s="30">
        <v>74.891624435965724</v>
      </c>
      <c r="R781" s="30">
        <v>139.76448267128012</v>
      </c>
      <c r="S781" s="30">
        <v>-0.65015324221259196</v>
      </c>
      <c r="T781" s="30">
        <v>1.0391814268472675E-3</v>
      </c>
    </row>
    <row r="782" spans="10:20" x14ac:dyDescent="0.25">
      <c r="J782" s="10"/>
      <c r="K782" s="10"/>
      <c r="L782" s="10" t="s">
        <v>66</v>
      </c>
      <c r="M782" s="10" t="s">
        <v>115</v>
      </c>
      <c r="N782" s="10"/>
      <c r="O782" s="30">
        <v>-1.6188726844679933</v>
      </c>
      <c r="P782" s="30">
        <v>1.2034010059130058</v>
      </c>
      <c r="Q782" s="30">
        <v>-41.35062174448904</v>
      </c>
      <c r="R782" s="30">
        <v>-21.959128147443117</v>
      </c>
      <c r="S782" s="30">
        <v>-1.2497951511930128</v>
      </c>
      <c r="T782" s="30">
        <v>2.1072980814443123E-3</v>
      </c>
    </row>
    <row r="783" spans="10:20" x14ac:dyDescent="0.25">
      <c r="J783" s="10"/>
      <c r="K783" s="10"/>
      <c r="L783" s="10" t="s">
        <v>66</v>
      </c>
      <c r="M783" s="10" t="s">
        <v>116</v>
      </c>
      <c r="N783" s="10"/>
      <c r="O783" s="30">
        <v>-0.77361822601088537</v>
      </c>
      <c r="P783" s="30">
        <v>14.722391529647796</v>
      </c>
      <c r="Q783" s="30">
        <v>171.38874935598398</v>
      </c>
      <c r="R783" s="30">
        <v>-103.14959304227433</v>
      </c>
      <c r="S783" s="30">
        <v>-0.61575999070492116</v>
      </c>
      <c r="T783" s="30">
        <v>9.5406230734063622E-4</v>
      </c>
    </row>
    <row r="784" spans="10:20" x14ac:dyDescent="0.25">
      <c r="J784" s="10"/>
      <c r="K784" s="10"/>
      <c r="L784" s="10" t="s">
        <v>67</v>
      </c>
      <c r="M784" s="10" t="s">
        <v>91</v>
      </c>
      <c r="N784" s="10"/>
      <c r="O784" s="30">
        <v>9.6639618396317656E-2</v>
      </c>
      <c r="P784" s="30">
        <v>-6.737236955519573</v>
      </c>
      <c r="Q784" s="30">
        <v>49.234196886211997</v>
      </c>
      <c r="R784" s="30">
        <v>29.917153557323072</v>
      </c>
      <c r="S784" s="30">
        <v>7.362436552350507E-2</v>
      </c>
      <c r="T784" s="30">
        <v>-1.4664272856535782E-3</v>
      </c>
    </row>
    <row r="785" spans="10:20" x14ac:dyDescent="0.25">
      <c r="J785" s="10"/>
      <c r="K785" s="10"/>
      <c r="L785" s="10" t="s">
        <v>67</v>
      </c>
      <c r="M785" s="10" t="s">
        <v>92</v>
      </c>
      <c r="N785" s="10"/>
      <c r="O785" s="30">
        <v>7.6054715926182154E-2</v>
      </c>
      <c r="P785" s="30">
        <v>-18.738809819184322</v>
      </c>
      <c r="Q785" s="30">
        <v>76.999377434559207</v>
      </c>
      <c r="R785" s="30">
        <v>82.508552964769649</v>
      </c>
      <c r="S785" s="30">
        <v>5.5303267541266583E-2</v>
      </c>
      <c r="T785" s="30">
        <v>-1.4822684000056223E-3</v>
      </c>
    </row>
    <row r="786" spans="10:20" x14ac:dyDescent="0.25">
      <c r="J786" s="10"/>
      <c r="K786" s="10"/>
      <c r="L786" s="10" t="s">
        <v>67</v>
      </c>
      <c r="M786" s="10" t="s">
        <v>93</v>
      </c>
      <c r="N786" s="10"/>
      <c r="O786" s="30">
        <v>-5.5281645834683051</v>
      </c>
      <c r="P786" s="30">
        <v>5.0591485666776066</v>
      </c>
      <c r="Q786" s="30">
        <v>-34.907952567802845</v>
      </c>
      <c r="R786" s="30">
        <v>-53.309762475596372</v>
      </c>
      <c r="S786" s="30">
        <v>-4.347476993936187</v>
      </c>
      <c r="T786" s="30">
        <v>-5.9140132658530218E-4</v>
      </c>
    </row>
    <row r="787" spans="10:20" x14ac:dyDescent="0.25">
      <c r="J787" s="10"/>
      <c r="K787" s="10"/>
      <c r="L787" s="10" t="s">
        <v>67</v>
      </c>
      <c r="M787" s="10" t="s">
        <v>94</v>
      </c>
      <c r="N787" s="10"/>
      <c r="O787" s="30">
        <v>-5.179938219930718</v>
      </c>
      <c r="P787" s="30">
        <v>0.55403814444515032</v>
      </c>
      <c r="Q787" s="30">
        <v>7.2506984175063467</v>
      </c>
      <c r="R787" s="30">
        <v>-15.856293510398574</v>
      </c>
      <c r="S787" s="30">
        <v>-4.0919944441474509</v>
      </c>
      <c r="T787" s="30">
        <v>-7.2033221549449645E-4</v>
      </c>
    </row>
    <row r="788" spans="10:20" x14ac:dyDescent="0.25">
      <c r="J788" s="10"/>
      <c r="K788" s="10"/>
      <c r="L788" s="10" t="s">
        <v>67</v>
      </c>
      <c r="M788" s="10" t="s">
        <v>95</v>
      </c>
      <c r="N788" s="10"/>
      <c r="O788" s="30">
        <v>5.8360263891179587</v>
      </c>
      <c r="P788" s="30">
        <v>5.0607854706857749</v>
      </c>
      <c r="Q788" s="30">
        <v>-34.421396905784455</v>
      </c>
      <c r="R788" s="30">
        <v>-53.3151518108508</v>
      </c>
      <c r="S788" s="30">
        <v>4.5991127882331222</v>
      </c>
      <c r="T788" s="30">
        <v>-2.2413780802851033E-3</v>
      </c>
    </row>
    <row r="789" spans="10:20" x14ac:dyDescent="0.25">
      <c r="J789" s="10"/>
      <c r="K789" s="10"/>
      <c r="L789" s="10" t="s">
        <v>67</v>
      </c>
      <c r="M789" s="10" t="s">
        <v>96</v>
      </c>
      <c r="N789" s="10"/>
      <c r="O789" s="30">
        <v>6.1879646112529887</v>
      </c>
      <c r="P789" s="30">
        <v>0.55567266397315218</v>
      </c>
      <c r="Q789" s="30">
        <v>7.7374347433328863</v>
      </c>
      <c r="R789" s="30">
        <v>-15.861676682936631</v>
      </c>
      <c r="S789" s="30">
        <v>4.857516998056612</v>
      </c>
      <c r="T789" s="30">
        <v>-2.3686779764410504E-3</v>
      </c>
    </row>
    <row r="790" spans="10:20" x14ac:dyDescent="0.25">
      <c r="J790" s="10"/>
      <c r="K790" s="10"/>
      <c r="L790" s="10" t="s">
        <v>67</v>
      </c>
      <c r="M790" s="10" t="s">
        <v>97</v>
      </c>
      <c r="N790" s="10"/>
      <c r="O790" s="30">
        <v>-0.76491541430189913</v>
      </c>
      <c r="P790" s="30">
        <v>3.7853918407706724</v>
      </c>
      <c r="Q790" s="30">
        <v>-29.77445528671716</v>
      </c>
      <c r="R790" s="30">
        <v>-22.975048672938701</v>
      </c>
      <c r="S790" s="30">
        <v>-0.5624029981877926</v>
      </c>
      <c r="T790" s="30">
        <v>-1.1300842218896843E-3</v>
      </c>
    </row>
    <row r="791" spans="10:20" x14ac:dyDescent="0.25">
      <c r="J791" s="10"/>
      <c r="K791" s="10"/>
      <c r="L791" s="10" t="s">
        <v>67</v>
      </c>
      <c r="M791" s="10" t="s">
        <v>98</v>
      </c>
      <c r="N791" s="10"/>
      <c r="O791" s="30">
        <v>-0.51112250261908554</v>
      </c>
      <c r="P791" s="30">
        <v>-12.470307544119374</v>
      </c>
      <c r="Q791" s="30">
        <v>23.755547625089321</v>
      </c>
      <c r="R791" s="30">
        <v>93.342460436765336</v>
      </c>
      <c r="S791" s="30">
        <v>-0.37544767796538786</v>
      </c>
      <c r="T791" s="30">
        <v>-1.3381909920235227E-3</v>
      </c>
    </row>
    <row r="792" spans="10:20" x14ac:dyDescent="0.25">
      <c r="J792" s="10"/>
      <c r="K792" s="10"/>
      <c r="L792" s="10" t="s">
        <v>67</v>
      </c>
      <c r="M792" s="10" t="s">
        <v>99</v>
      </c>
      <c r="N792" s="10"/>
      <c r="O792" s="30">
        <v>-1.0129021321640399</v>
      </c>
      <c r="P792" s="30">
        <v>51.939196974053985</v>
      </c>
      <c r="Q792" s="30">
        <v>-46.819672319369502</v>
      </c>
      <c r="R792" s="30">
        <v>-220.31079258515589</v>
      </c>
      <c r="S792" s="30">
        <v>-0.74891050401720949</v>
      </c>
      <c r="T792" s="30">
        <v>-1.2113459943597065E-3</v>
      </c>
    </row>
    <row r="793" spans="10:20" x14ac:dyDescent="0.25">
      <c r="J793" s="10"/>
      <c r="K793" s="10"/>
      <c r="L793" s="10" t="s">
        <v>67</v>
      </c>
      <c r="M793" s="10" t="s">
        <v>100</v>
      </c>
      <c r="N793" s="10"/>
      <c r="O793" s="30">
        <v>-0.71339022426857235</v>
      </c>
      <c r="P793" s="30">
        <v>26.287522347055617</v>
      </c>
      <c r="Q793" s="30">
        <v>71.54718736245637</v>
      </c>
      <c r="R793" s="30">
        <v>-113.50465639655383</v>
      </c>
      <c r="S793" s="30">
        <v>-0.53804028449992314</v>
      </c>
      <c r="T793" s="30">
        <v>-1.3938267349680445E-3</v>
      </c>
    </row>
    <row r="794" spans="10:20" x14ac:dyDescent="0.25">
      <c r="J794" s="10"/>
      <c r="K794" s="10"/>
      <c r="L794" s="10" t="s">
        <v>67</v>
      </c>
      <c r="M794" s="10" t="s">
        <v>101</v>
      </c>
      <c r="N794" s="10"/>
      <c r="O794" s="30">
        <v>-4.9862690657519781</v>
      </c>
      <c r="P794" s="30">
        <v>-8.1220628492068609</v>
      </c>
      <c r="Q794" s="30">
        <v>1.2714429259458409</v>
      </c>
      <c r="R794" s="30">
        <v>7.6043285351421517</v>
      </c>
      <c r="S794" s="30">
        <v>-3.9236879559724573</v>
      </c>
      <c r="T794" s="30">
        <v>-6.9474503684417385E-4</v>
      </c>
    </row>
    <row r="795" spans="10:20" x14ac:dyDescent="0.25">
      <c r="J795" s="10"/>
      <c r="K795" s="10"/>
      <c r="L795" s="10" t="s">
        <v>67</v>
      </c>
      <c r="M795" s="10" t="s">
        <v>102</v>
      </c>
      <c r="N795" s="10"/>
      <c r="O795" s="30">
        <v>-4.6728653385681511</v>
      </c>
      <c r="P795" s="30">
        <v>-12.176662229216074</v>
      </c>
      <c r="Q795" s="30">
        <v>39.214228812724123</v>
      </c>
      <c r="R795" s="30">
        <v>41.312450603820174</v>
      </c>
      <c r="S795" s="30">
        <v>-3.6937536611625932</v>
      </c>
      <c r="T795" s="30">
        <v>-8.1078283686244871E-4</v>
      </c>
    </row>
    <row r="796" spans="10:20" x14ac:dyDescent="0.25">
      <c r="J796" s="10"/>
      <c r="K796" s="10"/>
      <c r="L796" s="10" t="s">
        <v>67</v>
      </c>
      <c r="M796" s="10" t="s">
        <v>103</v>
      </c>
      <c r="N796" s="10"/>
      <c r="O796" s="30">
        <v>5.2415028095756595</v>
      </c>
      <c r="P796" s="30">
        <v>-8.1205896355995097</v>
      </c>
      <c r="Q796" s="30">
        <v>1.7093430217624115</v>
      </c>
      <c r="R796" s="30">
        <v>7.5994781334131636</v>
      </c>
      <c r="S796" s="30">
        <v>4.1282428479799229</v>
      </c>
      <c r="T796" s="30">
        <v>-2.179724115173995E-3</v>
      </c>
    </row>
    <row r="797" spans="10:20" x14ac:dyDescent="0.25">
      <c r="J797" s="10"/>
      <c r="K797" s="10"/>
      <c r="L797" s="10" t="s">
        <v>67</v>
      </c>
      <c r="M797" s="10" t="s">
        <v>104</v>
      </c>
      <c r="N797" s="10"/>
      <c r="O797" s="30">
        <v>5.5582472094971864</v>
      </c>
      <c r="P797" s="30">
        <v>-12.175191161640869</v>
      </c>
      <c r="Q797" s="30">
        <v>39.652291505968009</v>
      </c>
      <c r="R797" s="30">
        <v>41.30760574853592</v>
      </c>
      <c r="S797" s="30">
        <v>4.3608066368210627</v>
      </c>
      <c r="T797" s="30">
        <v>-2.2942940217143474E-3</v>
      </c>
    </row>
    <row r="798" spans="10:20" x14ac:dyDescent="0.25">
      <c r="J798" s="10"/>
      <c r="K798" s="10"/>
      <c r="L798" s="10" t="s">
        <v>67</v>
      </c>
      <c r="M798" s="10" t="s">
        <v>105</v>
      </c>
      <c r="N798" s="10"/>
      <c r="O798" s="30">
        <v>-0.699344813502213</v>
      </c>
      <c r="P798" s="30">
        <v>-9.2684439025231029</v>
      </c>
      <c r="Q798" s="30">
        <v>5.8915904789229669</v>
      </c>
      <c r="R798" s="30">
        <v>34.905570957534053</v>
      </c>
      <c r="S798" s="30">
        <v>-0.51712135979890128</v>
      </c>
      <c r="T798" s="30">
        <v>-1.179559642618118E-3</v>
      </c>
    </row>
    <row r="799" spans="10:20" x14ac:dyDescent="0.25">
      <c r="J799" s="10"/>
      <c r="K799" s="10"/>
      <c r="L799" s="10" t="s">
        <v>67</v>
      </c>
      <c r="M799" s="10" t="s">
        <v>106</v>
      </c>
      <c r="N799" s="10"/>
      <c r="O799" s="30">
        <v>-0.47093119298768066</v>
      </c>
      <c r="P799" s="30">
        <v>-23.898573348924142</v>
      </c>
      <c r="Q799" s="30">
        <v>54.068593099548806</v>
      </c>
      <c r="R799" s="30">
        <v>139.5913291562677</v>
      </c>
      <c r="S799" s="30">
        <v>-0.34886157159873704</v>
      </c>
      <c r="T799" s="30">
        <v>-1.3668557357385722E-3</v>
      </c>
    </row>
    <row r="800" spans="10:20" x14ac:dyDescent="0.25">
      <c r="J800" s="10"/>
      <c r="K800" s="10"/>
      <c r="L800" s="10" t="s">
        <v>67</v>
      </c>
      <c r="M800" s="10" t="s">
        <v>107</v>
      </c>
      <c r="N800" s="10"/>
      <c r="O800" s="30">
        <v>-0.92253285957813969</v>
      </c>
      <c r="P800" s="30">
        <v>34.069980717431875</v>
      </c>
      <c r="Q800" s="30">
        <v>-9.4491048504641348</v>
      </c>
      <c r="R800" s="30">
        <v>-142.69659856346138</v>
      </c>
      <c r="S800" s="30">
        <v>-0.68497811504537653</v>
      </c>
      <c r="T800" s="30">
        <v>-1.2526952378411375E-3</v>
      </c>
    </row>
    <row r="801" spans="10:20" x14ac:dyDescent="0.25">
      <c r="J801" s="10"/>
      <c r="K801" s="10"/>
      <c r="L801" s="10" t="s">
        <v>67</v>
      </c>
      <c r="M801" s="10" t="s">
        <v>108</v>
      </c>
      <c r="N801" s="10"/>
      <c r="O801" s="30">
        <v>-0.6529721424722188</v>
      </c>
      <c r="P801" s="30">
        <v>10.983473553133351</v>
      </c>
      <c r="Q801" s="30">
        <v>97.081068863179155</v>
      </c>
      <c r="R801" s="30">
        <v>-46.571075993719582</v>
      </c>
      <c r="S801" s="30">
        <v>-0.49519491747981881</v>
      </c>
      <c r="T801" s="30">
        <v>-1.4169279043886418E-3</v>
      </c>
    </row>
    <row r="802" spans="10:20" x14ac:dyDescent="0.25">
      <c r="J802" s="10"/>
      <c r="K802" s="10"/>
      <c r="L802" s="10" t="s">
        <v>67</v>
      </c>
      <c r="M802" s="10" t="s">
        <v>109</v>
      </c>
      <c r="N802" s="10"/>
      <c r="O802" s="30">
        <v>-5.546690995691427</v>
      </c>
      <c r="P802" s="30">
        <v>-5.7422670106206706</v>
      </c>
      <c r="Q802" s="30">
        <v>-9.9192900742903412</v>
      </c>
      <c r="R802" s="30">
        <v>-5.9775030088944421</v>
      </c>
      <c r="S802" s="30">
        <v>-4.3639659821202015</v>
      </c>
      <c r="T802" s="30">
        <v>-6.0565832950214174E-4</v>
      </c>
    </row>
    <row r="803" spans="10:20" x14ac:dyDescent="0.25">
      <c r="J803" s="10"/>
      <c r="K803" s="10"/>
      <c r="L803" s="10" t="s">
        <v>67</v>
      </c>
      <c r="M803" s="10" t="s">
        <v>110</v>
      </c>
      <c r="N803" s="10"/>
      <c r="O803" s="30">
        <v>-5.1984646321538399</v>
      </c>
      <c r="P803" s="30">
        <v>-10.247377432853128</v>
      </c>
      <c r="Q803" s="30">
        <v>32.239360911018849</v>
      </c>
      <c r="R803" s="30">
        <v>31.475965956303359</v>
      </c>
      <c r="S803" s="30">
        <v>-4.1084834323314654</v>
      </c>
      <c r="T803" s="30">
        <v>-7.3458921841133601E-4</v>
      </c>
    </row>
    <row r="804" spans="10:20" x14ac:dyDescent="0.25">
      <c r="J804" s="10"/>
      <c r="K804" s="10"/>
      <c r="L804" s="10" t="s">
        <v>67</v>
      </c>
      <c r="M804" s="10" t="s">
        <v>111</v>
      </c>
      <c r="N804" s="10"/>
      <c r="O804" s="30">
        <v>5.8174999768948368</v>
      </c>
      <c r="P804" s="30">
        <v>-5.7406301066125023</v>
      </c>
      <c r="Q804" s="30">
        <v>-9.4327344122719499</v>
      </c>
      <c r="R804" s="30">
        <v>-5.9828923441488726</v>
      </c>
      <c r="S804" s="30">
        <v>4.5826238000491086</v>
      </c>
      <c r="T804" s="30">
        <v>-2.2556350832019429E-3</v>
      </c>
    </row>
    <row r="805" spans="10:20" x14ac:dyDescent="0.25">
      <c r="J805" s="10"/>
      <c r="K805" s="10"/>
      <c r="L805" s="10" t="s">
        <v>67</v>
      </c>
      <c r="M805" s="10" t="s">
        <v>112</v>
      </c>
      <c r="N805" s="10"/>
      <c r="O805" s="30">
        <v>6.1694381990298668</v>
      </c>
      <c r="P805" s="30">
        <v>-10.245742913325126</v>
      </c>
      <c r="Q805" s="30">
        <v>32.726097236845391</v>
      </c>
      <c r="R805" s="30">
        <v>31.470582783765302</v>
      </c>
      <c r="S805" s="30">
        <v>4.8410280098725975</v>
      </c>
      <c r="T805" s="30">
        <v>-2.3829349793578905E-3</v>
      </c>
    </row>
    <row r="806" spans="10:20" x14ac:dyDescent="0.25">
      <c r="J806" s="10"/>
      <c r="K806" s="10"/>
      <c r="L806" s="10" t="s">
        <v>67</v>
      </c>
      <c r="M806" s="10" t="s">
        <v>113</v>
      </c>
      <c r="N806" s="10"/>
      <c r="O806" s="30">
        <v>-0.78344182652502115</v>
      </c>
      <c r="P806" s="30">
        <v>-7.0160237365276048</v>
      </c>
      <c r="Q806" s="30">
        <v>-4.7857927932046573</v>
      </c>
      <c r="R806" s="30">
        <v>24.35721079376323</v>
      </c>
      <c r="S806" s="30">
        <v>-0.57889198637180717</v>
      </c>
      <c r="T806" s="30">
        <v>-1.144341224806524E-3</v>
      </c>
    </row>
    <row r="807" spans="10:20" x14ac:dyDescent="0.25">
      <c r="J807" s="10"/>
      <c r="K807" s="10"/>
      <c r="L807" s="10" t="s">
        <v>67</v>
      </c>
      <c r="M807" s="10" t="s">
        <v>114</v>
      </c>
      <c r="N807" s="10"/>
      <c r="O807" s="30">
        <v>-0.52964891484220744</v>
      </c>
      <c r="P807" s="30">
        <v>-23.271723121417651</v>
      </c>
      <c r="Q807" s="30">
        <v>48.744210118601821</v>
      </c>
      <c r="R807" s="30">
        <v>140.67471990346726</v>
      </c>
      <c r="S807" s="30">
        <v>-0.39193666614940248</v>
      </c>
      <c r="T807" s="30">
        <v>-1.3524479949403622E-3</v>
      </c>
    </row>
    <row r="808" spans="10:20" x14ac:dyDescent="0.25">
      <c r="J808" s="10"/>
      <c r="K808" s="10"/>
      <c r="L808" s="10" t="s">
        <v>67</v>
      </c>
      <c r="M808" s="10" t="s">
        <v>115</v>
      </c>
      <c r="N808" s="10"/>
      <c r="O808" s="30">
        <v>-1.0314285443871618</v>
      </c>
      <c r="P808" s="30">
        <v>41.137781396755706</v>
      </c>
      <c r="Q808" s="30">
        <v>-21.831009825857002</v>
      </c>
      <c r="R808" s="30">
        <v>-172.97853311845395</v>
      </c>
      <c r="S808" s="30">
        <v>-0.76539949220122416</v>
      </c>
      <c r="T808" s="30">
        <v>-1.225602997276546E-3</v>
      </c>
    </row>
    <row r="809" spans="10:20" x14ac:dyDescent="0.25">
      <c r="J809" s="10"/>
      <c r="K809" s="10"/>
      <c r="L809" s="10" t="s">
        <v>67</v>
      </c>
      <c r="M809" s="10" t="s">
        <v>116</v>
      </c>
      <c r="N809" s="10"/>
      <c r="O809" s="30">
        <v>-0.73191663649169436</v>
      </c>
      <c r="P809" s="30">
        <v>15.486106769757342</v>
      </c>
      <c r="Q809" s="30">
        <v>96.535849855968891</v>
      </c>
      <c r="R809" s="30">
        <v>-66.172396929851899</v>
      </c>
      <c r="S809" s="30">
        <v>-0.55452927268393781</v>
      </c>
      <c r="T809" s="30">
        <v>-1.4080837378848841E-3</v>
      </c>
    </row>
    <row r="810" spans="10:20" x14ac:dyDescent="0.25">
      <c r="J810" s="10"/>
      <c r="K810" s="10"/>
      <c r="L810" s="10" t="s">
        <v>68</v>
      </c>
      <c r="M810" s="10" t="s">
        <v>91</v>
      </c>
      <c r="N810" s="10"/>
      <c r="O810" s="30">
        <v>0.26991292385837762</v>
      </c>
      <c r="P810" s="30">
        <v>6.9741121201316698</v>
      </c>
      <c r="Q810" s="30">
        <v>49.649048454218345</v>
      </c>
      <c r="R810" s="30">
        <v>-30.924897609603111</v>
      </c>
      <c r="S810" s="30">
        <v>0.23128940685099275</v>
      </c>
      <c r="T810" s="30">
        <v>1.0805803218972311E-3</v>
      </c>
    </row>
    <row r="811" spans="10:20" x14ac:dyDescent="0.25">
      <c r="J811" s="10"/>
      <c r="K811" s="10"/>
      <c r="L811" s="10" t="s">
        <v>68</v>
      </c>
      <c r="M811" s="10" t="s">
        <v>92</v>
      </c>
      <c r="N811" s="10"/>
      <c r="O811" s="30">
        <v>0.1364473055465083</v>
      </c>
      <c r="P811" s="30">
        <v>18.975081006608004</v>
      </c>
      <c r="Q811" s="30">
        <v>77.280397553936069</v>
      </c>
      <c r="R811" s="30">
        <v>-83.528569404877686</v>
      </c>
      <c r="S811" s="30">
        <v>0.14388684133007418</v>
      </c>
      <c r="T811" s="30">
        <v>1.0607161219425292E-3</v>
      </c>
    </row>
    <row r="812" spans="10:20" x14ac:dyDescent="0.25">
      <c r="J812" s="10"/>
      <c r="K812" s="10"/>
      <c r="L812" s="10" t="s">
        <v>68</v>
      </c>
      <c r="M812" s="10" t="s">
        <v>93</v>
      </c>
      <c r="N812" s="10"/>
      <c r="O812" s="30">
        <v>-1.7707560243518752</v>
      </c>
      <c r="P812" s="30">
        <v>-4.8249029147550342</v>
      </c>
      <c r="Q812" s="30">
        <v>-42.320377066222477</v>
      </c>
      <c r="R812" s="30">
        <v>52.647307715946631</v>
      </c>
      <c r="S812" s="30">
        <v>-3.8251137277028193</v>
      </c>
      <c r="T812" s="30">
        <v>1.5995202028467729E-3</v>
      </c>
    </row>
    <row r="813" spans="10:20" x14ac:dyDescent="0.25">
      <c r="J813" s="10"/>
      <c r="K813" s="10"/>
      <c r="L813" s="10" t="s">
        <v>68</v>
      </c>
      <c r="M813" s="10" t="s">
        <v>94</v>
      </c>
      <c r="N813" s="10"/>
      <c r="O813" s="30">
        <v>-1.3483944652617343</v>
      </c>
      <c r="P813" s="30">
        <v>-0.32031120828790055</v>
      </c>
      <c r="Q813" s="30">
        <v>0.43785143315869202</v>
      </c>
      <c r="R813" s="30">
        <v>15.144290717619478</v>
      </c>
      <c r="S813" s="30">
        <v>-3.1795866680782092</v>
      </c>
      <c r="T813" s="30">
        <v>1.5404140288603229E-3</v>
      </c>
    </row>
    <row r="814" spans="10:20" x14ac:dyDescent="0.25">
      <c r="J814" s="10"/>
      <c r="K814" s="10"/>
      <c r="L814" s="10" t="s">
        <v>68</v>
      </c>
      <c r="M814" s="10" t="s">
        <v>95</v>
      </c>
      <c r="N814" s="10"/>
      <c r="O814" s="30">
        <v>3.1461422830911627</v>
      </c>
      <c r="P814" s="30">
        <v>-4.8231869787129824</v>
      </c>
      <c r="Q814" s="30">
        <v>-25.426937583331711</v>
      </c>
      <c r="R814" s="30">
        <v>52.065335582973141</v>
      </c>
      <c r="S814" s="30">
        <v>4.8186428358355951</v>
      </c>
      <c r="T814" s="30">
        <v>-2.8873420206603932E-4</v>
      </c>
    </row>
    <row r="815" spans="10:20" x14ac:dyDescent="0.25">
      <c r="J815" s="10"/>
      <c r="K815" s="10"/>
      <c r="L815" s="10" t="s">
        <v>68</v>
      </c>
      <c r="M815" s="10" t="s">
        <v>96</v>
      </c>
      <c r="N815" s="10"/>
      <c r="O815" s="30">
        <v>3.5694411467497358</v>
      </c>
      <c r="P815" s="30">
        <v>-0.31865387371208082</v>
      </c>
      <c r="Q815" s="30">
        <v>17.338337246121565</v>
      </c>
      <c r="R815" s="30">
        <v>14.563539086217851</v>
      </c>
      <c r="S815" s="30">
        <v>5.4668550108377749</v>
      </c>
      <c r="T815" s="30">
        <v>-3.4466845751053159E-4</v>
      </c>
    </row>
    <row r="816" spans="10:20" x14ac:dyDescent="0.25">
      <c r="J816" s="10"/>
      <c r="K816" s="10"/>
      <c r="L816" s="10" t="s">
        <v>68</v>
      </c>
      <c r="M816" s="10" t="s">
        <v>97</v>
      </c>
      <c r="N816" s="10"/>
      <c r="O816" s="30">
        <v>-1.4077538132288234</v>
      </c>
      <c r="P816" s="30">
        <v>-51.695881812832724</v>
      </c>
      <c r="Q816" s="30">
        <v>-48.160808112547755</v>
      </c>
      <c r="R816" s="30">
        <v>219.38089647586585</v>
      </c>
      <c r="S816" s="30">
        <v>-1.9445298975255643</v>
      </c>
      <c r="T816" s="30">
        <v>1.1614543250780432E-3</v>
      </c>
    </row>
    <row r="817" spans="10:20" x14ac:dyDescent="0.25">
      <c r="J817" s="10"/>
      <c r="K817" s="10"/>
      <c r="L817" s="10" t="s">
        <v>68</v>
      </c>
      <c r="M817" s="10" t="s">
        <v>98</v>
      </c>
      <c r="N817" s="10"/>
      <c r="O817" s="30">
        <v>-1.3519039431710187</v>
      </c>
      <c r="P817" s="30">
        <v>-26.045814065536938</v>
      </c>
      <c r="Q817" s="30">
        <v>70.464409218908713</v>
      </c>
      <c r="R817" s="30">
        <v>112.48879072794236</v>
      </c>
      <c r="S817" s="30">
        <v>-1.5298396525611879</v>
      </c>
      <c r="T817" s="30">
        <v>1.0796033878903335E-3</v>
      </c>
    </row>
    <row r="818" spans="10:20" x14ac:dyDescent="0.25">
      <c r="J818" s="10"/>
      <c r="K818" s="10"/>
      <c r="L818" s="10" t="s">
        <v>68</v>
      </c>
      <c r="M818" s="10" t="s">
        <v>99</v>
      </c>
      <c r="N818" s="10"/>
      <c r="O818" s="30">
        <v>-0.9102345119821238</v>
      </c>
      <c r="P818" s="30">
        <v>-3.5493954327981112</v>
      </c>
      <c r="Q818" s="30">
        <v>-30.888626383251214</v>
      </c>
      <c r="R818" s="30">
        <v>22.097320242773023</v>
      </c>
      <c r="S818" s="30">
        <v>-1.4269744093202954</v>
      </c>
      <c r="T818" s="30">
        <v>1.2583097564163512E-3</v>
      </c>
    </row>
    <row r="819" spans="10:20" x14ac:dyDescent="0.25">
      <c r="J819" s="10"/>
      <c r="K819" s="10"/>
      <c r="L819" s="10" t="s">
        <v>68</v>
      </c>
      <c r="M819" s="10" t="s">
        <v>100</v>
      </c>
      <c r="N819" s="10"/>
      <c r="O819" s="30">
        <v>-0.54830994167541081</v>
      </c>
      <c r="P819" s="30">
        <v>12.708630089809205</v>
      </c>
      <c r="Q819" s="30">
        <v>22.90492764288145</v>
      </c>
      <c r="R819" s="30">
        <v>-94.32452325981474</v>
      </c>
      <c r="S819" s="30">
        <v>-0.92683338985063501</v>
      </c>
      <c r="T819" s="30">
        <v>1.0874986740291557E-3</v>
      </c>
    </row>
    <row r="820" spans="10:20" x14ac:dyDescent="0.25">
      <c r="J820" s="10"/>
      <c r="K820" s="10"/>
      <c r="L820" s="10" t="s">
        <v>68</v>
      </c>
      <c r="M820" s="10" t="s">
        <v>101</v>
      </c>
      <c r="N820" s="10"/>
      <c r="O820" s="30">
        <v>-1.7001547478427195</v>
      </c>
      <c r="P820" s="30">
        <v>8.3559674752099706</v>
      </c>
      <c r="Q820" s="30">
        <v>-5.4920854144606848</v>
      </c>
      <c r="R820" s="30">
        <v>-8.3135846118829075</v>
      </c>
      <c r="S820" s="30">
        <v>-3.5068759797683562</v>
      </c>
      <c r="T820" s="30">
        <v>1.5277620147971169E-3</v>
      </c>
    </row>
    <row r="821" spans="10:20" x14ac:dyDescent="0.25">
      <c r="J821" s="10"/>
      <c r="K821" s="10"/>
      <c r="L821" s="10" t="s">
        <v>68</v>
      </c>
      <c r="M821" s="10" t="s">
        <v>102</v>
      </c>
      <c r="N821" s="10"/>
      <c r="O821" s="30">
        <v>-1.3200293446615927</v>
      </c>
      <c r="P821" s="30">
        <v>12.410100011030391</v>
      </c>
      <c r="Q821" s="30">
        <v>32.990320234982377</v>
      </c>
      <c r="R821" s="30">
        <v>-42.06629991037736</v>
      </c>
      <c r="S821" s="30">
        <v>-2.9259016261062079</v>
      </c>
      <c r="T821" s="30">
        <v>1.4745664582093119E-3</v>
      </c>
    </row>
    <row r="822" spans="10:20" x14ac:dyDescent="0.25">
      <c r="J822" s="10"/>
      <c r="K822" s="10"/>
      <c r="L822" s="10" t="s">
        <v>68</v>
      </c>
      <c r="M822" s="10" t="s">
        <v>103</v>
      </c>
      <c r="N822" s="10"/>
      <c r="O822" s="30">
        <v>2.725053728856015</v>
      </c>
      <c r="P822" s="30">
        <v>8.3575118176478167</v>
      </c>
      <c r="Q822" s="30">
        <v>9.7120101201410129</v>
      </c>
      <c r="R822" s="30">
        <v>-8.8373595315590627</v>
      </c>
      <c r="S822" s="30">
        <v>4.2725049274162163</v>
      </c>
      <c r="T822" s="30">
        <v>-1.7166694962441416E-4</v>
      </c>
    </row>
    <row r="823" spans="10:20" x14ac:dyDescent="0.25">
      <c r="J823" s="10"/>
      <c r="K823" s="10"/>
      <c r="L823" s="10" t="s">
        <v>68</v>
      </c>
      <c r="M823" s="10" t="s">
        <v>104</v>
      </c>
      <c r="N823" s="10"/>
      <c r="O823" s="30">
        <v>3.1060227061487304</v>
      </c>
      <c r="P823" s="30">
        <v>12.41159161214863</v>
      </c>
      <c r="Q823" s="30">
        <v>48.200757466648966</v>
      </c>
      <c r="R823" s="30">
        <v>-42.588976378638826</v>
      </c>
      <c r="S823" s="30">
        <v>4.8558958849181781</v>
      </c>
      <c r="T823" s="30">
        <v>-2.2200777952445714E-4</v>
      </c>
    </row>
    <row r="824" spans="10:20" x14ac:dyDescent="0.25">
      <c r="J824" s="10"/>
      <c r="K824" s="10"/>
      <c r="L824" s="10" t="s">
        <v>68</v>
      </c>
      <c r="M824" s="10" t="s">
        <v>105</v>
      </c>
      <c r="N824" s="10"/>
      <c r="O824" s="30">
        <v>-1.3734527578319728</v>
      </c>
      <c r="P824" s="30">
        <v>-33.827913533059949</v>
      </c>
      <c r="Q824" s="30">
        <v>-10.74847335615342</v>
      </c>
      <c r="R824" s="30">
        <v>141.74664527204439</v>
      </c>
      <c r="S824" s="30">
        <v>-1.8143505326088272</v>
      </c>
      <c r="T824" s="30">
        <v>1.1335027248052599E-3</v>
      </c>
    </row>
    <row r="825" spans="10:20" x14ac:dyDescent="0.25">
      <c r="J825" s="10"/>
      <c r="K825" s="10"/>
      <c r="L825" s="10" t="s">
        <v>68</v>
      </c>
      <c r="M825" s="10" t="s">
        <v>106</v>
      </c>
      <c r="N825" s="10"/>
      <c r="O825" s="30">
        <v>-1.3231878747799486</v>
      </c>
      <c r="P825" s="30">
        <v>-10.742852560493743</v>
      </c>
      <c r="Q825" s="30">
        <v>96.014222242157402</v>
      </c>
      <c r="R825" s="30">
        <v>45.543750098913243</v>
      </c>
      <c r="S825" s="30">
        <v>-1.4411293121408884</v>
      </c>
      <c r="T825" s="30">
        <v>1.0598368813363212E-3</v>
      </c>
    </row>
    <row r="826" spans="10:20" x14ac:dyDescent="0.25">
      <c r="J826" s="10"/>
      <c r="K826" s="10"/>
      <c r="L826" s="10" t="s">
        <v>68</v>
      </c>
      <c r="M826" s="10" t="s">
        <v>107</v>
      </c>
      <c r="N826" s="10"/>
      <c r="O826" s="30">
        <v>-0.92568538670994294</v>
      </c>
      <c r="P826" s="30">
        <v>9.5039242089712026</v>
      </c>
      <c r="Q826" s="30">
        <v>4.7964902002134755</v>
      </c>
      <c r="R826" s="30">
        <v>-35.808573337739162</v>
      </c>
      <c r="S826" s="30">
        <v>-1.3485505932240853</v>
      </c>
      <c r="T826" s="30">
        <v>1.2206726130097373E-3</v>
      </c>
    </row>
    <row r="827" spans="10:20" x14ac:dyDescent="0.25">
      <c r="J827" s="10"/>
      <c r="K827" s="10"/>
      <c r="L827" s="10" t="s">
        <v>68</v>
      </c>
      <c r="M827" s="10" t="s">
        <v>108</v>
      </c>
      <c r="N827" s="10"/>
      <c r="O827" s="30">
        <v>-0.59995327343390126</v>
      </c>
      <c r="P827" s="30">
        <v>24.136147179317788</v>
      </c>
      <c r="Q827" s="30">
        <v>53.210688823732866</v>
      </c>
      <c r="R827" s="30">
        <v>-140.58823249006815</v>
      </c>
      <c r="S827" s="30">
        <v>-0.89842367570139081</v>
      </c>
      <c r="T827" s="30">
        <v>1.0669426388612614E-3</v>
      </c>
    </row>
    <row r="828" spans="10:20" x14ac:dyDescent="0.25">
      <c r="J828" s="10"/>
      <c r="K828" s="10"/>
      <c r="L828" s="10" t="s">
        <v>68</v>
      </c>
      <c r="M828" s="10" t="s">
        <v>109</v>
      </c>
      <c r="N828" s="10"/>
      <c r="O828" s="30">
        <v>-1.8908750808325576</v>
      </c>
      <c r="P828" s="30">
        <v>5.975969083073668</v>
      </c>
      <c r="Q828" s="30">
        <v>-17.452162876476532</v>
      </c>
      <c r="R828" s="30">
        <v>5.3040031001995196</v>
      </c>
      <c r="S828" s="30">
        <v>-3.9037760366716459</v>
      </c>
      <c r="T828" s="30">
        <v>1.5816424228875408E-3</v>
      </c>
    </row>
    <row r="829" spans="10:20" x14ac:dyDescent="0.25">
      <c r="J829" s="10"/>
      <c r="K829" s="10"/>
      <c r="L829" s="10" t="s">
        <v>68</v>
      </c>
      <c r="M829" s="10" t="s">
        <v>110</v>
      </c>
      <c r="N829" s="10"/>
      <c r="O829" s="30">
        <v>-1.468513521742417</v>
      </c>
      <c r="P829" s="30">
        <v>10.480560789540801</v>
      </c>
      <c r="Q829" s="30">
        <v>25.30606562290464</v>
      </c>
      <c r="R829" s="30">
        <v>-32.199013898127639</v>
      </c>
      <c r="S829" s="30">
        <v>-3.2582489770470362</v>
      </c>
      <c r="T829" s="30">
        <v>1.5225362489010908E-3</v>
      </c>
    </row>
    <row r="830" spans="10:20" x14ac:dyDescent="0.25">
      <c r="J830" s="10"/>
      <c r="K830" s="10"/>
      <c r="L830" s="10" t="s">
        <v>68</v>
      </c>
      <c r="M830" s="10" t="s">
        <v>111</v>
      </c>
      <c r="N830" s="10"/>
      <c r="O830" s="30">
        <v>3.0260232266104801</v>
      </c>
      <c r="P830" s="30">
        <v>5.9776850191157198</v>
      </c>
      <c r="Q830" s="30">
        <v>-0.55872339358576562</v>
      </c>
      <c r="R830" s="30">
        <v>4.7220309672260274</v>
      </c>
      <c r="S830" s="30">
        <v>4.7399805268667681</v>
      </c>
      <c r="T830" s="30">
        <v>-3.0661198202527125E-4</v>
      </c>
    </row>
    <row r="831" spans="10:20" x14ac:dyDescent="0.25">
      <c r="J831" s="10"/>
      <c r="K831" s="10"/>
      <c r="L831" s="10" t="s">
        <v>68</v>
      </c>
      <c r="M831" s="10" t="s">
        <v>112</v>
      </c>
      <c r="N831" s="10"/>
      <c r="O831" s="30">
        <v>3.4493220902690536</v>
      </c>
      <c r="P831" s="30">
        <v>10.482218124116622</v>
      </c>
      <c r="Q831" s="30">
        <v>42.20655143586751</v>
      </c>
      <c r="R831" s="30">
        <v>-32.779765529529264</v>
      </c>
      <c r="S831" s="30">
        <v>5.3881927018689479</v>
      </c>
      <c r="T831" s="30">
        <v>-3.6254623746976347E-4</v>
      </c>
    </row>
    <row r="832" spans="10:20" x14ac:dyDescent="0.25">
      <c r="J832" s="10"/>
      <c r="K832" s="10"/>
      <c r="L832" s="10" t="s">
        <v>68</v>
      </c>
      <c r="M832" s="10" t="s">
        <v>113</v>
      </c>
      <c r="N832" s="10"/>
      <c r="O832" s="30">
        <v>-1.5278728697095056</v>
      </c>
      <c r="P832" s="30">
        <v>-40.895009815004023</v>
      </c>
      <c r="Q832" s="30">
        <v>-23.292593922801807</v>
      </c>
      <c r="R832" s="30">
        <v>172.03759186011871</v>
      </c>
      <c r="S832" s="30">
        <v>-2.0231922064943908</v>
      </c>
      <c r="T832" s="30">
        <v>1.1435765451188113E-3</v>
      </c>
    </row>
    <row r="833" spans="10:20" x14ac:dyDescent="0.25">
      <c r="J833" s="10"/>
      <c r="K833" s="10"/>
      <c r="L833" s="10" t="s">
        <v>68</v>
      </c>
      <c r="M833" s="10" t="s">
        <v>114</v>
      </c>
      <c r="N833" s="10"/>
      <c r="O833" s="30">
        <v>-1.4720229996517011</v>
      </c>
      <c r="P833" s="30">
        <v>-15.244942067708235</v>
      </c>
      <c r="Q833" s="30">
        <v>95.332623408654655</v>
      </c>
      <c r="R833" s="30">
        <v>65.145486112195258</v>
      </c>
      <c r="S833" s="30">
        <v>-1.6085019615300147</v>
      </c>
      <c r="T833" s="30">
        <v>1.0617256079311016E-3</v>
      </c>
    </row>
    <row r="834" spans="10:20" x14ac:dyDescent="0.25">
      <c r="J834" s="10"/>
      <c r="K834" s="10"/>
      <c r="L834" s="10" t="s">
        <v>68</v>
      </c>
      <c r="M834" s="10" t="s">
        <v>115</v>
      </c>
      <c r="N834" s="10"/>
      <c r="O834" s="30">
        <v>-1.0303535684628062</v>
      </c>
      <c r="P834" s="30">
        <v>7.2514765650305915</v>
      </c>
      <c r="Q834" s="30">
        <v>-6.0204121935052672</v>
      </c>
      <c r="R834" s="30">
        <v>-25.245984372974092</v>
      </c>
      <c r="S834" s="30">
        <v>-1.5056367182891224</v>
      </c>
      <c r="T834" s="30">
        <v>1.2404319764571193E-3</v>
      </c>
    </row>
    <row r="835" spans="10:20" x14ac:dyDescent="0.25">
      <c r="J835" s="10"/>
      <c r="K835" s="10"/>
      <c r="L835" s="10" t="s">
        <v>68</v>
      </c>
      <c r="M835" s="10" t="s">
        <v>116</v>
      </c>
      <c r="N835" s="10"/>
      <c r="O835" s="30">
        <v>-0.66842899815609313</v>
      </c>
      <c r="P835" s="30">
        <v>23.509502087637909</v>
      </c>
      <c r="Q835" s="30">
        <v>47.773141832627395</v>
      </c>
      <c r="R835" s="30">
        <v>-141.66782787556187</v>
      </c>
      <c r="S835" s="30">
        <v>-1.0054956988194617</v>
      </c>
      <c r="T835" s="30">
        <v>1.0696208940699239E-3</v>
      </c>
    </row>
    <row r="836" spans="10:20" x14ac:dyDescent="0.25">
      <c r="J836" s="10"/>
      <c r="K836" s="10"/>
      <c r="L836" s="10" t="s">
        <v>69</v>
      </c>
      <c r="M836" s="10" t="s">
        <v>91</v>
      </c>
      <c r="N836" s="10"/>
      <c r="O836" s="30">
        <v>0.30605387873649509</v>
      </c>
      <c r="P836" s="30">
        <v>-0.20941130500925198</v>
      </c>
      <c r="Q836" s="30">
        <v>72.349895718774988</v>
      </c>
      <c r="R836" s="30">
        <v>-2.3915317103532601E-2</v>
      </c>
      <c r="S836" s="30">
        <v>0.32754089711218426</v>
      </c>
      <c r="T836" s="30">
        <v>-1.0437141497572713E-3</v>
      </c>
    </row>
    <row r="837" spans="10:20" x14ac:dyDescent="0.25">
      <c r="J837" s="10"/>
      <c r="K837" s="10"/>
      <c r="L837" s="10" t="s">
        <v>69</v>
      </c>
      <c r="M837" s="10" t="s">
        <v>92</v>
      </c>
      <c r="N837" s="10"/>
      <c r="O837" s="30">
        <v>0.22775787284133264</v>
      </c>
      <c r="P837" s="30">
        <v>-1.8006601689179607</v>
      </c>
      <c r="Q837" s="30">
        <v>129.38461932180331</v>
      </c>
      <c r="R837" s="30">
        <v>6.4377303524451701</v>
      </c>
      <c r="S837" s="30">
        <v>0.34730792334234084</v>
      </c>
      <c r="T837" s="30">
        <v>-1.2674249706498141E-3</v>
      </c>
    </row>
    <row r="838" spans="10:20" x14ac:dyDescent="0.25">
      <c r="J838" s="10"/>
      <c r="K838" s="10"/>
      <c r="L838" s="10" t="s">
        <v>69</v>
      </c>
      <c r="M838" s="10" t="s">
        <v>93</v>
      </c>
      <c r="N838" s="10"/>
      <c r="O838" s="30">
        <v>-4.1824494433579211</v>
      </c>
      <c r="P838" s="30">
        <v>5.5664813810990639</v>
      </c>
      <c r="Q838" s="30">
        <v>-99.426542362749046</v>
      </c>
      <c r="R838" s="30">
        <v>-25.164039690093542</v>
      </c>
      <c r="S838" s="30">
        <v>-5.1012773542520771</v>
      </c>
      <c r="T838" s="30">
        <v>3.6500718106503194E-3</v>
      </c>
    </row>
    <row r="839" spans="10:20" x14ac:dyDescent="0.25">
      <c r="J839" s="10"/>
      <c r="K839" s="10"/>
      <c r="L839" s="10" t="s">
        <v>69</v>
      </c>
      <c r="M839" s="10" t="s">
        <v>94</v>
      </c>
      <c r="N839" s="10"/>
      <c r="O839" s="30">
        <v>-2.5560231545896617</v>
      </c>
      <c r="P839" s="30">
        <v>2.4701650641283708</v>
      </c>
      <c r="Q839" s="30">
        <v>-17.802093758374419</v>
      </c>
      <c r="R839" s="30">
        <v>-11.468121517178133</v>
      </c>
      <c r="S839" s="30">
        <v>-3.5475308980438394</v>
      </c>
      <c r="T839" s="30">
        <v>2.9465073673457173E-3</v>
      </c>
    </row>
    <row r="840" spans="10:20" x14ac:dyDescent="0.25">
      <c r="J840" s="10"/>
      <c r="K840" s="10"/>
      <c r="L840" s="10" t="s">
        <v>69</v>
      </c>
      <c r="M840" s="10" t="s">
        <v>95</v>
      </c>
      <c r="N840" s="10"/>
      <c r="O840" s="30">
        <v>5.2992963529174473</v>
      </c>
      <c r="P840" s="30">
        <v>6.5228436982738218</v>
      </c>
      <c r="Q840" s="30">
        <v>-78.635908354094369</v>
      </c>
      <c r="R840" s="30">
        <v>-30.257703154218664</v>
      </c>
      <c r="S840" s="30">
        <v>5.6967736016367541</v>
      </c>
      <c r="T840" s="30">
        <v>-4.580327816925152E-3</v>
      </c>
    </row>
    <row r="841" spans="10:20" x14ac:dyDescent="0.25">
      <c r="J841" s="10"/>
      <c r="K841" s="10"/>
      <c r="L841" s="10" t="s">
        <v>69</v>
      </c>
      <c r="M841" s="10" t="s">
        <v>96</v>
      </c>
      <c r="N841" s="10"/>
      <c r="O841" s="30">
        <v>6.9241730700828423</v>
      </c>
      <c r="P841" s="30">
        <v>3.4250838379927542</v>
      </c>
      <c r="Q841" s="30">
        <v>2.9786169233082469</v>
      </c>
      <c r="R841" s="30">
        <v>-16.554097746221547</v>
      </c>
      <c r="S841" s="30">
        <v>7.2480837207106656</v>
      </c>
      <c r="T841" s="30">
        <v>-5.2721241245323805E-3</v>
      </c>
    </row>
    <row r="842" spans="10:20" x14ac:dyDescent="0.25">
      <c r="J842" s="10"/>
      <c r="K842" s="10"/>
      <c r="L842" s="10" t="s">
        <v>69</v>
      </c>
      <c r="M842" s="10" t="s">
        <v>97</v>
      </c>
      <c r="N842" s="10"/>
      <c r="O842" s="30">
        <v>-3.8410027316712063</v>
      </c>
      <c r="P842" s="30">
        <v>-4.1243224795086707E-2</v>
      </c>
      <c r="Q842" s="30">
        <v>-90.892599065105657</v>
      </c>
      <c r="R842" s="30">
        <v>17.512574514595638</v>
      </c>
      <c r="S842" s="30">
        <v>-3.5808051929667788</v>
      </c>
      <c r="T842" s="30">
        <v>7.0107777074564963E-4</v>
      </c>
    </row>
    <row r="843" spans="10:20" x14ac:dyDescent="0.25">
      <c r="J843" s="10"/>
      <c r="K843" s="10"/>
      <c r="L843" s="10" t="s">
        <v>69</v>
      </c>
      <c r="M843" s="10" t="s">
        <v>98</v>
      </c>
      <c r="N843" s="10"/>
      <c r="O843" s="30">
        <v>-2.3935083835481303</v>
      </c>
      <c r="P843" s="30">
        <v>-13.423585187655233</v>
      </c>
      <c r="Q843" s="30">
        <v>123.3479072283541</v>
      </c>
      <c r="R843" s="30">
        <v>97.97397120914691</v>
      </c>
      <c r="S843" s="30">
        <v>-1.9718462918463078</v>
      </c>
      <c r="T843" s="30">
        <v>-3.8190888157031396E-4</v>
      </c>
    </row>
    <row r="844" spans="10:20" x14ac:dyDescent="0.25">
      <c r="J844" s="10"/>
      <c r="K844" s="10"/>
      <c r="L844" s="10" t="s">
        <v>69</v>
      </c>
      <c r="M844" s="10" t="s">
        <v>99</v>
      </c>
      <c r="N844" s="10"/>
      <c r="O844" s="30">
        <v>-3.82431142787352</v>
      </c>
      <c r="P844" s="30">
        <v>9.9169859472471451</v>
      </c>
      <c r="Q844" s="30">
        <v>-92.759183112273575</v>
      </c>
      <c r="R844" s="30">
        <v>-61.026932517997487</v>
      </c>
      <c r="S844" s="30">
        <v>-3.5592921883290027</v>
      </c>
      <c r="T844" s="30">
        <v>4.9699219304937274E-4</v>
      </c>
    </row>
    <row r="845" spans="10:20" x14ac:dyDescent="0.25">
      <c r="J845" s="10"/>
      <c r="K845" s="10"/>
      <c r="L845" s="10" t="s">
        <v>69</v>
      </c>
      <c r="M845" s="10" t="s">
        <v>100</v>
      </c>
      <c r="N845" s="10"/>
      <c r="O845" s="30">
        <v>-2.2437468624337744</v>
      </c>
      <c r="P845" s="30">
        <v>21.995089937662062</v>
      </c>
      <c r="Q845" s="30">
        <v>26.94470039507776</v>
      </c>
      <c r="R845" s="30">
        <v>-144.89470470596333</v>
      </c>
      <c r="S845" s="30">
        <v>-1.9527974161499859</v>
      </c>
      <c r="T845" s="30">
        <v>-8.6923548940388081E-4</v>
      </c>
    </row>
    <row r="846" spans="10:20" x14ac:dyDescent="0.25">
      <c r="J846" s="10"/>
      <c r="K846" s="10"/>
      <c r="L846" s="10" t="s">
        <v>69</v>
      </c>
      <c r="M846" s="10" t="s">
        <v>101</v>
      </c>
      <c r="N846" s="10"/>
      <c r="O846" s="30">
        <v>-3.8118951170436421</v>
      </c>
      <c r="P846" s="30">
        <v>3.3976432485795236</v>
      </c>
      <c r="Q846" s="30">
        <v>-25.214174951568328</v>
      </c>
      <c r="R846" s="30">
        <v>-16.188381583245839</v>
      </c>
      <c r="S846" s="30">
        <v>-4.5386285028854942</v>
      </c>
      <c r="T846" s="30">
        <v>2.9569823937170181E-3</v>
      </c>
    </row>
    <row r="847" spans="10:20" x14ac:dyDescent="0.25">
      <c r="J847" s="10"/>
      <c r="K847" s="10"/>
      <c r="L847" s="10" t="s">
        <v>69</v>
      </c>
      <c r="M847" s="10" t="s">
        <v>102</v>
      </c>
      <c r="N847" s="10"/>
      <c r="O847" s="30">
        <v>-2.3481114571522088</v>
      </c>
      <c r="P847" s="30">
        <v>0.61095856330589993</v>
      </c>
      <c r="Q847" s="30">
        <v>48.247828792368836</v>
      </c>
      <c r="R847" s="30">
        <v>-3.8620552276219695</v>
      </c>
      <c r="S847" s="30">
        <v>-3.1402566922980806</v>
      </c>
      <c r="T847" s="30">
        <v>2.3237743947428762E-3</v>
      </c>
    </row>
    <row r="848" spans="10:20" x14ac:dyDescent="0.25">
      <c r="J848" s="10"/>
      <c r="K848" s="10"/>
      <c r="L848" s="10" t="s">
        <v>69</v>
      </c>
      <c r="M848" s="10" t="s">
        <v>103</v>
      </c>
      <c r="N848" s="10"/>
      <c r="O848" s="30">
        <v>4.7216760996041902</v>
      </c>
      <c r="P848" s="30">
        <v>4.2583693340368054</v>
      </c>
      <c r="Q848" s="30">
        <v>-6.5026043437791214</v>
      </c>
      <c r="R848" s="30">
        <v>-20.772678700958448</v>
      </c>
      <c r="S848" s="30">
        <v>5.1796173574144531</v>
      </c>
      <c r="T848" s="30">
        <v>-4.4503772711009075E-3</v>
      </c>
    </row>
    <row r="849" spans="10:20" x14ac:dyDescent="0.25">
      <c r="J849" s="10"/>
      <c r="K849" s="10"/>
      <c r="L849" s="10" t="s">
        <v>69</v>
      </c>
      <c r="M849" s="10" t="s">
        <v>104</v>
      </c>
      <c r="N849" s="10"/>
      <c r="O849" s="30">
        <v>6.1840651450530464</v>
      </c>
      <c r="P849" s="30">
        <v>1.4703854597838451</v>
      </c>
      <c r="Q849" s="30">
        <v>66.950468405883242</v>
      </c>
      <c r="R849" s="30">
        <v>-8.4394338337610435</v>
      </c>
      <c r="S849" s="30">
        <v>6.575796464580975</v>
      </c>
      <c r="T849" s="30">
        <v>-5.0729939479474129E-3</v>
      </c>
    </row>
    <row r="850" spans="10:20" x14ac:dyDescent="0.25">
      <c r="J850" s="10"/>
      <c r="K850" s="10"/>
      <c r="L850" s="10" t="s">
        <v>69</v>
      </c>
      <c r="M850" s="10" t="s">
        <v>105</v>
      </c>
      <c r="N850" s="10"/>
      <c r="O850" s="30">
        <v>-3.504593076525599</v>
      </c>
      <c r="P850" s="30">
        <v>-1.6493088967252119</v>
      </c>
      <c r="Q850" s="30">
        <v>-17.533625983689298</v>
      </c>
      <c r="R850" s="30">
        <v>22.220571200974423</v>
      </c>
      <c r="S850" s="30">
        <v>-3.1702035577287258</v>
      </c>
      <c r="T850" s="30">
        <v>3.0288775780281475E-4</v>
      </c>
    </row>
    <row r="851" spans="10:20" x14ac:dyDescent="0.25">
      <c r="J851" s="10"/>
      <c r="K851" s="10"/>
      <c r="L851" s="10" t="s">
        <v>69</v>
      </c>
      <c r="M851" s="10" t="s">
        <v>106</v>
      </c>
      <c r="N851" s="10"/>
      <c r="O851" s="30">
        <v>-2.2018481632148306</v>
      </c>
      <c r="P851" s="30">
        <v>-13.693416663299343</v>
      </c>
      <c r="Q851" s="30">
        <v>175.2828296804245</v>
      </c>
      <c r="R851" s="30">
        <v>94.635828226070572</v>
      </c>
      <c r="S851" s="30">
        <v>-1.7221405467203019</v>
      </c>
      <c r="T851" s="30">
        <v>-6.7180022928155247E-4</v>
      </c>
    </row>
    <row r="852" spans="10:20" x14ac:dyDescent="0.25">
      <c r="J852" s="10"/>
      <c r="K852" s="10"/>
      <c r="L852" s="10" t="s">
        <v>69</v>
      </c>
      <c r="M852" s="10" t="s">
        <v>107</v>
      </c>
      <c r="N852" s="10"/>
      <c r="O852" s="30">
        <v>-3.4895709031076807</v>
      </c>
      <c r="P852" s="30">
        <v>7.3130973581127989</v>
      </c>
      <c r="Q852" s="30">
        <v>-19.213551626140394</v>
      </c>
      <c r="R852" s="30">
        <v>-48.464985128359388</v>
      </c>
      <c r="S852" s="30">
        <v>-3.1508418535547271</v>
      </c>
      <c r="T852" s="30">
        <v>1.1921073787616566E-4</v>
      </c>
    </row>
    <row r="853" spans="10:20" x14ac:dyDescent="0.25">
      <c r="J853" s="10"/>
      <c r="K853" s="10"/>
      <c r="L853" s="10" t="s">
        <v>69</v>
      </c>
      <c r="M853" s="10" t="s">
        <v>108</v>
      </c>
      <c r="N853" s="10"/>
      <c r="O853" s="30">
        <v>-2.06706279421191</v>
      </c>
      <c r="P853" s="30">
        <v>18.18339094948622</v>
      </c>
      <c r="Q853" s="30">
        <v>88.519943530475786</v>
      </c>
      <c r="R853" s="30">
        <v>-123.94598009752866</v>
      </c>
      <c r="S853" s="30">
        <v>-1.7049965585936122</v>
      </c>
      <c r="T853" s="30">
        <v>-1.1103941763317628E-3</v>
      </c>
    </row>
    <row r="854" spans="10:20" x14ac:dyDescent="0.25">
      <c r="J854" s="10"/>
      <c r="K854" s="10"/>
      <c r="L854" s="10" t="s">
        <v>69</v>
      </c>
      <c r="M854" s="10" t="s">
        <v>109</v>
      </c>
      <c r="N854" s="10"/>
      <c r="O854" s="30">
        <v>-4.2529158486635668</v>
      </c>
      <c r="P854" s="30">
        <v>4.1343574035812267</v>
      </c>
      <c r="Q854" s="30">
        <v>-48.09529112002356</v>
      </c>
      <c r="R854" s="30">
        <v>-19.34855858749971</v>
      </c>
      <c r="S854" s="30">
        <v>-5.0834870306449362</v>
      </c>
      <c r="T854" s="30">
        <v>3.4487320718470309E-3</v>
      </c>
    </row>
    <row r="855" spans="10:20" x14ac:dyDescent="0.25">
      <c r="J855" s="10"/>
      <c r="K855" s="10"/>
      <c r="L855" s="10" t="s">
        <v>69</v>
      </c>
      <c r="M855" s="10" t="s">
        <v>110</v>
      </c>
      <c r="N855" s="10"/>
      <c r="O855" s="30">
        <v>-2.6264895598953082</v>
      </c>
      <c r="P855" s="30">
        <v>1.038041086610533</v>
      </c>
      <c r="Q855" s="30">
        <v>33.529157484351067</v>
      </c>
      <c r="R855" s="30">
        <v>-5.6526404145843001</v>
      </c>
      <c r="S855" s="30">
        <v>-3.5297405744366981</v>
      </c>
      <c r="T855" s="30">
        <v>2.7451676285424288E-3</v>
      </c>
    </row>
    <row r="856" spans="10:20" x14ac:dyDescent="0.25">
      <c r="J856" s="10"/>
      <c r="K856" s="10"/>
      <c r="L856" s="10" t="s">
        <v>69</v>
      </c>
      <c r="M856" s="10" t="s">
        <v>111</v>
      </c>
      <c r="N856" s="10"/>
      <c r="O856" s="30">
        <v>5.2288299476118016</v>
      </c>
      <c r="P856" s="30">
        <v>5.0907197207559838</v>
      </c>
      <c r="Q856" s="30">
        <v>-27.304657111368879</v>
      </c>
      <c r="R856" s="30">
        <v>-24.442222051624828</v>
      </c>
      <c r="S856" s="30">
        <v>5.7145639252438949</v>
      </c>
      <c r="T856" s="30">
        <v>-4.7816675557284414E-3</v>
      </c>
    </row>
    <row r="857" spans="10:20" x14ac:dyDescent="0.25">
      <c r="J857" s="10"/>
      <c r="K857" s="10"/>
      <c r="L857" s="10" t="s">
        <v>69</v>
      </c>
      <c r="M857" s="10" t="s">
        <v>112</v>
      </c>
      <c r="N857" s="10"/>
      <c r="O857" s="30">
        <v>6.8537066647771967</v>
      </c>
      <c r="P857" s="30">
        <v>1.9929598604749164</v>
      </c>
      <c r="Q857" s="30">
        <v>54.309868166033738</v>
      </c>
      <c r="R857" s="30">
        <v>-10.738616643627713</v>
      </c>
      <c r="S857" s="30">
        <v>7.2658740443178074</v>
      </c>
      <c r="T857" s="30">
        <v>-5.473463863335669E-3</v>
      </c>
    </row>
    <row r="858" spans="10:20" x14ac:dyDescent="0.25">
      <c r="J858" s="10"/>
      <c r="K858" s="10"/>
      <c r="L858" s="10" t="s">
        <v>69</v>
      </c>
      <c r="M858" s="10" t="s">
        <v>113</v>
      </c>
      <c r="N858" s="10"/>
      <c r="O858" s="30">
        <v>-3.9114691369768528</v>
      </c>
      <c r="P858" s="30">
        <v>-1.4733672023129247</v>
      </c>
      <c r="Q858" s="30">
        <v>-39.561347822380171</v>
      </c>
      <c r="R858" s="30">
        <v>23.32805561718947</v>
      </c>
      <c r="S858" s="30">
        <v>-3.5630148693596375</v>
      </c>
      <c r="T858" s="30">
        <v>4.9973803194236109E-4</v>
      </c>
    </row>
    <row r="859" spans="10:20" x14ac:dyDescent="0.25">
      <c r="J859" s="10"/>
      <c r="K859" s="10"/>
      <c r="L859" s="10" t="s">
        <v>69</v>
      </c>
      <c r="M859" s="10" t="s">
        <v>114</v>
      </c>
      <c r="N859" s="10"/>
      <c r="O859" s="30">
        <v>-2.4639747888537769</v>
      </c>
      <c r="P859" s="30">
        <v>-14.855709165173071</v>
      </c>
      <c r="Q859" s="30">
        <v>174.6791584710796</v>
      </c>
      <c r="R859" s="30">
        <v>103.78945231174075</v>
      </c>
      <c r="S859" s="30">
        <v>-1.9540559682391667</v>
      </c>
      <c r="T859" s="30">
        <v>-5.832486203736025E-4</v>
      </c>
    </row>
    <row r="860" spans="10:20" x14ac:dyDescent="0.25">
      <c r="J860" s="10"/>
      <c r="K860" s="10"/>
      <c r="L860" s="10" t="s">
        <v>69</v>
      </c>
      <c r="M860" s="10" t="s">
        <v>115</v>
      </c>
      <c r="N860" s="10"/>
      <c r="O860" s="30">
        <v>-3.894777833179166</v>
      </c>
      <c r="P860" s="30">
        <v>8.4848619697293088</v>
      </c>
      <c r="Q860" s="30">
        <v>-41.427931869548082</v>
      </c>
      <c r="R860" s="30">
        <v>-55.211451415403651</v>
      </c>
      <c r="S860" s="30">
        <v>-3.5415018647218619</v>
      </c>
      <c r="T860" s="30">
        <v>2.956524542460842E-4</v>
      </c>
    </row>
    <row r="861" spans="10:20" x14ac:dyDescent="0.25">
      <c r="J861" s="10"/>
      <c r="K861" s="10"/>
      <c r="L861" s="10" t="s">
        <v>69</v>
      </c>
      <c r="M861" s="10" t="s">
        <v>116</v>
      </c>
      <c r="N861" s="10"/>
      <c r="O861" s="30">
        <v>-2.3142132677394205</v>
      </c>
      <c r="P861" s="30">
        <v>20.562965960144226</v>
      </c>
      <c r="Q861" s="30">
        <v>78.275951637803246</v>
      </c>
      <c r="R861" s="30">
        <v>-139.07922360336948</v>
      </c>
      <c r="S861" s="30">
        <v>-1.9350070925428449</v>
      </c>
      <c r="T861" s="30">
        <v>-1.0705752282071693E-3</v>
      </c>
    </row>
    <row r="862" spans="10:20" x14ac:dyDescent="0.25">
      <c r="J862" s="10"/>
      <c r="K862" s="10"/>
      <c r="L862" s="10" t="s">
        <v>70</v>
      </c>
      <c r="M862" s="10" t="s">
        <v>91</v>
      </c>
      <c r="N862" s="10"/>
      <c r="O862" s="30">
        <v>0.30451597432403671</v>
      </c>
      <c r="P862" s="30">
        <v>0.20956798155557302</v>
      </c>
      <c r="Q862" s="30">
        <v>72.351364293429583</v>
      </c>
      <c r="R862" s="30">
        <v>2.2729541885718699E-2</v>
      </c>
      <c r="S862" s="30">
        <v>0.32658813127187014</v>
      </c>
      <c r="T862" s="30">
        <v>1.0417669639054433E-3</v>
      </c>
    </row>
    <row r="863" spans="10:20" x14ac:dyDescent="0.25">
      <c r="J863" s="10"/>
      <c r="K863" s="10"/>
      <c r="L863" s="10" t="s">
        <v>70</v>
      </c>
      <c r="M863" s="10" t="s">
        <v>92</v>
      </c>
      <c r="N863" s="10"/>
      <c r="O863" s="30">
        <v>0.22484864289938719</v>
      </c>
      <c r="P863" s="30">
        <v>1.8010319004161197</v>
      </c>
      <c r="Q863" s="30">
        <v>129.38807467364438</v>
      </c>
      <c r="R863" s="30">
        <v>-6.4405436786973063</v>
      </c>
      <c r="S863" s="30">
        <v>0.34562662375266723</v>
      </c>
      <c r="T863" s="30">
        <v>1.2627868355785375E-3</v>
      </c>
    </row>
    <row r="864" spans="10:20" x14ac:dyDescent="0.25">
      <c r="J864" s="10"/>
      <c r="K864" s="10"/>
      <c r="L864" s="10" t="s">
        <v>70</v>
      </c>
      <c r="M864" s="10" t="s">
        <v>93</v>
      </c>
      <c r="N864" s="10"/>
      <c r="O864" s="30">
        <v>-4.1099033801627387</v>
      </c>
      <c r="P864" s="30">
        <v>-5.5743931746619069</v>
      </c>
      <c r="Q864" s="30">
        <v>-99.500503192632038</v>
      </c>
      <c r="R864" s="30">
        <v>25.223919147625036</v>
      </c>
      <c r="S864" s="30">
        <v>-5.0571710781958501</v>
      </c>
      <c r="T864" s="30">
        <v>-3.5519736789396839E-3</v>
      </c>
    </row>
    <row r="865" spans="10:20" x14ac:dyDescent="0.25">
      <c r="J865" s="10"/>
      <c r="K865" s="10"/>
      <c r="L865" s="10" t="s">
        <v>70</v>
      </c>
      <c r="M865" s="10" t="s">
        <v>94</v>
      </c>
      <c r="N865" s="10"/>
      <c r="O865" s="30">
        <v>-2.4524342268870125</v>
      </c>
      <c r="P865" s="30">
        <v>-2.481313806901333</v>
      </c>
      <c r="Q865" s="30">
        <v>-17.906367709505588</v>
      </c>
      <c r="R865" s="30">
        <v>11.552499616780517</v>
      </c>
      <c r="S865" s="30">
        <v>-3.4843127184231113</v>
      </c>
      <c r="T865" s="30">
        <v>-2.808341099262215E-3</v>
      </c>
    </row>
    <row r="866" spans="10:20" x14ac:dyDescent="0.25">
      <c r="J866" s="10"/>
      <c r="K866" s="10"/>
      <c r="L866" s="10" t="s">
        <v>70</v>
      </c>
      <c r="M866" s="10" t="s">
        <v>95</v>
      </c>
      <c r="N866" s="10"/>
      <c r="O866" s="30">
        <v>5.2337552840697885</v>
      </c>
      <c r="P866" s="30">
        <v>-6.516146979979931</v>
      </c>
      <c r="Q866" s="30">
        <v>-78.573143913397516</v>
      </c>
      <c r="R866" s="30">
        <v>30.207019495482854</v>
      </c>
      <c r="S866" s="30">
        <v>5.6562016239782693</v>
      </c>
      <c r="T866" s="30">
        <v>4.4974251757507475E-3</v>
      </c>
    </row>
    <row r="867" spans="10:20" x14ac:dyDescent="0.25">
      <c r="J867" s="10"/>
      <c r="K867" s="10"/>
      <c r="L867" s="10" t="s">
        <v>70</v>
      </c>
      <c r="M867" s="10" t="s">
        <v>96</v>
      </c>
      <c r="N867" s="10"/>
      <c r="O867" s="30">
        <v>6.889701816932031</v>
      </c>
      <c r="P867" s="30">
        <v>-3.4216268105183767</v>
      </c>
      <c r="Q867" s="30">
        <v>3.0110425427221337</v>
      </c>
      <c r="R867" s="30">
        <v>16.527933479163764</v>
      </c>
      <c r="S867" s="30">
        <v>7.2266403498055247</v>
      </c>
      <c r="T867" s="30">
        <v>5.2293235882270531E-3</v>
      </c>
    </row>
    <row r="868" spans="10:20" x14ac:dyDescent="0.25">
      <c r="J868" s="10"/>
      <c r="K868" s="10"/>
      <c r="L868" s="10" t="s">
        <v>70</v>
      </c>
      <c r="M868" s="10" t="s">
        <v>97</v>
      </c>
      <c r="N868" s="10"/>
      <c r="O868" s="30">
        <v>-3.905514925842223</v>
      </c>
      <c r="P868" s="30">
        <v>-9.90808011808139</v>
      </c>
      <c r="Q868" s="30">
        <v>-92.684477771602673</v>
      </c>
      <c r="R868" s="30">
        <v>60.960535091441322</v>
      </c>
      <c r="S868" s="30">
        <v>-3.6099338140733725</v>
      </c>
      <c r="T868" s="30">
        <v>-6.0551009469529508E-4</v>
      </c>
    </row>
    <row r="869" spans="10:20" x14ac:dyDescent="0.25">
      <c r="J869" s="10"/>
      <c r="K869" s="10"/>
      <c r="L869" s="10" t="s">
        <v>70</v>
      </c>
      <c r="M869" s="10" t="s">
        <v>98</v>
      </c>
      <c r="N869" s="10"/>
      <c r="O869" s="30">
        <v>-2.2983038701795797</v>
      </c>
      <c r="P869" s="30">
        <v>-21.987286358496352</v>
      </c>
      <c r="Q869" s="30">
        <v>26.967745418602348</v>
      </c>
      <c r="R869" s="30">
        <v>144.84079042116483</v>
      </c>
      <c r="S869" s="30">
        <v>-1.9909126253181266</v>
      </c>
      <c r="T869" s="30">
        <v>7.8146993847175812E-4</v>
      </c>
    </row>
    <row r="870" spans="10:20" x14ac:dyDescent="0.25">
      <c r="J870" s="10"/>
      <c r="K870" s="10"/>
      <c r="L870" s="10" t="s">
        <v>70</v>
      </c>
      <c r="M870" s="10" t="s">
        <v>99</v>
      </c>
      <c r="N870" s="10"/>
      <c r="O870" s="30">
        <v>-3.9212051772135306</v>
      </c>
      <c r="P870" s="30">
        <v>4.9255271260251809E-2</v>
      </c>
      <c r="Q870" s="30">
        <v>-90.808906310182479</v>
      </c>
      <c r="R870" s="30">
        <v>-17.574218798379238</v>
      </c>
      <c r="S870" s="30">
        <v>-3.6293945180745739</v>
      </c>
      <c r="T870" s="30">
        <v>-8.0202850555076411E-4</v>
      </c>
    </row>
    <row r="871" spans="10:20" x14ac:dyDescent="0.25">
      <c r="J871" s="10"/>
      <c r="K871" s="10"/>
      <c r="L871" s="10" t="s">
        <v>70</v>
      </c>
      <c r="M871" s="10" t="s">
        <v>100</v>
      </c>
      <c r="N871" s="10"/>
      <c r="O871" s="30">
        <v>-2.4417380988894344</v>
      </c>
      <c r="P871" s="30">
        <v>13.426820726995317</v>
      </c>
      <c r="Q871" s="30">
        <v>123.42811940645431</v>
      </c>
      <c r="R871" s="30">
        <v>-98.003605427111808</v>
      </c>
      <c r="S871" s="30">
        <v>-1.996497101932365</v>
      </c>
      <c r="T871" s="30">
        <v>3.3289690356105975E-4</v>
      </c>
    </row>
    <row r="872" spans="10:20" x14ac:dyDescent="0.25">
      <c r="J872" s="10"/>
      <c r="K872" s="10"/>
      <c r="L872" s="10" t="s">
        <v>70</v>
      </c>
      <c r="M872" s="10" t="s">
        <v>101</v>
      </c>
      <c r="N872" s="10"/>
      <c r="O872" s="30">
        <v>-3.7481287761387105</v>
      </c>
      <c r="P872" s="30">
        <v>-3.4045331401796122</v>
      </c>
      <c r="Q872" s="30">
        <v>-25.278606063811075</v>
      </c>
      <c r="R872" s="30">
        <v>16.240526966468085</v>
      </c>
      <c r="S872" s="30">
        <v>-4.4997566647682801</v>
      </c>
      <c r="T872" s="30">
        <v>-2.8715797429820769E-3</v>
      </c>
    </row>
    <row r="873" spans="10:20" x14ac:dyDescent="0.25">
      <c r="J873" s="10"/>
      <c r="K873" s="10"/>
      <c r="L873" s="10" t="s">
        <v>70</v>
      </c>
      <c r="M873" s="10" t="s">
        <v>102</v>
      </c>
      <c r="N873" s="10"/>
      <c r="O873" s="30">
        <v>-2.2564065381905571</v>
      </c>
      <c r="P873" s="30">
        <v>-0.62076170919509588</v>
      </c>
      <c r="Q873" s="30">
        <v>48.15611587100274</v>
      </c>
      <c r="R873" s="30">
        <v>3.9362493887080121</v>
      </c>
      <c r="S873" s="30">
        <v>-3.0841841409728166</v>
      </c>
      <c r="T873" s="30">
        <v>-2.202310421272355E-3</v>
      </c>
    </row>
    <row r="874" spans="10:20" x14ac:dyDescent="0.25">
      <c r="J874" s="10"/>
      <c r="K874" s="10"/>
      <c r="L874" s="10" t="s">
        <v>70</v>
      </c>
      <c r="M874" s="10" t="s">
        <v>103</v>
      </c>
      <c r="N874" s="10"/>
      <c r="O874" s="30">
        <v>4.6611640216705643</v>
      </c>
      <c r="P874" s="30">
        <v>-4.2521115649658343</v>
      </c>
      <c r="Q874" s="30">
        <v>-6.4439827124999995</v>
      </c>
      <c r="R874" s="30">
        <v>20.725317279540118</v>
      </c>
      <c r="S874" s="30">
        <v>5.1422787671884276</v>
      </c>
      <c r="T874" s="30">
        <v>4.3728792262393117E-3</v>
      </c>
    </row>
    <row r="875" spans="10:20" x14ac:dyDescent="0.25">
      <c r="J875" s="10"/>
      <c r="K875" s="10"/>
      <c r="L875" s="10" t="s">
        <v>70</v>
      </c>
      <c r="M875" s="10" t="s">
        <v>104</v>
      </c>
      <c r="N875" s="10"/>
      <c r="O875" s="30">
        <v>6.151515901246583</v>
      </c>
      <c r="P875" s="30">
        <v>-1.4670434124504352</v>
      </c>
      <c r="Q875" s="30">
        <v>66.981785098007677</v>
      </c>
      <c r="R875" s="30">
        <v>8.4141398648529364</v>
      </c>
      <c r="S875" s="30">
        <v>6.5556736204329571</v>
      </c>
      <c r="T875" s="30">
        <v>5.0315877974679863E-3</v>
      </c>
    </row>
    <row r="876" spans="10:20" x14ac:dyDescent="0.25">
      <c r="J876" s="10"/>
      <c r="K876" s="10"/>
      <c r="L876" s="10" t="s">
        <v>70</v>
      </c>
      <c r="M876" s="10" t="s">
        <v>105</v>
      </c>
      <c r="N876" s="10"/>
      <c r="O876" s="30">
        <v>-3.5641791672502472</v>
      </c>
      <c r="P876" s="30">
        <v>-7.3048513892571476</v>
      </c>
      <c r="Q876" s="30">
        <v>-19.14418318488466</v>
      </c>
      <c r="R876" s="30">
        <v>48.403481315902745</v>
      </c>
      <c r="S876" s="30">
        <v>-3.1972431270580515</v>
      </c>
      <c r="T876" s="30">
        <v>-2.1976251716212703E-4</v>
      </c>
    </row>
    <row r="877" spans="10:20" x14ac:dyDescent="0.25">
      <c r="J877" s="10"/>
      <c r="K877" s="10"/>
      <c r="L877" s="10" t="s">
        <v>70</v>
      </c>
      <c r="M877" s="10" t="s">
        <v>106</v>
      </c>
      <c r="N877" s="10"/>
      <c r="O877" s="30">
        <v>-2.1176892171538682</v>
      </c>
      <c r="P877" s="30">
        <v>-18.176137005630611</v>
      </c>
      <c r="Q877" s="30">
        <v>88.542817686299884</v>
      </c>
      <c r="R877" s="30">
        <v>123.8957111126539</v>
      </c>
      <c r="S877" s="30">
        <v>-1.7401240571783299</v>
      </c>
      <c r="T877" s="30">
        <v>1.0285195126882207E-3</v>
      </c>
    </row>
    <row r="878" spans="10:20" x14ac:dyDescent="0.25">
      <c r="J878" s="10"/>
      <c r="K878" s="10"/>
      <c r="L878" s="10" t="s">
        <v>70</v>
      </c>
      <c r="M878" s="10" t="s">
        <v>107</v>
      </c>
      <c r="N878" s="10"/>
      <c r="O878" s="30">
        <v>-3.5783003934844233</v>
      </c>
      <c r="P878" s="30">
        <v>1.6567504611503305</v>
      </c>
      <c r="Q878" s="30">
        <v>-17.456168869606447</v>
      </c>
      <c r="R878" s="30">
        <v>-22.277797184935768</v>
      </c>
      <c r="S878" s="30">
        <v>-3.2147577606591331</v>
      </c>
      <c r="T878" s="30">
        <v>-3.966290869320493E-4</v>
      </c>
    </row>
    <row r="879" spans="10:20" x14ac:dyDescent="0.25">
      <c r="J879" s="10"/>
      <c r="K879" s="10"/>
      <c r="L879" s="10" t="s">
        <v>70</v>
      </c>
      <c r="M879" s="10" t="s">
        <v>108</v>
      </c>
      <c r="N879" s="10"/>
      <c r="O879" s="30">
        <v>-2.2467800229927364</v>
      </c>
      <c r="P879" s="30">
        <v>13.696559371311892</v>
      </c>
      <c r="Q879" s="30">
        <v>175.35715427536664</v>
      </c>
      <c r="R879" s="30">
        <v>-94.664245150795082</v>
      </c>
      <c r="S879" s="30">
        <v>-1.7451500861311446</v>
      </c>
      <c r="T879" s="30">
        <v>6.248037812685923E-4</v>
      </c>
    </row>
    <row r="880" spans="10:20" x14ac:dyDescent="0.25">
      <c r="J880" s="10"/>
      <c r="K880" s="10"/>
      <c r="L880" s="10" t="s">
        <v>70</v>
      </c>
      <c r="M880" s="10" t="s">
        <v>109</v>
      </c>
      <c r="N880" s="10"/>
      <c r="O880" s="30">
        <v>-4.1816039784449233</v>
      </c>
      <c r="P880" s="30">
        <v>-4.142075647687415</v>
      </c>
      <c r="Q880" s="30">
        <v>-48.1674638504387</v>
      </c>
      <c r="R880" s="30">
        <v>19.406973249100314</v>
      </c>
      <c r="S880" s="30">
        <v>-5.0400364349631319</v>
      </c>
      <c r="T880" s="30">
        <v>-3.3530557944338995E-3</v>
      </c>
    </row>
    <row r="881" spans="10:20" x14ac:dyDescent="0.25">
      <c r="J881" s="10"/>
      <c r="K881" s="10"/>
      <c r="L881" s="10" t="s">
        <v>70</v>
      </c>
      <c r="M881" s="10" t="s">
        <v>110</v>
      </c>
      <c r="N881" s="10"/>
      <c r="O881" s="30">
        <v>-2.5241348251691975</v>
      </c>
      <c r="P881" s="30">
        <v>-1.0489962799268409</v>
      </c>
      <c r="Q881" s="30">
        <v>33.426671632687743</v>
      </c>
      <c r="R881" s="30">
        <v>5.735553718255793</v>
      </c>
      <c r="S881" s="30">
        <v>-3.467178075190394</v>
      </c>
      <c r="T881" s="30">
        <v>-2.6094232147564301E-3</v>
      </c>
    </row>
    <row r="882" spans="10:20" x14ac:dyDescent="0.25">
      <c r="J882" s="10"/>
      <c r="K882" s="10"/>
      <c r="L882" s="10" t="s">
        <v>70</v>
      </c>
      <c r="M882" s="10" t="s">
        <v>111</v>
      </c>
      <c r="N882" s="10"/>
      <c r="O882" s="30">
        <v>5.162054685787604</v>
      </c>
      <c r="P882" s="30">
        <v>-5.0838294530054391</v>
      </c>
      <c r="Q882" s="30">
        <v>-27.240104571204192</v>
      </c>
      <c r="R882" s="30">
        <v>24.390073596958132</v>
      </c>
      <c r="S882" s="30">
        <v>5.6733362672109875</v>
      </c>
      <c r="T882" s="30">
        <v>4.6963430602565319E-3</v>
      </c>
    </row>
    <row r="883" spans="10:20" x14ac:dyDescent="0.25">
      <c r="J883" s="10"/>
      <c r="K883" s="10"/>
      <c r="L883" s="10" t="s">
        <v>70</v>
      </c>
      <c r="M883" s="10" t="s">
        <v>112</v>
      </c>
      <c r="N883" s="10"/>
      <c r="O883" s="30">
        <v>6.8180012186498464</v>
      </c>
      <c r="P883" s="30">
        <v>-1.9893092835438844</v>
      </c>
      <c r="Q883" s="30">
        <v>54.344081884915461</v>
      </c>
      <c r="R883" s="30">
        <v>10.710987580639038</v>
      </c>
      <c r="S883" s="30">
        <v>7.2437749930382429</v>
      </c>
      <c r="T883" s="30">
        <v>5.4282414727328384E-3</v>
      </c>
    </row>
    <row r="884" spans="10:20" x14ac:dyDescent="0.25">
      <c r="J884" s="10"/>
      <c r="K884" s="10"/>
      <c r="L884" s="10" t="s">
        <v>70</v>
      </c>
      <c r="M884" s="10" t="s">
        <v>113</v>
      </c>
      <c r="N884" s="10"/>
      <c r="O884" s="30">
        <v>-3.977215524124408</v>
      </c>
      <c r="P884" s="30">
        <v>-8.4757625911068981</v>
      </c>
      <c r="Q884" s="30">
        <v>-41.351438429409342</v>
      </c>
      <c r="R884" s="30">
        <v>55.1435891929166</v>
      </c>
      <c r="S884" s="30">
        <v>-3.5927991708406553</v>
      </c>
      <c r="T884" s="30">
        <v>-4.0659221018951044E-4</v>
      </c>
    </row>
    <row r="885" spans="10:20" x14ac:dyDescent="0.25">
      <c r="J885" s="10"/>
      <c r="K885" s="10"/>
      <c r="L885" s="10" t="s">
        <v>70</v>
      </c>
      <c r="M885" s="10" t="s">
        <v>114</v>
      </c>
      <c r="N885" s="10"/>
      <c r="O885" s="30">
        <v>-2.3700044684617647</v>
      </c>
      <c r="P885" s="30">
        <v>-20.554968831521862</v>
      </c>
      <c r="Q885" s="30">
        <v>78.300784760795679</v>
      </c>
      <c r="R885" s="30">
        <v>139.0238445226401</v>
      </c>
      <c r="S885" s="30">
        <v>-1.9737779820854096</v>
      </c>
      <c r="T885" s="30">
        <v>9.8038782297754277E-4</v>
      </c>
    </row>
    <row r="886" spans="10:20" x14ac:dyDescent="0.25">
      <c r="J886" s="10"/>
      <c r="K886" s="10"/>
      <c r="L886" s="10" t="s">
        <v>70</v>
      </c>
      <c r="M886" s="10" t="s">
        <v>115</v>
      </c>
      <c r="N886" s="10"/>
      <c r="O886" s="30">
        <v>-3.9929057754957156</v>
      </c>
      <c r="P886" s="30">
        <v>1.481572798234744</v>
      </c>
      <c r="Q886" s="30">
        <v>-39.475866967989155</v>
      </c>
      <c r="R886" s="30">
        <v>-23.39116469690396</v>
      </c>
      <c r="S886" s="30">
        <v>-3.6122598748418566</v>
      </c>
      <c r="T886" s="30">
        <v>-6.0311062104497935E-4</v>
      </c>
    </row>
    <row r="887" spans="10:20" x14ac:dyDescent="0.25">
      <c r="J887" s="10"/>
      <c r="K887" s="10"/>
      <c r="L887" s="10" t="s">
        <v>70</v>
      </c>
      <c r="M887" s="10" t="s">
        <v>116</v>
      </c>
      <c r="N887" s="10"/>
      <c r="O887" s="30">
        <v>-2.5134386971716189</v>
      </c>
      <c r="P887" s="30">
        <v>14.85913825396981</v>
      </c>
      <c r="Q887" s="30">
        <v>174.76115874864763</v>
      </c>
      <c r="R887" s="30">
        <v>-103.82055132563654</v>
      </c>
      <c r="S887" s="30">
        <v>-1.9793624586996477</v>
      </c>
      <c r="T887" s="30">
        <v>5.3181478806684445E-4</v>
      </c>
    </row>
    <row r="888" spans="10:20" x14ac:dyDescent="0.25">
      <c r="J888" s="10"/>
      <c r="K888" s="10"/>
      <c r="L888" s="10" t="s">
        <v>71</v>
      </c>
      <c r="M888" s="10" t="s">
        <v>91</v>
      </c>
      <c r="N888" s="10"/>
      <c r="O888" s="30">
        <v>0.27112024556335534</v>
      </c>
      <c r="P888" s="30">
        <v>-6.9739278183682902</v>
      </c>
      <c r="Q888" s="30">
        <v>49.655279329331144</v>
      </c>
      <c r="R888" s="30">
        <v>30.92358508956287</v>
      </c>
      <c r="S888" s="30">
        <v>0.23395768413892618</v>
      </c>
      <c r="T888" s="30">
        <v>-1.0827281274496557E-3</v>
      </c>
    </row>
    <row r="889" spans="10:20" x14ac:dyDescent="0.25">
      <c r="J889" s="10"/>
      <c r="K889" s="10"/>
      <c r="L889" s="10" t="s">
        <v>71</v>
      </c>
      <c r="M889" s="10" t="s">
        <v>92</v>
      </c>
      <c r="N889" s="10"/>
      <c r="O889" s="30">
        <v>0.13932020151680793</v>
      </c>
      <c r="P889" s="30">
        <v>-18.974643743645803</v>
      </c>
      <c r="Q889" s="30">
        <v>77.295180205528808</v>
      </c>
      <c r="R889" s="30">
        <v>83.525455420096222</v>
      </c>
      <c r="S889" s="30">
        <v>0.15022407985011937</v>
      </c>
      <c r="T889" s="30">
        <v>-1.0658203070462238E-3</v>
      </c>
    </row>
    <row r="890" spans="10:20" x14ac:dyDescent="0.25">
      <c r="J890" s="10"/>
      <c r="K890" s="10"/>
      <c r="L890" s="10" t="s">
        <v>71</v>
      </c>
      <c r="M890" s="10" t="s">
        <v>93</v>
      </c>
      <c r="N890" s="10"/>
      <c r="O890" s="30">
        <v>-1.8320454661148426</v>
      </c>
      <c r="P890" s="30">
        <v>4.8155961702370007</v>
      </c>
      <c r="Q890" s="30">
        <v>-42.635011394418257</v>
      </c>
      <c r="R890" s="30">
        <v>-52.581028170832305</v>
      </c>
      <c r="S890" s="30">
        <v>-3.9601090185054071</v>
      </c>
      <c r="T890" s="30">
        <v>-1.4913706848834023E-3</v>
      </c>
    </row>
    <row r="891" spans="10:20" x14ac:dyDescent="0.25">
      <c r="J891" s="10"/>
      <c r="K891" s="10"/>
      <c r="L891" s="10" t="s">
        <v>71</v>
      </c>
      <c r="M891" s="10" t="s">
        <v>94</v>
      </c>
      <c r="N891" s="10"/>
      <c r="O891" s="30">
        <v>-1.4347593525008449</v>
      </c>
      <c r="P891" s="30">
        <v>0.30719677079443036</v>
      </c>
      <c r="Q891" s="30">
        <v>-5.5104335225332748E-3</v>
      </c>
      <c r="R891" s="30">
        <v>-15.050893941682453</v>
      </c>
      <c r="S891" s="30">
        <v>-3.3698129812014517</v>
      </c>
      <c r="T891" s="30">
        <v>-1.3880602737679313E-3</v>
      </c>
    </row>
    <row r="892" spans="10:20" x14ac:dyDescent="0.25">
      <c r="J892" s="10"/>
      <c r="K892" s="10"/>
      <c r="L892" s="10" t="s">
        <v>71</v>
      </c>
      <c r="M892" s="10" t="s">
        <v>95</v>
      </c>
      <c r="N892" s="10"/>
      <c r="O892" s="30">
        <v>3.1980095518022558</v>
      </c>
      <c r="P892" s="30">
        <v>4.8310644828671068</v>
      </c>
      <c r="Q892" s="30">
        <v>-25.160620970643368</v>
      </c>
      <c r="R892" s="30">
        <v>-52.121436746731057</v>
      </c>
      <c r="S892" s="30">
        <v>4.9328991621601368</v>
      </c>
      <c r="T892" s="30">
        <v>1.9727453628012989E-4</v>
      </c>
    </row>
    <row r="893" spans="10:20" x14ac:dyDescent="0.25">
      <c r="J893" s="10"/>
      <c r="K893" s="10"/>
      <c r="L893" s="10" t="s">
        <v>71</v>
      </c>
      <c r="M893" s="10" t="s">
        <v>96</v>
      </c>
      <c r="N893" s="10"/>
      <c r="O893" s="30">
        <v>3.5962117338141129</v>
      </c>
      <c r="P893" s="30">
        <v>0.32272045987869474</v>
      </c>
      <c r="Q893" s="30">
        <v>17.475817291955373</v>
      </c>
      <c r="R893" s="30">
        <v>-14.59250005165312</v>
      </c>
      <c r="S893" s="30">
        <v>5.5258335373955951</v>
      </c>
      <c r="T893" s="30">
        <v>2.9745048993252125E-4</v>
      </c>
    </row>
    <row r="894" spans="10:20" x14ac:dyDescent="0.25">
      <c r="J894" s="10"/>
      <c r="K894" s="10"/>
      <c r="L894" s="10" t="s">
        <v>71</v>
      </c>
      <c r="M894" s="10" t="s">
        <v>97</v>
      </c>
      <c r="N894" s="10"/>
      <c r="O894" s="30">
        <v>-0.84468688674005499</v>
      </c>
      <c r="P894" s="30">
        <v>3.5593588065612587</v>
      </c>
      <c r="Q894" s="30">
        <v>-30.552213949328326</v>
      </c>
      <c r="R894" s="30">
        <v>-22.168528730005416</v>
      </c>
      <c r="S894" s="30">
        <v>-1.2826449677411309</v>
      </c>
      <c r="T894" s="30">
        <v>-1.3745100891046564E-3</v>
      </c>
    </row>
    <row r="895" spans="10:20" x14ac:dyDescent="0.25">
      <c r="J895" s="10"/>
      <c r="K895" s="10"/>
      <c r="L895" s="10" t="s">
        <v>71</v>
      </c>
      <c r="M895" s="10" t="s">
        <v>98</v>
      </c>
      <c r="N895" s="10"/>
      <c r="O895" s="30">
        <v>-0.50708731808905538</v>
      </c>
      <c r="P895" s="30">
        <v>-12.702089531749786</v>
      </c>
      <c r="Q895" s="30">
        <v>23.115955600636074</v>
      </c>
      <c r="R895" s="30">
        <v>94.276637676404718</v>
      </c>
      <c r="S895" s="30">
        <v>-0.8362810409639152</v>
      </c>
      <c r="T895" s="30">
        <v>-1.1660330699134937E-3</v>
      </c>
    </row>
    <row r="896" spans="10:20" x14ac:dyDescent="0.25">
      <c r="J896" s="10"/>
      <c r="K896" s="10"/>
      <c r="L896" s="10" t="s">
        <v>71</v>
      </c>
      <c r="M896" s="10" t="s">
        <v>99</v>
      </c>
      <c r="N896" s="10"/>
      <c r="O896" s="30">
        <v>-1.3422595386037663</v>
      </c>
      <c r="P896" s="30">
        <v>51.705819281934829</v>
      </c>
      <c r="Q896" s="30">
        <v>-47.82442803792064</v>
      </c>
      <c r="R896" s="30">
        <v>-219.4514156397488</v>
      </c>
      <c r="S896" s="30">
        <v>-1.8002067935439752</v>
      </c>
      <c r="T896" s="30">
        <v>-1.2763257564976213E-3</v>
      </c>
    </row>
    <row r="897" spans="10:20" x14ac:dyDescent="0.25">
      <c r="J897" s="10"/>
      <c r="K897" s="10"/>
      <c r="L897" s="10" t="s">
        <v>71</v>
      </c>
      <c r="M897" s="10" t="s">
        <v>100</v>
      </c>
      <c r="N897" s="10"/>
      <c r="O897" s="30">
        <v>-1.3076242877978284</v>
      </c>
      <c r="P897" s="30">
        <v>26.052259006856588</v>
      </c>
      <c r="Q897" s="30">
        <v>70.692384723072095</v>
      </c>
      <c r="R897" s="30">
        <v>-112.53338368190802</v>
      </c>
      <c r="S897" s="30">
        <v>-1.4320465016820045</v>
      </c>
      <c r="T897" s="30">
        <v>-1.1519173693160295E-3</v>
      </c>
    </row>
    <row r="898" spans="10:20" x14ac:dyDescent="0.25">
      <c r="J898" s="10"/>
      <c r="K898" s="10"/>
      <c r="L898" s="10" t="s">
        <v>71</v>
      </c>
      <c r="M898" s="10" t="s">
        <v>101</v>
      </c>
      <c r="N898" s="10"/>
      <c r="O898" s="30">
        <v>-1.7535289389935702</v>
      </c>
      <c r="P898" s="30">
        <v>-8.3640721539010414</v>
      </c>
      <c r="Q898" s="30">
        <v>-5.766081445845658</v>
      </c>
      <c r="R898" s="30">
        <v>8.3713034857405546</v>
      </c>
      <c r="S898" s="30">
        <v>-3.6244359525297805</v>
      </c>
      <c r="T898" s="30">
        <v>-1.4335986087365958E-3</v>
      </c>
    </row>
    <row r="899" spans="10:20" x14ac:dyDescent="0.25">
      <c r="J899" s="10"/>
      <c r="K899" s="10"/>
      <c r="L899" s="10" t="s">
        <v>71</v>
      </c>
      <c r="M899" s="10" t="s">
        <v>102</v>
      </c>
      <c r="N899" s="10"/>
      <c r="O899" s="30">
        <v>-1.3959714367409721</v>
      </c>
      <c r="P899" s="30">
        <v>-12.421631613399354</v>
      </c>
      <c r="Q899" s="30">
        <v>32.6004694189605</v>
      </c>
      <c r="R899" s="30">
        <v>42.148424291975431</v>
      </c>
      <c r="S899" s="30">
        <v>-3.0931695189562207</v>
      </c>
      <c r="T899" s="30">
        <v>-1.340619238732672E-3</v>
      </c>
    </row>
    <row r="900" spans="10:20" x14ac:dyDescent="0.25">
      <c r="J900" s="10"/>
      <c r="K900" s="10"/>
      <c r="L900" s="10" t="s">
        <v>71</v>
      </c>
      <c r="M900" s="10" t="s">
        <v>103</v>
      </c>
      <c r="N900" s="10"/>
      <c r="O900" s="30">
        <v>2.7735205771318188</v>
      </c>
      <c r="P900" s="30">
        <v>-8.3501506725339461</v>
      </c>
      <c r="Q900" s="30">
        <v>9.9608699355517576</v>
      </c>
      <c r="R900" s="30">
        <v>8.7849357674316888</v>
      </c>
      <c r="S900" s="30">
        <v>4.3792714100692081</v>
      </c>
      <c r="T900" s="30">
        <v>8.6182090310583118E-5</v>
      </c>
    </row>
    <row r="901" spans="10:20" x14ac:dyDescent="0.25">
      <c r="J901" s="10"/>
      <c r="K901" s="10"/>
      <c r="L901" s="10" t="s">
        <v>71</v>
      </c>
      <c r="M901" s="10" t="s">
        <v>104</v>
      </c>
      <c r="N901" s="10"/>
      <c r="O901" s="30">
        <v>3.1319025409424901</v>
      </c>
      <c r="P901" s="30">
        <v>-12.407660293223516</v>
      </c>
      <c r="Q901" s="30">
        <v>48.33366437189062</v>
      </c>
      <c r="R901" s="30">
        <v>42.560978793001837</v>
      </c>
      <c r="S901" s="30">
        <v>4.9129123477811216</v>
      </c>
      <c r="T901" s="30">
        <v>1.7634044859773525E-4</v>
      </c>
    </row>
    <row r="902" spans="10:20" x14ac:dyDescent="0.25">
      <c r="J902" s="10"/>
      <c r="K902" s="10"/>
      <c r="L902" s="10" t="s">
        <v>71</v>
      </c>
      <c r="M902" s="10" t="s">
        <v>105</v>
      </c>
      <c r="N902" s="10"/>
      <c r="O902" s="30">
        <v>-0.86490621755626129</v>
      </c>
      <c r="P902" s="30">
        <v>-9.4946857812092098</v>
      </c>
      <c r="Q902" s="30">
        <v>5.1084362547352926</v>
      </c>
      <c r="R902" s="30">
        <v>35.742552982484774</v>
      </c>
      <c r="S902" s="30">
        <v>-1.2147183068419318</v>
      </c>
      <c r="T902" s="30">
        <v>-1.3284240725357245E-3</v>
      </c>
    </row>
    <row r="903" spans="10:20" x14ac:dyDescent="0.25">
      <c r="J903" s="10"/>
      <c r="K903" s="10"/>
      <c r="L903" s="10" t="s">
        <v>71</v>
      </c>
      <c r="M903" s="10" t="s">
        <v>106</v>
      </c>
      <c r="N903" s="10"/>
      <c r="O903" s="30">
        <v>-0.56106660577036171</v>
      </c>
      <c r="P903" s="30">
        <v>-24.129989285689152</v>
      </c>
      <c r="Q903" s="30">
        <v>53.409788849703254</v>
      </c>
      <c r="R903" s="30">
        <v>140.54320274825392</v>
      </c>
      <c r="S903" s="30">
        <v>-0.81299077274243781</v>
      </c>
      <c r="T903" s="30">
        <v>-1.1407947552636783E-3</v>
      </c>
    </row>
    <row r="904" spans="10:20" x14ac:dyDescent="0.25">
      <c r="J904" s="10"/>
      <c r="K904" s="10"/>
      <c r="L904" s="10" t="s">
        <v>71</v>
      </c>
      <c r="M904" s="10" t="s">
        <v>107</v>
      </c>
      <c r="N904" s="10"/>
      <c r="O904" s="30">
        <v>-1.3127216042336018</v>
      </c>
      <c r="P904" s="30">
        <v>33.837128646627008</v>
      </c>
      <c r="Q904" s="30">
        <v>-10.436556424997789</v>
      </c>
      <c r="R904" s="30">
        <v>-141.81204523628429</v>
      </c>
      <c r="S904" s="30">
        <v>-1.680523950064492</v>
      </c>
      <c r="T904" s="30">
        <v>-1.240058173189393E-3</v>
      </c>
    </row>
    <row r="905" spans="10:20" x14ac:dyDescent="0.25">
      <c r="J905" s="10"/>
      <c r="K905" s="10"/>
      <c r="L905" s="10" t="s">
        <v>71</v>
      </c>
      <c r="M905" s="10" t="s">
        <v>108</v>
      </c>
      <c r="N905" s="10"/>
      <c r="O905" s="30">
        <v>-1.2815498785082575</v>
      </c>
      <c r="P905" s="30">
        <v>10.748924399056586</v>
      </c>
      <c r="Q905" s="30">
        <v>96.228575059895675</v>
      </c>
      <c r="R905" s="30">
        <v>-45.585816474227578</v>
      </c>
      <c r="S905" s="30">
        <v>-1.3491796873887183</v>
      </c>
      <c r="T905" s="30">
        <v>-1.1280906247259604E-3</v>
      </c>
    </row>
    <row r="906" spans="10:20" x14ac:dyDescent="0.25">
      <c r="J906" s="10"/>
      <c r="K906" s="10"/>
      <c r="L906" s="10" t="s">
        <v>71</v>
      </c>
      <c r="M906" s="10" t="s">
        <v>109</v>
      </c>
      <c r="N906" s="10"/>
      <c r="O906" s="30">
        <v>-1.9506655057567355</v>
      </c>
      <c r="P906" s="30">
        <v>-5.9850481625127623</v>
      </c>
      <c r="Q906" s="30">
        <v>-17.759100605840356</v>
      </c>
      <c r="R906" s="30">
        <v>-5.2393448733522883</v>
      </c>
      <c r="S906" s="30">
        <v>-4.035469262365333</v>
      </c>
      <c r="T906" s="30">
        <v>-1.4761536465203136E-3</v>
      </c>
    </row>
    <row r="907" spans="10:20" x14ac:dyDescent="0.25">
      <c r="J907" s="10"/>
      <c r="K907" s="10"/>
      <c r="L907" s="10" t="s">
        <v>71</v>
      </c>
      <c r="M907" s="10" t="s">
        <v>110</v>
      </c>
      <c r="N907" s="10"/>
      <c r="O907" s="30">
        <v>-1.5533793921427375</v>
      </c>
      <c r="P907" s="30">
        <v>-10.493447561955332</v>
      </c>
      <c r="Q907" s="30">
        <v>24.87040035505537</v>
      </c>
      <c r="R907" s="30">
        <v>32.290789355797564</v>
      </c>
      <c r="S907" s="30">
        <v>-3.445173225061378</v>
      </c>
      <c r="T907" s="30">
        <v>-1.3728432354048426E-3</v>
      </c>
    </row>
    <row r="908" spans="10:20" x14ac:dyDescent="0.25">
      <c r="J908" s="10"/>
      <c r="K908" s="10"/>
      <c r="L908" s="10" t="s">
        <v>71</v>
      </c>
      <c r="M908" s="10" t="s">
        <v>111</v>
      </c>
      <c r="N908" s="10"/>
      <c r="O908" s="30">
        <v>3.0793895121603629</v>
      </c>
      <c r="P908" s="30">
        <v>-5.9695798498826562</v>
      </c>
      <c r="Q908" s="30">
        <v>-0.28471018206546428</v>
      </c>
      <c r="R908" s="30">
        <v>-4.7797534492510394</v>
      </c>
      <c r="S908" s="30">
        <v>4.85753891830021</v>
      </c>
      <c r="T908" s="30">
        <v>2.124915746432186E-4</v>
      </c>
    </row>
    <row r="909" spans="10:20" x14ac:dyDescent="0.25">
      <c r="J909" s="10"/>
      <c r="K909" s="10"/>
      <c r="L909" s="10" t="s">
        <v>71</v>
      </c>
      <c r="M909" s="10" t="s">
        <v>112</v>
      </c>
      <c r="N909" s="10"/>
      <c r="O909" s="30">
        <v>3.47759169417222</v>
      </c>
      <c r="P909" s="30">
        <v>-10.477923872871068</v>
      </c>
      <c r="Q909" s="30">
        <v>42.351728080533277</v>
      </c>
      <c r="R909" s="30">
        <v>32.749183245826899</v>
      </c>
      <c r="S909" s="30">
        <v>5.4504732935356692</v>
      </c>
      <c r="T909" s="30">
        <v>3.1266752829560998E-4</v>
      </c>
    </row>
    <row r="910" spans="10:20" x14ac:dyDescent="0.25">
      <c r="J910" s="10"/>
      <c r="K910" s="10"/>
      <c r="L910" s="10" t="s">
        <v>71</v>
      </c>
      <c r="M910" s="10" t="s">
        <v>113</v>
      </c>
      <c r="N910" s="10"/>
      <c r="O910" s="30">
        <v>-0.9633069263819477</v>
      </c>
      <c r="P910" s="30">
        <v>-7.2412855261885039</v>
      </c>
      <c r="Q910" s="30">
        <v>-5.6763031607504226</v>
      </c>
      <c r="R910" s="30">
        <v>25.173154567474604</v>
      </c>
      <c r="S910" s="30">
        <v>-1.358005211601057</v>
      </c>
      <c r="T910" s="30">
        <v>-1.3592930507415678E-3</v>
      </c>
    </row>
    <row r="911" spans="10:20" x14ac:dyDescent="0.25">
      <c r="J911" s="10"/>
      <c r="K911" s="10"/>
      <c r="L911" s="10" t="s">
        <v>71</v>
      </c>
      <c r="M911" s="10" t="s">
        <v>114</v>
      </c>
      <c r="N911" s="10"/>
      <c r="O911" s="30">
        <v>-0.62570735773094799</v>
      </c>
      <c r="P911" s="30">
        <v>-23.50273386449955</v>
      </c>
      <c r="Q911" s="30">
        <v>47.991866389213982</v>
      </c>
      <c r="R911" s="30">
        <v>141.61832097388472</v>
      </c>
      <c r="S911" s="30">
        <v>-0.91164128482384132</v>
      </c>
      <c r="T911" s="30">
        <v>-1.1508160315504051E-3</v>
      </c>
    </row>
    <row r="912" spans="10:20" x14ac:dyDescent="0.25">
      <c r="J912" s="10"/>
      <c r="K912" s="10"/>
      <c r="L912" s="10" t="s">
        <v>71</v>
      </c>
      <c r="M912" s="10" t="s">
        <v>115</v>
      </c>
      <c r="N912" s="10"/>
      <c r="O912" s="30">
        <v>-1.4608795782456592</v>
      </c>
      <c r="P912" s="30">
        <v>40.905174949185074</v>
      </c>
      <c r="Q912" s="30">
        <v>-22.948517249342732</v>
      </c>
      <c r="R912" s="30">
        <v>-172.10973234226879</v>
      </c>
      <c r="S912" s="30">
        <v>-1.8755670374039011</v>
      </c>
      <c r="T912" s="30">
        <v>-1.2611087181345325E-3</v>
      </c>
    </row>
    <row r="913" spans="10:20" x14ac:dyDescent="0.25">
      <c r="J913" s="10"/>
      <c r="K913" s="10"/>
      <c r="L913" s="10" t="s">
        <v>71</v>
      </c>
      <c r="M913" s="10" t="s">
        <v>116</v>
      </c>
      <c r="N913" s="10"/>
      <c r="O913" s="30">
        <v>-1.4262443274397212</v>
      </c>
      <c r="P913" s="30">
        <v>15.251614674106824</v>
      </c>
      <c r="Q913" s="30">
        <v>95.568295511650007</v>
      </c>
      <c r="R913" s="30">
        <v>-65.191700384428003</v>
      </c>
      <c r="S913" s="30">
        <v>-1.5074067455419304</v>
      </c>
      <c r="T913" s="30">
        <v>-1.1367003309529409E-3</v>
      </c>
    </row>
    <row r="914" spans="10:20" x14ac:dyDescent="0.25">
      <c r="J914" s="10"/>
      <c r="K914" s="10"/>
      <c r="L914" s="10" t="s">
        <v>72</v>
      </c>
      <c r="M914" s="10" t="s">
        <v>91</v>
      </c>
      <c r="N914" s="10"/>
      <c r="O914" s="30">
        <v>0.83823026506826293</v>
      </c>
      <c r="P914" s="30">
        <v>6.850718025596553</v>
      </c>
      <c r="Q914" s="30">
        <v>50.615870426621804</v>
      </c>
      <c r="R914" s="30">
        <v>-30.643502155849554</v>
      </c>
      <c r="S914" s="30">
        <v>0.58312607835385522</v>
      </c>
      <c r="T914" s="30">
        <v>-1.7897265094737103E-3</v>
      </c>
    </row>
    <row r="915" spans="10:20" x14ac:dyDescent="0.25">
      <c r="J915" s="10"/>
      <c r="K915" s="10"/>
      <c r="L915" s="10" t="s">
        <v>72</v>
      </c>
      <c r="M915" s="10" t="s">
        <v>92</v>
      </c>
      <c r="N915" s="10"/>
      <c r="O915" s="30">
        <v>0.81765322211146929</v>
      </c>
      <c r="P915" s="30">
        <v>18.849661615071589</v>
      </c>
      <c r="Q915" s="30">
        <v>78.498225459672753</v>
      </c>
      <c r="R915" s="30">
        <v>-83.209336903109744</v>
      </c>
      <c r="S915" s="30">
        <v>0.47986959939326368</v>
      </c>
      <c r="T915" s="30">
        <v>-1.7640504294323029E-3</v>
      </c>
    </row>
    <row r="916" spans="10:20" x14ac:dyDescent="0.25">
      <c r="J916" s="10"/>
      <c r="K916" s="10"/>
      <c r="L916" s="10" t="s">
        <v>72</v>
      </c>
      <c r="M916" s="10" t="s">
        <v>93</v>
      </c>
      <c r="N916" s="10"/>
      <c r="O916" s="30">
        <v>-3.4065952073005321</v>
      </c>
      <c r="P916" s="30">
        <v>-4.940973183059655</v>
      </c>
      <c r="Q916" s="30">
        <v>-25.343957565816741</v>
      </c>
      <c r="R916" s="30">
        <v>52.245546048212695</v>
      </c>
      <c r="S916" s="30">
        <v>-4.8494775429677457</v>
      </c>
      <c r="T916" s="30">
        <v>1.7850098446797519E-3</v>
      </c>
    </row>
    <row r="917" spans="10:20" x14ac:dyDescent="0.25">
      <c r="J917" s="10"/>
      <c r="K917" s="10"/>
      <c r="L917" s="10" t="s">
        <v>72</v>
      </c>
      <c r="M917" s="10" t="s">
        <v>94</v>
      </c>
      <c r="N917" s="10"/>
      <c r="O917" s="30">
        <v>-1.61664217546339</v>
      </c>
      <c r="P917" s="30">
        <v>-0.43509233205247067</v>
      </c>
      <c r="Q917" s="30">
        <v>16.185350444945371</v>
      </c>
      <c r="R917" s="30">
        <v>14.82651739241391</v>
      </c>
      <c r="S917" s="30">
        <v>-3.3993163580904109</v>
      </c>
      <c r="T917" s="30">
        <v>1.6141886512118749E-3</v>
      </c>
    </row>
    <row r="918" spans="10:20" x14ac:dyDescent="0.25">
      <c r="J918" s="10"/>
      <c r="K918" s="10"/>
      <c r="L918" s="10" t="s">
        <v>72</v>
      </c>
      <c r="M918" s="10" t="s">
        <v>95</v>
      </c>
      <c r="N918" s="10"/>
      <c r="O918" s="30">
        <v>5.2265091847057858</v>
      </c>
      <c r="P918" s="30">
        <v>-4.9392111844101265</v>
      </c>
      <c r="Q918" s="30">
        <v>-41.871638879530096</v>
      </c>
      <c r="R918" s="30">
        <v>52.771316079844134</v>
      </c>
      <c r="S918" s="30">
        <v>6.6442340700218816</v>
      </c>
      <c r="T918" s="30">
        <v>2.1819035701622139E-2</v>
      </c>
    </row>
    <row r="919" spans="10:20" x14ac:dyDescent="0.25">
      <c r="J919" s="10"/>
      <c r="K919" s="10"/>
      <c r="L919" s="10" t="s">
        <v>72</v>
      </c>
      <c r="M919" s="10" t="s">
        <v>96</v>
      </c>
      <c r="N919" s="10"/>
      <c r="O919" s="30">
        <v>7.0180468015513755</v>
      </c>
      <c r="P919" s="30">
        <v>-0.43327773535988029</v>
      </c>
      <c r="Q919" s="30">
        <v>-0.34933876966244126</v>
      </c>
      <c r="R919" s="30">
        <v>15.351038087832714</v>
      </c>
      <c r="S919" s="30">
        <v>8.0975622918175993</v>
      </c>
      <c r="T919" s="30">
        <v>2.1626434233073907E-2</v>
      </c>
    </row>
    <row r="920" spans="10:20" x14ac:dyDescent="0.25">
      <c r="J920" s="10"/>
      <c r="K920" s="10"/>
      <c r="L920" s="10" t="s">
        <v>72</v>
      </c>
      <c r="M920" s="10" t="s">
        <v>97</v>
      </c>
      <c r="N920" s="10"/>
      <c r="O920" s="30">
        <v>-5.064945938535736</v>
      </c>
      <c r="P920" s="30">
        <v>-51.831052210557495</v>
      </c>
      <c r="Q920" s="30">
        <v>-43.636841621462338</v>
      </c>
      <c r="R920" s="30">
        <v>219.5250648342473</v>
      </c>
      <c r="S920" s="30">
        <v>-4.2328184319045628</v>
      </c>
      <c r="T920" s="30">
        <v>-1.0197614671080149E-3</v>
      </c>
    </row>
    <row r="921" spans="10:20" x14ac:dyDescent="0.25">
      <c r="J921" s="10"/>
      <c r="K921" s="10"/>
      <c r="L921" s="10" t="s">
        <v>72</v>
      </c>
      <c r="M921" s="10" t="s">
        <v>98</v>
      </c>
      <c r="N921" s="10"/>
      <c r="O921" s="30">
        <v>-3.3190056710544069</v>
      </c>
      <c r="P921" s="30">
        <v>-26.183945283095373</v>
      </c>
      <c r="Q921" s="30">
        <v>74.395309004741151</v>
      </c>
      <c r="R921" s="30">
        <v>112.81012892218422</v>
      </c>
      <c r="S921" s="30">
        <v>-3.050256230630362</v>
      </c>
      <c r="T921" s="30">
        <v>-1.2697454675630899E-3</v>
      </c>
    </row>
    <row r="922" spans="10:20" x14ac:dyDescent="0.25">
      <c r="J922" s="10"/>
      <c r="K922" s="10"/>
      <c r="L922" s="10" t="s">
        <v>72</v>
      </c>
      <c r="M922" s="10" t="s">
        <v>99</v>
      </c>
      <c r="N922" s="10"/>
      <c r="O922" s="30">
        <v>-3.5766681879356423</v>
      </c>
      <c r="P922" s="30">
        <v>-3.6702144526976945</v>
      </c>
      <c r="Q922" s="30">
        <v>-26.810029567864763</v>
      </c>
      <c r="R922" s="30">
        <v>22.138609468460682</v>
      </c>
      <c r="S922" s="30">
        <v>-3.0579658915364849</v>
      </c>
      <c r="T922" s="30">
        <v>-1.3609047841680706E-3</v>
      </c>
    </row>
    <row r="923" spans="10:20" x14ac:dyDescent="0.25">
      <c r="J923" s="10"/>
      <c r="K923" s="10"/>
      <c r="L923" s="10" t="s">
        <v>72</v>
      </c>
      <c r="M923" s="10" t="s">
        <v>100</v>
      </c>
      <c r="N923" s="10"/>
      <c r="O923" s="30">
        <v>-2.0156214677038951</v>
      </c>
      <c r="P923" s="30">
        <v>12.583015058220697</v>
      </c>
      <c r="Q923" s="30">
        <v>26.44087006006362</v>
      </c>
      <c r="R923" s="30">
        <v>-94.089796941202678</v>
      </c>
      <c r="S923" s="30">
        <v>-1.8801105433680079</v>
      </c>
      <c r="T923" s="30">
        <v>-1.4138210541687199E-3</v>
      </c>
    </row>
    <row r="924" spans="10:20" x14ac:dyDescent="0.25">
      <c r="J924" s="10"/>
      <c r="K924" s="10"/>
      <c r="L924" s="10" t="s">
        <v>72</v>
      </c>
      <c r="M924" s="10" t="s">
        <v>101</v>
      </c>
      <c r="N924" s="10"/>
      <c r="O924" s="30">
        <v>-3.0026897030204465</v>
      </c>
      <c r="P924" s="30">
        <v>8.237139527281002</v>
      </c>
      <c r="Q924" s="30">
        <v>10.134380266478079</v>
      </c>
      <c r="R924" s="30">
        <v>-8.6091935194537168</v>
      </c>
      <c r="S924" s="30">
        <v>-4.4094736597961779</v>
      </c>
      <c r="T924" s="30">
        <v>1.4532122893058134E-3</v>
      </c>
    </row>
    <row r="925" spans="10:20" x14ac:dyDescent="0.25">
      <c r="J925" s="10"/>
      <c r="K925" s="10"/>
      <c r="L925" s="10" t="s">
        <v>72</v>
      </c>
      <c r="M925" s="10" t="s">
        <v>102</v>
      </c>
      <c r="N925" s="10"/>
      <c r="O925" s="30">
        <v>-1.3917319743670185</v>
      </c>
      <c r="P925" s="30">
        <v>12.292432293187469</v>
      </c>
      <c r="Q925" s="30">
        <v>47.510757476163967</v>
      </c>
      <c r="R925" s="30">
        <v>-42.286319309672621</v>
      </c>
      <c r="S925" s="30">
        <v>-3.1043285934065761</v>
      </c>
      <c r="T925" s="30">
        <v>1.2994732151847242E-3</v>
      </c>
    </row>
    <row r="926" spans="10:20" x14ac:dyDescent="0.25">
      <c r="J926" s="10"/>
      <c r="K926" s="10"/>
      <c r="L926" s="10" t="s">
        <v>72</v>
      </c>
      <c r="M926" s="10" t="s">
        <v>103</v>
      </c>
      <c r="N926" s="10"/>
      <c r="O926" s="30">
        <v>4.7671042497852394</v>
      </c>
      <c r="P926" s="30">
        <v>8.2387253260655786</v>
      </c>
      <c r="Q926" s="30">
        <v>-4.74053291586395</v>
      </c>
      <c r="R926" s="30">
        <v>-8.1360004909854204</v>
      </c>
      <c r="S926" s="30">
        <v>5.9348667918944873</v>
      </c>
      <c r="T926" s="30">
        <v>1.9483835560553966E-2</v>
      </c>
    </row>
    <row r="927" spans="10:20" x14ac:dyDescent="0.25">
      <c r="J927" s="10"/>
      <c r="K927" s="10"/>
      <c r="L927" s="10" t="s">
        <v>72</v>
      </c>
      <c r="M927" s="10" t="s">
        <v>104</v>
      </c>
      <c r="N927" s="10"/>
      <c r="O927" s="30">
        <v>6.3794881049462706</v>
      </c>
      <c r="P927" s="30">
        <v>12.294065430210798</v>
      </c>
      <c r="Q927" s="30">
        <v>32.629537183016943</v>
      </c>
      <c r="R927" s="30">
        <v>-41.814250683795692</v>
      </c>
      <c r="S927" s="30">
        <v>7.2428621915106328</v>
      </c>
      <c r="T927" s="30">
        <v>1.9310494238860554E-2</v>
      </c>
    </row>
    <row r="928" spans="10:20" x14ac:dyDescent="0.25">
      <c r="J928" s="10"/>
      <c r="K928" s="10"/>
      <c r="L928" s="10" t="s">
        <v>72</v>
      </c>
      <c r="M928" s="10" t="s">
        <v>105</v>
      </c>
      <c r="N928" s="10"/>
      <c r="O928" s="30">
        <v>-4.4952053611321299</v>
      </c>
      <c r="P928" s="30">
        <v>-33.963931597467052</v>
      </c>
      <c r="Q928" s="30">
        <v>-6.3292153836029597</v>
      </c>
      <c r="R928" s="30">
        <v>141.94237338797743</v>
      </c>
      <c r="S928" s="30">
        <v>-3.854480459839313</v>
      </c>
      <c r="T928" s="30">
        <v>-1.0710818913031771E-3</v>
      </c>
    </row>
    <row r="929" spans="10:20" x14ac:dyDescent="0.25">
      <c r="J929" s="10"/>
      <c r="K929" s="10"/>
      <c r="L929" s="10" t="s">
        <v>72</v>
      </c>
      <c r="M929" s="10" t="s">
        <v>106</v>
      </c>
      <c r="N929" s="10"/>
      <c r="O929" s="30">
        <v>-2.9238591203989341</v>
      </c>
      <c r="P929" s="30">
        <v>-10.881535362751144</v>
      </c>
      <c r="Q929" s="30">
        <v>99.899720179980179</v>
      </c>
      <c r="R929" s="30">
        <v>45.898931067120643</v>
      </c>
      <c r="S929" s="30">
        <v>-2.7901744786925318</v>
      </c>
      <c r="T929" s="30">
        <v>-1.2960674917127444E-3</v>
      </c>
    </row>
    <row r="930" spans="10:20" x14ac:dyDescent="0.25">
      <c r="J930" s="10"/>
      <c r="K930" s="10"/>
      <c r="L930" s="10" t="s">
        <v>72</v>
      </c>
      <c r="M930" s="10" t="s">
        <v>107</v>
      </c>
      <c r="N930" s="10"/>
      <c r="O930" s="30">
        <v>-3.1557553855920455</v>
      </c>
      <c r="P930" s="30">
        <v>9.3808223846067662</v>
      </c>
      <c r="Q930" s="30">
        <v>8.8149154646348453</v>
      </c>
      <c r="R930" s="30">
        <v>-35.705436441230525</v>
      </c>
      <c r="S930" s="30">
        <v>-2.7971131735080426</v>
      </c>
      <c r="T930" s="30">
        <v>-1.3781108766572269E-3</v>
      </c>
    </row>
    <row r="931" spans="10:20" x14ac:dyDescent="0.25">
      <c r="J931" s="10"/>
      <c r="K931" s="10"/>
      <c r="L931" s="10" t="s">
        <v>72</v>
      </c>
      <c r="M931" s="10" t="s">
        <v>108</v>
      </c>
      <c r="N931" s="10"/>
      <c r="O931" s="30">
        <v>-1.7508133373834731</v>
      </c>
      <c r="P931" s="30">
        <v>24.008728944433319</v>
      </c>
      <c r="Q931" s="30">
        <v>56.740725129770397</v>
      </c>
      <c r="R931" s="30">
        <v>-140.31100220992752</v>
      </c>
      <c r="S931" s="30">
        <v>-1.7370433601564133</v>
      </c>
      <c r="T931" s="30">
        <v>-1.4257355196578116E-3</v>
      </c>
    </row>
    <row r="932" spans="10:20" x14ac:dyDescent="0.25">
      <c r="J932" s="10"/>
      <c r="K932" s="10"/>
      <c r="L932" s="10" t="s">
        <v>72</v>
      </c>
      <c r="M932" s="10" t="s">
        <v>109</v>
      </c>
      <c r="N932" s="10"/>
      <c r="O932" s="30">
        <v>-3.4251145459616468</v>
      </c>
      <c r="P932" s="30">
        <v>5.8580760474678799</v>
      </c>
      <c r="Q932" s="30">
        <v>-0.24983803607088334</v>
      </c>
      <c r="R932" s="30">
        <v>4.9362947756785287</v>
      </c>
      <c r="S932" s="30">
        <v>-4.9424083740322784</v>
      </c>
      <c r="T932" s="30">
        <v>1.8081183167170185E-3</v>
      </c>
    </row>
    <row r="933" spans="10:20" x14ac:dyDescent="0.25">
      <c r="J933" s="10"/>
      <c r="K933" s="10"/>
      <c r="L933" s="10" t="s">
        <v>72</v>
      </c>
      <c r="M933" s="10" t="s">
        <v>110</v>
      </c>
      <c r="N933" s="10"/>
      <c r="O933" s="30">
        <v>-1.6351615141245044</v>
      </c>
      <c r="P933" s="30">
        <v>10.363956898475063</v>
      </c>
      <c r="Q933" s="30">
        <v>41.279469974691231</v>
      </c>
      <c r="R933" s="30">
        <v>-32.482733880120257</v>
      </c>
      <c r="S933" s="30">
        <v>-3.4922471891549436</v>
      </c>
      <c r="T933" s="30">
        <v>1.6372971232491416E-3</v>
      </c>
    </row>
    <row r="934" spans="10:20" x14ac:dyDescent="0.25">
      <c r="J934" s="10"/>
      <c r="K934" s="10"/>
      <c r="L934" s="10" t="s">
        <v>72</v>
      </c>
      <c r="M934" s="10" t="s">
        <v>111</v>
      </c>
      <c r="N934" s="10"/>
      <c r="O934" s="30">
        <v>5.2079898460446712</v>
      </c>
      <c r="P934" s="30">
        <v>5.8598380461174084</v>
      </c>
      <c r="Q934" s="30">
        <v>-16.777519349784239</v>
      </c>
      <c r="R934" s="30">
        <v>5.4620648073099689</v>
      </c>
      <c r="S934" s="30">
        <v>6.5513032389573498</v>
      </c>
      <c r="T934" s="30">
        <v>2.1842144173659407E-2</v>
      </c>
    </row>
    <row r="935" spans="10:20" x14ac:dyDescent="0.25">
      <c r="J935" s="10"/>
      <c r="K935" s="10"/>
      <c r="L935" s="10" t="s">
        <v>72</v>
      </c>
      <c r="M935" s="10" t="s">
        <v>112</v>
      </c>
      <c r="N935" s="10"/>
      <c r="O935" s="30">
        <v>6.9995274628902608</v>
      </c>
      <c r="P935" s="30">
        <v>10.365771495167655</v>
      </c>
      <c r="Q935" s="30">
        <v>24.744780760083415</v>
      </c>
      <c r="R935" s="30">
        <v>-31.958213184701449</v>
      </c>
      <c r="S935" s="30">
        <v>8.0046314607530658</v>
      </c>
      <c r="T935" s="30">
        <v>2.1649542705111175E-2</v>
      </c>
    </row>
    <row r="936" spans="10:20" x14ac:dyDescent="0.25">
      <c r="J936" s="10"/>
      <c r="K936" s="10"/>
      <c r="L936" s="10" t="s">
        <v>72</v>
      </c>
      <c r="M936" s="10" t="s">
        <v>113</v>
      </c>
      <c r="N936" s="10"/>
      <c r="O936" s="30">
        <v>-5.0834652771968507</v>
      </c>
      <c r="P936" s="30">
        <v>-41.032002980029958</v>
      </c>
      <c r="Q936" s="30">
        <v>-18.542722091716477</v>
      </c>
      <c r="R936" s="30">
        <v>172.21581356171311</v>
      </c>
      <c r="S936" s="30">
        <v>-4.3257492629690955</v>
      </c>
      <c r="T936" s="30">
        <v>-9.9665299507074845E-4</v>
      </c>
    </row>
    <row r="937" spans="10:20" x14ac:dyDescent="0.25">
      <c r="J937" s="10"/>
      <c r="K937" s="10"/>
      <c r="L937" s="10" t="s">
        <v>72</v>
      </c>
      <c r="M937" s="10" t="s">
        <v>114</v>
      </c>
      <c r="N937" s="10"/>
      <c r="O937" s="30">
        <v>-3.3375250097155216</v>
      </c>
      <c r="P937" s="30">
        <v>-15.384896052567838</v>
      </c>
      <c r="Q937" s="30">
        <v>99.489428534487004</v>
      </c>
      <c r="R937" s="30">
        <v>65.50087764965005</v>
      </c>
      <c r="S937" s="30">
        <v>-3.1431870616948947</v>
      </c>
      <c r="T937" s="30">
        <v>-1.2466369955258232E-3</v>
      </c>
    </row>
    <row r="938" spans="10:20" x14ac:dyDescent="0.25">
      <c r="J938" s="10"/>
      <c r="K938" s="10"/>
      <c r="L938" s="10" t="s">
        <v>72</v>
      </c>
      <c r="M938" s="10" t="s">
        <v>115</v>
      </c>
      <c r="N938" s="10"/>
      <c r="O938" s="30">
        <v>-3.5951875265967566</v>
      </c>
      <c r="P938" s="30">
        <v>7.12883477782984</v>
      </c>
      <c r="Q938" s="30">
        <v>-1.7159100381189052</v>
      </c>
      <c r="R938" s="30">
        <v>-25.170641804073483</v>
      </c>
      <c r="S938" s="30">
        <v>-3.1508967226010176</v>
      </c>
      <c r="T938" s="30">
        <v>-1.3377963121308037E-3</v>
      </c>
    </row>
    <row r="939" spans="10:20" x14ac:dyDescent="0.25">
      <c r="J939" s="10"/>
      <c r="K939" s="10"/>
      <c r="L939" s="10" t="s">
        <v>72</v>
      </c>
      <c r="M939" s="10" t="s">
        <v>116</v>
      </c>
      <c r="N939" s="10"/>
      <c r="O939" s="30">
        <v>-2.0341408063650097</v>
      </c>
      <c r="P939" s="30">
        <v>23.382064288748232</v>
      </c>
      <c r="Q939" s="30">
        <v>51.53498958980947</v>
      </c>
      <c r="R939" s="30">
        <v>-141.39904821373682</v>
      </c>
      <c r="S939" s="30">
        <v>-1.9730413744325401</v>
      </c>
      <c r="T939" s="30">
        <v>-1.3907125821314532E-3</v>
      </c>
    </row>
    <row r="940" spans="10:20" x14ac:dyDescent="0.25">
      <c r="J940" s="10"/>
      <c r="K940" s="10"/>
      <c r="L940" s="10" t="s">
        <v>73</v>
      </c>
      <c r="M940" s="10" t="s">
        <v>91</v>
      </c>
      <c r="N940" s="10"/>
      <c r="O940" s="30">
        <v>0.85249471424600842</v>
      </c>
      <c r="P940" s="30">
        <v>-0.24433502009113836</v>
      </c>
      <c r="Q940" s="30">
        <v>72.158214286932022</v>
      </c>
      <c r="R940" s="30">
        <v>0.16068137306933986</v>
      </c>
      <c r="S940" s="30">
        <v>0.60609000229910892</v>
      </c>
      <c r="T940" s="30">
        <v>1.1775098918261641E-3</v>
      </c>
    </row>
    <row r="941" spans="10:20" x14ac:dyDescent="0.25">
      <c r="J941" s="10"/>
      <c r="K941" s="10"/>
      <c r="L941" s="10" t="s">
        <v>73</v>
      </c>
      <c r="M941" s="10" t="s">
        <v>92</v>
      </c>
      <c r="N941" s="10"/>
      <c r="O941" s="30">
        <v>0.85766431327450765</v>
      </c>
      <c r="P941" s="30">
        <v>-1.8781405542151055</v>
      </c>
      <c r="Q941" s="30">
        <v>128.92726452724955</v>
      </c>
      <c r="R941" s="30">
        <v>6.8497161853858248</v>
      </c>
      <c r="S941" s="30">
        <v>0.56035441805147734</v>
      </c>
      <c r="T941" s="30">
        <v>1.1792865511794448E-3</v>
      </c>
    </row>
    <row r="942" spans="10:20" x14ac:dyDescent="0.25">
      <c r="J942" s="10"/>
      <c r="K942" s="10"/>
      <c r="L942" s="10" t="s">
        <v>73</v>
      </c>
      <c r="M942" s="10" t="s">
        <v>93</v>
      </c>
      <c r="N942" s="10"/>
      <c r="O942" s="30">
        <v>-7.0767196763994313</v>
      </c>
      <c r="P942" s="30">
        <v>6.6046472705614949</v>
      </c>
      <c r="Q942" s="30">
        <v>-78.444888196288318</v>
      </c>
      <c r="R942" s="30">
        <v>-30.695555044792574</v>
      </c>
      <c r="S942" s="30">
        <v>-7.1472408425922298</v>
      </c>
      <c r="T942" s="30">
        <v>5.4718468697603738E-3</v>
      </c>
    </row>
    <row r="943" spans="10:20" x14ac:dyDescent="0.25">
      <c r="J943" s="10"/>
      <c r="K943" s="10"/>
      <c r="L943" s="10" t="s">
        <v>73</v>
      </c>
      <c r="M943" s="10" t="s">
        <v>94</v>
      </c>
      <c r="N943" s="10"/>
      <c r="O943" s="30">
        <v>-3.132787972163686</v>
      </c>
      <c r="P943" s="30">
        <v>3.3501080382775954</v>
      </c>
      <c r="Q943" s="30">
        <v>0.86971330758936516</v>
      </c>
      <c r="R943" s="30">
        <v>-16.165608777576427</v>
      </c>
      <c r="S943" s="30">
        <v>-3.9640564906184035</v>
      </c>
      <c r="T943" s="30">
        <v>4.9800290243997083E-3</v>
      </c>
    </row>
    <row r="944" spans="10:20" x14ac:dyDescent="0.25">
      <c r="J944" s="10"/>
      <c r="K944" s="10"/>
      <c r="L944" s="10" t="s">
        <v>73</v>
      </c>
      <c r="M944" s="10" t="s">
        <v>95</v>
      </c>
      <c r="N944" s="10"/>
      <c r="O944" s="30">
        <v>8.8891641642542911</v>
      </c>
      <c r="P944" s="30">
        <v>5.6505373059853214</v>
      </c>
      <c r="Q944" s="30">
        <v>-98.550552493654337</v>
      </c>
      <c r="R944" s="30">
        <v>-25.624952277852337</v>
      </c>
      <c r="S944" s="30">
        <v>8.7299274663086983</v>
      </c>
      <c r="T944" s="30">
        <v>-3.5085334229896617E-4</v>
      </c>
    </row>
    <row r="945" spans="10:20" x14ac:dyDescent="0.25">
      <c r="J945" s="10"/>
      <c r="K945" s="10"/>
      <c r="L945" s="10" t="s">
        <v>73</v>
      </c>
      <c r="M945" s="10" t="s">
        <v>96</v>
      </c>
      <c r="N945" s="10"/>
      <c r="O945" s="30">
        <v>12.830672848148552</v>
      </c>
      <c r="P945" s="30">
        <v>2.3974449968092246</v>
      </c>
      <c r="Q945" s="30">
        <v>-19.226123880004973</v>
      </c>
      <c r="R945" s="30">
        <v>-11.102681900722986</v>
      </c>
      <c r="S945" s="30">
        <v>11.909998425981115</v>
      </c>
      <c r="T945" s="30">
        <v>-8.2031903369285744E-4</v>
      </c>
    </row>
    <row r="946" spans="10:20" x14ac:dyDescent="0.25">
      <c r="J946" s="10"/>
      <c r="K946" s="10"/>
      <c r="L946" s="10" t="s">
        <v>73</v>
      </c>
      <c r="M946" s="10" t="s">
        <v>97</v>
      </c>
      <c r="N946" s="10"/>
      <c r="O946" s="30">
        <v>-9.0745978319349554</v>
      </c>
      <c r="P946" s="30">
        <v>0.29292921694593843</v>
      </c>
      <c r="Q946" s="30">
        <v>-85.275378224948426</v>
      </c>
      <c r="R946" s="30">
        <v>15.767523214695725</v>
      </c>
      <c r="S946" s="30">
        <v>-7.4585256896027339</v>
      </c>
      <c r="T946" s="30">
        <v>2.2344470251919875E-3</v>
      </c>
    </row>
    <row r="947" spans="10:20" x14ac:dyDescent="0.25">
      <c r="J947" s="10"/>
      <c r="K947" s="10"/>
      <c r="L947" s="10" t="s">
        <v>73</v>
      </c>
      <c r="M947" s="10" t="s">
        <v>98</v>
      </c>
      <c r="N947" s="10"/>
      <c r="O947" s="30">
        <v>-5.1059062191243285</v>
      </c>
      <c r="P947" s="30">
        <v>-13.361869734187808</v>
      </c>
      <c r="Q947" s="30">
        <v>125.92604862877442</v>
      </c>
      <c r="R947" s="30">
        <v>97.670881856451103</v>
      </c>
      <c r="S947" s="30">
        <v>-4.364781656634281</v>
      </c>
      <c r="T947" s="30">
        <v>1.543118675259652E-3</v>
      </c>
    </row>
    <row r="948" spans="10:20" x14ac:dyDescent="0.25">
      <c r="J948" s="10"/>
      <c r="K948" s="10"/>
      <c r="L948" s="10" t="s">
        <v>73</v>
      </c>
      <c r="M948" s="10" t="s">
        <v>99</v>
      </c>
      <c r="N948" s="10"/>
      <c r="O948" s="30">
        <v>-9.0363099988374866</v>
      </c>
      <c r="P948" s="30">
        <v>10.262595041471801</v>
      </c>
      <c r="Q948" s="30">
        <v>-87.260348020069529</v>
      </c>
      <c r="R948" s="30">
        <v>-62.86083202799275</v>
      </c>
      <c r="S948" s="30">
        <v>-7.4157863260839036</v>
      </c>
      <c r="T948" s="30">
        <v>2.472438028220645E-3</v>
      </c>
    </row>
    <row r="949" spans="10:20" x14ac:dyDescent="0.25">
      <c r="J949" s="10"/>
      <c r="K949" s="10"/>
      <c r="L949" s="10" t="s">
        <v>73</v>
      </c>
      <c r="M949" s="10" t="s">
        <v>100</v>
      </c>
      <c r="N949" s="10"/>
      <c r="O949" s="30">
        <v>-5.0515218578716814</v>
      </c>
      <c r="P949" s="30">
        <v>22.062919148498381</v>
      </c>
      <c r="Q949" s="30">
        <v>29.374069457768734</v>
      </c>
      <c r="R949" s="30">
        <v>-145.25468998805269</v>
      </c>
      <c r="S949" s="30">
        <v>-4.1985822859458235</v>
      </c>
      <c r="T949" s="30">
        <v>1.954117583186369E-3</v>
      </c>
    </row>
    <row r="950" spans="10:20" x14ac:dyDescent="0.25">
      <c r="J950" s="10"/>
      <c r="K950" s="10"/>
      <c r="L950" s="10" t="s">
        <v>73</v>
      </c>
      <c r="M950" s="10" t="s">
        <v>101</v>
      </c>
      <c r="N950" s="10"/>
      <c r="O950" s="30">
        <v>-6.2786286383063885</v>
      </c>
      <c r="P950" s="30">
        <v>4.2859435073722647</v>
      </c>
      <c r="Q950" s="30">
        <v>-6.6155277076487531</v>
      </c>
      <c r="R950" s="30">
        <v>-20.920896590689896</v>
      </c>
      <c r="S950" s="30">
        <v>-6.4176433423507282</v>
      </c>
      <c r="T950" s="30">
        <v>5.0441898313202333E-3</v>
      </c>
    </row>
    <row r="951" spans="10:20" x14ac:dyDescent="0.25">
      <c r="J951" s="10"/>
      <c r="K951" s="10"/>
      <c r="L951" s="10" t="s">
        <v>73</v>
      </c>
      <c r="M951" s="10" t="s">
        <v>102</v>
      </c>
      <c r="N951" s="10"/>
      <c r="O951" s="30">
        <v>-2.7290901044942171</v>
      </c>
      <c r="P951" s="30">
        <v>1.3568581983167551</v>
      </c>
      <c r="Q951" s="30">
        <v>64.767613645841166</v>
      </c>
      <c r="R951" s="30">
        <v>-7.8439449501953664</v>
      </c>
      <c r="S951" s="30">
        <v>-3.5527774255742841</v>
      </c>
      <c r="T951" s="30">
        <v>4.6015537704956347E-3</v>
      </c>
    </row>
    <row r="952" spans="10:20" x14ac:dyDescent="0.25">
      <c r="J952" s="10"/>
      <c r="K952" s="10"/>
      <c r="L952" s="10" t="s">
        <v>73</v>
      </c>
      <c r="M952" s="10" t="s">
        <v>103</v>
      </c>
      <c r="N952" s="10"/>
      <c r="O952" s="30">
        <v>8.0906668182819619</v>
      </c>
      <c r="P952" s="30">
        <v>3.4272445392537088</v>
      </c>
      <c r="Q952" s="30">
        <v>-24.710625575278183</v>
      </c>
      <c r="R952" s="30">
        <v>-16.357354100443683</v>
      </c>
      <c r="S952" s="30">
        <v>7.8718081356601077</v>
      </c>
      <c r="T952" s="30">
        <v>-1.9624035953317269E-4</v>
      </c>
    </row>
    <row r="953" spans="10:20" x14ac:dyDescent="0.25">
      <c r="J953" s="10"/>
      <c r="K953" s="10"/>
      <c r="L953" s="10" t="s">
        <v>73</v>
      </c>
      <c r="M953" s="10" t="s">
        <v>104</v>
      </c>
      <c r="N953" s="10"/>
      <c r="O953" s="30">
        <v>11.638024633786799</v>
      </c>
      <c r="P953" s="30">
        <v>0.4994614609952206</v>
      </c>
      <c r="Q953" s="30">
        <v>46.681360177006255</v>
      </c>
      <c r="R953" s="30">
        <v>-3.2873107610272703</v>
      </c>
      <c r="S953" s="30">
        <v>10.733871999365283</v>
      </c>
      <c r="T953" s="30">
        <v>-6.1875948178767484E-4</v>
      </c>
    </row>
    <row r="954" spans="10:20" x14ac:dyDescent="0.25">
      <c r="J954" s="10"/>
      <c r="K954" s="10"/>
      <c r="L954" s="10" t="s">
        <v>73</v>
      </c>
      <c r="M954" s="10" t="s">
        <v>105</v>
      </c>
      <c r="N954" s="10"/>
      <c r="O954" s="30">
        <v>-8.0767189782883602</v>
      </c>
      <c r="P954" s="30">
        <v>-1.3946027408817363</v>
      </c>
      <c r="Q954" s="30">
        <v>-12.762968733442829</v>
      </c>
      <c r="R954" s="30">
        <v>20.895873842849571</v>
      </c>
      <c r="S954" s="30">
        <v>-6.6977997046601807</v>
      </c>
      <c r="T954" s="30">
        <v>2.1305299712086859E-3</v>
      </c>
    </row>
    <row r="955" spans="10:20" x14ac:dyDescent="0.25">
      <c r="J955" s="10"/>
      <c r="K955" s="10"/>
      <c r="L955" s="10" t="s">
        <v>73</v>
      </c>
      <c r="M955" s="10" t="s">
        <v>106</v>
      </c>
      <c r="N955" s="10"/>
      <c r="O955" s="30">
        <v>-4.5048965267587953</v>
      </c>
      <c r="P955" s="30">
        <v>-13.683921796902109</v>
      </c>
      <c r="Q955" s="30">
        <v>177.3183154349077</v>
      </c>
      <c r="R955" s="30">
        <v>94.608896620429405</v>
      </c>
      <c r="S955" s="30">
        <v>-3.9134300749885735</v>
      </c>
      <c r="T955" s="30">
        <v>1.5083344562695838E-3</v>
      </c>
    </row>
    <row r="956" spans="10:20" x14ac:dyDescent="0.25">
      <c r="J956" s="10"/>
      <c r="K956" s="10"/>
      <c r="L956" s="10" t="s">
        <v>73</v>
      </c>
      <c r="M956" s="10" t="s">
        <v>107</v>
      </c>
      <c r="N956" s="10"/>
      <c r="O956" s="30">
        <v>-8.0422599285006378</v>
      </c>
      <c r="P956" s="30">
        <v>7.5780965011915402</v>
      </c>
      <c r="Q956" s="30">
        <v>-14.549441549051842</v>
      </c>
      <c r="R956" s="30">
        <v>-49.869645875570058</v>
      </c>
      <c r="S956" s="30">
        <v>-6.6593342774932349</v>
      </c>
      <c r="T956" s="30">
        <v>2.3447218739344779E-3</v>
      </c>
    </row>
    <row r="957" spans="10:20" x14ac:dyDescent="0.25">
      <c r="J957" s="10"/>
      <c r="K957" s="10"/>
      <c r="L957" s="10" t="s">
        <v>73</v>
      </c>
      <c r="M957" s="10" t="s">
        <v>108</v>
      </c>
      <c r="N957" s="10"/>
      <c r="O957" s="30">
        <v>-4.4559506016314137</v>
      </c>
      <c r="P957" s="30">
        <v>18.198388197515463</v>
      </c>
      <c r="Q957" s="30">
        <v>90.421534181002599</v>
      </c>
      <c r="R957" s="30">
        <v>-124.024118039624</v>
      </c>
      <c r="S957" s="30">
        <v>-3.7638506413689616</v>
      </c>
      <c r="T957" s="30">
        <v>1.878233473403629E-3</v>
      </c>
    </row>
    <row r="958" spans="10:20" x14ac:dyDescent="0.25">
      <c r="J958" s="10"/>
      <c r="K958" s="10"/>
      <c r="L958" s="10" t="s">
        <v>73</v>
      </c>
      <c r="M958" s="10" t="s">
        <v>109</v>
      </c>
      <c r="N958" s="10"/>
      <c r="O958" s="30">
        <v>-7.0720670372737819</v>
      </c>
      <c r="P958" s="30">
        <v>5.1342222898499239</v>
      </c>
      <c r="Q958" s="30">
        <v>-27.352742980002521</v>
      </c>
      <c r="R958" s="30">
        <v>-24.675423713707733</v>
      </c>
      <c r="S958" s="30">
        <v>-7.1884028684150989</v>
      </c>
      <c r="T958" s="30">
        <v>5.4734458631783261E-3</v>
      </c>
    </row>
    <row r="959" spans="10:20" x14ac:dyDescent="0.25">
      <c r="J959" s="10"/>
      <c r="K959" s="10"/>
      <c r="L959" s="10" t="s">
        <v>73</v>
      </c>
      <c r="M959" s="10" t="s">
        <v>110</v>
      </c>
      <c r="N959" s="10"/>
      <c r="O959" s="30">
        <v>-3.1281353330380366</v>
      </c>
      <c r="P959" s="30">
        <v>1.8796830575660251</v>
      </c>
      <c r="Q959" s="30">
        <v>51.961858523875158</v>
      </c>
      <c r="R959" s="30">
        <v>-10.14547744649159</v>
      </c>
      <c r="S959" s="30">
        <v>-4.0052185164412712</v>
      </c>
      <c r="T959" s="30">
        <v>4.9816280178176606E-3</v>
      </c>
    </row>
    <row r="960" spans="10:20" x14ac:dyDescent="0.25">
      <c r="J960" s="10"/>
      <c r="K960" s="10"/>
      <c r="L960" s="10" t="s">
        <v>73</v>
      </c>
      <c r="M960" s="10" t="s">
        <v>111</v>
      </c>
      <c r="N960" s="10"/>
      <c r="O960" s="30">
        <v>8.8938168033799396</v>
      </c>
      <c r="P960" s="30">
        <v>4.1801123252737504</v>
      </c>
      <c r="Q960" s="30">
        <v>-47.458407277368536</v>
      </c>
      <c r="R960" s="30">
        <v>-19.6048209467675</v>
      </c>
      <c r="S960" s="30">
        <v>8.6887654404858292</v>
      </c>
      <c r="T960" s="30">
        <v>-3.4925434888101372E-4</v>
      </c>
    </row>
    <row r="961" spans="10:20" x14ac:dyDescent="0.25">
      <c r="J961" s="10"/>
      <c r="K961" s="10"/>
      <c r="L961" s="10" t="s">
        <v>73</v>
      </c>
      <c r="M961" s="10" t="s">
        <v>112</v>
      </c>
      <c r="N961" s="10"/>
      <c r="O961" s="30">
        <v>12.835325487274202</v>
      </c>
      <c r="P961" s="30">
        <v>0.92702001609765383</v>
      </c>
      <c r="Q961" s="30">
        <v>31.866021336280824</v>
      </c>
      <c r="R961" s="30">
        <v>-5.0825505696381503</v>
      </c>
      <c r="S961" s="30">
        <v>11.868836400158246</v>
      </c>
      <c r="T961" s="30">
        <v>-8.1872004027490493E-4</v>
      </c>
    </row>
    <row r="962" spans="10:20" x14ac:dyDescent="0.25">
      <c r="J962" s="10"/>
      <c r="K962" s="10"/>
      <c r="L962" s="10" t="s">
        <v>73</v>
      </c>
      <c r="M962" s="10" t="s">
        <v>113</v>
      </c>
      <c r="N962" s="10"/>
      <c r="O962" s="30">
        <v>-9.0699451928093051</v>
      </c>
      <c r="P962" s="30">
        <v>-1.1774957637656318</v>
      </c>
      <c r="Q962" s="30">
        <v>-34.183233008662626</v>
      </c>
      <c r="R962" s="30">
        <v>21.787654545780565</v>
      </c>
      <c r="S962" s="30">
        <v>-7.4996877154256021</v>
      </c>
      <c r="T962" s="30">
        <v>2.2360460186099398E-3</v>
      </c>
    </row>
    <row r="963" spans="10:20" x14ac:dyDescent="0.25">
      <c r="J963" s="10"/>
      <c r="K963" s="10"/>
      <c r="L963" s="10" t="s">
        <v>73</v>
      </c>
      <c r="M963" s="10" t="s">
        <v>114</v>
      </c>
      <c r="N963" s="10"/>
      <c r="O963" s="30">
        <v>-5.1012535799986791</v>
      </c>
      <c r="P963" s="30">
        <v>-14.832294714899378</v>
      </c>
      <c r="Q963" s="30">
        <v>177.01819384506021</v>
      </c>
      <c r="R963" s="30">
        <v>103.69101318753593</v>
      </c>
      <c r="S963" s="30">
        <v>-4.4059436824571501</v>
      </c>
      <c r="T963" s="30">
        <v>1.5447176686776045E-3</v>
      </c>
    </row>
    <row r="964" spans="10:20" x14ac:dyDescent="0.25">
      <c r="J964" s="10"/>
      <c r="K964" s="10"/>
      <c r="L964" s="10" t="s">
        <v>73</v>
      </c>
      <c r="M964" s="10" t="s">
        <v>115</v>
      </c>
      <c r="N964" s="10"/>
      <c r="O964" s="30">
        <v>-9.0316573597118364</v>
      </c>
      <c r="P964" s="30">
        <v>8.7921700607602311</v>
      </c>
      <c r="Q964" s="30">
        <v>-36.168202803783736</v>
      </c>
      <c r="R964" s="30">
        <v>-56.840700696907909</v>
      </c>
      <c r="S964" s="30">
        <v>-7.4569483519067727</v>
      </c>
      <c r="T964" s="30">
        <v>2.4740370216385977E-3</v>
      </c>
    </row>
    <row r="965" spans="10:20" x14ac:dyDescent="0.25">
      <c r="J965" s="10"/>
      <c r="K965" s="10"/>
      <c r="L965" s="10" t="s">
        <v>73</v>
      </c>
      <c r="M965" s="10" t="s">
        <v>116</v>
      </c>
      <c r="N965" s="10"/>
      <c r="O965" s="30">
        <v>-5.046869218746032</v>
      </c>
      <c r="P965" s="30">
        <v>20.592494167786811</v>
      </c>
      <c r="Q965" s="30">
        <v>80.466214674054527</v>
      </c>
      <c r="R965" s="30">
        <v>-139.23455865696783</v>
      </c>
      <c r="S965" s="30">
        <v>-4.2397443117686917</v>
      </c>
      <c r="T965" s="30">
        <v>1.9557165766043213E-3</v>
      </c>
    </row>
    <row r="966" spans="10:20" x14ac:dyDescent="0.25">
      <c r="J966" s="10"/>
      <c r="K966" s="10"/>
      <c r="L966" s="10" t="s">
        <v>74</v>
      </c>
      <c r="M966" s="10" t="s">
        <v>91</v>
      </c>
      <c r="N966" s="10"/>
      <c r="O966" s="30">
        <v>0.85197033591999816</v>
      </c>
      <c r="P966" s="30">
        <v>0.24417813061656149</v>
      </c>
      <c r="Q966" s="30">
        <v>72.156853061421657</v>
      </c>
      <c r="R966" s="30">
        <v>-0.15949381899284848</v>
      </c>
      <c r="S966" s="30">
        <v>0.60593102761583106</v>
      </c>
      <c r="T966" s="30">
        <v>-1.1794817009974324E-3</v>
      </c>
    </row>
    <row r="967" spans="10:20" x14ac:dyDescent="0.25">
      <c r="J967" s="10"/>
      <c r="K967" s="10"/>
      <c r="L967" s="10" t="s">
        <v>74</v>
      </c>
      <c r="M967" s="10" t="s">
        <v>92</v>
      </c>
      <c r="N967" s="10"/>
      <c r="O967" s="30">
        <v>0.85679803189687753</v>
      </c>
      <c r="P967" s="30">
        <v>1.877768326141372</v>
      </c>
      <c r="Q967" s="30">
        <v>128.92402547354766</v>
      </c>
      <c r="R967" s="30">
        <v>-6.8468986546813877</v>
      </c>
      <c r="S967" s="30">
        <v>0.56027338459913811</v>
      </c>
      <c r="T967" s="30">
        <v>-1.1839641175235293E-3</v>
      </c>
    </row>
    <row r="968" spans="10:20" x14ac:dyDescent="0.25">
      <c r="J968" s="10"/>
      <c r="K968" s="10"/>
      <c r="L968" s="10" t="s">
        <v>74</v>
      </c>
      <c r="M968" s="10" t="s">
        <v>93</v>
      </c>
      <c r="N968" s="10"/>
      <c r="O968" s="30">
        <v>-7.0528535765973048</v>
      </c>
      <c r="P968" s="30">
        <v>-6.5967246301065785</v>
      </c>
      <c r="Q968" s="30">
        <v>-78.376083080488868</v>
      </c>
      <c r="R968" s="30">
        <v>30.635585632404826</v>
      </c>
      <c r="S968" s="30">
        <v>-7.141261772378102</v>
      </c>
      <c r="T968" s="30">
        <v>-5.372265469171196E-3</v>
      </c>
    </row>
    <row r="969" spans="10:20" x14ac:dyDescent="0.25">
      <c r="J969" s="10"/>
      <c r="K969" s="10"/>
      <c r="L969" s="10" t="s">
        <v>74</v>
      </c>
      <c r="M969" s="10" t="s">
        <v>94</v>
      </c>
      <c r="N969" s="10"/>
      <c r="O969" s="30">
        <v>-3.098461703423244</v>
      </c>
      <c r="P969" s="30">
        <v>-3.3389439806384242</v>
      </c>
      <c r="Q969" s="30">
        <v>0.96665144835007943</v>
      </c>
      <c r="R969" s="30">
        <v>16.081103868722444</v>
      </c>
      <c r="S969" s="30">
        <v>-3.955085859015611</v>
      </c>
      <c r="T969" s="30">
        <v>-4.8397031354697291E-3</v>
      </c>
    </row>
    <row r="970" spans="10:20" x14ac:dyDescent="0.25">
      <c r="J970" s="10"/>
      <c r="K970" s="10"/>
      <c r="L970" s="10" t="s">
        <v>74</v>
      </c>
      <c r="M970" s="10" t="s">
        <v>95</v>
      </c>
      <c r="N970" s="10"/>
      <c r="O970" s="30">
        <v>8.8668502004937046</v>
      </c>
      <c r="P970" s="30">
        <v>-5.6572432655946612</v>
      </c>
      <c r="Q970" s="30">
        <v>-98.608738199593148</v>
      </c>
      <c r="R970" s="30">
        <v>25.675712185381663</v>
      </c>
      <c r="S970" s="30">
        <v>8.7232104579988992</v>
      </c>
      <c r="T970" s="30">
        <v>2.6656002387161464E-4</v>
      </c>
    </row>
    <row r="971" spans="10:20" x14ac:dyDescent="0.25">
      <c r="J971" s="10"/>
      <c r="K971" s="10"/>
      <c r="L971" s="10" t="s">
        <v>74</v>
      </c>
      <c r="M971" s="10" t="s">
        <v>96</v>
      </c>
      <c r="N971" s="10"/>
      <c r="O971" s="30">
        <v>12.818828249378782</v>
      </c>
      <c r="P971" s="30">
        <v>-2.4009067938537481</v>
      </c>
      <c r="Q971" s="30">
        <v>-19.256152741625755</v>
      </c>
      <c r="R971" s="30">
        <v>11.128885530980655</v>
      </c>
      <c r="S971" s="30">
        <v>11.906275776654486</v>
      </c>
      <c r="T971" s="30">
        <v>7.7680471175161096E-4</v>
      </c>
    </row>
    <row r="972" spans="10:20" x14ac:dyDescent="0.25">
      <c r="J972" s="10"/>
      <c r="K972" s="10"/>
      <c r="L972" s="10" t="s">
        <v>74</v>
      </c>
      <c r="M972" s="10" t="s">
        <v>97</v>
      </c>
      <c r="N972" s="10"/>
      <c r="O972" s="30">
        <v>-9.0643797986071526</v>
      </c>
      <c r="P972" s="30">
        <v>-10.271513139624236</v>
      </c>
      <c r="Q972" s="30">
        <v>-87.329425698360225</v>
      </c>
      <c r="R972" s="30">
        <v>62.92733030094827</v>
      </c>
      <c r="S972" s="30">
        <v>-7.4248135723115434</v>
      </c>
      <c r="T972" s="30">
        <v>-2.5827975359633396E-3</v>
      </c>
    </row>
    <row r="973" spans="10:20" x14ac:dyDescent="0.25">
      <c r="J973" s="10"/>
      <c r="K973" s="10"/>
      <c r="L973" s="10" t="s">
        <v>74</v>
      </c>
      <c r="M973" s="10" t="s">
        <v>98</v>
      </c>
      <c r="N973" s="10"/>
      <c r="O973" s="30">
        <v>-5.0748252994013789</v>
      </c>
      <c r="P973" s="30">
        <v>-22.07073400171214</v>
      </c>
      <c r="Q973" s="30">
        <v>29.354333856649806</v>
      </c>
      <c r="R973" s="30">
        <v>145.30869468597271</v>
      </c>
      <c r="S973" s="30">
        <v>-4.2122199280874577</v>
      </c>
      <c r="T973" s="30">
        <v>-2.0434812585468295E-3</v>
      </c>
    </row>
    <row r="974" spans="10:20" x14ac:dyDescent="0.25">
      <c r="J974" s="10"/>
      <c r="K974" s="10"/>
      <c r="L974" s="10" t="s">
        <v>74</v>
      </c>
      <c r="M974" s="10" t="s">
        <v>99</v>
      </c>
      <c r="N974" s="10"/>
      <c r="O974" s="30">
        <v>-9.1007693061131096</v>
      </c>
      <c r="P974" s="30">
        <v>-0.30095232248307136</v>
      </c>
      <c r="Q974" s="30">
        <v>-85.353347999220802</v>
      </c>
      <c r="R974" s="30">
        <v>-15.705787197807449</v>
      </c>
      <c r="S974" s="30">
        <v>-7.4647978492859899</v>
      </c>
      <c r="T974" s="30">
        <v>-2.3370358731248956E-3</v>
      </c>
    </row>
    <row r="975" spans="10:20" x14ac:dyDescent="0.25">
      <c r="J975" s="10"/>
      <c r="K975" s="10"/>
      <c r="L975" s="10" t="s">
        <v>74</v>
      </c>
      <c r="M975" s="10" t="s">
        <v>100</v>
      </c>
      <c r="N975" s="10"/>
      <c r="O975" s="30">
        <v>-5.1167020697686478</v>
      </c>
      <c r="P975" s="30">
        <v>13.358630291426225</v>
      </c>
      <c r="Q975" s="30">
        <v>125.84980192649232</v>
      </c>
      <c r="R975" s="30">
        <v>-97.641212469746591</v>
      </c>
      <c r="S975" s="30">
        <v>-4.360113063825545</v>
      </c>
      <c r="T975" s="30">
        <v>-1.5927023466670597E-3</v>
      </c>
    </row>
    <row r="976" spans="10:20" x14ac:dyDescent="0.25">
      <c r="J976" s="10"/>
      <c r="K976" s="10"/>
      <c r="L976" s="10" t="s">
        <v>74</v>
      </c>
      <c r="M976" s="10" t="s">
        <v>101</v>
      </c>
      <c r="N976" s="10"/>
      <c r="O976" s="30">
        <v>-6.2575434893686959</v>
      </c>
      <c r="P976" s="30">
        <v>-4.2790441585094543</v>
      </c>
      <c r="Q976" s="30">
        <v>-6.5556170541718011</v>
      </c>
      <c r="R976" s="30">
        <v>20.868672851576523</v>
      </c>
      <c r="S976" s="30">
        <v>-6.412200135395401</v>
      </c>
      <c r="T976" s="30">
        <v>-4.9574695088799164E-3</v>
      </c>
    </row>
    <row r="977" spans="10:20" x14ac:dyDescent="0.25">
      <c r="J977" s="10"/>
      <c r="K977" s="10"/>
      <c r="L977" s="10" t="s">
        <v>74</v>
      </c>
      <c r="M977" s="10" t="s">
        <v>102</v>
      </c>
      <c r="N977" s="10"/>
      <c r="O977" s="30">
        <v>-2.6985908035120407</v>
      </c>
      <c r="P977" s="30">
        <v>-1.347041573988115</v>
      </c>
      <c r="Q977" s="30">
        <v>64.852844021783255</v>
      </c>
      <c r="R977" s="30">
        <v>7.7696392642623735</v>
      </c>
      <c r="S977" s="30">
        <v>-3.5446418133691595</v>
      </c>
      <c r="T977" s="30">
        <v>-4.4781634085485971E-3</v>
      </c>
    </row>
    <row r="978" spans="10:20" x14ac:dyDescent="0.25">
      <c r="J978" s="10"/>
      <c r="K978" s="10"/>
      <c r="L978" s="10" t="s">
        <v>74</v>
      </c>
      <c r="M978" s="10" t="s">
        <v>103</v>
      </c>
      <c r="N978" s="10"/>
      <c r="O978" s="30">
        <v>8.070189910013216</v>
      </c>
      <c r="P978" s="30">
        <v>-3.4335109304487288</v>
      </c>
      <c r="Q978" s="30">
        <v>-24.765006661365646</v>
      </c>
      <c r="R978" s="30">
        <v>16.404786749255674</v>
      </c>
      <c r="S978" s="30">
        <v>7.8658248719438983</v>
      </c>
      <c r="T978" s="30">
        <v>1.1747343485861276E-4</v>
      </c>
    </row>
    <row r="979" spans="10:20" x14ac:dyDescent="0.25">
      <c r="J979" s="10"/>
      <c r="K979" s="10"/>
      <c r="L979" s="10" t="s">
        <v>74</v>
      </c>
      <c r="M979" s="10" t="s">
        <v>104</v>
      </c>
      <c r="N979" s="10"/>
      <c r="O979" s="30">
        <v>11.626970154009785</v>
      </c>
      <c r="P979" s="30">
        <v>-0.50280810588190672</v>
      </c>
      <c r="Q979" s="30">
        <v>46.652320250804991</v>
      </c>
      <c r="R979" s="30">
        <v>3.312642760294767</v>
      </c>
      <c r="S979" s="30">
        <v>10.730583658733927</v>
      </c>
      <c r="T979" s="30">
        <v>5.7669365395060968E-4</v>
      </c>
    </row>
    <row r="980" spans="10:20" x14ac:dyDescent="0.25">
      <c r="J980" s="10"/>
      <c r="K980" s="10"/>
      <c r="L980" s="10" t="s">
        <v>74</v>
      </c>
      <c r="M980" s="10" t="s">
        <v>105</v>
      </c>
      <c r="N980" s="10"/>
      <c r="O980" s="30">
        <v>-8.0679170891775591</v>
      </c>
      <c r="P980" s="30">
        <v>-7.5863538170753451</v>
      </c>
      <c r="Q980" s="30">
        <v>-14.613625410256031</v>
      </c>
      <c r="R980" s="30">
        <v>49.931243053265618</v>
      </c>
      <c r="S980" s="30">
        <v>-6.6673967553355</v>
      </c>
      <c r="T980" s="30">
        <v>-2.4469483689928458E-3</v>
      </c>
    </row>
    <row r="981" spans="10:20" x14ac:dyDescent="0.25">
      <c r="J981" s="10"/>
      <c r="K981" s="10"/>
      <c r="L981" s="10" t="s">
        <v>74</v>
      </c>
      <c r="M981" s="10" t="s">
        <v>106</v>
      </c>
      <c r="N981" s="10"/>
      <c r="O981" s="30">
        <v>-4.4773180398923627</v>
      </c>
      <c r="P981" s="30">
        <v>-18.205652592954454</v>
      </c>
      <c r="Q981" s="30">
        <v>90.401758189253002</v>
      </c>
      <c r="R981" s="30">
        <v>124.07447099978761</v>
      </c>
      <c r="S981" s="30">
        <v>-3.7760624755338226</v>
      </c>
      <c r="T981" s="30">
        <v>-1.9615637193179866E-3</v>
      </c>
    </row>
    <row r="982" spans="10:20" x14ac:dyDescent="0.25">
      <c r="J982" s="10"/>
      <c r="K982" s="10"/>
      <c r="L982" s="10" t="s">
        <v>74</v>
      </c>
      <c r="M982" s="10" t="s">
        <v>107</v>
      </c>
      <c r="N982" s="10"/>
      <c r="O982" s="30">
        <v>-8.100667645932921</v>
      </c>
      <c r="P982" s="30">
        <v>1.3871509183517026</v>
      </c>
      <c r="Q982" s="30">
        <v>-12.835155481030551</v>
      </c>
      <c r="R982" s="30">
        <v>-20.838562695614527</v>
      </c>
      <c r="S982" s="30">
        <v>-6.7033826046125009</v>
      </c>
      <c r="T982" s="30">
        <v>-2.2257628724382463E-3</v>
      </c>
    </row>
    <row r="983" spans="10:20" x14ac:dyDescent="0.25">
      <c r="J983" s="10"/>
      <c r="K983" s="10"/>
      <c r="L983" s="10" t="s">
        <v>74</v>
      </c>
      <c r="M983" s="10" t="s">
        <v>108</v>
      </c>
      <c r="N983" s="10"/>
      <c r="O983" s="30">
        <v>-4.5150071332229045</v>
      </c>
      <c r="P983" s="30">
        <v>13.680775270870068</v>
      </c>
      <c r="Q983" s="30">
        <v>177.24767945211127</v>
      </c>
      <c r="R983" s="30">
        <v>-94.580445440359767</v>
      </c>
      <c r="S983" s="30">
        <v>-3.9091662976980999</v>
      </c>
      <c r="T983" s="30">
        <v>-1.5558626986261939E-3</v>
      </c>
    </row>
    <row r="984" spans="10:20" x14ac:dyDescent="0.25">
      <c r="J984" s="10"/>
      <c r="K984" s="10"/>
      <c r="L984" s="10" t="s">
        <v>74</v>
      </c>
      <c r="M984" s="10" t="s">
        <v>109</v>
      </c>
      <c r="N984" s="10"/>
      <c r="O984" s="30">
        <v>-7.0485086502181131</v>
      </c>
      <c r="P984" s="30">
        <v>-5.1264934541342493</v>
      </c>
      <c r="Q984" s="30">
        <v>-27.285627909575467</v>
      </c>
      <c r="R984" s="30">
        <v>24.616921280285144</v>
      </c>
      <c r="S984" s="30">
        <v>-7.1823536510931252</v>
      </c>
      <c r="T984" s="30">
        <v>-5.376299644044685E-3</v>
      </c>
    </row>
    <row r="985" spans="10:20" x14ac:dyDescent="0.25">
      <c r="J985" s="10"/>
      <c r="K985" s="10"/>
      <c r="L985" s="10" t="s">
        <v>74</v>
      </c>
      <c r="M985" s="10" t="s">
        <v>110</v>
      </c>
      <c r="N985" s="10"/>
      <c r="O985" s="30">
        <v>-3.0941167770440527</v>
      </c>
      <c r="P985" s="30">
        <v>-1.8687128046660948</v>
      </c>
      <c r="Q985" s="30">
        <v>52.057106619263479</v>
      </c>
      <c r="R985" s="30">
        <v>10.062439516602756</v>
      </c>
      <c r="S985" s="30">
        <v>-3.9961777377306342</v>
      </c>
      <c r="T985" s="30">
        <v>-4.8437373103432171E-3</v>
      </c>
    </row>
    <row r="986" spans="10:20" x14ac:dyDescent="0.25">
      <c r="J986" s="10"/>
      <c r="K986" s="10"/>
      <c r="L986" s="10" t="s">
        <v>74</v>
      </c>
      <c r="M986" s="10" t="s">
        <v>111</v>
      </c>
      <c r="N986" s="10"/>
      <c r="O986" s="30">
        <v>8.8711951268728981</v>
      </c>
      <c r="P986" s="30">
        <v>-4.187012089622332</v>
      </c>
      <c r="Q986" s="30">
        <v>-47.518283028679747</v>
      </c>
      <c r="R986" s="30">
        <v>19.657047833261977</v>
      </c>
      <c r="S986" s="30">
        <v>8.6821185792838733</v>
      </c>
      <c r="T986" s="30">
        <v>2.6252584899812739E-4</v>
      </c>
    </row>
    <row r="987" spans="10:20" x14ac:dyDescent="0.25">
      <c r="J987" s="10"/>
      <c r="K987" s="10"/>
      <c r="L987" s="10" t="s">
        <v>74</v>
      </c>
      <c r="M987" s="10" t="s">
        <v>112</v>
      </c>
      <c r="N987" s="10"/>
      <c r="O987" s="30">
        <v>12.823173175757974</v>
      </c>
      <c r="P987" s="30">
        <v>-0.93067561788141873</v>
      </c>
      <c r="Q987" s="30">
        <v>31.834302429287643</v>
      </c>
      <c r="R987" s="30">
        <v>5.1102211788609706</v>
      </c>
      <c r="S987" s="30">
        <v>11.865183897939461</v>
      </c>
      <c r="T987" s="30">
        <v>7.7277053687812376E-4</v>
      </c>
    </row>
    <row r="988" spans="10:20" x14ac:dyDescent="0.25">
      <c r="J988" s="10"/>
      <c r="K988" s="10"/>
      <c r="L988" s="10" t="s">
        <v>74</v>
      </c>
      <c r="M988" s="10" t="s">
        <v>113</v>
      </c>
      <c r="N988" s="10"/>
      <c r="O988" s="30">
        <v>-9.0600348722279609</v>
      </c>
      <c r="P988" s="30">
        <v>-8.8012819636519062</v>
      </c>
      <c r="Q988" s="30">
        <v>-36.238970527446824</v>
      </c>
      <c r="R988" s="30">
        <v>56.908665948828578</v>
      </c>
      <c r="S988" s="30">
        <v>-7.4659054510265674</v>
      </c>
      <c r="T988" s="30">
        <v>-2.5868317108368268E-3</v>
      </c>
    </row>
    <row r="989" spans="10:20" x14ac:dyDescent="0.25">
      <c r="J989" s="10"/>
      <c r="K989" s="10"/>
      <c r="L989" s="10" t="s">
        <v>74</v>
      </c>
      <c r="M989" s="10" t="s">
        <v>114</v>
      </c>
      <c r="N989" s="10"/>
      <c r="O989" s="30">
        <v>-5.0704803730221872</v>
      </c>
      <c r="P989" s="30">
        <v>-20.600502825739806</v>
      </c>
      <c r="Q989" s="30">
        <v>80.444789027563203</v>
      </c>
      <c r="R989" s="30">
        <v>139.29003033385303</v>
      </c>
      <c r="S989" s="30">
        <v>-4.2533118068024809</v>
      </c>
      <c r="T989" s="30">
        <v>-2.0475154334203167E-3</v>
      </c>
    </row>
    <row r="990" spans="10:20" x14ac:dyDescent="0.25">
      <c r="J990" s="10"/>
      <c r="K990" s="10"/>
      <c r="L990" s="10" t="s">
        <v>74</v>
      </c>
      <c r="M990" s="10" t="s">
        <v>115</v>
      </c>
      <c r="N990" s="10"/>
      <c r="O990" s="30">
        <v>-9.0964243797339179</v>
      </c>
      <c r="P990" s="30">
        <v>1.1692788534892582</v>
      </c>
      <c r="Q990" s="30">
        <v>-34.2628928283074</v>
      </c>
      <c r="R990" s="30">
        <v>-21.724451549927132</v>
      </c>
      <c r="S990" s="30">
        <v>-7.5058897280010131</v>
      </c>
      <c r="T990" s="30">
        <v>-2.3410700479983828E-3</v>
      </c>
    </row>
    <row r="991" spans="10:20" x14ac:dyDescent="0.25">
      <c r="J991" s="10"/>
      <c r="K991" s="10"/>
      <c r="L991" s="10" t="s">
        <v>74</v>
      </c>
      <c r="M991" s="10" t="s">
        <v>116</v>
      </c>
      <c r="N991" s="10"/>
      <c r="O991" s="30">
        <v>-5.112357143389457</v>
      </c>
      <c r="P991" s="30">
        <v>14.828861467398555</v>
      </c>
      <c r="Q991" s="30">
        <v>176.94025709740572</v>
      </c>
      <c r="R991" s="30">
        <v>-103.65987682186628</v>
      </c>
      <c r="S991" s="30">
        <v>-4.4012049425405682</v>
      </c>
      <c r="T991" s="30">
        <v>-1.5967365215405469E-3</v>
      </c>
    </row>
    <row r="992" spans="10:20" x14ac:dyDescent="0.25">
      <c r="J992" s="10"/>
      <c r="K992" s="10"/>
      <c r="L992" s="10" t="s">
        <v>75</v>
      </c>
      <c r="M992" s="10" t="s">
        <v>91</v>
      </c>
      <c r="N992" s="10"/>
      <c r="O992" s="30">
        <v>0.83977952361325148</v>
      </c>
      <c r="P992" s="30">
        <v>-6.850902017170311</v>
      </c>
      <c r="Q992" s="30">
        <v>50.609694526707315</v>
      </c>
      <c r="R992" s="30">
        <v>30.644812593564488</v>
      </c>
      <c r="S992" s="30">
        <v>0.58615873042605915</v>
      </c>
      <c r="T992" s="30">
        <v>1.7903742532685844E-3</v>
      </c>
    </row>
    <row r="993" spans="10:20" x14ac:dyDescent="0.25">
      <c r="J993" s="10"/>
      <c r="K993" s="10"/>
      <c r="L993" s="10" t="s">
        <v>75</v>
      </c>
      <c r="M993" s="10" t="s">
        <v>92</v>
      </c>
      <c r="N993" s="10"/>
      <c r="O993" s="30">
        <v>0.82133325352828301</v>
      </c>
      <c r="P993" s="30">
        <v>-18.850098139544414</v>
      </c>
      <c r="Q993" s="30">
        <v>78.483572805876463</v>
      </c>
      <c r="R993" s="30">
        <v>83.212445946538239</v>
      </c>
      <c r="S993" s="30">
        <v>0.4870680934645043</v>
      </c>
      <c r="T993" s="30">
        <v>1.7655875696725857E-3</v>
      </c>
    </row>
    <row r="994" spans="10:20" x14ac:dyDescent="0.25">
      <c r="J994" s="10"/>
      <c r="K994" s="10"/>
      <c r="L994" s="10" t="s">
        <v>75</v>
      </c>
      <c r="M994" s="10" t="s">
        <v>93</v>
      </c>
      <c r="N994" s="10"/>
      <c r="O994" s="30">
        <v>-3.4849947758364488</v>
      </c>
      <c r="P994" s="30">
        <v>4.9502643994029247</v>
      </c>
      <c r="Q994" s="30">
        <v>-25.03208294247618</v>
      </c>
      <c r="R994" s="30">
        <v>-52.311720626956046</v>
      </c>
      <c r="S994" s="30">
        <v>-5.0027499289845405</v>
      </c>
      <c r="T994" s="30">
        <v>-1.8177084019252035E-3</v>
      </c>
    </row>
    <row r="995" spans="10:20" x14ac:dyDescent="0.25">
      <c r="J995" s="10"/>
      <c r="K995" s="10"/>
      <c r="L995" s="10" t="s">
        <v>75</v>
      </c>
      <c r="M995" s="10" t="s">
        <v>94</v>
      </c>
      <c r="N995" s="10"/>
      <c r="O995" s="30">
        <v>-1.72711755815774</v>
      </c>
      <c r="P995" s="30">
        <v>0.44818490450839898</v>
      </c>
      <c r="Q995" s="30">
        <v>16.624823512306936</v>
      </c>
      <c r="R995" s="30">
        <v>-14.919766273142796</v>
      </c>
      <c r="S995" s="30">
        <v>-3.6152975857133782</v>
      </c>
      <c r="T995" s="30">
        <v>-1.6602636349996522E-3</v>
      </c>
    </row>
    <row r="996" spans="10:20" x14ac:dyDescent="0.25">
      <c r="J996" s="10"/>
      <c r="K996" s="10"/>
      <c r="L996" s="10" t="s">
        <v>75</v>
      </c>
      <c r="M996" s="10" t="s">
        <v>95</v>
      </c>
      <c r="N996" s="10"/>
      <c r="O996" s="30">
        <v>5.2928637955787057</v>
      </c>
      <c r="P996" s="30">
        <v>4.9313467952109376</v>
      </c>
      <c r="Q996" s="30">
        <v>-42.135619081481721</v>
      </c>
      <c r="R996" s="30">
        <v>-52.715303739565684</v>
      </c>
      <c r="S996" s="30">
        <v>6.7739644918322224</v>
      </c>
      <c r="T996" s="30">
        <v>-2.1791361828145939E-2</v>
      </c>
    </row>
    <row r="997" spans="10:20" x14ac:dyDescent="0.25">
      <c r="J997" s="10"/>
      <c r="K997" s="10"/>
      <c r="L997" s="10" t="s">
        <v>75</v>
      </c>
      <c r="M997" s="10" t="s">
        <v>96</v>
      </c>
      <c r="N997" s="10"/>
      <c r="O997" s="30">
        <v>7.0522984320497066</v>
      </c>
      <c r="P997" s="30">
        <v>0.42921792190868735</v>
      </c>
      <c r="Q997" s="30">
        <v>-0.4856124556333597</v>
      </c>
      <c r="R997" s="30">
        <v>-15.322122980665672</v>
      </c>
      <c r="S997" s="30">
        <v>8.1645307603444923</v>
      </c>
      <c r="T997" s="30">
        <v>-2.1612148116308887E-2</v>
      </c>
    </row>
    <row r="998" spans="10:20" x14ac:dyDescent="0.25">
      <c r="J998" s="10"/>
      <c r="K998" s="10"/>
      <c r="L998" s="10" t="s">
        <v>75</v>
      </c>
      <c r="M998" s="10" t="s">
        <v>97</v>
      </c>
      <c r="N998" s="10"/>
      <c r="O998" s="30">
        <v>-3.4928839542471315</v>
      </c>
      <c r="P998" s="30">
        <v>3.6602669532978265</v>
      </c>
      <c r="Q998" s="30">
        <v>-27.143493052927415</v>
      </c>
      <c r="R998" s="30">
        <v>-22.06750824549761</v>
      </c>
      <c r="S998" s="30">
        <v>-2.8941245811433318</v>
      </c>
      <c r="T998" s="30">
        <v>1.3953513531293859E-3</v>
      </c>
    </row>
    <row r="999" spans="10:20" x14ac:dyDescent="0.25">
      <c r="J999" s="10"/>
      <c r="K999" s="10"/>
      <c r="L999" s="10" t="s">
        <v>75</v>
      </c>
      <c r="M999" s="10" t="s">
        <v>98</v>
      </c>
      <c r="N999" s="10"/>
      <c r="O999" s="30">
        <v>-1.9631873733516991</v>
      </c>
      <c r="P999" s="30">
        <v>-12.589549886679304</v>
      </c>
      <c r="Q999" s="30">
        <v>26.231685129154211</v>
      </c>
      <c r="R999" s="30">
        <v>94.137645434432102</v>
      </c>
      <c r="S999" s="30">
        <v>-1.7774399320196097</v>
      </c>
      <c r="T999" s="30">
        <v>1.4307061120521476E-3</v>
      </c>
    </row>
    <row r="1000" spans="10:20" x14ac:dyDescent="0.25">
      <c r="J1000" s="10"/>
      <c r="K1000" s="10"/>
      <c r="L1000" s="10" t="s">
        <v>75</v>
      </c>
      <c r="M1000" s="10" t="s">
        <v>99</v>
      </c>
      <c r="N1000" s="10"/>
      <c r="O1000" s="30">
        <v>-4.9810939310424471</v>
      </c>
      <c r="P1000" s="30">
        <v>51.821132001774465</v>
      </c>
      <c r="Q1000" s="30">
        <v>-43.970268718742098</v>
      </c>
      <c r="R1000" s="30">
        <v>-219.45466278952026</v>
      </c>
      <c r="S1000" s="30">
        <v>-4.068919000918509</v>
      </c>
      <c r="T1000" s="30">
        <v>1.0552280130768897E-3</v>
      </c>
    </row>
    <row r="1001" spans="10:20" x14ac:dyDescent="0.25">
      <c r="J1001" s="10"/>
      <c r="K1001" s="10"/>
      <c r="L1001" s="10" t="s">
        <v>75</v>
      </c>
      <c r="M1001" s="10" t="s">
        <v>100</v>
      </c>
      <c r="N1001" s="10"/>
      <c r="O1001" s="30">
        <v>-3.2620574538347014</v>
      </c>
      <c r="P1001" s="30">
        <v>26.177516259562505</v>
      </c>
      <c r="Q1001" s="30">
        <v>74.169341726686909</v>
      </c>
      <c r="R1001" s="30">
        <v>-112.76564531607058</v>
      </c>
      <c r="S1001" s="30">
        <v>-2.9390744744786232</v>
      </c>
      <c r="T1001" s="30">
        <v>1.298482128783204E-3</v>
      </c>
    </row>
    <row r="1002" spans="10:20" x14ac:dyDescent="0.25">
      <c r="J1002" s="10"/>
      <c r="K1002" s="10"/>
      <c r="L1002" s="10" t="s">
        <v>75</v>
      </c>
      <c r="M1002" s="10" t="s">
        <v>101</v>
      </c>
      <c r="N1002" s="10"/>
      <c r="O1002" s="30">
        <v>-3.070963615976448</v>
      </c>
      <c r="P1002" s="30">
        <v>-8.2290483646285004</v>
      </c>
      <c r="Q1002" s="30">
        <v>10.405973083611329</v>
      </c>
      <c r="R1002" s="30">
        <v>8.5515660480697431</v>
      </c>
      <c r="S1002" s="30">
        <v>-4.5429497000050354</v>
      </c>
      <c r="T1002" s="30">
        <v>-1.4816868200018239E-3</v>
      </c>
    </row>
    <row r="1003" spans="10:20" x14ac:dyDescent="0.25">
      <c r="J1003" s="10"/>
      <c r="K1003" s="10"/>
      <c r="L1003" s="10" t="s">
        <v>75</v>
      </c>
      <c r="M1003" s="10" t="s">
        <v>102</v>
      </c>
      <c r="N1003" s="10"/>
      <c r="O1003" s="30">
        <v>-1.4888741200656095</v>
      </c>
      <c r="P1003" s="30">
        <v>-12.280919910033575</v>
      </c>
      <c r="Q1003" s="30">
        <v>47.897188892916127</v>
      </c>
      <c r="R1003" s="30">
        <v>42.20432496650168</v>
      </c>
      <c r="S1003" s="30">
        <v>-3.2942425910609892</v>
      </c>
      <c r="T1003" s="30">
        <v>-1.3399865297688272E-3</v>
      </c>
    </row>
    <row r="1004" spans="10:20" x14ac:dyDescent="0.25">
      <c r="J1004" s="10"/>
      <c r="K1004" s="10"/>
      <c r="L1004" s="10" t="s">
        <v>75</v>
      </c>
      <c r="M1004" s="10" t="s">
        <v>103</v>
      </c>
      <c r="N1004" s="10"/>
      <c r="O1004" s="30">
        <v>4.8291090982971925</v>
      </c>
      <c r="P1004" s="30">
        <v>-8.246074208401291</v>
      </c>
      <c r="Q1004" s="30">
        <v>-4.9872094414936718</v>
      </c>
      <c r="R1004" s="30">
        <v>8.1883412467210714</v>
      </c>
      <c r="S1004" s="30">
        <v>6.0560932787300503</v>
      </c>
      <c r="T1004" s="30">
        <v>-1.9457974903600489E-2</v>
      </c>
    </row>
    <row r="1005" spans="10:20" x14ac:dyDescent="0.25">
      <c r="J1005" s="10"/>
      <c r="K1005" s="10"/>
      <c r="L1005" s="10" t="s">
        <v>75</v>
      </c>
      <c r="M1005" s="10" t="s">
        <v>104</v>
      </c>
      <c r="N1005" s="10"/>
      <c r="O1005" s="30">
        <v>6.412600271121093</v>
      </c>
      <c r="P1005" s="30">
        <v>-12.297990194373314</v>
      </c>
      <c r="Q1005" s="30">
        <v>32.497796521769857</v>
      </c>
      <c r="R1005" s="30">
        <v>41.842203929731092</v>
      </c>
      <c r="S1005" s="30">
        <v>7.3076029203910942</v>
      </c>
      <c r="T1005" s="30">
        <v>-1.9296682562947146E-2</v>
      </c>
    </row>
    <row r="1006" spans="10:20" x14ac:dyDescent="0.25">
      <c r="J1006" s="10"/>
      <c r="K1006" s="10"/>
      <c r="L1006" s="10" t="s">
        <v>75</v>
      </c>
      <c r="M1006" s="10" t="s">
        <v>105</v>
      </c>
      <c r="N1006" s="10"/>
      <c r="O1006" s="30">
        <v>-3.0780638765460613</v>
      </c>
      <c r="P1006" s="30">
        <v>-9.3900460661230891</v>
      </c>
      <c r="Q1006" s="30">
        <v>8.5057039842052173</v>
      </c>
      <c r="R1006" s="30">
        <v>35.77135719138235</v>
      </c>
      <c r="S1006" s="30">
        <v>-2.6451868869479473</v>
      </c>
      <c r="T1006" s="30">
        <v>1.410066959547307E-3</v>
      </c>
    </row>
    <row r="1007" spans="10:20" x14ac:dyDescent="0.25">
      <c r="J1007" s="10"/>
      <c r="K1007" s="10"/>
      <c r="L1007" s="10" t="s">
        <v>75</v>
      </c>
      <c r="M1007" s="10" t="s">
        <v>106</v>
      </c>
      <c r="N1007" s="10"/>
      <c r="O1007" s="30">
        <v>-1.7013369537401726</v>
      </c>
      <c r="P1007" s="30">
        <v>-24.01488122210251</v>
      </c>
      <c r="Q1007" s="30">
        <v>56.543364348078676</v>
      </c>
      <c r="R1007" s="30">
        <v>140.35599550331912</v>
      </c>
      <c r="S1007" s="30">
        <v>-1.6401707027365975</v>
      </c>
      <c r="T1007" s="30">
        <v>1.4418862425777926E-3</v>
      </c>
    </row>
    <row r="1008" spans="10:20" x14ac:dyDescent="0.25">
      <c r="J1008" s="10"/>
      <c r="K1008" s="10"/>
      <c r="L1008" s="10" t="s">
        <v>75</v>
      </c>
      <c r="M1008" s="10" t="s">
        <v>107</v>
      </c>
      <c r="N1008" s="10"/>
      <c r="O1008" s="30">
        <v>-4.4174528556618462</v>
      </c>
      <c r="P1008" s="30">
        <v>33.954732477505878</v>
      </c>
      <c r="Q1008" s="30">
        <v>-6.6383941150279995</v>
      </c>
      <c r="R1008" s="30">
        <v>-141.87708189823803</v>
      </c>
      <c r="S1008" s="30">
        <v>-3.7025018647456074</v>
      </c>
      <c r="T1008" s="30">
        <v>1.1039559535000604E-3</v>
      </c>
    </row>
    <row r="1009" spans="10:20" x14ac:dyDescent="0.25">
      <c r="J1009" s="10"/>
      <c r="K1009" s="10"/>
      <c r="L1009" s="10" t="s">
        <v>75</v>
      </c>
      <c r="M1009" s="10" t="s">
        <v>108</v>
      </c>
      <c r="N1009" s="10"/>
      <c r="O1009" s="30">
        <v>-2.8703200261748747</v>
      </c>
      <c r="P1009" s="30">
        <v>10.875478309515119</v>
      </c>
      <c r="Q1009" s="30">
        <v>99.6872552858581</v>
      </c>
      <c r="R1009" s="30">
        <v>-45.856966172133326</v>
      </c>
      <c r="S1009" s="30">
        <v>-2.6856417909497101</v>
      </c>
      <c r="T1009" s="30">
        <v>1.3228846576357433E-3</v>
      </c>
    </row>
    <row r="1010" spans="10:20" x14ac:dyDescent="0.25">
      <c r="J1010" s="10"/>
      <c r="K1010" s="10"/>
      <c r="L1010" s="10" t="s">
        <v>75</v>
      </c>
      <c r="M1010" s="10" t="s">
        <v>109</v>
      </c>
      <c r="N1010" s="10"/>
      <c r="O1010" s="30">
        <v>-3.5015964189129205</v>
      </c>
      <c r="P1010" s="30">
        <v>-5.8490121107337663</v>
      </c>
      <c r="Q1010" s="30">
        <v>5.4407508776057503E-2</v>
      </c>
      <c r="R1010" s="30">
        <v>-5.0008506092796763</v>
      </c>
      <c r="S1010" s="30">
        <v>-5.0919315022499392</v>
      </c>
      <c r="T1010" s="30">
        <v>-1.8400164171616024E-3</v>
      </c>
    </row>
    <row r="1011" spans="10:20" x14ac:dyDescent="0.25">
      <c r="J1011" s="10"/>
      <c r="K1011" s="10"/>
      <c r="L1011" s="10" t="s">
        <v>75</v>
      </c>
      <c r="M1011" s="10" t="s">
        <v>110</v>
      </c>
      <c r="N1011" s="10"/>
      <c r="O1011" s="30">
        <v>-1.7437192012342118</v>
      </c>
      <c r="P1011" s="30">
        <v>-10.351091605628293</v>
      </c>
      <c r="Q1011" s="30">
        <v>41.711313963559171</v>
      </c>
      <c r="R1011" s="30">
        <v>32.391103744533574</v>
      </c>
      <c r="S1011" s="30">
        <v>-3.7044791589787773</v>
      </c>
      <c r="T1011" s="30">
        <v>-1.6825716502360511E-3</v>
      </c>
    </row>
    <row r="1012" spans="10:20" x14ac:dyDescent="0.25">
      <c r="J1012" s="10"/>
      <c r="K1012" s="10"/>
      <c r="L1012" s="10" t="s">
        <v>75</v>
      </c>
      <c r="M1012" s="10" t="s">
        <v>111</v>
      </c>
      <c r="N1012" s="10"/>
      <c r="O1012" s="30">
        <v>5.2762621525022348</v>
      </c>
      <c r="P1012" s="30">
        <v>-5.8679297149257534</v>
      </c>
      <c r="Q1012" s="30">
        <v>-17.049128630229486</v>
      </c>
      <c r="R1012" s="30">
        <v>-5.4044337218893155</v>
      </c>
      <c r="S1012" s="30">
        <v>6.6847829185668228</v>
      </c>
      <c r="T1012" s="30">
        <v>-2.181366984338234E-2</v>
      </c>
    </row>
    <row r="1013" spans="10:20" x14ac:dyDescent="0.25">
      <c r="J1013" s="10"/>
      <c r="K1013" s="10"/>
      <c r="L1013" s="10" t="s">
        <v>75</v>
      </c>
      <c r="M1013" s="10" t="s">
        <v>112</v>
      </c>
      <c r="N1013" s="10"/>
      <c r="O1013" s="30">
        <v>7.0356967889732358</v>
      </c>
      <c r="P1013" s="30">
        <v>-10.370058588228005</v>
      </c>
      <c r="Q1013" s="30">
        <v>24.600877995618877</v>
      </c>
      <c r="R1013" s="30">
        <v>31.9887470370107</v>
      </c>
      <c r="S1013" s="30">
        <v>8.0753491870790928</v>
      </c>
      <c r="T1013" s="30">
        <v>-2.1634456131545288E-2</v>
      </c>
    </row>
    <row r="1014" spans="10:20" x14ac:dyDescent="0.25">
      <c r="J1014" s="10"/>
      <c r="K1014" s="10"/>
      <c r="L1014" s="10" t="s">
        <v>75</v>
      </c>
      <c r="M1014" s="10" t="s">
        <v>113</v>
      </c>
      <c r="N1014" s="10"/>
      <c r="O1014" s="30">
        <v>-3.5094855973236032</v>
      </c>
      <c r="P1014" s="30">
        <v>-7.1390095568388645</v>
      </c>
      <c r="Q1014" s="30">
        <v>-2.0570026016751797</v>
      </c>
      <c r="R1014" s="30">
        <v>25.243361772178762</v>
      </c>
      <c r="S1014" s="30">
        <v>-2.9833061544087314</v>
      </c>
      <c r="T1014" s="30">
        <v>1.373043337892987E-3</v>
      </c>
    </row>
    <row r="1015" spans="10:20" x14ac:dyDescent="0.25">
      <c r="J1015" s="10"/>
      <c r="K1015" s="10"/>
      <c r="L1015" s="10" t="s">
        <v>75</v>
      </c>
      <c r="M1015" s="10" t="s">
        <v>114</v>
      </c>
      <c r="N1015" s="10"/>
      <c r="O1015" s="30">
        <v>-1.9797890164281708</v>
      </c>
      <c r="P1015" s="30">
        <v>-23.388826396815993</v>
      </c>
      <c r="Q1015" s="30">
        <v>51.318175580406447</v>
      </c>
      <c r="R1015" s="30">
        <v>141.44851545210847</v>
      </c>
      <c r="S1015" s="30">
        <v>-1.8666215052850093</v>
      </c>
      <c r="T1015" s="30">
        <v>1.4083980968157485E-3</v>
      </c>
    </row>
    <row r="1016" spans="10:20" x14ac:dyDescent="0.25">
      <c r="J1016" s="10"/>
      <c r="K1016" s="10"/>
      <c r="L1016" s="10" t="s">
        <v>75</v>
      </c>
      <c r="M1016" s="10" t="s">
        <v>115</v>
      </c>
      <c r="N1016" s="10"/>
      <c r="O1016" s="30">
        <v>-4.9976955741189188</v>
      </c>
      <c r="P1016" s="30">
        <v>41.021855491637773</v>
      </c>
      <c r="Q1016" s="30">
        <v>-18.883778267489859</v>
      </c>
      <c r="R1016" s="30">
        <v>-172.14379277184386</v>
      </c>
      <c r="S1016" s="30">
        <v>-4.1581005741839085</v>
      </c>
      <c r="T1016" s="30">
        <v>1.0329199978404906E-3</v>
      </c>
    </row>
    <row r="1017" spans="10:20" x14ac:dyDescent="0.25">
      <c r="J1017" s="10"/>
      <c r="K1017" s="10"/>
      <c r="L1017" s="10" t="s">
        <v>75</v>
      </c>
      <c r="M1017" s="10" t="s">
        <v>116</v>
      </c>
      <c r="N1017" s="10"/>
      <c r="O1017" s="30">
        <v>-3.2786590969111726</v>
      </c>
      <c r="P1017" s="30">
        <v>15.378239749425816</v>
      </c>
      <c r="Q1017" s="30">
        <v>99.255832177939141</v>
      </c>
      <c r="R1017" s="30">
        <v>-65.454775298394196</v>
      </c>
      <c r="S1017" s="30">
        <v>-3.0282560477440224</v>
      </c>
      <c r="T1017" s="30">
        <v>1.2761741135468051E-3</v>
      </c>
    </row>
    <row r="1018" spans="10:20" x14ac:dyDescent="0.25">
      <c r="J1018" s="10"/>
      <c r="K1018" s="10"/>
      <c r="L1018" s="10" t="s">
        <v>76</v>
      </c>
      <c r="M1018" s="10" t="s">
        <v>91</v>
      </c>
      <c r="N1018" s="10"/>
      <c r="O1018" s="30">
        <v>1.3715416138008492</v>
      </c>
      <c r="P1018" s="30">
        <v>6.618053173667894</v>
      </c>
      <c r="Q1018" s="30">
        <v>49.998926787716371</v>
      </c>
      <c r="R1018" s="30">
        <v>-29.69467287594555</v>
      </c>
      <c r="S1018" s="30">
        <v>1.1139146463658021</v>
      </c>
      <c r="T1018" s="30">
        <v>1.3743428648170617E-3</v>
      </c>
    </row>
    <row r="1019" spans="10:20" x14ac:dyDescent="0.25">
      <c r="J1019" s="10"/>
      <c r="K1019" s="10"/>
      <c r="L1019" s="10" t="s">
        <v>76</v>
      </c>
      <c r="M1019" s="10" t="s">
        <v>92</v>
      </c>
      <c r="N1019" s="10"/>
      <c r="O1019" s="30">
        <v>1.0546107766556163</v>
      </c>
      <c r="P1019" s="30">
        <v>18.62131915302831</v>
      </c>
      <c r="Q1019" s="30">
        <v>77.760178017375651</v>
      </c>
      <c r="R1019" s="30">
        <v>-82.286668590858753</v>
      </c>
      <c r="S1019" s="30">
        <v>0.87065177741495037</v>
      </c>
      <c r="T1019" s="30">
        <v>2.5365164552269984E-3</v>
      </c>
    </row>
    <row r="1020" spans="10:20" x14ac:dyDescent="0.25">
      <c r="J1020" s="10"/>
      <c r="K1020" s="10"/>
      <c r="L1020" s="10" t="s">
        <v>76</v>
      </c>
      <c r="M1020" s="10" t="s">
        <v>93</v>
      </c>
      <c r="N1020" s="10"/>
      <c r="O1020" s="30">
        <v>-9.6332002086287538</v>
      </c>
      <c r="P1020" s="30">
        <v>-5.1820489542710924</v>
      </c>
      <c r="Q1020" s="30">
        <v>-34.048228114480743</v>
      </c>
      <c r="R1020" s="30">
        <v>53.534710145177144</v>
      </c>
      <c r="S1020" s="30">
        <v>-7.4604640925611649</v>
      </c>
      <c r="T1020" s="30">
        <v>-5.130540666050047E-3</v>
      </c>
    </row>
    <row r="1021" spans="10:20" x14ac:dyDescent="0.25">
      <c r="J1021" s="10"/>
      <c r="K1021" s="10"/>
      <c r="L1021" s="10" t="s">
        <v>76</v>
      </c>
      <c r="M1021" s="10" t="s">
        <v>94</v>
      </c>
      <c r="N1021" s="10"/>
      <c r="O1021" s="30">
        <v>-6.2674309902028371</v>
      </c>
      <c r="P1021" s="30">
        <v>-0.67550188399240496</v>
      </c>
      <c r="Q1021" s="30">
        <v>8.1599017977005328</v>
      </c>
      <c r="R1021" s="30">
        <v>16.081174653097257</v>
      </c>
      <c r="S1021" s="30">
        <v>-4.790787922931079</v>
      </c>
      <c r="T1021" s="30">
        <v>-3.6696148489160012E-3</v>
      </c>
    </row>
    <row r="1022" spans="10:20" x14ac:dyDescent="0.25">
      <c r="J1022" s="10"/>
      <c r="K1022" s="10"/>
      <c r="L1022" s="10" t="s">
        <v>76</v>
      </c>
      <c r="M1022" s="10" t="s">
        <v>95</v>
      </c>
      <c r="N1022" s="10"/>
      <c r="O1022" s="30">
        <v>14.263636264040208</v>
      </c>
      <c r="P1022" s="30">
        <v>1.7041093119761705</v>
      </c>
      <c r="Q1022" s="30">
        <v>-40.039816432469138</v>
      </c>
      <c r="R1022" s="30">
        <v>36.502352438020445</v>
      </c>
      <c r="S1022" s="30">
        <v>11.158902161808335</v>
      </c>
      <c r="T1022" s="30">
        <v>-8.4653654153528504E-2</v>
      </c>
    </row>
    <row r="1023" spans="10:20" x14ac:dyDescent="0.25">
      <c r="J1023" s="10"/>
      <c r="K1023" s="10"/>
      <c r="L1023" s="10" t="s">
        <v>76</v>
      </c>
      <c r="M1023" s="10" t="s">
        <v>96</v>
      </c>
      <c r="N1023" s="10"/>
      <c r="O1023" s="30">
        <v>17.636042854735507</v>
      </c>
      <c r="P1023" s="30">
        <v>6.2116614015363538</v>
      </c>
      <c r="Q1023" s="30">
        <v>2.168404924792914</v>
      </c>
      <c r="R1023" s="30">
        <v>-0.95692908002840327</v>
      </c>
      <c r="S1023" s="30">
        <v>13.833478824549953</v>
      </c>
      <c r="T1023" s="30">
        <v>-8.2399873643215271E-2</v>
      </c>
    </row>
    <row r="1024" spans="10:20" x14ac:dyDescent="0.25">
      <c r="J1024" s="10"/>
      <c r="K1024" s="10"/>
      <c r="L1024" s="10" t="s">
        <v>76</v>
      </c>
      <c r="M1024" s="10" t="s">
        <v>97</v>
      </c>
      <c r="N1024" s="10"/>
      <c r="O1024" s="30">
        <v>-9.9942963931010009</v>
      </c>
      <c r="P1024" s="30">
        <v>-52.069296971831164</v>
      </c>
      <c r="Q1024" s="30">
        <v>-46.225390285566235</v>
      </c>
      <c r="R1024" s="30">
        <v>220.56495223808281</v>
      </c>
      <c r="S1024" s="30">
        <v>-7.9015935037430483</v>
      </c>
      <c r="T1024" s="30">
        <v>-1.2456669491026882E-2</v>
      </c>
    </row>
    <row r="1025" spans="10:20" x14ac:dyDescent="0.25">
      <c r="J1025" s="10"/>
      <c r="K1025" s="10"/>
      <c r="L1025" s="10" t="s">
        <v>76</v>
      </c>
      <c r="M1025" s="10" t="s">
        <v>98</v>
      </c>
      <c r="N1025" s="10"/>
      <c r="O1025" s="30">
        <v>-7.4567980975618848</v>
      </c>
      <c r="P1025" s="30">
        <v>-26.40721113113937</v>
      </c>
      <c r="Q1025" s="30">
        <v>72.182459735101659</v>
      </c>
      <c r="R1025" s="30">
        <v>113.71735323266523</v>
      </c>
      <c r="S1025" s="30">
        <v>-5.8705832876259967</v>
      </c>
      <c r="T1025" s="30">
        <v>-2.6274153998987102E-3</v>
      </c>
    </row>
    <row r="1026" spans="10:20" x14ac:dyDescent="0.25">
      <c r="J1026" s="10"/>
      <c r="K1026" s="10"/>
      <c r="L1026" s="10" t="s">
        <v>76</v>
      </c>
      <c r="M1026" s="10" t="s">
        <v>99</v>
      </c>
      <c r="N1026" s="10"/>
      <c r="O1026" s="30">
        <v>-7.1534578742026902</v>
      </c>
      <c r="P1026" s="30">
        <v>-3.908463976337794</v>
      </c>
      <c r="Q1026" s="30">
        <v>-29.134527351974214</v>
      </c>
      <c r="R1026" s="30">
        <v>23.204500398740095</v>
      </c>
      <c r="S1026" s="30">
        <v>-5.6438902734519791</v>
      </c>
      <c r="T1026" s="30">
        <v>-2.5519559877993666E-4</v>
      </c>
    </row>
    <row r="1027" spans="10:20" x14ac:dyDescent="0.25">
      <c r="J1027" s="10"/>
      <c r="K1027" s="10"/>
      <c r="L1027" s="10" t="s">
        <v>76</v>
      </c>
      <c r="M1027" s="10" t="s">
        <v>100</v>
      </c>
      <c r="N1027" s="10"/>
      <c r="O1027" s="30">
        <v>-4.4430528072078337</v>
      </c>
      <c r="P1027" s="30">
        <v>12.35327490997402</v>
      </c>
      <c r="Q1027" s="30">
        <v>24.435725404655972</v>
      </c>
      <c r="R1027" s="30">
        <v>-93.114950111855691</v>
      </c>
      <c r="S1027" s="30">
        <v>-3.4812481045620083</v>
      </c>
      <c r="T1027" s="30">
        <v>-1.1024855905854771E-3</v>
      </c>
    </row>
    <row r="1028" spans="10:20" x14ac:dyDescent="0.25">
      <c r="J1028" s="10"/>
      <c r="K1028" s="10"/>
      <c r="L1028" s="10" t="s">
        <v>76</v>
      </c>
      <c r="M1028" s="10" t="s">
        <v>101</v>
      </c>
      <c r="N1028" s="10"/>
      <c r="O1028" s="30">
        <v>-8.8496568635310275</v>
      </c>
      <c r="P1028" s="30">
        <v>8.0012272378832225</v>
      </c>
      <c r="Q1028" s="30">
        <v>2.1177386053982477</v>
      </c>
      <c r="R1028" s="30">
        <v>-7.3802238718483277</v>
      </c>
      <c r="S1028" s="30">
        <v>-6.8462890876193194</v>
      </c>
      <c r="T1028" s="30">
        <v>-3.3178787225533997E-3</v>
      </c>
    </row>
    <row r="1029" spans="10:20" x14ac:dyDescent="0.25">
      <c r="J1029" s="10"/>
      <c r="K1029" s="10"/>
      <c r="L1029" s="10" t="s">
        <v>76</v>
      </c>
      <c r="M1029" s="10" t="s">
        <v>102</v>
      </c>
      <c r="N1029" s="10"/>
      <c r="O1029" s="30">
        <v>-5.8204645669476998</v>
      </c>
      <c r="P1029" s="30">
        <v>12.057119601134042</v>
      </c>
      <c r="Q1029" s="30">
        <v>40.105055526361397</v>
      </c>
      <c r="R1029" s="30">
        <v>-41.088405814720225</v>
      </c>
      <c r="S1029" s="30">
        <v>-4.4435805349522433</v>
      </c>
      <c r="T1029" s="30">
        <v>-2.0030454871327588E-3</v>
      </c>
    </row>
    <row r="1030" spans="10:20" x14ac:dyDescent="0.25">
      <c r="J1030" s="10"/>
      <c r="K1030" s="10"/>
      <c r="L1030" s="10" t="s">
        <v>76</v>
      </c>
      <c r="M1030" s="10" t="s">
        <v>103</v>
      </c>
      <c r="N1030" s="10"/>
      <c r="O1030" s="30">
        <v>12.657495961871039</v>
      </c>
      <c r="P1030" s="30">
        <v>14.19876967750576</v>
      </c>
      <c r="Q1030" s="30">
        <v>-3.2746908807913124</v>
      </c>
      <c r="R1030" s="30">
        <v>-22.70934580828936</v>
      </c>
      <c r="S1030" s="30">
        <v>9.9111405413132285</v>
      </c>
      <c r="T1030" s="30">
        <v>-7.4888680861284002E-2</v>
      </c>
    </row>
    <row r="1031" spans="10:20" x14ac:dyDescent="0.25">
      <c r="J1031" s="10"/>
      <c r="K1031" s="10"/>
      <c r="L1031" s="10" t="s">
        <v>76</v>
      </c>
      <c r="M1031" s="10" t="s">
        <v>104</v>
      </c>
      <c r="N1031" s="10"/>
      <c r="O1031" s="30">
        <v>15.692661893496808</v>
      </c>
      <c r="P1031" s="30">
        <v>18.255566558109923</v>
      </c>
      <c r="Q1031" s="30">
        <v>34.712708340744548</v>
      </c>
      <c r="R1031" s="30">
        <v>-56.422699174533321</v>
      </c>
      <c r="S1031" s="30">
        <v>12.318259537780687</v>
      </c>
      <c r="T1031" s="30">
        <v>-7.2860278402002099E-2</v>
      </c>
    </row>
    <row r="1032" spans="10:20" x14ac:dyDescent="0.25">
      <c r="J1032" s="10"/>
      <c r="K1032" s="10"/>
      <c r="L1032" s="10" t="s">
        <v>76</v>
      </c>
      <c r="M1032" s="10" t="s">
        <v>105</v>
      </c>
      <c r="N1032" s="10"/>
      <c r="O1032" s="30">
        <v>-9.1746434295560508</v>
      </c>
      <c r="P1032" s="30">
        <v>-34.197295977920838</v>
      </c>
      <c r="Q1032" s="30">
        <v>-8.8417073485786943</v>
      </c>
      <c r="R1032" s="30">
        <v>142.9469940117668</v>
      </c>
      <c r="S1032" s="30">
        <v>-7.2433055576830165</v>
      </c>
      <c r="T1032" s="30">
        <v>-9.9113946650325503E-3</v>
      </c>
    </row>
    <row r="1033" spans="10:20" x14ac:dyDescent="0.25">
      <c r="J1033" s="10"/>
      <c r="K1033" s="10"/>
      <c r="L1033" s="10" t="s">
        <v>76</v>
      </c>
      <c r="M1033" s="10" t="s">
        <v>106</v>
      </c>
      <c r="N1033" s="10"/>
      <c r="O1033" s="30">
        <v>-6.8908949635708456</v>
      </c>
      <c r="P1033" s="30">
        <v>-11.101418721298227</v>
      </c>
      <c r="Q1033" s="30">
        <v>97.725357670022404</v>
      </c>
      <c r="R1033" s="30">
        <v>46.784154906890947</v>
      </c>
      <c r="S1033" s="30">
        <v>-5.4153963631776687</v>
      </c>
      <c r="T1033" s="30">
        <v>-1.065065983017197E-3</v>
      </c>
    </row>
    <row r="1034" spans="10:20" x14ac:dyDescent="0.25">
      <c r="J1034" s="10"/>
      <c r="K1034" s="10"/>
      <c r="L1034" s="10" t="s">
        <v>76</v>
      </c>
      <c r="M1034" s="10" t="s">
        <v>107</v>
      </c>
      <c r="N1034" s="10"/>
      <c r="O1034" s="30">
        <v>-6.6178887625475697</v>
      </c>
      <c r="P1034" s="30">
        <v>9.1474537180231916</v>
      </c>
      <c r="Q1034" s="30">
        <v>6.5400692916541292</v>
      </c>
      <c r="R1034" s="30">
        <v>-34.677412643641674</v>
      </c>
      <c r="S1034" s="30">
        <v>-5.2113726504210529</v>
      </c>
      <c r="T1034" s="30">
        <v>1.0699318379896999E-3</v>
      </c>
    </row>
    <row r="1035" spans="10:20" x14ac:dyDescent="0.25">
      <c r="J1035" s="10"/>
      <c r="K1035" s="10"/>
      <c r="L1035" s="10" t="s">
        <v>76</v>
      </c>
      <c r="M1035" s="10" t="s">
        <v>108</v>
      </c>
      <c r="N1035" s="10"/>
      <c r="O1035" s="30">
        <v>-4.1785242022521993</v>
      </c>
      <c r="P1035" s="30">
        <v>23.783018715703825</v>
      </c>
      <c r="Q1035" s="30">
        <v>54.753296772621297</v>
      </c>
      <c r="R1035" s="30">
        <v>-139.36491810317787</v>
      </c>
      <c r="S1035" s="30">
        <v>-3.2649946984200788</v>
      </c>
      <c r="T1035" s="30">
        <v>3.0737084536471357E-4</v>
      </c>
    </row>
    <row r="1036" spans="10:20" x14ac:dyDescent="0.25">
      <c r="J1036" s="10"/>
      <c r="K1036" s="10"/>
      <c r="L1036" s="10" t="s">
        <v>76</v>
      </c>
      <c r="M1036" s="10" t="s">
        <v>109</v>
      </c>
      <c r="N1036" s="10"/>
      <c r="O1036" s="30">
        <v>-9.918437962059464</v>
      </c>
      <c r="P1036" s="30">
        <v>5.6208904271532818</v>
      </c>
      <c r="Q1036" s="30">
        <v>-9.0631020077873963</v>
      </c>
      <c r="R1036" s="30">
        <v>6.2019140017552505</v>
      </c>
      <c r="S1036" s="30">
        <v>-7.6794006746169314</v>
      </c>
      <c r="T1036" s="30">
        <v>-4.0845844346811041E-3</v>
      </c>
    </row>
    <row r="1037" spans="10:20" x14ac:dyDescent="0.25">
      <c r="J1037" s="10"/>
      <c r="K1037" s="10"/>
      <c r="L1037" s="10" t="s">
        <v>76</v>
      </c>
      <c r="M1037" s="10" t="s">
        <v>110</v>
      </c>
      <c r="N1037" s="10"/>
      <c r="O1037" s="30">
        <v>-6.5526687436335465</v>
      </c>
      <c r="P1037" s="30">
        <v>10.127437497431968</v>
      </c>
      <c r="Q1037" s="30">
        <v>33.145027904393878</v>
      </c>
      <c r="R1037" s="30">
        <v>-31.251621490324631</v>
      </c>
      <c r="S1037" s="30">
        <v>-5.0097245049868464</v>
      </c>
      <c r="T1037" s="30">
        <v>-2.6236586175470587E-3</v>
      </c>
    </row>
    <row r="1038" spans="10:20" x14ac:dyDescent="0.25">
      <c r="J1038" s="10"/>
      <c r="K1038" s="10"/>
      <c r="L1038" s="10" t="s">
        <v>76</v>
      </c>
      <c r="M1038" s="10" t="s">
        <v>111</v>
      </c>
      <c r="N1038" s="10"/>
      <c r="O1038" s="30">
        <v>13.9783985106095</v>
      </c>
      <c r="P1038" s="30">
        <v>12.507048693400543</v>
      </c>
      <c r="Q1038" s="30">
        <v>-15.054690325775791</v>
      </c>
      <c r="R1038" s="30">
        <v>-10.830443705401448</v>
      </c>
      <c r="S1038" s="30">
        <v>10.939965579752569</v>
      </c>
      <c r="T1038" s="30">
        <v>-8.3607697922159566E-2</v>
      </c>
    </row>
    <row r="1039" spans="10:20" x14ac:dyDescent="0.25">
      <c r="J1039" s="10"/>
      <c r="K1039" s="10"/>
      <c r="L1039" s="10" t="s">
        <v>76</v>
      </c>
      <c r="M1039" s="10" t="s">
        <v>112</v>
      </c>
      <c r="N1039" s="10"/>
      <c r="O1039" s="30">
        <v>17.3508051013048</v>
      </c>
      <c r="P1039" s="30">
        <v>17.014600782960727</v>
      </c>
      <c r="Q1039" s="30">
        <v>27.15353103148626</v>
      </c>
      <c r="R1039" s="30">
        <v>-48.28972522345029</v>
      </c>
      <c r="S1039" s="30">
        <v>13.614542242494185</v>
      </c>
      <c r="T1039" s="30">
        <v>-8.1353917411846333E-2</v>
      </c>
    </row>
    <row r="1040" spans="10:20" x14ac:dyDescent="0.25">
      <c r="J1040" s="10"/>
      <c r="K1040" s="10"/>
      <c r="L1040" s="10" t="s">
        <v>76</v>
      </c>
      <c r="M1040" s="10" t="s">
        <v>113</v>
      </c>
      <c r="N1040" s="10"/>
      <c r="O1040" s="30">
        <v>-10.279534146531713</v>
      </c>
      <c r="P1040" s="30">
        <v>-41.266357590406791</v>
      </c>
      <c r="Q1040" s="30">
        <v>-21.240264178872891</v>
      </c>
      <c r="R1040" s="30">
        <v>173.23215609466092</v>
      </c>
      <c r="S1040" s="30">
        <v>-8.1205300857988156</v>
      </c>
      <c r="T1040" s="30">
        <v>-1.1410713259657939E-2</v>
      </c>
    </row>
    <row r="1041" spans="10:20" x14ac:dyDescent="0.25">
      <c r="J1041" s="10"/>
      <c r="K1041" s="10"/>
      <c r="L1041" s="10" t="s">
        <v>76</v>
      </c>
      <c r="M1041" s="10" t="s">
        <v>114</v>
      </c>
      <c r="N1041" s="10"/>
      <c r="O1041" s="30">
        <v>-7.7420358509925951</v>
      </c>
      <c r="P1041" s="30">
        <v>-15.604271749714998</v>
      </c>
      <c r="Q1041" s="30">
        <v>97.167585841795002</v>
      </c>
      <c r="R1041" s="30">
        <v>66.38455708924333</v>
      </c>
      <c r="S1041" s="30">
        <v>-6.0895198696817641</v>
      </c>
      <c r="T1041" s="30">
        <v>-1.5814591685297673E-3</v>
      </c>
    </row>
    <row r="1042" spans="10:20" x14ac:dyDescent="0.25">
      <c r="J1042" s="10"/>
      <c r="K1042" s="10"/>
      <c r="L1042" s="10" t="s">
        <v>76</v>
      </c>
      <c r="M1042" s="10" t="s">
        <v>115</v>
      </c>
      <c r="N1042" s="10"/>
      <c r="O1042" s="30">
        <v>-7.4386956276333995</v>
      </c>
      <c r="P1042" s="30">
        <v>6.8944754050865802</v>
      </c>
      <c r="Q1042" s="30">
        <v>-4.1494012452808668</v>
      </c>
      <c r="R1042" s="30">
        <v>-24.128295744681793</v>
      </c>
      <c r="S1042" s="30">
        <v>-5.8628268555077456</v>
      </c>
      <c r="T1042" s="30">
        <v>7.9076063258900608E-4</v>
      </c>
    </row>
    <row r="1043" spans="10:20" x14ac:dyDescent="0.25">
      <c r="J1043" s="10"/>
      <c r="K1043" s="10"/>
      <c r="L1043" s="10" t="s">
        <v>76</v>
      </c>
      <c r="M1043" s="10" t="s">
        <v>116</v>
      </c>
      <c r="N1043" s="10"/>
      <c r="O1043" s="30">
        <v>-4.728290560638543</v>
      </c>
      <c r="P1043" s="30">
        <v>23.156214291398395</v>
      </c>
      <c r="Q1043" s="30">
        <v>49.420851511349319</v>
      </c>
      <c r="R1043" s="30">
        <v>-140.44774625527759</v>
      </c>
      <c r="S1043" s="30">
        <v>-3.7001846866177748</v>
      </c>
      <c r="T1043" s="30">
        <v>-5.6529359216534414E-5</v>
      </c>
    </row>
    <row r="1044" spans="10:20" x14ac:dyDescent="0.25">
      <c r="J1044" s="10"/>
      <c r="K1044" s="10"/>
      <c r="L1044" s="10" t="s">
        <v>77</v>
      </c>
      <c r="M1044" s="10" t="s">
        <v>91</v>
      </c>
      <c r="N1044" s="10"/>
      <c r="O1044" s="30">
        <v>1.5159751532706105</v>
      </c>
      <c r="P1044" s="30">
        <v>-6.6291430178166688E-2</v>
      </c>
      <c r="Q1044" s="30">
        <v>67.827406312248684</v>
      </c>
      <c r="R1044" s="30">
        <v>-0.72162474077868399</v>
      </c>
      <c r="S1044" s="30">
        <v>1.2226443117898931</v>
      </c>
      <c r="T1044" s="30">
        <v>-3.2110398532000884E-3</v>
      </c>
    </row>
    <row r="1045" spans="10:20" x14ac:dyDescent="0.25">
      <c r="J1045" s="10"/>
      <c r="K1045" s="10"/>
      <c r="L1045" s="10" t="s">
        <v>77</v>
      </c>
      <c r="M1045" s="10" t="s">
        <v>92</v>
      </c>
      <c r="N1045" s="10"/>
      <c r="O1045" s="30">
        <v>1.4190998460339919</v>
      </c>
      <c r="P1045" s="30">
        <v>-1.6796258593672975</v>
      </c>
      <c r="Q1045" s="30">
        <v>124.74493158955663</v>
      </c>
      <c r="R1045" s="30">
        <v>5.8656590892839606</v>
      </c>
      <c r="S1045" s="30">
        <v>1.1468156626718651</v>
      </c>
      <c r="T1045" s="30">
        <v>-7.4997065437910409E-3</v>
      </c>
    </row>
    <row r="1046" spans="10:20" x14ac:dyDescent="0.25">
      <c r="J1046" s="10"/>
      <c r="K1046" s="10"/>
      <c r="L1046" s="10" t="s">
        <v>77</v>
      </c>
      <c r="M1046" s="10" t="s">
        <v>93</v>
      </c>
      <c r="N1046" s="10"/>
      <c r="O1046" s="30">
        <v>-15.332943948516236</v>
      </c>
      <c r="P1046" s="30">
        <v>6.2478768011895065</v>
      </c>
      <c r="Q1046" s="30">
        <v>-93.618016843757601</v>
      </c>
      <c r="R1046" s="30">
        <v>-28.74668073248985</v>
      </c>
      <c r="S1046" s="30">
        <v>-12.001524119331098</v>
      </c>
      <c r="T1046" s="30">
        <v>-1.2359117218038252E-3</v>
      </c>
    </row>
    <row r="1047" spans="10:20" x14ac:dyDescent="0.25">
      <c r="J1047" s="10"/>
      <c r="K1047" s="10"/>
      <c r="L1047" s="10" t="s">
        <v>77</v>
      </c>
      <c r="M1047" s="10" t="s">
        <v>94</v>
      </c>
      <c r="N1047" s="10"/>
      <c r="O1047" s="30">
        <v>-7.2585396745164728</v>
      </c>
      <c r="P1047" s="30">
        <v>3.0705605524780828</v>
      </c>
      <c r="Q1047" s="30">
        <v>-12.951700596843612</v>
      </c>
      <c r="R1047" s="30">
        <v>-14.613653696786946</v>
      </c>
      <c r="S1047" s="30">
        <v>-5.6649203972662638</v>
      </c>
      <c r="T1047" s="30">
        <v>-5.068180747545792E-3</v>
      </c>
    </row>
    <row r="1048" spans="10:20" x14ac:dyDescent="0.25">
      <c r="J1048" s="10"/>
      <c r="K1048" s="10"/>
      <c r="L1048" s="10" t="s">
        <v>77</v>
      </c>
      <c r="M1048" s="10" t="s">
        <v>95</v>
      </c>
      <c r="N1048" s="10"/>
      <c r="O1048" s="30">
        <v>19.133004870175256</v>
      </c>
      <c r="P1048" s="30">
        <v>6.795194769466212</v>
      </c>
      <c r="Q1048" s="30">
        <v>-102.44580542448479</v>
      </c>
      <c r="R1048" s="30">
        <v>-31.408080100418541</v>
      </c>
      <c r="S1048" s="30">
        <v>15.075931603003973</v>
      </c>
      <c r="T1048" s="30">
        <v>4.655155995051271E-2</v>
      </c>
    </row>
    <row r="1049" spans="10:20" x14ac:dyDescent="0.25">
      <c r="J1049" s="10"/>
      <c r="K1049" s="10"/>
      <c r="L1049" s="10" t="s">
        <v>77</v>
      </c>
      <c r="M1049" s="10" t="s">
        <v>96</v>
      </c>
      <c r="N1049" s="10"/>
      <c r="O1049" s="30">
        <v>27.201603321005742</v>
      </c>
      <c r="P1049" s="30">
        <v>3.617615108746207</v>
      </c>
      <c r="Q1049" s="30">
        <v>-21.779406367114813</v>
      </c>
      <c r="R1049" s="30">
        <v>-17.27311827849816</v>
      </c>
      <c r="S1049" s="30">
        <v>21.407878547403545</v>
      </c>
      <c r="T1049" s="30">
        <v>4.2356001348404004E-2</v>
      </c>
    </row>
    <row r="1050" spans="10:20" x14ac:dyDescent="0.25">
      <c r="J1050" s="10"/>
      <c r="K1050" s="10"/>
      <c r="L1050" s="10" t="s">
        <v>77</v>
      </c>
      <c r="M1050" s="10" t="s">
        <v>97</v>
      </c>
      <c r="N1050" s="10"/>
      <c r="O1050" s="30">
        <v>-18.913676592221449</v>
      </c>
      <c r="P1050" s="30">
        <v>0.29202929886214701</v>
      </c>
      <c r="Q1050" s="30">
        <v>-92.993560242625492</v>
      </c>
      <c r="R1050" s="30">
        <v>15.791394515727852</v>
      </c>
      <c r="S1050" s="30">
        <v>-14.809844206023547</v>
      </c>
      <c r="T1050" s="30">
        <v>5.2184922417629776E-3</v>
      </c>
    </row>
    <row r="1051" spans="10:20" x14ac:dyDescent="0.25">
      <c r="J1051" s="10"/>
      <c r="K1051" s="10"/>
      <c r="L1051" s="10" t="s">
        <v>77</v>
      </c>
      <c r="M1051" s="10" t="s">
        <v>98</v>
      </c>
      <c r="N1051" s="10"/>
      <c r="O1051" s="30">
        <v>-11.028580826763642</v>
      </c>
      <c r="P1051" s="30">
        <v>-13.234467193454003</v>
      </c>
      <c r="Q1051" s="30">
        <v>119.95780333195421</v>
      </c>
      <c r="R1051" s="30">
        <v>97.039810599922973</v>
      </c>
      <c r="S1051" s="30">
        <v>-8.6206162213297794</v>
      </c>
      <c r="T1051" s="30">
        <v>-1.042577523407975E-2</v>
      </c>
    </row>
    <row r="1052" spans="10:20" x14ac:dyDescent="0.25">
      <c r="J1052" s="10"/>
      <c r="K1052" s="10"/>
      <c r="L1052" s="10" t="s">
        <v>77</v>
      </c>
      <c r="M1052" s="10" t="s">
        <v>99</v>
      </c>
      <c r="N1052" s="10"/>
      <c r="O1052" s="30">
        <v>-18.81492578711282</v>
      </c>
      <c r="P1052" s="30">
        <v>10.254895108658724</v>
      </c>
      <c r="Q1052" s="30">
        <v>-94.917622939014066</v>
      </c>
      <c r="R1052" s="30">
        <v>-62.777701188690372</v>
      </c>
      <c r="S1052" s="30">
        <v>-14.73228033469206</v>
      </c>
      <c r="T1052" s="30">
        <v>7.6953484976176861E-3</v>
      </c>
    </row>
    <row r="1053" spans="10:20" x14ac:dyDescent="0.25">
      <c r="J1053" s="10"/>
      <c r="K1053" s="10"/>
      <c r="L1053" s="10" t="s">
        <v>77</v>
      </c>
      <c r="M1053" s="10" t="s">
        <v>100</v>
      </c>
      <c r="N1053" s="10"/>
      <c r="O1053" s="30">
        <v>-10.672213223475302</v>
      </c>
      <c r="P1053" s="30">
        <v>22.190706630819843</v>
      </c>
      <c r="Q1053" s="30">
        <v>23.460480907370048</v>
      </c>
      <c r="R1053" s="30">
        <v>-145.84284974983996</v>
      </c>
      <c r="S1053" s="30">
        <v>-8.341536499910676</v>
      </c>
      <c r="T1053" s="30">
        <v>-6.968262406040409E-3</v>
      </c>
    </row>
    <row r="1054" spans="10:20" x14ac:dyDescent="0.25">
      <c r="J1054" s="10"/>
      <c r="K1054" s="10"/>
      <c r="L1054" s="10" t="s">
        <v>77</v>
      </c>
      <c r="M1054" s="10" t="s">
        <v>101</v>
      </c>
      <c r="N1054" s="10"/>
      <c r="O1054" s="30">
        <v>-13.744927345574171</v>
      </c>
      <c r="P1054" s="30">
        <v>4.0031255488636086</v>
      </c>
      <c r="Q1054" s="30">
        <v>-20.555949250849046</v>
      </c>
      <c r="R1054" s="30">
        <v>-19.356891303256088</v>
      </c>
      <c r="S1054" s="30">
        <v>-10.754935925337024</v>
      </c>
      <c r="T1054" s="30">
        <v>-5.7220912255344048E-3</v>
      </c>
    </row>
    <row r="1055" spans="10:20" x14ac:dyDescent="0.25">
      <c r="J1055" s="10"/>
      <c r="K1055" s="10"/>
      <c r="L1055" s="10" t="s">
        <v>77</v>
      </c>
      <c r="M1055" s="10" t="s">
        <v>102</v>
      </c>
      <c r="N1055" s="10"/>
      <c r="O1055" s="30">
        <v>-6.4779634989743835</v>
      </c>
      <c r="P1055" s="30">
        <v>1.1435409250233273</v>
      </c>
      <c r="Q1055" s="30">
        <v>52.043735371373558</v>
      </c>
      <c r="R1055" s="30">
        <v>-6.6371669711234755</v>
      </c>
      <c r="S1055" s="30">
        <v>-5.0519925754786756</v>
      </c>
      <c r="T1055" s="30">
        <v>-9.1711333487021745E-3</v>
      </c>
    </row>
    <row r="1056" spans="10:20" x14ac:dyDescent="0.25">
      <c r="J1056" s="10"/>
      <c r="K1056" s="10"/>
      <c r="L1056" s="10" t="s">
        <v>77</v>
      </c>
      <c r="M1056" s="10" t="s">
        <v>103</v>
      </c>
      <c r="N1056" s="10"/>
      <c r="O1056" s="30">
        <v>17.274426591248172</v>
      </c>
      <c r="P1056" s="30">
        <v>4.4957117203126424</v>
      </c>
      <c r="Q1056" s="30">
        <v>-28.50095897350349</v>
      </c>
      <c r="R1056" s="30">
        <v>-21.752150734391911</v>
      </c>
      <c r="S1056" s="30">
        <v>13.61477422476454</v>
      </c>
      <c r="T1056" s="30">
        <v>3.7286633279550487E-2</v>
      </c>
    </row>
    <row r="1057" spans="10:20" x14ac:dyDescent="0.25">
      <c r="J1057" s="10"/>
      <c r="K1057" s="10"/>
      <c r="L1057" s="10" t="s">
        <v>77</v>
      </c>
      <c r="M1057" s="10" t="s">
        <v>104</v>
      </c>
      <c r="N1057" s="10"/>
      <c r="O1057" s="30">
        <v>24.536165196995611</v>
      </c>
      <c r="P1057" s="30">
        <v>1.6358900256646389</v>
      </c>
      <c r="Q1057" s="30">
        <v>44.09880017812948</v>
      </c>
      <c r="R1057" s="30">
        <v>-9.0306850946635713</v>
      </c>
      <c r="S1057" s="30">
        <v>19.313526474724153</v>
      </c>
      <c r="T1057" s="30">
        <v>3.3510630537652644E-2</v>
      </c>
    </row>
    <row r="1058" spans="10:20" x14ac:dyDescent="0.25">
      <c r="J1058" s="10"/>
      <c r="K1058" s="10"/>
      <c r="L1058" s="10" t="s">
        <v>77</v>
      </c>
      <c r="M1058" s="10" t="s">
        <v>105</v>
      </c>
      <c r="N1058" s="10"/>
      <c r="O1058" s="30">
        <v>-16.967586724908863</v>
      </c>
      <c r="P1058" s="30">
        <v>-1.3571372032310152</v>
      </c>
      <c r="Q1058" s="30">
        <v>-19.993938309830146</v>
      </c>
      <c r="R1058" s="30">
        <v>20.727376420139844</v>
      </c>
      <c r="S1058" s="30">
        <v>-13.282424003360228</v>
      </c>
      <c r="T1058" s="30">
        <v>8.687234167571839E-5</v>
      </c>
    </row>
    <row r="1059" spans="10:20" x14ac:dyDescent="0.25">
      <c r="J1059" s="10"/>
      <c r="K1059" s="10"/>
      <c r="L1059" s="10" t="s">
        <v>77</v>
      </c>
      <c r="M1059" s="10" t="s">
        <v>106</v>
      </c>
      <c r="N1059" s="10"/>
      <c r="O1059" s="30">
        <v>-9.8710005359968349</v>
      </c>
      <c r="P1059" s="30">
        <v>-13.530984046315551</v>
      </c>
      <c r="Q1059" s="30">
        <v>171.66228890729158</v>
      </c>
      <c r="R1059" s="30">
        <v>93.85095089591546</v>
      </c>
      <c r="S1059" s="30">
        <v>-7.7121188171358401</v>
      </c>
      <c r="T1059" s="30">
        <v>-1.3992968386582738E-2</v>
      </c>
    </row>
    <row r="1060" spans="10:20" x14ac:dyDescent="0.25">
      <c r="J1060" s="10"/>
      <c r="K1060" s="10"/>
      <c r="L1060" s="10" t="s">
        <v>77</v>
      </c>
      <c r="M1060" s="10" t="s">
        <v>107</v>
      </c>
      <c r="N1060" s="10"/>
      <c r="O1060" s="30">
        <v>-16.878711000311103</v>
      </c>
      <c r="P1060" s="30">
        <v>7.6094420255859063</v>
      </c>
      <c r="Q1060" s="30">
        <v>-21.725594736579829</v>
      </c>
      <c r="R1060" s="30">
        <v>-49.984809713836569</v>
      </c>
      <c r="S1060" s="30">
        <v>-13.212616519161891</v>
      </c>
      <c r="T1060" s="30">
        <v>2.316042971944955E-3</v>
      </c>
    </row>
    <row r="1061" spans="10:20" x14ac:dyDescent="0.25">
      <c r="J1061" s="10"/>
      <c r="K1061" s="10"/>
      <c r="L1061" s="10" t="s">
        <v>77</v>
      </c>
      <c r="M1061" s="10" t="s">
        <v>108</v>
      </c>
      <c r="N1061" s="10"/>
      <c r="O1061" s="30">
        <v>-9.550269693037329</v>
      </c>
      <c r="P1061" s="30">
        <v>18.351672395530912</v>
      </c>
      <c r="Q1061" s="30">
        <v>84.814698725165854</v>
      </c>
      <c r="R1061" s="30">
        <v>-124.74344341887118</v>
      </c>
      <c r="S1061" s="30">
        <v>-7.4609470678586476</v>
      </c>
      <c r="T1061" s="30">
        <v>-1.088120684134733E-2</v>
      </c>
    </row>
    <row r="1062" spans="10:20" x14ac:dyDescent="0.25">
      <c r="J1062" s="10"/>
      <c r="K1062" s="10"/>
      <c r="L1062" s="10" t="s">
        <v>77</v>
      </c>
      <c r="M1062" s="10" t="s">
        <v>109</v>
      </c>
      <c r="N1062" s="10"/>
      <c r="O1062" s="30">
        <v>-15.420131725029195</v>
      </c>
      <c r="P1062" s="30">
        <v>4.7958758149192882</v>
      </c>
      <c r="Q1062" s="30">
        <v>-42.392244094180455</v>
      </c>
      <c r="R1062" s="30">
        <v>-22.818125285433467</v>
      </c>
      <c r="S1062" s="30">
        <v>-12.069769903537322</v>
      </c>
      <c r="T1062" s="30">
        <v>-5.0957117433356831E-3</v>
      </c>
    </row>
    <row r="1063" spans="10:20" x14ac:dyDescent="0.25">
      <c r="J1063" s="10"/>
      <c r="K1063" s="10"/>
      <c r="L1063" s="10" t="s">
        <v>77</v>
      </c>
      <c r="M1063" s="10" t="s">
        <v>110</v>
      </c>
      <c r="N1063" s="10"/>
      <c r="O1063" s="30">
        <v>-7.3457274510294299</v>
      </c>
      <c r="P1063" s="30">
        <v>1.6185595662078647</v>
      </c>
      <c r="Q1063" s="30">
        <v>38.274072152733531</v>
      </c>
      <c r="R1063" s="30">
        <v>-8.6850982497305651</v>
      </c>
      <c r="S1063" s="30">
        <v>-5.7331661814724892</v>
      </c>
      <c r="T1063" s="30">
        <v>-8.9279807690776508E-3</v>
      </c>
    </row>
    <row r="1064" spans="10:20" x14ac:dyDescent="0.25">
      <c r="J1064" s="10"/>
      <c r="K1064" s="10"/>
      <c r="L1064" s="10" t="s">
        <v>77</v>
      </c>
      <c r="M1064" s="10" t="s">
        <v>111</v>
      </c>
      <c r="N1064" s="10"/>
      <c r="O1064" s="30">
        <v>19.045817093662301</v>
      </c>
      <c r="P1064" s="30">
        <v>5.3431937831959937</v>
      </c>
      <c r="Q1064" s="30">
        <v>-51.220032674907635</v>
      </c>
      <c r="R1064" s="30">
        <v>-25.479524653362159</v>
      </c>
      <c r="S1064" s="30">
        <v>15.007685818797748</v>
      </c>
      <c r="T1064" s="30">
        <v>4.269175992898086E-2</v>
      </c>
    </row>
    <row r="1065" spans="10:20" x14ac:dyDescent="0.25">
      <c r="J1065" s="10"/>
      <c r="K1065" s="10"/>
      <c r="L1065" s="10" t="s">
        <v>77</v>
      </c>
      <c r="M1065" s="10" t="s">
        <v>112</v>
      </c>
      <c r="N1065" s="10"/>
      <c r="O1065" s="30">
        <v>27.114415544492783</v>
      </c>
      <c r="P1065" s="30">
        <v>2.1656141224759886</v>
      </c>
      <c r="Q1065" s="30">
        <v>29.44636638246233</v>
      </c>
      <c r="R1065" s="30">
        <v>-11.344562831441781</v>
      </c>
      <c r="S1065" s="30">
        <v>21.339632763197322</v>
      </c>
      <c r="T1065" s="30">
        <v>3.8496201326872155E-2</v>
      </c>
    </row>
    <row r="1066" spans="10:20" x14ac:dyDescent="0.25">
      <c r="J1066" s="10"/>
      <c r="K1066" s="10"/>
      <c r="L1066" s="10" t="s">
        <v>77</v>
      </c>
      <c r="M1066" s="10" t="s">
        <v>113</v>
      </c>
      <c r="N1066" s="10"/>
      <c r="O1066" s="30">
        <v>-19.000864368734408</v>
      </c>
      <c r="P1066" s="30">
        <v>-1.1599716874080712</v>
      </c>
      <c r="Q1066" s="30">
        <v>-41.767787493048345</v>
      </c>
      <c r="R1066" s="30">
        <v>21.719949962784234</v>
      </c>
      <c r="S1066" s="30">
        <v>-14.878089990229771</v>
      </c>
      <c r="T1066" s="30">
        <v>1.3586922202311195E-3</v>
      </c>
    </row>
    <row r="1067" spans="10:20" x14ac:dyDescent="0.25">
      <c r="J1067" s="10"/>
      <c r="K1067" s="10"/>
      <c r="L1067" s="10" t="s">
        <v>77</v>
      </c>
      <c r="M1067" s="10" t="s">
        <v>114</v>
      </c>
      <c r="N1067" s="10"/>
      <c r="O1067" s="30">
        <v>-11.115768603276598</v>
      </c>
      <c r="P1067" s="30">
        <v>-14.686468179724219</v>
      </c>
      <c r="Q1067" s="30">
        <v>171.18357608153136</v>
      </c>
      <c r="R1067" s="30">
        <v>102.96836604697936</v>
      </c>
      <c r="S1067" s="30">
        <v>-8.688862005536004</v>
      </c>
      <c r="T1067" s="30">
        <v>-1.428557525561161E-2</v>
      </c>
    </row>
    <row r="1068" spans="10:20" x14ac:dyDescent="0.25">
      <c r="J1068" s="10"/>
      <c r="K1068" s="10"/>
      <c r="L1068" s="10" t="s">
        <v>77</v>
      </c>
      <c r="M1068" s="10" t="s">
        <v>115</v>
      </c>
      <c r="N1068" s="10"/>
      <c r="O1068" s="30">
        <v>-18.902113563625779</v>
      </c>
      <c r="P1068" s="30">
        <v>8.8028941223885067</v>
      </c>
      <c r="Q1068" s="30">
        <v>-43.69185018943692</v>
      </c>
      <c r="R1068" s="30">
        <v>-56.84914574163399</v>
      </c>
      <c r="S1068" s="30">
        <v>-14.800526118898285</v>
      </c>
      <c r="T1068" s="30">
        <v>3.8355484760858281E-3</v>
      </c>
    </row>
    <row r="1069" spans="10:20" x14ac:dyDescent="0.25">
      <c r="J1069" s="10"/>
      <c r="K1069" s="10"/>
      <c r="L1069" s="10" t="s">
        <v>77</v>
      </c>
      <c r="M1069" s="10" t="s">
        <v>116</v>
      </c>
      <c r="N1069" s="10"/>
      <c r="O1069" s="30">
        <v>-10.75940099998826</v>
      </c>
      <c r="P1069" s="30">
        <v>20.738705644549626</v>
      </c>
      <c r="Q1069" s="30">
        <v>74.686253656947187</v>
      </c>
      <c r="R1069" s="30">
        <v>-139.91429430278356</v>
      </c>
      <c r="S1069" s="30">
        <v>-8.4097822841169005</v>
      </c>
      <c r="T1069" s="30">
        <v>-1.0828062427572267E-2</v>
      </c>
    </row>
    <row r="1070" spans="10:20" x14ac:dyDescent="0.25">
      <c r="J1070" s="10"/>
      <c r="K1070" s="10"/>
      <c r="L1070" s="10" t="s">
        <v>78</v>
      </c>
      <c r="M1070" s="10" t="s">
        <v>91</v>
      </c>
      <c r="N1070" s="10"/>
      <c r="O1070" s="30">
        <v>1.5165726845796705</v>
      </c>
      <c r="P1070" s="30">
        <v>6.6291143396028457E-2</v>
      </c>
      <c r="Q1070" s="30">
        <v>67.827422755250396</v>
      </c>
      <c r="R1070" s="30">
        <v>0.72162773787253143</v>
      </c>
      <c r="S1070" s="30">
        <v>1.2231050707564495</v>
      </c>
      <c r="T1070" s="30">
        <v>3.2137275413683685E-3</v>
      </c>
    </row>
    <row r="1071" spans="10:20" x14ac:dyDescent="0.25">
      <c r="J1071" s="10"/>
      <c r="K1071" s="10"/>
      <c r="L1071" s="10" t="s">
        <v>78</v>
      </c>
      <c r="M1071" s="10" t="s">
        <v>92</v>
      </c>
      <c r="N1071" s="10"/>
      <c r="O1071" s="30">
        <v>1.4207140184831557</v>
      </c>
      <c r="P1071" s="30">
        <v>1.6796251796107029</v>
      </c>
      <c r="Q1071" s="30">
        <v>124.74496427018947</v>
      </c>
      <c r="R1071" s="30">
        <v>-5.8656519832150904</v>
      </c>
      <c r="S1071" s="30">
        <v>1.1480633494744046</v>
      </c>
      <c r="T1071" s="30">
        <v>7.5060829325580619E-3</v>
      </c>
    </row>
    <row r="1072" spans="10:20" x14ac:dyDescent="0.25">
      <c r="J1072" s="10"/>
      <c r="K1072" s="10"/>
      <c r="L1072" s="10" t="s">
        <v>78</v>
      </c>
      <c r="M1072" s="10" t="s">
        <v>93</v>
      </c>
      <c r="N1072" s="10"/>
      <c r="O1072" s="30">
        <v>-15.364477714776477</v>
      </c>
      <c r="P1072" s="30">
        <v>-6.2478623234757604</v>
      </c>
      <c r="Q1072" s="30">
        <v>-93.618803386769855</v>
      </c>
      <c r="R1072" s="30">
        <v>28.746529416787183</v>
      </c>
      <c r="S1072" s="30">
        <v>-12.025860640972819</v>
      </c>
      <c r="T1072" s="30">
        <v>1.1001896283406188E-3</v>
      </c>
    </row>
    <row r="1073" spans="10:20" x14ac:dyDescent="0.25">
      <c r="J1073" s="10"/>
      <c r="K1073" s="10"/>
      <c r="L1073" s="10" t="s">
        <v>78</v>
      </c>
      <c r="M1073" s="10" t="s">
        <v>94</v>
      </c>
      <c r="N1073" s="10"/>
      <c r="O1073" s="30">
        <v>-7.3026131200303608</v>
      </c>
      <c r="P1073" s="30">
        <v>-3.070540150234216</v>
      </c>
      <c r="Q1073" s="30">
        <v>-12.952820599567898</v>
      </c>
      <c r="R1073" s="30">
        <v>14.613440464121966</v>
      </c>
      <c r="S1073" s="30">
        <v>-5.6989292796425044</v>
      </c>
      <c r="T1073" s="30">
        <v>4.8769296285638931E-3</v>
      </c>
    </row>
    <row r="1074" spans="10:20" x14ac:dyDescent="0.25">
      <c r="J1074" s="10"/>
      <c r="K1074" s="10"/>
      <c r="L1074" s="10" t="s">
        <v>78</v>
      </c>
      <c r="M1074" s="10" t="s">
        <v>95</v>
      </c>
      <c r="N1074" s="10"/>
      <c r="O1074" s="30">
        <v>19.158597084869019</v>
      </c>
      <c r="P1074" s="30">
        <v>-6.7952070274758576</v>
      </c>
      <c r="Q1074" s="30">
        <v>-102.44510426376104</v>
      </c>
      <c r="R1074" s="30">
        <v>31.408208204750977</v>
      </c>
      <c r="S1074" s="30">
        <v>15.095666660786277</v>
      </c>
      <c r="T1074" s="30">
        <v>-4.6436679075785567E-2</v>
      </c>
    </row>
    <row r="1075" spans="10:20" x14ac:dyDescent="0.25">
      <c r="J1075" s="10"/>
      <c r="K1075" s="10"/>
      <c r="L1075" s="10" t="s">
        <v>78</v>
      </c>
      <c r="M1075" s="10" t="s">
        <v>96</v>
      </c>
      <c r="N1075" s="10"/>
      <c r="O1075" s="30">
        <v>27.214645410788268</v>
      </c>
      <c r="P1075" s="30">
        <v>-3.6176214372073083</v>
      </c>
      <c r="Q1075" s="30">
        <v>-21.779038954173704</v>
      </c>
      <c r="R1075" s="30">
        <v>17.273184413422616</v>
      </c>
      <c r="S1075" s="30">
        <v>21.417933189917818</v>
      </c>
      <c r="T1075" s="30">
        <v>-4.229669653074955E-2</v>
      </c>
    </row>
    <row r="1076" spans="10:20" x14ac:dyDescent="0.25">
      <c r="J1076" s="10"/>
      <c r="K1076" s="10"/>
      <c r="L1076" s="10" t="s">
        <v>78</v>
      </c>
      <c r="M1076" s="10" t="s">
        <v>97</v>
      </c>
      <c r="N1076" s="10"/>
      <c r="O1076" s="30">
        <v>-18.784732349565644</v>
      </c>
      <c r="P1076" s="30">
        <v>-10.254910024553171</v>
      </c>
      <c r="Q1076" s="30">
        <v>-94.916763733529436</v>
      </c>
      <c r="R1076" s="30">
        <v>62.777859378457144</v>
      </c>
      <c r="S1076" s="30">
        <v>-14.709029925777719</v>
      </c>
      <c r="T1076" s="30">
        <v>-7.5431901231599657E-3</v>
      </c>
    </row>
    <row r="1077" spans="10:20" x14ac:dyDescent="0.25">
      <c r="J1077" s="10"/>
      <c r="K1077" s="10"/>
      <c r="L1077" s="10" t="s">
        <v>78</v>
      </c>
      <c r="M1077" s="10" t="s">
        <v>98</v>
      </c>
      <c r="N1077" s="10"/>
      <c r="O1077" s="30">
        <v>-10.668400317888189</v>
      </c>
      <c r="P1077" s="30">
        <v>-22.190713306343724</v>
      </c>
      <c r="Q1077" s="30">
        <v>23.460978503451358</v>
      </c>
      <c r="R1077" s="30">
        <v>145.84293376452311</v>
      </c>
      <c r="S1077" s="30">
        <v>-8.338850089012773</v>
      </c>
      <c r="T1077" s="30">
        <v>7.0989647311210172E-3</v>
      </c>
    </row>
    <row r="1078" spans="10:20" x14ac:dyDescent="0.25">
      <c r="J1078" s="10"/>
      <c r="K1078" s="10"/>
      <c r="L1078" s="10" t="s">
        <v>78</v>
      </c>
      <c r="M1078" s="10" t="s">
        <v>99</v>
      </c>
      <c r="N1078" s="10"/>
      <c r="O1078" s="30">
        <v>-18.878108739704196</v>
      </c>
      <c r="P1078" s="30">
        <v>-0.29204534665517679</v>
      </c>
      <c r="Q1078" s="30">
        <v>-92.992683809590858</v>
      </c>
      <c r="R1078" s="30">
        <v>-15.791229103026193</v>
      </c>
      <c r="S1078" s="30">
        <v>-14.782366937049625</v>
      </c>
      <c r="T1078" s="30">
        <v>-5.0804296229579196E-3</v>
      </c>
    </row>
    <row r="1079" spans="10:20" x14ac:dyDescent="0.25">
      <c r="J1079" s="10"/>
      <c r="K1079" s="10"/>
      <c r="L1079" s="10" t="s">
        <v>78</v>
      </c>
      <c r="M1079" s="10" t="s">
        <v>100</v>
      </c>
      <c r="N1079" s="10"/>
      <c r="O1079" s="30">
        <v>-10.988811073008467</v>
      </c>
      <c r="P1079" s="30">
        <v>13.234453667119626</v>
      </c>
      <c r="Q1079" s="30">
        <v>119.95841657868439</v>
      </c>
      <c r="R1079" s="30">
        <v>-97.039683476997084</v>
      </c>
      <c r="S1079" s="30">
        <v>-8.5896733048023872</v>
      </c>
      <c r="T1079" s="30">
        <v>1.0484443826582824E-2</v>
      </c>
    </row>
    <row r="1080" spans="10:20" x14ac:dyDescent="0.25">
      <c r="J1080" s="10"/>
      <c r="K1080" s="10"/>
      <c r="L1080" s="10" t="s">
        <v>78</v>
      </c>
      <c r="M1080" s="10" t="s">
        <v>101</v>
      </c>
      <c r="N1080" s="10"/>
      <c r="O1080" s="30">
        <v>-13.772231340937379</v>
      </c>
      <c r="P1080" s="30">
        <v>-4.0031129405739065</v>
      </c>
      <c r="Q1080" s="30">
        <v>-20.556639257628756</v>
      </c>
      <c r="R1080" s="30">
        <v>19.356759527808094</v>
      </c>
      <c r="S1080" s="30">
        <v>-10.776005791081936</v>
      </c>
      <c r="T1080" s="30">
        <v>5.6038988108330868E-3</v>
      </c>
    </row>
    <row r="1081" spans="10:20" x14ac:dyDescent="0.25">
      <c r="J1081" s="10"/>
      <c r="K1081" s="10"/>
      <c r="L1081" s="10" t="s">
        <v>78</v>
      </c>
      <c r="M1081" s="10" t="s">
        <v>102</v>
      </c>
      <c r="N1081" s="10"/>
      <c r="O1081" s="30">
        <v>-6.5165532056658728</v>
      </c>
      <c r="P1081" s="30">
        <v>-1.1435229846565171</v>
      </c>
      <c r="Q1081" s="30">
        <v>52.042745250852988</v>
      </c>
      <c r="R1081" s="30">
        <v>6.6369794704094005</v>
      </c>
      <c r="S1081" s="30">
        <v>-5.0817675658846539</v>
      </c>
      <c r="T1081" s="30">
        <v>9.0029648110340338E-3</v>
      </c>
    </row>
    <row r="1082" spans="10:20" x14ac:dyDescent="0.25">
      <c r="J1082" s="10"/>
      <c r="K1082" s="10"/>
      <c r="L1082" s="10" t="s">
        <v>78</v>
      </c>
      <c r="M1082" s="10" t="s">
        <v>103</v>
      </c>
      <c r="N1082" s="10"/>
      <c r="O1082" s="30">
        <v>17.298535978743569</v>
      </c>
      <c r="P1082" s="30">
        <v>-4.4957231741739951</v>
      </c>
      <c r="Q1082" s="30">
        <v>-28.500310046920809</v>
      </c>
      <c r="R1082" s="30">
        <v>21.752270436975511</v>
      </c>
      <c r="S1082" s="30">
        <v>13.633368780501247</v>
      </c>
      <c r="T1082" s="30">
        <v>-3.7179283022880476E-2</v>
      </c>
    </row>
    <row r="1083" spans="10:20" x14ac:dyDescent="0.25">
      <c r="J1083" s="10"/>
      <c r="K1083" s="10"/>
      <c r="L1083" s="10" t="s">
        <v>78</v>
      </c>
      <c r="M1083" s="10" t="s">
        <v>104</v>
      </c>
      <c r="N1083" s="10"/>
      <c r="O1083" s="30">
        <v>24.548979472070894</v>
      </c>
      <c r="P1083" s="30">
        <v>-1.6358961429323002</v>
      </c>
      <c r="Q1083" s="30">
        <v>44.099148731707778</v>
      </c>
      <c r="R1083" s="30">
        <v>9.0307490247799898</v>
      </c>
      <c r="S1083" s="30">
        <v>19.323408656719636</v>
      </c>
      <c r="T1083" s="30">
        <v>-3.345329873234807E-2</v>
      </c>
    </row>
    <row r="1084" spans="10:20" x14ac:dyDescent="0.25">
      <c r="J1084" s="10"/>
      <c r="K1084" s="10"/>
      <c r="L1084" s="10" t="s">
        <v>78</v>
      </c>
      <c r="M1084" s="10" t="s">
        <v>105</v>
      </c>
      <c r="N1084" s="10"/>
      <c r="O1084" s="30">
        <v>-16.850460512247633</v>
      </c>
      <c r="P1084" s="30">
        <v>-7.6094558715435774</v>
      </c>
      <c r="Q1084" s="30">
        <v>-21.72480356971241</v>
      </c>
      <c r="R1084" s="30">
        <v>49.98495649331106</v>
      </c>
      <c r="S1084" s="30">
        <v>-13.190858147406347</v>
      </c>
      <c r="T1084" s="30">
        <v>-2.1751429655174391E-3</v>
      </c>
    </row>
    <row r="1085" spans="10:20" x14ac:dyDescent="0.25">
      <c r="J1085" s="10"/>
      <c r="K1085" s="10"/>
      <c r="L1085" s="10" t="s">
        <v>78</v>
      </c>
      <c r="M1085" s="10" t="s">
        <v>106</v>
      </c>
      <c r="N1085" s="10"/>
      <c r="O1085" s="30">
        <v>-9.5457616837379184</v>
      </c>
      <c r="P1085" s="30">
        <v>-18.351678825155076</v>
      </c>
      <c r="Q1085" s="30">
        <v>84.815164443570325</v>
      </c>
      <c r="R1085" s="30">
        <v>124.74352344077043</v>
      </c>
      <c r="S1085" s="30">
        <v>-7.4576962943178966</v>
      </c>
      <c r="T1085" s="30">
        <v>1.1002796403335447E-2</v>
      </c>
    </row>
    <row r="1086" spans="10:20" x14ac:dyDescent="0.25">
      <c r="J1086" s="10"/>
      <c r="K1086" s="10"/>
      <c r="L1086" s="10" t="s">
        <v>78</v>
      </c>
      <c r="M1086" s="10" t="s">
        <v>107</v>
      </c>
      <c r="N1086" s="10"/>
      <c r="O1086" s="30">
        <v>-16.934499263372324</v>
      </c>
      <c r="P1086" s="30">
        <v>1.3571223385646183</v>
      </c>
      <c r="Q1086" s="30">
        <v>-19.993131638167682</v>
      </c>
      <c r="R1086" s="30">
        <v>-20.727223140023945</v>
      </c>
      <c r="S1086" s="30">
        <v>-13.256861457551063</v>
      </c>
      <c r="T1086" s="30">
        <v>4.1341484664401822E-5</v>
      </c>
    </row>
    <row r="1087" spans="10:20" x14ac:dyDescent="0.25">
      <c r="J1087" s="10"/>
      <c r="K1087" s="10"/>
      <c r="L1087" s="10" t="s">
        <v>78</v>
      </c>
      <c r="M1087" s="10" t="s">
        <v>108</v>
      </c>
      <c r="N1087" s="10"/>
      <c r="O1087" s="30">
        <v>-9.8341313633461702</v>
      </c>
      <c r="P1087" s="30">
        <v>13.530971450961937</v>
      </c>
      <c r="Q1087" s="30">
        <v>171.66285871128005</v>
      </c>
      <c r="R1087" s="30">
        <v>-93.85083207659774</v>
      </c>
      <c r="S1087" s="30">
        <v>-7.6834371885285497</v>
      </c>
      <c r="T1087" s="30">
        <v>1.4049727589251071E-2</v>
      </c>
    </row>
    <row r="1088" spans="10:20" x14ac:dyDescent="0.25">
      <c r="J1088" s="10"/>
      <c r="K1088" s="10"/>
      <c r="L1088" s="10" t="s">
        <v>78</v>
      </c>
      <c r="M1088" s="10" t="s">
        <v>109</v>
      </c>
      <c r="N1088" s="10"/>
      <c r="O1088" s="30">
        <v>-15.450750514263341</v>
      </c>
      <c r="P1088" s="30">
        <v>-4.7958616908825524</v>
      </c>
      <c r="Q1088" s="30">
        <v>-42.393016023324677</v>
      </c>
      <c r="R1088" s="30">
        <v>22.817977667808321</v>
      </c>
      <c r="S1088" s="30">
        <v>-12.09339819012666</v>
      </c>
      <c r="T1088" s="30">
        <v>4.9633094804113435E-3</v>
      </c>
    </row>
    <row r="1089" spans="10:20" x14ac:dyDescent="0.25">
      <c r="J1089" s="10"/>
      <c r="K1089" s="10"/>
      <c r="L1089" s="10" t="s">
        <v>78</v>
      </c>
      <c r="M1089" s="10" t="s">
        <v>110</v>
      </c>
      <c r="N1089" s="10"/>
      <c r="O1089" s="30">
        <v>-7.3888859195172252</v>
      </c>
      <c r="P1089" s="30">
        <v>-1.6185395176410087</v>
      </c>
      <c r="Q1089" s="30">
        <v>38.272966763877271</v>
      </c>
      <c r="R1089" s="30">
        <v>8.6848887151431047</v>
      </c>
      <c r="S1089" s="30">
        <v>-5.7664668287963448</v>
      </c>
      <c r="T1089" s="30">
        <v>8.7400494806346169E-3</v>
      </c>
    </row>
    <row r="1090" spans="10:20" x14ac:dyDescent="0.25">
      <c r="J1090" s="10"/>
      <c r="K1090" s="10"/>
      <c r="L1090" s="10" t="s">
        <v>78</v>
      </c>
      <c r="M1090" s="10" t="s">
        <v>111</v>
      </c>
      <c r="N1090" s="10"/>
      <c r="O1090" s="30">
        <v>19.072324285382159</v>
      </c>
      <c r="P1090" s="30">
        <v>-5.3432063948826505</v>
      </c>
      <c r="Q1090" s="30">
        <v>-51.21931690031586</v>
      </c>
      <c r="R1090" s="30">
        <v>25.479656455772119</v>
      </c>
      <c r="S1090" s="30">
        <v>15.028129111632436</v>
      </c>
      <c r="T1090" s="30">
        <v>-4.2573559223714842E-2</v>
      </c>
    </row>
    <row r="1091" spans="10:20" x14ac:dyDescent="0.25">
      <c r="J1091" s="10"/>
      <c r="K1091" s="10"/>
      <c r="L1091" s="10" t="s">
        <v>78</v>
      </c>
      <c r="M1091" s="10" t="s">
        <v>112</v>
      </c>
      <c r="N1091" s="10"/>
      <c r="O1091" s="30">
        <v>27.128372611301408</v>
      </c>
      <c r="P1091" s="30">
        <v>-2.1656208046141017</v>
      </c>
      <c r="Q1091" s="30">
        <v>29.446748409271468</v>
      </c>
      <c r="R1091" s="30">
        <v>11.344632664443758</v>
      </c>
      <c r="S1091" s="30">
        <v>21.350395640763978</v>
      </c>
      <c r="T1091" s="30">
        <v>-3.8433576678678825E-2</v>
      </c>
    </row>
    <row r="1092" spans="10:20" x14ac:dyDescent="0.25">
      <c r="J1092" s="10"/>
      <c r="K1092" s="10"/>
      <c r="L1092" s="10" t="s">
        <v>78</v>
      </c>
      <c r="M1092" s="10" t="s">
        <v>113</v>
      </c>
      <c r="N1092" s="10"/>
      <c r="O1092" s="30">
        <v>-18.871005149052507</v>
      </c>
      <c r="P1092" s="30">
        <v>-8.8029093919599664</v>
      </c>
      <c r="Q1092" s="30">
        <v>-43.690976370084265</v>
      </c>
      <c r="R1092" s="30">
        <v>56.849307629478282</v>
      </c>
      <c r="S1092" s="30">
        <v>-14.776567474931559</v>
      </c>
      <c r="T1092" s="30">
        <v>-3.6800702710892419E-3</v>
      </c>
    </row>
    <row r="1093" spans="10:20" x14ac:dyDescent="0.25">
      <c r="J1093" s="10"/>
      <c r="K1093" s="10"/>
      <c r="L1093" s="10" t="s">
        <v>78</v>
      </c>
      <c r="M1093" s="10" t="s">
        <v>114</v>
      </c>
      <c r="N1093" s="10"/>
      <c r="O1093" s="30">
        <v>-10.754673117375052</v>
      </c>
      <c r="P1093" s="30">
        <v>-20.738712673750516</v>
      </c>
      <c r="Q1093" s="30">
        <v>74.686765866896536</v>
      </c>
      <c r="R1093" s="30">
        <v>139.91438201554422</v>
      </c>
      <c r="S1093" s="30">
        <v>-8.4063876381666134</v>
      </c>
      <c r="T1093" s="30">
        <v>1.0962084583191742E-2</v>
      </c>
    </row>
    <row r="1094" spans="10:20" x14ac:dyDescent="0.25">
      <c r="J1094" s="10"/>
      <c r="K1094" s="10"/>
      <c r="L1094" s="10" t="s">
        <v>78</v>
      </c>
      <c r="M1094" s="10" t="s">
        <v>115</v>
      </c>
      <c r="N1094" s="10"/>
      <c r="O1094" s="30">
        <v>-18.964381539191056</v>
      </c>
      <c r="P1094" s="30">
        <v>1.1599552859380304</v>
      </c>
      <c r="Q1094" s="30">
        <v>-41.766896446145687</v>
      </c>
      <c r="R1094" s="30">
        <v>-21.719780852005055</v>
      </c>
      <c r="S1094" s="30">
        <v>-14.849904486203465</v>
      </c>
      <c r="T1094" s="30">
        <v>-1.2173097708871961E-3</v>
      </c>
    </row>
    <row r="1095" spans="10:20" x14ac:dyDescent="0.25">
      <c r="J1095" s="10"/>
      <c r="K1095" s="10"/>
      <c r="L1095" s="10" t="s">
        <v>78</v>
      </c>
      <c r="M1095" s="10" t="s">
        <v>116</v>
      </c>
      <c r="N1095" s="10"/>
      <c r="O1095" s="30">
        <v>-11.075083872495332</v>
      </c>
      <c r="P1095" s="30">
        <v>14.68645429971283</v>
      </c>
      <c r="Q1095" s="30">
        <v>171.18420394212956</v>
      </c>
      <c r="R1095" s="30">
        <v>-102.96823522597593</v>
      </c>
      <c r="S1095" s="30">
        <v>-8.6572108539562276</v>
      </c>
      <c r="T1095" s="30">
        <v>1.4347563678653547E-2</v>
      </c>
    </row>
    <row r="1096" spans="10:20" x14ac:dyDescent="0.25">
      <c r="J1096" s="10"/>
      <c r="K1096" s="10"/>
      <c r="L1096" s="10" t="s">
        <v>79</v>
      </c>
      <c r="M1096" s="10" t="s">
        <v>91</v>
      </c>
      <c r="N1096" s="10"/>
      <c r="O1096" s="30">
        <v>1.3774120901008309</v>
      </c>
      <c r="P1096" s="30">
        <v>-6.6180532022216267</v>
      </c>
      <c r="Q1096" s="30">
        <v>49.99894459095286</v>
      </c>
      <c r="R1096" s="30">
        <v>29.694674891154857</v>
      </c>
      <c r="S1096" s="30">
        <v>1.1184334530149376</v>
      </c>
      <c r="T1096" s="30">
        <v>-1.3738299704721744E-3</v>
      </c>
    </row>
    <row r="1097" spans="10:20" x14ac:dyDescent="0.25">
      <c r="J1097" s="10"/>
      <c r="K1097" s="10"/>
      <c r="L1097" s="10" t="s">
        <v>79</v>
      </c>
      <c r="M1097" s="10" t="s">
        <v>92</v>
      </c>
      <c r="N1097" s="10"/>
      <c r="O1097" s="30">
        <v>1.0685409902571741</v>
      </c>
      <c r="P1097" s="30">
        <v>-18.621319219971248</v>
      </c>
      <c r="Q1097" s="30">
        <v>77.760220185253146</v>
      </c>
      <c r="R1097" s="30">
        <v>82.286673366605982</v>
      </c>
      <c r="S1097" s="30">
        <v>0.88137461441369391</v>
      </c>
      <c r="T1097" s="30">
        <v>-2.5352996499222158E-3</v>
      </c>
    </row>
    <row r="1098" spans="10:20" x14ac:dyDescent="0.25">
      <c r="J1098" s="10"/>
      <c r="K1098" s="10"/>
      <c r="L1098" s="10" t="s">
        <v>79</v>
      </c>
      <c r="M1098" s="10" t="s">
        <v>93</v>
      </c>
      <c r="N1098" s="10"/>
      <c r="O1098" s="30">
        <v>-9.9297342036478788</v>
      </c>
      <c r="P1098" s="30">
        <v>5.1820503908101045</v>
      </c>
      <c r="Q1098" s="30">
        <v>-34.049124413603636</v>
      </c>
      <c r="R1098" s="30">
        <v>-53.534811871891854</v>
      </c>
      <c r="S1098" s="30">
        <v>-7.6887229115874893</v>
      </c>
      <c r="T1098" s="30">
        <v>5.1046401672356564E-3</v>
      </c>
    </row>
    <row r="1099" spans="10:20" x14ac:dyDescent="0.25">
      <c r="J1099" s="10"/>
      <c r="K1099" s="10"/>
      <c r="L1099" s="10" t="s">
        <v>79</v>
      </c>
      <c r="M1099" s="10" t="s">
        <v>94</v>
      </c>
      <c r="N1099" s="10"/>
      <c r="O1099" s="30">
        <v>-6.6852869966963215</v>
      </c>
      <c r="P1099" s="30">
        <v>0.67550390975750707</v>
      </c>
      <c r="Q1099" s="30">
        <v>8.1586387931636555</v>
      </c>
      <c r="R1099" s="30">
        <v>-16.081318009615092</v>
      </c>
      <c r="S1099" s="30">
        <v>-5.1124350853926623</v>
      </c>
      <c r="T1099" s="30">
        <v>3.6331174267967316E-3</v>
      </c>
    </row>
    <row r="1100" spans="10:20" x14ac:dyDescent="0.25">
      <c r="J1100" s="10"/>
      <c r="K1100" s="10"/>
      <c r="L1100" s="10" t="s">
        <v>79</v>
      </c>
      <c r="M1100" s="10" t="s">
        <v>95</v>
      </c>
      <c r="N1100" s="10"/>
      <c r="O1100" s="30">
        <v>14.514629034484264</v>
      </c>
      <c r="P1100" s="30">
        <v>-1.7041105324094357</v>
      </c>
      <c r="Q1100" s="30">
        <v>-40.039057698255007</v>
      </c>
      <c r="R1100" s="30">
        <v>-36.502266303112393</v>
      </c>
      <c r="S1100" s="30">
        <v>11.352105303933845</v>
      </c>
      <c r="T1100" s="30">
        <v>8.4675577525704135E-2</v>
      </c>
    </row>
    <row r="1101" spans="10:20" x14ac:dyDescent="0.25">
      <c r="J1101" s="10"/>
      <c r="K1101" s="10"/>
      <c r="L1101" s="10" t="s">
        <v>79</v>
      </c>
      <c r="M1101" s="10" t="s">
        <v>96</v>
      </c>
      <c r="N1101" s="10"/>
      <c r="O1101" s="30">
        <v>17.765610858208639</v>
      </c>
      <c r="P1101" s="30">
        <v>-6.2116620322437326</v>
      </c>
      <c r="Q1101" s="30">
        <v>2.1687966429899528</v>
      </c>
      <c r="R1101" s="30">
        <v>0.95697354986941419</v>
      </c>
      <c r="S1101" s="30">
        <v>13.933214526591586</v>
      </c>
      <c r="T1101" s="30">
        <v>8.2411191116802757E-2</v>
      </c>
    </row>
    <row r="1102" spans="10:20" x14ac:dyDescent="0.25">
      <c r="J1102" s="10"/>
      <c r="K1102" s="10"/>
      <c r="L1102" s="10" t="s">
        <v>79</v>
      </c>
      <c r="M1102" s="10" t="s">
        <v>97</v>
      </c>
      <c r="N1102" s="10"/>
      <c r="O1102" s="30">
        <v>-6.8364953497889287</v>
      </c>
      <c r="P1102" s="30">
        <v>3.908462349217757</v>
      </c>
      <c r="Q1102" s="30">
        <v>-29.133573650508225</v>
      </c>
      <c r="R1102" s="30">
        <v>-23.204391566390132</v>
      </c>
      <c r="S1102" s="30">
        <v>-5.3999072019754522</v>
      </c>
      <c r="T1102" s="30">
        <v>2.8397679375228376E-4</v>
      </c>
    </row>
    <row r="1103" spans="10:20" x14ac:dyDescent="0.25">
      <c r="J1103" s="10"/>
      <c r="K1103" s="10"/>
      <c r="L1103" s="10" t="s">
        <v>79</v>
      </c>
      <c r="M1103" s="10" t="s">
        <v>98</v>
      </c>
      <c r="N1103" s="10"/>
      <c r="O1103" s="30">
        <v>-4.2445158755822288</v>
      </c>
      <c r="P1103" s="30">
        <v>-12.353276352598646</v>
      </c>
      <c r="Q1103" s="30">
        <v>24.436306785916283</v>
      </c>
      <c r="R1103" s="30">
        <v>93.115021089434961</v>
      </c>
      <c r="S1103" s="30">
        <v>-3.3284260140821318</v>
      </c>
      <c r="T1103" s="30">
        <v>1.1293354157127361E-3</v>
      </c>
    </row>
    <row r="1104" spans="10:20" x14ac:dyDescent="0.25">
      <c r="J1104" s="10"/>
      <c r="K1104" s="10"/>
      <c r="L1104" s="10" t="s">
        <v>79</v>
      </c>
      <c r="M1104" s="10" t="s">
        <v>99</v>
      </c>
      <c r="N1104" s="10"/>
      <c r="O1104" s="30">
        <v>-9.6771756658379271</v>
      </c>
      <c r="P1104" s="30">
        <v>52.0692955202964</v>
      </c>
      <c r="Q1104" s="30">
        <v>-46.224427284624916</v>
      </c>
      <c r="R1104" s="30">
        <v>-220.56484349922795</v>
      </c>
      <c r="S1104" s="30">
        <v>-7.6574872642137555</v>
      </c>
      <c r="T1104" s="30">
        <v>1.2483272782763332E-2</v>
      </c>
    </row>
    <row r="1105" spans="10:20" x14ac:dyDescent="0.25">
      <c r="J1105" s="10"/>
      <c r="K1105" s="10"/>
      <c r="L1105" s="10" t="s">
        <v>79</v>
      </c>
      <c r="M1105" s="10" t="s">
        <v>100</v>
      </c>
      <c r="N1105" s="10"/>
      <c r="O1105" s="30">
        <v>-7.2415908209708029</v>
      </c>
      <c r="P1105" s="30">
        <v>26.407210567682796</v>
      </c>
      <c r="Q1105" s="30">
        <v>72.183129055614302</v>
      </c>
      <c r="R1105" s="30">
        <v>-113.71728226158176</v>
      </c>
      <c r="S1105" s="30">
        <v>-5.7049233555990586</v>
      </c>
      <c r="T1105" s="30">
        <v>2.6367041859417166E-3</v>
      </c>
    </row>
    <row r="1106" spans="10:20" x14ac:dyDescent="0.25">
      <c r="J1106" s="10"/>
      <c r="K1106" s="10"/>
      <c r="L1106" s="10" t="s">
        <v>79</v>
      </c>
      <c r="M1106" s="10" t="s">
        <v>101</v>
      </c>
      <c r="N1106" s="10"/>
      <c r="O1106" s="30">
        <v>-9.1078906741166641</v>
      </c>
      <c r="P1106" s="30">
        <v>-8.0012259862426873</v>
      </c>
      <c r="Q1106" s="30">
        <v>2.1169580811522897</v>
      </c>
      <c r="R1106" s="30">
        <v>7.3801352798639366</v>
      </c>
      <c r="S1106" s="30">
        <v>-7.0450661137284909</v>
      </c>
      <c r="T1106" s="30">
        <v>3.2953234740148328E-3</v>
      </c>
    </row>
    <row r="1107" spans="10:20" x14ac:dyDescent="0.25">
      <c r="J1107" s="10"/>
      <c r="K1107" s="10"/>
      <c r="L1107" s="10" t="s">
        <v>79</v>
      </c>
      <c r="M1107" s="10" t="s">
        <v>102</v>
      </c>
      <c r="N1107" s="10"/>
      <c r="O1107" s="30">
        <v>-6.1878881878602625</v>
      </c>
      <c r="P1107" s="30">
        <v>-12.057117819190026</v>
      </c>
      <c r="Q1107" s="30">
        <v>40.103944967242853</v>
      </c>
      <c r="R1107" s="30">
        <v>41.088279755913014</v>
      </c>
      <c r="S1107" s="30">
        <v>-4.7264070701531455</v>
      </c>
      <c r="T1107" s="30">
        <v>1.9709530076198003E-3</v>
      </c>
    </row>
    <row r="1108" spans="10:20" x14ac:dyDescent="0.25">
      <c r="J1108" s="10"/>
      <c r="K1108" s="10"/>
      <c r="L1108" s="10" t="s">
        <v>79</v>
      </c>
      <c r="M1108" s="10" t="s">
        <v>103</v>
      </c>
      <c r="N1108" s="10"/>
      <c r="O1108" s="30">
        <v>12.892036240202263</v>
      </c>
      <c r="P1108" s="30">
        <v>-14.198770817140275</v>
      </c>
      <c r="Q1108" s="30">
        <v>-3.2739818750339467</v>
      </c>
      <c r="R1108" s="30">
        <v>22.709426291765453</v>
      </c>
      <c r="S1108" s="30">
        <v>10.09167928024071</v>
      </c>
      <c r="T1108" s="30">
        <v>7.4909167096636461E-2</v>
      </c>
    </row>
    <row r="1109" spans="10:20" x14ac:dyDescent="0.25">
      <c r="J1109" s="10"/>
      <c r="K1109" s="10"/>
      <c r="L1109" s="10" t="s">
        <v>79</v>
      </c>
      <c r="M1109" s="10" t="s">
        <v>104</v>
      </c>
      <c r="N1109" s="10"/>
      <c r="O1109" s="30">
        <v>15.8179198815542</v>
      </c>
      <c r="P1109" s="30">
        <v>-18.255567166991142</v>
      </c>
      <c r="Q1109" s="30">
        <v>34.71308703208652</v>
      </c>
      <c r="R1109" s="30">
        <v>56.422742159449072</v>
      </c>
      <c r="S1109" s="30">
        <v>12.414677580632677</v>
      </c>
      <c r="T1109" s="30">
        <v>7.2871219328625225E-2</v>
      </c>
    </row>
    <row r="1110" spans="10:20" x14ac:dyDescent="0.25">
      <c r="J1110" s="10"/>
      <c r="K1110" s="10"/>
      <c r="L1110" s="10" t="s">
        <v>79</v>
      </c>
      <c r="M1110" s="10" t="s">
        <v>105</v>
      </c>
      <c r="N1110" s="10"/>
      <c r="O1110" s="30">
        <v>-6.3239757056436101</v>
      </c>
      <c r="P1110" s="30">
        <v>-9.1474552236758004</v>
      </c>
      <c r="Q1110" s="30">
        <v>6.5409537679381602</v>
      </c>
      <c r="R1110" s="30">
        <v>34.677513554815484</v>
      </c>
      <c r="S1110" s="30">
        <v>-4.9851319750776568</v>
      </c>
      <c r="T1110" s="30">
        <v>-1.0432735621202032E-3</v>
      </c>
    </row>
    <row r="1111" spans="10:20" x14ac:dyDescent="0.25">
      <c r="J1111" s="10"/>
      <c r="K1111" s="10"/>
      <c r="L1111" s="10" t="s">
        <v>79</v>
      </c>
      <c r="M1111" s="10" t="s">
        <v>106</v>
      </c>
      <c r="N1111" s="10"/>
      <c r="O1111" s="30">
        <v>-3.9911941788575795</v>
      </c>
      <c r="P1111" s="30">
        <v>-23.783020055310562</v>
      </c>
      <c r="Q1111" s="30">
        <v>54.753846160720222</v>
      </c>
      <c r="R1111" s="30">
        <v>139.36498494505807</v>
      </c>
      <c r="S1111" s="30">
        <v>-3.1207989059736687</v>
      </c>
      <c r="T1111" s="30">
        <v>-2.8245080235579591E-4</v>
      </c>
    </row>
    <row r="1112" spans="10:20" x14ac:dyDescent="0.25">
      <c r="J1112" s="10"/>
      <c r="K1112" s="10"/>
      <c r="L1112" s="10" t="s">
        <v>79</v>
      </c>
      <c r="M1112" s="10" t="s">
        <v>107</v>
      </c>
      <c r="N1112" s="10"/>
      <c r="O1112" s="30">
        <v>-8.8805879900877098</v>
      </c>
      <c r="P1112" s="30">
        <v>34.197294630294977</v>
      </c>
      <c r="Q1112" s="30">
        <v>-8.8408145027668485</v>
      </c>
      <c r="R1112" s="30">
        <v>-142.94689318473854</v>
      </c>
      <c r="S1112" s="30">
        <v>-7.0169540310921299</v>
      </c>
      <c r="T1112" s="30">
        <v>9.9360928279897398E-3</v>
      </c>
    </row>
    <row r="1113" spans="10:20" x14ac:dyDescent="0.25">
      <c r="J1113" s="10"/>
      <c r="K1113" s="10"/>
      <c r="L1113" s="10" t="s">
        <v>79</v>
      </c>
      <c r="M1113" s="10" t="s">
        <v>108</v>
      </c>
      <c r="N1113" s="10"/>
      <c r="O1113" s="30">
        <v>-6.6885616297072961</v>
      </c>
      <c r="P1113" s="30">
        <v>11.101418172942735</v>
      </c>
      <c r="Q1113" s="30">
        <v>97.725986203448443</v>
      </c>
      <c r="R1113" s="30">
        <v>-46.784088070856988</v>
      </c>
      <c r="S1113" s="30">
        <v>-5.259646513338903</v>
      </c>
      <c r="T1113" s="30">
        <v>1.0741810908502863E-3</v>
      </c>
    </row>
    <row r="1114" spans="10:20" x14ac:dyDescent="0.25">
      <c r="J1114" s="10"/>
      <c r="K1114" s="10"/>
      <c r="L1114" s="10" t="s">
        <v>79</v>
      </c>
      <c r="M1114" s="10" t="s">
        <v>109</v>
      </c>
      <c r="N1114" s="10"/>
      <c r="O1114" s="30">
        <v>-10.207718193507169</v>
      </c>
      <c r="P1114" s="30">
        <v>-5.6208890251645522</v>
      </c>
      <c r="Q1114" s="30">
        <v>-9.0639763787333774</v>
      </c>
      <c r="R1114" s="30">
        <v>-6.2020132439858449</v>
      </c>
      <c r="S1114" s="30">
        <v>-7.9020758663286088</v>
      </c>
      <c r="T1114" s="30">
        <v>4.0593174557306197E-3</v>
      </c>
    </row>
    <row r="1115" spans="10:20" x14ac:dyDescent="0.25">
      <c r="J1115" s="10"/>
      <c r="K1115" s="10"/>
      <c r="L1115" s="10" t="s">
        <v>79</v>
      </c>
      <c r="M1115" s="10" t="s">
        <v>110</v>
      </c>
      <c r="N1115" s="10"/>
      <c r="O1115" s="30">
        <v>-6.9632709865556119</v>
      </c>
      <c r="P1115" s="30">
        <v>-10.12743550621715</v>
      </c>
      <c r="Q1115" s="30">
        <v>33.14378682803391</v>
      </c>
      <c r="R1115" s="30">
        <v>31.251480618290923</v>
      </c>
      <c r="S1115" s="30">
        <v>-5.3257880401337809</v>
      </c>
      <c r="T1115" s="30">
        <v>2.5877947152916948E-3</v>
      </c>
    </row>
    <row r="1116" spans="10:20" x14ac:dyDescent="0.25">
      <c r="J1116" s="10"/>
      <c r="K1116" s="10"/>
      <c r="L1116" s="10" t="s">
        <v>79</v>
      </c>
      <c r="M1116" s="10" t="s">
        <v>111</v>
      </c>
      <c r="N1116" s="10"/>
      <c r="O1116" s="30">
        <v>14.236645044624973</v>
      </c>
      <c r="P1116" s="30">
        <v>-12.507049948384092</v>
      </c>
      <c r="Q1116" s="30">
        <v>-15.053909663384749</v>
      </c>
      <c r="R1116" s="30">
        <v>10.830532324793626</v>
      </c>
      <c r="S1116" s="30">
        <v>11.138752349192725</v>
      </c>
      <c r="T1116" s="30">
        <v>8.3630254814199098E-2</v>
      </c>
    </row>
    <row r="1117" spans="10:20" x14ac:dyDescent="0.25">
      <c r="J1117" s="10"/>
      <c r="K1117" s="10"/>
      <c r="L1117" s="10" t="s">
        <v>79</v>
      </c>
      <c r="M1117" s="10" t="s">
        <v>112</v>
      </c>
      <c r="N1117" s="10"/>
      <c r="O1117" s="30">
        <v>17.487626868349349</v>
      </c>
      <c r="P1117" s="30">
        <v>-17.014601448218389</v>
      </c>
      <c r="Q1117" s="30">
        <v>27.15394467786021</v>
      </c>
      <c r="R1117" s="30">
        <v>48.289772177775433</v>
      </c>
      <c r="S1117" s="30">
        <v>13.719861571850466</v>
      </c>
      <c r="T1117" s="30">
        <v>8.1365868405297706E-2</v>
      </c>
    </row>
    <row r="1118" spans="10:20" x14ac:dyDescent="0.25">
      <c r="J1118" s="10"/>
      <c r="K1118" s="10"/>
      <c r="L1118" s="10" t="s">
        <v>79</v>
      </c>
      <c r="M1118" s="10" t="s">
        <v>113</v>
      </c>
      <c r="N1118" s="10"/>
      <c r="O1118" s="30">
        <v>-7.11447933964822</v>
      </c>
      <c r="P1118" s="30">
        <v>-6.8944770667568998</v>
      </c>
      <c r="Q1118" s="30">
        <v>-4.1484256156379695</v>
      </c>
      <c r="R1118" s="30">
        <v>24.128407061515883</v>
      </c>
      <c r="S1118" s="30">
        <v>-5.6132601567165716</v>
      </c>
      <c r="T1118" s="30">
        <v>-7.6134591775275321E-4</v>
      </c>
    </row>
    <row r="1119" spans="10:20" x14ac:dyDescent="0.25">
      <c r="J1119" s="10"/>
      <c r="K1119" s="10"/>
      <c r="L1119" s="10" t="s">
        <v>79</v>
      </c>
      <c r="M1119" s="10" t="s">
        <v>114</v>
      </c>
      <c r="N1119" s="10"/>
      <c r="O1119" s="30">
        <v>-4.5224998654415192</v>
      </c>
      <c r="P1119" s="30">
        <v>-23.156215768573304</v>
      </c>
      <c r="Q1119" s="30">
        <v>49.421454820786536</v>
      </c>
      <c r="R1119" s="30">
        <v>140.44781971734096</v>
      </c>
      <c r="S1119" s="30">
        <v>-3.5417789688232513</v>
      </c>
      <c r="T1119" s="30">
        <v>8.4012704207699228E-5</v>
      </c>
    </row>
    <row r="1120" spans="10:20" x14ac:dyDescent="0.25">
      <c r="J1120" s="10"/>
      <c r="K1120" s="10"/>
      <c r="L1120" s="10" t="s">
        <v>79</v>
      </c>
      <c r="M1120" s="10" t="s">
        <v>115</v>
      </c>
      <c r="N1120" s="10"/>
      <c r="O1120" s="30">
        <v>-9.9551596556972193</v>
      </c>
      <c r="P1120" s="30">
        <v>41.266356104321744</v>
      </c>
      <c r="Q1120" s="30">
        <v>-21.239279249754656</v>
      </c>
      <c r="R1120" s="30">
        <v>-173.23204487132193</v>
      </c>
      <c r="S1120" s="30">
        <v>-7.870840218954875</v>
      </c>
      <c r="T1120" s="30">
        <v>1.1437950071258295E-2</v>
      </c>
    </row>
    <row r="1121" spans="10:20" x14ac:dyDescent="0.25">
      <c r="J1121" s="10"/>
      <c r="K1121" s="10"/>
      <c r="L1121" s="10" t="s">
        <v>79</v>
      </c>
      <c r="M1121" s="10" t="s">
        <v>116</v>
      </c>
      <c r="N1121" s="10"/>
      <c r="O1121" s="30">
        <v>-7.5195748108300933</v>
      </c>
      <c r="P1121" s="30">
        <v>15.604271151708138</v>
      </c>
      <c r="Q1121" s="30">
        <v>97.168277090484565</v>
      </c>
      <c r="R1121" s="30">
        <v>-66.384483633675757</v>
      </c>
      <c r="S1121" s="30">
        <v>-5.9182763103401772</v>
      </c>
      <c r="T1121" s="30">
        <v>1.5913814744366796E-3</v>
      </c>
    </row>
    <row r="1122" spans="10:20" x14ac:dyDescent="0.25">
      <c r="J1122" s="10"/>
      <c r="K1122" s="10"/>
      <c r="L1122" s="10" t="s">
        <v>80</v>
      </c>
      <c r="M1122" s="10" t="s">
        <v>91</v>
      </c>
      <c r="N1122" s="10"/>
      <c r="O1122" s="30">
        <v>4.0633455248086516</v>
      </c>
      <c r="P1122" s="30">
        <v>6.9058044580594782</v>
      </c>
      <c r="Q1122" s="30">
        <v>49.661474015998436</v>
      </c>
      <c r="R1122" s="30">
        <v>-30.181465867392426</v>
      </c>
      <c r="S1122" s="30">
        <v>2.7050076068865274</v>
      </c>
      <c r="T1122" s="30">
        <v>-5.7447314149749483E-2</v>
      </c>
    </row>
    <row r="1123" spans="10:20" x14ac:dyDescent="0.25">
      <c r="J1123" s="10"/>
      <c r="K1123" s="10"/>
      <c r="L1123" s="10" t="s">
        <v>80</v>
      </c>
      <c r="M1123" s="10" t="s">
        <v>92</v>
      </c>
      <c r="N1123" s="10"/>
      <c r="O1123" s="30">
        <v>3.6688202550370859</v>
      </c>
      <c r="P1123" s="30">
        <v>18.812689312875428</v>
      </c>
      <c r="Q1123" s="30">
        <v>76.795416652454136</v>
      </c>
      <c r="R1123" s="30">
        <v>-81.849142277088532</v>
      </c>
      <c r="S1123" s="30">
        <v>2.3382608546486399</v>
      </c>
      <c r="T1123" s="30">
        <v>-0.12735573051075647</v>
      </c>
    </row>
    <row r="1124" spans="10:20" x14ac:dyDescent="0.25">
      <c r="J1124" s="10"/>
      <c r="K1124" s="10"/>
      <c r="L1124" s="10" t="s">
        <v>80</v>
      </c>
      <c r="M1124" s="10" t="s">
        <v>93</v>
      </c>
      <c r="N1124" s="10"/>
      <c r="O1124" s="30">
        <v>-10.464793114503674</v>
      </c>
      <c r="P1124" s="30">
        <v>-4.6902178969810766</v>
      </c>
      <c r="Q1124" s="30">
        <v>-45.083522044367228</v>
      </c>
      <c r="R1124" s="30">
        <v>51.566432322547911</v>
      </c>
      <c r="S1124" s="30">
        <v>-10.023839164540286</v>
      </c>
      <c r="T1124" s="30">
        <v>8.2784390058849563E-2</v>
      </c>
    </row>
    <row r="1125" spans="10:20" x14ac:dyDescent="0.25">
      <c r="J1125" s="10"/>
      <c r="K1125" s="10"/>
      <c r="L1125" s="10" t="s">
        <v>80</v>
      </c>
      <c r="M1125" s="10" t="s">
        <v>94</v>
      </c>
      <c r="N1125" s="10"/>
      <c r="O1125" s="30">
        <v>-3.653102789783532</v>
      </c>
      <c r="P1125" s="30">
        <v>-0.26690332591519378</v>
      </c>
      <c r="Q1125" s="30">
        <v>-1.7680180598821387</v>
      </c>
      <c r="R1125" s="30">
        <v>14.822102855886168</v>
      </c>
      <c r="S1125" s="30">
        <v>-4.7818459255377226</v>
      </c>
      <c r="T1125" s="30">
        <v>1.75218804508212E-2</v>
      </c>
    </row>
    <row r="1126" spans="10:20" x14ac:dyDescent="0.25">
      <c r="J1126" s="10"/>
      <c r="K1126" s="10"/>
      <c r="L1126" s="10" t="s">
        <v>80</v>
      </c>
      <c r="M1126" s="10" t="s">
        <v>95</v>
      </c>
      <c r="N1126" s="10"/>
      <c r="O1126" s="30">
        <v>21.192920560756338</v>
      </c>
      <c r="P1126" s="30">
        <v>-15.939587593299992</v>
      </c>
      <c r="Q1126" s="30">
        <v>-72.082319252747212</v>
      </c>
      <c r="R1126" s="30">
        <v>110.95215827131128</v>
      </c>
      <c r="S1126" s="30">
        <v>17.7476340408267</v>
      </c>
      <c r="T1126" s="30">
        <v>7.3860505604349314E-2</v>
      </c>
    </row>
    <row r="1127" spans="10:20" x14ac:dyDescent="0.25">
      <c r="J1127" s="10"/>
      <c r="K1127" s="10"/>
      <c r="L1127" s="10" t="s">
        <v>80</v>
      </c>
      <c r="M1127" s="10" t="s">
        <v>96</v>
      </c>
      <c r="N1127" s="10"/>
      <c r="O1127" s="30">
        <v>28.00812833048786</v>
      </c>
      <c r="P1127" s="30">
        <v>-11.382912899257541</v>
      </c>
      <c r="Q1127" s="30">
        <v>-28.271988769289123</v>
      </c>
      <c r="R1127" s="30">
        <v>73.655736542359563</v>
      </c>
      <c r="S1127" s="30">
        <v>22.99460444662148</v>
      </c>
      <c r="T1127" s="30">
        <v>8.7339948937241261E-3</v>
      </c>
    </row>
    <row r="1128" spans="10:20" x14ac:dyDescent="0.25">
      <c r="J1128" s="10"/>
      <c r="K1128" s="10"/>
      <c r="L1128" s="10" t="s">
        <v>80</v>
      </c>
      <c r="M1128" s="10" t="s">
        <v>97</v>
      </c>
      <c r="N1128" s="10"/>
      <c r="O1128" s="30">
        <v>-19.473492896169091</v>
      </c>
      <c r="P1128" s="30">
        <v>-52.438817844162109</v>
      </c>
      <c r="Q1128" s="30">
        <v>-56.135079077169657</v>
      </c>
      <c r="R1128" s="30">
        <v>221.84558415351742</v>
      </c>
      <c r="S1128" s="30">
        <v>-15.221972804845862</v>
      </c>
      <c r="T1128" s="30">
        <v>0.24046752558936588</v>
      </c>
    </row>
    <row r="1129" spans="10:20" x14ac:dyDescent="0.25">
      <c r="J1129" s="10"/>
      <c r="K1129" s="10"/>
      <c r="L1129" s="10" t="s">
        <v>80</v>
      </c>
      <c r="M1129" s="10" t="s">
        <v>98</v>
      </c>
      <c r="N1129" s="10"/>
      <c r="O1129" s="30">
        <v>-13.74641392371567</v>
      </c>
      <c r="P1129" s="30">
        <v>-26.012456496492394</v>
      </c>
      <c r="Q1129" s="30">
        <v>68.135118053985906</v>
      </c>
      <c r="R1129" s="30">
        <v>112.50609701477437</v>
      </c>
      <c r="S1129" s="30">
        <v>-10.962486810009372</v>
      </c>
      <c r="T1129" s="30">
        <v>7.0015326049115173E-2</v>
      </c>
    </row>
    <row r="1130" spans="10:20" x14ac:dyDescent="0.25">
      <c r="J1130" s="10"/>
      <c r="K1130" s="10"/>
      <c r="L1130" s="10" t="s">
        <v>80</v>
      </c>
      <c r="M1130" s="10" t="s">
        <v>99</v>
      </c>
      <c r="N1130" s="10"/>
      <c r="O1130" s="30">
        <v>-13.160371258132571</v>
      </c>
      <c r="P1130" s="30">
        <v>-3.4164811555182673</v>
      </c>
      <c r="Q1130" s="30">
        <v>-32.478079464175899</v>
      </c>
      <c r="R1130" s="30">
        <v>20.974967928700185</v>
      </c>
      <c r="S1130" s="30">
        <v>-10.542048917700148</v>
      </c>
      <c r="T1130" s="30">
        <v>4.646057121152674E-2</v>
      </c>
    </row>
    <row r="1131" spans="10:20" x14ac:dyDescent="0.25">
      <c r="J1131" s="10"/>
      <c r="K1131" s="10"/>
      <c r="L1131" s="10" t="s">
        <v>80</v>
      </c>
      <c r="M1131" s="10" t="s">
        <v>100</v>
      </c>
      <c r="N1131" s="10"/>
      <c r="O1131" s="30">
        <v>-7.0190596396149614</v>
      </c>
      <c r="P1131" s="30">
        <v>12.376278843095401</v>
      </c>
      <c r="Q1131" s="30">
        <v>20.955972736600824</v>
      </c>
      <c r="R1131" s="30">
        <v>-90.843299124637142</v>
      </c>
      <c r="S1131" s="30">
        <v>-6.0223822646295488</v>
      </c>
      <c r="T1131" s="30">
        <v>-0.10770915874818197</v>
      </c>
    </row>
    <row r="1132" spans="10:20" x14ac:dyDescent="0.25">
      <c r="J1132" s="10"/>
      <c r="K1132" s="10"/>
      <c r="L1132" s="10" t="s">
        <v>80</v>
      </c>
      <c r="M1132" s="10" t="s">
        <v>101</v>
      </c>
      <c r="N1132" s="10"/>
      <c r="O1132" s="30">
        <v>-9.4065045203440079</v>
      </c>
      <c r="P1132" s="30">
        <v>8.3762691933389277</v>
      </c>
      <c r="Q1132" s="30">
        <v>-8.475079801874962</v>
      </c>
      <c r="R1132" s="30">
        <v>-8.2760339061422172</v>
      </c>
      <c r="S1132" s="30">
        <v>-9.1177012396354939</v>
      </c>
      <c r="T1132" s="30">
        <v>-1.1471967230173173E-3</v>
      </c>
    </row>
    <row r="1133" spans="10:20" x14ac:dyDescent="0.25">
      <c r="J1133" s="10"/>
      <c r="K1133" s="10"/>
      <c r="L1133" s="10" t="s">
        <v>80</v>
      </c>
      <c r="M1133" s="10" t="s">
        <v>102</v>
      </c>
      <c r="N1133" s="10"/>
      <c r="O1133" s="30">
        <v>-3.2759832280958787</v>
      </c>
      <c r="P1133" s="30">
        <v>12.357252307298223</v>
      </c>
      <c r="Q1133" s="30">
        <v>30.508873784161619</v>
      </c>
      <c r="R1133" s="30">
        <v>-41.345930426137791</v>
      </c>
      <c r="S1133" s="30">
        <v>-4.3999073245331859</v>
      </c>
      <c r="T1133" s="30">
        <v>-5.9883455370242852E-2</v>
      </c>
    </row>
    <row r="1134" spans="10:20" x14ac:dyDescent="0.25">
      <c r="J1134" s="10"/>
      <c r="K1134" s="10"/>
      <c r="L1134" s="10" t="s">
        <v>80</v>
      </c>
      <c r="M1134" s="10" t="s">
        <v>103</v>
      </c>
      <c r="N1134" s="10"/>
      <c r="O1134" s="30">
        <v>19.085437787390006</v>
      </c>
      <c r="P1134" s="30">
        <v>-1.7481635333480949</v>
      </c>
      <c r="Q1134" s="30">
        <v>-32.77399728941694</v>
      </c>
      <c r="R1134" s="30">
        <v>45.171119447744793</v>
      </c>
      <c r="S1134" s="30">
        <v>15.876624645194795</v>
      </c>
      <c r="T1134" s="30">
        <v>-9.1786927320675442E-3</v>
      </c>
    </row>
    <row r="1135" spans="10:20" x14ac:dyDescent="0.25">
      <c r="J1135" s="10"/>
      <c r="K1135" s="10"/>
      <c r="L1135" s="10" t="s">
        <v>80</v>
      </c>
      <c r="M1135" s="10" t="s">
        <v>104</v>
      </c>
      <c r="N1135" s="10"/>
      <c r="O1135" s="30">
        <v>25.219124780148377</v>
      </c>
      <c r="P1135" s="30">
        <v>2.3528436912901083</v>
      </c>
      <c r="Q1135" s="30">
        <v>6.6553001456953336</v>
      </c>
      <c r="R1135" s="30">
        <v>11.604339891688255</v>
      </c>
      <c r="S1135" s="30">
        <v>20.598898010410096</v>
      </c>
      <c r="T1135" s="30">
        <v>-6.7792552371630219E-2</v>
      </c>
    </row>
    <row r="1136" spans="10:20" x14ac:dyDescent="0.25">
      <c r="J1136" s="10"/>
      <c r="K1136" s="10"/>
      <c r="L1136" s="10" t="s">
        <v>80</v>
      </c>
      <c r="M1136" s="10" t="s">
        <v>105</v>
      </c>
      <c r="N1136" s="10"/>
      <c r="O1136" s="30">
        <v>-17.514334323842885</v>
      </c>
      <c r="P1136" s="30">
        <v>-34.597470759124</v>
      </c>
      <c r="Q1136" s="30">
        <v>-18.42148113139714</v>
      </c>
      <c r="R1136" s="30">
        <v>144.97520274173033</v>
      </c>
      <c r="S1136" s="30">
        <v>-13.79602151591051</v>
      </c>
      <c r="T1136" s="30">
        <v>0.14076762525444736</v>
      </c>
    </row>
    <row r="1137" spans="10:20" x14ac:dyDescent="0.25">
      <c r="J1137" s="10"/>
      <c r="K1137" s="10"/>
      <c r="L1137" s="10" t="s">
        <v>80</v>
      </c>
      <c r="M1137" s="10" t="s">
        <v>106</v>
      </c>
      <c r="N1137" s="10"/>
      <c r="O1137" s="30">
        <v>-12.359963248634804</v>
      </c>
      <c r="P1137" s="30">
        <v>-10.813745546221257</v>
      </c>
      <c r="Q1137" s="30">
        <v>93.421696286642856</v>
      </c>
      <c r="R1137" s="30">
        <v>46.569664316861569</v>
      </c>
      <c r="S1137" s="30">
        <v>-9.9624841205576704</v>
      </c>
      <c r="T1137" s="30">
        <v>-1.2639354331778272E-2</v>
      </c>
    </row>
    <row r="1138" spans="10:20" x14ac:dyDescent="0.25">
      <c r="J1138" s="10"/>
      <c r="K1138" s="10"/>
      <c r="L1138" s="10" t="s">
        <v>80</v>
      </c>
      <c r="M1138" s="10" t="s">
        <v>107</v>
      </c>
      <c r="N1138" s="10"/>
      <c r="O1138" s="30">
        <v>-11.832524849610014</v>
      </c>
      <c r="P1138" s="30">
        <v>9.5226322606554561</v>
      </c>
      <c r="Q1138" s="30">
        <v>2.8698185202972231</v>
      </c>
      <c r="R1138" s="30">
        <v>-35.808351860605178</v>
      </c>
      <c r="S1138" s="30">
        <v>-9.5840900174793688</v>
      </c>
      <c r="T1138" s="30">
        <v>-3.3838633685607876E-2</v>
      </c>
    </row>
    <row r="1139" spans="10:20" x14ac:dyDescent="0.25">
      <c r="J1139" s="10"/>
      <c r="K1139" s="10"/>
      <c r="L1139" s="10" t="s">
        <v>80</v>
      </c>
      <c r="M1139" s="10" t="s">
        <v>108</v>
      </c>
      <c r="N1139" s="10"/>
      <c r="O1139" s="30">
        <v>-6.3053443929441677</v>
      </c>
      <c r="P1139" s="30">
        <v>23.736116259407758</v>
      </c>
      <c r="Q1139" s="30">
        <v>50.960465500996285</v>
      </c>
      <c r="R1139" s="30">
        <v>-136.44479220860876</v>
      </c>
      <c r="S1139" s="30">
        <v>-5.5163900297158284</v>
      </c>
      <c r="T1139" s="30">
        <v>-0.17259139064934573</v>
      </c>
    </row>
    <row r="1140" spans="10:20" x14ac:dyDescent="0.25">
      <c r="J1140" s="10"/>
      <c r="K1140" s="10"/>
      <c r="L1140" s="10" t="s">
        <v>80</v>
      </c>
      <c r="M1140" s="10" t="s">
        <v>109</v>
      </c>
      <c r="N1140" s="10"/>
      <c r="O1140" s="30">
        <v>-10.819865857298083</v>
      </c>
      <c r="P1140" s="30">
        <v>6.0259784723532785</v>
      </c>
      <c r="Q1140" s="30">
        <v>-20.662973671557101</v>
      </c>
      <c r="R1140" s="30">
        <v>5.0655235538214285</v>
      </c>
      <c r="S1140" s="30">
        <v>-10.353911241554385</v>
      </c>
      <c r="T1140" s="30">
        <v>1.9866815333943272E-2</v>
      </c>
    </row>
    <row r="1141" spans="10:20" x14ac:dyDescent="0.25">
      <c r="J1141" s="10"/>
      <c r="K1141" s="10"/>
      <c r="L1141" s="10" t="s">
        <v>80</v>
      </c>
      <c r="M1141" s="10" t="s">
        <v>110</v>
      </c>
      <c r="N1141" s="10"/>
      <c r="O1141" s="30">
        <v>-4.0081755325779413</v>
      </c>
      <c r="P1141" s="30">
        <v>10.449293043419161</v>
      </c>
      <c r="Q1141" s="30">
        <v>22.65253031292799</v>
      </c>
      <c r="R1141" s="30">
        <v>-31.678805912840321</v>
      </c>
      <c r="S1141" s="30">
        <v>-5.1119180025518229</v>
      </c>
      <c r="T1141" s="30">
        <v>-4.5395694274085095E-2</v>
      </c>
    </row>
    <row r="1142" spans="10:20" x14ac:dyDescent="0.25">
      <c r="J1142" s="10"/>
      <c r="K1142" s="10"/>
      <c r="L1142" s="10" t="s">
        <v>80</v>
      </c>
      <c r="M1142" s="10" t="s">
        <v>111</v>
      </c>
      <c r="N1142" s="10"/>
      <c r="O1142" s="30">
        <v>20.837847817961929</v>
      </c>
      <c r="P1142" s="30">
        <v>-5.2233912239656375</v>
      </c>
      <c r="Q1142" s="30">
        <v>-47.66177087993708</v>
      </c>
      <c r="R1142" s="30">
        <v>64.451249502584787</v>
      </c>
      <c r="S1142" s="30">
        <v>17.417561963812599</v>
      </c>
      <c r="T1142" s="30">
        <v>1.0942930879443022E-2</v>
      </c>
    </row>
    <row r="1143" spans="10:20" x14ac:dyDescent="0.25">
      <c r="J1143" s="10"/>
      <c r="K1143" s="10"/>
      <c r="L1143" s="10" t="s">
        <v>80</v>
      </c>
      <c r="M1143" s="10" t="s">
        <v>112</v>
      </c>
      <c r="N1143" s="10"/>
      <c r="O1143" s="30">
        <v>27.653055587693451</v>
      </c>
      <c r="P1143" s="30">
        <v>-0.66671652992318542</v>
      </c>
      <c r="Q1143" s="30">
        <v>-3.8514403964789956</v>
      </c>
      <c r="R1143" s="30">
        <v>27.15482777363307</v>
      </c>
      <c r="S1143" s="30">
        <v>22.664532369607379</v>
      </c>
      <c r="T1143" s="30">
        <v>-5.4183579831182174E-2</v>
      </c>
    </row>
    <row r="1144" spans="10:20" x14ac:dyDescent="0.25">
      <c r="J1144" s="10"/>
      <c r="K1144" s="10"/>
      <c r="L1144" s="10" t="s">
        <v>80</v>
      </c>
      <c r="M1144" s="10" t="s">
        <v>113</v>
      </c>
      <c r="N1144" s="10"/>
      <c r="O1144" s="30">
        <v>-19.828565638963504</v>
      </c>
      <c r="P1144" s="30">
        <v>-41.722621474827754</v>
      </c>
      <c r="Q1144" s="30">
        <v>-31.714530704359532</v>
      </c>
      <c r="R1144" s="30">
        <v>175.34467538479092</v>
      </c>
      <c r="S1144" s="30">
        <v>-15.552044881859961</v>
      </c>
      <c r="T1144" s="30">
        <v>0.17754995086445957</v>
      </c>
    </row>
    <row r="1145" spans="10:20" x14ac:dyDescent="0.25">
      <c r="J1145" s="10"/>
      <c r="K1145" s="10"/>
      <c r="L1145" s="10" t="s">
        <v>80</v>
      </c>
      <c r="M1145" s="10" t="s">
        <v>114</v>
      </c>
      <c r="N1145" s="10"/>
      <c r="O1145" s="30">
        <v>-14.101486666510079</v>
      </c>
      <c r="P1145" s="30">
        <v>-15.296260127158039</v>
      </c>
      <c r="Q1145" s="30">
        <v>92.555666426796037</v>
      </c>
      <c r="R1145" s="30">
        <v>66.005188246047879</v>
      </c>
      <c r="S1145" s="30">
        <v>-11.292558887023473</v>
      </c>
      <c r="T1145" s="30">
        <v>7.0977513242088735E-3</v>
      </c>
    </row>
    <row r="1146" spans="10:20" x14ac:dyDescent="0.25">
      <c r="J1146" s="10"/>
      <c r="K1146" s="10"/>
      <c r="L1146" s="10" t="s">
        <v>80</v>
      </c>
      <c r="M1146" s="10" t="s">
        <v>115</v>
      </c>
      <c r="N1146" s="10"/>
      <c r="O1146" s="30">
        <v>-13.51544400092698</v>
      </c>
      <c r="P1146" s="30">
        <v>7.2997152138160875</v>
      </c>
      <c r="Q1146" s="30">
        <v>-8.0575310913657727</v>
      </c>
      <c r="R1146" s="30">
        <v>-25.525940840026305</v>
      </c>
      <c r="S1146" s="30">
        <v>-10.872120994714248</v>
      </c>
      <c r="T1146" s="30">
        <v>-1.6457003513379555E-2</v>
      </c>
    </row>
    <row r="1147" spans="10:20" x14ac:dyDescent="0.25">
      <c r="J1147" s="10"/>
      <c r="K1147" s="10"/>
      <c r="L1147" s="10" t="s">
        <v>80</v>
      </c>
      <c r="M1147" s="10" t="s">
        <v>116</v>
      </c>
      <c r="N1147" s="10"/>
      <c r="O1147" s="30">
        <v>-7.3741323824093712</v>
      </c>
      <c r="P1147" s="30">
        <v>23.092475212429754</v>
      </c>
      <c r="Q1147" s="30">
        <v>45.376521109410945</v>
      </c>
      <c r="R1147" s="30">
        <v>-137.34420789336363</v>
      </c>
      <c r="S1147" s="30">
        <v>-6.3524543416436483</v>
      </c>
      <c r="T1147" s="30">
        <v>-0.17062673347308827</v>
      </c>
    </row>
    <row r="1148" spans="10:20" x14ac:dyDescent="0.25">
      <c r="J1148" s="10"/>
      <c r="K1148" s="10"/>
      <c r="L1148" s="10" t="s">
        <v>81</v>
      </c>
      <c r="M1148" s="10" t="s">
        <v>91</v>
      </c>
      <c r="N1148" s="10"/>
      <c r="O1148" s="30">
        <v>4.0288943621728253</v>
      </c>
      <c r="P1148" s="30">
        <v>-0.6627364976354907</v>
      </c>
      <c r="Q1148" s="30">
        <v>71.885726511347499</v>
      </c>
      <c r="R1148" s="30">
        <v>2.4009596598946454</v>
      </c>
      <c r="S1148" s="30">
        <v>2.8155460248482154</v>
      </c>
      <c r="T1148" s="30">
        <v>-2.8322707491392324E-3</v>
      </c>
    </row>
    <row r="1149" spans="10:20" x14ac:dyDescent="0.25">
      <c r="J1149" s="10"/>
      <c r="K1149" s="10"/>
      <c r="L1149" s="10" t="s">
        <v>81</v>
      </c>
      <c r="M1149" s="10" t="s">
        <v>92</v>
      </c>
      <c r="N1149" s="10"/>
      <c r="O1149" s="30">
        <v>3.735673710327347</v>
      </c>
      <c r="P1149" s="30">
        <v>-2.802030905625216</v>
      </c>
      <c r="Q1149" s="30">
        <v>127.92478374588691</v>
      </c>
      <c r="R1149" s="30">
        <v>11.779880584460077</v>
      </c>
      <c r="S1149" s="30">
        <v>2.655854005189648</v>
      </c>
      <c r="T1149" s="30">
        <v>6.8249896473267461E-3</v>
      </c>
    </row>
    <row r="1150" spans="10:20" x14ac:dyDescent="0.25">
      <c r="J1150" s="10"/>
      <c r="K1150" s="10"/>
      <c r="L1150" s="10" t="s">
        <v>81</v>
      </c>
      <c r="M1150" s="10" t="s">
        <v>93</v>
      </c>
      <c r="N1150" s="10"/>
      <c r="O1150" s="30">
        <v>-23.814686090283764</v>
      </c>
      <c r="P1150" s="30">
        <v>6.2239317992135996</v>
      </c>
      <c r="Q1150" s="30">
        <v>-105.34925557178084</v>
      </c>
      <c r="R1150" s="30">
        <v>-28.597352586143614</v>
      </c>
      <c r="S1150" s="30">
        <v>-19.996979783109019</v>
      </c>
      <c r="T1150" s="30">
        <v>-4.0276467458662507E-2</v>
      </c>
    </row>
    <row r="1151" spans="10:20" x14ac:dyDescent="0.25">
      <c r="J1151" s="10"/>
      <c r="K1151" s="10"/>
      <c r="L1151" s="10" t="s">
        <v>81</v>
      </c>
      <c r="M1151" s="10" t="s">
        <v>94</v>
      </c>
      <c r="N1151" s="10"/>
      <c r="O1151" s="30">
        <v>-8.9957150998453024</v>
      </c>
      <c r="P1151" s="30">
        <v>2.56905074659343</v>
      </c>
      <c r="Q1151" s="30">
        <v>-21.483565751086655</v>
      </c>
      <c r="R1151" s="30">
        <v>-11.968663242815362</v>
      </c>
      <c r="S1151" s="30">
        <v>-7.9417036977560116</v>
      </c>
      <c r="T1151" s="30">
        <v>-2.1218951919448358E-2</v>
      </c>
    </row>
    <row r="1152" spans="10:20" x14ac:dyDescent="0.25">
      <c r="J1152" s="10"/>
      <c r="K1152" s="10"/>
      <c r="L1152" s="10" t="s">
        <v>81</v>
      </c>
      <c r="M1152" s="10" t="s">
        <v>95</v>
      </c>
      <c r="N1152" s="10"/>
      <c r="O1152" s="30">
        <v>34.209019003285597</v>
      </c>
      <c r="P1152" s="30">
        <v>12.15728342521718</v>
      </c>
      <c r="Q1152" s="30">
        <v>-154.06678648957833</v>
      </c>
      <c r="R1152" s="30">
        <v>-56.974777991957893</v>
      </c>
      <c r="S1152" s="30">
        <v>27.00065186938831</v>
      </c>
      <c r="T1152" s="30">
        <v>-4.1401384592647868E-2</v>
      </c>
    </row>
    <row r="1153" spans="10:20" x14ac:dyDescent="0.25">
      <c r="J1153" s="10"/>
      <c r="K1153" s="10"/>
      <c r="L1153" s="10" t="s">
        <v>81</v>
      </c>
      <c r="M1153" s="10" t="s">
        <v>96</v>
      </c>
      <c r="N1153" s="10"/>
      <c r="O1153" s="30">
        <v>49.019093465456059</v>
      </c>
      <c r="P1153" s="30">
        <v>8.4543217233570118</v>
      </c>
      <c r="Q1153" s="30">
        <v>-70.156401717852788</v>
      </c>
      <c r="R1153" s="30">
        <v>-40.103938330581862</v>
      </c>
      <c r="S1153" s="30">
        <v>39.048681685029059</v>
      </c>
      <c r="T1153" s="30">
        <v>-2.2328525927427446E-2</v>
      </c>
    </row>
    <row r="1154" spans="10:20" x14ac:dyDescent="0.25">
      <c r="J1154" s="10"/>
      <c r="K1154" s="10"/>
      <c r="L1154" s="10" t="s">
        <v>81</v>
      </c>
      <c r="M1154" s="10" t="s">
        <v>97</v>
      </c>
      <c r="N1154" s="10"/>
      <c r="O1154" s="30">
        <v>-33.514792386785587</v>
      </c>
      <c r="P1154" s="30">
        <v>0.97388333263494209</v>
      </c>
      <c r="Q1154" s="30">
        <v>-97.536232334262706</v>
      </c>
      <c r="R1154" s="30">
        <v>12.261073961794024</v>
      </c>
      <c r="S1154" s="30">
        <v>-27.67439260977352</v>
      </c>
      <c r="T1154" s="30">
        <v>1.466874771394159E-4</v>
      </c>
    </row>
    <row r="1155" spans="10:20" x14ac:dyDescent="0.25">
      <c r="J1155" s="10"/>
      <c r="K1155" s="10"/>
      <c r="L1155" s="10" t="s">
        <v>81</v>
      </c>
      <c r="M1155" s="10" t="s">
        <v>98</v>
      </c>
      <c r="N1155" s="10"/>
      <c r="O1155" s="30">
        <v>-19.319221427141198</v>
      </c>
      <c r="P1155" s="30">
        <v>-14.381724036545609</v>
      </c>
      <c r="Q1155" s="30">
        <v>116.4145383490426</v>
      </c>
      <c r="R1155" s="30">
        <v>102.40149865013427</v>
      </c>
      <c r="S1155" s="30">
        <v>-15.94259684018154</v>
      </c>
      <c r="T1155" s="30">
        <v>9.6804927305060379E-2</v>
      </c>
    </row>
    <row r="1156" spans="10:20" x14ac:dyDescent="0.25">
      <c r="J1156" s="10"/>
      <c r="K1156" s="10"/>
      <c r="L1156" s="10" t="s">
        <v>81</v>
      </c>
      <c r="M1156" s="10" t="s">
        <v>99</v>
      </c>
      <c r="N1156" s="10"/>
      <c r="O1156" s="30">
        <v>-33.350350954872276</v>
      </c>
      <c r="P1156" s="30">
        <v>10.89718724257998</v>
      </c>
      <c r="Q1156" s="30">
        <v>-98.920908811821519</v>
      </c>
      <c r="R1156" s="30">
        <v>-66.157750820029676</v>
      </c>
      <c r="S1156" s="30">
        <v>-27.540415469915114</v>
      </c>
      <c r="T1156" s="30">
        <v>-7.5024787024406597E-2</v>
      </c>
    </row>
    <row r="1157" spans="10:20" x14ac:dyDescent="0.25">
      <c r="J1157" s="10"/>
      <c r="K1157" s="10"/>
      <c r="L1157" s="10" t="s">
        <v>81</v>
      </c>
      <c r="M1157" s="10" t="s">
        <v>100</v>
      </c>
      <c r="N1157" s="10"/>
      <c r="O1157" s="30">
        <v>-18.530666742622184</v>
      </c>
      <c r="P1157" s="30">
        <v>20.50232023499602</v>
      </c>
      <c r="Q1157" s="30">
        <v>19.8638784165848</v>
      </c>
      <c r="R1157" s="30">
        <v>-136.0374853638981</v>
      </c>
      <c r="S1157" s="30">
        <v>-15.431966604647965</v>
      </c>
      <c r="T1157" s="30">
        <v>-0.17492491601224269</v>
      </c>
    </row>
    <row r="1158" spans="10:20" x14ac:dyDescent="0.25">
      <c r="J1158" s="10"/>
      <c r="K1158" s="10"/>
      <c r="L1158" s="10" t="s">
        <v>81</v>
      </c>
      <c r="M1158" s="10" t="s">
        <v>101</v>
      </c>
      <c r="N1158" s="10"/>
      <c r="O1158" s="30">
        <v>-21.323548696883581</v>
      </c>
      <c r="P1158" s="30">
        <v>3.3959705615389661</v>
      </c>
      <c r="Q1158" s="30">
        <v>-31.586700128928605</v>
      </c>
      <c r="R1158" s="30">
        <v>-16.118600436974354</v>
      </c>
      <c r="S1158" s="30">
        <v>-17.87541922197186</v>
      </c>
      <c r="T1158" s="30">
        <v>-2.6874787391244197E-2</v>
      </c>
    </row>
    <row r="1159" spans="10:20" x14ac:dyDescent="0.25">
      <c r="J1159" s="10"/>
      <c r="K1159" s="10"/>
      <c r="L1159" s="10" t="s">
        <v>81</v>
      </c>
      <c r="M1159" s="10" t="s">
        <v>102</v>
      </c>
      <c r="N1159" s="10"/>
      <c r="O1159" s="30">
        <v>-7.9864748054889683</v>
      </c>
      <c r="P1159" s="30">
        <v>0.10657761418081325</v>
      </c>
      <c r="Q1159" s="30">
        <v>43.892420709696168</v>
      </c>
      <c r="R1159" s="30">
        <v>-1.1527800279789304</v>
      </c>
      <c r="S1159" s="30">
        <v>-7.025670745154156</v>
      </c>
      <c r="T1159" s="30">
        <v>-9.7230234059514677E-3</v>
      </c>
    </row>
    <row r="1160" spans="10:20" x14ac:dyDescent="0.25">
      <c r="J1160" s="10"/>
      <c r="K1160" s="10"/>
      <c r="L1160" s="10" t="s">
        <v>81</v>
      </c>
      <c r="M1160" s="10" t="s">
        <v>103</v>
      </c>
      <c r="N1160" s="10"/>
      <c r="O1160" s="30">
        <v>30.897785887328844</v>
      </c>
      <c r="P1160" s="30">
        <v>8.7359870249421885</v>
      </c>
      <c r="Q1160" s="30">
        <v>-75.43247795494635</v>
      </c>
      <c r="R1160" s="30">
        <v>-41.658283302207217</v>
      </c>
      <c r="S1160" s="30">
        <v>24.422449265275734</v>
      </c>
      <c r="T1160" s="30">
        <v>-2.7887212811831017E-2</v>
      </c>
    </row>
    <row r="1161" spans="10:20" x14ac:dyDescent="0.25">
      <c r="J1161" s="10"/>
      <c r="K1161" s="10"/>
      <c r="L1161" s="10" t="s">
        <v>81</v>
      </c>
      <c r="M1161" s="10" t="s">
        <v>104</v>
      </c>
      <c r="N1161" s="10"/>
      <c r="O1161" s="30">
        <v>44.226852903282264</v>
      </c>
      <c r="P1161" s="30">
        <v>5.4033214932680362</v>
      </c>
      <c r="Q1161" s="30">
        <v>8.6868339606648068E-2</v>
      </c>
      <c r="R1161" s="30">
        <v>-26.474527606968778</v>
      </c>
      <c r="S1161" s="30">
        <v>35.265676099352405</v>
      </c>
      <c r="T1161" s="30">
        <v>-1.0721640013132645E-2</v>
      </c>
    </row>
    <row r="1162" spans="10:20" x14ac:dyDescent="0.25">
      <c r="J1162" s="10"/>
      <c r="K1162" s="10"/>
      <c r="L1162" s="10" t="s">
        <v>81</v>
      </c>
      <c r="M1162" s="10" t="s">
        <v>105</v>
      </c>
      <c r="N1162" s="10"/>
      <c r="O1162" s="30">
        <v>-30.053644363735224</v>
      </c>
      <c r="P1162" s="30">
        <v>-1.3290730583818262</v>
      </c>
      <c r="Q1162" s="30">
        <v>-24.554979215162277</v>
      </c>
      <c r="R1162" s="30">
        <v>20.653983456169517</v>
      </c>
      <c r="S1162" s="30">
        <v>-24.785090765969915</v>
      </c>
      <c r="T1162" s="30">
        <v>9.5060520509775304E-3</v>
      </c>
    </row>
    <row r="1163" spans="10:20" x14ac:dyDescent="0.25">
      <c r="J1163" s="10"/>
      <c r="K1163" s="10"/>
      <c r="L1163" s="10" t="s">
        <v>81</v>
      </c>
      <c r="M1163" s="10" t="s">
        <v>106</v>
      </c>
      <c r="N1163" s="10"/>
      <c r="O1163" s="30">
        <v>-17.27763050005527</v>
      </c>
      <c r="P1163" s="30">
        <v>-15.149119690644323</v>
      </c>
      <c r="Q1163" s="30">
        <v>168.00071439981249</v>
      </c>
      <c r="R1163" s="30">
        <v>101.78036567567574</v>
      </c>
      <c r="S1163" s="30">
        <v>-14.22647457333713</v>
      </c>
      <c r="T1163" s="30">
        <v>9.6498467896106416E-2</v>
      </c>
    </row>
    <row r="1164" spans="10:20" x14ac:dyDescent="0.25">
      <c r="J1164" s="10"/>
      <c r="K1164" s="10"/>
      <c r="L1164" s="10" t="s">
        <v>81</v>
      </c>
      <c r="M1164" s="10" t="s">
        <v>107</v>
      </c>
      <c r="N1164" s="10"/>
      <c r="O1164" s="30">
        <v>-29.905647075013245</v>
      </c>
      <c r="P1164" s="30">
        <v>7.6019004605687073</v>
      </c>
      <c r="Q1164" s="30">
        <v>-25.801188044965233</v>
      </c>
      <c r="R1164" s="30">
        <v>-49.922958847471804</v>
      </c>
      <c r="S1164" s="30">
        <v>-24.664511340097345</v>
      </c>
      <c r="T1164" s="30">
        <v>-5.814827500041387E-2</v>
      </c>
    </row>
    <row r="1165" spans="10:20" x14ac:dyDescent="0.25">
      <c r="J1165" s="10"/>
      <c r="K1165" s="10"/>
      <c r="L1165" s="10" t="s">
        <v>81</v>
      </c>
      <c r="M1165" s="10" t="s">
        <v>108</v>
      </c>
      <c r="N1165" s="10"/>
      <c r="O1165" s="30">
        <v>-16.567931283988163</v>
      </c>
      <c r="P1165" s="30">
        <v>16.246520153743145</v>
      </c>
      <c r="Q1165" s="30">
        <v>81.105120460600475</v>
      </c>
      <c r="R1165" s="30">
        <v>-112.81471993695338</v>
      </c>
      <c r="S1165" s="30">
        <v>-13.766907361356914</v>
      </c>
      <c r="T1165" s="30">
        <v>-0.14805839108946636</v>
      </c>
    </row>
    <row r="1166" spans="10:20" x14ac:dyDescent="0.25">
      <c r="J1166" s="10"/>
      <c r="K1166" s="10"/>
      <c r="L1166" s="10" t="s">
        <v>81</v>
      </c>
      <c r="M1166" s="10" t="s">
        <v>109</v>
      </c>
      <c r="N1166" s="10"/>
      <c r="O1166" s="30">
        <v>-24.078584676944693</v>
      </c>
      <c r="P1166" s="30">
        <v>4.2985668320228472</v>
      </c>
      <c r="Q1166" s="30">
        <v>-54.914104060695379</v>
      </c>
      <c r="R1166" s="30">
        <v>-20.156323754034723</v>
      </c>
      <c r="S1166" s="30">
        <v>-20.140702600801728</v>
      </c>
      <c r="T1166" s="30">
        <v>-3.1584933101843127E-2</v>
      </c>
    </row>
    <row r="1167" spans="10:20" x14ac:dyDescent="0.25">
      <c r="J1167" s="10"/>
      <c r="K1167" s="10"/>
      <c r="L1167" s="10" t="s">
        <v>81</v>
      </c>
      <c r="M1167" s="10" t="s">
        <v>110</v>
      </c>
      <c r="N1167" s="10"/>
      <c r="O1167" s="30">
        <v>-9.2596136865062331</v>
      </c>
      <c r="P1167" s="30">
        <v>0.64368577940267724</v>
      </c>
      <c r="Q1167" s="30">
        <v>28.951585759998817</v>
      </c>
      <c r="R1167" s="30">
        <v>-3.5276344107064728</v>
      </c>
      <c r="S1167" s="30">
        <v>-8.0854265154487219</v>
      </c>
      <c r="T1167" s="30">
        <v>-1.2527417562628977E-2</v>
      </c>
    </row>
    <row r="1168" spans="10:20" x14ac:dyDescent="0.25">
      <c r="J1168" s="10"/>
      <c r="K1168" s="10"/>
      <c r="L1168" s="10" t="s">
        <v>81</v>
      </c>
      <c r="M1168" s="10" t="s">
        <v>111</v>
      </c>
      <c r="N1168" s="10"/>
      <c r="O1168" s="30">
        <v>33.945120416624661</v>
      </c>
      <c r="P1168" s="30">
        <v>10.231918458026428</v>
      </c>
      <c r="Q1168" s="30">
        <v>-103.63163497849287</v>
      </c>
      <c r="R1168" s="30">
        <v>-48.533749159849002</v>
      </c>
      <c r="S1168" s="30">
        <v>26.856929051695602</v>
      </c>
      <c r="T1168" s="30">
        <v>-3.270985023582848E-2</v>
      </c>
    </row>
    <row r="1169" spans="10:20" x14ac:dyDescent="0.25">
      <c r="J1169" s="10"/>
      <c r="K1169" s="10"/>
      <c r="L1169" s="10" t="s">
        <v>81</v>
      </c>
      <c r="M1169" s="10" t="s">
        <v>112</v>
      </c>
      <c r="N1169" s="10"/>
      <c r="O1169" s="30">
        <v>48.75519487879513</v>
      </c>
      <c r="P1169" s="30">
        <v>6.5289567561662594</v>
      </c>
      <c r="Q1169" s="30">
        <v>-19.721250206767316</v>
      </c>
      <c r="R1169" s="30">
        <v>-31.662909498472974</v>
      </c>
      <c r="S1169" s="30">
        <v>38.904958867336347</v>
      </c>
      <c r="T1169" s="30">
        <v>-1.3636991570608065E-2</v>
      </c>
    </row>
    <row r="1170" spans="10:20" x14ac:dyDescent="0.25">
      <c r="J1170" s="10"/>
      <c r="K1170" s="10"/>
      <c r="L1170" s="10" t="s">
        <v>81</v>
      </c>
      <c r="M1170" s="10" t="s">
        <v>113</v>
      </c>
      <c r="N1170" s="10"/>
      <c r="O1170" s="30">
        <v>-33.778690973446515</v>
      </c>
      <c r="P1170" s="30">
        <v>-0.95148163455581114</v>
      </c>
      <c r="Q1170" s="30">
        <v>-47.101080823177227</v>
      </c>
      <c r="R1170" s="30">
        <v>20.702102793902913</v>
      </c>
      <c r="S1170" s="30">
        <v>-27.818115427466228</v>
      </c>
      <c r="T1170" s="30">
        <v>8.8382218339587981E-3</v>
      </c>
    </row>
    <row r="1171" spans="10:20" x14ac:dyDescent="0.25">
      <c r="J1171" s="10"/>
      <c r="K1171" s="10"/>
      <c r="L1171" s="10" t="s">
        <v>81</v>
      </c>
      <c r="M1171" s="10" t="s">
        <v>114</v>
      </c>
      <c r="N1171" s="10"/>
      <c r="O1171" s="30">
        <v>-19.583120013802127</v>
      </c>
      <c r="P1171" s="30">
        <v>-16.307089003736362</v>
      </c>
      <c r="Q1171" s="30">
        <v>166.84968986012808</v>
      </c>
      <c r="R1171" s="30">
        <v>110.84252748224316</v>
      </c>
      <c r="S1171" s="30">
        <v>-16.086319657874249</v>
      </c>
      <c r="T1171" s="30">
        <v>0.10549646166187977</v>
      </c>
    </row>
    <row r="1172" spans="10:20" x14ac:dyDescent="0.25">
      <c r="J1172" s="10"/>
      <c r="K1172" s="10"/>
      <c r="L1172" s="10" t="s">
        <v>81</v>
      </c>
      <c r="M1172" s="10" t="s">
        <v>115</v>
      </c>
      <c r="N1172" s="10"/>
      <c r="O1172" s="30">
        <v>-33.614249541533205</v>
      </c>
      <c r="P1172" s="30">
        <v>8.9718222753892256</v>
      </c>
      <c r="Q1172" s="30">
        <v>-48.485757300736054</v>
      </c>
      <c r="R1172" s="30">
        <v>-57.716721987920785</v>
      </c>
      <c r="S1172" s="30">
        <v>-27.684138287607823</v>
      </c>
      <c r="T1172" s="30">
        <v>-6.6333252667587203E-2</v>
      </c>
    </row>
    <row r="1173" spans="10:20" x14ac:dyDescent="0.25">
      <c r="J1173" s="10"/>
      <c r="K1173" s="10"/>
      <c r="L1173" s="10" t="s">
        <v>81</v>
      </c>
      <c r="M1173" s="10" t="s">
        <v>116</v>
      </c>
      <c r="N1173" s="10"/>
      <c r="O1173" s="30">
        <v>-18.794565329283113</v>
      </c>
      <c r="P1173" s="30">
        <v>18.576955267805268</v>
      </c>
      <c r="Q1173" s="30">
        <v>70.299029927670276</v>
      </c>
      <c r="R1173" s="30">
        <v>-127.59645653178922</v>
      </c>
      <c r="S1173" s="30">
        <v>-15.575689422340673</v>
      </c>
      <c r="T1173" s="30">
        <v>-0.16623338165542331</v>
      </c>
    </row>
    <row r="1174" spans="10:20" x14ac:dyDescent="0.25">
      <c r="J1174" s="10"/>
      <c r="K1174" s="10"/>
      <c r="L1174" s="10" t="s">
        <v>82</v>
      </c>
      <c r="M1174" s="10" t="s">
        <v>91</v>
      </c>
      <c r="N1174" s="10"/>
      <c r="O1174" s="30">
        <v>4.0301180276795812</v>
      </c>
      <c r="P1174" s="30">
        <v>0.66282117141829466</v>
      </c>
      <c r="Q1174" s="30">
        <v>71.887637176613552</v>
      </c>
      <c r="R1174" s="30">
        <v>-2.4015981204155454</v>
      </c>
      <c r="S1174" s="30">
        <v>2.8165648918157951</v>
      </c>
      <c r="T1174" s="30">
        <v>2.83156968498451E-3</v>
      </c>
    </row>
    <row r="1175" spans="10:20" x14ac:dyDescent="0.25">
      <c r="J1175" s="10"/>
      <c r="K1175" s="10"/>
      <c r="L1175" s="10" t="s">
        <v>82</v>
      </c>
      <c r="M1175" s="10" t="s">
        <v>92</v>
      </c>
      <c r="N1175" s="10"/>
      <c r="O1175" s="30">
        <v>3.7386887559001885</v>
      </c>
      <c r="P1175" s="30">
        <v>2.8022317976995144</v>
      </c>
      <c r="Q1175" s="30">
        <v>127.92931328340406</v>
      </c>
      <c r="R1175" s="30">
        <v>-11.78139536087116</v>
      </c>
      <c r="S1175" s="30">
        <v>2.6583586944740936</v>
      </c>
      <c r="T1175" s="30">
        <v>-6.8266532545092099E-3</v>
      </c>
    </row>
    <row r="1176" spans="10:20" x14ac:dyDescent="0.25">
      <c r="J1176" s="10"/>
      <c r="K1176" s="10"/>
      <c r="L1176" s="10" t="s">
        <v>82</v>
      </c>
      <c r="M1176" s="10" t="s">
        <v>93</v>
      </c>
      <c r="N1176" s="10"/>
      <c r="O1176" s="30">
        <v>-23.877252824402287</v>
      </c>
      <c r="P1176" s="30">
        <v>-6.2282076734738929</v>
      </c>
      <c r="Q1176" s="30">
        <v>-105.44571586844243</v>
      </c>
      <c r="R1176" s="30">
        <v>28.629593713990605</v>
      </c>
      <c r="S1176" s="30">
        <v>-20.049035309619946</v>
      </c>
      <c r="T1176" s="30">
        <v>4.031187216051195E-2</v>
      </c>
    </row>
    <row r="1177" spans="10:20" x14ac:dyDescent="0.25">
      <c r="J1177" s="10"/>
      <c r="K1177" s="10"/>
      <c r="L1177" s="10" t="s">
        <v>82</v>
      </c>
      <c r="M1177" s="10" t="s">
        <v>94</v>
      </c>
      <c r="N1177" s="10"/>
      <c r="O1177" s="30">
        <v>-9.0836740385632648</v>
      </c>
      <c r="P1177" s="30">
        <v>-2.5750760255359797</v>
      </c>
      <c r="Q1177" s="30">
        <v>-21.619497835986298</v>
      </c>
      <c r="R1177" s="30">
        <v>12.014095301677131</v>
      </c>
      <c r="S1177" s="30">
        <v>-8.0148959859563398</v>
      </c>
      <c r="T1177" s="30">
        <v>2.1268841330653654E-2</v>
      </c>
    </row>
    <row r="1178" spans="10:20" x14ac:dyDescent="0.25">
      <c r="J1178" s="10"/>
      <c r="K1178" s="10"/>
      <c r="L1178" s="10" t="s">
        <v>82</v>
      </c>
      <c r="M1178" s="10" t="s">
        <v>95</v>
      </c>
      <c r="N1178" s="10"/>
      <c r="O1178" s="30">
        <v>34.261351914066935</v>
      </c>
      <c r="P1178" s="30">
        <v>-12.153664193372746</v>
      </c>
      <c r="Q1178" s="30">
        <v>-153.98511941291289</v>
      </c>
      <c r="R1178" s="30">
        <v>56.947488119532927</v>
      </c>
      <c r="S1178" s="30">
        <v>27.044224578571622</v>
      </c>
      <c r="T1178" s="30">
        <v>4.1371418641323113E-2</v>
      </c>
    </row>
    <row r="1179" spans="10:20" x14ac:dyDescent="0.25">
      <c r="J1179" s="10"/>
      <c r="K1179" s="10"/>
      <c r="L1179" s="10" t="s">
        <v>82</v>
      </c>
      <c r="M1179" s="10" t="s">
        <v>96</v>
      </c>
      <c r="N1179" s="10"/>
      <c r="O1179" s="30">
        <v>49.046012764863775</v>
      </c>
      <c r="P1179" s="30">
        <v>-8.452453377887112</v>
      </c>
      <c r="Q1179" s="30">
        <v>-70.114239864025208</v>
      </c>
      <c r="R1179" s="30">
        <v>40.089850561484887</v>
      </c>
      <c r="S1179" s="30">
        <v>39.071099808184293</v>
      </c>
      <c r="T1179" s="30">
        <v>2.2313056953294056E-2</v>
      </c>
    </row>
    <row r="1180" spans="10:20" x14ac:dyDescent="0.25">
      <c r="J1180" s="10"/>
      <c r="K1180" s="10"/>
      <c r="L1180" s="10" t="s">
        <v>82</v>
      </c>
      <c r="M1180" s="10" t="s">
        <v>97</v>
      </c>
      <c r="N1180" s="10"/>
      <c r="O1180" s="30">
        <v>-33.287790000407874</v>
      </c>
      <c r="P1180" s="30">
        <v>-10.892138107911759</v>
      </c>
      <c r="Q1180" s="30">
        <v>-98.82372101479146</v>
      </c>
      <c r="R1180" s="30">
        <v>66.120736790016878</v>
      </c>
      <c r="S1180" s="30">
        <v>-27.488308096899559</v>
      </c>
      <c r="T1180" s="30">
        <v>7.4986616858311178E-2</v>
      </c>
    </row>
    <row r="1181" spans="10:20" x14ac:dyDescent="0.25">
      <c r="J1181" s="10"/>
      <c r="K1181" s="10"/>
      <c r="L1181" s="10" t="s">
        <v>82</v>
      </c>
      <c r="M1181" s="10" t="s">
        <v>98</v>
      </c>
      <c r="N1181" s="10"/>
      <c r="O1181" s="30">
        <v>-18.512962557007167</v>
      </c>
      <c r="P1181" s="30">
        <v>-20.496872561905523</v>
      </c>
      <c r="Q1181" s="30">
        <v>19.892812395036042</v>
      </c>
      <c r="R1181" s="30">
        <v>136.00187708692479</v>
      </c>
      <c r="S1181" s="30">
        <v>-15.417012828569483</v>
      </c>
      <c r="T1181" s="30">
        <v>0.17489853419668142</v>
      </c>
    </row>
    <row r="1182" spans="10:20" x14ac:dyDescent="0.25">
      <c r="J1182" s="10"/>
      <c r="K1182" s="10"/>
      <c r="L1182" s="10" t="s">
        <v>82</v>
      </c>
      <c r="M1182" s="10" t="s">
        <v>99</v>
      </c>
      <c r="N1182" s="10"/>
      <c r="O1182" s="30">
        <v>-33.444514617671764</v>
      </c>
      <c r="P1182" s="30">
        <v>-0.96978923890652047</v>
      </c>
      <c r="Q1182" s="30">
        <v>-97.42712570216122</v>
      </c>
      <c r="R1182" s="30">
        <v>-12.293002070015227</v>
      </c>
      <c r="S1182" s="30">
        <v>-27.615929996250959</v>
      </c>
      <c r="T1182" s="30">
        <v>-1.842216863256121E-4</v>
      </c>
    </row>
    <row r="1183" spans="10:20" x14ac:dyDescent="0.25">
      <c r="J1183" s="10"/>
      <c r="K1183" s="10"/>
      <c r="L1183" s="10" t="s">
        <v>82</v>
      </c>
      <c r="M1183" s="10" t="s">
        <v>100</v>
      </c>
      <c r="N1183" s="10"/>
      <c r="O1183" s="30">
        <v>-19.249864167450241</v>
      </c>
      <c r="P1183" s="30">
        <v>14.382242404006423</v>
      </c>
      <c r="Q1183" s="30">
        <v>116.52020107117494</v>
      </c>
      <c r="R1183" s="30">
        <v>-102.41087575956283</v>
      </c>
      <c r="S1183" s="30">
        <v>-15.88510348621133</v>
      </c>
      <c r="T1183" s="30">
        <v>-9.6827944314020614E-2</v>
      </c>
    </row>
    <row r="1184" spans="10:20" x14ac:dyDescent="0.25">
      <c r="J1184" s="10"/>
      <c r="K1184" s="10"/>
      <c r="L1184" s="10" t="s">
        <v>82</v>
      </c>
      <c r="M1184" s="10" t="s">
        <v>101</v>
      </c>
      <c r="N1184" s="10"/>
      <c r="O1184" s="30">
        <v>-21.377945010973495</v>
      </c>
      <c r="P1184" s="30">
        <v>-3.3996941627034536</v>
      </c>
      <c r="Q1184" s="30">
        <v>-31.670704457146329</v>
      </c>
      <c r="R1184" s="30">
        <v>16.146677290094377</v>
      </c>
      <c r="S1184" s="30">
        <v>-17.920681486818076</v>
      </c>
      <c r="T1184" s="30">
        <v>2.6905618973465485E-2</v>
      </c>
    </row>
    <row r="1185" spans="10:20" x14ac:dyDescent="0.25">
      <c r="J1185" s="10"/>
      <c r="K1185" s="10"/>
      <c r="L1185" s="10" t="s">
        <v>82</v>
      </c>
      <c r="M1185" s="10" t="s">
        <v>102</v>
      </c>
      <c r="N1185" s="10"/>
      <c r="O1185" s="30">
        <v>-8.0637241037183749</v>
      </c>
      <c r="P1185" s="30">
        <v>-0.11187567955933261</v>
      </c>
      <c r="Q1185" s="30">
        <v>43.772891772064199</v>
      </c>
      <c r="R1185" s="30">
        <v>1.1927287190122471</v>
      </c>
      <c r="S1185" s="30">
        <v>-7.0899560955208276</v>
      </c>
      <c r="T1185" s="30">
        <v>9.7668912265930202E-3</v>
      </c>
    </row>
    <row r="1186" spans="10:20" x14ac:dyDescent="0.25">
      <c r="J1186" s="10"/>
      <c r="K1186" s="10"/>
      <c r="L1186" s="10" t="s">
        <v>82</v>
      </c>
      <c r="M1186" s="10" t="s">
        <v>103</v>
      </c>
      <c r="N1186" s="10"/>
      <c r="O1186" s="30">
        <v>30.946799253648809</v>
      </c>
      <c r="P1186" s="30">
        <v>-8.7326050306124223</v>
      </c>
      <c r="Q1186" s="30">
        <v>-75.356167647169727</v>
      </c>
      <c r="R1186" s="30">
        <v>41.632782255082461</v>
      </c>
      <c r="S1186" s="30">
        <v>24.463252412554336</v>
      </c>
      <c r="T1186" s="30">
        <v>2.7859210806195529E-2</v>
      </c>
    </row>
    <row r="1187" spans="10:20" x14ac:dyDescent="0.25">
      <c r="J1187" s="10"/>
      <c r="K1187" s="10"/>
      <c r="L1187" s="10" t="s">
        <v>82</v>
      </c>
      <c r="M1187" s="10" t="s">
        <v>104</v>
      </c>
      <c r="N1187" s="10"/>
      <c r="O1187" s="30">
        <v>44.252994019365971</v>
      </c>
      <c r="P1187" s="30">
        <v>-5.4015152966753526</v>
      </c>
      <c r="Q1187" s="30">
        <v>0.12762394682916053</v>
      </c>
      <c r="R1187" s="30">
        <v>26.460908452839227</v>
      </c>
      <c r="S1187" s="30">
        <v>35.287440119205741</v>
      </c>
      <c r="T1187" s="30">
        <v>1.0706685286969376E-2</v>
      </c>
    </row>
    <row r="1188" spans="10:20" x14ac:dyDescent="0.25">
      <c r="J1188" s="10"/>
      <c r="K1188" s="10"/>
      <c r="L1188" s="10" t="s">
        <v>82</v>
      </c>
      <c r="M1188" s="10" t="s">
        <v>105</v>
      </c>
      <c r="N1188" s="10"/>
      <c r="O1188" s="30">
        <v>-29.847428469378528</v>
      </c>
      <c r="P1188" s="30">
        <v>-7.597231553697533</v>
      </c>
      <c r="Q1188" s="30">
        <v>-25.710909088860451</v>
      </c>
      <c r="R1188" s="30">
        <v>49.888706058518025</v>
      </c>
      <c r="S1188" s="30">
        <v>-24.616026995369726</v>
      </c>
      <c r="T1188" s="30">
        <v>5.8112889201484802E-2</v>
      </c>
    </row>
    <row r="1189" spans="10:20" x14ac:dyDescent="0.25">
      <c r="J1189" s="10"/>
      <c r="K1189" s="10"/>
      <c r="L1189" s="10" t="s">
        <v>82</v>
      </c>
      <c r="M1189" s="10" t="s">
        <v>106</v>
      </c>
      <c r="N1189" s="10"/>
      <c r="O1189" s="30">
        <v>-16.550083770317887</v>
      </c>
      <c r="P1189" s="30">
        <v>-16.241492562291921</v>
      </c>
      <c r="Q1189" s="30">
        <v>81.133970979984312</v>
      </c>
      <c r="R1189" s="30">
        <v>112.78173232573513</v>
      </c>
      <c r="S1189" s="30">
        <v>-13.751861253872658</v>
      </c>
      <c r="T1189" s="30">
        <v>0.14803361480601804</v>
      </c>
    </row>
    <row r="1190" spans="10:20" x14ac:dyDescent="0.25">
      <c r="J1190" s="10"/>
      <c r="K1190" s="10"/>
      <c r="L1190" s="10" t="s">
        <v>82</v>
      </c>
      <c r="M1190" s="10" t="s">
        <v>107</v>
      </c>
      <c r="N1190" s="10"/>
      <c r="O1190" s="30">
        <v>-29.988480624916029</v>
      </c>
      <c r="P1190" s="30">
        <v>1.332882428407181</v>
      </c>
      <c r="Q1190" s="30">
        <v>-24.453973307493239</v>
      </c>
      <c r="R1190" s="30">
        <v>-20.683658915510872</v>
      </c>
      <c r="S1190" s="30">
        <v>-24.730886704785984</v>
      </c>
      <c r="T1190" s="30">
        <v>-9.5408654886883215E-3</v>
      </c>
    </row>
    <row r="1191" spans="10:20" x14ac:dyDescent="0.25">
      <c r="J1191" s="10"/>
      <c r="K1191" s="10"/>
      <c r="L1191" s="10" t="s">
        <v>82</v>
      </c>
      <c r="M1191" s="10" t="s">
        <v>108</v>
      </c>
      <c r="N1191" s="10"/>
      <c r="O1191" s="30">
        <v>-17.213295219716652</v>
      </c>
      <c r="P1191" s="30">
        <v>15.14971090702883</v>
      </c>
      <c r="Q1191" s="30">
        <v>168.09862078850932</v>
      </c>
      <c r="R1191" s="30">
        <v>-101.7897452361037</v>
      </c>
      <c r="S1191" s="30">
        <v>-14.17314284575032</v>
      </c>
      <c r="T1191" s="30">
        <v>-9.6520215853613825E-2</v>
      </c>
    </row>
    <row r="1192" spans="10:20" x14ac:dyDescent="0.25">
      <c r="J1192" s="10"/>
      <c r="K1192" s="10"/>
      <c r="L1192" s="10" t="s">
        <v>82</v>
      </c>
      <c r="M1192" s="10" t="s">
        <v>109</v>
      </c>
      <c r="N1192" s="10"/>
      <c r="O1192" s="30">
        <v>-24.13953916900374</v>
      </c>
      <c r="P1192" s="30">
        <v>-4.302738109820794</v>
      </c>
      <c r="Q1192" s="30">
        <v>-55.008207372330965</v>
      </c>
      <c r="R1192" s="30">
        <v>20.187776197580551</v>
      </c>
      <c r="S1192" s="30">
        <v>-20.191420887227476</v>
      </c>
      <c r="T1192" s="30">
        <v>3.16194715149676E-2</v>
      </c>
    </row>
    <row r="1193" spans="10:20" x14ac:dyDescent="0.25">
      <c r="J1193" s="10"/>
      <c r="K1193" s="10"/>
      <c r="L1193" s="10" t="s">
        <v>82</v>
      </c>
      <c r="M1193" s="10" t="s">
        <v>110</v>
      </c>
      <c r="N1193" s="10"/>
      <c r="O1193" s="30">
        <v>-9.3459603831647193</v>
      </c>
      <c r="P1193" s="30">
        <v>-0.64960646188288174</v>
      </c>
      <c r="Q1193" s="30">
        <v>28.818010660125172</v>
      </c>
      <c r="R1193" s="30">
        <v>3.5722777852670764</v>
      </c>
      <c r="S1193" s="30">
        <v>-8.1572815635638722</v>
      </c>
      <c r="T1193" s="30">
        <v>1.2576440685109306E-2</v>
      </c>
    </row>
    <row r="1194" spans="10:20" x14ac:dyDescent="0.25">
      <c r="J1194" s="10"/>
      <c r="K1194" s="10"/>
      <c r="L1194" s="10" t="s">
        <v>82</v>
      </c>
      <c r="M1194" s="10" t="s">
        <v>111</v>
      </c>
      <c r="N1194" s="10"/>
      <c r="O1194" s="30">
        <v>33.999065569465486</v>
      </c>
      <c r="P1194" s="30">
        <v>-10.228194629719646</v>
      </c>
      <c r="Q1194" s="30">
        <v>-103.54761091680142</v>
      </c>
      <c r="R1194" s="30">
        <v>48.50567060312288</v>
      </c>
      <c r="S1194" s="30">
        <v>26.901839000964092</v>
      </c>
      <c r="T1194" s="30">
        <v>3.2679017995778763E-2</v>
      </c>
    </row>
    <row r="1195" spans="10:20" x14ac:dyDescent="0.25">
      <c r="J1195" s="10"/>
      <c r="K1195" s="10"/>
      <c r="L1195" s="10" t="s">
        <v>82</v>
      </c>
      <c r="M1195" s="10" t="s">
        <v>112</v>
      </c>
      <c r="N1195" s="10"/>
      <c r="O1195" s="30">
        <v>48.783726420262319</v>
      </c>
      <c r="P1195" s="30">
        <v>-6.526983814234014</v>
      </c>
      <c r="Q1195" s="30">
        <v>-19.676731367913739</v>
      </c>
      <c r="R1195" s="30">
        <v>31.648033045074833</v>
      </c>
      <c r="S1195" s="30">
        <v>38.928714230576759</v>
      </c>
      <c r="T1195" s="30">
        <v>1.3620656307749704E-2</v>
      </c>
    </row>
    <row r="1196" spans="10:20" x14ac:dyDescent="0.25">
      <c r="J1196" s="10"/>
      <c r="K1196" s="10"/>
      <c r="L1196" s="10" t="s">
        <v>82</v>
      </c>
      <c r="M1196" s="10" t="s">
        <v>113</v>
      </c>
      <c r="N1196" s="10"/>
      <c r="O1196" s="30">
        <v>-33.55007634500933</v>
      </c>
      <c r="P1196" s="30">
        <v>-8.966668544258658</v>
      </c>
      <c r="Q1196" s="30">
        <v>-48.38621251867999</v>
      </c>
      <c r="R1196" s="30">
        <v>57.678919273606823</v>
      </c>
      <c r="S1196" s="30">
        <v>-27.630693674507089</v>
      </c>
      <c r="T1196" s="30">
        <v>6.6294216212766835E-2</v>
      </c>
    </row>
    <row r="1197" spans="10:20" x14ac:dyDescent="0.25">
      <c r="J1197" s="10"/>
      <c r="K1197" s="10"/>
      <c r="L1197" s="10" t="s">
        <v>82</v>
      </c>
      <c r="M1197" s="10" t="s">
        <v>114</v>
      </c>
      <c r="N1197" s="10"/>
      <c r="O1197" s="30">
        <v>-18.775248901608617</v>
      </c>
      <c r="P1197" s="30">
        <v>-18.571402998252424</v>
      </c>
      <c r="Q1197" s="30">
        <v>70.330320891147508</v>
      </c>
      <c r="R1197" s="30">
        <v>127.56005957051472</v>
      </c>
      <c r="S1197" s="30">
        <v>-15.559398406177015</v>
      </c>
      <c r="T1197" s="30">
        <v>0.16620613355113706</v>
      </c>
    </row>
    <row r="1198" spans="10:20" x14ac:dyDescent="0.25">
      <c r="J1198" s="10"/>
      <c r="K1198" s="10"/>
      <c r="L1198" s="10" t="s">
        <v>82</v>
      </c>
      <c r="M1198" s="10" t="s">
        <v>115</v>
      </c>
      <c r="N1198" s="10"/>
      <c r="O1198" s="30">
        <v>-33.706800962273221</v>
      </c>
      <c r="P1198" s="30">
        <v>0.9556803247465776</v>
      </c>
      <c r="Q1198" s="30">
        <v>-46.989617206049751</v>
      </c>
      <c r="R1198" s="30">
        <v>-20.734819586425282</v>
      </c>
      <c r="S1198" s="30">
        <v>-27.758315573858489</v>
      </c>
      <c r="T1198" s="30">
        <v>-8.876622331869961E-3</v>
      </c>
    </row>
    <row r="1199" spans="10:20" x14ac:dyDescent="0.25">
      <c r="J1199" s="10"/>
      <c r="K1199" s="10"/>
      <c r="L1199" s="10" t="s">
        <v>82</v>
      </c>
      <c r="M1199" s="10" t="s">
        <v>116</v>
      </c>
      <c r="N1199" s="10"/>
      <c r="O1199" s="30">
        <v>-19.512150512051694</v>
      </c>
      <c r="P1199" s="30">
        <v>16.307711967659522</v>
      </c>
      <c r="Q1199" s="30">
        <v>166.9577095672864</v>
      </c>
      <c r="R1199" s="30">
        <v>-110.85269327597287</v>
      </c>
      <c r="S1199" s="30">
        <v>-16.027489063818862</v>
      </c>
      <c r="T1199" s="30">
        <v>-0.10552034495956496</v>
      </c>
    </row>
    <row r="1200" spans="10:20" x14ac:dyDescent="0.25">
      <c r="J1200" s="10"/>
      <c r="K1200" s="10"/>
      <c r="L1200" s="10" t="s">
        <v>83</v>
      </c>
      <c r="M1200" s="10" t="s">
        <v>91</v>
      </c>
      <c r="N1200" s="10"/>
      <c r="O1200" s="30">
        <v>4.0685358217685232</v>
      </c>
      <c r="P1200" s="30">
        <v>-6.9057014823716694</v>
      </c>
      <c r="Q1200" s="30">
        <v>49.669871681063455</v>
      </c>
      <c r="R1200" s="30">
        <v>30.180739054795772</v>
      </c>
      <c r="S1200" s="30">
        <v>2.7103584429065437</v>
      </c>
      <c r="T1200" s="30">
        <v>5.7448040135549855E-2</v>
      </c>
    </row>
    <row r="1201" spans="10:20" x14ac:dyDescent="0.25">
      <c r="J1201" s="10"/>
      <c r="K1201" s="10"/>
      <c r="L1201" s="10" t="s">
        <v>83</v>
      </c>
      <c r="M1201" s="10" t="s">
        <v>92</v>
      </c>
      <c r="N1201" s="10"/>
      <c r="O1201" s="30">
        <v>3.6811357515078647</v>
      </c>
      <c r="P1201" s="30">
        <v>-18.812444999257835</v>
      </c>
      <c r="Q1201" s="30">
        <v>76.815340458242261</v>
      </c>
      <c r="R1201" s="30">
        <v>81.847417890182172</v>
      </c>
      <c r="S1201" s="30">
        <v>2.3509569571429219</v>
      </c>
      <c r="T1201" s="30">
        <v>0.12735745337696411</v>
      </c>
    </row>
    <row r="1202" spans="10:20" x14ac:dyDescent="0.25">
      <c r="J1202" s="10"/>
      <c r="K1202" s="10"/>
      <c r="L1202" s="10" t="s">
        <v>83</v>
      </c>
      <c r="M1202" s="10" t="s">
        <v>93</v>
      </c>
      <c r="N1202" s="10"/>
      <c r="O1202" s="30">
        <v>-10.726942631572468</v>
      </c>
      <c r="P1202" s="30">
        <v>4.6850178113485459</v>
      </c>
      <c r="Q1202" s="30">
        <v>-45.507587602400399</v>
      </c>
      <c r="R1202" s="30">
        <v>-51.52972963129907</v>
      </c>
      <c r="S1202" s="30">
        <v>-10.294084900314212</v>
      </c>
      <c r="T1202" s="30">
        <v>-8.2821057554453209E-2</v>
      </c>
    </row>
    <row r="1203" spans="10:20" x14ac:dyDescent="0.25">
      <c r="J1203" s="10"/>
      <c r="K1203" s="10"/>
      <c r="L1203" s="10" t="s">
        <v>83</v>
      </c>
      <c r="M1203" s="10" t="s">
        <v>94</v>
      </c>
      <c r="N1203" s="10"/>
      <c r="O1203" s="30">
        <v>-4.0225064789622493</v>
      </c>
      <c r="P1203" s="30">
        <v>0.25957570851285977</v>
      </c>
      <c r="Q1203" s="30">
        <v>-2.3655830933209723</v>
      </c>
      <c r="R1203" s="30">
        <v>-14.77038384158476</v>
      </c>
      <c r="S1203" s="30">
        <v>-5.1626582690060285</v>
      </c>
      <c r="T1203" s="30">
        <v>-1.7573549263476353E-2</v>
      </c>
    </row>
    <row r="1204" spans="10:20" x14ac:dyDescent="0.25">
      <c r="J1204" s="10"/>
      <c r="K1204" s="10"/>
      <c r="L1204" s="10" t="s">
        <v>83</v>
      </c>
      <c r="M1204" s="10" t="s">
        <v>95</v>
      </c>
      <c r="N1204" s="10"/>
      <c r="O1204" s="30">
        <v>21.414810378207743</v>
      </c>
      <c r="P1204" s="30">
        <v>15.9439891090733</v>
      </c>
      <c r="Q1204" s="30">
        <v>-71.723377268683308</v>
      </c>
      <c r="R1204" s="30">
        <v>-110.983224596113</v>
      </c>
      <c r="S1204" s="30">
        <v>17.976377063615281</v>
      </c>
      <c r="T1204" s="30">
        <v>-7.3829471037099609E-2</v>
      </c>
    </row>
    <row r="1205" spans="10:20" x14ac:dyDescent="0.25">
      <c r="J1205" s="10"/>
      <c r="K1205" s="10"/>
      <c r="L1205" s="10" t="s">
        <v>83</v>
      </c>
      <c r="M1205" s="10" t="s">
        <v>96</v>
      </c>
      <c r="N1205" s="10"/>
      <c r="O1205" s="30">
        <v>28.122673135140413</v>
      </c>
      <c r="P1205" s="30">
        <v>11.385185081306362</v>
      </c>
      <c r="Q1205" s="30">
        <v>-28.08669320935147</v>
      </c>
      <c r="R1205" s="30">
        <v>-73.671773825737077</v>
      </c>
      <c r="S1205" s="30">
        <v>23.112687215432494</v>
      </c>
      <c r="T1205" s="30">
        <v>-8.7179743488713483E-3</v>
      </c>
    </row>
    <row r="1206" spans="10:20" x14ac:dyDescent="0.25">
      <c r="J1206" s="10"/>
      <c r="K1206" s="10"/>
      <c r="L1206" s="10" t="s">
        <v>83</v>
      </c>
      <c r="M1206" s="10" t="s">
        <v>97</v>
      </c>
      <c r="N1206" s="10"/>
      <c r="O1206" s="30">
        <v>-12.880173943301861</v>
      </c>
      <c r="P1206" s="30">
        <v>3.4220529030086921</v>
      </c>
      <c r="Q1206" s="30">
        <v>-32.024806344438311</v>
      </c>
      <c r="R1206" s="30">
        <v>-21.014562310210735</v>
      </c>
      <c r="S1206" s="30">
        <v>-10.253207302545247</v>
      </c>
      <c r="T1206" s="30">
        <v>-4.6421557480615369E-2</v>
      </c>
    </row>
    <row r="1207" spans="10:20" x14ac:dyDescent="0.25">
      <c r="J1207" s="10"/>
      <c r="K1207" s="10"/>
      <c r="L1207" s="10" t="s">
        <v>83</v>
      </c>
      <c r="M1207" s="10" t="s">
        <v>98</v>
      </c>
      <c r="N1207" s="10"/>
      <c r="O1207" s="30">
        <v>-6.8436004259378613</v>
      </c>
      <c r="P1207" s="30">
        <v>-12.372612064194866</v>
      </c>
      <c r="Q1207" s="30">
        <v>21.239853937068652</v>
      </c>
      <c r="R1207" s="30">
        <v>90.816017065691398</v>
      </c>
      <c r="S1207" s="30">
        <v>-5.8415439049532374</v>
      </c>
      <c r="T1207" s="30">
        <v>0.10773185119272972</v>
      </c>
    </row>
    <row r="1208" spans="10:20" x14ac:dyDescent="0.25">
      <c r="J1208" s="10"/>
      <c r="K1208" s="10"/>
      <c r="L1208" s="10" t="s">
        <v>83</v>
      </c>
      <c r="M1208" s="10" t="s">
        <v>99</v>
      </c>
      <c r="N1208" s="10"/>
      <c r="O1208" s="30">
        <v>-19.193130595893233</v>
      </c>
      <c r="P1208" s="30">
        <v>52.444365598009945</v>
      </c>
      <c r="Q1208" s="30">
        <v>-55.681560549852776</v>
      </c>
      <c r="R1208" s="30">
        <v>-221.88447227533916</v>
      </c>
      <c r="S1208" s="30">
        <v>-14.932941942574601</v>
      </c>
      <c r="T1208" s="30">
        <v>-0.24042813506549721</v>
      </c>
    </row>
    <row r="1209" spans="10:20" x14ac:dyDescent="0.25">
      <c r="J1209" s="10"/>
      <c r="K1209" s="10"/>
      <c r="L1209" s="10" t="s">
        <v>83</v>
      </c>
      <c r="M1209" s="10" t="s">
        <v>100</v>
      </c>
      <c r="N1209" s="10"/>
      <c r="O1209" s="30">
        <v>-13.556103342876749</v>
      </c>
      <c r="P1209" s="30">
        <v>26.016045292558459</v>
      </c>
      <c r="Q1209" s="30">
        <v>68.442926902092111</v>
      </c>
      <c r="R1209" s="30">
        <v>-112.5300254890079</v>
      </c>
      <c r="S1209" s="30">
        <v>-10.766258436980431</v>
      </c>
      <c r="T1209" s="30">
        <v>-6.9986857945537412E-2</v>
      </c>
    </row>
    <row r="1210" spans="10:20" x14ac:dyDescent="0.25">
      <c r="J1210" s="10"/>
      <c r="K1210" s="10"/>
      <c r="L1210" s="10" t="s">
        <v>83</v>
      </c>
      <c r="M1210" s="10" t="s">
        <v>101</v>
      </c>
      <c r="N1210" s="10"/>
      <c r="O1210" s="30">
        <v>-9.6347948564990276</v>
      </c>
      <c r="P1210" s="30">
        <v>-8.3807976349096389</v>
      </c>
      <c r="Q1210" s="30">
        <v>-8.8443728968752087</v>
      </c>
      <c r="R1210" s="30">
        <v>8.3079960726968185</v>
      </c>
      <c r="S1210" s="30">
        <v>-9.3530420517557591</v>
      </c>
      <c r="T1210" s="30">
        <v>1.1152654559613436E-3</v>
      </c>
    </row>
    <row r="1211" spans="10:20" x14ac:dyDescent="0.25">
      <c r="J1211" s="10"/>
      <c r="K1211" s="10"/>
      <c r="L1211" s="10" t="s">
        <v>83</v>
      </c>
      <c r="M1211" s="10" t="s">
        <v>102</v>
      </c>
      <c r="N1211" s="10"/>
      <c r="O1211" s="30">
        <v>-3.6008023191498317</v>
      </c>
      <c r="P1211" s="30">
        <v>-12.363695527461758</v>
      </c>
      <c r="Q1211" s="30">
        <v>29.983431161296277</v>
      </c>
      <c r="R1211" s="30">
        <v>41.39140728343969</v>
      </c>
      <c r="S1211" s="30">
        <v>-4.7347580835783933</v>
      </c>
      <c r="T1211" s="30">
        <v>5.983802291784051E-2</v>
      </c>
    </row>
    <row r="1212" spans="10:20" x14ac:dyDescent="0.25">
      <c r="J1212" s="10"/>
      <c r="K1212" s="10"/>
      <c r="L1212" s="10" t="s">
        <v>83</v>
      </c>
      <c r="M1212" s="10" t="s">
        <v>103</v>
      </c>
      <c r="N1212" s="10"/>
      <c r="O1212" s="30">
        <v>19.292782852303159</v>
      </c>
      <c r="P1212" s="30">
        <v>1.7522765330426406</v>
      </c>
      <c r="Q1212" s="30">
        <v>-32.438583596529824</v>
      </c>
      <c r="R1212" s="30">
        <v>-45.200149395635712</v>
      </c>
      <c r="S1212" s="30">
        <v>16.090373715780785</v>
      </c>
      <c r="T1212" s="30">
        <v>9.2076933215795853E-3</v>
      </c>
    </row>
    <row r="1213" spans="10:20" x14ac:dyDescent="0.25">
      <c r="J1213" s="10"/>
      <c r="K1213" s="10"/>
      <c r="L1213" s="10" t="s">
        <v>83</v>
      </c>
      <c r="M1213" s="10" t="s">
        <v>104</v>
      </c>
      <c r="N1213" s="10"/>
      <c r="O1213" s="30">
        <v>25.329859333542565</v>
      </c>
      <c r="P1213" s="30">
        <v>-2.3506470919476046</v>
      </c>
      <c r="Q1213" s="30">
        <v>6.8344320568688257</v>
      </c>
      <c r="R1213" s="30">
        <v>-11.619843702297386</v>
      </c>
      <c r="S1213" s="30">
        <v>20.713052852416276</v>
      </c>
      <c r="T1213" s="30">
        <v>6.7808040340985018E-2</v>
      </c>
    </row>
    <row r="1214" spans="10:20" x14ac:dyDescent="0.25">
      <c r="J1214" s="10"/>
      <c r="K1214" s="10"/>
      <c r="L1214" s="10" t="s">
        <v>83</v>
      </c>
      <c r="M1214" s="10" t="s">
        <v>105</v>
      </c>
      <c r="N1214" s="10"/>
      <c r="O1214" s="30">
        <v>-11.572703037055481</v>
      </c>
      <c r="P1214" s="30">
        <v>-9.5174660524155072</v>
      </c>
      <c r="Q1214" s="30">
        <v>3.2901302352906781</v>
      </c>
      <c r="R1214" s="30">
        <v>35.771646661676321</v>
      </c>
      <c r="S1214" s="30">
        <v>-9.3162522137636916</v>
      </c>
      <c r="T1214" s="30">
        <v>3.3874815522415391E-2</v>
      </c>
    </row>
    <row r="1215" spans="10:20" x14ac:dyDescent="0.25">
      <c r="J1215" s="10"/>
      <c r="K1215" s="10"/>
      <c r="L1215" s="10" t="s">
        <v>83</v>
      </c>
      <c r="M1215" s="10" t="s">
        <v>106</v>
      </c>
      <c r="N1215" s="10"/>
      <c r="O1215" s="30">
        <v>-6.1397868714278818</v>
      </c>
      <c r="P1215" s="30">
        <v>-23.732664522898713</v>
      </c>
      <c r="Q1215" s="30">
        <v>51.228324488646948</v>
      </c>
      <c r="R1215" s="30">
        <v>136.41916809998824</v>
      </c>
      <c r="S1215" s="30">
        <v>-5.3457551559308811</v>
      </c>
      <c r="T1215" s="30">
        <v>0.172612883328426</v>
      </c>
    </row>
    <row r="1216" spans="10:20" x14ac:dyDescent="0.25">
      <c r="J1216" s="10"/>
      <c r="K1216" s="10"/>
      <c r="L1216" s="10" t="s">
        <v>83</v>
      </c>
      <c r="M1216" s="10" t="s">
        <v>107</v>
      </c>
      <c r="N1216" s="10"/>
      <c r="O1216" s="30">
        <v>-17.254364024387719</v>
      </c>
      <c r="P1216" s="30">
        <v>34.602615373085619</v>
      </c>
      <c r="Q1216" s="30">
        <v>-18.000948549582343</v>
      </c>
      <c r="R1216" s="30">
        <v>-145.01127230693925</v>
      </c>
      <c r="S1216" s="30">
        <v>-13.528013389790107</v>
      </c>
      <c r="T1216" s="30">
        <v>-0.14073110430397828</v>
      </c>
    </row>
    <row r="1217" spans="10:20" x14ac:dyDescent="0.25">
      <c r="J1217" s="10"/>
      <c r="K1217" s="10"/>
      <c r="L1217" s="10" t="s">
        <v>83</v>
      </c>
      <c r="M1217" s="10" t="s">
        <v>108</v>
      </c>
      <c r="N1217" s="10"/>
      <c r="O1217" s="30">
        <v>-12.181039496672879</v>
      </c>
      <c r="P1217" s="30">
        <v>10.817127098179283</v>
      </c>
      <c r="Q1217" s="30">
        <v>93.711090157168059</v>
      </c>
      <c r="R1217" s="30">
        <v>-46.592270199241135</v>
      </c>
      <c r="S1217" s="30">
        <v>-9.7779982347553549</v>
      </c>
      <c r="T1217" s="30">
        <v>1.2666045103985566E-2</v>
      </c>
    </row>
    <row r="1218" spans="10:20" x14ac:dyDescent="0.25">
      <c r="J1218" s="10"/>
      <c r="K1218" s="10"/>
      <c r="L1218" s="10" t="s">
        <v>83</v>
      </c>
      <c r="M1218" s="10" t="s">
        <v>109</v>
      </c>
      <c r="N1218" s="10"/>
      <c r="O1218" s="30">
        <v>-11.075602694807062</v>
      </c>
      <c r="P1218" s="30">
        <v>-6.0310513538490023</v>
      </c>
      <c r="Q1218" s="30">
        <v>-21.076665702939465</v>
      </c>
      <c r="R1218" s="30">
        <v>-5.0297186794513005</v>
      </c>
      <c r="S1218" s="30">
        <v>-10.617546237501474</v>
      </c>
      <c r="T1218" s="30">
        <v>-1.9902585637180392E-2</v>
      </c>
    </row>
    <row r="1219" spans="10:20" x14ac:dyDescent="0.25">
      <c r="J1219" s="10"/>
      <c r="K1219" s="10"/>
      <c r="L1219" s="10" t="s">
        <v>83</v>
      </c>
      <c r="M1219" s="10" t="s">
        <v>110</v>
      </c>
      <c r="N1219" s="10"/>
      <c r="O1219" s="30">
        <v>-4.3711665421968418</v>
      </c>
      <c r="P1219" s="30">
        <v>-10.456493456684688</v>
      </c>
      <c r="Q1219" s="30">
        <v>22.065338806139962</v>
      </c>
      <c r="R1219" s="30">
        <v>31.72962711026301</v>
      </c>
      <c r="S1219" s="30">
        <v>-5.486119606193288</v>
      </c>
      <c r="T1219" s="30">
        <v>4.5344922653796471E-2</v>
      </c>
    </row>
    <row r="1220" spans="10:20" x14ac:dyDescent="0.25">
      <c r="J1220" s="10"/>
      <c r="K1220" s="10"/>
      <c r="L1220" s="10" t="s">
        <v>83</v>
      </c>
      <c r="M1220" s="10" t="s">
        <v>111</v>
      </c>
      <c r="N1220" s="10"/>
      <c r="O1220" s="30">
        <v>21.06615031497315</v>
      </c>
      <c r="P1220" s="30">
        <v>5.2279199438757527</v>
      </c>
      <c r="Q1220" s="30">
        <v>-47.292455369222374</v>
      </c>
      <c r="R1220" s="30">
        <v>-64.48321364426522</v>
      </c>
      <c r="S1220" s="30">
        <v>17.65291572642802</v>
      </c>
      <c r="T1220" s="30">
        <v>-1.0910999119826794E-2</v>
      </c>
    </row>
    <row r="1221" spans="10:20" x14ac:dyDescent="0.25">
      <c r="J1221" s="10"/>
      <c r="K1221" s="10"/>
      <c r="L1221" s="10" t="s">
        <v>83</v>
      </c>
      <c r="M1221" s="10" t="s">
        <v>112</v>
      </c>
      <c r="N1221" s="10"/>
      <c r="O1221" s="30">
        <v>27.77401307190582</v>
      </c>
      <c r="P1221" s="30">
        <v>0.66911591610881427</v>
      </c>
      <c r="Q1221" s="30">
        <v>-3.655771309890536</v>
      </c>
      <c r="R1221" s="30">
        <v>-27.171762873889307</v>
      </c>
      <c r="S1221" s="30">
        <v>22.789225878245233</v>
      </c>
      <c r="T1221" s="30">
        <v>5.4200497568401479E-2</v>
      </c>
    </row>
    <row r="1222" spans="10:20" x14ac:dyDescent="0.25">
      <c r="J1222" s="10"/>
      <c r="K1222" s="10"/>
      <c r="L1222" s="10" t="s">
        <v>83</v>
      </c>
      <c r="M1222" s="10" t="s">
        <v>113</v>
      </c>
      <c r="N1222" s="10"/>
      <c r="O1222" s="30">
        <v>-13.228834006536452</v>
      </c>
      <c r="P1222" s="30">
        <v>-7.2940162621888565</v>
      </c>
      <c r="Q1222" s="30">
        <v>-7.5938844449773732</v>
      </c>
      <c r="R1222" s="30">
        <v>25.485448641637035</v>
      </c>
      <c r="S1222" s="30">
        <v>-10.576668639732507</v>
      </c>
      <c r="T1222" s="30">
        <v>1.6496914436657458E-2</v>
      </c>
    </row>
    <row r="1223" spans="10:20" x14ac:dyDescent="0.25">
      <c r="J1223" s="10"/>
      <c r="K1223" s="10"/>
      <c r="L1223" s="10" t="s">
        <v>83</v>
      </c>
      <c r="M1223" s="10" t="s">
        <v>114</v>
      </c>
      <c r="N1223" s="10"/>
      <c r="O1223" s="30">
        <v>-7.1922604891724538</v>
      </c>
      <c r="P1223" s="30">
        <v>-23.088681229392414</v>
      </c>
      <c r="Q1223" s="30">
        <v>45.670775836529586</v>
      </c>
      <c r="R1223" s="30">
        <v>137.31602801753917</v>
      </c>
      <c r="S1223" s="30">
        <v>-6.1650052421404968</v>
      </c>
      <c r="T1223" s="30">
        <v>0.17065032311000256</v>
      </c>
    </row>
    <row r="1224" spans="10:20" x14ac:dyDescent="0.25">
      <c r="J1224" s="10"/>
      <c r="K1224" s="10"/>
      <c r="L1224" s="10" t="s">
        <v>83</v>
      </c>
      <c r="M1224" s="10" t="s">
        <v>115</v>
      </c>
      <c r="N1224" s="10"/>
      <c r="O1224" s="30">
        <v>-19.54179065912783</v>
      </c>
      <c r="P1224" s="30">
        <v>41.7282964328124</v>
      </c>
      <c r="Q1224" s="30">
        <v>-31.250638650391842</v>
      </c>
      <c r="R1224" s="30">
        <v>-175.38446132349137</v>
      </c>
      <c r="S1224" s="30">
        <v>-15.256403279761861</v>
      </c>
      <c r="T1224" s="30">
        <v>-0.17750966314822439</v>
      </c>
    </row>
    <row r="1225" spans="10:20" x14ac:dyDescent="0.25">
      <c r="J1225" s="10"/>
      <c r="K1225" s="10"/>
      <c r="L1225" s="10" t="s">
        <v>83</v>
      </c>
      <c r="M1225" s="10" t="s">
        <v>116</v>
      </c>
      <c r="N1225" s="10"/>
      <c r="O1225" s="30">
        <v>-13.904763406111341</v>
      </c>
      <c r="P1225" s="30">
        <v>15.299976127360912</v>
      </c>
      <c r="Q1225" s="30">
        <v>92.873848801553038</v>
      </c>
      <c r="R1225" s="30">
        <v>-66.030014537160113</v>
      </c>
      <c r="S1225" s="30">
        <v>-11.089719774167689</v>
      </c>
      <c r="T1225" s="30">
        <v>-7.0683860282645889E-3</v>
      </c>
    </row>
    <row r="1226" spans="10:20" x14ac:dyDescent="0.25">
      <c r="J1226" s="10"/>
      <c r="K1226" s="10"/>
      <c r="L1226" s="10" t="s">
        <v>84</v>
      </c>
      <c r="M1226" s="10" t="s">
        <v>91</v>
      </c>
      <c r="N1226" s="10"/>
      <c r="O1226" s="30">
        <v>-7.7896023156409298</v>
      </c>
      <c r="P1226" s="30">
        <v>4.2077089477748624</v>
      </c>
      <c r="Q1226" s="30">
        <v>39.599566072516737</v>
      </c>
      <c r="R1226" s="30">
        <v>9.9890772618766874</v>
      </c>
      <c r="S1226" s="30">
        <v>-0.16401462722092319</v>
      </c>
      <c r="T1226" s="30">
        <v>-3.7335925095956013E-2</v>
      </c>
    </row>
    <row r="1227" spans="10:20" x14ac:dyDescent="0.25">
      <c r="J1227" s="10"/>
      <c r="K1227" s="10"/>
      <c r="L1227" s="10" t="s">
        <v>84</v>
      </c>
      <c r="M1227" s="10" t="s">
        <v>92</v>
      </c>
      <c r="N1227" s="10"/>
      <c r="O1227" s="30">
        <v>-7.5739373827098628</v>
      </c>
      <c r="P1227" s="30">
        <v>4.0004771470491818</v>
      </c>
      <c r="Q1227" s="30">
        <v>46.567272731220498</v>
      </c>
      <c r="R1227" s="30">
        <v>7.7854673233428553</v>
      </c>
      <c r="S1227" s="30">
        <v>-0.4508298113623655</v>
      </c>
      <c r="T1227" s="30">
        <v>-0.11269514623769576</v>
      </c>
    </row>
    <row r="1228" spans="10:20" x14ac:dyDescent="0.25">
      <c r="J1228" s="10"/>
      <c r="K1228" s="10"/>
      <c r="L1228" s="10" t="s">
        <v>84</v>
      </c>
      <c r="M1228" s="10" t="s">
        <v>93</v>
      </c>
      <c r="N1228" s="10"/>
      <c r="O1228" s="30">
        <v>1.3004657678078917</v>
      </c>
      <c r="P1228" s="30">
        <v>8.1949487649412056</v>
      </c>
      <c r="Q1228" s="30">
        <v>31.027508634684011</v>
      </c>
      <c r="R1228" s="30">
        <v>-5.3940618278882839</v>
      </c>
      <c r="S1228" s="30">
        <v>-9.2715194976772395</v>
      </c>
      <c r="T1228" s="30">
        <v>8.69720728710527E-2</v>
      </c>
    </row>
    <row r="1229" spans="10:20" x14ac:dyDescent="0.25">
      <c r="J1229" s="10"/>
      <c r="K1229" s="10"/>
      <c r="L1229" s="10" t="s">
        <v>84</v>
      </c>
      <c r="M1229" s="10" t="s">
        <v>94</v>
      </c>
      <c r="N1229" s="10"/>
      <c r="O1229" s="30">
        <v>-3.8428549326382573</v>
      </c>
      <c r="P1229" s="30">
        <v>5.9992411409191275</v>
      </c>
      <c r="Q1229" s="30">
        <v>39.820156674871413</v>
      </c>
      <c r="R1229" s="30">
        <v>3.6091393708316479</v>
      </c>
      <c r="S1229" s="30">
        <v>-5.8370332569758938</v>
      </c>
      <c r="T1229" s="30">
        <v>-1.0170802018649554E-4</v>
      </c>
    </row>
    <row r="1230" spans="10:20" x14ac:dyDescent="0.25">
      <c r="J1230" s="10"/>
      <c r="K1230" s="10"/>
      <c r="L1230" s="10" t="s">
        <v>84</v>
      </c>
      <c r="M1230" s="10" t="s">
        <v>95</v>
      </c>
      <c r="N1230" s="10"/>
      <c r="O1230" s="30">
        <v>-18.286775309931098</v>
      </c>
      <c r="P1230" s="30">
        <v>12.425992188876837</v>
      </c>
      <c r="Q1230" s="30">
        <v>-21.55998230780337</v>
      </c>
      <c r="R1230" s="30">
        <v>-18.510038323598128</v>
      </c>
      <c r="S1230" s="30">
        <v>10.731934305416305</v>
      </c>
      <c r="T1230" s="30">
        <v>0.22785636547152116</v>
      </c>
    </row>
    <row r="1231" spans="10:20" x14ac:dyDescent="0.25">
      <c r="J1231" s="10"/>
      <c r="K1231" s="10"/>
      <c r="L1231" s="10" t="s">
        <v>84</v>
      </c>
      <c r="M1231" s="10" t="s">
        <v>96</v>
      </c>
      <c r="N1231" s="10"/>
      <c r="O1231" s="30">
        <v>-23.431575722105471</v>
      </c>
      <c r="P1231" s="30">
        <v>10.201228890779282</v>
      </c>
      <c r="Q1231" s="30">
        <v>-12.431690425137573</v>
      </c>
      <c r="R1231" s="30">
        <v>-9.5970860154052193</v>
      </c>
      <c r="S1231" s="30">
        <v>14.170600257134693</v>
      </c>
      <c r="T1231" s="30">
        <v>0.13992457476641557</v>
      </c>
    </row>
    <row r="1232" spans="10:20" x14ac:dyDescent="0.25">
      <c r="J1232" s="10"/>
      <c r="K1232" s="10"/>
      <c r="L1232" s="10" t="s">
        <v>84</v>
      </c>
      <c r="M1232" s="10" t="s">
        <v>97</v>
      </c>
      <c r="N1232" s="10"/>
      <c r="O1232" s="30">
        <v>9.8848680805529678</v>
      </c>
      <c r="P1232" s="30">
        <v>-0.90175955913132644</v>
      </c>
      <c r="Q1232" s="30">
        <v>12.403596147920442</v>
      </c>
      <c r="R1232" s="30">
        <v>45.594909211640086</v>
      </c>
      <c r="S1232" s="30">
        <v>-11.869208672600239</v>
      </c>
      <c r="T1232" s="30">
        <v>0.31271574430853721</v>
      </c>
    </row>
    <row r="1233" spans="10:20" x14ac:dyDescent="0.25">
      <c r="J1233" s="10"/>
      <c r="K1233" s="10"/>
      <c r="L1233" s="10" t="s">
        <v>84</v>
      </c>
      <c r="M1233" s="10" t="s">
        <v>98</v>
      </c>
      <c r="N1233" s="10"/>
      <c r="O1233" s="30">
        <v>5.3386222355993871</v>
      </c>
      <c r="P1233" s="30">
        <v>-8.5812686296153267</v>
      </c>
      <c r="Q1233" s="30">
        <v>48.16815979315011</v>
      </c>
      <c r="R1233" s="30">
        <v>62.48365854856079</v>
      </c>
      <c r="S1233" s="30">
        <v>-9.1948766470246195</v>
      </c>
      <c r="T1233" s="30">
        <v>9.5658310058424026E-2</v>
      </c>
    </row>
    <row r="1234" spans="10:20" x14ac:dyDescent="0.25">
      <c r="J1234" s="10"/>
      <c r="K1234" s="10"/>
      <c r="L1234" s="10" t="s">
        <v>84</v>
      </c>
      <c r="M1234" s="10" t="s">
        <v>99</v>
      </c>
      <c r="N1234" s="10"/>
      <c r="O1234" s="30">
        <v>5.155435665167226</v>
      </c>
      <c r="P1234" s="30">
        <v>11.119489526326221</v>
      </c>
      <c r="Q1234" s="30">
        <v>25.912322409667208</v>
      </c>
      <c r="R1234" s="30">
        <v>-12.405133952664825</v>
      </c>
      <c r="S1234" s="30">
        <v>-8.8541520509265297</v>
      </c>
      <c r="T1234" s="30">
        <v>0.12583754047207765</v>
      </c>
    </row>
    <row r="1235" spans="10:20" x14ac:dyDescent="0.25">
      <c r="J1235" s="10"/>
      <c r="K1235" s="10"/>
      <c r="L1235" s="10" t="s">
        <v>84</v>
      </c>
      <c r="M1235" s="10" t="s">
        <v>100</v>
      </c>
      <c r="N1235" s="10"/>
      <c r="O1235" s="30">
        <v>0.44359485923474756</v>
      </c>
      <c r="P1235" s="30">
        <v>13.541932877040367</v>
      </c>
      <c r="Q1235" s="30">
        <v>40.5896251418446</v>
      </c>
      <c r="R1235" s="30">
        <v>-19.438951404443156</v>
      </c>
      <c r="S1235" s="30">
        <v>-5.9979979368381509</v>
      </c>
      <c r="T1235" s="30">
        <v>-5.2805708698703227E-2</v>
      </c>
    </row>
    <row r="1236" spans="10:20" x14ac:dyDescent="0.25">
      <c r="J1236" s="10"/>
      <c r="K1236" s="10"/>
      <c r="L1236" s="10" t="s">
        <v>84</v>
      </c>
      <c r="M1236" s="10" t="s">
        <v>101</v>
      </c>
      <c r="N1236" s="10"/>
      <c r="O1236" s="30">
        <v>0.60712389239407716</v>
      </c>
      <c r="P1236" s="30">
        <v>7.5889929824988913</v>
      </c>
      <c r="Q1236" s="30">
        <v>38.852421037171041</v>
      </c>
      <c r="R1236" s="30">
        <v>-6.0593578574456197</v>
      </c>
      <c r="S1236" s="30">
        <v>-8.6475841947730512</v>
      </c>
      <c r="T1236" s="30">
        <v>-8.1794806738792953E-4</v>
      </c>
    </row>
    <row r="1237" spans="10:20" x14ac:dyDescent="0.25">
      <c r="J1237" s="10"/>
      <c r="K1237" s="10"/>
      <c r="L1237" s="10" t="s">
        <v>84</v>
      </c>
      <c r="M1237" s="10" t="s">
        <v>102</v>
      </c>
      <c r="N1237" s="10"/>
      <c r="O1237" s="30">
        <v>-4.0218647380074586</v>
      </c>
      <c r="P1237" s="30">
        <v>5.6128561208790204</v>
      </c>
      <c r="Q1237" s="30">
        <v>46.765804273339697</v>
      </c>
      <c r="R1237" s="30">
        <v>2.0435232214023196</v>
      </c>
      <c r="S1237" s="30">
        <v>-5.5565465781418393</v>
      </c>
      <c r="T1237" s="30">
        <v>-7.9184350869503206E-2</v>
      </c>
    </row>
    <row r="1238" spans="10:20" x14ac:dyDescent="0.25">
      <c r="J1238" s="10"/>
      <c r="K1238" s="10"/>
      <c r="L1238" s="10" t="s">
        <v>84</v>
      </c>
      <c r="M1238" s="10" t="s">
        <v>103</v>
      </c>
      <c r="N1238" s="10"/>
      <c r="O1238" s="30">
        <v>-17.021393077571016</v>
      </c>
      <c r="P1238" s="30">
        <v>11.396932064040959</v>
      </c>
      <c r="Q1238" s="30">
        <v>-8.4763208110675965</v>
      </c>
      <c r="R1238" s="30">
        <v>-17.863736703584479</v>
      </c>
      <c r="S1238" s="30">
        <v>9.3555242280111379</v>
      </c>
      <c r="T1238" s="30">
        <v>0.1259779152730337</v>
      </c>
    </row>
    <row r="1239" spans="10:20" x14ac:dyDescent="0.25">
      <c r="J1239" s="10"/>
      <c r="K1239" s="10"/>
      <c r="L1239" s="10" t="s">
        <v>84</v>
      </c>
      <c r="M1239" s="10" t="s">
        <v>104</v>
      </c>
      <c r="N1239" s="10"/>
      <c r="O1239" s="30">
        <v>-21.651713448527957</v>
      </c>
      <c r="P1239" s="30">
        <v>9.3946450957531589</v>
      </c>
      <c r="Q1239" s="30">
        <v>-0.26085811666837977</v>
      </c>
      <c r="R1239" s="30">
        <v>-9.8420796262108627</v>
      </c>
      <c r="S1239" s="30">
        <v>12.45032358455769</v>
      </c>
      <c r="T1239" s="30">
        <v>4.6839303638438655E-2</v>
      </c>
    </row>
    <row r="1240" spans="10:20" x14ac:dyDescent="0.25">
      <c r="J1240" s="10"/>
      <c r="K1240" s="10"/>
      <c r="L1240" s="10" t="s">
        <v>84</v>
      </c>
      <c r="M1240" s="10" t="s">
        <v>105</v>
      </c>
      <c r="N1240" s="10"/>
      <c r="O1240" s="30">
        <v>8.3330859738646428</v>
      </c>
      <c r="P1240" s="30">
        <v>-0.59804450916638863</v>
      </c>
      <c r="Q1240" s="30">
        <v>22.090899799083832</v>
      </c>
      <c r="R1240" s="30">
        <v>39.830716078129917</v>
      </c>
      <c r="S1240" s="30">
        <v>-10.985504452203749</v>
      </c>
      <c r="T1240" s="30">
        <v>0.20235135622634812</v>
      </c>
    </row>
    <row r="1241" spans="10:20" x14ac:dyDescent="0.25">
      <c r="J1241" s="10"/>
      <c r="K1241" s="10"/>
      <c r="L1241" s="10" t="s">
        <v>84</v>
      </c>
      <c r="M1241" s="10" t="s">
        <v>106</v>
      </c>
      <c r="N1241" s="10"/>
      <c r="O1241" s="30">
        <v>4.2414647134064225</v>
      </c>
      <c r="P1241" s="30">
        <v>-7.5096026726019875</v>
      </c>
      <c r="Q1241" s="30">
        <v>54.279007079790532</v>
      </c>
      <c r="R1241" s="30">
        <v>55.030590481358551</v>
      </c>
      <c r="S1241" s="30">
        <v>-8.5786056291856934</v>
      </c>
      <c r="T1241" s="30">
        <v>6.9996654012462658E-3</v>
      </c>
    </row>
    <row r="1242" spans="10:20" x14ac:dyDescent="0.25">
      <c r="J1242" s="10"/>
      <c r="K1242" s="10"/>
      <c r="L1242" s="10" t="s">
        <v>84</v>
      </c>
      <c r="M1242" s="10" t="s">
        <v>107</v>
      </c>
      <c r="N1242" s="10"/>
      <c r="O1242" s="30">
        <v>4.0765968000174775</v>
      </c>
      <c r="P1242" s="30">
        <v>10.221079667745405</v>
      </c>
      <c r="Q1242" s="30">
        <v>34.248753434655917</v>
      </c>
      <c r="R1242" s="30">
        <v>-12.369322769744509</v>
      </c>
      <c r="S1242" s="30">
        <v>-8.2719534926974116</v>
      </c>
      <c r="T1242" s="30">
        <v>3.4160972773534526E-2</v>
      </c>
    </row>
    <row r="1243" spans="10:20" x14ac:dyDescent="0.25">
      <c r="J1243" s="10"/>
      <c r="K1243" s="10"/>
      <c r="L1243" s="10" t="s">
        <v>84</v>
      </c>
      <c r="M1243" s="10" t="s">
        <v>108</v>
      </c>
      <c r="N1243" s="10"/>
      <c r="O1243" s="30">
        <v>-0.1640599253217542</v>
      </c>
      <c r="P1243" s="30">
        <v>12.401278683388137</v>
      </c>
      <c r="Q1243" s="30">
        <v>47.458325893615573</v>
      </c>
      <c r="R1243" s="30">
        <v>-18.699758476345004</v>
      </c>
      <c r="S1243" s="30">
        <v>-5.7014147900178704</v>
      </c>
      <c r="T1243" s="30">
        <v>-0.12661795148016824</v>
      </c>
    </row>
    <row r="1244" spans="10:20" x14ac:dyDescent="0.25">
      <c r="J1244" s="10"/>
      <c r="K1244" s="10"/>
      <c r="L1244" s="10" t="s">
        <v>84</v>
      </c>
      <c r="M1244" s="10" t="s">
        <v>109</v>
      </c>
      <c r="N1244" s="10"/>
      <c r="O1244" s="30">
        <v>1.4945642074458516</v>
      </c>
      <c r="P1244" s="30">
        <v>8.0084401442880946</v>
      </c>
      <c r="Q1244" s="30">
        <v>37.298444627517405</v>
      </c>
      <c r="R1244" s="30">
        <v>-7.377310772568733</v>
      </c>
      <c r="S1244" s="30">
        <v>-9.5296531634045394</v>
      </c>
      <c r="T1244" s="30">
        <v>1.9148773843486906E-2</v>
      </c>
    </row>
    <row r="1245" spans="10:20" x14ac:dyDescent="0.25">
      <c r="J1245" s="10"/>
      <c r="K1245" s="10"/>
      <c r="L1245" s="10" t="s">
        <v>84</v>
      </c>
      <c r="M1245" s="10" t="s">
        <v>110</v>
      </c>
      <c r="N1245" s="10"/>
      <c r="O1245" s="30">
        <v>-3.6487564930002976</v>
      </c>
      <c r="P1245" s="30">
        <v>5.8127325202660156</v>
      </c>
      <c r="Q1245" s="30">
        <v>46.0910926677048</v>
      </c>
      <c r="R1245" s="30">
        <v>1.6258904261511988</v>
      </c>
      <c r="S1245" s="30">
        <v>-6.0951669227031928</v>
      </c>
      <c r="T1245" s="30">
        <v>-6.7925007047752284E-2</v>
      </c>
    </row>
    <row r="1246" spans="10:20" x14ac:dyDescent="0.25">
      <c r="J1246" s="10"/>
      <c r="K1246" s="10"/>
      <c r="L1246" s="10" t="s">
        <v>84</v>
      </c>
      <c r="M1246" s="10" t="s">
        <v>111</v>
      </c>
      <c r="N1246" s="10"/>
      <c r="O1246" s="30">
        <v>-18.092676870293136</v>
      </c>
      <c r="P1246" s="30">
        <v>12.239483568223724</v>
      </c>
      <c r="Q1246" s="30">
        <v>-15.289046314969976</v>
      </c>
      <c r="R1246" s="30">
        <v>-20.493287268278578</v>
      </c>
      <c r="S1246" s="30">
        <v>10.473800639689005</v>
      </c>
      <c r="T1246" s="30">
        <v>0.16003306644395537</v>
      </c>
    </row>
    <row r="1247" spans="10:20" x14ac:dyDescent="0.25">
      <c r="J1247" s="10"/>
      <c r="K1247" s="10"/>
      <c r="L1247" s="10" t="s">
        <v>84</v>
      </c>
      <c r="M1247" s="10" t="s">
        <v>112</v>
      </c>
      <c r="N1247" s="10"/>
      <c r="O1247" s="30">
        <v>-23.237477282467513</v>
      </c>
      <c r="P1247" s="30">
        <v>10.014720270126171</v>
      </c>
      <c r="Q1247" s="30">
        <v>-6.160754432304179</v>
      </c>
      <c r="R1247" s="30">
        <v>-11.580334960085668</v>
      </c>
      <c r="S1247" s="30">
        <v>13.912466591407394</v>
      </c>
      <c r="T1247" s="30">
        <v>7.2101275738849779E-2</v>
      </c>
    </row>
    <row r="1248" spans="10:20" x14ac:dyDescent="0.25">
      <c r="J1248" s="10"/>
      <c r="K1248" s="10"/>
      <c r="L1248" s="10" t="s">
        <v>84</v>
      </c>
      <c r="M1248" s="10" t="s">
        <v>113</v>
      </c>
      <c r="N1248" s="10"/>
      <c r="O1248" s="30">
        <v>10.078966520190928</v>
      </c>
      <c r="P1248" s="30">
        <v>-1.0882681797844391</v>
      </c>
      <c r="Q1248" s="30">
        <v>18.674532140753836</v>
      </c>
      <c r="R1248" s="30">
        <v>43.611660266959639</v>
      </c>
      <c r="S1248" s="30">
        <v>-12.127342338327537</v>
      </c>
      <c r="T1248" s="30">
        <v>0.2448924452809714</v>
      </c>
    </row>
    <row r="1249" spans="10:20" x14ac:dyDescent="0.25">
      <c r="J1249" s="10"/>
      <c r="K1249" s="10"/>
      <c r="L1249" s="10" t="s">
        <v>84</v>
      </c>
      <c r="M1249" s="10" t="s">
        <v>114</v>
      </c>
      <c r="N1249" s="10"/>
      <c r="O1249" s="30">
        <v>5.5327206752373463</v>
      </c>
      <c r="P1249" s="30">
        <v>-8.7677772502684377</v>
      </c>
      <c r="Q1249" s="30">
        <v>54.439095785983497</v>
      </c>
      <c r="R1249" s="30">
        <v>60.500409603880343</v>
      </c>
      <c r="S1249" s="30">
        <v>-9.4530103127519176</v>
      </c>
      <c r="T1249" s="30">
        <v>2.7835011030858229E-2</v>
      </c>
    </row>
    <row r="1250" spans="10:20" x14ac:dyDescent="0.25">
      <c r="J1250" s="10"/>
      <c r="K1250" s="10"/>
      <c r="L1250" s="10" t="s">
        <v>84</v>
      </c>
      <c r="M1250" s="10" t="s">
        <v>115</v>
      </c>
      <c r="N1250" s="10"/>
      <c r="O1250" s="30">
        <v>5.3495341048051861</v>
      </c>
      <c r="P1250" s="30">
        <v>10.93298090567311</v>
      </c>
      <c r="Q1250" s="30">
        <v>32.183258402500599</v>
      </c>
      <c r="R1250" s="30">
        <v>-14.388382897345275</v>
      </c>
      <c r="S1250" s="30">
        <v>-9.1122857166538296</v>
      </c>
      <c r="T1250" s="30">
        <v>5.8014241444511845E-2</v>
      </c>
    </row>
    <row r="1251" spans="10:20" x14ac:dyDescent="0.25">
      <c r="J1251" s="10"/>
      <c r="K1251" s="10"/>
      <c r="L1251" s="10" t="s">
        <v>84</v>
      </c>
      <c r="M1251" s="10" t="s">
        <v>116</v>
      </c>
      <c r="N1251" s="10"/>
      <c r="O1251" s="30">
        <v>0.63769329887270743</v>
      </c>
      <c r="P1251" s="30">
        <v>13.355424256387256</v>
      </c>
      <c r="Q1251" s="30">
        <v>46.860561134677987</v>
      </c>
      <c r="R1251" s="30">
        <v>-21.422200349123607</v>
      </c>
      <c r="S1251" s="30">
        <v>-6.2561316025654499</v>
      </c>
      <c r="T1251" s="30">
        <v>-0.120629007726269</v>
      </c>
    </row>
    <row r="1252" spans="10:20" x14ac:dyDescent="0.25">
      <c r="J1252" s="10"/>
      <c r="K1252" s="10"/>
      <c r="L1252" s="10" t="s">
        <v>85</v>
      </c>
      <c r="M1252" s="10" t="s">
        <v>91</v>
      </c>
      <c r="N1252" s="10"/>
      <c r="O1252" s="30">
        <v>8.1123219524793747E-2</v>
      </c>
      <c r="P1252" s="30">
        <v>-1.6041930152815522</v>
      </c>
      <c r="Q1252" s="30">
        <v>47.974397566442754</v>
      </c>
      <c r="R1252" s="30">
        <v>1.2412744802119762</v>
      </c>
      <c r="S1252" s="30">
        <v>0.20808811999792048</v>
      </c>
      <c r="T1252" s="30">
        <v>2.9295655563992542E-3</v>
      </c>
    </row>
    <row r="1253" spans="10:20" x14ac:dyDescent="0.25">
      <c r="J1253" s="10"/>
      <c r="K1253" s="10"/>
      <c r="L1253" s="10" t="s">
        <v>85</v>
      </c>
      <c r="M1253" s="10" t="s">
        <v>92</v>
      </c>
      <c r="N1253" s="10"/>
      <c r="O1253" s="30">
        <v>6.1106546671701845E-2</v>
      </c>
      <c r="P1253" s="30">
        <v>-1.000086056799282</v>
      </c>
      <c r="Q1253" s="30">
        <v>63.142033590470724</v>
      </c>
      <c r="R1253" s="30">
        <v>0.93005753596009</v>
      </c>
      <c r="S1253" s="30">
        <v>-4.496269873879389E-2</v>
      </c>
      <c r="T1253" s="30">
        <v>7.0186167707772095E-3</v>
      </c>
    </row>
    <row r="1254" spans="10:20" x14ac:dyDescent="0.25">
      <c r="J1254" s="10"/>
      <c r="K1254" s="10"/>
      <c r="L1254" s="10" t="s">
        <v>85</v>
      </c>
      <c r="M1254" s="10" t="s">
        <v>93</v>
      </c>
      <c r="N1254" s="10"/>
      <c r="O1254" s="30">
        <v>-23.103309989843126</v>
      </c>
      <c r="P1254" s="30">
        <v>0.21577543472902991</v>
      </c>
      <c r="Q1254" s="30">
        <v>4.8849139515650446</v>
      </c>
      <c r="R1254" s="30">
        <v>-0.41648280151400591</v>
      </c>
      <c r="S1254" s="30">
        <v>-84.928021493089886</v>
      </c>
      <c r="T1254" s="30">
        <v>9.0082047402898296E-2</v>
      </c>
    </row>
    <row r="1255" spans="10:20" x14ac:dyDescent="0.25">
      <c r="J1255" s="10"/>
      <c r="K1255" s="10"/>
      <c r="L1255" s="10" t="s">
        <v>85</v>
      </c>
      <c r="M1255" s="10" t="s">
        <v>94</v>
      </c>
      <c r="N1255" s="10"/>
      <c r="O1255" s="30">
        <v>-5.4501327287381827</v>
      </c>
      <c r="P1255" s="30">
        <v>-0.90959261735458963</v>
      </c>
      <c r="Q1255" s="30">
        <v>26.361481761670756</v>
      </c>
      <c r="R1255" s="30">
        <v>0.56621662798521999</v>
      </c>
      <c r="S1255" s="30">
        <v>-23.23039202510364</v>
      </c>
      <c r="T1255" s="30">
        <v>2.9840751538519724E-2</v>
      </c>
    </row>
    <row r="1256" spans="10:20" x14ac:dyDescent="0.25">
      <c r="J1256" s="10"/>
      <c r="K1256" s="10"/>
      <c r="L1256" s="10" t="s">
        <v>85</v>
      </c>
      <c r="M1256" s="10" t="s">
        <v>95</v>
      </c>
      <c r="N1256" s="10"/>
      <c r="O1256" s="30">
        <v>23.407083102370148</v>
      </c>
      <c r="P1256" s="30">
        <v>1.04448581205832</v>
      </c>
      <c r="Q1256" s="30">
        <v>-38.92793493698494</v>
      </c>
      <c r="R1256" s="30">
        <v>-1.6760407757890672</v>
      </c>
      <c r="S1256" s="30">
        <v>87.124124614223916</v>
      </c>
      <c r="T1256" s="30">
        <v>-8.0518357850238198E-2</v>
      </c>
    </row>
    <row r="1257" spans="10:20" x14ac:dyDescent="0.25">
      <c r="J1257" s="10"/>
      <c r="K1257" s="10"/>
      <c r="L1257" s="10" t="s">
        <v>85</v>
      </c>
      <c r="M1257" s="10" t="s">
        <v>96</v>
      </c>
      <c r="N1257" s="10"/>
      <c r="O1257" s="30">
        <v>41.060267594825504</v>
      </c>
      <c r="P1257" s="30">
        <v>-1.8959917745260322E-2</v>
      </c>
      <c r="Q1257" s="30">
        <v>-17.224021350836669</v>
      </c>
      <c r="R1257" s="30">
        <v>-0.71346757999124011</v>
      </c>
      <c r="S1257" s="30">
        <v>148.82165841417594</v>
      </c>
      <c r="T1257" s="30">
        <v>-0.14041828094776365</v>
      </c>
    </row>
    <row r="1258" spans="10:20" x14ac:dyDescent="0.25">
      <c r="J1258" s="10"/>
      <c r="K1258" s="10"/>
      <c r="L1258" s="10" t="s">
        <v>85</v>
      </c>
      <c r="M1258" s="10" t="s">
        <v>97</v>
      </c>
      <c r="N1258" s="10"/>
      <c r="O1258" s="30">
        <v>-44.103538809616033</v>
      </c>
      <c r="P1258" s="30">
        <v>-4.0335706362849733</v>
      </c>
      <c r="Q1258" s="30">
        <v>2.4633947564120895</v>
      </c>
      <c r="R1258" s="30">
        <v>5.3213233741682275</v>
      </c>
      <c r="S1258" s="30">
        <v>-154.70934896862119</v>
      </c>
      <c r="T1258" s="30">
        <v>7.7841708920367153E-2</v>
      </c>
    </row>
    <row r="1259" spans="10:20" x14ac:dyDescent="0.25">
      <c r="J1259" s="10"/>
      <c r="K1259" s="10"/>
      <c r="L1259" s="10" t="s">
        <v>85</v>
      </c>
      <c r="M1259" s="10" t="s">
        <v>98</v>
      </c>
      <c r="N1259" s="10"/>
      <c r="O1259" s="30">
        <v>-26.498931160421179</v>
      </c>
      <c r="P1259" s="30">
        <v>1.049959509817296</v>
      </c>
      <c r="Q1259" s="30">
        <v>61.183960562800436</v>
      </c>
      <c r="R1259" s="30">
        <v>6.3927950665679258</v>
      </c>
      <c r="S1259" s="30">
        <v>-93.624769080533937</v>
      </c>
      <c r="T1259" s="30">
        <v>2.5861994110536447E-2</v>
      </c>
    </row>
    <row r="1260" spans="10:20" x14ac:dyDescent="0.25">
      <c r="J1260" s="10"/>
      <c r="K1260" s="10"/>
      <c r="L1260" s="10" t="s">
        <v>85</v>
      </c>
      <c r="M1260" s="10" t="s">
        <v>99</v>
      </c>
      <c r="N1260" s="10"/>
      <c r="O1260" s="30">
        <v>-44.065617097296055</v>
      </c>
      <c r="P1260" s="30">
        <v>-3.5959572337170789</v>
      </c>
      <c r="Q1260" s="30">
        <v>4.9446156907282992</v>
      </c>
      <c r="R1260" s="30">
        <v>-0.81646363816336098</v>
      </c>
      <c r="S1260" s="30">
        <v>-154.2082671890449</v>
      </c>
      <c r="T1260" s="30">
        <v>0.15143458203396423</v>
      </c>
    </row>
    <row r="1261" spans="10:20" x14ac:dyDescent="0.25">
      <c r="J1261" s="10"/>
      <c r="K1261" s="10"/>
      <c r="L1261" s="10" t="s">
        <v>85</v>
      </c>
      <c r="M1261" s="10" t="s">
        <v>100</v>
      </c>
      <c r="N1261" s="10"/>
      <c r="O1261" s="30">
        <v>-26.451428175321478</v>
      </c>
      <c r="P1261" s="30">
        <v>-8.3680621373722381</v>
      </c>
      <c r="Q1261" s="30">
        <v>30.688275390525142</v>
      </c>
      <c r="R1261" s="30">
        <v>-1.1591851715736181</v>
      </c>
      <c r="S1261" s="30">
        <v>-92.971778035067274</v>
      </c>
      <c r="T1261" s="30">
        <v>9.2832357516521122E-2</v>
      </c>
    </row>
    <row r="1262" spans="10:20" x14ac:dyDescent="0.25">
      <c r="J1262" s="10"/>
      <c r="K1262" s="10"/>
      <c r="L1262" s="10" t="s">
        <v>85</v>
      </c>
      <c r="M1262" s="10" t="s">
        <v>101</v>
      </c>
      <c r="N1262" s="10"/>
      <c r="O1262" s="30">
        <v>-20.804883341759428</v>
      </c>
      <c r="P1262" s="30">
        <v>0.63788554821024213</v>
      </c>
      <c r="Q1262" s="30">
        <v>24.361498337080786</v>
      </c>
      <c r="R1262" s="30">
        <v>-0.56192401759329391</v>
      </c>
      <c r="S1262" s="30">
        <v>-76.66746135051784</v>
      </c>
      <c r="T1262" s="30">
        <v>8.5455850432626337E-2</v>
      </c>
    </row>
    <row r="1263" spans="10:20" x14ac:dyDescent="0.25">
      <c r="J1263" s="10"/>
      <c r="K1263" s="10"/>
      <c r="L1263" s="10" t="s">
        <v>85</v>
      </c>
      <c r="M1263" s="10" t="s">
        <v>102</v>
      </c>
      <c r="N1263" s="10"/>
      <c r="O1263" s="30">
        <v>-4.917023806764977</v>
      </c>
      <c r="P1263" s="30">
        <v>-0.37494569866501554</v>
      </c>
      <c r="Q1263" s="30">
        <v>43.690409366175935</v>
      </c>
      <c r="R1263" s="30">
        <v>0.32250546895600951</v>
      </c>
      <c r="S1263" s="30">
        <v>-21.139594829330203</v>
      </c>
      <c r="T1263" s="30">
        <v>3.1238684154685632E-2</v>
      </c>
    </row>
    <row r="1264" spans="10:20" x14ac:dyDescent="0.25">
      <c r="J1264" s="10"/>
      <c r="K1264" s="10"/>
      <c r="L1264" s="10" t="s">
        <v>85</v>
      </c>
      <c r="M1264" s="10" t="s">
        <v>103</v>
      </c>
      <c r="N1264" s="10"/>
      <c r="O1264" s="30">
        <v>21.054470441232521</v>
      </c>
      <c r="P1264" s="30">
        <v>1.3837248878066031</v>
      </c>
      <c r="Q1264" s="30">
        <v>-15.070065662614191</v>
      </c>
      <c r="R1264" s="30">
        <v>-1.6955261944408486</v>
      </c>
      <c r="S1264" s="30">
        <v>78.179470146064602</v>
      </c>
      <c r="T1264" s="30">
        <v>-6.8084514295196491E-2</v>
      </c>
    </row>
    <row r="1265" spans="10:20" x14ac:dyDescent="0.25">
      <c r="J1265" s="10"/>
      <c r="K1265" s="10"/>
      <c r="L1265" s="10" t="s">
        <v>85</v>
      </c>
      <c r="M1265" s="10" t="s">
        <v>104</v>
      </c>
      <c r="N1265" s="10"/>
      <c r="O1265" s="30">
        <v>36.94233648444235</v>
      </c>
      <c r="P1265" s="30">
        <v>0.42662373098338074</v>
      </c>
      <c r="Q1265" s="30">
        <v>4.4634565649192437</v>
      </c>
      <c r="R1265" s="30">
        <v>-0.82921031822280455</v>
      </c>
      <c r="S1265" s="30">
        <v>133.70725056602143</v>
      </c>
      <c r="T1265" s="30">
        <v>-0.1219944450829694</v>
      </c>
    </row>
    <row r="1266" spans="10:20" x14ac:dyDescent="0.25">
      <c r="J1266" s="10"/>
      <c r="K1266" s="10"/>
      <c r="L1266" s="10" t="s">
        <v>85</v>
      </c>
      <c r="M1266" s="10" t="s">
        <v>105</v>
      </c>
      <c r="N1266" s="10"/>
      <c r="O1266" s="30">
        <v>-39.70508927955504</v>
      </c>
      <c r="P1266" s="30">
        <v>-3.1865259157023607</v>
      </c>
      <c r="Q1266" s="30">
        <v>22.182131061443123</v>
      </c>
      <c r="R1266" s="30">
        <v>4.6021015405207173</v>
      </c>
      <c r="S1266" s="30">
        <v>-139.47065607849598</v>
      </c>
      <c r="T1266" s="30">
        <v>7.4439545798348328E-2</v>
      </c>
    </row>
    <row r="1267" spans="10:20" x14ac:dyDescent="0.25">
      <c r="J1267" s="10"/>
      <c r="K1267" s="10"/>
      <c r="L1267" s="10" t="s">
        <v>85</v>
      </c>
      <c r="M1267" s="10" t="s">
        <v>106</v>
      </c>
      <c r="N1267" s="10"/>
      <c r="O1267" s="30">
        <v>-23.860942395279675</v>
      </c>
      <c r="P1267" s="30">
        <v>1.3886512157896815</v>
      </c>
      <c r="Q1267" s="30">
        <v>75.030640287192639</v>
      </c>
      <c r="R1267" s="30">
        <v>5.5664260636804439</v>
      </c>
      <c r="S1267" s="30">
        <v>-84.494534179217482</v>
      </c>
      <c r="T1267" s="30">
        <v>2.7657802469500684E-2</v>
      </c>
    </row>
    <row r="1268" spans="10:20" x14ac:dyDescent="0.25">
      <c r="J1268" s="10"/>
      <c r="K1268" s="10"/>
      <c r="L1268" s="10" t="s">
        <v>85</v>
      </c>
      <c r="M1268" s="10" t="s">
        <v>107</v>
      </c>
      <c r="N1268" s="10"/>
      <c r="O1268" s="30">
        <v>-39.670959738467054</v>
      </c>
      <c r="P1268" s="30">
        <v>-2.7926738533912556</v>
      </c>
      <c r="Q1268" s="30">
        <v>24.415229902327717</v>
      </c>
      <c r="R1268" s="30">
        <v>-0.92190677057771353</v>
      </c>
      <c r="S1268" s="30">
        <v>-139.01968247687734</v>
      </c>
      <c r="T1268" s="30">
        <v>0.1406731316005857</v>
      </c>
    </row>
    <row r="1269" spans="10:20" x14ac:dyDescent="0.25">
      <c r="J1269" s="10"/>
      <c r="K1269" s="10"/>
      <c r="L1269" s="10" t="s">
        <v>85</v>
      </c>
      <c r="M1269" s="10" t="s">
        <v>108</v>
      </c>
      <c r="N1269" s="10"/>
      <c r="O1269" s="30">
        <v>-23.818189708689943</v>
      </c>
      <c r="P1269" s="30">
        <v>-7.0875682666808997</v>
      </c>
      <c r="Q1269" s="30">
        <v>47.584523632144872</v>
      </c>
      <c r="R1269" s="30">
        <v>-1.2303561506469447</v>
      </c>
      <c r="S1269" s="30">
        <v>-83.906842238297486</v>
      </c>
      <c r="T1269" s="30">
        <v>8.7931129534886895E-2</v>
      </c>
    </row>
    <row r="1270" spans="10:20" x14ac:dyDescent="0.25">
      <c r="J1270" s="10"/>
      <c r="K1270" s="10"/>
      <c r="L1270" s="10" t="s">
        <v>85</v>
      </c>
      <c r="M1270" s="10" t="s">
        <v>109</v>
      </c>
      <c r="N1270" s="10"/>
      <c r="O1270" s="30">
        <v>-23.121324995410912</v>
      </c>
      <c r="P1270" s="30">
        <v>0.75947169736307329</v>
      </c>
      <c r="Q1270" s="30">
        <v>18.53578637319022</v>
      </c>
      <c r="R1270" s="30">
        <v>-0.69657805134070339</v>
      </c>
      <c r="S1270" s="30">
        <v>-85.155767229952943</v>
      </c>
      <c r="T1270" s="30">
        <v>9.3762193495838461E-2</v>
      </c>
    </row>
    <row r="1271" spans="10:20" x14ac:dyDescent="0.25">
      <c r="J1271" s="10"/>
      <c r="K1271" s="10"/>
      <c r="L1271" s="10" t="s">
        <v>85</v>
      </c>
      <c r="M1271" s="10" t="s">
        <v>110</v>
      </c>
      <c r="N1271" s="10"/>
      <c r="O1271" s="30">
        <v>-5.4681477343059655</v>
      </c>
      <c r="P1271" s="30">
        <v>-0.36589635472054627</v>
      </c>
      <c r="Q1271" s="30">
        <v>40.01235418329594</v>
      </c>
      <c r="R1271" s="30">
        <v>0.28612137815852245</v>
      </c>
      <c r="S1271" s="30">
        <v>-23.458137761966686</v>
      </c>
      <c r="T1271" s="30">
        <v>3.3520897631459885E-2</v>
      </c>
    </row>
    <row r="1272" spans="10:20" x14ac:dyDescent="0.25">
      <c r="J1272" s="10"/>
      <c r="K1272" s="10"/>
      <c r="L1272" s="10" t="s">
        <v>85</v>
      </c>
      <c r="M1272" s="10" t="s">
        <v>111</v>
      </c>
      <c r="N1272" s="10"/>
      <c r="O1272" s="30">
        <v>23.389068096802365</v>
      </c>
      <c r="P1272" s="30">
        <v>1.5881820746923636</v>
      </c>
      <c r="Q1272" s="30">
        <v>-25.277062515359759</v>
      </c>
      <c r="R1272" s="30">
        <v>-1.9561360256157647</v>
      </c>
      <c r="S1272" s="30">
        <v>86.896378877360874</v>
      </c>
      <c r="T1272" s="30">
        <v>-7.6838211757298033E-2</v>
      </c>
    </row>
    <row r="1273" spans="10:20" x14ac:dyDescent="0.25">
      <c r="J1273" s="10"/>
      <c r="K1273" s="10"/>
      <c r="L1273" s="10" t="s">
        <v>85</v>
      </c>
      <c r="M1273" s="10" t="s">
        <v>112</v>
      </c>
      <c r="N1273" s="10"/>
      <c r="O1273" s="30">
        <v>41.042252589257721</v>
      </c>
      <c r="P1273" s="30">
        <v>0.52473634488878307</v>
      </c>
      <c r="Q1273" s="30">
        <v>-3.5731489292114924</v>
      </c>
      <c r="R1273" s="30">
        <v>-0.99356282981793764</v>
      </c>
      <c r="S1273" s="30">
        <v>148.59391267731291</v>
      </c>
      <c r="T1273" s="30">
        <v>-0.1367381348548235</v>
      </c>
    </row>
    <row r="1274" spans="10:20" x14ac:dyDescent="0.25">
      <c r="J1274" s="10"/>
      <c r="K1274" s="10"/>
      <c r="L1274" s="10" t="s">
        <v>85</v>
      </c>
      <c r="M1274" s="10" t="s">
        <v>113</v>
      </c>
      <c r="N1274" s="10"/>
      <c r="O1274" s="30">
        <v>-44.121553815183809</v>
      </c>
      <c r="P1274" s="30">
        <v>-3.4898743736509297</v>
      </c>
      <c r="Q1274" s="30">
        <v>16.114267178037267</v>
      </c>
      <c r="R1274" s="30">
        <v>5.0412281243415302</v>
      </c>
      <c r="S1274" s="30">
        <v>-154.93709470548424</v>
      </c>
      <c r="T1274" s="30">
        <v>8.1521855013307318E-2</v>
      </c>
    </row>
    <row r="1275" spans="10:20" x14ac:dyDescent="0.25">
      <c r="J1275" s="10"/>
      <c r="K1275" s="10"/>
      <c r="L1275" s="10" t="s">
        <v>85</v>
      </c>
      <c r="M1275" s="10" t="s">
        <v>114</v>
      </c>
      <c r="N1275" s="10"/>
      <c r="O1275" s="30">
        <v>-26.516946165988962</v>
      </c>
      <c r="P1275" s="30">
        <v>1.5936557724513394</v>
      </c>
      <c r="Q1275" s="30">
        <v>74.834832984425617</v>
      </c>
      <c r="R1275" s="30">
        <v>6.1126998167412285</v>
      </c>
      <c r="S1275" s="30">
        <v>-93.852514817396994</v>
      </c>
      <c r="T1275" s="30">
        <v>2.9542140203476605E-2</v>
      </c>
    </row>
    <row r="1276" spans="10:20" x14ac:dyDescent="0.25">
      <c r="J1276" s="10"/>
      <c r="K1276" s="10"/>
      <c r="L1276" s="10" t="s">
        <v>85</v>
      </c>
      <c r="M1276" s="10" t="s">
        <v>115</v>
      </c>
      <c r="N1276" s="10"/>
      <c r="O1276" s="30">
        <v>-44.083632102863831</v>
      </c>
      <c r="P1276" s="30">
        <v>-3.0522609710830348</v>
      </c>
      <c r="Q1276" s="30">
        <v>18.595488112353475</v>
      </c>
      <c r="R1276" s="30">
        <v>-1.0965588879900585</v>
      </c>
      <c r="S1276" s="30">
        <v>-154.43601292590796</v>
      </c>
      <c r="T1276" s="30">
        <v>0.15511472812690438</v>
      </c>
    </row>
    <row r="1277" spans="10:20" x14ac:dyDescent="0.25">
      <c r="J1277" s="10"/>
      <c r="K1277" s="10"/>
      <c r="L1277" s="10" t="s">
        <v>85</v>
      </c>
      <c r="M1277" s="10" t="s">
        <v>116</v>
      </c>
      <c r="N1277" s="10"/>
      <c r="O1277" s="30">
        <v>-26.469443180889261</v>
      </c>
      <c r="P1277" s="30">
        <v>-7.824365874738195</v>
      </c>
      <c r="Q1277" s="30">
        <v>44.339147812150323</v>
      </c>
      <c r="R1277" s="30">
        <v>-1.4392804214003156</v>
      </c>
      <c r="S1277" s="30">
        <v>-93.19952377193033</v>
      </c>
      <c r="T1277" s="30">
        <v>9.6512503609461286E-2</v>
      </c>
    </row>
    <row r="1278" spans="10:20" x14ac:dyDescent="0.25">
      <c r="J1278" s="10"/>
      <c r="K1278" s="10"/>
      <c r="L1278" s="10" t="s">
        <v>86</v>
      </c>
      <c r="M1278" s="10" t="s">
        <v>91</v>
      </c>
      <c r="N1278" s="10"/>
      <c r="O1278" s="30">
        <v>-7.5326634089873776</v>
      </c>
      <c r="P1278" s="30">
        <v>-1.3858038648234592</v>
      </c>
      <c r="Q1278" s="30">
        <v>58.511202060687545</v>
      </c>
      <c r="R1278" s="30">
        <v>1.4163339502651195</v>
      </c>
      <c r="S1278" s="30">
        <v>-4.7068752963610357E-2</v>
      </c>
      <c r="T1278" s="30">
        <v>1.1503739192095523E-3</v>
      </c>
    </row>
    <row r="1279" spans="10:20" x14ac:dyDescent="0.25">
      <c r="J1279" s="10"/>
      <c r="K1279" s="10"/>
      <c r="L1279" s="10" t="s">
        <v>86</v>
      </c>
      <c r="M1279" s="10" t="s">
        <v>92</v>
      </c>
      <c r="N1279" s="10"/>
      <c r="O1279" s="30">
        <v>-7.016175907088277</v>
      </c>
      <c r="P1279" s="30">
        <v>-1.2242054918620109</v>
      </c>
      <c r="Q1279" s="30">
        <v>72.121885806734937</v>
      </c>
      <c r="R1279" s="30">
        <v>1.1845888929296977</v>
      </c>
      <c r="S1279" s="30">
        <v>-9.2896444427974803E-2</v>
      </c>
      <c r="T1279" s="30">
        <v>1.3243177674600475E-2</v>
      </c>
    </row>
    <row r="1280" spans="10:20" x14ac:dyDescent="0.25">
      <c r="J1280" s="10"/>
      <c r="K1280" s="10"/>
      <c r="L1280" s="10" t="s">
        <v>86</v>
      </c>
      <c r="M1280" s="10" t="s">
        <v>93</v>
      </c>
      <c r="N1280" s="10"/>
      <c r="O1280" s="30">
        <v>12.686095421975024</v>
      </c>
      <c r="P1280" s="30">
        <v>0.64780569781687847</v>
      </c>
      <c r="Q1280" s="30">
        <v>36.326850904658912</v>
      </c>
      <c r="R1280" s="30">
        <v>-0.79897290662836751</v>
      </c>
      <c r="S1280" s="30">
        <v>-14.989746588406398</v>
      </c>
      <c r="T1280" s="30">
        <v>-1.8220065782504825E-2</v>
      </c>
    </row>
    <row r="1281" spans="10:20" x14ac:dyDescent="0.25">
      <c r="J1281" s="10"/>
      <c r="K1281" s="10"/>
      <c r="L1281" s="10" t="s">
        <v>86</v>
      </c>
      <c r="M1281" s="10" t="s">
        <v>94</v>
      </c>
      <c r="N1281" s="10"/>
      <c r="O1281" s="30">
        <v>1.8555987690094222</v>
      </c>
      <c r="P1281" s="30">
        <v>-0.5174501214360735</v>
      </c>
      <c r="Q1281" s="30">
        <v>51.591661655463675</v>
      </c>
      <c r="R1281" s="30">
        <v>0.47593662840084489</v>
      </c>
      <c r="S1281" s="30">
        <v>-6.8105969424386643</v>
      </c>
      <c r="T1281" s="30">
        <v>-1.0166488686927303E-2</v>
      </c>
    </row>
    <row r="1282" spans="10:20" x14ac:dyDescent="0.25">
      <c r="J1282" s="10"/>
      <c r="K1282" s="10"/>
      <c r="L1282" s="10" t="s">
        <v>86</v>
      </c>
      <c r="M1282" s="10" t="s">
        <v>95</v>
      </c>
      <c r="N1282" s="10"/>
      <c r="O1282" s="30">
        <v>-31.621459679053086</v>
      </c>
      <c r="P1282" s="30">
        <v>2.7621325171945132</v>
      </c>
      <c r="Q1282" s="30">
        <v>-37.165222160035562</v>
      </c>
      <c r="R1282" s="30">
        <v>-2.7458879361673949</v>
      </c>
      <c r="S1282" s="30">
        <v>15.418639392972285</v>
      </c>
      <c r="T1282" s="30">
        <v>-9.0264080642263086E-2</v>
      </c>
    </row>
    <row r="1283" spans="10:20" x14ac:dyDescent="0.25">
      <c r="J1283" s="10"/>
      <c r="K1283" s="10"/>
      <c r="L1283" s="10" t="s">
        <v>86</v>
      </c>
      <c r="M1283" s="10" t="s">
        <v>96</v>
      </c>
      <c r="N1283" s="10"/>
      <c r="O1283" s="30">
        <v>-42.444270351283471</v>
      </c>
      <c r="P1283" s="30">
        <v>1.5857846543246974</v>
      </c>
      <c r="Q1283" s="30">
        <v>-21.924488389868401</v>
      </c>
      <c r="R1283" s="30">
        <v>-1.4720566476900652</v>
      </c>
      <c r="S1283" s="30">
        <v>23.593633738851469</v>
      </c>
      <c r="T1283" s="30">
        <v>-8.186410685995929E-2</v>
      </c>
    </row>
    <row r="1284" spans="10:20" x14ac:dyDescent="0.25">
      <c r="J1284" s="10"/>
      <c r="K1284" s="10"/>
      <c r="L1284" s="10" t="s">
        <v>86</v>
      </c>
      <c r="M1284" s="10" t="s">
        <v>97</v>
      </c>
      <c r="N1284" s="10"/>
      <c r="O1284" s="30">
        <v>20.157604231842345</v>
      </c>
      <c r="P1284" s="30">
        <v>-9.512868217981298</v>
      </c>
      <c r="Q1284" s="30">
        <v>33.482993023568007</v>
      </c>
      <c r="R1284" s="30">
        <v>15.603059909794544</v>
      </c>
      <c r="S1284" s="30">
        <v>-20.674464707645487</v>
      </c>
      <c r="T1284" s="30">
        <v>2.9683292499360126E-2</v>
      </c>
    </row>
    <row r="1285" spans="10:20" x14ac:dyDescent="0.25">
      <c r="J1285" s="10"/>
      <c r="K1285" s="10"/>
      <c r="L1285" s="10" t="s">
        <v>86</v>
      </c>
      <c r="M1285" s="10" t="s">
        <v>98</v>
      </c>
      <c r="N1285" s="10"/>
      <c r="O1285" s="30">
        <v>10.480767180960029</v>
      </c>
      <c r="P1285" s="30">
        <v>-17.399130977243807</v>
      </c>
      <c r="Q1285" s="30">
        <v>79.829632805765911</v>
      </c>
      <c r="R1285" s="30">
        <v>30.102693062518991</v>
      </c>
      <c r="S1285" s="30">
        <v>-12.57249492046591</v>
      </c>
      <c r="T1285" s="30">
        <v>0.11744390235658944</v>
      </c>
    </row>
    <row r="1286" spans="10:20" x14ac:dyDescent="0.25">
      <c r="J1286" s="10"/>
      <c r="K1286" s="10"/>
      <c r="L1286" s="10" t="s">
        <v>86</v>
      </c>
      <c r="M1286" s="10" t="s">
        <v>99</v>
      </c>
      <c r="N1286" s="10"/>
      <c r="O1286" s="30">
        <v>20.012342400817225</v>
      </c>
      <c r="P1286" s="30">
        <v>6.0508239585270331</v>
      </c>
      <c r="Q1286" s="30">
        <v>31.286541311728939</v>
      </c>
      <c r="R1286" s="30">
        <v>-11.662378295022226</v>
      </c>
      <c r="S1286" s="30">
        <v>-20.593236050362364</v>
      </c>
      <c r="T1286" s="30">
        <v>-4.2464356467732181E-2</v>
      </c>
    </row>
    <row r="1287" spans="10:20" x14ac:dyDescent="0.25">
      <c r="J1287" s="10"/>
      <c r="K1287" s="10"/>
      <c r="L1287" s="10" t="s">
        <v>86</v>
      </c>
      <c r="M1287" s="10" t="s">
        <v>100</v>
      </c>
      <c r="N1287" s="10"/>
      <c r="O1287" s="30">
        <v>9.3849259521631474</v>
      </c>
      <c r="P1287" s="30">
        <v>11.883778870924299</v>
      </c>
      <c r="Q1287" s="30">
        <v>50.718221032646227</v>
      </c>
      <c r="R1287" s="30">
        <v>-24.662558115963744</v>
      </c>
      <c r="S1287" s="30">
        <v>-12.341296314329085</v>
      </c>
      <c r="T1287" s="30">
        <v>-0.13370885389684009</v>
      </c>
    </row>
    <row r="1288" spans="10:20" x14ac:dyDescent="0.25">
      <c r="J1288" s="10"/>
      <c r="K1288" s="10"/>
      <c r="L1288" s="10" t="s">
        <v>86</v>
      </c>
      <c r="M1288" s="10" t="s">
        <v>101</v>
      </c>
      <c r="N1288" s="10"/>
      <c r="O1288" s="30">
        <v>11.180707040777884</v>
      </c>
      <c r="P1288" s="30">
        <v>0.60604311451429305</v>
      </c>
      <c r="Q1288" s="30">
        <v>52.155969766309163</v>
      </c>
      <c r="R1288" s="30">
        <v>-0.80918727827444048</v>
      </c>
      <c r="S1288" s="30">
        <v>-13.541306496326483</v>
      </c>
      <c r="T1288" s="30">
        <v>-4.190218056942468E-3</v>
      </c>
    </row>
    <row r="1289" spans="10:20" x14ac:dyDescent="0.25">
      <c r="J1289" s="10"/>
      <c r="K1289" s="10"/>
      <c r="L1289" s="10" t="s">
        <v>86</v>
      </c>
      <c r="M1289" s="10" t="s">
        <v>102</v>
      </c>
      <c r="N1289" s="10"/>
      <c r="O1289" s="30">
        <v>1.4332600531088426</v>
      </c>
      <c r="P1289" s="30">
        <v>-0.4426871228133637</v>
      </c>
      <c r="Q1289" s="30">
        <v>65.894299442033443</v>
      </c>
      <c r="R1289" s="30">
        <v>0.33823130325185058</v>
      </c>
      <c r="S1289" s="30">
        <v>-6.1800718149555234</v>
      </c>
      <c r="T1289" s="30">
        <v>3.0580013290773052E-3</v>
      </c>
    </row>
    <row r="1290" spans="10:20" x14ac:dyDescent="0.25">
      <c r="J1290" s="10"/>
      <c r="K1290" s="10"/>
      <c r="L1290" s="10" t="s">
        <v>86</v>
      </c>
      <c r="M1290" s="10" t="s">
        <v>103</v>
      </c>
      <c r="N1290" s="10"/>
      <c r="O1290" s="30">
        <v>-28.696092550147412</v>
      </c>
      <c r="P1290" s="30">
        <v>2.5089372519541642</v>
      </c>
      <c r="Q1290" s="30">
        <v>-13.986895991915864</v>
      </c>
      <c r="R1290" s="30">
        <v>-2.5614108048595656</v>
      </c>
      <c r="S1290" s="30">
        <v>13.826240886914329</v>
      </c>
      <c r="T1290" s="30">
        <v>-6.90298314307249E-2</v>
      </c>
    </row>
    <row r="1291" spans="10:20" x14ac:dyDescent="0.25">
      <c r="J1291" s="10"/>
      <c r="K1291" s="10"/>
      <c r="L1291" s="10" t="s">
        <v>86</v>
      </c>
      <c r="M1291" s="10" t="s">
        <v>104</v>
      </c>
      <c r="N1291" s="10"/>
      <c r="O1291" s="30">
        <v>-38.436622155154765</v>
      </c>
      <c r="P1291" s="30">
        <v>1.4502241753713303</v>
      </c>
      <c r="Q1291" s="30">
        <v>-0.27023559876541542</v>
      </c>
      <c r="R1291" s="30">
        <v>-1.4149626452299682</v>
      </c>
      <c r="S1291" s="30">
        <v>21.183735798205596</v>
      </c>
      <c r="T1291" s="30">
        <v>-6.146985502665149E-2</v>
      </c>
    </row>
    <row r="1292" spans="10:20" x14ac:dyDescent="0.25">
      <c r="J1292" s="10"/>
      <c r="K1292" s="10"/>
      <c r="L1292" s="10" t="s">
        <v>86</v>
      </c>
      <c r="M1292" s="10" t="s">
        <v>105</v>
      </c>
      <c r="N1292" s="10"/>
      <c r="O1292" s="30">
        <v>17.905064969658468</v>
      </c>
      <c r="P1292" s="30">
        <v>-8.5385634097040679</v>
      </c>
      <c r="Q1292" s="30">
        <v>49.596497673327349</v>
      </c>
      <c r="R1292" s="30">
        <v>13.952642256506179</v>
      </c>
      <c r="S1292" s="30">
        <v>-18.657552803641668</v>
      </c>
      <c r="T1292" s="30">
        <v>3.892280439673599E-2</v>
      </c>
    </row>
    <row r="1293" spans="10:20" x14ac:dyDescent="0.25">
      <c r="J1293" s="10"/>
      <c r="K1293" s="10"/>
      <c r="L1293" s="10" t="s">
        <v>86</v>
      </c>
      <c r="M1293" s="10" t="s">
        <v>106</v>
      </c>
      <c r="N1293" s="10"/>
      <c r="O1293" s="30">
        <v>9.1959116238643919</v>
      </c>
      <c r="P1293" s="30">
        <v>-15.636199893040326</v>
      </c>
      <c r="Q1293" s="30">
        <v>91.308473477305469</v>
      </c>
      <c r="R1293" s="30">
        <v>27.002312093958185</v>
      </c>
      <c r="S1293" s="30">
        <v>-11.365779995180047</v>
      </c>
      <c r="T1293" s="30">
        <v>0.11790735326824238</v>
      </c>
    </row>
    <row r="1294" spans="10:20" x14ac:dyDescent="0.25">
      <c r="J1294" s="10"/>
      <c r="K1294" s="10"/>
      <c r="L1294" s="10" t="s">
        <v>86</v>
      </c>
      <c r="M1294" s="10" t="s">
        <v>107</v>
      </c>
      <c r="N1294" s="10"/>
      <c r="O1294" s="30">
        <v>17.77432932173587</v>
      </c>
      <c r="P1294" s="30">
        <v>5.4687595491534324</v>
      </c>
      <c r="Q1294" s="30">
        <v>47.619691132672187</v>
      </c>
      <c r="R1294" s="30">
        <v>-10.586252127828915</v>
      </c>
      <c r="S1294" s="30">
        <v>-18.584447012086855</v>
      </c>
      <c r="T1294" s="30">
        <v>-2.6010079673647088E-2</v>
      </c>
    </row>
    <row r="1295" spans="10:20" x14ac:dyDescent="0.25">
      <c r="J1295" s="10"/>
      <c r="K1295" s="10"/>
      <c r="L1295" s="10" t="s">
        <v>86</v>
      </c>
      <c r="M1295" s="10" t="s">
        <v>108</v>
      </c>
      <c r="N1295" s="10"/>
      <c r="O1295" s="30">
        <v>8.2096545179471967</v>
      </c>
      <c r="P1295" s="30">
        <v>10.718418970310973</v>
      </c>
      <c r="Q1295" s="30">
        <v>65.108202881497746</v>
      </c>
      <c r="R1295" s="30">
        <v>-22.286413966676278</v>
      </c>
      <c r="S1295" s="30">
        <v>-11.157701249656901</v>
      </c>
      <c r="T1295" s="30">
        <v>-0.1081301273598442</v>
      </c>
    </row>
    <row r="1296" spans="10:20" x14ac:dyDescent="0.25">
      <c r="J1296" s="10"/>
      <c r="K1296" s="10"/>
      <c r="L1296" s="10" t="s">
        <v>86</v>
      </c>
      <c r="M1296" s="10" t="s">
        <v>109</v>
      </c>
      <c r="N1296" s="10"/>
      <c r="O1296" s="30">
        <v>13.150934173684213</v>
      </c>
      <c r="P1296" s="30">
        <v>0.79324423348218198</v>
      </c>
      <c r="Q1296" s="30">
        <v>48.57646627610157</v>
      </c>
      <c r="R1296" s="30">
        <v>-1.0075434582302472</v>
      </c>
      <c r="S1296" s="30">
        <v>-15.030991510724325</v>
      </c>
      <c r="T1296" s="30">
        <v>-7.336542402652994E-3</v>
      </c>
    </row>
    <row r="1297" spans="10:20" x14ac:dyDescent="0.25">
      <c r="J1297" s="10"/>
      <c r="K1297" s="10"/>
      <c r="L1297" s="10" t="s">
        <v>86</v>
      </c>
      <c r="M1297" s="10" t="s">
        <v>110</v>
      </c>
      <c r="N1297" s="10"/>
      <c r="O1297" s="30">
        <v>2.3204375207186128</v>
      </c>
      <c r="P1297" s="30">
        <v>-0.37201158577076993</v>
      </c>
      <c r="Q1297" s="30">
        <v>63.841277026906333</v>
      </c>
      <c r="R1297" s="30">
        <v>0.26736607679896518</v>
      </c>
      <c r="S1297" s="30">
        <v>-6.8518418647565928</v>
      </c>
      <c r="T1297" s="30">
        <v>7.1703469292452773E-4</v>
      </c>
    </row>
    <row r="1298" spans="10:20" x14ac:dyDescent="0.25">
      <c r="J1298" s="10"/>
      <c r="K1298" s="10"/>
      <c r="L1298" s="10" t="s">
        <v>86</v>
      </c>
      <c r="M1298" s="10" t="s">
        <v>111</v>
      </c>
      <c r="N1298" s="10"/>
      <c r="O1298" s="30">
        <v>-31.156620927343894</v>
      </c>
      <c r="P1298" s="30">
        <v>2.9075710528598169</v>
      </c>
      <c r="Q1298" s="30">
        <v>-24.915606788592903</v>
      </c>
      <c r="R1298" s="30">
        <v>-2.954458487769275</v>
      </c>
      <c r="S1298" s="30">
        <v>15.377394470654357</v>
      </c>
      <c r="T1298" s="30">
        <v>-7.9380557262411264E-2</v>
      </c>
    </row>
    <row r="1299" spans="10:20" x14ac:dyDescent="0.25">
      <c r="J1299" s="10"/>
      <c r="K1299" s="10"/>
      <c r="L1299" s="10" t="s">
        <v>86</v>
      </c>
      <c r="M1299" s="10" t="s">
        <v>112</v>
      </c>
      <c r="N1299" s="10"/>
      <c r="O1299" s="30">
        <v>-41.979431599574276</v>
      </c>
      <c r="P1299" s="30">
        <v>1.7312231899900008</v>
      </c>
      <c r="Q1299" s="30">
        <v>-9.6748730184257425</v>
      </c>
      <c r="R1299" s="30">
        <v>-1.6806271992919448</v>
      </c>
      <c r="S1299" s="30">
        <v>23.55238881653354</v>
      </c>
      <c r="T1299" s="30">
        <v>-7.0980583480107468E-2</v>
      </c>
    </row>
    <row r="1300" spans="10:20" x14ac:dyDescent="0.25">
      <c r="L1300" t="s">
        <v>86</v>
      </c>
      <c r="M1300" t="s">
        <v>113</v>
      </c>
      <c r="O1300" s="30">
        <v>20.622442983551537</v>
      </c>
      <c r="P1300" s="30">
        <v>-9.3674296823159953</v>
      </c>
      <c r="Q1300" s="30">
        <v>45.732608395010665</v>
      </c>
      <c r="R1300" s="30">
        <v>15.394489358192663</v>
      </c>
      <c r="S1300" s="30">
        <v>-20.71570962996342</v>
      </c>
      <c r="T1300" s="30">
        <v>4.0566815879211952E-2</v>
      </c>
    </row>
    <row r="1301" spans="10:20" x14ac:dyDescent="0.25">
      <c r="L1301" t="s">
        <v>86</v>
      </c>
      <c r="M1301" t="s">
        <v>114</v>
      </c>
      <c r="O1301" s="30">
        <v>10.945605932669219</v>
      </c>
      <c r="P1301" s="30">
        <v>-17.253692441578508</v>
      </c>
      <c r="Q1301" s="30">
        <v>92.079248177208569</v>
      </c>
      <c r="R1301" s="30">
        <v>29.894122510917111</v>
      </c>
      <c r="S1301" s="30">
        <v>-12.61373984278384</v>
      </c>
      <c r="T1301" s="30">
        <v>0.12832742573644126</v>
      </c>
    </row>
    <row r="1302" spans="10:20" x14ac:dyDescent="0.25">
      <c r="L1302" t="s">
        <v>86</v>
      </c>
      <c r="M1302" t="s">
        <v>115</v>
      </c>
      <c r="O1302" s="30">
        <v>20.477181152526416</v>
      </c>
      <c r="P1302" s="30">
        <v>6.1962624941923368</v>
      </c>
      <c r="Q1302" s="30">
        <v>43.536156683171598</v>
      </c>
      <c r="R1302" s="30">
        <v>-11.870948846624106</v>
      </c>
      <c r="S1302" s="30">
        <v>-20.634480972680294</v>
      </c>
      <c r="T1302" s="30">
        <v>-3.1580833087880351E-2</v>
      </c>
    </row>
    <row r="1303" spans="10:20" x14ac:dyDescent="0.25">
      <c r="L1303" t="s">
        <v>86</v>
      </c>
      <c r="M1303" t="s">
        <v>116</v>
      </c>
      <c r="O1303" s="30">
        <v>9.8497647038723368</v>
      </c>
      <c r="P1303" s="30">
        <v>12.029217406589602</v>
      </c>
      <c r="Q1303" s="30">
        <v>62.967836404088885</v>
      </c>
      <c r="R1303" s="30">
        <v>-24.871128667565621</v>
      </c>
      <c r="S1303" s="30">
        <v>-12.382541236647013</v>
      </c>
      <c r="T1303" s="30">
        <v>-0.12282533051698827</v>
      </c>
    </row>
    <row r="1304" spans="10:20" x14ac:dyDescent="0.25">
      <c r="L1304" t="s">
        <v>87</v>
      </c>
      <c r="M1304" t="s">
        <v>91</v>
      </c>
      <c r="O1304" s="30">
        <v>2.3391075558904642E-2</v>
      </c>
      <c r="P1304" s="30">
        <v>2.841965969913165E-5</v>
      </c>
      <c r="Q1304" s="30">
        <v>49.099643932286774</v>
      </c>
      <c r="R1304" s="30">
        <v>2.056618794403037E-5</v>
      </c>
      <c r="S1304" s="30">
        <v>0.54705380294502937</v>
      </c>
      <c r="T1304" s="30">
        <v>-9.1393475953886635E-6</v>
      </c>
    </row>
    <row r="1305" spans="10:20" x14ac:dyDescent="0.25">
      <c r="L1305" t="s">
        <v>87</v>
      </c>
      <c r="M1305" t="s">
        <v>92</v>
      </c>
      <c r="O1305" s="30">
        <v>5.0231233190186679E-2</v>
      </c>
      <c r="P1305" s="30">
        <v>6.7425467564159522E-5</v>
      </c>
      <c r="Q1305" s="30">
        <v>65.337308254761624</v>
      </c>
      <c r="R1305" s="30">
        <v>4.8794651417341957E-5</v>
      </c>
      <c r="S1305" s="30">
        <v>0.90662161150530374</v>
      </c>
      <c r="T1305" s="30">
        <v>-2.1963588810002115E-5</v>
      </c>
    </row>
    <row r="1306" spans="10:20" x14ac:dyDescent="0.25">
      <c r="L1306" t="s">
        <v>87</v>
      </c>
      <c r="M1306" t="s">
        <v>93</v>
      </c>
      <c r="O1306" s="30">
        <v>-26.75184527484954</v>
      </c>
      <c r="P1306" s="30">
        <v>-1.4351324947940512E-3</v>
      </c>
      <c r="Q1306" s="30">
        <v>9.8510425035471911</v>
      </c>
      <c r="R1306" s="30">
        <v>-1.0385591603643436E-3</v>
      </c>
      <c r="S1306" s="30">
        <v>-104.81677105174199</v>
      </c>
      <c r="T1306" s="30">
        <v>4.6345867262600289E-4</v>
      </c>
    </row>
    <row r="1307" spans="10:20" x14ac:dyDescent="0.25">
      <c r="L1307" t="s">
        <v>87</v>
      </c>
      <c r="M1307" t="s">
        <v>94</v>
      </c>
      <c r="O1307" s="30">
        <v>-6.4043479559051377</v>
      </c>
      <c r="P1307" s="30">
        <v>-2.0222962059461003E-3</v>
      </c>
      <c r="Q1307" s="30">
        <v>30.172220722659517</v>
      </c>
      <c r="R1307" s="30">
        <v>-1.4634678661783124E-3</v>
      </c>
      <c r="S1307" s="30">
        <v>-29.430536868696219</v>
      </c>
      <c r="T1307" s="30">
        <v>6.5255948860328059E-4</v>
      </c>
    </row>
    <row r="1308" spans="10:20" x14ac:dyDescent="0.25">
      <c r="L1308" t="s">
        <v>87</v>
      </c>
      <c r="M1308" t="s">
        <v>95</v>
      </c>
      <c r="O1308" s="30">
        <v>26.655422702958539</v>
      </c>
      <c r="P1308" s="30">
        <v>1.2147479994857316E-3</v>
      </c>
      <c r="Q1308" s="30">
        <v>-30.962721032958282</v>
      </c>
      <c r="R1308" s="30">
        <v>8.7906562129725621E-4</v>
      </c>
      <c r="S1308" s="30">
        <v>103.9950555340118</v>
      </c>
      <c r="T1308" s="30">
        <v>-3.9071925429534805E-4</v>
      </c>
    </row>
    <row r="1309" spans="10:20" x14ac:dyDescent="0.25">
      <c r="L1309" t="s">
        <v>87</v>
      </c>
      <c r="M1309" t="s">
        <v>96</v>
      </c>
      <c r="O1309" s="30">
        <v>47.002041107277265</v>
      </c>
      <c r="P1309" s="30">
        <v>6.2708697742221804E-4</v>
      </c>
      <c r="Q1309" s="30">
        <v>-10.656835553729678</v>
      </c>
      <c r="R1309" s="30">
        <v>4.5379703127117411E-4</v>
      </c>
      <c r="S1309" s="30">
        <v>179.36934644902837</v>
      </c>
      <c r="T1309" s="30">
        <v>-2.0145852525848556E-4</v>
      </c>
    </row>
    <row r="1310" spans="10:20" x14ac:dyDescent="0.25">
      <c r="L1310" t="s">
        <v>87</v>
      </c>
      <c r="M1310" t="s">
        <v>97</v>
      </c>
      <c r="O1310" s="30">
        <v>-50.843337364776289</v>
      </c>
      <c r="P1310" s="30">
        <v>1.1073276637571599</v>
      </c>
      <c r="Q1310" s="30">
        <v>5.2036860084209318</v>
      </c>
      <c r="R1310" s="30">
        <v>1.5993506430281683</v>
      </c>
      <c r="S1310" s="30">
        <v>-187.89553368926212</v>
      </c>
      <c r="T1310" s="30">
        <v>-4.0408218193244512E-3</v>
      </c>
    </row>
    <row r="1311" spans="10:20" x14ac:dyDescent="0.25">
      <c r="L1311" t="s">
        <v>87</v>
      </c>
      <c r="M1311" t="s">
        <v>98</v>
      </c>
      <c r="O1311" s="30">
        <v>-30.420223420423412</v>
      </c>
      <c r="P1311" s="30">
        <v>3.9886505393508251</v>
      </c>
      <c r="Q1311" s="30">
        <v>59.14757159146702</v>
      </c>
      <c r="R1311" s="30">
        <v>2.8444784170149195</v>
      </c>
      <c r="S1311" s="30">
        <v>-111.49732852563972</v>
      </c>
      <c r="T1311" s="30">
        <v>-1.3960577356498588E-2</v>
      </c>
    </row>
    <row r="1312" spans="10:20" x14ac:dyDescent="0.25">
      <c r="L1312" t="s">
        <v>87</v>
      </c>
      <c r="M1312" t="s">
        <v>99</v>
      </c>
      <c r="O1312" s="30">
        <v>-50.84303059755748</v>
      </c>
      <c r="P1312" s="30">
        <v>-1.1042588659685901</v>
      </c>
      <c r="Q1312" s="30">
        <v>5.2017571245626231</v>
      </c>
      <c r="R1312" s="30">
        <v>-1.5971298656347188</v>
      </c>
      <c r="S1312" s="30">
        <v>-187.89132557216388</v>
      </c>
      <c r="T1312" s="30">
        <v>3.0521724723543216E-3</v>
      </c>
    </row>
    <row r="1313" spans="12:20" x14ac:dyDescent="0.25">
      <c r="L1313" t="s">
        <v>87</v>
      </c>
      <c r="M1313" t="s">
        <v>100</v>
      </c>
      <c r="O1313" s="30">
        <v>-30.418306100167772</v>
      </c>
      <c r="P1313" s="30">
        <v>-3.9866481252457384</v>
      </c>
      <c r="Q1313" s="30">
        <v>59.137579906255013</v>
      </c>
      <c r="R1313" s="30">
        <v>-2.8430293375937348</v>
      </c>
      <c r="S1313" s="30">
        <v>-111.47100169039456</v>
      </c>
      <c r="T1313" s="30">
        <v>1.3314515527532905E-2</v>
      </c>
    </row>
    <row r="1314" spans="12:20" x14ac:dyDescent="0.25">
      <c r="L1314" t="s">
        <v>87</v>
      </c>
      <c r="M1314" t="s">
        <v>101</v>
      </c>
      <c r="O1314" s="30">
        <v>-24.047481482177414</v>
      </c>
      <c r="P1314" s="30">
        <v>-1.2497714714797055E-3</v>
      </c>
      <c r="Q1314" s="30">
        <v>30.013566968896004</v>
      </c>
      <c r="R1314" s="30">
        <v>-9.0441816206019462E-4</v>
      </c>
      <c r="S1314" s="30">
        <v>-93.920820757713031</v>
      </c>
      <c r="T1314" s="30">
        <v>4.0337462938925032E-4</v>
      </c>
    </row>
    <row r="1315" spans="12:20" x14ac:dyDescent="0.25">
      <c r="L1315" t="s">
        <v>87</v>
      </c>
      <c r="M1315" t="s">
        <v>102</v>
      </c>
      <c r="O1315" s="30">
        <v>-5.7347338951274525</v>
      </c>
      <c r="P1315" s="30">
        <v>-1.7782188115165493E-3</v>
      </c>
      <c r="Q1315" s="30">
        <v>48.302627366097106</v>
      </c>
      <c r="R1315" s="30">
        <v>-1.2868359972927667E-3</v>
      </c>
      <c r="S1315" s="30">
        <v>-26.073209992971819</v>
      </c>
      <c r="T1315" s="30">
        <v>5.7356536376880029E-4</v>
      </c>
    </row>
    <row r="1316" spans="12:20" x14ac:dyDescent="0.25">
      <c r="L1316" t="s">
        <v>87</v>
      </c>
      <c r="M1316" t="s">
        <v>103</v>
      </c>
      <c r="O1316" s="30">
        <v>24.019059697849862</v>
      </c>
      <c r="P1316" s="30">
        <v>1.1351209733720994E-3</v>
      </c>
      <c r="Q1316" s="30">
        <v>-6.7188202139589182</v>
      </c>
      <c r="R1316" s="30">
        <v>8.2144414143524519E-4</v>
      </c>
      <c r="S1316" s="30">
        <v>94.009823169465392</v>
      </c>
      <c r="T1316" s="30">
        <v>-3.6538550483996565E-4</v>
      </c>
    </row>
    <row r="1317" spans="12:20" x14ac:dyDescent="0.25">
      <c r="L1317" t="s">
        <v>87</v>
      </c>
      <c r="M1317" t="s">
        <v>104</v>
      </c>
      <c r="O1317" s="30">
        <v>42.331016261736707</v>
      </c>
      <c r="P1317" s="30">
        <v>6.0622605351493735E-4</v>
      </c>
      <c r="Q1317" s="30">
        <v>11.556476717346825</v>
      </c>
      <c r="R1317" s="30">
        <v>4.3870241041177126E-4</v>
      </c>
      <c r="S1317" s="30">
        <v>161.84668499298033</v>
      </c>
      <c r="T1317" s="30">
        <v>-1.9505084870678933E-4</v>
      </c>
    </row>
    <row r="1318" spans="12:20" x14ac:dyDescent="0.25">
      <c r="L1318" t="s">
        <v>87</v>
      </c>
      <c r="M1318" t="s">
        <v>105</v>
      </c>
      <c r="O1318" s="30">
        <v>-45.72982436311149</v>
      </c>
      <c r="P1318" s="30">
        <v>0.99663674515527867</v>
      </c>
      <c r="Q1318" s="30">
        <v>25.830946123282377</v>
      </c>
      <c r="R1318" s="30">
        <v>1.4394458638076191</v>
      </c>
      <c r="S1318" s="30">
        <v>-168.69170713148114</v>
      </c>
      <c r="T1318" s="30">
        <v>-3.6504778133661579E-3</v>
      </c>
    </row>
    <row r="1319" spans="12:20" x14ac:dyDescent="0.25">
      <c r="L1319" t="s">
        <v>87</v>
      </c>
      <c r="M1319" t="s">
        <v>106</v>
      </c>
      <c r="O1319" s="30">
        <v>-27.349021813193897</v>
      </c>
      <c r="P1319" s="30">
        <v>3.5898273331895778</v>
      </c>
      <c r="Q1319" s="30">
        <v>74.380443148023858</v>
      </c>
      <c r="R1319" s="30">
        <v>2.5600608603956951</v>
      </c>
      <c r="S1319" s="30">
        <v>-99.933322484220966</v>
      </c>
      <c r="T1319" s="30">
        <v>-1.2578257796822884E-2</v>
      </c>
    </row>
    <row r="1320" spans="12:20" x14ac:dyDescent="0.25">
      <c r="L1320" t="s">
        <v>87</v>
      </c>
      <c r="M1320" t="s">
        <v>107</v>
      </c>
      <c r="O1320" s="30">
        <v>-45.729548272614565</v>
      </c>
      <c r="P1320" s="30">
        <v>-0.99379113159789623</v>
      </c>
      <c r="Q1320" s="30">
        <v>25.829210127809894</v>
      </c>
      <c r="R1320" s="30">
        <v>-1.4373865939889792</v>
      </c>
      <c r="S1320" s="30">
        <v>-168.6879198260927</v>
      </c>
      <c r="T1320" s="30">
        <v>2.7332170491447373E-3</v>
      </c>
    </row>
    <row r="1321" spans="12:20" x14ac:dyDescent="0.25">
      <c r="L1321" t="s">
        <v>87</v>
      </c>
      <c r="M1321" t="s">
        <v>108</v>
      </c>
      <c r="O1321" s="30">
        <v>-27.347296224963824</v>
      </c>
      <c r="P1321" s="30">
        <v>-3.5879414649473294</v>
      </c>
      <c r="Q1321" s="30">
        <v>74.371450631333047</v>
      </c>
      <c r="R1321" s="30">
        <v>-2.5586961187520934</v>
      </c>
      <c r="S1321" s="30">
        <v>-99.909628332500333</v>
      </c>
      <c r="T1321" s="30">
        <v>1.1969325798805464E-2</v>
      </c>
    </row>
    <row r="1322" spans="12:20" x14ac:dyDescent="0.25">
      <c r="L1322" t="s">
        <v>87</v>
      </c>
      <c r="M1322" t="s">
        <v>109</v>
      </c>
      <c r="O1322" s="30">
        <v>-26.727689132981386</v>
      </c>
      <c r="P1322" s="30">
        <v>-1.4000272677155263E-3</v>
      </c>
      <c r="Q1322" s="30">
        <v>24.464940393774562</v>
      </c>
      <c r="R1322" s="30">
        <v>-1.0131535432383633E-3</v>
      </c>
      <c r="S1322" s="30">
        <v>-104.49316002403775</v>
      </c>
      <c r="T1322" s="30">
        <v>4.519168555328508E-4</v>
      </c>
    </row>
    <row r="1323" spans="12:20" x14ac:dyDescent="0.25">
      <c r="L1323" t="s">
        <v>87</v>
      </c>
      <c r="M1323" t="s">
        <v>110</v>
      </c>
      <c r="O1323" s="30">
        <v>-6.3801918140369853</v>
      </c>
      <c r="P1323" s="30">
        <v>-1.9871909788675749E-3</v>
      </c>
      <c r="Q1323" s="30">
        <v>44.786118612886895</v>
      </c>
      <c r="R1323" s="30">
        <v>-1.4380622490523321E-3</v>
      </c>
      <c r="S1323" s="30">
        <v>-29.106925840991973</v>
      </c>
      <c r="T1323" s="30">
        <v>6.4101767151012855E-4</v>
      </c>
    </row>
    <row r="1324" spans="12:20" x14ac:dyDescent="0.25">
      <c r="L1324" t="s">
        <v>87</v>
      </c>
      <c r="M1324" t="s">
        <v>111</v>
      </c>
      <c r="O1324" s="30">
        <v>26.679578844826693</v>
      </c>
      <c r="P1324" s="30">
        <v>1.2498532265642565E-3</v>
      </c>
      <c r="Q1324" s="30">
        <v>-16.348823142730911</v>
      </c>
      <c r="R1324" s="30">
        <v>9.0447123842323667E-4</v>
      </c>
      <c r="S1324" s="30">
        <v>104.31866656171604</v>
      </c>
      <c r="T1324" s="30">
        <v>-4.022610713885002E-4</v>
      </c>
    </row>
    <row r="1325" spans="12:20" x14ac:dyDescent="0.25">
      <c r="L1325" t="s">
        <v>87</v>
      </c>
      <c r="M1325" t="s">
        <v>112</v>
      </c>
      <c r="O1325" s="30">
        <v>47.026197249145426</v>
      </c>
      <c r="P1325" s="30">
        <v>6.6219220450074319E-4</v>
      </c>
      <c r="Q1325" s="30">
        <v>3.957062336497692</v>
      </c>
      <c r="R1325" s="30">
        <v>4.7920264839715451E-4</v>
      </c>
      <c r="S1325" s="30">
        <v>179.69295747673263</v>
      </c>
      <c r="T1325" s="30">
        <v>-2.1300034235163768E-4</v>
      </c>
    </row>
    <row r="1326" spans="12:20" x14ac:dyDescent="0.25">
      <c r="L1326" t="s">
        <v>87</v>
      </c>
      <c r="M1326" t="s">
        <v>113</v>
      </c>
      <c r="O1326" s="30">
        <v>-50.819181222908128</v>
      </c>
      <c r="P1326" s="30">
        <v>1.1073627689842382</v>
      </c>
      <c r="Q1326" s="30">
        <v>19.817583898648301</v>
      </c>
      <c r="R1326" s="30">
        <v>1.5993760486452944</v>
      </c>
      <c r="S1326" s="30">
        <v>-187.57192266155786</v>
      </c>
      <c r="T1326" s="30">
        <v>-4.0523636364176033E-3</v>
      </c>
    </row>
    <row r="1327" spans="12:20" x14ac:dyDescent="0.25">
      <c r="L1327" t="s">
        <v>87</v>
      </c>
      <c r="M1327" t="s">
        <v>114</v>
      </c>
      <c r="O1327" s="30">
        <v>-30.396067278555261</v>
      </c>
      <c r="P1327" s="30">
        <v>3.9886856445779038</v>
      </c>
      <c r="Q1327" s="30">
        <v>73.761469481694391</v>
      </c>
      <c r="R1327" s="30">
        <v>2.8445038226320456</v>
      </c>
      <c r="S1327" s="30">
        <v>-111.17371749793547</v>
      </c>
      <c r="T1327" s="30">
        <v>-1.3972119173591742E-2</v>
      </c>
    </row>
    <row r="1328" spans="12:20" x14ac:dyDescent="0.25">
      <c r="L1328" t="s">
        <v>87</v>
      </c>
      <c r="M1328" t="s">
        <v>115</v>
      </c>
      <c r="O1328" s="30">
        <v>-50.818874455689318</v>
      </c>
      <c r="P1328" s="30">
        <v>-1.1042237607415115</v>
      </c>
      <c r="Q1328" s="30">
        <v>19.815655014789993</v>
      </c>
      <c r="R1328" s="30">
        <v>-1.5971044600175928</v>
      </c>
      <c r="S1328" s="30">
        <v>-187.56771454445962</v>
      </c>
      <c r="T1328" s="30">
        <v>3.0406306552611694E-3</v>
      </c>
    </row>
    <row r="1329" spans="12:20" x14ac:dyDescent="0.25">
      <c r="L1329" t="s">
        <v>87</v>
      </c>
      <c r="M1329" t="s">
        <v>116</v>
      </c>
      <c r="O1329" s="30">
        <v>-30.394149958299622</v>
      </c>
      <c r="P1329" s="30">
        <v>-3.9866130200186598</v>
      </c>
      <c r="Q1329" s="30">
        <v>73.751477796482376</v>
      </c>
      <c r="R1329" s="30">
        <v>-2.8430039319766087</v>
      </c>
      <c r="S1329" s="30">
        <v>-111.14739066269031</v>
      </c>
      <c r="T1329" s="30">
        <v>1.3302973710439753E-2</v>
      </c>
    </row>
    <row r="1330" spans="12:20" x14ac:dyDescent="0.25">
      <c r="L1330" t="s">
        <v>88</v>
      </c>
      <c r="M1330" t="s">
        <v>91</v>
      </c>
      <c r="O1330" s="30">
        <v>-7.5339845988987753</v>
      </c>
      <c r="P1330" s="30">
        <v>1.3856102477191976</v>
      </c>
      <c r="Q1330" s="30">
        <v>58.509251128467859</v>
      </c>
      <c r="R1330" s="30">
        <v>-1.4159406692821082</v>
      </c>
      <c r="S1330" s="30">
        <v>-4.6473206234652759E-2</v>
      </c>
      <c r="T1330" s="30">
        <v>-1.1536814778131963E-3</v>
      </c>
    </row>
    <row r="1331" spans="12:20" x14ac:dyDescent="0.25">
      <c r="L1331" t="s">
        <v>88</v>
      </c>
      <c r="M1331" t="s">
        <v>92</v>
      </c>
      <c r="O1331" s="30">
        <v>-7.0192421075900393</v>
      </c>
      <c r="P1331" s="30">
        <v>1.2237461271807961</v>
      </c>
      <c r="Q1331" s="30">
        <v>72.117253409422545</v>
      </c>
      <c r="R1331" s="30">
        <v>-1.1836558152704169</v>
      </c>
      <c r="S1331" s="30">
        <v>-9.142583426703936E-2</v>
      </c>
      <c r="T1331" s="30">
        <v>-1.3251017050245482E-2</v>
      </c>
    </row>
    <row r="1332" spans="12:20" x14ac:dyDescent="0.25">
      <c r="L1332" t="s">
        <v>88</v>
      </c>
      <c r="M1332" t="s">
        <v>93</v>
      </c>
      <c r="O1332" s="30">
        <v>12.752340077192661</v>
      </c>
      <c r="P1332" s="30">
        <v>-0.63802838114593863</v>
      </c>
      <c r="Q1332" s="30">
        <v>36.425395286924562</v>
      </c>
      <c r="R1332" s="30">
        <v>0.7791129073554024</v>
      </c>
      <c r="S1332" s="30">
        <v>-15.020219485565793</v>
      </c>
      <c r="T1332" s="30">
        <v>1.8387033813191737E-2</v>
      </c>
    </row>
    <row r="1333" spans="12:20" x14ac:dyDescent="0.25">
      <c r="L1333" t="s">
        <v>88</v>
      </c>
      <c r="M1333" t="s">
        <v>94</v>
      </c>
      <c r="O1333" s="30">
        <v>1.9490722644615577</v>
      </c>
      <c r="P1333" s="30">
        <v>0.53122766872232552</v>
      </c>
      <c r="Q1333" s="30">
        <v>51.730517007770437</v>
      </c>
      <c r="R1333" s="30">
        <v>-0.50392202062996616</v>
      </c>
      <c r="S1333" s="30">
        <v>-6.8534311717305423</v>
      </c>
      <c r="T1333" s="30">
        <v>1.040178344859765E-2</v>
      </c>
    </row>
    <row r="1334" spans="12:20" x14ac:dyDescent="0.25">
      <c r="L1334" t="s">
        <v>88</v>
      </c>
      <c r="M1334" t="s">
        <v>95</v>
      </c>
      <c r="O1334" s="30">
        <v>-31.677913594620044</v>
      </c>
      <c r="P1334" s="30">
        <v>-2.7704083392701206</v>
      </c>
      <c r="Q1334" s="30">
        <v>-37.248612307863034</v>
      </c>
      <c r="R1334" s="30">
        <v>2.7626980399139116</v>
      </c>
      <c r="S1334" s="30">
        <v>15.444110185418634</v>
      </c>
      <c r="T1334" s="30">
        <v>9.0122709716417268E-2</v>
      </c>
    </row>
    <row r="1335" spans="12:20" x14ac:dyDescent="0.25">
      <c r="L1335" t="s">
        <v>88</v>
      </c>
      <c r="M1335" t="s">
        <v>96</v>
      </c>
      <c r="O1335" s="30">
        <v>-42.473472303703261</v>
      </c>
      <c r="P1335" s="30">
        <v>-1.5900568577121053</v>
      </c>
      <c r="Q1335" s="30">
        <v>-21.967533428819024</v>
      </c>
      <c r="R1335" s="30">
        <v>1.4807344765231434</v>
      </c>
      <c r="S1335" s="30">
        <v>23.606732780856596</v>
      </c>
      <c r="T1335" s="30">
        <v>8.1791120542767021E-2</v>
      </c>
    </row>
    <row r="1336" spans="12:20" x14ac:dyDescent="0.25">
      <c r="L1336" t="s">
        <v>88</v>
      </c>
      <c r="M1336" t="s">
        <v>97</v>
      </c>
      <c r="O1336" s="30">
        <v>19.944234151817103</v>
      </c>
      <c r="P1336" s="30">
        <v>-6.0612889598013586</v>
      </c>
      <c r="Q1336" s="30">
        <v>31.18630878619091</v>
      </c>
      <c r="R1336" s="30">
        <v>11.683629293756354</v>
      </c>
      <c r="S1336" s="30">
        <v>-20.562798855214478</v>
      </c>
      <c r="T1336" s="30">
        <v>4.2279573081315205E-2</v>
      </c>
    </row>
    <row r="1337" spans="12:20" x14ac:dyDescent="0.25">
      <c r="L1337" t="s">
        <v>88</v>
      </c>
      <c r="M1337" t="s">
        <v>98</v>
      </c>
      <c r="O1337" s="30">
        <v>9.3588339089327555</v>
      </c>
      <c r="P1337" s="30">
        <v>-11.890651374221855</v>
      </c>
      <c r="Q1337" s="30">
        <v>50.683709984393708</v>
      </c>
      <c r="R1337" s="30">
        <v>24.676490760747757</v>
      </c>
      <c r="S1337" s="30">
        <v>-12.332803058698742</v>
      </c>
      <c r="T1337" s="30">
        <v>0.13356038174035714</v>
      </c>
    </row>
    <row r="1338" spans="12:20" x14ac:dyDescent="0.25">
      <c r="L1338" t="s">
        <v>88</v>
      </c>
      <c r="M1338" t="s">
        <v>99</v>
      </c>
      <c r="O1338" s="30">
        <v>20.083479060129662</v>
      </c>
      <c r="P1338" s="30">
        <v>9.5024260942969434</v>
      </c>
      <c r="Q1338" s="30">
        <v>33.372536844213485</v>
      </c>
      <c r="R1338" s="30">
        <v>-15.581843703137801</v>
      </c>
      <c r="S1338" s="30">
        <v>-20.640230251848717</v>
      </c>
      <c r="T1338" s="30">
        <v>-2.9855608640361561E-2</v>
      </c>
    </row>
    <row r="1339" spans="12:20" x14ac:dyDescent="0.25">
      <c r="L1339" t="s">
        <v>88</v>
      </c>
      <c r="M1339" t="s">
        <v>100</v>
      </c>
      <c r="O1339" s="30">
        <v>10.414284728444393</v>
      </c>
      <c r="P1339" s="30">
        <v>17.392361389199397</v>
      </c>
      <c r="Q1339" s="30">
        <v>79.726654768862943</v>
      </c>
      <c r="R1339" s="30">
        <v>-30.088915458115398</v>
      </c>
      <c r="S1339" s="30">
        <v>-12.538591938886361</v>
      </c>
      <c r="T1339" s="30">
        <v>-0.11752841406770376</v>
      </c>
    </row>
    <row r="1340" spans="12:20" x14ac:dyDescent="0.25">
      <c r="L1340" t="s">
        <v>88</v>
      </c>
      <c r="M1340" t="s">
        <v>101</v>
      </c>
      <c r="O1340" s="30">
        <v>11.238450100892255</v>
      </c>
      <c r="P1340" s="30">
        <v>-0.59752863879782636</v>
      </c>
      <c r="Q1340" s="30">
        <v>52.241783152033577</v>
      </c>
      <c r="R1340" s="30">
        <v>0.79189240370334246</v>
      </c>
      <c r="S1340" s="30">
        <v>-13.567797485665066</v>
      </c>
      <c r="T1340" s="30">
        <v>4.3356267116589579E-3</v>
      </c>
    </row>
    <row r="1341" spans="12:20" x14ac:dyDescent="0.25">
      <c r="L1341" t="s">
        <v>88</v>
      </c>
      <c r="M1341" t="s">
        <v>102</v>
      </c>
      <c r="O1341" s="30">
        <v>1.5155090694342586</v>
      </c>
      <c r="P1341" s="30">
        <v>0.4548018060836112</v>
      </c>
      <c r="Q1341" s="30">
        <v>66.016392700794853</v>
      </c>
      <c r="R1341" s="30">
        <v>-0.36283903148348901</v>
      </c>
      <c r="S1341" s="30">
        <v>-6.2176880032133406</v>
      </c>
      <c r="T1341" s="30">
        <v>-2.8510986164757188E-3</v>
      </c>
    </row>
    <row r="1342" spans="12:20" x14ac:dyDescent="0.25">
      <c r="L1342" t="s">
        <v>88</v>
      </c>
      <c r="M1342" t="s">
        <v>103</v>
      </c>
      <c r="O1342" s="30">
        <v>-28.748778203739185</v>
      </c>
      <c r="P1342" s="30">
        <v>-2.5166706011095905</v>
      </c>
      <c r="Q1342" s="30">
        <v>-14.064823683275272</v>
      </c>
      <c r="R1342" s="30">
        <v>2.5771190230060008</v>
      </c>
      <c r="S1342" s="30">
        <v>13.850099218220919</v>
      </c>
      <c r="T1342" s="30">
        <v>6.8897735024561924E-2</v>
      </c>
    </row>
    <row r="1343" spans="12:20" x14ac:dyDescent="0.25">
      <c r="L1343" t="s">
        <v>88</v>
      </c>
      <c r="M1343" t="s">
        <v>104</v>
      </c>
      <c r="O1343" s="30">
        <v>-38.46478104191408</v>
      </c>
      <c r="P1343" s="30">
        <v>-1.4543542677073764</v>
      </c>
      <c r="Q1343" s="30">
        <v>-0.31185269213565325</v>
      </c>
      <c r="R1343" s="30">
        <v>1.4233518159543097</v>
      </c>
      <c r="S1343" s="30">
        <v>21.196459554115084</v>
      </c>
      <c r="T1343" s="30">
        <v>6.1399304768276708E-2</v>
      </c>
    </row>
    <row r="1344" spans="12:20" x14ac:dyDescent="0.25">
      <c r="L1344" t="s">
        <v>88</v>
      </c>
      <c r="M1344" t="s">
        <v>105</v>
      </c>
      <c r="O1344" s="30">
        <v>17.71115476805425</v>
      </c>
      <c r="P1344" s="30">
        <v>-5.4784631595877054</v>
      </c>
      <c r="Q1344" s="30">
        <v>47.526605301373287</v>
      </c>
      <c r="R1344" s="30">
        <v>10.605957151464199</v>
      </c>
      <c r="S1344" s="30">
        <v>-18.556118918348883</v>
      </c>
      <c r="T1344" s="30">
        <v>2.5838912052970082E-2</v>
      </c>
    </row>
    <row r="1345" spans="12:20" x14ac:dyDescent="0.25">
      <c r="L1345" t="s">
        <v>88</v>
      </c>
      <c r="M1345" t="s">
        <v>106</v>
      </c>
      <c r="O1345" s="30">
        <v>8.1842945494583379</v>
      </c>
      <c r="P1345" s="30">
        <v>-10.72488933256615</v>
      </c>
      <c r="Q1345" s="30">
        <v>65.074266379755812</v>
      </c>
      <c r="R1345" s="30">
        <v>22.299532471756464</v>
      </c>
      <c r="S1345" s="30">
        <v>-11.149122701484719</v>
      </c>
      <c r="T1345" s="30">
        <v>0.10799163984610782</v>
      </c>
    </row>
    <row r="1346" spans="12:20" x14ac:dyDescent="0.25">
      <c r="L1346" t="s">
        <v>88</v>
      </c>
      <c r="M1346" t="s">
        <v>107</v>
      </c>
      <c r="O1346" s="30">
        <v>17.836475185535555</v>
      </c>
      <c r="P1346" s="30">
        <v>8.5288803891007667</v>
      </c>
      <c r="Q1346" s="30">
        <v>49.494210553593604</v>
      </c>
      <c r="R1346" s="30">
        <v>-13.93296854574054</v>
      </c>
      <c r="S1346" s="30">
        <v>-18.6258071753197</v>
      </c>
      <c r="T1346" s="30">
        <v>-3.908275149653901E-2</v>
      </c>
    </row>
    <row r="1347" spans="12:20" x14ac:dyDescent="0.25">
      <c r="L1347" t="s">
        <v>88</v>
      </c>
      <c r="M1347" t="s">
        <v>108</v>
      </c>
      <c r="O1347" s="30">
        <v>9.1342002870188139</v>
      </c>
      <c r="P1347" s="30">
        <v>15.629822154512976</v>
      </c>
      <c r="Q1347" s="30">
        <v>91.21291668577814</v>
      </c>
      <c r="R1347" s="30">
        <v>-26.98933312522038</v>
      </c>
      <c r="S1347" s="30">
        <v>-11.334332693653577</v>
      </c>
      <c r="T1347" s="30">
        <v>-0.11798827638114699</v>
      </c>
    </row>
    <row r="1348" spans="12:20" x14ac:dyDescent="0.25">
      <c r="L1348" t="s">
        <v>88</v>
      </c>
      <c r="M1348" t="s">
        <v>109</v>
      </c>
      <c r="O1348" s="30">
        <v>13.215608319370524</v>
      </c>
      <c r="P1348" s="30">
        <v>-0.78370608963050004</v>
      </c>
      <c r="Q1348" s="30">
        <v>48.672597339783785</v>
      </c>
      <c r="R1348" s="30">
        <v>0.98816927596592485</v>
      </c>
      <c r="S1348" s="30">
        <v>-15.060676850794941</v>
      </c>
      <c r="T1348" s="30">
        <v>7.4994317980026769E-3</v>
      </c>
    </row>
    <row r="1349" spans="12:20" x14ac:dyDescent="0.25">
      <c r="L1349" t="s">
        <v>88</v>
      </c>
      <c r="M1349" t="s">
        <v>110</v>
      </c>
      <c r="O1349" s="30">
        <v>2.4123405066394192</v>
      </c>
      <c r="P1349" s="30">
        <v>0.38554996023776406</v>
      </c>
      <c r="Q1349" s="30">
        <v>63.977719060629653</v>
      </c>
      <c r="R1349" s="30">
        <v>-0.2948656520194437</v>
      </c>
      <c r="S1349" s="30">
        <v>-6.8938885369596914</v>
      </c>
      <c r="T1349" s="30">
        <v>-4.858185665914078E-4</v>
      </c>
    </row>
    <row r="1350" spans="12:20" x14ac:dyDescent="0.25">
      <c r="L1350" t="s">
        <v>88</v>
      </c>
      <c r="M1350" t="s">
        <v>111</v>
      </c>
      <c r="O1350" s="30">
        <v>-31.214645352442183</v>
      </c>
      <c r="P1350" s="30">
        <v>-2.9160860477546824</v>
      </c>
      <c r="Q1350" s="30">
        <v>-25.001410255003819</v>
      </c>
      <c r="R1350" s="30">
        <v>2.9717544085244341</v>
      </c>
      <c r="S1350" s="30">
        <v>15.403652820189485</v>
      </c>
      <c r="T1350" s="30">
        <v>7.9235107701228213E-2</v>
      </c>
    </row>
    <row r="1351" spans="12:20" x14ac:dyDescent="0.25">
      <c r="L1351" t="s">
        <v>88</v>
      </c>
      <c r="M1351" t="s">
        <v>112</v>
      </c>
      <c r="O1351" s="30">
        <v>-42.0102040615254</v>
      </c>
      <c r="P1351" s="30">
        <v>-1.7357345661966666</v>
      </c>
      <c r="Q1351" s="30">
        <v>-9.7203313759598071</v>
      </c>
      <c r="R1351" s="30">
        <v>1.6897908451336658</v>
      </c>
      <c r="S1351" s="30">
        <v>23.566275415627448</v>
      </c>
      <c r="T1351" s="30">
        <v>7.0903518527577966E-2</v>
      </c>
    </row>
    <row r="1352" spans="12:20" x14ac:dyDescent="0.25">
      <c r="L1352" t="s">
        <v>88</v>
      </c>
      <c r="M1352" t="s">
        <v>113</v>
      </c>
      <c r="O1352" s="30">
        <v>20.407502393994964</v>
      </c>
      <c r="P1352" s="30">
        <v>-6.2069666682859204</v>
      </c>
      <c r="Q1352" s="30">
        <v>43.433510839050122</v>
      </c>
      <c r="R1352" s="30">
        <v>11.892685662366874</v>
      </c>
      <c r="S1352" s="30">
        <v>-20.603256220443626</v>
      </c>
      <c r="T1352" s="30">
        <v>3.1391971066126151E-2</v>
      </c>
    </row>
    <row r="1353" spans="12:20" x14ac:dyDescent="0.25">
      <c r="L1353" t="s">
        <v>88</v>
      </c>
      <c r="M1353" t="s">
        <v>114</v>
      </c>
      <c r="O1353" s="30">
        <v>9.8221021511106166</v>
      </c>
      <c r="P1353" s="30">
        <v>-12.036329082706416</v>
      </c>
      <c r="Q1353" s="30">
        <v>62.930912037252924</v>
      </c>
      <c r="R1353" s="30">
        <v>24.885547129358283</v>
      </c>
      <c r="S1353" s="30">
        <v>-12.37326042392789</v>
      </c>
      <c r="T1353" s="30">
        <v>0.12267277972516807</v>
      </c>
    </row>
    <row r="1354" spans="12:20" x14ac:dyDescent="0.25">
      <c r="L1354" t="s">
        <v>88</v>
      </c>
      <c r="M1354" t="s">
        <v>115</v>
      </c>
      <c r="O1354" s="30">
        <v>20.546747302307526</v>
      </c>
      <c r="P1354" s="30">
        <v>9.3567483858123808</v>
      </c>
      <c r="Q1354" s="30">
        <v>45.619738897072693</v>
      </c>
      <c r="R1354" s="30">
        <v>-15.372787334527279</v>
      </c>
      <c r="S1354" s="30">
        <v>-20.680687617077865</v>
      </c>
      <c r="T1354" s="30">
        <v>-4.0743210655550623E-2</v>
      </c>
    </row>
    <row r="1355" spans="12:20" x14ac:dyDescent="0.25">
      <c r="L1355" t="s">
        <v>88</v>
      </c>
      <c r="M1355" t="s">
        <v>116</v>
      </c>
      <c r="O1355" s="30">
        <v>10.877552970622256</v>
      </c>
      <c r="P1355" s="30">
        <v>17.246683680714831</v>
      </c>
      <c r="Q1355" s="30">
        <v>91.97385682172218</v>
      </c>
      <c r="R1355" s="30">
        <v>-29.879859089504876</v>
      </c>
      <c r="S1355" s="30">
        <v>-12.579049304115511</v>
      </c>
      <c r="T1355" s="30">
        <v>-0.12841601608289283</v>
      </c>
    </row>
    <row r="1356" spans="12:20" x14ac:dyDescent="0.25">
      <c r="L1356" t="s">
        <v>89</v>
      </c>
      <c r="M1356" t="s">
        <v>91</v>
      </c>
      <c r="O1356" s="30">
        <v>8.1371332632777113E-2</v>
      </c>
      <c r="P1356" s="30">
        <v>1.604305337762602</v>
      </c>
      <c r="Q1356" s="30">
        <v>47.974376691082192</v>
      </c>
      <c r="R1356" s="30">
        <v>-1.2412408850776022</v>
      </c>
      <c r="S1356" s="30">
        <v>0.21104438755038218</v>
      </c>
      <c r="T1356" s="30">
        <v>-2.9623490428758105E-3</v>
      </c>
    </row>
    <row r="1357" spans="12:20" x14ac:dyDescent="0.25">
      <c r="L1357" t="s">
        <v>89</v>
      </c>
      <c r="M1357" t="s">
        <v>92</v>
      </c>
      <c r="O1357" s="30">
        <v>6.1695294381111342E-2</v>
      </c>
      <c r="P1357" s="30">
        <v>1.0003525488204537</v>
      </c>
      <c r="Q1357" s="30">
        <v>63.141984062958272</v>
      </c>
      <c r="R1357" s="30">
        <v>-0.92997783042500282</v>
      </c>
      <c r="S1357" s="30">
        <v>-3.7948033092698306E-2</v>
      </c>
      <c r="T1357" s="30">
        <v>-7.0961204246904894E-3</v>
      </c>
    </row>
    <row r="1358" spans="12:20" x14ac:dyDescent="0.25">
      <c r="L1358" t="s">
        <v>89</v>
      </c>
      <c r="M1358" t="s">
        <v>93</v>
      </c>
      <c r="O1358" s="30">
        <v>-23.115839896764747</v>
      </c>
      <c r="P1358" s="30">
        <v>-0.22144753360586875</v>
      </c>
      <c r="Q1358" s="30">
        <v>4.8859681188576936</v>
      </c>
      <c r="R1358" s="30">
        <v>0.41478630950572565</v>
      </c>
      <c r="S1358" s="30">
        <v>-85.077313431708788</v>
      </c>
      <c r="T1358" s="30">
        <v>-8.8428356855318094E-2</v>
      </c>
    </row>
    <row r="1359" spans="12:20" x14ac:dyDescent="0.25">
      <c r="L1359" t="s">
        <v>89</v>
      </c>
      <c r="M1359" t="s">
        <v>94</v>
      </c>
      <c r="O1359" s="30">
        <v>-5.4677888815260696</v>
      </c>
      <c r="P1359" s="30">
        <v>0.90159987531930663</v>
      </c>
      <c r="Q1359" s="30">
        <v>26.362967224709902</v>
      </c>
      <c r="R1359" s="30">
        <v>-0.56860721281109894</v>
      </c>
      <c r="S1359" s="30">
        <v>-23.440762884727633</v>
      </c>
      <c r="T1359" s="30">
        <v>-2.7509965413556513E-2</v>
      </c>
    </row>
    <row r="1360" spans="12:20" x14ac:dyDescent="0.25">
      <c r="L1360" t="s">
        <v>89</v>
      </c>
      <c r="M1360" t="s">
        <v>95</v>
      </c>
      <c r="O1360" s="30">
        <v>23.417688307469582</v>
      </c>
      <c r="P1360" s="30">
        <v>-1.0396847853813793</v>
      </c>
      <c r="Q1360" s="30">
        <v>-38.928827217532344</v>
      </c>
      <c r="R1360" s="30">
        <v>1.6774767407528342</v>
      </c>
      <c r="S1360" s="30">
        <v>87.250485482781045</v>
      </c>
      <c r="T1360" s="30">
        <v>7.9117062988665568E-2</v>
      </c>
    </row>
    <row r="1361" spans="12:20" x14ac:dyDescent="0.25">
      <c r="L1361" t="s">
        <v>89</v>
      </c>
      <c r="M1361" t="s">
        <v>96</v>
      </c>
      <c r="O1361" s="30">
        <v>41.065742212363986</v>
      </c>
      <c r="P1361" s="30">
        <v>2.1438335752033022E-2</v>
      </c>
      <c r="Q1361" s="30">
        <v>-17.224481970343124</v>
      </c>
      <c r="R1361" s="30">
        <v>0.71420886426174368</v>
      </c>
      <c r="S1361" s="30">
        <v>148.88688863045687</v>
      </c>
      <c r="T1361" s="30">
        <v>0.13969465539122475</v>
      </c>
    </row>
    <row r="1362" spans="12:20" x14ac:dyDescent="0.25">
      <c r="L1362" t="s">
        <v>89</v>
      </c>
      <c r="M1362" t="s">
        <v>97</v>
      </c>
      <c r="O1362" s="30">
        <v>-44.052342636697347</v>
      </c>
      <c r="P1362" s="30">
        <v>3.6020351222247928</v>
      </c>
      <c r="Q1362" s="30">
        <v>4.9434867039126171</v>
      </c>
      <c r="R1362" s="30">
        <v>0.81827900910578832</v>
      </c>
      <c r="S1362" s="30">
        <v>-154.05011136018987</v>
      </c>
      <c r="T1362" s="30">
        <v>-0.15322843097185265</v>
      </c>
    </row>
    <row r="1363" spans="12:20" x14ac:dyDescent="0.25">
      <c r="L1363" t="s">
        <v>89</v>
      </c>
      <c r="M1363" t="s">
        <v>98</v>
      </c>
      <c r="O1363" s="30">
        <v>-26.443765404529373</v>
      </c>
      <c r="P1363" s="30">
        <v>8.3720785958683237</v>
      </c>
      <c r="Q1363" s="30">
        <v>30.687536203162633</v>
      </c>
      <c r="R1363" s="30">
        <v>1.1603757942886646</v>
      </c>
      <c r="S1363" s="30">
        <v>-92.880529335987632</v>
      </c>
      <c r="T1363" s="30">
        <v>-9.4096061286778984E-2</v>
      </c>
    </row>
    <row r="1364" spans="12:20" x14ac:dyDescent="0.25">
      <c r="L1364" t="s">
        <v>89</v>
      </c>
      <c r="M1364" t="s">
        <v>99</v>
      </c>
      <c r="O1364" s="30">
        <v>-44.090020950436092</v>
      </c>
      <c r="P1364" s="30">
        <v>4.0396215452132065</v>
      </c>
      <c r="Q1364" s="30">
        <v>2.4622695848532454</v>
      </c>
      <c r="R1364" s="30">
        <v>-5.319511083331629</v>
      </c>
      <c r="S1364" s="30">
        <v>-154.54827615876064</v>
      </c>
      <c r="T1364" s="30">
        <v>-7.9586363914162725E-2</v>
      </c>
    </row>
    <row r="1365" spans="12:20" x14ac:dyDescent="0.25">
      <c r="L1365" t="s">
        <v>89</v>
      </c>
      <c r="M1365" t="s">
        <v>100</v>
      </c>
      <c r="O1365" s="30">
        <v>-26.489111394467912</v>
      </c>
      <c r="P1365" s="30">
        <v>-1.0460618087066837</v>
      </c>
      <c r="Q1365" s="30">
        <v>61.183228891625539</v>
      </c>
      <c r="R1365" s="30">
        <v>-6.3916186077498534</v>
      </c>
      <c r="S1365" s="30">
        <v>-93.507715453387192</v>
      </c>
      <c r="T1365" s="30">
        <v>-2.6906237843414151E-2</v>
      </c>
    </row>
    <row r="1366" spans="12:20" x14ac:dyDescent="0.25">
      <c r="L1366" t="s">
        <v>89</v>
      </c>
      <c r="M1366" t="s">
        <v>101</v>
      </c>
      <c r="O1366" s="30">
        <v>-20.81579481207666</v>
      </c>
      <c r="P1366" s="30">
        <v>-0.64282503541117009</v>
      </c>
      <c r="Q1366" s="30">
        <v>24.362416347956223</v>
      </c>
      <c r="R1366" s="30">
        <v>0.56044664469999195</v>
      </c>
      <c r="S1366" s="30">
        <v>-76.797470070425959</v>
      </c>
      <c r="T1366" s="30">
        <v>-8.4015527455888556E-2</v>
      </c>
    </row>
    <row r="1367" spans="12:20" x14ac:dyDescent="0.25">
      <c r="L1367" t="s">
        <v>89</v>
      </c>
      <c r="M1367" t="s">
        <v>102</v>
      </c>
      <c r="O1367" s="30">
        <v>-4.9325488983618504</v>
      </c>
      <c r="P1367" s="30">
        <v>0.3679176326214878</v>
      </c>
      <c r="Q1367" s="30">
        <v>43.691715543223218</v>
      </c>
      <c r="R1367" s="30">
        <v>-0.32460752538515003</v>
      </c>
      <c r="S1367" s="30">
        <v>-21.324574578142911</v>
      </c>
      <c r="T1367" s="30">
        <v>-2.9188975158303123E-2</v>
      </c>
    </row>
    <row r="1368" spans="12:20" x14ac:dyDescent="0.25">
      <c r="L1368" t="s">
        <v>89</v>
      </c>
      <c r="M1368" t="s">
        <v>103</v>
      </c>
      <c r="O1368" s="30">
        <v>21.064380571734237</v>
      </c>
      <c r="P1368" s="30">
        <v>-1.3792385620091296</v>
      </c>
      <c r="Q1368" s="30">
        <v>-15.070899454794814</v>
      </c>
      <c r="R1368" s="30">
        <v>1.6968680328223897</v>
      </c>
      <c r="S1368" s="30">
        <v>78.297548952614918</v>
      </c>
      <c r="T1368" s="30">
        <v>6.6775350403696754E-2</v>
      </c>
    </row>
    <row r="1369" spans="12:20" x14ac:dyDescent="0.25">
      <c r="L1369" t="s">
        <v>89</v>
      </c>
      <c r="M1369" t="s">
        <v>104</v>
      </c>
      <c r="O1369" s="30">
        <v>36.947629086139194</v>
      </c>
      <c r="P1369" s="30">
        <v>-0.42422775298905846</v>
      </c>
      <c r="Q1369" s="30">
        <v>4.4630112676754861</v>
      </c>
      <c r="R1369" s="30">
        <v>0.82992694398040834</v>
      </c>
      <c r="S1369" s="30">
        <v>133.77031178552312</v>
      </c>
      <c r="T1369" s="30">
        <v>0.12129518356600001</v>
      </c>
    </row>
    <row r="1370" spans="12:20" x14ac:dyDescent="0.25">
      <c r="L1370" t="s">
        <v>89</v>
      </c>
      <c r="M1370" t="s">
        <v>105</v>
      </c>
      <c r="O1370" s="30">
        <v>-39.658647278016005</v>
      </c>
      <c r="P1370" s="30">
        <v>2.7983093548364257</v>
      </c>
      <c r="Q1370" s="30">
        <v>24.414183074505655</v>
      </c>
      <c r="R1370" s="30">
        <v>0.92359007434004847</v>
      </c>
      <c r="S1370" s="30">
        <v>-138.87298820605895</v>
      </c>
      <c r="T1370" s="30">
        <v>-0.14233559416076963</v>
      </c>
    </row>
    <row r="1371" spans="12:20" x14ac:dyDescent="0.25">
      <c r="L1371" t="s">
        <v>89</v>
      </c>
      <c r="M1371" t="s">
        <v>106</v>
      </c>
      <c r="O1371" s="30">
        <v>-23.810927769064826</v>
      </c>
      <c r="P1371" s="30">
        <v>7.0913484811156016</v>
      </c>
      <c r="Q1371" s="30">
        <v>47.583827623830672</v>
      </c>
      <c r="R1371" s="30">
        <v>1.231477181004637</v>
      </c>
      <c r="S1371" s="30">
        <v>-83.8203643842769</v>
      </c>
      <c r="T1371" s="30">
        <v>-8.9116461444203349E-2</v>
      </c>
    </row>
    <row r="1372" spans="12:20" x14ac:dyDescent="0.25">
      <c r="L1372" t="s">
        <v>89</v>
      </c>
      <c r="M1372" t="s">
        <v>107</v>
      </c>
      <c r="O1372" s="30">
        <v>-39.692557760380872</v>
      </c>
      <c r="P1372" s="30">
        <v>3.1921371355259978</v>
      </c>
      <c r="Q1372" s="30">
        <v>22.181087667352216</v>
      </c>
      <c r="R1372" s="30">
        <v>-4.600421008853627</v>
      </c>
      <c r="S1372" s="30">
        <v>-139.32133652477268</v>
      </c>
      <c r="T1372" s="30">
        <v>-7.6057733808848726E-2</v>
      </c>
    </row>
    <row r="1373" spans="12:20" x14ac:dyDescent="0.25">
      <c r="L1373" t="s">
        <v>89</v>
      </c>
      <c r="M1373" t="s">
        <v>108</v>
      </c>
      <c r="O1373" s="30">
        <v>-23.851739160009508</v>
      </c>
      <c r="P1373" s="30">
        <v>-1.3849778830019037</v>
      </c>
      <c r="Q1373" s="30">
        <v>75.029951043447269</v>
      </c>
      <c r="R1373" s="30">
        <v>-5.5653177808300303</v>
      </c>
      <c r="S1373" s="30">
        <v>-84.384831889936521</v>
      </c>
      <c r="T1373" s="30">
        <v>-2.8645620345174996E-2</v>
      </c>
    </row>
    <row r="1374" spans="12:20" x14ac:dyDescent="0.25">
      <c r="L1374" t="s">
        <v>89</v>
      </c>
      <c r="M1374" t="s">
        <v>109</v>
      </c>
      <c r="O1374" s="30">
        <v>-23.133548331191246</v>
      </c>
      <c r="P1374" s="30">
        <v>-0.76500504365380229</v>
      </c>
      <c r="Q1374" s="30">
        <v>18.536814753546164</v>
      </c>
      <c r="R1374" s="30">
        <v>0.69492305869306503</v>
      </c>
      <c r="S1374" s="30">
        <v>-85.301406610287572</v>
      </c>
      <c r="T1374" s="30">
        <v>-9.2148751098951306E-2</v>
      </c>
    </row>
    <row r="1375" spans="12:20" x14ac:dyDescent="0.25">
      <c r="L1375" t="s">
        <v>89</v>
      </c>
      <c r="M1375" t="s">
        <v>110</v>
      </c>
      <c r="O1375" s="30">
        <v>-5.4854973159525686</v>
      </c>
      <c r="P1375" s="30">
        <v>0.35804236527137306</v>
      </c>
      <c r="Q1375" s="30">
        <v>40.013813859398375</v>
      </c>
      <c r="R1375" s="30">
        <v>-0.28847046362375961</v>
      </c>
      <c r="S1375" s="30">
        <v>-23.664856063306406</v>
      </c>
      <c r="T1375" s="30">
        <v>-3.1230359657189725E-2</v>
      </c>
    </row>
    <row r="1376" spans="12:20" x14ac:dyDescent="0.25">
      <c r="L1376" t="s">
        <v>89</v>
      </c>
      <c r="M1376" t="s">
        <v>111</v>
      </c>
      <c r="O1376" s="30">
        <v>23.399979873043083</v>
      </c>
      <c r="P1376" s="30">
        <v>-1.5832422954293128</v>
      </c>
      <c r="Q1376" s="30">
        <v>-25.27798058284387</v>
      </c>
      <c r="R1376" s="30">
        <v>1.9576134899401734</v>
      </c>
      <c r="S1376" s="30">
        <v>87.026392304202261</v>
      </c>
      <c r="T1376" s="30">
        <v>7.5396668745032355E-2</v>
      </c>
    </row>
    <row r="1377" spans="12:20" x14ac:dyDescent="0.25">
      <c r="L1377" t="s">
        <v>89</v>
      </c>
      <c r="M1377" t="s">
        <v>112</v>
      </c>
      <c r="O1377" s="30">
        <v>41.048033777937484</v>
      </c>
      <c r="P1377" s="30">
        <v>-0.52211917429590049</v>
      </c>
      <c r="Q1377" s="30">
        <v>-3.5736353356546524</v>
      </c>
      <c r="R1377" s="30">
        <v>0.99434561344908301</v>
      </c>
      <c r="S1377" s="30">
        <v>148.66279545187808</v>
      </c>
      <c r="T1377" s="30">
        <v>0.13597426114759154</v>
      </c>
    </row>
    <row r="1378" spans="12:20" x14ac:dyDescent="0.25">
      <c r="L1378" t="s">
        <v>89</v>
      </c>
      <c r="M1378" t="s">
        <v>113</v>
      </c>
      <c r="O1378" s="30">
        <v>-44.070051071123849</v>
      </c>
      <c r="P1378" s="30">
        <v>3.0584776121768593</v>
      </c>
      <c r="Q1378" s="30">
        <v>18.594333338601089</v>
      </c>
      <c r="R1378" s="30">
        <v>1.0984157582931278</v>
      </c>
      <c r="S1378" s="30">
        <v>-154.27420453876863</v>
      </c>
      <c r="T1378" s="30">
        <v>-0.15694882521548584</v>
      </c>
    </row>
    <row r="1379" spans="12:20" x14ac:dyDescent="0.25">
      <c r="L1379" t="s">
        <v>89</v>
      </c>
      <c r="M1379" t="s">
        <v>114</v>
      </c>
      <c r="O1379" s="30">
        <v>-26.461473838955872</v>
      </c>
      <c r="P1379" s="30">
        <v>7.8285210858203884</v>
      </c>
      <c r="Q1379" s="30">
        <v>44.3383828378511</v>
      </c>
      <c r="R1379" s="30">
        <v>1.4405125434760038</v>
      </c>
      <c r="S1379" s="30">
        <v>-93.104622514566415</v>
      </c>
      <c r="T1379" s="30">
        <v>-9.7816455530412197E-2</v>
      </c>
    </row>
    <row r="1380" spans="12:20" x14ac:dyDescent="0.25">
      <c r="L1380" t="s">
        <v>89</v>
      </c>
      <c r="M1380" t="s">
        <v>115</v>
      </c>
      <c r="O1380" s="30">
        <v>-44.107729384862594</v>
      </c>
      <c r="P1380" s="30">
        <v>3.496064035165273</v>
      </c>
      <c r="Q1380" s="30">
        <v>16.113116219541716</v>
      </c>
      <c r="R1380" s="30">
        <v>-5.0393743341442896</v>
      </c>
      <c r="S1380" s="30">
        <v>-154.77236933733943</v>
      </c>
      <c r="T1380" s="30">
        <v>-8.3306758157795938E-2</v>
      </c>
    </row>
    <row r="1381" spans="12:20" x14ac:dyDescent="0.25">
      <c r="L1381" t="s">
        <v>89</v>
      </c>
      <c r="M1381" t="s">
        <v>116</v>
      </c>
      <c r="O1381" s="30">
        <v>-26.506819828894411</v>
      </c>
      <c r="P1381" s="30">
        <v>-1.5896193187546173</v>
      </c>
      <c r="Q1381" s="30">
        <v>74.834075526313995</v>
      </c>
      <c r="R1381" s="30">
        <v>-6.1114818585625148</v>
      </c>
      <c r="S1381" s="30">
        <v>-93.731808631965976</v>
      </c>
      <c r="T1381" s="30">
        <v>-3.062663208704736E-2</v>
      </c>
    </row>
    <row r="1382" spans="12:20" x14ac:dyDescent="0.25">
      <c r="L1382" t="s">
        <v>90</v>
      </c>
      <c r="M1382" t="s">
        <v>91</v>
      </c>
      <c r="O1382" s="30">
        <v>-7.7918849318603858</v>
      </c>
      <c r="P1382" s="30">
        <v>-4.207844579852134</v>
      </c>
      <c r="Q1382" s="30">
        <v>39.590779020047371</v>
      </c>
      <c r="R1382" s="30">
        <v>-9.9886402816862905</v>
      </c>
      <c r="S1382" s="30">
        <v>-0.15982111342049143</v>
      </c>
      <c r="T1382" s="30">
        <v>3.729574174994181E-2</v>
      </c>
    </row>
    <row r="1383" spans="12:20" x14ac:dyDescent="0.25">
      <c r="L1383" t="s">
        <v>90</v>
      </c>
      <c r="M1383" t="s">
        <v>92</v>
      </c>
      <c r="O1383" s="30">
        <v>-7.5793522288863571</v>
      </c>
      <c r="P1383" s="30">
        <v>-4.0007989414826728</v>
      </c>
      <c r="Q1383" s="30">
        <v>46.546425002273651</v>
      </c>
      <c r="R1383" s="30">
        <v>-7.7844305683787693</v>
      </c>
      <c r="S1383" s="30">
        <v>-0.44087985203480501</v>
      </c>
      <c r="T1383" s="30">
        <v>0.1125997979649454</v>
      </c>
    </row>
    <row r="1384" spans="12:20" x14ac:dyDescent="0.25">
      <c r="L1384" t="s">
        <v>90</v>
      </c>
      <c r="M1384" t="s">
        <v>93</v>
      </c>
      <c r="O1384" s="30">
        <v>1.4157045262775343</v>
      </c>
      <c r="P1384" s="30">
        <v>-8.1880995755415302</v>
      </c>
      <c r="Q1384" s="30">
        <v>31.47124074154636</v>
      </c>
      <c r="R1384" s="30">
        <v>5.3719951026150961</v>
      </c>
      <c r="S1384" s="30">
        <v>-9.483309479280484</v>
      </c>
      <c r="T1384" s="30">
        <v>-8.4942710198821714E-2</v>
      </c>
    </row>
    <row r="1385" spans="12:20" x14ac:dyDescent="0.25">
      <c r="L1385" t="s">
        <v>90</v>
      </c>
      <c r="M1385" t="s">
        <v>94</v>
      </c>
      <c r="O1385" s="30">
        <v>-3.680468123759796</v>
      </c>
      <c r="P1385" s="30">
        <v>-5.9895897196866832</v>
      </c>
      <c r="Q1385" s="30">
        <v>40.445434502156132</v>
      </c>
      <c r="R1385" s="30">
        <v>-3.6402343369074499</v>
      </c>
      <c r="S1385" s="30">
        <v>-6.1354736367180918</v>
      </c>
      <c r="T1385" s="30">
        <v>2.9613357744192755E-3</v>
      </c>
    </row>
    <row r="1386" spans="12:20" x14ac:dyDescent="0.25">
      <c r="L1386" t="s">
        <v>90</v>
      </c>
      <c r="M1386" t="s">
        <v>95</v>
      </c>
      <c r="O1386" s="30">
        <v>-18.384317761211602</v>
      </c>
      <c r="P1386" s="30">
        <v>-12.431789544726387</v>
      </c>
      <c r="Q1386" s="30">
        <v>-21.935570556330781</v>
      </c>
      <c r="R1386" s="30">
        <v>18.528716273294442</v>
      </c>
      <c r="S1386" s="30">
        <v>10.911199008856743</v>
      </c>
      <c r="T1386" s="30">
        <v>-0.22957402923453873</v>
      </c>
    </row>
    <row r="1387" spans="12:20" x14ac:dyDescent="0.25">
      <c r="L1387" t="s">
        <v>90</v>
      </c>
      <c r="M1387" t="s">
        <v>96</v>
      </c>
      <c r="O1387" s="30">
        <v>-23.48193018985782</v>
      </c>
      <c r="P1387" s="30">
        <v>-10.204221641392927</v>
      </c>
      <c r="Q1387" s="30">
        <v>-12.625579189619499</v>
      </c>
      <c r="R1387" s="30">
        <v>9.6067280776563475</v>
      </c>
      <c r="S1387" s="30">
        <v>14.263141172366808</v>
      </c>
      <c r="T1387" s="30">
        <v>-0.14081127024662729</v>
      </c>
    </row>
    <row r="1388" spans="12:20" x14ac:dyDescent="0.25">
      <c r="L1388" t="s">
        <v>90</v>
      </c>
      <c r="M1388" t="s">
        <v>97</v>
      </c>
      <c r="O1388" s="30">
        <v>5.0322912242407858</v>
      </c>
      <c r="P1388" s="30">
        <v>-11.126821637748527</v>
      </c>
      <c r="Q1388" s="30">
        <v>25.438093491351573</v>
      </c>
      <c r="R1388" s="30">
        <v>12.428772049495542</v>
      </c>
      <c r="S1388" s="30">
        <v>-8.6277905704742164</v>
      </c>
      <c r="T1388" s="30">
        <v>-0.12800796545380053</v>
      </c>
    </row>
    <row r="1389" spans="12:20" x14ac:dyDescent="0.25">
      <c r="L1389" t="s">
        <v>90</v>
      </c>
      <c r="M1389" t="s">
        <v>98</v>
      </c>
      <c r="O1389" s="30">
        <v>0.36659433452200657</v>
      </c>
      <c r="P1389" s="30">
        <v>-13.546749198278071</v>
      </c>
      <c r="Q1389" s="30">
        <v>40.292955060220258</v>
      </c>
      <c r="R1389" s="30">
        <v>19.454548181150432</v>
      </c>
      <c r="S1389" s="30">
        <v>-5.8562832170976957</v>
      </c>
      <c r="T1389" s="30">
        <v>5.1437328942100888E-2</v>
      </c>
    </row>
    <row r="1390" spans="12:20" x14ac:dyDescent="0.25">
      <c r="L1390" t="s">
        <v>90</v>
      </c>
      <c r="M1390" t="s">
        <v>99</v>
      </c>
      <c r="O1390" s="30">
        <v>9.7615928473366527</v>
      </c>
      <c r="P1390" s="30">
        <v>0.89444586039925233</v>
      </c>
      <c r="Q1390" s="30">
        <v>11.928980021194098</v>
      </c>
      <c r="R1390" s="30">
        <v>-45.571361388008732</v>
      </c>
      <c r="S1390" s="30">
        <v>-11.642694686911272</v>
      </c>
      <c r="T1390" s="30">
        <v>-0.31488468754997023</v>
      </c>
    </row>
    <row r="1391" spans="12:20" x14ac:dyDescent="0.25">
      <c r="L1391" t="s">
        <v>90</v>
      </c>
      <c r="M1391" t="s">
        <v>100</v>
      </c>
      <c r="O1391" s="30">
        <v>5.2548312524066079</v>
      </c>
      <c r="P1391" s="30">
        <v>8.5765284194951281</v>
      </c>
      <c r="Q1391" s="30">
        <v>47.845699628261762</v>
      </c>
      <c r="R1391" s="30">
        <v>-62.468466074219265</v>
      </c>
      <c r="S1391" s="30">
        <v>-9.0410861979918469</v>
      </c>
      <c r="T1391" s="30">
        <v>-9.7121435820984064E-2</v>
      </c>
    </row>
    <row r="1392" spans="12:20" x14ac:dyDescent="0.25">
      <c r="L1392" t="s">
        <v>90</v>
      </c>
      <c r="M1392" t="s">
        <v>101</v>
      </c>
      <c r="O1392" s="30">
        <v>0.70747828343777097</v>
      </c>
      <c r="P1392" s="30">
        <v>-7.5830284376031294</v>
      </c>
      <c r="Q1392" s="30">
        <v>39.238840551622744</v>
      </c>
      <c r="R1392" s="30">
        <v>6.0401412774924799</v>
      </c>
      <c r="S1392" s="30">
        <v>-8.8320193813087968</v>
      </c>
      <c r="T1392" s="30">
        <v>2.5851912110582335E-3</v>
      </c>
    </row>
    <row r="1393" spans="12:20" x14ac:dyDescent="0.25">
      <c r="L1393" t="s">
        <v>90</v>
      </c>
      <c r="M1393" t="s">
        <v>102</v>
      </c>
      <c r="O1393" s="30">
        <v>-3.879077101595827</v>
      </c>
      <c r="P1393" s="30">
        <v>-5.6043695673337668</v>
      </c>
      <c r="Q1393" s="30">
        <v>47.315614936171542</v>
      </c>
      <c r="R1393" s="30">
        <v>-2.0708652180778127</v>
      </c>
      <c r="S1393" s="30">
        <v>-5.8189671230026461</v>
      </c>
      <c r="T1393" s="30">
        <v>8.169883258697512E-2</v>
      </c>
    </row>
    <row r="1394" spans="12:20" x14ac:dyDescent="0.25">
      <c r="L1394" t="s">
        <v>90</v>
      </c>
      <c r="M1394" t="s">
        <v>103</v>
      </c>
      <c r="O1394" s="30">
        <v>-17.112541775302454</v>
      </c>
      <c r="P1394" s="30">
        <v>-11.402349409869499</v>
      </c>
      <c r="Q1394" s="30">
        <v>-8.8272896164666808</v>
      </c>
      <c r="R1394" s="30">
        <v>17.881190331103895</v>
      </c>
      <c r="S1394" s="30">
        <v>9.5230382580147062</v>
      </c>
      <c r="T1394" s="30">
        <v>-0.12758299592108713</v>
      </c>
    </row>
    <row r="1395" spans="12:20" x14ac:dyDescent="0.25">
      <c r="L1395" t="s">
        <v>90</v>
      </c>
      <c r="M1395" t="s">
        <v>104</v>
      </c>
      <c r="O1395" s="30">
        <v>-21.700392961084045</v>
      </c>
      <c r="P1395" s="30">
        <v>-9.3975382968693868</v>
      </c>
      <c r="Q1395" s="30">
        <v>-0.44829738642652944</v>
      </c>
      <c r="R1395" s="30">
        <v>9.8514009550296038</v>
      </c>
      <c r="S1395" s="30">
        <v>12.539786205173765</v>
      </c>
      <c r="T1395" s="30">
        <v>-4.7696512831966791E-2</v>
      </c>
    </row>
    <row r="1396" spans="12:20" x14ac:dyDescent="0.25">
      <c r="L1396" t="s">
        <v>90</v>
      </c>
      <c r="M1396" t="s">
        <v>105</v>
      </c>
      <c r="O1396" s="30">
        <v>3.9624063116046973</v>
      </c>
      <c r="P1396" s="30">
        <v>-10.227878293589425</v>
      </c>
      <c r="Q1396" s="30">
        <v>33.80900802644743</v>
      </c>
      <c r="R1396" s="30">
        <v>12.391240529684879</v>
      </c>
      <c r="S1396" s="30">
        <v>-8.0620523633831578</v>
      </c>
      <c r="T1396" s="30">
        <v>-3.6173538518422678E-2</v>
      </c>
    </row>
    <row r="1397" spans="12:20" x14ac:dyDescent="0.25">
      <c r="L1397" t="s">
        <v>90</v>
      </c>
      <c r="M1397" t="s">
        <v>106</v>
      </c>
      <c r="O1397" s="30">
        <v>-0.23672088914220416</v>
      </c>
      <c r="P1397" s="30">
        <v>-12.405813098066016</v>
      </c>
      <c r="Q1397" s="30">
        <v>47.178383438429258</v>
      </c>
      <c r="R1397" s="30">
        <v>18.714439048174285</v>
      </c>
      <c r="S1397" s="30">
        <v>-5.567695745344289</v>
      </c>
      <c r="T1397" s="30">
        <v>0.12532722643788857</v>
      </c>
    </row>
    <row r="1398" spans="12:20" x14ac:dyDescent="0.25">
      <c r="L1398" t="s">
        <v>90</v>
      </c>
      <c r="M1398" t="s">
        <v>107</v>
      </c>
      <c r="O1398" s="30">
        <v>8.2187777723909772</v>
      </c>
      <c r="P1398" s="30">
        <v>0.59126245474357519</v>
      </c>
      <c r="Q1398" s="30">
        <v>21.650805903305706</v>
      </c>
      <c r="R1398" s="30">
        <v>-39.808879564068967</v>
      </c>
      <c r="S1398" s="30">
        <v>-10.775466068176506</v>
      </c>
      <c r="T1398" s="30">
        <v>-0.20436258840497543</v>
      </c>
    </row>
    <row r="1399" spans="12:20" x14ac:dyDescent="0.25">
      <c r="L1399" t="s">
        <v>90</v>
      </c>
      <c r="M1399" t="s">
        <v>108</v>
      </c>
      <c r="O1399" s="30">
        <v>4.1626923369539357</v>
      </c>
      <c r="P1399" s="30">
        <v>7.505136757929864</v>
      </c>
      <c r="Q1399" s="30">
        <v>53.975853549666603</v>
      </c>
      <c r="R1399" s="30">
        <v>-55.016273781658441</v>
      </c>
      <c r="S1399" s="30">
        <v>-8.4340184281490256</v>
      </c>
      <c r="T1399" s="30">
        <v>-8.3756618488878866E-3</v>
      </c>
    </row>
    <row r="1400" spans="12:20" x14ac:dyDescent="0.25">
      <c r="L1400" t="s">
        <v>90</v>
      </c>
      <c r="M1400" t="s">
        <v>109</v>
      </c>
      <c r="O1400" s="30">
        <v>1.6069839589541595</v>
      </c>
      <c r="P1400" s="30">
        <v>-8.0017585010090144</v>
      </c>
      <c r="Q1400" s="30">
        <v>37.731322125550015</v>
      </c>
      <c r="R1400" s="30">
        <v>7.3557838445918655</v>
      </c>
      <c r="S1400" s="30">
        <v>-9.7362623440333653</v>
      </c>
      <c r="T1400" s="30">
        <v>-1.7169059605318466E-2</v>
      </c>
    </row>
    <row r="1401" spans="12:20" x14ac:dyDescent="0.25">
      <c r="L1401" t="s">
        <v>90</v>
      </c>
      <c r="M1401" t="s">
        <v>110</v>
      </c>
      <c r="O1401" s="30">
        <v>-3.4891886910831711</v>
      </c>
      <c r="P1401" s="30">
        <v>-5.8032486451541683</v>
      </c>
      <c r="Q1401" s="30">
        <v>46.705515886159787</v>
      </c>
      <c r="R1401" s="30">
        <v>-1.6564455949306809</v>
      </c>
      <c r="S1401" s="30">
        <v>-6.3884265014709749</v>
      </c>
      <c r="T1401" s="30">
        <v>7.0734986367922525E-2</v>
      </c>
    </row>
    <row r="1402" spans="12:20" x14ac:dyDescent="0.25">
      <c r="L1402" t="s">
        <v>90</v>
      </c>
      <c r="M1402" t="s">
        <v>111</v>
      </c>
      <c r="O1402" s="30">
        <v>-18.193038328534978</v>
      </c>
      <c r="P1402" s="30">
        <v>-12.245448470193873</v>
      </c>
      <c r="Q1402" s="30">
        <v>-15.675489172327126</v>
      </c>
      <c r="R1402" s="30">
        <v>20.512505015271216</v>
      </c>
      <c r="S1402" s="30">
        <v>10.658246144103861</v>
      </c>
      <c r="T1402" s="30">
        <v>-0.16180037864103547</v>
      </c>
    </row>
    <row r="1403" spans="12:20" x14ac:dyDescent="0.25">
      <c r="L1403" t="s">
        <v>90</v>
      </c>
      <c r="M1403" t="s">
        <v>112</v>
      </c>
      <c r="O1403" s="30">
        <v>-23.29065075718119</v>
      </c>
      <c r="P1403" s="30">
        <v>-10.017880566860413</v>
      </c>
      <c r="Q1403" s="30">
        <v>-6.365497805615842</v>
      </c>
      <c r="R1403" s="30">
        <v>11.590516819633116</v>
      </c>
      <c r="S1403" s="30">
        <v>14.010188307613927</v>
      </c>
      <c r="T1403" s="30">
        <v>-7.3037619653124039E-2</v>
      </c>
    </row>
    <row r="1404" spans="12:20" x14ac:dyDescent="0.25">
      <c r="L1404" t="s">
        <v>90</v>
      </c>
      <c r="M1404" t="s">
        <v>113</v>
      </c>
      <c r="O1404" s="30">
        <v>5.2235706569174107</v>
      </c>
      <c r="P1404" s="30">
        <v>-10.940480563216012</v>
      </c>
      <c r="Q1404" s="30">
        <v>31.698174875355228</v>
      </c>
      <c r="R1404" s="30">
        <v>14.412560791472313</v>
      </c>
      <c r="S1404" s="30">
        <v>-8.8807434352270977</v>
      </c>
      <c r="T1404" s="30">
        <v>-6.0234314860297282E-2</v>
      </c>
    </row>
    <row r="1405" spans="12:20" x14ac:dyDescent="0.25">
      <c r="L1405" t="s">
        <v>90</v>
      </c>
      <c r="M1405" t="s">
        <v>114</v>
      </c>
      <c r="O1405" s="30">
        <v>0.5578737671986318</v>
      </c>
      <c r="P1405" s="30">
        <v>-13.360408123745556</v>
      </c>
      <c r="Q1405" s="30">
        <v>46.553036444223913</v>
      </c>
      <c r="R1405" s="30">
        <v>21.438336923127203</v>
      </c>
      <c r="S1405" s="30">
        <v>-6.109236081850578</v>
      </c>
      <c r="T1405" s="30">
        <v>0.11921097953560413</v>
      </c>
    </row>
    <row r="1406" spans="12:20" x14ac:dyDescent="0.25">
      <c r="L1406" t="s">
        <v>90</v>
      </c>
      <c r="M1406" t="s">
        <v>115</v>
      </c>
      <c r="O1406" s="30">
        <v>9.9528722800132758</v>
      </c>
      <c r="P1406" s="30">
        <v>1.0807869349317678</v>
      </c>
      <c r="Q1406" s="30">
        <v>18.189061405197755</v>
      </c>
      <c r="R1406" s="30">
        <v>-43.587572646031965</v>
      </c>
      <c r="S1406" s="30">
        <v>-11.895647551664151</v>
      </c>
      <c r="T1406" s="30">
        <v>-0.24711103695646697</v>
      </c>
    </row>
    <row r="1407" spans="12:20" x14ac:dyDescent="0.25">
      <c r="L1407" t="s">
        <v>90</v>
      </c>
      <c r="M1407" t="s">
        <v>116</v>
      </c>
      <c r="O1407" s="30">
        <v>5.4461106850832328</v>
      </c>
      <c r="P1407" s="30">
        <v>8.7628694940276421</v>
      </c>
      <c r="Q1407" s="30">
        <v>54.105781012265417</v>
      </c>
      <c r="R1407" s="30">
        <v>-60.484677332242498</v>
      </c>
      <c r="S1407" s="30">
        <v>-9.2940390627447282</v>
      </c>
      <c r="T1407" s="30">
        <v>-2.9347785227480817E-2</v>
      </c>
    </row>
  </sheetData>
  <autoFilter ref="J2:T1299" xr:uid="{AE0A230E-75D1-4D82-902A-1C102D0929B6}"/>
  <mergeCells count="11">
    <mergeCell ref="AB18:AB19"/>
    <mergeCell ref="AC18:AC19"/>
    <mergeCell ref="L2:L3"/>
    <mergeCell ref="AA1:AI1"/>
    <mergeCell ref="AB2:AB3"/>
    <mergeCell ref="AC2:AC3"/>
    <mergeCell ref="A2:A3"/>
    <mergeCell ref="A1:D1"/>
    <mergeCell ref="J1:T1"/>
    <mergeCell ref="M2:M3"/>
    <mergeCell ref="AA17:AI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Input</vt:lpstr>
      <vt:lpstr>SLSLOADCASE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2024-03-13T14:16:25Z</dcterms:created>
  <dcterms:modified xsi:type="dcterms:W3CDTF">2024-03-30T03:30:24Z</dcterms:modified>
</cp:coreProperties>
</file>