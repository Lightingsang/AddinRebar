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D:\"/>
    </mc:Choice>
  </mc:AlternateContent>
  <xr:revisionPtr revIDLastSave="0" documentId="13_ncr:1_{8B05E60C-6D5C-49CB-BF82-C3195D25D607}" xr6:coauthVersionLast="47" xr6:coauthVersionMax="47" xr10:uidLastSave="{00000000-0000-0000-0000-000000000000}"/>
  <bookViews>
    <workbookView xWindow="-120" yWindow="-120" windowWidth="29040" windowHeight="15720" activeTab="1" xr2:uid="{00000000-000D-0000-FFFF-FFFF00000000}"/>
  </bookViews>
  <sheets>
    <sheet name="Data" sheetId="1" r:id="rId1"/>
    <sheet name="Cal" sheetId="6" r:id="rId2"/>
  </sheets>
  <functionGroups builtInGroupCount="19"/>
  <definedNames>
    <definedName name="_xlnm._FilterDatabase" localSheetId="1" hidden="1">Cal!$AA$11:$CA$14156</definedName>
    <definedName name="_xlnm.Print_Area" localSheetId="1">Cal!$B$11:$N$33</definedName>
    <definedName name="_xlnm.Print_Area" localSheetId="0">Data!$B$1:$N$16</definedName>
    <definedName name="SLSLOADCAS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22" i="6" l="1"/>
  <c r="F59" i="6" l="1"/>
  <c r="K97" i="6"/>
  <c r="M94" i="6"/>
  <c r="L94" i="6"/>
  <c r="K94" i="6"/>
  <c r="J94" i="6"/>
  <c r="N93" i="6"/>
  <c r="N92" i="6"/>
  <c r="N83" i="6"/>
  <c r="N84" i="6" s="1"/>
  <c r="N86" i="6" s="1"/>
  <c r="N82" i="6"/>
  <c r="N85" i="6" s="1"/>
  <c r="BZ23" i="6"/>
  <c r="BJ23" i="6"/>
  <c r="C28" i="6"/>
  <c r="AD15" i="6"/>
  <c r="AE17" i="6"/>
  <c r="AE16" i="6"/>
  <c r="BN23" i="6"/>
  <c r="BO23" i="6"/>
  <c r="BT23" i="6"/>
  <c r="N96" i="6" l="1"/>
  <c r="N94" i="6"/>
  <c r="N97" i="6" s="1"/>
  <c r="N88" i="6"/>
  <c r="N87" i="6"/>
  <c r="C77" i="6"/>
  <c r="F54" i="6"/>
  <c r="N98" i="6" l="1"/>
  <c r="B43" i="1"/>
  <c r="B44" i="1" s="1"/>
  <c r="B45" i="1" s="1"/>
  <c r="B46" i="1" s="1"/>
  <c r="B47" i="1" s="1"/>
  <c r="B48" i="1" s="1"/>
  <c r="B49" i="1" s="1"/>
  <c r="B50" i="1" s="1"/>
  <c r="B51" i="1" s="1"/>
  <c r="B52" i="1" s="1"/>
  <c r="B53" i="1" s="1"/>
  <c r="B54" i="1" s="1"/>
  <c r="B55" i="1" s="1"/>
  <c r="B56" i="1" s="1"/>
  <c r="B57" i="1" s="1"/>
  <c r="B58" i="1" s="1"/>
  <c r="B59" i="1" s="1"/>
  <c r="B60" i="1" s="1"/>
  <c r="B61" i="1" s="1"/>
  <c r="B62" i="1" s="1"/>
  <c r="E41" i="1"/>
  <c r="F41" i="1" s="1"/>
  <c r="G41" i="1" s="1"/>
  <c r="H41" i="1" s="1"/>
  <c r="I41" i="1" s="1"/>
  <c r="J41" i="1" s="1"/>
  <c r="K41" i="1" s="1"/>
  <c r="L41" i="1" s="1"/>
  <c r="M41" i="1" s="1"/>
  <c r="N41" i="1" s="1"/>
  <c r="O41" i="1" s="1"/>
  <c r="P41" i="1" s="1"/>
  <c r="Q41" i="1" s="1"/>
  <c r="R41" i="1" s="1"/>
  <c r="S41" i="1" s="1"/>
  <c r="T41" i="1" s="1"/>
  <c r="U41" i="1" s="1"/>
  <c r="V41" i="1" s="1"/>
  <c r="W41" i="1" s="1"/>
  <c r="X41" i="1" s="1"/>
  <c r="Y41" i="1" s="1"/>
  <c r="Z41" i="1" s="1"/>
  <c r="N99" i="6" l="1"/>
  <c r="N100" i="6"/>
  <c r="DD15" i="6"/>
  <c r="F20" i="6"/>
  <c r="F56" i="6" s="1"/>
  <c r="F58" i="6" s="1"/>
  <c r="Z11" i="6"/>
  <c r="J28" i="6" l="1"/>
  <c r="L28" i="6" s="1"/>
  <c r="D70" i="6"/>
  <c r="H28" i="6"/>
  <c r="I28" i="6"/>
  <c r="K28" i="6" s="1"/>
  <c r="AH15" i="6"/>
  <c r="DH15" i="6" s="1"/>
  <c r="AH14" i="6"/>
  <c r="D28" i="6"/>
  <c r="D23" i="1"/>
  <c r="D22" i="1"/>
  <c r="D21" i="1"/>
  <c r="D20" i="1"/>
  <c r="D38" i="1"/>
  <c r="D37" i="1"/>
  <c r="D36" i="1"/>
  <c r="D35" i="1"/>
  <c r="D34" i="1"/>
  <c r="D33" i="1"/>
  <c r="D32" i="1"/>
  <c r="D31" i="1"/>
  <c r="D30" i="1"/>
  <c r="D29" i="1"/>
  <c r="D28" i="1"/>
  <c r="D27" i="1"/>
  <c r="D26" i="1"/>
  <c r="D25" i="1"/>
  <c r="D24" i="1"/>
  <c r="DH14" i="6" l="1"/>
  <c r="E73" i="6"/>
  <c r="I58" i="6"/>
  <c r="G58" i="6" s="1"/>
  <c r="L50" i="6"/>
  <c r="L45" i="6"/>
  <c r="L36" i="6"/>
  <c r="N28" i="6"/>
  <c r="B73" i="6" s="1"/>
  <c r="M28" i="6"/>
  <c r="F73" i="6" a="1"/>
  <c r="L49" i="6" a="1"/>
  <c r="B70" i="6" l="1"/>
  <c r="D77" i="6"/>
  <c r="E77" i="6" s="1"/>
  <c r="F77" i="6" s="1"/>
  <c r="F73" i="6"/>
  <c r="L49" i="6"/>
  <c r="G73" i="6" s="1"/>
  <c r="E70" i="6"/>
  <c r="I77" i="6" s="1"/>
  <c r="C73" i="6"/>
  <c r="AM23" i="6"/>
  <c r="CC23" i="6" s="1"/>
  <c r="AH17" i="6"/>
  <c r="C70" i="6" l="1"/>
  <c r="G77" i="6" s="1"/>
  <c r="L62" i="6"/>
  <c r="BA15" i="6"/>
  <c r="EA15" i="6" s="1"/>
  <c r="DH17" i="6"/>
  <c r="H77" i="6"/>
  <c r="J73" i="6"/>
  <c r="D54" i="6"/>
  <c r="L54" i="6" s="1"/>
  <c r="M73" i="6"/>
  <c r="D73" i="6"/>
  <c r="AP23" i="6"/>
  <c r="AN23" i="6"/>
  <c r="AS23" i="6"/>
  <c r="E28" i="6"/>
  <c r="AO23" i="6"/>
  <c r="AH16" i="6"/>
  <c r="BU23" i="6"/>
  <c r="BV23" i="6" s="1"/>
  <c r="F70" i="6" a="1"/>
  <c r="DH16" i="6" l="1"/>
  <c r="BC23" i="6"/>
  <c r="CG23" i="6"/>
  <c r="CH23" i="6" s="1"/>
  <c r="J77" i="6"/>
  <c r="I56" i="6" s="1"/>
  <c r="G56" i="6" s="1"/>
  <c r="K73" i="6"/>
  <c r="AR23" i="6"/>
  <c r="BE23" i="6" s="1"/>
  <c r="AU23" i="6"/>
  <c r="BS23" i="6" s="1"/>
  <c r="AQ23" i="6"/>
  <c r="BD23" i="6" s="1"/>
  <c r="AT23" i="6"/>
  <c r="N54" i="6"/>
  <c r="G54" i="6"/>
  <c r="H73" i="6"/>
  <c r="L73" i="6" s="1"/>
  <c r="F70" i="6"/>
  <c r="G70" i="6" s="1"/>
  <c r="L37" i="6"/>
  <c r="BA16" i="6"/>
  <c r="EA16" i="6" s="1"/>
  <c r="BA14" i="6"/>
  <c r="H70" i="6" a="1"/>
  <c r="CE23" i="6"/>
  <c r="DE17" i="6" l="1"/>
  <c r="EA14" i="6"/>
  <c r="N73" i="6"/>
  <c r="D49" i="6" s="1"/>
  <c r="L51" i="6" s="1"/>
  <c r="L52" i="6" s="1"/>
  <c r="N52" i="6" s="1"/>
  <c r="DE16" i="6"/>
  <c r="CD23" i="6"/>
  <c r="BM23" i="6"/>
  <c r="N56" i="6"/>
  <c r="BF23" i="6"/>
  <c r="BG23" i="6" s="1"/>
  <c r="BH23" i="6" s="1"/>
  <c r="H70" i="6"/>
  <c r="L46" i="6" s="1"/>
  <c r="L47" i="6" s="1"/>
  <c r="N47" i="6" s="1"/>
  <c r="L38" i="6"/>
  <c r="L39" i="6"/>
  <c r="CF23" i="6" l="1"/>
  <c r="CA23" i="6"/>
  <c r="CB23" i="6" s="1"/>
  <c r="BW23" i="6"/>
  <c r="BX23" i="6" s="1"/>
  <c r="L44" i="6"/>
  <c r="E61" i="6" s="1"/>
  <c r="H61" i="6" s="1"/>
  <c r="L63" i="6" s="1"/>
  <c r="L64" i="6" s="1"/>
  <c r="N64" i="6" s="1"/>
  <c r="L40" i="6"/>
  <c r="L41" i="6" s="1"/>
  <c r="N41" i="6" s="1"/>
  <c r="BP23" i="6" l="1"/>
  <c r="BQ23" i="6" s="1"/>
  <c r="BR23" i="6" s="1"/>
  <c r="BY23"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DELL</author>
    <author>PC</author>
  </authors>
  <commentList>
    <comment ref="Z11" authorId="0" shapeId="0" xr:uid="{00000000-0006-0000-0100-000001000000}">
      <text>
        <r>
          <rPr>
            <b/>
            <sz val="9"/>
            <color indexed="81"/>
            <rFont val="Tahoma"/>
            <family val="2"/>
          </rPr>
          <t>HVMT:
Cấm xóa</t>
        </r>
      </text>
    </comment>
    <comment ref="F15" authorId="0" shapeId="0" xr:uid="{00000000-0006-0000-0100-000002000000}">
      <text>
        <r>
          <rPr>
            <b/>
            <sz val="9"/>
            <color indexed="81"/>
            <rFont val="Tahoma"/>
            <family val="2"/>
          </rPr>
          <t>HVMT:
- Ô này chỉ để bổ sung thông tin chiều cao tổng thể cột
- Chiều cao cột để tính toán ở mục 3 - Nội lực, ô [F34]</t>
        </r>
      </text>
    </comment>
    <comment ref="F16" authorId="0" shapeId="0" xr:uid="{00000000-0006-0000-0100-000003000000}">
      <text>
        <r>
          <rPr>
            <b/>
            <sz val="9"/>
            <color indexed="81"/>
            <rFont val="Tahoma"/>
            <family val="2"/>
          </rPr>
          <t>HVMT:
- Ô này chỉ để bổ sung thông tin chiều cao tổng thể cột
- Chiều cao cột để tính toán ở mục 3 - Nội lực, ô [F34]</t>
        </r>
      </text>
    </comment>
    <comment ref="F22" authorId="1" shapeId="0" xr:uid="{00000000-0006-0000-0100-000004000000}">
      <text>
        <r>
          <rPr>
            <b/>
            <sz val="9"/>
            <color indexed="81"/>
            <rFont val="Tahoma"/>
            <family val="2"/>
          </rPr>
          <t>[HVMT]:
- Chiều dài tính toán cột trong mặt phẳng khung
- Chiều dài tính toán cột mục 7.5.2.1</t>
        </r>
        <r>
          <rPr>
            <sz val="9"/>
            <color indexed="81"/>
            <rFont val="Tahoma"/>
            <family val="2"/>
          </rPr>
          <t xml:space="preserve">
</t>
        </r>
      </text>
    </comment>
    <comment ref="F23" authorId="1" shapeId="0" xr:uid="{00000000-0006-0000-0100-000005000000}">
      <text>
        <r>
          <rPr>
            <b/>
            <sz val="9"/>
            <color indexed="81"/>
            <rFont val="Tahoma"/>
            <family val="2"/>
          </rPr>
          <t>[HVMT]:</t>
        </r>
        <r>
          <rPr>
            <sz val="9"/>
            <color indexed="81"/>
            <rFont val="Tahoma"/>
            <family val="2"/>
          </rPr>
          <t xml:space="preserve">
Khoảng cách giữa 2 vị trí giằng cột theo phương ngoài mặt phẳng khung</t>
        </r>
      </text>
    </comment>
    <comment ref="I73" authorId="0" shapeId="0" xr:uid="{00000000-0006-0000-0100-000006000000}">
      <text>
        <r>
          <rPr>
            <b/>
            <sz val="9"/>
            <color indexed="81"/>
            <rFont val="Tahoma"/>
            <family val="2"/>
          </rPr>
          <t>[HVMT]:Theo phụ lục E, Min phib = 0.85; Max phib = 1. Thiên về an toàn nên chọn phib= 0.85</t>
        </r>
        <r>
          <rPr>
            <sz val="9"/>
            <color indexed="81"/>
            <rFont val="Tahoma"/>
            <family val="2"/>
          </rPr>
          <t xml:space="preserve">
</t>
        </r>
      </text>
    </comment>
    <comment ref="B77" authorId="0" shapeId="0" xr:uid="{00000000-0006-0000-0100-000007000000}">
      <text>
        <r>
          <rPr>
            <sz val="9"/>
            <color indexed="81"/>
            <rFont val="Tahoma"/>
            <family val="2"/>
          </rPr>
          <t xml:space="preserve">[HVMT]: Giả sử hệ số chiều dài tính toán cho cột nén đúng tâm = 1 (Bảng D.1 Liên kết khớp)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<sst xmlns="http://schemas.openxmlformats.org/spreadsheetml/2006/main" count="522" uniqueCount="265">
  <si>
    <t>(Theo TCVN 5575-20xx)</t>
  </si>
  <si>
    <t>YÊU CẦU CHUNG - TÍNH TOÁN CẤU KIỆN CHỊU UỐN</t>
  </si>
  <si>
    <r>
      <t>Tùy thuộc vào công năng sử dụng và điều kiện sử dụng của kết cấu, việc tính toán cấu kiện chịu uốn (dầm) cần được thực hiện không kể đến hoặc có thể kể đến biến dạng dẻo phù hợp với phân chia cấu kiện thành ba cấp theo mục 4.2.7 TCVN 5575-20xx.
 - Dầm cấp 1: Được sử dụng đối với tất cả các loại tải trọng và được tính toán trong giới hạn biến dạng đàn hồi.
 - Dầm cấp 2 và 3: Được sử dụng đối với tải trọng tĩnh và được tính toán có kể đến sự phát triển biến dạng dẻo.
 - Dầm đỡ cầu trục thuộc các nhóm chế độ làm việc từ A1 đến A8 theo TCVN 8590-1:2010 Khi tính toán độ bền cần được xếp vào cấp 1.
 - Dầm hai loại thép cần được xếp vào cấp 2 và được tính toán có kể đến biến dạng dẻo hạn chế trong ban bụng. Giá trị biến dạng dẻo hạn chế cần được xác định tại thời điểm khi ứng suất đạt tới cường độ tính toán f</t>
    </r>
    <r>
      <rPr>
        <vertAlign val="subscript"/>
        <sz val="10"/>
        <color theme="1"/>
        <rFont val="Calibri"/>
        <family val="2"/>
        <scheme val="minor"/>
      </rPr>
      <t>yf</t>
    </r>
    <r>
      <rPr>
        <sz val="10"/>
        <color theme="1"/>
        <rFont val="Calibri"/>
        <family val="2"/>
        <scheme val="minor"/>
      </rPr>
      <t xml:space="preserve"> trong các bản cánh làm bằng thép có cường độ cao hơn cường độ của thép làm bản bụng. </t>
    </r>
  </si>
  <si>
    <t>A. THÔNG TIN THIẾT KẾ</t>
  </si>
  <si>
    <t>Chiều dày bản bụng</t>
  </si>
  <si>
    <t>mm</t>
  </si>
  <si>
    <t>Mac Thép</t>
  </si>
  <si>
    <r>
      <t xml:space="preserve">S235 </t>
    </r>
    <r>
      <rPr>
        <sz val="10"/>
        <color theme="1"/>
        <rFont val="Calibri"/>
        <family val="2"/>
      </rPr>
      <t>≤ 40</t>
    </r>
  </si>
  <si>
    <r>
      <t xml:space="preserve">S235 </t>
    </r>
    <r>
      <rPr>
        <sz val="10"/>
        <color theme="1"/>
        <rFont val="Calibri"/>
        <family val="2"/>
      </rPr>
      <t>≤ 16</t>
    </r>
  </si>
  <si>
    <r>
      <t xml:space="preserve">S235 </t>
    </r>
    <r>
      <rPr>
        <sz val="10"/>
        <color theme="1"/>
        <rFont val="Calibri"/>
        <family val="2"/>
      </rPr>
      <t>≤ 63</t>
    </r>
  </si>
  <si>
    <r>
      <t xml:space="preserve">S235 </t>
    </r>
    <r>
      <rPr>
        <sz val="10"/>
        <color theme="1"/>
        <rFont val="Calibri"/>
        <family val="2"/>
      </rPr>
      <t xml:space="preserve">≤ </t>
    </r>
    <r>
      <rPr>
        <sz val="10"/>
        <color theme="1"/>
        <rFont val="Calibri"/>
        <family val="2"/>
        <scheme val="minor"/>
      </rPr>
      <t>80</t>
    </r>
  </si>
  <si>
    <r>
      <t xml:space="preserve">S235 </t>
    </r>
    <r>
      <rPr>
        <sz val="10"/>
        <color theme="1"/>
        <rFont val="Calibri"/>
        <family val="2"/>
      </rPr>
      <t>≤ 100</t>
    </r>
  </si>
  <si>
    <t>S275 ≤ 16</t>
  </si>
  <si>
    <t>S275 ≤ 40</t>
  </si>
  <si>
    <t>S275 ≤ 63</t>
  </si>
  <si>
    <t>S275 ≤ 80</t>
  </si>
  <si>
    <t>S275 ≤ 100</t>
  </si>
  <si>
    <t>S355 ≤ 16</t>
  </si>
  <si>
    <t>S355 ≤ 40</t>
  </si>
  <si>
    <t>S355 ≤ 63</t>
  </si>
  <si>
    <t>S355 ≤ 80</t>
  </si>
  <si>
    <t>S355 ≤ 100</t>
  </si>
  <si>
    <t>E</t>
  </si>
  <si>
    <t>Mpa</t>
  </si>
  <si>
    <r>
      <t>f</t>
    </r>
    <r>
      <rPr>
        <vertAlign val="subscript"/>
        <sz val="10"/>
        <color theme="1"/>
        <rFont val="Calibri"/>
        <family val="2"/>
        <scheme val="minor"/>
      </rPr>
      <t>y</t>
    </r>
  </si>
  <si>
    <t>Mác Thép</t>
  </si>
  <si>
    <r>
      <rPr>
        <sz val="10"/>
        <color theme="1"/>
        <rFont val="Symbol"/>
        <family val="1"/>
        <charset val="2"/>
      </rPr>
      <t xml:space="preserve"> g</t>
    </r>
    <r>
      <rPr>
        <vertAlign val="subscript"/>
        <sz val="10"/>
        <color theme="1"/>
        <rFont val="Calibri"/>
        <family val="2"/>
      </rPr>
      <t>m</t>
    </r>
  </si>
  <si>
    <r>
      <t>f</t>
    </r>
    <r>
      <rPr>
        <vertAlign val="subscript"/>
        <sz val="10"/>
        <color theme="1"/>
        <rFont val="Calibri"/>
        <family val="2"/>
        <scheme val="minor"/>
      </rPr>
      <t>v</t>
    </r>
  </si>
  <si>
    <t>1. Kích Thước</t>
  </si>
  <si>
    <t>A</t>
  </si>
  <si>
    <t>Đặc Trưng Hình Học</t>
  </si>
  <si>
    <t>Chiều cao bản bụng</t>
  </si>
  <si>
    <r>
      <t>cm</t>
    </r>
    <r>
      <rPr>
        <vertAlign val="superscript"/>
        <sz val="10"/>
        <color theme="1"/>
        <rFont val="Calibri"/>
        <family val="2"/>
        <scheme val="minor"/>
      </rPr>
      <t>4</t>
    </r>
  </si>
  <si>
    <r>
      <t>cm</t>
    </r>
    <r>
      <rPr>
        <vertAlign val="superscript"/>
        <sz val="10"/>
        <color theme="1"/>
        <rFont val="Calibri"/>
        <family val="2"/>
        <scheme val="minor"/>
      </rPr>
      <t>3</t>
    </r>
  </si>
  <si>
    <t>kN</t>
  </si>
  <si>
    <t>B. QUY TRÌNH TÍNH TOÁN</t>
  </si>
  <si>
    <t>Ứng suất pháp giới hạn</t>
  </si>
  <si>
    <t>Hệ số</t>
  </si>
  <si>
    <r>
      <rPr>
        <sz val="10"/>
        <color theme="1"/>
        <rFont val="Symbol"/>
        <family val="1"/>
        <charset val="2"/>
      </rPr>
      <t>g</t>
    </r>
    <r>
      <rPr>
        <vertAlign val="subscript"/>
        <sz val="10"/>
        <color theme="1"/>
        <rFont val="Calibri"/>
        <family val="2"/>
      </rPr>
      <t>c</t>
    </r>
  </si>
  <si>
    <t>®</t>
  </si>
  <si>
    <t>Ứng suất tương đương</t>
  </si>
  <si>
    <t>Mác thép</t>
  </si>
  <si>
    <t>E=</t>
  </si>
  <si>
    <t>A. THÔNG SỐ THIẾT KẾ</t>
  </si>
  <si>
    <t>B. TÍNH TOÁN</t>
  </si>
  <si>
    <t>Vị trí</t>
  </si>
  <si>
    <t xml:space="preserve"> s</t>
  </si>
  <si>
    <t>Ứng suất pháp tới hạn</t>
  </si>
  <si>
    <t>Ứng suất tiếp tới hạn</t>
  </si>
  <si>
    <t>FS</t>
  </si>
  <si>
    <t>Kiểm Tra Điều Kiện Bền</t>
  </si>
  <si>
    <t>Thông Số</t>
  </si>
  <si>
    <t>L</t>
  </si>
  <si>
    <t>(kNm)</t>
  </si>
  <si>
    <t>(kN)</t>
  </si>
  <si>
    <t>N</t>
  </si>
  <si>
    <t>T</t>
  </si>
  <si>
    <t>2. Vật Liệu - Đặc Trưng Hình Học</t>
  </si>
  <si>
    <t>3. Nội Lực</t>
  </si>
  <si>
    <t>MPa</t>
  </si>
  <si>
    <r>
      <t>cm</t>
    </r>
    <r>
      <rPr>
        <vertAlign val="superscript"/>
        <sz val="10"/>
        <color theme="1"/>
        <rFont val="Calibri"/>
        <family val="2"/>
        <scheme val="minor"/>
      </rPr>
      <t>2</t>
    </r>
  </si>
  <si>
    <t>h</t>
  </si>
  <si>
    <r>
      <t>f</t>
    </r>
    <r>
      <rPr>
        <b/>
        <vertAlign val="subscript"/>
        <sz val="10"/>
        <color theme="0"/>
        <rFont val="Calibri"/>
        <family val="2"/>
        <scheme val="minor"/>
      </rPr>
      <t>y</t>
    </r>
  </si>
  <si>
    <r>
      <t>f</t>
    </r>
    <r>
      <rPr>
        <b/>
        <vertAlign val="subscript"/>
        <sz val="10"/>
        <color theme="0"/>
        <rFont val="Calibri"/>
        <family val="2"/>
        <scheme val="minor"/>
      </rPr>
      <t>u</t>
    </r>
  </si>
  <si>
    <t>(mm)</t>
  </si>
  <si>
    <r>
      <t xml:space="preserve">Tỉ số </t>
    </r>
    <r>
      <rPr>
        <sz val="10"/>
        <color theme="1"/>
        <rFont val="Symbol"/>
        <family val="1"/>
        <charset val="2"/>
      </rPr>
      <t>s</t>
    </r>
    <r>
      <rPr>
        <sz val="10"/>
        <color theme="1"/>
        <rFont val="Calibri"/>
        <family val="2"/>
      </rPr>
      <t>/[</t>
    </r>
    <r>
      <rPr>
        <sz val="10"/>
        <color theme="1"/>
        <rFont val="Symbol"/>
        <family val="1"/>
        <charset val="2"/>
      </rPr>
      <t>s</t>
    </r>
    <r>
      <rPr>
        <sz val="10"/>
        <color theme="1"/>
        <rFont val="Calibri"/>
        <family val="2"/>
      </rPr>
      <t>]</t>
    </r>
  </si>
  <si>
    <t>h =</t>
  </si>
  <si>
    <r>
      <t>t</t>
    </r>
    <r>
      <rPr>
        <vertAlign val="subscript"/>
        <sz val="10"/>
        <color theme="1"/>
        <rFont val="Calibri"/>
        <family val="2"/>
        <scheme val="minor"/>
      </rPr>
      <t xml:space="preserve">w </t>
    </r>
    <r>
      <rPr>
        <sz val="10"/>
        <color theme="1"/>
        <rFont val="Calibri"/>
        <family val="2"/>
        <scheme val="minor"/>
      </rPr>
      <t>=</t>
    </r>
  </si>
  <si>
    <r>
      <t>h</t>
    </r>
    <r>
      <rPr>
        <vertAlign val="subscript"/>
        <sz val="10"/>
        <color theme="1"/>
        <rFont val="Calibri"/>
        <family val="2"/>
        <scheme val="minor"/>
      </rPr>
      <t xml:space="preserve">w </t>
    </r>
    <r>
      <rPr>
        <sz val="10"/>
        <color theme="1"/>
        <rFont val="Calibri"/>
        <family val="2"/>
        <scheme val="minor"/>
      </rPr>
      <t>=</t>
    </r>
  </si>
  <si>
    <t>(m)</t>
  </si>
  <si>
    <t>kNm</t>
  </si>
  <si>
    <t>Phần tử</t>
  </si>
  <si>
    <t>Tổ hợp</t>
  </si>
  <si>
    <r>
      <t>f</t>
    </r>
    <r>
      <rPr>
        <vertAlign val="subscript"/>
        <sz val="10"/>
        <rFont val="Calibri"/>
        <family val="2"/>
        <scheme val="minor"/>
      </rPr>
      <t>y</t>
    </r>
    <r>
      <rPr>
        <sz val="10"/>
        <rFont val="Calibri"/>
        <family val="2"/>
        <scheme val="minor"/>
      </rPr>
      <t>=</t>
    </r>
  </si>
  <si>
    <r>
      <t>f</t>
    </r>
    <r>
      <rPr>
        <vertAlign val="subscript"/>
        <sz val="10"/>
        <rFont val="Calibri"/>
        <family val="2"/>
        <scheme val="minor"/>
      </rPr>
      <t>v</t>
    </r>
    <r>
      <rPr>
        <sz val="10"/>
        <rFont val="Calibri"/>
        <family val="2"/>
        <scheme val="minor"/>
      </rPr>
      <t>=</t>
    </r>
  </si>
  <si>
    <r>
      <rPr>
        <sz val="10"/>
        <rFont val="Symbol"/>
        <family val="1"/>
        <charset val="2"/>
      </rPr>
      <t>g</t>
    </r>
    <r>
      <rPr>
        <vertAlign val="subscript"/>
        <sz val="10"/>
        <rFont val="Calibri"/>
        <family val="2"/>
        <scheme val="minor"/>
      </rPr>
      <t>c</t>
    </r>
    <r>
      <rPr>
        <sz val="10"/>
        <rFont val="Calibri"/>
        <family val="2"/>
        <scheme val="minor"/>
      </rPr>
      <t>=</t>
    </r>
  </si>
  <si>
    <r>
      <rPr>
        <sz val="10"/>
        <rFont val="Symbol"/>
        <family val="1"/>
        <charset val="2"/>
      </rPr>
      <t>g</t>
    </r>
    <r>
      <rPr>
        <vertAlign val="subscript"/>
        <sz val="10"/>
        <rFont val="Calibri"/>
        <family val="2"/>
        <scheme val="minor"/>
      </rPr>
      <t>m</t>
    </r>
    <r>
      <rPr>
        <sz val="10"/>
        <rFont val="Calibri"/>
        <family val="2"/>
        <scheme val="minor"/>
      </rPr>
      <t>=</t>
    </r>
  </si>
  <si>
    <r>
      <t>[</t>
    </r>
    <r>
      <rPr>
        <sz val="10"/>
        <rFont val="Symbol"/>
        <family val="1"/>
        <charset val="2"/>
      </rPr>
      <t>t</t>
    </r>
    <r>
      <rPr>
        <sz val="10"/>
        <rFont val="Calibri"/>
        <family val="2"/>
      </rPr>
      <t>]=</t>
    </r>
    <r>
      <rPr>
        <sz val="10"/>
        <rFont val="Calibri"/>
        <family val="2"/>
        <scheme val="minor"/>
      </rPr>
      <t>f</t>
    </r>
    <r>
      <rPr>
        <vertAlign val="subscript"/>
        <sz val="10"/>
        <rFont val="Calibri"/>
        <family val="2"/>
        <scheme val="minor"/>
      </rPr>
      <t>v</t>
    </r>
    <r>
      <rPr>
        <sz val="10"/>
        <rFont val="Symbol"/>
        <family val="1"/>
        <charset val="2"/>
      </rPr>
      <t>g</t>
    </r>
    <r>
      <rPr>
        <vertAlign val="subscript"/>
        <sz val="10"/>
        <rFont val="Calibri"/>
        <family val="2"/>
      </rPr>
      <t>c</t>
    </r>
    <r>
      <rPr>
        <sz val="10"/>
        <rFont val="Calibri"/>
        <family val="2"/>
      </rPr>
      <t>=</t>
    </r>
  </si>
  <si>
    <t>f</t>
  </si>
  <si>
    <t>f=</t>
  </si>
  <si>
    <r>
      <t>[</t>
    </r>
    <r>
      <rPr>
        <sz val="10"/>
        <rFont val="Symbol"/>
        <family val="1"/>
        <charset val="2"/>
      </rPr>
      <t>s</t>
    </r>
    <r>
      <rPr>
        <vertAlign val="subscript"/>
        <sz val="10"/>
        <rFont val="Calibri"/>
        <family val="2"/>
        <scheme val="minor"/>
      </rPr>
      <t>td</t>
    </r>
    <r>
      <rPr>
        <sz val="10"/>
        <rFont val="Calibri"/>
        <family val="2"/>
      </rPr>
      <t>]=1.15f</t>
    </r>
    <r>
      <rPr>
        <vertAlign val="subscript"/>
        <sz val="10"/>
        <rFont val="Calibri"/>
        <family val="2"/>
      </rPr>
      <t>yd</t>
    </r>
    <r>
      <rPr>
        <sz val="10"/>
        <rFont val="Symbol"/>
        <family val="1"/>
        <charset val="2"/>
      </rPr>
      <t>g</t>
    </r>
    <r>
      <rPr>
        <vertAlign val="subscript"/>
        <sz val="10"/>
        <rFont val="Calibri"/>
        <family val="2"/>
      </rPr>
      <t>c</t>
    </r>
    <r>
      <rPr>
        <sz val="10"/>
        <rFont val="Calibri"/>
        <family val="2"/>
      </rPr>
      <t>=</t>
    </r>
  </si>
  <si>
    <t>Kết luận</t>
  </si>
  <si>
    <t>Q235</t>
  </si>
  <si>
    <t>Q345</t>
  </si>
  <si>
    <t>A572 gr.50</t>
  </si>
  <si>
    <t>A36</t>
  </si>
  <si>
    <t>(Theo TCVN 5575-2012)</t>
  </si>
  <si>
    <t>1_ULS2</t>
  </si>
  <si>
    <t>Ứng suất pháp của cấu kiện khi có tác dụng của N</t>
  </si>
  <si>
    <r>
      <t>[</t>
    </r>
    <r>
      <rPr>
        <sz val="10"/>
        <color theme="1"/>
        <rFont val="Symbol"/>
        <family val="1"/>
        <charset val="2"/>
      </rPr>
      <t>s</t>
    </r>
    <r>
      <rPr>
        <sz val="10"/>
        <color theme="1"/>
        <rFont val="Calibri"/>
        <family val="2"/>
      </rPr>
      <t>] = f</t>
    </r>
    <r>
      <rPr>
        <sz val="10"/>
        <color theme="1"/>
        <rFont val="Symbol"/>
        <family val="1"/>
        <charset val="2"/>
      </rPr>
      <t>g</t>
    </r>
    <r>
      <rPr>
        <vertAlign val="subscript"/>
        <sz val="10"/>
        <color theme="1"/>
        <rFont val="Calibri"/>
        <family val="2"/>
      </rPr>
      <t xml:space="preserve">c </t>
    </r>
    <r>
      <rPr>
        <sz val="10"/>
        <color theme="1"/>
        <rFont val="Calibri"/>
        <family val="2"/>
      </rPr>
      <t>=</t>
    </r>
  </si>
  <si>
    <r>
      <t xml:space="preserve"> </t>
    </r>
    <r>
      <rPr>
        <sz val="10"/>
        <color theme="1"/>
        <rFont val="Symbol"/>
        <family val="1"/>
        <charset val="2"/>
      </rPr>
      <t>s</t>
    </r>
    <r>
      <rPr>
        <sz val="10"/>
        <color theme="1"/>
        <rFont val="Calibri"/>
        <family val="2"/>
      </rPr>
      <t>/[</t>
    </r>
    <r>
      <rPr>
        <sz val="10"/>
        <color theme="1"/>
        <rFont val="Symbol"/>
        <family val="1"/>
        <charset val="2"/>
      </rPr>
      <t>s</t>
    </r>
    <r>
      <rPr>
        <sz val="10"/>
        <color theme="1"/>
        <rFont val="Calibri"/>
        <family val="2"/>
      </rPr>
      <t>] =</t>
    </r>
  </si>
  <si>
    <r>
      <t>[</t>
    </r>
    <r>
      <rPr>
        <sz val="10"/>
        <rFont val="Symbol"/>
        <family val="1"/>
        <charset val="2"/>
      </rPr>
      <t>s</t>
    </r>
    <r>
      <rPr>
        <sz val="10"/>
        <rFont val="Calibri"/>
        <family val="2"/>
      </rPr>
      <t>]=f</t>
    </r>
    <r>
      <rPr>
        <sz val="10"/>
        <rFont val="Symbol"/>
        <family val="1"/>
        <charset val="2"/>
      </rPr>
      <t>g</t>
    </r>
    <r>
      <rPr>
        <vertAlign val="subscript"/>
        <sz val="10"/>
        <rFont val="Calibri"/>
        <family val="2"/>
      </rPr>
      <t>c</t>
    </r>
    <r>
      <rPr>
        <sz val="10"/>
        <rFont val="Calibri"/>
        <family val="2"/>
      </rPr>
      <t>=</t>
    </r>
  </si>
  <si>
    <t>Kiểm tra ổn định cục bộ bản cánh</t>
  </si>
  <si>
    <t>Kiểm tra ổn định cục bộ bản bụng</t>
  </si>
  <si>
    <r>
      <t>h</t>
    </r>
    <r>
      <rPr>
        <b/>
        <vertAlign val="subscript"/>
        <sz val="10"/>
        <color rgb="FF0070C0"/>
        <rFont val="Calibri"/>
        <family val="2"/>
        <scheme val="minor"/>
      </rPr>
      <t>i</t>
    </r>
  </si>
  <si>
    <r>
      <t>h</t>
    </r>
    <r>
      <rPr>
        <b/>
        <vertAlign val="subscript"/>
        <sz val="10"/>
        <color rgb="FF0070C0"/>
        <rFont val="Calibri"/>
        <family val="2"/>
        <scheme val="minor"/>
      </rPr>
      <t>j</t>
    </r>
  </si>
  <si>
    <r>
      <t>t</t>
    </r>
    <r>
      <rPr>
        <b/>
        <vertAlign val="subscript"/>
        <sz val="10"/>
        <color rgb="FF0070C0"/>
        <rFont val="Calibri"/>
        <family val="2"/>
        <scheme val="minor"/>
      </rPr>
      <t>w</t>
    </r>
  </si>
  <si>
    <r>
      <t>b</t>
    </r>
    <r>
      <rPr>
        <b/>
        <vertAlign val="subscript"/>
        <sz val="10"/>
        <color rgb="FF0070C0"/>
        <rFont val="Calibri"/>
        <family val="2"/>
        <scheme val="minor"/>
      </rPr>
      <t>bot</t>
    </r>
  </si>
  <si>
    <r>
      <t>t</t>
    </r>
    <r>
      <rPr>
        <b/>
        <vertAlign val="subscript"/>
        <sz val="10"/>
        <color rgb="FF0070C0"/>
        <rFont val="Calibri"/>
        <family val="2"/>
        <scheme val="minor"/>
      </rPr>
      <t>f,bot</t>
    </r>
  </si>
  <si>
    <r>
      <t>h</t>
    </r>
    <r>
      <rPr>
        <b/>
        <vertAlign val="subscript"/>
        <sz val="10"/>
        <color rgb="FF0070C0"/>
        <rFont val="Calibri"/>
        <family val="2"/>
        <scheme val="minor"/>
      </rPr>
      <t>w</t>
    </r>
  </si>
  <si>
    <r>
      <t xml:space="preserve"> s</t>
    </r>
    <r>
      <rPr>
        <b/>
        <vertAlign val="subscript"/>
        <sz val="10"/>
        <color rgb="FF0070C0"/>
        <rFont val="Calibri"/>
        <family val="2"/>
        <scheme val="minor"/>
      </rPr>
      <t>N</t>
    </r>
  </si>
  <si>
    <r>
      <t xml:space="preserve"> s</t>
    </r>
    <r>
      <rPr>
        <b/>
        <vertAlign val="subscript"/>
        <sz val="10"/>
        <color rgb="FF0070C0"/>
        <rFont val="Calibri"/>
        <family val="2"/>
        <scheme val="minor"/>
      </rPr>
      <t>x</t>
    </r>
  </si>
  <si>
    <r>
      <t xml:space="preserve"> s</t>
    </r>
    <r>
      <rPr>
        <b/>
        <vertAlign val="subscript"/>
        <sz val="10"/>
        <color rgb="FF0070C0"/>
        <rFont val="Calibri"/>
        <family val="2"/>
        <scheme val="minor"/>
      </rPr>
      <t>y</t>
    </r>
  </si>
  <si>
    <r>
      <t>b</t>
    </r>
    <r>
      <rPr>
        <b/>
        <vertAlign val="subscript"/>
        <sz val="10"/>
        <color rgb="FF0070C0"/>
        <rFont val="Calibri"/>
        <family val="2"/>
        <scheme val="minor"/>
      </rPr>
      <t>of</t>
    </r>
    <r>
      <rPr>
        <b/>
        <sz val="10"/>
        <color rgb="FF0070C0"/>
        <rFont val="Calibri"/>
        <family val="2"/>
        <scheme val="minor"/>
      </rPr>
      <t xml:space="preserve"> / t</t>
    </r>
    <r>
      <rPr>
        <b/>
        <vertAlign val="subscript"/>
        <sz val="10"/>
        <color rgb="FF0070C0"/>
        <rFont val="Calibri"/>
        <family val="2"/>
        <scheme val="minor"/>
      </rPr>
      <t>f</t>
    </r>
  </si>
  <si>
    <r>
      <t>[b</t>
    </r>
    <r>
      <rPr>
        <b/>
        <vertAlign val="subscript"/>
        <sz val="10"/>
        <color rgb="FF0070C0"/>
        <rFont val="Calibri"/>
        <family val="2"/>
        <scheme val="minor"/>
      </rPr>
      <t>of</t>
    </r>
    <r>
      <rPr>
        <b/>
        <sz val="10"/>
        <color rgb="FF0070C0"/>
        <rFont val="Calibri"/>
        <family val="2"/>
        <scheme val="minor"/>
      </rPr>
      <t xml:space="preserve"> / t</t>
    </r>
    <r>
      <rPr>
        <b/>
        <vertAlign val="subscript"/>
        <sz val="10"/>
        <color rgb="FF0070C0"/>
        <rFont val="Calibri"/>
        <family val="2"/>
        <scheme val="minor"/>
      </rPr>
      <t>f</t>
    </r>
    <r>
      <rPr>
        <b/>
        <sz val="10"/>
        <color rgb="FF0070C0"/>
        <rFont val="Calibri"/>
        <family val="2"/>
        <scheme val="minor"/>
      </rPr>
      <t>]</t>
    </r>
  </si>
  <si>
    <r>
      <t>cm</t>
    </r>
    <r>
      <rPr>
        <b/>
        <vertAlign val="superscript"/>
        <sz val="10"/>
        <color rgb="FF0070C0"/>
        <rFont val="Calibri"/>
        <family val="2"/>
        <scheme val="minor"/>
      </rPr>
      <t>2</t>
    </r>
  </si>
  <si>
    <r>
      <t>cm</t>
    </r>
    <r>
      <rPr>
        <b/>
        <vertAlign val="superscript"/>
        <sz val="10"/>
        <color rgb="FF0070C0"/>
        <rFont val="Calibri"/>
        <family val="2"/>
        <scheme val="minor"/>
      </rPr>
      <t>4</t>
    </r>
  </si>
  <si>
    <r>
      <t>cm</t>
    </r>
    <r>
      <rPr>
        <b/>
        <vertAlign val="superscript"/>
        <sz val="10"/>
        <color rgb="FF0070C0"/>
        <rFont val="Calibri"/>
        <family val="2"/>
        <scheme val="minor"/>
      </rPr>
      <t>3</t>
    </r>
  </si>
  <si>
    <r>
      <rPr>
        <b/>
        <sz val="10"/>
        <color rgb="FF0070C0"/>
        <rFont val="Symbol"/>
        <family val="1"/>
        <charset val="2"/>
      </rPr>
      <t>[l</t>
    </r>
    <r>
      <rPr>
        <b/>
        <vertAlign val="subscript"/>
        <sz val="10"/>
        <color rgb="FF0070C0"/>
        <rFont val="Calibri"/>
        <family val="2"/>
        <scheme val="minor"/>
      </rPr>
      <t>w</t>
    </r>
    <r>
      <rPr>
        <b/>
        <sz val="10"/>
        <color rgb="FF0070C0"/>
        <rFont val="Calibri"/>
        <family val="2"/>
        <scheme val="minor"/>
      </rPr>
      <t>]</t>
    </r>
  </si>
  <si>
    <t>Tên</t>
  </si>
  <si>
    <t>Gia cường</t>
  </si>
  <si>
    <t>m</t>
  </si>
  <si>
    <t>Chiều cao đỉnh cột</t>
  </si>
  <si>
    <t>Chiều cao chân cột</t>
  </si>
  <si>
    <r>
      <t>L</t>
    </r>
    <r>
      <rPr>
        <vertAlign val="subscript"/>
        <sz val="10"/>
        <color theme="1"/>
        <rFont val="Calibri"/>
        <family val="2"/>
        <scheme val="minor"/>
      </rPr>
      <t>3</t>
    </r>
    <r>
      <rPr>
        <sz val="10"/>
        <color theme="1"/>
        <rFont val="Calibri"/>
        <family val="2"/>
        <scheme val="minor"/>
      </rPr>
      <t xml:space="preserve">  =</t>
    </r>
  </si>
  <si>
    <r>
      <t>L</t>
    </r>
    <r>
      <rPr>
        <vertAlign val="subscript"/>
        <sz val="10"/>
        <color theme="1"/>
        <rFont val="Calibri"/>
        <family val="2"/>
        <scheme val="minor"/>
      </rPr>
      <t>2</t>
    </r>
    <r>
      <rPr>
        <sz val="10"/>
        <color theme="1"/>
        <rFont val="Calibri"/>
        <family val="2"/>
        <scheme val="minor"/>
      </rPr>
      <t xml:space="preserve">  =</t>
    </r>
  </si>
  <si>
    <t>1. Tính toán về bền (Mục 7.4.1.2)</t>
  </si>
  <si>
    <t>V2</t>
  </si>
  <si>
    <t>V3</t>
  </si>
  <si>
    <t>M2</t>
  </si>
  <si>
    <t>M3</t>
  </si>
  <si>
    <r>
      <rPr>
        <sz val="10"/>
        <color theme="1"/>
        <rFont val="Tahoma"/>
        <family val="2"/>
      </rPr>
      <t>I</t>
    </r>
    <r>
      <rPr>
        <vertAlign val="subscript"/>
        <sz val="10"/>
        <color theme="1"/>
        <rFont val="Calibri"/>
        <family val="2"/>
        <scheme val="minor"/>
      </rPr>
      <t>3</t>
    </r>
  </si>
  <si>
    <r>
      <rPr>
        <sz val="10"/>
        <color theme="1"/>
        <rFont val="Tahoma"/>
        <family val="2"/>
      </rPr>
      <t>I</t>
    </r>
    <r>
      <rPr>
        <vertAlign val="subscript"/>
        <sz val="10"/>
        <color theme="1"/>
        <rFont val="Calibri"/>
        <family val="2"/>
        <scheme val="minor"/>
      </rPr>
      <t>2</t>
    </r>
  </si>
  <si>
    <r>
      <t>W</t>
    </r>
    <r>
      <rPr>
        <vertAlign val="subscript"/>
        <sz val="10"/>
        <color theme="1"/>
        <rFont val="Calibri"/>
        <family val="2"/>
        <scheme val="minor"/>
      </rPr>
      <t>3</t>
    </r>
  </si>
  <si>
    <r>
      <t>W</t>
    </r>
    <r>
      <rPr>
        <vertAlign val="subscript"/>
        <sz val="10"/>
        <color theme="1"/>
        <rFont val="Calibri"/>
        <family val="2"/>
        <scheme val="minor"/>
      </rPr>
      <t>2</t>
    </r>
  </si>
  <si>
    <r>
      <rPr>
        <sz val="10"/>
        <color theme="1"/>
        <rFont val="Symbol"/>
        <family val="1"/>
        <charset val="2"/>
      </rPr>
      <t>s</t>
    </r>
    <r>
      <rPr>
        <vertAlign val="subscript"/>
        <sz val="10"/>
        <color theme="1"/>
        <rFont val="Calibri"/>
        <family val="2"/>
      </rPr>
      <t xml:space="preserve">3 </t>
    </r>
    <r>
      <rPr>
        <sz val="10"/>
        <color theme="1"/>
        <rFont val="Calibri"/>
        <family val="2"/>
      </rPr>
      <t>= M</t>
    </r>
    <r>
      <rPr>
        <vertAlign val="subscript"/>
        <sz val="10"/>
        <color theme="1"/>
        <rFont val="Calibri"/>
        <family val="2"/>
      </rPr>
      <t>3*</t>
    </r>
    <r>
      <rPr>
        <sz val="10"/>
        <color theme="1"/>
        <rFont val="Calibri"/>
        <family val="2"/>
      </rPr>
      <t>(h/2)/I</t>
    </r>
    <r>
      <rPr>
        <vertAlign val="subscript"/>
        <sz val="10"/>
        <color theme="1"/>
        <rFont val="Calibri"/>
        <family val="2"/>
      </rPr>
      <t xml:space="preserve">n3 </t>
    </r>
    <r>
      <rPr>
        <sz val="10"/>
        <color theme="1"/>
        <rFont val="Calibri"/>
        <family val="1"/>
        <charset val="2"/>
      </rPr>
      <t>=</t>
    </r>
  </si>
  <si>
    <r>
      <rPr>
        <sz val="10"/>
        <color theme="1"/>
        <rFont val="Symbol"/>
        <family val="1"/>
        <charset val="2"/>
      </rPr>
      <t>s</t>
    </r>
    <r>
      <rPr>
        <vertAlign val="subscript"/>
        <sz val="10"/>
        <color theme="1"/>
        <rFont val="Calibri"/>
        <family val="2"/>
      </rPr>
      <t xml:space="preserve">2 </t>
    </r>
    <r>
      <rPr>
        <sz val="10"/>
        <color theme="1"/>
        <rFont val="Calibri"/>
        <family val="2"/>
      </rPr>
      <t>= M</t>
    </r>
    <r>
      <rPr>
        <vertAlign val="subscript"/>
        <sz val="10"/>
        <color theme="1"/>
        <rFont val="Calibri"/>
        <family val="2"/>
      </rPr>
      <t>2*</t>
    </r>
    <r>
      <rPr>
        <sz val="10"/>
        <color theme="1"/>
        <rFont val="Calibri"/>
        <family val="2"/>
      </rPr>
      <t>(b/2)/I</t>
    </r>
    <r>
      <rPr>
        <vertAlign val="subscript"/>
        <sz val="10"/>
        <color theme="1"/>
        <rFont val="Calibri"/>
        <family val="2"/>
      </rPr>
      <t xml:space="preserve">n2 </t>
    </r>
    <r>
      <rPr>
        <sz val="10"/>
        <color theme="1"/>
        <rFont val="Calibri"/>
        <family val="1"/>
        <charset val="2"/>
      </rPr>
      <t>=</t>
    </r>
  </si>
  <si>
    <r>
      <t>Ứng suất pháp của cấu kiện khi có tác dụng của M</t>
    </r>
    <r>
      <rPr>
        <vertAlign val="subscript"/>
        <sz val="10"/>
        <color theme="1"/>
        <rFont val="Calibri"/>
        <family val="2"/>
        <scheme val="minor"/>
      </rPr>
      <t>3</t>
    </r>
  </si>
  <si>
    <r>
      <t>Ứng suất pháp của cấu kiện khi có tác dụng của M</t>
    </r>
    <r>
      <rPr>
        <vertAlign val="subscript"/>
        <sz val="10"/>
        <color theme="1"/>
        <rFont val="Calibri"/>
        <family val="2"/>
        <scheme val="minor"/>
      </rPr>
      <t>2</t>
    </r>
  </si>
  <si>
    <r>
      <rPr>
        <sz val="10"/>
        <color theme="1"/>
        <rFont val="Symbol"/>
        <family val="1"/>
        <charset val="2"/>
      </rPr>
      <t>s</t>
    </r>
    <r>
      <rPr>
        <vertAlign val="subscript"/>
        <sz val="10"/>
        <color theme="1"/>
        <rFont val="Symbol"/>
        <family val="1"/>
        <charset val="2"/>
      </rPr>
      <t>N</t>
    </r>
    <r>
      <rPr>
        <sz val="10"/>
        <color theme="1"/>
        <rFont val="Symbol"/>
        <family val="1"/>
        <charset val="2"/>
      </rPr>
      <t xml:space="preserve"> </t>
    </r>
    <r>
      <rPr>
        <sz val="10"/>
        <color theme="1"/>
        <rFont val="Calibri"/>
        <family val="2"/>
      </rPr>
      <t>= N/A</t>
    </r>
    <r>
      <rPr>
        <vertAlign val="subscript"/>
        <sz val="10"/>
        <color theme="1"/>
        <rFont val="Calibri"/>
        <family val="2"/>
      </rPr>
      <t>n</t>
    </r>
    <r>
      <rPr>
        <sz val="10"/>
        <color theme="1"/>
        <rFont val="Calibri"/>
        <family val="2"/>
      </rPr>
      <t xml:space="preserve"> </t>
    </r>
    <r>
      <rPr>
        <sz val="10"/>
        <color theme="1"/>
        <rFont val="Calibri"/>
        <family val="1"/>
        <charset val="2"/>
      </rPr>
      <t>=</t>
    </r>
  </si>
  <si>
    <r>
      <rPr>
        <sz val="10"/>
        <color theme="1"/>
        <rFont val="Symbol"/>
        <family val="1"/>
        <charset val="2"/>
      </rPr>
      <t xml:space="preserve"> s </t>
    </r>
    <r>
      <rPr>
        <sz val="10"/>
        <color theme="1"/>
        <rFont val="Calibri"/>
        <family val="2"/>
      </rPr>
      <t xml:space="preserve">= </t>
    </r>
    <r>
      <rPr>
        <sz val="10"/>
        <color theme="1"/>
        <rFont val="Symbol"/>
        <family val="1"/>
        <charset val="2"/>
      </rPr>
      <t>s</t>
    </r>
    <r>
      <rPr>
        <vertAlign val="subscript"/>
        <sz val="10"/>
        <color theme="1"/>
        <rFont val="Calibri"/>
        <family val="2"/>
      </rPr>
      <t>N</t>
    </r>
    <r>
      <rPr>
        <sz val="10"/>
        <color theme="1"/>
        <rFont val="Calibri"/>
        <family val="2"/>
      </rPr>
      <t xml:space="preserve"> + </t>
    </r>
    <r>
      <rPr>
        <sz val="10"/>
        <color theme="1"/>
        <rFont val="Symbol"/>
        <family val="1"/>
        <charset val="2"/>
      </rPr>
      <t>s</t>
    </r>
    <r>
      <rPr>
        <vertAlign val="subscript"/>
        <sz val="10"/>
        <color theme="1"/>
        <rFont val="Calibri"/>
        <family val="2"/>
      </rPr>
      <t xml:space="preserve">2 </t>
    </r>
    <r>
      <rPr>
        <sz val="10"/>
        <color theme="1"/>
        <rFont val="Calibri"/>
        <family val="2"/>
      </rPr>
      <t xml:space="preserve">+ </t>
    </r>
    <r>
      <rPr>
        <sz val="10"/>
        <color theme="1"/>
        <rFont val="Symbol"/>
        <family val="1"/>
        <charset val="2"/>
      </rPr>
      <t>s</t>
    </r>
    <r>
      <rPr>
        <vertAlign val="subscript"/>
        <sz val="10"/>
        <color theme="1"/>
        <rFont val="Calibri"/>
        <family val="2"/>
      </rPr>
      <t>3</t>
    </r>
    <r>
      <rPr>
        <sz val="10"/>
        <color theme="1"/>
        <rFont val="Calibri"/>
        <family val="2"/>
      </rPr>
      <t xml:space="preserve"> </t>
    </r>
    <r>
      <rPr>
        <vertAlign val="subscript"/>
        <sz val="10"/>
        <color theme="1"/>
        <rFont val="Calibri"/>
        <family val="2"/>
      </rPr>
      <t xml:space="preserve"> </t>
    </r>
    <r>
      <rPr>
        <sz val="10"/>
        <color theme="1"/>
        <rFont val="Calibri"/>
        <family val="2"/>
      </rPr>
      <t>=</t>
    </r>
  </si>
  <si>
    <t>cm</t>
  </si>
  <si>
    <r>
      <t>i</t>
    </r>
    <r>
      <rPr>
        <vertAlign val="subscript"/>
        <sz val="10"/>
        <color theme="1"/>
        <rFont val="Calibri"/>
        <family val="2"/>
        <scheme val="minor"/>
      </rPr>
      <t>3</t>
    </r>
  </si>
  <si>
    <r>
      <rPr>
        <sz val="10"/>
        <color theme="1"/>
        <rFont val="Calibri"/>
        <family val="2"/>
        <scheme val="minor"/>
      </rPr>
      <t>i</t>
    </r>
    <r>
      <rPr>
        <vertAlign val="subscript"/>
        <sz val="10"/>
        <color theme="1"/>
        <rFont val="Calibri"/>
        <family val="2"/>
        <scheme val="minor"/>
      </rPr>
      <t>2</t>
    </r>
  </si>
  <si>
    <t>Bề rộng cánh</t>
  </si>
  <si>
    <t>Chiều dày bản cánh</t>
  </si>
  <si>
    <r>
      <t>b</t>
    </r>
    <r>
      <rPr>
        <vertAlign val="subscript"/>
        <sz val="10"/>
        <color theme="1"/>
        <rFont val="Calibri"/>
        <family val="2"/>
        <scheme val="minor"/>
      </rPr>
      <t xml:space="preserve">f </t>
    </r>
    <r>
      <rPr>
        <sz val="10"/>
        <color theme="1"/>
        <rFont val="Calibri"/>
        <family val="2"/>
        <scheme val="minor"/>
      </rPr>
      <t>=</t>
    </r>
  </si>
  <si>
    <r>
      <t>t</t>
    </r>
    <r>
      <rPr>
        <vertAlign val="subscript"/>
        <sz val="10"/>
        <color theme="1"/>
        <rFont val="Calibri"/>
        <family val="2"/>
        <scheme val="minor"/>
      </rPr>
      <t xml:space="preserve">f </t>
    </r>
    <r>
      <rPr>
        <sz val="10"/>
        <color theme="1"/>
        <rFont val="Calibri"/>
        <family val="2"/>
        <scheme val="minor"/>
      </rPr>
      <t>=</t>
    </r>
  </si>
  <si>
    <t>2. Tính toán về ổn định (Mục 7.4.2)</t>
  </si>
  <si>
    <t>2.1 Kiểm tra điều kiện ổn định tổng thể cột chữ I, chịu uốn trong mặt phẳng bản bụng (Mục 7.4.2.2)</t>
  </si>
  <si>
    <t>Bảng D10</t>
  </si>
  <si>
    <r>
      <t xml:space="preserve">Hệ số </t>
    </r>
    <r>
      <rPr>
        <b/>
        <sz val="11"/>
        <color theme="1"/>
        <rFont val="Arial"/>
        <family val="2"/>
      </rPr>
      <t>φ</t>
    </r>
    <r>
      <rPr>
        <b/>
        <sz val="11"/>
        <color theme="1"/>
        <rFont val="Calibri"/>
        <family val="2"/>
      </rPr>
      <t>e để kiểm tra ổn định của cấu kiện tiết diện đặc, chịu nén lệch tâm (nén uốn), mặt phẳng tác dụng của moment trùng với mặt phẳng đối xứng</t>
    </r>
  </si>
  <si>
    <t>Ứng suất giới hạn</t>
  </si>
  <si>
    <t>Ứng suất của cấu kiện chịu uốn trong mặt phẳng bản bụng</t>
  </si>
  <si>
    <t>2.2 Kiểm tra điều kiện ổn định tổng thể cột chữ I, chịu uốn ngoài mặt phẳng bản bụng (Mục 7.4.2.4)</t>
  </si>
  <si>
    <t>a</t>
  </si>
  <si>
    <t>c =</t>
  </si>
  <si>
    <r>
      <rPr>
        <sz val="10"/>
        <color theme="1"/>
        <rFont val="Symbol"/>
        <family val="1"/>
        <charset val="2"/>
      </rPr>
      <t>l</t>
    </r>
    <r>
      <rPr>
        <vertAlign val="subscript"/>
        <sz val="10"/>
        <color theme="1"/>
        <rFont val="Calibri"/>
        <family val="2"/>
        <scheme val="minor"/>
      </rPr>
      <t>c</t>
    </r>
  </si>
  <si>
    <r>
      <rPr>
        <sz val="10"/>
        <color theme="1"/>
        <rFont val="Symbol"/>
        <family val="1"/>
        <charset val="2"/>
      </rPr>
      <t>j</t>
    </r>
    <r>
      <rPr>
        <vertAlign val="subscript"/>
        <sz val="10"/>
        <color theme="1"/>
        <rFont val="Calibri"/>
        <family val="2"/>
        <scheme val="minor"/>
      </rPr>
      <t>c</t>
    </r>
  </si>
  <si>
    <t>b</t>
  </si>
  <si>
    <r>
      <t>c</t>
    </r>
    <r>
      <rPr>
        <vertAlign val="subscript"/>
        <sz val="10"/>
        <color theme="1"/>
        <rFont val="Calibri"/>
        <family val="2"/>
        <scheme val="minor"/>
      </rPr>
      <t>5</t>
    </r>
  </si>
  <si>
    <r>
      <t>c</t>
    </r>
    <r>
      <rPr>
        <vertAlign val="subscript"/>
        <sz val="10"/>
        <color theme="1"/>
        <rFont val="Calibri"/>
        <family val="2"/>
        <scheme val="minor"/>
      </rPr>
      <t>10</t>
    </r>
  </si>
  <si>
    <t>(Mục 7.3.2.1)</t>
  </si>
  <si>
    <t>(Mục 7.4.2.5)</t>
  </si>
  <si>
    <t>PHỤ LỤC TÍNH TOÁN MỤC 2.2</t>
  </si>
  <si>
    <r>
      <t>m</t>
    </r>
    <r>
      <rPr>
        <vertAlign val="subscript"/>
        <sz val="10"/>
        <color theme="1"/>
        <rFont val="Calibri"/>
        <family val="2"/>
        <scheme val="minor"/>
      </rPr>
      <t>x</t>
    </r>
  </si>
  <si>
    <r>
      <rPr>
        <sz val="10"/>
        <color theme="1"/>
        <rFont val="Symbol"/>
        <family val="1"/>
        <charset val="2"/>
      </rPr>
      <t>j</t>
    </r>
    <r>
      <rPr>
        <vertAlign val="subscript"/>
        <sz val="10"/>
        <color theme="1"/>
        <rFont val="Calibri"/>
        <family val="2"/>
        <scheme val="minor"/>
      </rPr>
      <t>b</t>
    </r>
  </si>
  <si>
    <t>c</t>
  </si>
  <si>
    <r>
      <t xml:space="preserve">mx </t>
    </r>
    <r>
      <rPr>
        <sz val="10"/>
        <color theme="1"/>
        <rFont val="Symbol"/>
        <family val="1"/>
        <charset val="2"/>
      </rPr>
      <t>£</t>
    </r>
    <r>
      <rPr>
        <sz val="10"/>
        <color theme="1"/>
        <rFont val="Calibri"/>
        <family val="2"/>
        <scheme val="minor"/>
      </rPr>
      <t xml:space="preserve"> 5</t>
    </r>
  </si>
  <si>
    <t>mx &lt; 10</t>
  </si>
  <si>
    <r>
      <t xml:space="preserve">mx </t>
    </r>
    <r>
      <rPr>
        <sz val="10"/>
        <color theme="1"/>
        <rFont val="Symbol"/>
        <family val="1"/>
        <charset val="2"/>
      </rPr>
      <t xml:space="preserve"> ³</t>
    </r>
    <r>
      <rPr>
        <sz val="10"/>
        <color theme="1"/>
        <rFont val="Calibri"/>
        <family val="2"/>
        <scheme val="minor"/>
      </rPr>
      <t xml:space="preserve"> 10</t>
    </r>
  </si>
  <si>
    <t>Ứng suất của cấu kiện chịu uốn ngoài mặt phẳng bản bụng</t>
  </si>
  <si>
    <r>
      <rPr>
        <sz val="10"/>
        <color theme="1"/>
        <rFont val="Symbol"/>
        <family val="1"/>
        <charset val="2"/>
      </rPr>
      <t xml:space="preserve"> s </t>
    </r>
    <r>
      <rPr>
        <sz val="10"/>
        <color theme="1"/>
        <rFont val="Calibri"/>
        <family val="2"/>
      </rPr>
      <t xml:space="preserve">= </t>
    </r>
    <r>
      <rPr>
        <sz val="10"/>
        <color theme="1"/>
        <rFont val="Symbol"/>
        <family val="1"/>
        <charset val="2"/>
      </rPr>
      <t>N/(</t>
    </r>
    <r>
      <rPr>
        <sz val="10"/>
        <color theme="1"/>
        <rFont val="Calibri"/>
        <family val="2"/>
        <scheme val="minor"/>
      </rPr>
      <t>c</t>
    </r>
    <r>
      <rPr>
        <sz val="10"/>
        <color theme="1"/>
        <rFont val="Symbol"/>
        <family val="1"/>
        <charset val="2"/>
      </rPr>
      <t>j</t>
    </r>
    <r>
      <rPr>
        <vertAlign val="subscript"/>
        <sz val="10"/>
        <color theme="1"/>
        <rFont val="Calibri"/>
        <family val="2"/>
        <scheme val="minor"/>
      </rPr>
      <t>y</t>
    </r>
    <r>
      <rPr>
        <sz val="10"/>
        <color theme="1"/>
        <rFont val="Symbol"/>
        <family val="1"/>
        <charset val="2"/>
      </rPr>
      <t>A)</t>
    </r>
    <r>
      <rPr>
        <sz val="10"/>
        <color theme="1"/>
        <rFont val="Calibri"/>
        <family val="2"/>
      </rPr>
      <t xml:space="preserve"> </t>
    </r>
    <r>
      <rPr>
        <vertAlign val="subscript"/>
        <sz val="10"/>
        <color theme="1"/>
        <rFont val="Calibri"/>
        <family val="2"/>
      </rPr>
      <t xml:space="preserve"> </t>
    </r>
    <r>
      <rPr>
        <sz val="10"/>
        <color theme="1"/>
        <rFont val="Calibri"/>
        <family val="2"/>
      </rPr>
      <t>=</t>
    </r>
  </si>
  <si>
    <t>PHỤ LỤC TÍNH TOÁN MỤC 2.1</t>
  </si>
  <si>
    <r>
      <t>m</t>
    </r>
    <r>
      <rPr>
        <vertAlign val="subscript"/>
        <sz val="10"/>
        <color theme="1"/>
        <rFont val="Calibri"/>
        <family val="2"/>
        <scheme val="minor"/>
      </rPr>
      <t>e</t>
    </r>
  </si>
  <si>
    <r>
      <t>A</t>
    </r>
    <r>
      <rPr>
        <vertAlign val="subscript"/>
        <sz val="10"/>
        <color theme="1"/>
        <rFont val="Calibri"/>
        <family val="2"/>
        <scheme val="minor"/>
      </rPr>
      <t>f</t>
    </r>
    <r>
      <rPr>
        <sz val="10"/>
        <color theme="1"/>
        <rFont val="Calibri"/>
        <family val="2"/>
        <scheme val="minor"/>
      </rPr>
      <t>/A</t>
    </r>
    <r>
      <rPr>
        <vertAlign val="subscript"/>
        <sz val="10"/>
        <color theme="1"/>
        <rFont val="Calibri"/>
        <family val="2"/>
        <scheme val="minor"/>
      </rPr>
      <t>w</t>
    </r>
  </si>
  <si>
    <r>
      <rPr>
        <sz val="10"/>
        <color theme="1"/>
        <rFont val="Symbol"/>
        <family val="1"/>
        <charset val="2"/>
      </rPr>
      <t>l</t>
    </r>
    <r>
      <rPr>
        <vertAlign val="subscript"/>
        <sz val="10"/>
        <color theme="1"/>
        <rFont val="Calibri"/>
        <family val="2"/>
        <scheme val="minor"/>
      </rPr>
      <t>qu</t>
    </r>
  </si>
  <si>
    <r>
      <rPr>
        <sz val="10"/>
        <color theme="1"/>
        <rFont val="Symbol"/>
        <family val="1"/>
        <charset val="2"/>
      </rPr>
      <t>j</t>
    </r>
    <r>
      <rPr>
        <vertAlign val="subscript"/>
        <sz val="10"/>
        <color theme="1"/>
        <rFont val="Calibri"/>
        <family val="2"/>
        <scheme val="minor"/>
      </rPr>
      <t>e</t>
    </r>
    <r>
      <rPr>
        <sz val="10"/>
        <color theme="1"/>
        <rFont val="Calibri"/>
        <family val="2"/>
        <scheme val="minor"/>
      </rPr>
      <t xml:space="preserve"> =</t>
    </r>
  </si>
  <si>
    <t>Hệ số giảm cường độ tính toán khi nén uốn (bảng D.10, phụ lục D)</t>
  </si>
  <si>
    <r>
      <rPr>
        <sz val="10"/>
        <color theme="1"/>
        <rFont val="Symbol"/>
        <family val="1"/>
        <charset val="2"/>
      </rPr>
      <t>j</t>
    </r>
    <r>
      <rPr>
        <vertAlign val="subscript"/>
        <sz val="10"/>
        <color theme="1"/>
        <rFont val="Calibri"/>
        <family val="2"/>
        <scheme val="minor"/>
      </rPr>
      <t>e</t>
    </r>
  </si>
  <si>
    <r>
      <rPr>
        <sz val="10"/>
        <color theme="1"/>
        <rFont val="Symbol"/>
        <family val="1"/>
        <charset val="2"/>
      </rPr>
      <t xml:space="preserve"> s </t>
    </r>
    <r>
      <rPr>
        <sz val="10"/>
        <color theme="1"/>
        <rFont val="Calibri"/>
        <family val="2"/>
      </rPr>
      <t xml:space="preserve">= </t>
    </r>
    <r>
      <rPr>
        <sz val="10"/>
        <color theme="1"/>
        <rFont val="Symbol"/>
        <family val="1"/>
        <charset val="2"/>
      </rPr>
      <t>N/(j</t>
    </r>
    <r>
      <rPr>
        <vertAlign val="subscript"/>
        <sz val="10"/>
        <color theme="1"/>
        <rFont val="Calibri"/>
        <family val="2"/>
        <scheme val="minor"/>
      </rPr>
      <t>e</t>
    </r>
    <r>
      <rPr>
        <sz val="10"/>
        <color theme="1"/>
        <rFont val="Symbol"/>
        <family val="1"/>
        <charset val="2"/>
      </rPr>
      <t>A</t>
    </r>
    <r>
      <rPr>
        <sz val="10"/>
        <color theme="1"/>
        <rFont val="Calibri"/>
        <family val="2"/>
      </rPr>
      <t>)</t>
    </r>
    <r>
      <rPr>
        <vertAlign val="subscript"/>
        <sz val="10"/>
        <color theme="1"/>
        <rFont val="Calibri"/>
        <family val="2"/>
      </rPr>
      <t xml:space="preserve"> </t>
    </r>
    <r>
      <rPr>
        <sz val="10"/>
        <color theme="1"/>
        <rFont val="Calibri"/>
        <family val="2"/>
      </rPr>
      <t>=</t>
    </r>
  </si>
  <si>
    <r>
      <rPr>
        <sz val="10"/>
        <color theme="1"/>
        <rFont val="Calibri"/>
        <family val="2"/>
        <scheme val="minor"/>
      </rPr>
      <t>Hệ số giảm cường độ tính toán</t>
    </r>
    <r>
      <rPr>
        <sz val="10"/>
        <color theme="1"/>
        <rFont val="Symbol"/>
        <family val="1"/>
        <charset val="2"/>
      </rPr>
      <t xml:space="preserve"> j</t>
    </r>
    <r>
      <rPr>
        <vertAlign val="subscript"/>
        <sz val="10"/>
        <color theme="1"/>
        <rFont val="Calibri"/>
        <family val="2"/>
        <scheme val="minor"/>
      </rPr>
      <t>y</t>
    </r>
    <r>
      <rPr>
        <sz val="10"/>
        <color theme="1"/>
        <rFont val="Calibri"/>
        <family val="2"/>
        <scheme val="minor"/>
      </rPr>
      <t xml:space="preserve"> =</t>
    </r>
  </si>
  <si>
    <t>l</t>
  </si>
  <si>
    <t>2.3 Kiểm tra điều kiện ổn định cục bộ của bản cánh cột (Mục 7.6.3.3)</t>
  </si>
  <si>
    <r>
      <t>b</t>
    </r>
    <r>
      <rPr>
        <vertAlign val="subscript"/>
        <sz val="10"/>
        <color theme="1"/>
        <rFont val="Calibri"/>
        <family val="2"/>
        <scheme val="minor"/>
      </rPr>
      <t>of</t>
    </r>
    <r>
      <rPr>
        <sz val="10"/>
        <color theme="1"/>
        <rFont val="Calibri"/>
        <family val="2"/>
        <scheme val="minor"/>
      </rPr>
      <t xml:space="preserve"> / t</t>
    </r>
    <r>
      <rPr>
        <vertAlign val="subscript"/>
        <sz val="10"/>
        <color theme="1"/>
        <rFont val="Calibri"/>
        <family val="2"/>
        <scheme val="minor"/>
      </rPr>
      <t>f</t>
    </r>
    <r>
      <rPr>
        <sz val="10"/>
        <color theme="1"/>
        <rFont val="Calibri"/>
        <family val="2"/>
        <scheme val="minor"/>
      </rPr>
      <t xml:space="preserve"> =</t>
    </r>
  </si>
  <si>
    <r>
      <t>[b</t>
    </r>
    <r>
      <rPr>
        <vertAlign val="subscript"/>
        <sz val="10"/>
        <color theme="1"/>
        <rFont val="Calibri"/>
        <family val="2"/>
        <scheme val="minor"/>
      </rPr>
      <t>o</t>
    </r>
    <r>
      <rPr>
        <sz val="10"/>
        <color theme="1"/>
        <rFont val="Calibri"/>
        <family val="2"/>
        <scheme val="minor"/>
      </rPr>
      <t xml:space="preserve"> / t</t>
    </r>
    <r>
      <rPr>
        <vertAlign val="subscript"/>
        <sz val="10"/>
        <color theme="1"/>
        <rFont val="Calibri"/>
        <family val="2"/>
        <scheme val="minor"/>
      </rPr>
      <t>f</t>
    </r>
    <r>
      <rPr>
        <sz val="10"/>
        <color theme="1"/>
        <rFont val="Calibri"/>
        <family val="2"/>
        <scheme val="minor"/>
      </rPr>
      <t xml:space="preserve">]= (0.36+0.1 </t>
    </r>
    <r>
      <rPr>
        <sz val="10"/>
        <color theme="1"/>
        <rFont val="Symbol"/>
        <family val="1"/>
        <charset val="2"/>
      </rPr>
      <t>l</t>
    </r>
    <r>
      <rPr>
        <vertAlign val="subscript"/>
        <sz val="10"/>
        <color theme="1"/>
        <rFont val="Calibri"/>
        <family val="2"/>
        <scheme val="minor"/>
      </rPr>
      <t>qu</t>
    </r>
    <r>
      <rPr>
        <sz val="10"/>
        <color theme="1"/>
        <rFont val="Calibri"/>
        <family val="2"/>
        <scheme val="minor"/>
      </rPr>
      <t>) (E/f)</t>
    </r>
    <r>
      <rPr>
        <vertAlign val="superscript"/>
        <sz val="10"/>
        <color theme="1"/>
        <rFont val="Calibri"/>
        <family val="2"/>
        <scheme val="minor"/>
      </rPr>
      <t>0.5</t>
    </r>
    <r>
      <rPr>
        <sz val="10"/>
        <color theme="1"/>
        <rFont val="Calibri"/>
        <family val="2"/>
        <scheme val="minor"/>
      </rPr>
      <t xml:space="preserve"> =</t>
    </r>
  </si>
  <si>
    <r>
      <rPr>
        <sz val="10"/>
        <color theme="1"/>
        <rFont val="Symbol"/>
        <family val="1"/>
        <charset val="2"/>
      </rPr>
      <t>l</t>
    </r>
    <r>
      <rPr>
        <vertAlign val="subscript"/>
        <sz val="10"/>
        <color theme="1"/>
        <rFont val="Calibri"/>
        <family val="2"/>
        <scheme val="minor"/>
      </rPr>
      <t>qu</t>
    </r>
    <r>
      <rPr>
        <sz val="10"/>
        <color theme="1"/>
        <rFont val="Calibri"/>
        <family val="1"/>
        <charset val="2"/>
        <scheme val="minor"/>
      </rPr>
      <t xml:space="preserve"> =</t>
    </r>
  </si>
  <si>
    <t>2.4 Kiểm tra điều kiện ổn định cục bộ của bản bụng cột (Mục 7.6.3.3)</t>
  </si>
  <si>
    <t>(Chịu uốn trong mặt phẳng bản bụng)</t>
  </si>
  <si>
    <t>(Chịu uốn ngoài mặt phẳng bản bụng)</t>
  </si>
  <si>
    <t>Chiều dài tính toán cột</t>
  </si>
  <si>
    <t>L =</t>
  </si>
  <si>
    <t>Chiều dài của cột</t>
  </si>
  <si>
    <r>
      <t>h</t>
    </r>
    <r>
      <rPr>
        <vertAlign val="subscript"/>
        <sz val="10"/>
        <color theme="1"/>
        <rFont val="Calibri"/>
        <family val="2"/>
        <scheme val="minor"/>
      </rPr>
      <t>w</t>
    </r>
    <r>
      <rPr>
        <sz val="10"/>
        <color theme="1"/>
        <rFont val="Calibri"/>
        <family val="2"/>
        <scheme val="minor"/>
      </rPr>
      <t>/t</t>
    </r>
    <r>
      <rPr>
        <vertAlign val="subscript"/>
        <sz val="10"/>
        <color theme="1"/>
        <rFont val="Calibri"/>
        <family val="2"/>
        <scheme val="minor"/>
      </rPr>
      <t>w</t>
    </r>
    <r>
      <rPr>
        <sz val="10"/>
        <color theme="1"/>
        <rFont val="Calibri"/>
        <family val="2"/>
        <scheme val="minor"/>
      </rPr>
      <t xml:space="preserve"> =</t>
    </r>
  </si>
  <si>
    <t>PHỤ LỤC TÍNH TOÁN MỤC 2.4</t>
  </si>
  <si>
    <t>L (m)</t>
  </si>
  <si>
    <r>
      <t>[h</t>
    </r>
    <r>
      <rPr>
        <vertAlign val="subscript"/>
        <sz val="10"/>
        <color theme="1"/>
        <rFont val="Calibri"/>
        <family val="2"/>
        <scheme val="minor"/>
      </rPr>
      <t>w</t>
    </r>
    <r>
      <rPr>
        <sz val="10"/>
        <color theme="1"/>
        <rFont val="Calibri"/>
        <family val="2"/>
        <scheme val="minor"/>
      </rPr>
      <t>/t</t>
    </r>
    <r>
      <rPr>
        <vertAlign val="subscript"/>
        <sz val="10"/>
        <color theme="1"/>
        <rFont val="Calibri"/>
        <family val="2"/>
        <scheme val="minor"/>
      </rPr>
      <t>w</t>
    </r>
    <r>
      <rPr>
        <sz val="10"/>
        <color theme="1"/>
        <rFont val="Calibri"/>
        <family val="2"/>
        <scheme val="minor"/>
      </rPr>
      <t>]</t>
    </r>
  </si>
  <si>
    <r>
      <t xml:space="preserve">m </t>
    </r>
    <r>
      <rPr>
        <sz val="10"/>
        <rFont val="Symbol"/>
        <family val="1"/>
        <charset val="2"/>
      </rPr>
      <t>³</t>
    </r>
    <r>
      <rPr>
        <sz val="10"/>
        <rFont val="Calibri"/>
        <family val="2"/>
        <scheme val="minor"/>
      </rPr>
      <t xml:space="preserve"> 1</t>
    </r>
  </si>
  <si>
    <t>Độ lệch tâm tương đối, m = 0</t>
  </si>
  <si>
    <r>
      <t>[h</t>
    </r>
    <r>
      <rPr>
        <vertAlign val="subscript"/>
        <sz val="10"/>
        <color theme="1"/>
        <rFont val="Calibri"/>
        <family val="2"/>
        <scheme val="minor"/>
      </rPr>
      <t>w</t>
    </r>
    <r>
      <rPr>
        <sz val="10"/>
        <color theme="1"/>
        <rFont val="Calibri"/>
        <family val="2"/>
        <scheme val="minor"/>
      </rPr>
      <t>/t</t>
    </r>
    <r>
      <rPr>
        <vertAlign val="subscript"/>
        <sz val="10"/>
        <color theme="1"/>
        <rFont val="Calibri"/>
        <family val="2"/>
        <scheme val="minor"/>
      </rPr>
      <t>w</t>
    </r>
    <r>
      <rPr>
        <sz val="10"/>
        <color theme="1"/>
        <rFont val="Calibri"/>
        <family val="2"/>
        <scheme val="minor"/>
      </rPr>
      <t>] =</t>
    </r>
  </si>
  <si>
    <r>
      <t>2.3(E/f)</t>
    </r>
    <r>
      <rPr>
        <vertAlign val="superscript"/>
        <sz val="10"/>
        <color theme="1"/>
        <rFont val="Calibri"/>
        <family val="2"/>
        <scheme val="minor"/>
      </rPr>
      <t xml:space="preserve">0.5 </t>
    </r>
    <r>
      <rPr>
        <sz val="10"/>
        <color theme="1"/>
        <rFont val="Calibri"/>
        <family val="2"/>
        <scheme val="minor"/>
      </rPr>
      <t>=</t>
    </r>
  </si>
  <si>
    <t>Kiểm tra yêu cầu gia cường bản bụng bằng các sườn cứng ngang (Mục 7.6.2.6)</t>
  </si>
  <si>
    <r>
      <t>I</t>
    </r>
    <r>
      <rPr>
        <b/>
        <vertAlign val="subscript"/>
        <sz val="10"/>
        <color rgb="FF0070C0"/>
        <rFont val="Calibri"/>
        <family val="2"/>
        <scheme val="minor"/>
      </rPr>
      <t>3</t>
    </r>
  </si>
  <si>
    <r>
      <t>I</t>
    </r>
    <r>
      <rPr>
        <b/>
        <vertAlign val="subscript"/>
        <sz val="10"/>
        <color rgb="FF0070C0"/>
        <rFont val="Calibri"/>
        <family val="2"/>
        <scheme val="minor"/>
      </rPr>
      <t>2</t>
    </r>
  </si>
  <si>
    <r>
      <t>W</t>
    </r>
    <r>
      <rPr>
        <b/>
        <vertAlign val="subscript"/>
        <sz val="10"/>
        <color rgb="FF0070C0"/>
        <rFont val="Calibri"/>
        <family val="2"/>
        <scheme val="minor"/>
      </rPr>
      <t>3</t>
    </r>
  </si>
  <si>
    <r>
      <t>W</t>
    </r>
    <r>
      <rPr>
        <b/>
        <vertAlign val="subscript"/>
        <sz val="10"/>
        <color rgb="FF0070C0"/>
        <rFont val="Calibri"/>
        <family val="2"/>
        <scheme val="minor"/>
      </rPr>
      <t>2</t>
    </r>
  </si>
  <si>
    <r>
      <t>S</t>
    </r>
    <r>
      <rPr>
        <b/>
        <vertAlign val="subscript"/>
        <sz val="10"/>
        <color rgb="FF0070C0"/>
        <rFont val="Calibri"/>
        <family val="2"/>
        <scheme val="minor"/>
      </rPr>
      <t>3</t>
    </r>
  </si>
  <si>
    <r>
      <t>i</t>
    </r>
    <r>
      <rPr>
        <b/>
        <vertAlign val="subscript"/>
        <sz val="10"/>
        <color rgb="FF0070C0"/>
        <rFont val="Calibri"/>
        <family val="2"/>
        <scheme val="minor"/>
      </rPr>
      <t>3</t>
    </r>
  </si>
  <si>
    <r>
      <t>i</t>
    </r>
    <r>
      <rPr>
        <b/>
        <vertAlign val="subscript"/>
        <sz val="10"/>
        <color rgb="FF0070C0"/>
        <rFont val="Calibri"/>
        <family val="2"/>
        <scheme val="minor"/>
      </rPr>
      <t>2</t>
    </r>
  </si>
  <si>
    <t>Kiểm tra ổn định tổng thể
trong mặt phẳng</t>
  </si>
  <si>
    <t>Kiểm tra ổn định tổng thể
ngoài mặt phẳng</t>
  </si>
  <si>
    <t>ĐK ổn định</t>
  </si>
  <si>
    <r>
      <t>m</t>
    </r>
    <r>
      <rPr>
        <b/>
        <vertAlign val="subscript"/>
        <sz val="10"/>
        <color rgb="FF0070C0"/>
        <rFont val="Calibri"/>
        <family val="2"/>
        <scheme val="minor"/>
      </rPr>
      <t>e</t>
    </r>
  </si>
  <si>
    <r>
      <t>V</t>
    </r>
    <r>
      <rPr>
        <b/>
        <vertAlign val="subscript"/>
        <sz val="10"/>
        <color rgb="FF0070C0"/>
        <rFont val="Calibri"/>
        <family val="2"/>
        <scheme val="minor"/>
      </rPr>
      <t>2</t>
    </r>
  </si>
  <si>
    <r>
      <t>M</t>
    </r>
    <r>
      <rPr>
        <b/>
        <vertAlign val="subscript"/>
        <sz val="10"/>
        <color rgb="FF0070C0"/>
        <rFont val="Calibri"/>
        <family val="2"/>
        <scheme val="minor"/>
      </rPr>
      <t>2</t>
    </r>
  </si>
  <si>
    <r>
      <t>V</t>
    </r>
    <r>
      <rPr>
        <b/>
        <vertAlign val="subscript"/>
        <sz val="10"/>
        <color rgb="FF0070C0"/>
        <rFont val="Calibri"/>
        <family val="2"/>
        <scheme val="minor"/>
      </rPr>
      <t>3</t>
    </r>
  </si>
  <si>
    <r>
      <t>M</t>
    </r>
    <r>
      <rPr>
        <b/>
        <vertAlign val="subscript"/>
        <sz val="10"/>
        <color rgb="FF0070C0"/>
        <rFont val="Calibri"/>
        <family val="2"/>
        <scheme val="minor"/>
      </rPr>
      <t>3</t>
    </r>
  </si>
  <si>
    <r>
      <t>L</t>
    </r>
    <r>
      <rPr>
        <b/>
        <vertAlign val="subscript"/>
        <sz val="10"/>
        <color rgb="FF0070C0"/>
        <rFont val="Calibri"/>
        <family val="2"/>
        <scheme val="minor"/>
      </rPr>
      <t>3tt</t>
    </r>
  </si>
  <si>
    <r>
      <rPr>
        <b/>
        <sz val="10"/>
        <color rgb="FF0070C0"/>
        <rFont val="Symbol"/>
        <family val="1"/>
        <charset val="2"/>
      </rPr>
      <t>j</t>
    </r>
    <r>
      <rPr>
        <b/>
        <vertAlign val="subscript"/>
        <sz val="10"/>
        <color rgb="FF0070C0"/>
        <rFont val="Calibri"/>
        <family val="2"/>
        <scheme val="minor"/>
      </rPr>
      <t>y</t>
    </r>
  </si>
  <si>
    <r>
      <rPr>
        <b/>
        <sz val="10"/>
        <color rgb="FF0070C0"/>
        <rFont val="Symbol"/>
        <family val="1"/>
        <charset val="2"/>
      </rPr>
      <t>j</t>
    </r>
    <r>
      <rPr>
        <b/>
        <vertAlign val="subscript"/>
        <sz val="10"/>
        <color rgb="FF0070C0"/>
        <rFont val="Calibri"/>
        <family val="2"/>
        <scheme val="minor"/>
      </rPr>
      <t>e</t>
    </r>
  </si>
  <si>
    <r>
      <t>l</t>
    </r>
    <r>
      <rPr>
        <vertAlign val="subscript"/>
        <sz val="10"/>
        <color theme="1"/>
        <rFont val="Symbol"/>
        <family val="1"/>
        <charset val="2"/>
      </rPr>
      <t>3</t>
    </r>
  </si>
  <si>
    <r>
      <t>l</t>
    </r>
    <r>
      <rPr>
        <vertAlign val="subscript"/>
        <sz val="10"/>
        <color theme="1"/>
        <rFont val="Symbol"/>
        <family val="1"/>
        <charset val="2"/>
      </rPr>
      <t>2</t>
    </r>
  </si>
  <si>
    <r>
      <t>L</t>
    </r>
    <r>
      <rPr>
        <b/>
        <vertAlign val="subscript"/>
        <sz val="10"/>
        <color rgb="FF0070C0"/>
        <rFont val="Calibri"/>
        <family val="2"/>
        <scheme val="minor"/>
      </rPr>
      <t>2tt</t>
    </r>
  </si>
  <si>
    <r>
      <t>l</t>
    </r>
    <r>
      <rPr>
        <b/>
        <vertAlign val="subscript"/>
        <sz val="10"/>
        <color rgb="FF0070C0"/>
        <rFont val="Calibri"/>
        <family val="2"/>
        <scheme val="minor"/>
      </rPr>
      <t>qu</t>
    </r>
    <r>
      <rPr>
        <b/>
        <vertAlign val="subscript"/>
        <sz val="10"/>
        <color rgb="FF0070C0"/>
        <rFont val="Symbol"/>
        <family val="1"/>
        <charset val="2"/>
      </rPr>
      <t>,3</t>
    </r>
  </si>
  <si>
    <r>
      <t>l</t>
    </r>
    <r>
      <rPr>
        <b/>
        <vertAlign val="subscript"/>
        <sz val="10"/>
        <color rgb="FF0070C0"/>
        <rFont val="Symbol"/>
        <family val="1"/>
        <charset val="2"/>
      </rPr>
      <t>2</t>
    </r>
  </si>
  <si>
    <r>
      <t>j</t>
    </r>
    <r>
      <rPr>
        <b/>
        <vertAlign val="subscript"/>
        <sz val="10"/>
        <color rgb="FF0070C0"/>
        <rFont val="Calibri"/>
        <family val="2"/>
        <scheme val="minor"/>
      </rPr>
      <t>c</t>
    </r>
  </si>
  <si>
    <r>
      <t>t</t>
    </r>
    <r>
      <rPr>
        <b/>
        <vertAlign val="subscript"/>
        <sz val="10"/>
        <color rgb="FF0070C0"/>
        <rFont val="Calibri"/>
        <family val="2"/>
        <scheme val="minor"/>
      </rPr>
      <t>f</t>
    </r>
  </si>
  <si>
    <r>
      <t>h</t>
    </r>
    <r>
      <rPr>
        <b/>
        <vertAlign val="subscript"/>
        <sz val="10"/>
        <color rgb="FF0070C0"/>
        <rFont val="Calibri"/>
        <family val="2"/>
        <scheme val="minor"/>
      </rPr>
      <t>w</t>
    </r>
    <r>
      <rPr>
        <b/>
        <sz val="10"/>
        <color rgb="FF0070C0"/>
        <rFont val="Calibri"/>
        <family val="2"/>
        <scheme val="minor"/>
      </rPr>
      <t>/t</t>
    </r>
    <r>
      <rPr>
        <b/>
        <vertAlign val="subscript"/>
        <sz val="10"/>
        <color rgb="FF0070C0"/>
        <rFont val="Calibri"/>
        <family val="2"/>
        <scheme val="minor"/>
      </rPr>
      <t>w</t>
    </r>
  </si>
  <si>
    <t>BẢNG TỔNG HỢP CHI TIẾT  - THUYẾT MINH CẤU KIỆN CHỊU NÉN LỆCH TÂM I</t>
  </si>
  <si>
    <t>372x6+212x8</t>
  </si>
  <si>
    <t>372x5+184x8</t>
  </si>
  <si>
    <t>421</t>
  </si>
  <si>
    <t>1_ULS33</t>
  </si>
  <si>
    <t>1_ULS38</t>
  </si>
  <si>
    <t>408</t>
  </si>
  <si>
    <t>OK</t>
  </si>
  <si>
    <t>Check</t>
  </si>
  <si>
    <r>
      <t>Ứng suất pháp của cấu kiện khi có tác dụng đồng thời M</t>
    </r>
    <r>
      <rPr>
        <vertAlign val="subscript"/>
        <sz val="10"/>
        <color theme="1"/>
        <rFont val="Calibri"/>
        <family val="2"/>
        <scheme val="minor"/>
      </rPr>
      <t>2</t>
    </r>
    <r>
      <rPr>
        <sz val="10"/>
        <color theme="1"/>
        <rFont val="Calibri"/>
        <family val="2"/>
        <scheme val="minor"/>
      </rPr>
      <t>, M</t>
    </r>
    <r>
      <rPr>
        <vertAlign val="subscript"/>
        <sz val="10"/>
        <color theme="1"/>
        <rFont val="Calibri"/>
        <family val="2"/>
        <scheme val="minor"/>
      </rPr>
      <t>3</t>
    </r>
  </si>
  <si>
    <r>
      <t xml:space="preserve">THIẾT KẾ CỘT THÉP </t>
    </r>
    <r>
      <rPr>
        <b/>
        <sz val="14"/>
        <color theme="0"/>
        <rFont val="Adobe Hebrew"/>
        <family val="1"/>
      </rPr>
      <t>I</t>
    </r>
    <r>
      <rPr>
        <b/>
        <sz val="14"/>
        <color theme="0"/>
        <rFont val="Calibri"/>
        <family val="2"/>
        <scheme val="minor"/>
      </rPr>
      <t xml:space="preserve"> THEO TCVN 5575</t>
    </r>
  </si>
  <si>
    <t>3. Độ mảnh của cấu kiện (Mục 7.5.5)</t>
  </si>
  <si>
    <t>Hệ số tính toán</t>
  </si>
  <si>
    <r>
      <rPr>
        <sz val="10"/>
        <color theme="1"/>
        <rFont val="Symbol"/>
        <family val="1"/>
        <charset val="2"/>
      </rPr>
      <t>j</t>
    </r>
    <r>
      <rPr>
        <sz val="10"/>
        <color theme="1"/>
        <rFont val="Calibri"/>
        <family val="2"/>
        <scheme val="minor"/>
      </rPr>
      <t xml:space="preserve"> =</t>
    </r>
  </si>
  <si>
    <t>Độ mảnh cấu kiện</t>
  </si>
  <si>
    <t>Độ mảnh giới hạn của cấu kiện</t>
  </si>
  <si>
    <r>
      <rPr>
        <sz val="10"/>
        <color theme="1"/>
        <rFont val="Symbol"/>
        <family val="1"/>
        <charset val="2"/>
      </rPr>
      <t>a</t>
    </r>
    <r>
      <rPr>
        <sz val="10"/>
        <color theme="1"/>
        <rFont val="Calibri"/>
        <family val="2"/>
        <scheme val="minor"/>
      </rPr>
      <t xml:space="preserve"> =N/(</t>
    </r>
    <r>
      <rPr>
        <sz val="10"/>
        <color theme="1"/>
        <rFont val="Symbol"/>
        <family val="1"/>
        <charset val="2"/>
      </rPr>
      <t>j</t>
    </r>
    <r>
      <rPr>
        <sz val="10"/>
        <color theme="1"/>
        <rFont val="Calibri"/>
        <family val="2"/>
        <scheme val="minor"/>
      </rPr>
      <t>Af</t>
    </r>
    <r>
      <rPr>
        <sz val="10"/>
        <color theme="1"/>
        <rFont val="Symbol"/>
        <family val="1"/>
        <charset val="2"/>
      </rPr>
      <t>g</t>
    </r>
    <r>
      <rPr>
        <vertAlign val="subscript"/>
        <sz val="10"/>
        <color theme="1"/>
        <rFont val="Calibri"/>
        <family val="2"/>
        <scheme val="minor"/>
      </rPr>
      <t>c</t>
    </r>
    <r>
      <rPr>
        <sz val="10"/>
        <color theme="1"/>
        <rFont val="Calibri"/>
        <family val="2"/>
        <scheme val="minor"/>
      </rPr>
      <t>)=</t>
    </r>
  </si>
  <si>
    <r>
      <rPr>
        <sz val="10"/>
        <color theme="1"/>
        <rFont val="Symbol"/>
        <family val="1"/>
        <charset val="2"/>
      </rPr>
      <t>l</t>
    </r>
    <r>
      <rPr>
        <sz val="10"/>
        <color theme="1"/>
        <rFont val="Calibri"/>
        <family val="2"/>
      </rPr>
      <t xml:space="preserve"> </t>
    </r>
    <r>
      <rPr>
        <vertAlign val="subscript"/>
        <sz val="10"/>
        <color theme="1"/>
        <rFont val="Calibri"/>
        <family val="2"/>
      </rPr>
      <t xml:space="preserve"> </t>
    </r>
    <r>
      <rPr>
        <sz val="10"/>
        <color theme="1"/>
        <rFont val="Calibri"/>
        <family val="2"/>
      </rPr>
      <t>=</t>
    </r>
  </si>
  <si>
    <r>
      <t xml:space="preserve">Tỉ số </t>
    </r>
    <r>
      <rPr>
        <sz val="10"/>
        <color theme="1"/>
        <rFont val="Symbol"/>
        <family val="1"/>
        <charset val="2"/>
      </rPr>
      <t>l</t>
    </r>
    <r>
      <rPr>
        <sz val="10"/>
        <color theme="1"/>
        <rFont val="Calibri"/>
        <family val="2"/>
      </rPr>
      <t>/[</t>
    </r>
    <r>
      <rPr>
        <sz val="10"/>
        <color theme="1"/>
        <rFont val="Symbol"/>
        <family val="1"/>
        <charset val="2"/>
      </rPr>
      <t>l</t>
    </r>
    <r>
      <rPr>
        <sz val="10"/>
        <color theme="1"/>
        <rFont val="Calibri"/>
        <family val="2"/>
      </rPr>
      <t>]</t>
    </r>
  </si>
  <si>
    <r>
      <t>[</t>
    </r>
    <r>
      <rPr>
        <sz val="10"/>
        <color theme="1"/>
        <rFont val="Symbol"/>
        <family val="1"/>
        <charset val="2"/>
      </rPr>
      <t>l</t>
    </r>
    <r>
      <rPr>
        <sz val="10"/>
        <color theme="1"/>
        <rFont val="Calibri"/>
        <family val="2"/>
        <scheme val="minor"/>
      </rPr>
      <t>]=180-60</t>
    </r>
    <r>
      <rPr>
        <sz val="10"/>
        <color theme="1"/>
        <rFont val="Symbol"/>
        <family val="1"/>
        <charset val="2"/>
      </rPr>
      <t>a</t>
    </r>
    <r>
      <rPr>
        <sz val="10"/>
        <color theme="1"/>
        <rFont val="Calibri"/>
        <family val="2"/>
        <scheme val="minor"/>
      </rPr>
      <t xml:space="preserve"> =</t>
    </r>
  </si>
  <si>
    <r>
      <rPr>
        <sz val="10"/>
        <color theme="1"/>
        <rFont val="Symbol"/>
        <family val="1"/>
        <charset val="2"/>
      </rPr>
      <t>l</t>
    </r>
    <r>
      <rPr>
        <sz val="10"/>
        <color theme="1"/>
        <rFont val="Calibri"/>
        <family val="2"/>
      </rPr>
      <t>/[</t>
    </r>
    <r>
      <rPr>
        <sz val="10"/>
        <color theme="1"/>
        <rFont val="Symbol"/>
        <family val="1"/>
        <charset val="2"/>
      </rPr>
      <t>l</t>
    </r>
    <r>
      <rPr>
        <sz val="10"/>
        <color theme="1"/>
        <rFont val="Calibri"/>
        <family val="2"/>
      </rPr>
      <t>]</t>
    </r>
    <r>
      <rPr>
        <sz val="10"/>
        <color theme="1"/>
        <rFont val="Calibri"/>
        <family val="2"/>
        <scheme val="minor"/>
      </rPr>
      <t>=</t>
    </r>
  </si>
  <si>
    <r>
      <t>Kết luận:</t>
    </r>
    <r>
      <rPr>
        <sz val="10"/>
        <color theme="1"/>
        <rFont val="Calibri"/>
        <family val="2"/>
        <scheme val="minor"/>
      </rPr>
      <t xml:space="preserve"> Cấu kiện đảm bảo khả năng chịu lực</t>
    </r>
  </si>
  <si>
    <t>Xác định chiều dài tính toán của cột loại 2 nhịp</t>
  </si>
  <si>
    <t>Đặc trưng hình học</t>
  </si>
  <si>
    <t>H</t>
  </si>
  <si>
    <t>B</t>
  </si>
  <si>
    <r>
      <t>t</t>
    </r>
    <r>
      <rPr>
        <vertAlign val="subscript"/>
        <sz val="10"/>
        <color theme="1"/>
        <rFont val="Calibri"/>
        <family val="2"/>
        <scheme val="minor"/>
      </rPr>
      <t>w</t>
    </r>
  </si>
  <si>
    <r>
      <t>t</t>
    </r>
    <r>
      <rPr>
        <vertAlign val="subscript"/>
        <sz val="10"/>
        <color theme="1"/>
        <rFont val="Calibri"/>
        <family val="2"/>
        <scheme val="minor"/>
      </rPr>
      <t>f</t>
    </r>
  </si>
  <si>
    <r>
      <t>I</t>
    </r>
    <r>
      <rPr>
        <vertAlign val="subscript"/>
        <sz val="10"/>
        <color theme="1"/>
        <rFont val="Calibri"/>
        <family val="2"/>
        <scheme val="minor"/>
      </rPr>
      <t>X</t>
    </r>
  </si>
  <si>
    <t>Cột</t>
  </si>
  <si>
    <t>Dầm</t>
  </si>
  <si>
    <t>Chiều cao cột, Lc</t>
  </si>
  <si>
    <r>
      <t>Hệ số I</t>
    </r>
    <r>
      <rPr>
        <vertAlign val="subscript"/>
        <sz val="10"/>
        <color theme="1"/>
        <rFont val="Calibri"/>
        <family val="2"/>
        <scheme val="minor"/>
      </rPr>
      <t>s</t>
    </r>
  </si>
  <si>
    <t>Bước cột, L</t>
  </si>
  <si>
    <r>
      <t>Hệ số I</t>
    </r>
    <r>
      <rPr>
        <vertAlign val="subscript"/>
        <sz val="10"/>
        <color theme="1"/>
        <rFont val="Calibri"/>
        <family val="2"/>
        <scheme val="minor"/>
      </rPr>
      <t>c</t>
    </r>
  </si>
  <si>
    <t>Hệ số n</t>
  </si>
  <si>
    <t>Hệ số uốn dọc khi chân cột liên kết khớp</t>
  </si>
  <si>
    <t>Hệ số uốn dọc khi chân cột liên kết ngàm</t>
  </si>
  <si>
    <t>Xác định chiều dài tính toán của cột loại nhiều nhịp</t>
  </si>
  <si>
    <t>Dầm trái</t>
  </si>
  <si>
    <t>Dầm phải</t>
  </si>
  <si>
    <r>
      <t>Chiều cao cột, L</t>
    </r>
    <r>
      <rPr>
        <vertAlign val="subscript"/>
        <sz val="10"/>
        <color theme="1"/>
        <rFont val="Calibri"/>
        <family val="2"/>
        <scheme val="minor"/>
      </rPr>
      <t>c</t>
    </r>
  </si>
  <si>
    <r>
      <t>Bước cột trái, L</t>
    </r>
    <r>
      <rPr>
        <vertAlign val="subscript"/>
        <sz val="10"/>
        <color theme="1"/>
        <rFont val="Calibri"/>
        <family val="2"/>
        <scheme val="minor"/>
      </rPr>
      <t>1</t>
    </r>
  </si>
  <si>
    <r>
      <t>Hệ số n</t>
    </r>
    <r>
      <rPr>
        <vertAlign val="subscript"/>
        <sz val="10"/>
        <color theme="1"/>
        <rFont val="Calibri"/>
        <family val="2"/>
        <scheme val="minor"/>
      </rPr>
      <t>1</t>
    </r>
  </si>
  <si>
    <r>
      <t>Bước cột phải, L</t>
    </r>
    <r>
      <rPr>
        <vertAlign val="subscript"/>
        <sz val="10"/>
        <color theme="1"/>
        <rFont val="Calibri"/>
        <family val="2"/>
        <scheme val="minor"/>
      </rPr>
      <t>2</t>
    </r>
  </si>
  <si>
    <r>
      <t>Hệ số n</t>
    </r>
    <r>
      <rPr>
        <vertAlign val="subscript"/>
        <sz val="10"/>
        <color theme="1"/>
        <rFont val="Calibri"/>
        <family val="2"/>
        <scheme val="minor"/>
      </rPr>
      <t>2</t>
    </r>
  </si>
  <si>
    <t>Số nhịp, 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</si>
</sst>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0.0E+00"/>
  </numFmts>
  <fonts count="56">
    <font>
      <sz val="11"/>
      <color theme="1"/>
      <name val="Calibri"/>
      <family val="2"/>
      <scheme val="minor"/>
    </font>
    <font>
      <sz val="10"/>
      <color theme="1"/>
      <name val="Calibri"/>
      <family val="2"/>
      <scheme val="minor"/>
    </font>
    <font>
      <b/>
      <sz val="10"/>
      <color theme="1"/>
      <name val="Calibri"/>
      <family val="2"/>
      <scheme val="minor"/>
    </font>
    <font>
      <vertAlign val="subscript"/>
      <sz val="10"/>
      <color theme="1"/>
      <name val="Calibri"/>
      <family val="2"/>
      <scheme val="minor"/>
    </font>
    <font>
      <b/>
      <i/>
      <sz val="10"/>
      <color theme="1"/>
      <name val="Calibri"/>
      <family val="2"/>
      <scheme val="minor"/>
    </font>
    <font>
      <sz val="10"/>
      <color rgb="FF0070C0"/>
      <name val="Calibri"/>
      <family val="2"/>
      <scheme val="minor"/>
    </font>
    <font>
      <sz val="10"/>
      <color theme="1"/>
      <name val="Symbol"/>
      <family val="1"/>
      <charset val="2"/>
    </font>
    <font>
      <sz val="10"/>
      <color theme="1"/>
      <name val="Calibri"/>
      <family val="2"/>
    </font>
    <font>
      <sz val="10"/>
      <color theme="1"/>
      <name val="Calibri"/>
      <family val="1"/>
      <charset val="2"/>
    </font>
    <font>
      <vertAlign val="subscript"/>
      <sz val="10"/>
      <color theme="1"/>
      <name val="Calibri"/>
      <family val="2"/>
    </font>
    <font>
      <sz val="10"/>
      <name val="Calibri"/>
      <family val="2"/>
      <scheme val="minor"/>
    </font>
    <font>
      <vertAlign val="superscript"/>
      <sz val="10"/>
      <color theme="1"/>
      <name val="Calibri"/>
      <family val="2"/>
      <scheme val="minor"/>
    </font>
    <font>
      <b/>
      <u/>
      <sz val="10"/>
      <color rgb="FFFF0000"/>
      <name val="Calibri"/>
      <family val="2"/>
      <scheme val="minor"/>
    </font>
    <font>
      <sz val="10"/>
      <color theme="1"/>
      <name val="Calibri"/>
      <family val="1"/>
      <charset val="2"/>
      <scheme val="minor"/>
    </font>
    <font>
      <i/>
      <sz val="10"/>
      <color rgb="FF7030A0"/>
      <name val="Calibri"/>
      <family val="2"/>
      <scheme val="minor"/>
    </font>
    <font>
      <sz val="10"/>
      <color rgb="FF0000CC"/>
      <name val="Calibri"/>
      <family val="2"/>
      <scheme val="minor"/>
    </font>
    <font>
      <b/>
      <sz val="14"/>
      <color theme="0"/>
      <name val="Calibri"/>
      <family val="2"/>
      <scheme val="minor"/>
    </font>
    <font>
      <b/>
      <sz val="14"/>
      <color theme="0"/>
      <name val="Adobe Hebrew"/>
      <family val="1"/>
    </font>
    <font>
      <b/>
      <sz val="14"/>
      <color rgb="FF0070C0"/>
      <name val="Calibri"/>
      <family val="2"/>
      <scheme val="minor"/>
    </font>
    <font>
      <b/>
      <sz val="10"/>
      <color theme="0"/>
      <name val="Calibri"/>
      <family val="2"/>
      <scheme val="minor"/>
    </font>
    <font>
      <b/>
      <vertAlign val="subscript"/>
      <sz val="10"/>
      <color theme="0"/>
      <name val="Calibri"/>
      <family val="2"/>
      <scheme val="minor"/>
    </font>
    <font>
      <b/>
      <sz val="13"/>
      <color theme="0"/>
      <name val="Calibri"/>
      <family val="2"/>
      <scheme val="minor"/>
    </font>
    <font>
      <sz val="11"/>
      <color theme="1"/>
      <name val="Calibri"/>
      <family val="2"/>
      <scheme val="minor"/>
    </font>
    <font>
      <sz val="10"/>
      <color theme="1"/>
      <name val="Tahoma"/>
      <family val="2"/>
    </font>
    <font>
      <b/>
      <sz val="10"/>
      <color rgb="FF0000CC"/>
      <name val="Calibri"/>
      <family val="2"/>
      <scheme val="minor"/>
    </font>
    <font>
      <vertAlign val="subscript"/>
      <sz val="10"/>
      <name val="Calibri"/>
      <family val="2"/>
      <scheme val="minor"/>
    </font>
    <font>
      <sz val="10"/>
      <name val="Calibri"/>
      <family val="1"/>
      <charset val="2"/>
      <scheme val="minor"/>
    </font>
    <font>
      <sz val="10"/>
      <name val="Symbol"/>
      <family val="1"/>
      <charset val="2"/>
    </font>
    <font>
      <sz val="10"/>
      <name val="Calibri"/>
      <family val="2"/>
    </font>
    <font>
      <vertAlign val="subscript"/>
      <sz val="10"/>
      <name val="Calibri"/>
      <family val="2"/>
    </font>
    <font>
      <b/>
      <sz val="10"/>
      <color theme="9" tint="-0.249977111117893"/>
      <name val="Calibri"/>
      <family val="2"/>
      <scheme val="minor"/>
    </font>
    <font>
      <b/>
      <sz val="10"/>
      <color rgb="FF0070C0"/>
      <name val="Calibri"/>
      <family val="2"/>
      <scheme val="minor"/>
    </font>
    <font>
      <sz val="10"/>
      <color theme="1"/>
      <name val="Calibri"/>
      <family val="2"/>
      <charset val="2"/>
      <scheme val="minor"/>
    </font>
    <font>
      <u/>
      <sz val="10"/>
      <color theme="1"/>
      <name val="Calibri"/>
      <family val="2"/>
      <scheme val="minor"/>
    </font>
    <font>
      <b/>
      <vertAlign val="subscript"/>
      <sz val="10"/>
      <color rgb="FF0070C0"/>
      <name val="Calibri"/>
      <family val="2"/>
      <scheme val="minor"/>
    </font>
    <font>
      <b/>
      <sz val="10"/>
      <color rgb="FF0070C0"/>
      <name val="Symbol"/>
      <family val="1"/>
      <charset val="2"/>
    </font>
    <font>
      <b/>
      <sz val="10"/>
      <color rgb="FF0070C0"/>
      <name val="Calibri"/>
      <family val="1"/>
      <charset val="2"/>
      <scheme val="minor"/>
    </font>
    <font>
      <b/>
      <vertAlign val="superscript"/>
      <sz val="10"/>
      <color rgb="FF0070C0"/>
      <name val="Calibri"/>
      <family val="2"/>
      <scheme val="minor"/>
    </font>
    <font>
      <sz val="10"/>
      <color theme="0"/>
      <name val="Calibri"/>
      <family val="2"/>
      <scheme val="minor"/>
    </font>
    <font>
      <sz val="10"/>
      <color theme="5"/>
      <name val="Calibri"/>
      <family val="2"/>
      <scheme val="minor"/>
    </font>
    <font>
      <b/>
      <sz val="9"/>
      <color indexed="81"/>
      <name val="Tahoma"/>
      <family val="2"/>
    </font>
    <font>
      <b/>
      <sz val="11"/>
      <color rgb="FF0000FF"/>
      <name val="Calibri"/>
      <family val="2"/>
    </font>
    <font>
      <b/>
      <sz val="13"/>
      <color rgb="FF0000CC"/>
      <name val="Calibri"/>
      <family val="2"/>
      <scheme val="minor"/>
    </font>
    <font>
      <b/>
      <sz val="11"/>
      <color rgb="FFFA7D00"/>
      <name val="Calibri"/>
      <family val="2"/>
      <scheme val="minor"/>
    </font>
    <font>
      <sz val="9"/>
      <color indexed="81"/>
      <name val="Tahoma"/>
      <family val="2"/>
    </font>
    <font>
      <vertAlign val="subscript"/>
      <sz val="10"/>
      <color theme="1"/>
      <name val="Symbol"/>
      <family val="1"/>
      <charset val="2"/>
    </font>
    <font>
      <b/>
      <sz val="10"/>
      <color rgb="FFFA7D00"/>
      <name val="Calibri"/>
      <family val="2"/>
      <scheme val="minor"/>
    </font>
    <font>
      <b/>
      <sz val="11"/>
      <color theme="1"/>
      <name val="Calibri"/>
      <family val="2"/>
      <scheme val="minor"/>
    </font>
    <font>
      <b/>
      <u/>
      <sz val="11"/>
      <color rgb="FFFF0000"/>
      <name val="Calibri"/>
      <family val="2"/>
      <scheme val="minor"/>
    </font>
    <font>
      <b/>
      <sz val="11"/>
      <color theme="1"/>
      <name val="Arial"/>
      <family val="2"/>
    </font>
    <font>
      <b/>
      <sz val="11"/>
      <color theme="1"/>
      <name val="Calibri"/>
      <family val="2"/>
    </font>
    <font>
      <b/>
      <u/>
      <sz val="10"/>
      <color theme="1"/>
      <name val="Calibri"/>
      <family val="2"/>
      <scheme val="minor"/>
    </font>
    <font>
      <b/>
      <vertAlign val="subscript"/>
      <sz val="10"/>
      <color rgb="FF0070C0"/>
      <name val="Symbol"/>
      <family val="1"/>
      <charset val="2"/>
    </font>
    <font>
      <sz val="11"/>
      <color rgb="FF9C5700"/>
      <name val="Calibri"/>
      <family val="2"/>
      <scheme val="minor"/>
    </font>
    <font>
      <sz val="8"/>
      <name val="Calibri"/>
      <family val="2"/>
      <scheme val="minor"/>
    </font>
    <font>
      <b/>
      <sz val="10"/>
      <color theme="4" tint="0.79998168889431442"/>
      <name val="Calibri"/>
      <family val="2"/>
      <scheme val="minor"/>
    </font>
  </fonts>
  <fills count="9">
    <fill>
      <patternFill patternType="none"/>
    </fill>
    <fill>
      <patternFill patternType="gray125"/>
    </fill>
    <fill>
      <patternFill patternType="solid">
        <fgColor theme="0"/>
        <bgColor indexed="64"/>
      </patternFill>
    </fill>
    <fill>
      <patternFill patternType="solid">
        <fgColor rgb="FF0070C0"/>
        <bgColor indexed="64"/>
      </patternFill>
    </fill>
    <fill>
      <patternFill patternType="solid">
        <fgColor theme="4" tint="0.79998168889431442"/>
        <bgColor indexed="64"/>
      </patternFill>
    </fill>
    <fill>
      <patternFill patternType="solid">
        <fgColor theme="4"/>
        <bgColor indexed="64"/>
      </patternFill>
    </fill>
    <fill>
      <patternFill patternType="solid">
        <fgColor theme="5"/>
        <bgColor indexed="64"/>
      </patternFill>
    </fill>
    <fill>
      <patternFill patternType="solid">
        <fgColor rgb="FFF2F2F2"/>
      </patternFill>
    </fill>
    <fill>
      <patternFill patternType="solid">
        <fgColor rgb="FFFFEB9C"/>
      </patternFill>
    </fill>
  </fills>
  <borders count="30">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bottom style="thin">
        <color theme="0" tint="-0.499984740745262"/>
      </bottom>
      <diagonal/>
    </border>
    <border>
      <left/>
      <right style="thin">
        <color indexed="64"/>
      </right>
      <top/>
      <bottom style="thin">
        <color theme="0" tint="-0.499984740745262"/>
      </bottom>
      <diagonal/>
    </border>
    <border>
      <left/>
      <right style="thin">
        <color indexed="64"/>
      </right>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theme="0" tint="-0.499984740745262"/>
      </top>
      <bottom style="thin">
        <color indexed="64"/>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theme="0" tint="-0.499984740745262"/>
      </left>
      <right style="thin">
        <color theme="0" tint="-0.499984740745262"/>
      </right>
      <top/>
      <bottom/>
      <diagonal/>
    </border>
  </borders>
  <cellStyleXfs count="4">
    <xf numFmtId="0" fontId="0" fillId="0" borderId="0"/>
    <xf numFmtId="0" fontId="22" fillId="0" borderId="0"/>
    <xf numFmtId="0" fontId="43" fillId="7" borderId="27" applyNumberFormat="0" applyAlignment="0" applyProtection="0"/>
    <xf numFmtId="0" fontId="53" fillId="8" borderId="0" applyNumberFormat="0" applyBorder="0" applyAlignment="0" applyProtection="0"/>
  </cellStyleXfs>
  <cellXfs count="282">
    <xf numFmtId="0" fontId="0" fillId="0" borderId="0" xfId="0"/>
    <xf numFmtId="0" fontId="1" fillId="0" borderId="0" xfId="0" applyFont="1"/>
    <xf numFmtId="0" fontId="4" fillId="0" borderId="0" xfId="0" applyFont="1"/>
    <xf numFmtId="0" fontId="14" fillId="0" borderId="0" xfId="0" applyFont="1"/>
    <xf numFmtId="0" fontId="1" fillId="2" borderId="0" xfId="0" applyFont="1" applyFill="1"/>
    <xf numFmtId="0" fontId="1" fillId="2" borderId="12" xfId="0" applyFont="1" applyFill="1" applyBorder="1" applyAlignment="1">
      <alignment horizontal="center"/>
    </xf>
    <xf numFmtId="0" fontId="10" fillId="2" borderId="0" xfId="0" applyFont="1" applyFill="1"/>
    <xf numFmtId="0" fontId="1" fillId="2" borderId="16" xfId="0" applyFont="1" applyFill="1" applyBorder="1" applyAlignment="1">
      <alignment horizontal="center" vertical="center"/>
    </xf>
    <xf numFmtId="0" fontId="15" fillId="2" borderId="16" xfId="0" applyFont="1" applyFill="1" applyBorder="1" applyAlignment="1">
      <alignment horizontal="center" vertical="center"/>
    </xf>
    <xf numFmtId="0" fontId="1" fillId="2" borderId="19" xfId="0" applyFont="1" applyFill="1" applyBorder="1" applyAlignment="1">
      <alignment vertical="top"/>
    </xf>
    <xf numFmtId="0" fontId="2" fillId="2" borderId="20" xfId="0" applyFont="1" applyFill="1" applyBorder="1" applyAlignment="1">
      <alignment horizontal="left" indent="1"/>
    </xf>
    <xf numFmtId="0" fontId="1" fillId="2" borderId="20" xfId="0" applyFont="1" applyFill="1" applyBorder="1" applyAlignment="1">
      <alignment horizontal="left" vertical="top" indent="2"/>
    </xf>
    <xf numFmtId="0" fontId="1" fillId="2" borderId="19" xfId="0" applyFont="1" applyFill="1" applyBorder="1"/>
    <xf numFmtId="0" fontId="1" fillId="2" borderId="20" xfId="0" applyFont="1" applyFill="1" applyBorder="1"/>
    <xf numFmtId="0" fontId="1" fillId="2" borderId="5" xfId="0" applyFont="1" applyFill="1" applyBorder="1"/>
    <xf numFmtId="0" fontId="1" fillId="2" borderId="16" xfId="0" applyFont="1" applyFill="1" applyBorder="1" applyAlignment="1">
      <alignment horizontal="center"/>
    </xf>
    <xf numFmtId="0" fontId="1" fillId="2" borderId="16" xfId="0" applyFont="1" applyFill="1" applyBorder="1" applyAlignment="1">
      <alignment horizontal="center" vertical="top"/>
    </xf>
    <xf numFmtId="1" fontId="1" fillId="2" borderId="16" xfId="0" applyNumberFormat="1" applyFont="1" applyFill="1" applyBorder="1" applyAlignment="1">
      <alignment horizontal="center" vertical="center"/>
    </xf>
    <xf numFmtId="164" fontId="1" fillId="2" borderId="16" xfId="0" applyNumberFormat="1" applyFont="1" applyFill="1" applyBorder="1" applyAlignment="1">
      <alignment horizontal="center" vertical="top"/>
    </xf>
    <xf numFmtId="0" fontId="19" fillId="5" borderId="12" xfId="0" applyFont="1" applyFill="1" applyBorder="1" applyAlignment="1">
      <alignment horizontal="center"/>
    </xf>
    <xf numFmtId="0" fontId="1" fillId="2" borderId="16" xfId="0" applyFont="1" applyFill="1" applyBorder="1"/>
    <xf numFmtId="164" fontId="1" fillId="2" borderId="16" xfId="0" applyNumberFormat="1" applyFont="1" applyFill="1" applyBorder="1" applyAlignment="1">
      <alignment horizontal="center"/>
    </xf>
    <xf numFmtId="1" fontId="1" fillId="2" borderId="16" xfId="0" applyNumberFormat="1" applyFont="1" applyFill="1" applyBorder="1" applyAlignment="1">
      <alignment horizontal="center" vertical="top"/>
    </xf>
    <xf numFmtId="0" fontId="12" fillId="2" borderId="19" xfId="0" applyFont="1" applyFill="1" applyBorder="1" applyAlignment="1">
      <alignment horizontal="center" vertical="center"/>
    </xf>
    <xf numFmtId="0" fontId="15" fillId="2" borderId="16" xfId="0" applyFont="1" applyFill="1" applyBorder="1"/>
    <xf numFmtId="164" fontId="15" fillId="2" borderId="16" xfId="0" applyNumberFormat="1" applyFont="1" applyFill="1" applyBorder="1"/>
    <xf numFmtId="164" fontId="10" fillId="2" borderId="16" xfId="0" applyNumberFormat="1" applyFont="1" applyFill="1" applyBorder="1" applyAlignment="1">
      <alignment horizontal="center" vertical="center"/>
    </xf>
    <xf numFmtId="0" fontId="10" fillId="2" borderId="16" xfId="0" applyFont="1" applyFill="1" applyBorder="1" applyAlignment="1">
      <alignment horizontal="center" vertical="center"/>
    </xf>
    <xf numFmtId="2" fontId="10" fillId="2" borderId="16" xfId="0" applyNumberFormat="1" applyFont="1" applyFill="1" applyBorder="1" applyAlignment="1">
      <alignment horizontal="center" vertical="center"/>
    </xf>
    <xf numFmtId="164" fontId="1" fillId="2" borderId="16" xfId="0" applyNumberFormat="1" applyFont="1" applyFill="1" applyBorder="1" applyAlignment="1">
      <alignment horizontal="center" vertical="center"/>
    </xf>
    <xf numFmtId="2" fontId="30" fillId="2" borderId="16" xfId="0" applyNumberFormat="1" applyFont="1" applyFill="1" applyBorder="1" applyAlignment="1">
      <alignment horizontal="center" vertical="center"/>
    </xf>
    <xf numFmtId="0" fontId="1" fillId="2" borderId="12" xfId="0" applyFont="1" applyFill="1" applyBorder="1" applyAlignment="1">
      <alignment horizontal="right" vertical="center"/>
    </xf>
    <xf numFmtId="0" fontId="15" fillId="2" borderId="0" xfId="0" applyFont="1" applyFill="1" applyAlignment="1">
      <alignment horizontal="center" vertical="center"/>
    </xf>
    <xf numFmtId="0" fontId="10" fillId="2" borderId="16" xfId="0" applyFont="1" applyFill="1" applyBorder="1"/>
    <xf numFmtId="0" fontId="1" fillId="2" borderId="2" xfId="0" applyFont="1" applyFill="1" applyBorder="1"/>
    <xf numFmtId="0" fontId="15" fillId="2" borderId="0" xfId="0" applyFont="1" applyFill="1"/>
    <xf numFmtId="0" fontId="10" fillId="2" borderId="0" xfId="0" applyFont="1" applyFill="1" applyAlignment="1">
      <alignment horizontal="right" vertical="center"/>
    </xf>
    <xf numFmtId="0" fontId="10" fillId="2" borderId="0" xfId="0" applyFont="1" applyFill="1" applyAlignment="1">
      <alignment horizontal="center" vertical="center"/>
    </xf>
    <xf numFmtId="0" fontId="1" fillId="2" borderId="0" xfId="0" applyFont="1" applyFill="1" applyAlignment="1">
      <alignment horizontal="center" vertical="center"/>
    </xf>
    <xf numFmtId="164" fontId="15" fillId="2" borderId="0" xfId="0" applyNumberFormat="1" applyFont="1" applyFill="1"/>
    <xf numFmtId="164" fontId="10" fillId="2" borderId="0" xfId="0" applyNumberFormat="1" applyFont="1" applyFill="1" applyAlignment="1">
      <alignment horizontal="center" vertical="center"/>
    </xf>
    <xf numFmtId="164" fontId="10" fillId="2" borderId="0" xfId="0" applyNumberFormat="1" applyFont="1" applyFill="1" applyAlignment="1">
      <alignment horizontal="right"/>
    </xf>
    <xf numFmtId="0" fontId="10" fillId="2" borderId="0" xfId="0" applyFont="1" applyFill="1" applyAlignment="1">
      <alignment horizontal="right" vertical="top"/>
    </xf>
    <xf numFmtId="1" fontId="10" fillId="2" borderId="0" xfId="0" applyNumberFormat="1" applyFont="1" applyFill="1"/>
    <xf numFmtId="0" fontId="26" fillId="2" borderId="0" xfId="0" applyFont="1" applyFill="1" applyAlignment="1">
      <alignment horizontal="right"/>
    </xf>
    <xf numFmtId="2" fontId="10" fillId="2" borderId="0" xfId="0" applyNumberFormat="1" applyFont="1" applyFill="1" applyAlignment="1">
      <alignment horizontal="center" vertical="center"/>
    </xf>
    <xf numFmtId="0" fontId="2" fillId="2" borderId="4" xfId="0" applyFont="1" applyFill="1" applyBorder="1" applyAlignment="1">
      <alignment horizontal="left" indent="1"/>
    </xf>
    <xf numFmtId="0" fontId="24" fillId="2" borderId="5" xfId="0" applyFont="1" applyFill="1" applyBorder="1" applyAlignment="1">
      <alignment horizontal="left" indent="1"/>
    </xf>
    <xf numFmtId="0" fontId="15" fillId="2" borderId="5" xfId="0" applyFont="1" applyFill="1" applyBorder="1"/>
    <xf numFmtId="0" fontId="15" fillId="2" borderId="5" xfId="0" applyFont="1" applyFill="1" applyBorder="1" applyAlignment="1">
      <alignment horizontal="center" vertical="center"/>
    </xf>
    <xf numFmtId="0" fontId="10" fillId="2" borderId="5" xfId="0" applyFont="1" applyFill="1" applyBorder="1" applyAlignment="1">
      <alignment horizontal="center" vertical="center"/>
    </xf>
    <xf numFmtId="0" fontId="1" fillId="2" borderId="5" xfId="0" applyFont="1" applyFill="1" applyBorder="1" applyAlignment="1">
      <alignment horizontal="center" vertical="center"/>
    </xf>
    <xf numFmtId="164" fontId="15" fillId="2" borderId="5" xfId="0" applyNumberFormat="1" applyFont="1" applyFill="1" applyBorder="1"/>
    <xf numFmtId="0" fontId="10" fillId="2" borderId="5" xfId="0" applyFont="1" applyFill="1" applyBorder="1"/>
    <xf numFmtId="164" fontId="10" fillId="2" borderId="5" xfId="0" applyNumberFormat="1" applyFont="1" applyFill="1" applyBorder="1" applyAlignment="1">
      <alignment horizontal="center" vertical="center"/>
    </xf>
    <xf numFmtId="2" fontId="10" fillId="2" borderId="5" xfId="0" applyNumberFormat="1" applyFont="1" applyFill="1" applyBorder="1" applyAlignment="1">
      <alignment horizontal="center" vertical="center"/>
    </xf>
    <xf numFmtId="0" fontId="10" fillId="2" borderId="16" xfId="0" applyFont="1" applyFill="1" applyBorder="1" applyAlignment="1">
      <alignment horizontal="center"/>
    </xf>
    <xf numFmtId="164" fontId="1" fillId="2" borderId="0" xfId="0" applyNumberFormat="1" applyFont="1" applyFill="1"/>
    <xf numFmtId="2" fontId="1" fillId="2" borderId="0" xfId="0" applyNumberFormat="1" applyFont="1" applyFill="1"/>
    <xf numFmtId="2" fontId="1" fillId="2" borderId="0" xfId="0" applyNumberFormat="1" applyFont="1" applyFill="1" applyAlignment="1">
      <alignment horizontal="center" vertical="center"/>
    </xf>
    <xf numFmtId="0" fontId="1" fillId="2" borderId="20" xfId="0" applyFont="1" applyFill="1" applyBorder="1" applyAlignment="1">
      <alignment horizontal="left" vertical="top" indent="3"/>
    </xf>
    <xf numFmtId="0" fontId="1" fillId="2" borderId="6" xfId="0" applyFont="1" applyFill="1" applyBorder="1"/>
    <xf numFmtId="0" fontId="33" fillId="2" borderId="20" xfId="0" applyFont="1" applyFill="1" applyBorder="1" applyAlignment="1">
      <alignment horizontal="left" vertical="top" indent="3"/>
    </xf>
    <xf numFmtId="0" fontId="15" fillId="0" borderId="0" xfId="0" applyFont="1" applyAlignment="1">
      <alignment horizontal="center" vertical="center"/>
    </xf>
    <xf numFmtId="0" fontId="15" fillId="2" borderId="11" xfId="0" applyFont="1" applyFill="1" applyBorder="1" applyAlignment="1">
      <alignment horizontal="center" vertical="center"/>
    </xf>
    <xf numFmtId="2" fontId="1" fillId="2" borderId="15" xfId="0" applyNumberFormat="1" applyFont="1" applyFill="1" applyBorder="1" applyAlignment="1">
      <alignment horizontal="center" vertical="center"/>
    </xf>
    <xf numFmtId="2" fontId="1" fillId="0" borderId="0" xfId="0" applyNumberFormat="1" applyFont="1"/>
    <xf numFmtId="2" fontId="1" fillId="2" borderId="15" xfId="0" applyNumberFormat="1" applyFont="1" applyFill="1" applyBorder="1"/>
    <xf numFmtId="164" fontId="1" fillId="2" borderId="15" xfId="0" applyNumberFormat="1" applyFont="1" applyFill="1" applyBorder="1"/>
    <xf numFmtId="164" fontId="1" fillId="2" borderId="15"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164" fontId="1" fillId="0" borderId="0" xfId="0" applyNumberFormat="1" applyFont="1"/>
    <xf numFmtId="0" fontId="1" fillId="6" borderId="0" xfId="0" applyFont="1" applyFill="1"/>
    <xf numFmtId="0" fontId="31" fillId="4" borderId="16" xfId="0" applyFont="1" applyFill="1" applyBorder="1" applyAlignment="1">
      <alignment horizontal="center" vertical="center"/>
    </xf>
    <xf numFmtId="0" fontId="31" fillId="4" borderId="16" xfId="0" applyFont="1" applyFill="1" applyBorder="1" applyAlignment="1">
      <alignment horizontal="center" vertical="top"/>
    </xf>
    <xf numFmtId="0" fontId="31" fillId="4" borderId="16" xfId="0" applyFont="1" applyFill="1" applyBorder="1" applyAlignment="1">
      <alignment horizontal="center"/>
    </xf>
    <xf numFmtId="164" fontId="31" fillId="4" borderId="16" xfId="0" applyNumberFormat="1" applyFont="1" applyFill="1" applyBorder="1" applyAlignment="1">
      <alignment horizontal="center"/>
    </xf>
    <xf numFmtId="0" fontId="35" fillId="4" borderId="16" xfId="0" applyFont="1" applyFill="1" applyBorder="1" applyAlignment="1">
      <alignment horizontal="center" vertical="center"/>
    </xf>
    <xf numFmtId="164" fontId="35" fillId="4" borderId="16" xfId="0" applyNumberFormat="1" applyFont="1" applyFill="1" applyBorder="1" applyAlignment="1">
      <alignment horizontal="center" vertical="center"/>
    </xf>
    <xf numFmtId="0" fontId="36" fillId="4" borderId="16" xfId="0" applyFont="1" applyFill="1" applyBorder="1" applyAlignment="1">
      <alignment horizontal="center" vertical="center"/>
    </xf>
    <xf numFmtId="164" fontId="31" fillId="4" borderId="16" xfId="0" applyNumberFormat="1" applyFont="1" applyFill="1" applyBorder="1" applyAlignment="1">
      <alignment horizontal="center" vertical="center"/>
    </xf>
    <xf numFmtId="0" fontId="31" fillId="4" borderId="16" xfId="0" applyFont="1" applyFill="1" applyBorder="1"/>
    <xf numFmtId="2" fontId="31" fillId="4" borderId="16" xfId="0" applyNumberFormat="1" applyFont="1" applyFill="1" applyBorder="1" applyAlignment="1">
      <alignment horizontal="center" vertical="center"/>
    </xf>
    <xf numFmtId="2" fontId="1" fillId="2" borderId="16" xfId="0" applyNumberFormat="1" applyFont="1" applyFill="1" applyBorder="1" applyAlignment="1">
      <alignment horizontal="center" vertical="center"/>
    </xf>
    <xf numFmtId="2" fontId="31" fillId="4" borderId="16" xfId="0" applyNumberFormat="1" applyFont="1" applyFill="1" applyBorder="1" applyAlignment="1">
      <alignment horizontal="center"/>
    </xf>
    <xf numFmtId="1" fontId="15" fillId="2" borderId="16" xfId="0" applyNumberFormat="1" applyFont="1" applyFill="1" applyBorder="1" applyAlignment="1">
      <alignment horizontal="center" vertical="center"/>
    </xf>
    <xf numFmtId="2" fontId="15" fillId="2" borderId="0" xfId="0" applyNumberFormat="1" applyFont="1" applyFill="1"/>
    <xf numFmtId="2" fontId="15" fillId="2" borderId="5" xfId="0" applyNumberFormat="1" applyFont="1" applyFill="1" applyBorder="1"/>
    <xf numFmtId="2" fontId="15" fillId="2" borderId="16" xfId="0" applyNumberFormat="1" applyFont="1" applyFill="1" applyBorder="1"/>
    <xf numFmtId="2" fontId="15" fillId="2" borderId="16" xfId="0" applyNumberFormat="1" applyFont="1" applyFill="1" applyBorder="1" applyAlignment="1">
      <alignment horizontal="center" vertical="center"/>
    </xf>
    <xf numFmtId="0" fontId="3" fillId="2" borderId="16" xfId="0" applyFont="1" applyFill="1" applyBorder="1" applyAlignment="1">
      <alignment horizontal="center" vertical="center"/>
    </xf>
    <xf numFmtId="0" fontId="48" fillId="0" borderId="0" xfId="0" applyFont="1"/>
    <xf numFmtId="0" fontId="47" fillId="0" borderId="0" xfId="0" applyFont="1"/>
    <xf numFmtId="2" fontId="0" fillId="0" borderId="16" xfId="0" applyNumberFormat="1" applyBorder="1" applyAlignment="1">
      <alignment horizontal="center" vertical="center"/>
    </xf>
    <xf numFmtId="2" fontId="47" fillId="0" borderId="16" xfId="0" applyNumberFormat="1" applyFont="1" applyBorder="1" applyAlignment="1">
      <alignment horizontal="center" vertical="center"/>
    </xf>
    <xf numFmtId="165" fontId="0" fillId="0" borderId="16" xfId="0" applyNumberFormat="1" applyBorder="1" applyAlignment="1">
      <alignment horizontal="center" vertical="center"/>
    </xf>
    <xf numFmtId="0" fontId="6" fillId="2" borderId="16" xfId="0" applyFont="1" applyFill="1" applyBorder="1" applyAlignment="1">
      <alignment horizontal="center" vertical="center"/>
    </xf>
    <xf numFmtId="0" fontId="13" fillId="2" borderId="16" xfId="0" applyFont="1" applyFill="1" applyBorder="1" applyAlignment="1">
      <alignment horizontal="center" vertical="center"/>
    </xf>
    <xf numFmtId="165" fontId="1" fillId="2" borderId="16" xfId="0" applyNumberFormat="1" applyFont="1" applyFill="1" applyBorder="1" applyAlignment="1">
      <alignment horizontal="center" vertical="center"/>
    </xf>
    <xf numFmtId="165" fontId="10" fillId="2" borderId="16" xfId="0" applyNumberFormat="1" applyFont="1" applyFill="1" applyBorder="1" applyAlignment="1">
      <alignment horizontal="center"/>
    </xf>
    <xf numFmtId="0" fontId="13" fillId="2" borderId="0" xfId="0" applyFont="1" applyFill="1" applyAlignment="1">
      <alignment horizontal="right" vertical="center"/>
    </xf>
    <xf numFmtId="0" fontId="51" fillId="2" borderId="20" xfId="0" applyFont="1" applyFill="1" applyBorder="1" applyAlignment="1">
      <alignment horizontal="left" indent="1"/>
    </xf>
    <xf numFmtId="0" fontId="1" fillId="2" borderId="0" xfId="0" applyFont="1" applyFill="1" applyAlignment="1">
      <alignment vertical="top"/>
    </xf>
    <xf numFmtId="0" fontId="1" fillId="2" borderId="0" xfId="0" applyFont="1" applyFill="1" applyAlignment="1">
      <alignment horizontal="right" vertical="top"/>
    </xf>
    <xf numFmtId="0" fontId="5" fillId="2" borderId="0" xfId="0" applyFont="1" applyFill="1" applyAlignment="1">
      <alignment vertical="top"/>
    </xf>
    <xf numFmtId="0" fontId="15" fillId="2" borderId="0" xfId="0" applyFont="1" applyFill="1" applyAlignment="1">
      <alignment horizontal="right" vertical="center"/>
    </xf>
    <xf numFmtId="0" fontId="15" fillId="2" borderId="0" xfId="0" applyFont="1" applyFill="1" applyAlignment="1">
      <alignment vertical="top"/>
    </xf>
    <xf numFmtId="1" fontId="10" fillId="2" borderId="0" xfId="0" applyNumberFormat="1" applyFont="1" applyFill="1" applyAlignment="1">
      <alignment vertical="top"/>
    </xf>
    <xf numFmtId="2" fontId="15" fillId="2" borderId="0" xfId="0" applyNumberFormat="1" applyFont="1" applyFill="1" applyAlignment="1">
      <alignment vertical="top"/>
    </xf>
    <xf numFmtId="0" fontId="1" fillId="2" borderId="0" xfId="0" applyFont="1" applyFill="1" applyAlignment="1">
      <alignment horizontal="right" vertical="center"/>
    </xf>
    <xf numFmtId="0" fontId="1" fillId="2" borderId="0" xfId="0" applyFont="1" applyFill="1" applyAlignment="1">
      <alignment horizontal="left" vertical="center"/>
    </xf>
    <xf numFmtId="0" fontId="5" fillId="2" borderId="0" xfId="0" applyFont="1" applyFill="1" applyAlignment="1">
      <alignment horizontal="right"/>
    </xf>
    <xf numFmtId="164" fontId="1" fillId="2" borderId="0" xfId="0" applyNumberFormat="1" applyFont="1" applyFill="1" applyAlignment="1">
      <alignment vertical="top"/>
    </xf>
    <xf numFmtId="0" fontId="8" fillId="2" borderId="0" xfId="0" applyFont="1" applyFill="1" applyAlignment="1">
      <alignment horizontal="right" vertical="top"/>
    </xf>
    <xf numFmtId="0" fontId="8" fillId="2" borderId="0" xfId="0" applyFont="1" applyFill="1" applyAlignment="1">
      <alignment horizontal="right"/>
    </xf>
    <xf numFmtId="2" fontId="46" fillId="7" borderId="27" xfId="2" applyNumberFormat="1" applyFont="1"/>
    <xf numFmtId="0" fontId="6" fillId="2" borderId="0" xfId="0" applyFont="1" applyFill="1" applyAlignment="1">
      <alignment horizontal="center"/>
    </xf>
    <xf numFmtId="0" fontId="1" fillId="2" borderId="0" xfId="0" applyFont="1" applyFill="1" applyAlignment="1">
      <alignment vertical="center"/>
    </xf>
    <xf numFmtId="165" fontId="1" fillId="2" borderId="0" xfId="0" applyNumberFormat="1" applyFont="1" applyFill="1"/>
    <xf numFmtId="164" fontId="1" fillId="2" borderId="0" xfId="0" applyNumberFormat="1" applyFont="1" applyFill="1" applyAlignment="1">
      <alignment horizontal="right" vertical="top"/>
    </xf>
    <xf numFmtId="0" fontId="1" fillId="2" borderId="20" xfId="0" applyFont="1" applyFill="1" applyBorder="1" applyAlignment="1">
      <alignment horizontal="right" vertical="center"/>
    </xf>
    <xf numFmtId="165" fontId="1" fillId="2" borderId="0" xfId="0" applyNumberFormat="1" applyFont="1" applyFill="1" applyAlignment="1">
      <alignment horizontal="center" vertical="center"/>
    </xf>
    <xf numFmtId="0" fontId="1" fillId="2" borderId="0" xfId="0" applyFont="1" applyFill="1" applyAlignment="1">
      <alignment horizontal="right" vertical="top" indent="2"/>
    </xf>
    <xf numFmtId="0" fontId="32" fillId="2" borderId="0" xfId="0" applyFont="1" applyFill="1" applyAlignment="1">
      <alignment horizontal="right" vertical="center"/>
    </xf>
    <xf numFmtId="2" fontId="1" fillId="2" borderId="0" xfId="0" applyNumberFormat="1" applyFont="1" applyFill="1" applyAlignment="1">
      <alignment horizontal="left" vertical="center"/>
    </xf>
    <xf numFmtId="0" fontId="1" fillId="2" borderId="0" xfId="0" applyFont="1" applyFill="1" applyAlignment="1">
      <alignment horizontal="left" vertical="top" indent="2"/>
    </xf>
    <xf numFmtId="165" fontId="10" fillId="2" borderId="0" xfId="0" applyNumberFormat="1" applyFont="1" applyFill="1"/>
    <xf numFmtId="0" fontId="13" fillId="2" borderId="5" xfId="0" applyFont="1" applyFill="1" applyBorder="1" applyAlignment="1">
      <alignment horizontal="right" vertical="center"/>
    </xf>
    <xf numFmtId="0" fontId="1" fillId="2" borderId="5" xfId="0" applyFont="1" applyFill="1" applyBorder="1" applyAlignment="1">
      <alignment horizontal="right" vertical="center"/>
    </xf>
    <xf numFmtId="0" fontId="12" fillId="2" borderId="0" xfId="0" applyFont="1" applyFill="1" applyAlignment="1">
      <alignment horizontal="left" vertical="center"/>
    </xf>
    <xf numFmtId="165" fontId="10" fillId="2" borderId="16" xfId="0" applyNumberFormat="1" applyFont="1" applyFill="1" applyBorder="1" applyAlignment="1">
      <alignment horizontal="center" vertical="center"/>
    </xf>
    <xf numFmtId="1" fontId="47" fillId="0" borderId="16" xfId="0" applyNumberFormat="1" applyFont="1" applyBorder="1" applyAlignment="1">
      <alignment horizontal="center" vertical="center"/>
    </xf>
    <xf numFmtId="2" fontId="10" fillId="0" borderId="0" xfId="0" applyNumberFormat="1" applyFont="1"/>
    <xf numFmtId="0" fontId="39" fillId="6" borderId="0" xfId="0" applyFont="1" applyFill="1" applyAlignment="1">
      <alignment horizontal="center" vertical="center"/>
    </xf>
    <xf numFmtId="0" fontId="38" fillId="6" borderId="0" xfId="0" applyFont="1" applyFill="1" applyAlignment="1">
      <alignment vertical="center"/>
    </xf>
    <xf numFmtId="0" fontId="24" fillId="2" borderId="0" xfId="0" applyFont="1" applyFill="1" applyAlignment="1">
      <alignment horizontal="left" indent="1"/>
    </xf>
    <xf numFmtId="2" fontId="1" fillId="2" borderId="16" xfId="0" applyNumberFormat="1" applyFont="1" applyFill="1" applyBorder="1"/>
    <xf numFmtId="2" fontId="15" fillId="2" borderId="0" xfId="0" applyNumberFormat="1" applyFont="1" applyFill="1" applyAlignment="1">
      <alignment horizontal="right" vertical="center"/>
    </xf>
    <xf numFmtId="0" fontId="1" fillId="2" borderId="25" xfId="0" applyFont="1" applyFill="1" applyBorder="1" applyAlignment="1">
      <alignment horizontal="center" vertical="center"/>
    </xf>
    <xf numFmtId="0" fontId="15" fillId="2" borderId="10" xfId="0" applyFont="1" applyFill="1" applyBorder="1" applyAlignment="1">
      <alignment horizontal="center" vertical="center"/>
    </xf>
    <xf numFmtId="0" fontId="10" fillId="2" borderId="11" xfId="0" applyFont="1" applyFill="1" applyBorder="1" applyAlignment="1">
      <alignment horizontal="center" vertical="center"/>
    </xf>
    <xf numFmtId="0" fontId="1" fillId="2" borderId="25" xfId="0" applyFont="1" applyFill="1" applyBorder="1"/>
    <xf numFmtId="0" fontId="15" fillId="2" borderId="25" xfId="0" applyFont="1" applyFill="1" applyBorder="1"/>
    <xf numFmtId="2" fontId="15" fillId="2" borderId="25" xfId="0" applyNumberFormat="1" applyFont="1" applyFill="1" applyBorder="1"/>
    <xf numFmtId="0" fontId="15" fillId="2" borderId="25" xfId="0" applyFont="1" applyFill="1" applyBorder="1" applyAlignment="1">
      <alignment horizontal="center" vertical="center"/>
    </xf>
    <xf numFmtId="0" fontId="10" fillId="2" borderId="25" xfId="0" applyFont="1" applyFill="1" applyBorder="1" applyAlignment="1">
      <alignment horizontal="center" vertical="center"/>
    </xf>
    <xf numFmtId="164" fontId="1" fillId="2" borderId="25" xfId="0" applyNumberFormat="1" applyFont="1" applyFill="1" applyBorder="1" applyAlignment="1">
      <alignment horizontal="center" vertical="center"/>
    </xf>
    <xf numFmtId="164" fontId="15" fillId="2" borderId="25" xfId="0" applyNumberFormat="1" applyFont="1" applyFill="1" applyBorder="1"/>
    <xf numFmtId="164" fontId="10" fillId="2" borderId="25" xfId="0" applyNumberFormat="1" applyFont="1" applyFill="1" applyBorder="1" applyAlignment="1">
      <alignment horizontal="center" vertical="center"/>
    </xf>
    <xf numFmtId="2" fontId="30" fillId="2" borderId="25" xfId="0" applyNumberFormat="1" applyFont="1" applyFill="1" applyBorder="1" applyAlignment="1">
      <alignment horizontal="center" vertical="center"/>
    </xf>
    <xf numFmtId="0" fontId="15" fillId="2" borderId="8" xfId="0" applyFont="1" applyFill="1" applyBorder="1" applyAlignment="1">
      <alignment horizontal="center" vertical="center"/>
    </xf>
    <xf numFmtId="0" fontId="10" fillId="2" borderId="8" xfId="0" applyFont="1" applyFill="1" applyBorder="1" applyAlignment="1">
      <alignment horizontal="center" vertical="center"/>
    </xf>
    <xf numFmtId="164" fontId="1" fillId="2" borderId="29" xfId="0" applyNumberFormat="1" applyFont="1" applyFill="1" applyBorder="1" applyAlignment="1">
      <alignment horizontal="center" vertical="center"/>
    </xf>
    <xf numFmtId="2" fontId="1" fillId="2" borderId="29" xfId="0" applyNumberFormat="1" applyFont="1" applyFill="1" applyBorder="1"/>
    <xf numFmtId="2" fontId="10" fillId="2" borderId="25" xfId="0" applyNumberFormat="1" applyFont="1" applyFill="1" applyBorder="1" applyAlignment="1">
      <alignment horizontal="center" vertical="center"/>
    </xf>
    <xf numFmtId="2" fontId="1" fillId="2" borderId="25" xfId="0" applyNumberFormat="1" applyFont="1" applyFill="1" applyBorder="1"/>
    <xf numFmtId="164" fontId="1" fillId="2" borderId="29" xfId="0" applyNumberFormat="1" applyFont="1" applyFill="1" applyBorder="1"/>
    <xf numFmtId="2" fontId="1" fillId="2" borderId="29"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25" xfId="0" applyNumberFormat="1" applyFont="1" applyFill="1" applyBorder="1" applyAlignment="1">
      <alignment horizontal="center" vertical="center"/>
    </xf>
    <xf numFmtId="164" fontId="1" fillId="2" borderId="16" xfId="0" applyNumberFormat="1" applyFont="1" applyFill="1" applyBorder="1"/>
    <xf numFmtId="0" fontId="1" fillId="0" borderId="16" xfId="0" applyFont="1" applyBorder="1"/>
    <xf numFmtId="0" fontId="15" fillId="0" borderId="16" xfId="0" applyFont="1" applyBorder="1"/>
    <xf numFmtId="2" fontId="15" fillId="0" borderId="16" xfId="0" applyNumberFormat="1" applyFont="1" applyBorder="1"/>
    <xf numFmtId="0" fontId="15" fillId="0" borderId="16" xfId="0" applyFont="1" applyBorder="1" applyAlignment="1">
      <alignment horizontal="center" vertical="center"/>
    </xf>
    <xf numFmtId="0" fontId="10" fillId="0" borderId="16" xfId="0" applyFont="1" applyBorder="1" applyAlignment="1">
      <alignment horizontal="center" vertical="center"/>
    </xf>
    <xf numFmtId="0" fontId="1" fillId="0" borderId="16" xfId="0" applyFont="1" applyBorder="1" applyAlignment="1">
      <alignment horizontal="center" vertical="center"/>
    </xf>
    <xf numFmtId="164" fontId="1" fillId="0" borderId="16" xfId="0" applyNumberFormat="1" applyFont="1" applyBorder="1" applyAlignment="1">
      <alignment horizontal="center" vertical="center"/>
    </xf>
    <xf numFmtId="164" fontId="15" fillId="0" borderId="16" xfId="0" applyNumberFormat="1" applyFont="1" applyBorder="1"/>
    <xf numFmtId="164" fontId="10" fillId="0" borderId="16" xfId="0" applyNumberFormat="1" applyFont="1" applyBorder="1" applyAlignment="1">
      <alignment horizontal="center" vertical="center"/>
    </xf>
    <xf numFmtId="2" fontId="10" fillId="0" borderId="16" xfId="0" applyNumberFormat="1" applyFont="1" applyBorder="1" applyAlignment="1">
      <alignment horizontal="center" vertical="center"/>
    </xf>
    <xf numFmtId="2" fontId="1" fillId="0" borderId="16" xfId="0" applyNumberFormat="1" applyFont="1" applyBorder="1"/>
    <xf numFmtId="164" fontId="1" fillId="0" borderId="16" xfId="0" applyNumberFormat="1" applyFont="1" applyBorder="1"/>
    <xf numFmtId="2" fontId="1" fillId="0" borderId="16" xfId="0" applyNumberFormat="1" applyFont="1" applyBorder="1" applyAlignment="1">
      <alignment horizontal="center" vertical="center"/>
    </xf>
    <xf numFmtId="0" fontId="10" fillId="0" borderId="16" xfId="0" applyFont="1" applyBorder="1"/>
    <xf numFmtId="2" fontId="10" fillId="2" borderId="0" xfId="0" applyNumberFormat="1" applyFont="1" applyFill="1"/>
    <xf numFmtId="0" fontId="1" fillId="0" borderId="16" xfId="0" applyFont="1" applyBorder="1" applyAlignment="1">
      <alignment horizontal="left" vertical="center" indent="1"/>
    </xf>
    <xf numFmtId="2" fontId="43" fillId="7" borderId="27" xfId="2" applyNumberFormat="1"/>
    <xf numFmtId="0" fontId="1" fillId="0" borderId="16" xfId="0" applyFont="1" applyBorder="1" applyAlignment="1">
      <alignment horizontal="left" vertical="center"/>
    </xf>
    <xf numFmtId="0" fontId="1" fillId="0" borderId="16" xfId="0" applyFont="1" applyBorder="1" applyAlignment="1">
      <alignment vertical="center"/>
    </xf>
    <xf numFmtId="0" fontId="1" fillId="0" borderId="1" xfId="0" applyFont="1" applyBorder="1" applyAlignment="1">
      <alignment horizontal="left" vertical="center" indent="1"/>
    </xf>
    <xf numFmtId="0" fontId="1" fillId="0" borderId="2" xfId="0" applyFont="1" applyBorder="1" applyAlignment="1">
      <alignment vertical="center"/>
    </xf>
    <xf numFmtId="2" fontId="43" fillId="7" borderId="16" xfId="2" applyNumberFormat="1" applyBorder="1" applyAlignment="1">
      <alignment horizontal="center" vertical="center"/>
    </xf>
    <xf numFmtId="166" fontId="1" fillId="0" borderId="16" xfId="0" applyNumberFormat="1" applyFont="1" applyBorder="1" applyAlignment="1">
      <alignment horizontal="center" vertical="center"/>
    </xf>
    <xf numFmtId="166" fontId="15" fillId="0" borderId="16" xfId="0" applyNumberFormat="1" applyFont="1" applyBorder="1"/>
    <xf numFmtId="0" fontId="53" fillId="8" borderId="0" xfId="3" applyAlignment="1">
      <alignment vertical="center"/>
    </xf>
    <xf numFmtId="0" fontId="19" fillId="5" borderId="14" xfId="0" applyFont="1" applyFill="1" applyBorder="1" applyAlignment="1">
      <alignment horizontal="center" vertical="center"/>
    </xf>
    <xf numFmtId="0" fontId="19" fillId="5" borderId="11" xfId="0" applyFont="1" applyFill="1" applyBorder="1" applyAlignment="1">
      <alignment horizontal="center" vertical="center"/>
    </xf>
    <xf numFmtId="0" fontId="21" fillId="5" borderId="1" xfId="0" applyFont="1" applyFill="1" applyBorder="1" applyAlignment="1">
      <alignment horizontal="center"/>
    </xf>
    <xf numFmtId="0" fontId="21" fillId="5" borderId="2" xfId="0" applyFont="1" applyFill="1" applyBorder="1" applyAlignment="1">
      <alignment horizontal="center"/>
    </xf>
    <xf numFmtId="0" fontId="21" fillId="5" borderId="3" xfId="0" applyFont="1" applyFill="1" applyBorder="1" applyAlignment="1">
      <alignment horizontal="center"/>
    </xf>
    <xf numFmtId="0" fontId="19" fillId="5" borderId="4" xfId="0" applyFont="1" applyFill="1" applyBorder="1" applyAlignment="1">
      <alignment horizontal="center"/>
    </xf>
    <xf numFmtId="0" fontId="19" fillId="5" borderId="5" xfId="0" applyFont="1" applyFill="1" applyBorder="1" applyAlignment="1">
      <alignment horizontal="center"/>
    </xf>
    <xf numFmtId="0" fontId="19" fillId="5" borderId="6" xfId="0" applyFont="1" applyFill="1" applyBorder="1" applyAlignment="1">
      <alignment horizontal="center"/>
    </xf>
    <xf numFmtId="0" fontId="1" fillId="2" borderId="7" xfId="0" applyFont="1" applyFill="1" applyBorder="1" applyAlignment="1">
      <alignment horizontal="left" vertical="top" wrapText="1"/>
    </xf>
    <xf numFmtId="0" fontId="1" fillId="2" borderId="0" xfId="0" applyFont="1" applyFill="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0" fontId="19" fillId="3" borderId="25" xfId="0" applyFont="1" applyFill="1" applyBorder="1" applyAlignment="1">
      <alignment horizontal="center" vertical="center"/>
    </xf>
    <xf numFmtId="0" fontId="2" fillId="0" borderId="16" xfId="0" applyFont="1" applyBorder="1" applyAlignment="1">
      <alignment horizontal="center" vertical="center"/>
    </xf>
    <xf numFmtId="0" fontId="1" fillId="0" borderId="21" xfId="0" applyFont="1" applyBorder="1" applyAlignment="1">
      <alignment horizontal="center"/>
    </xf>
    <xf numFmtId="0" fontId="1" fillId="0" borderId="28" xfId="0" applyFont="1" applyBorder="1" applyAlignment="1">
      <alignment horizontal="center"/>
    </xf>
    <xf numFmtId="0" fontId="1" fillId="0" borderId="16" xfId="0" applyFont="1" applyBorder="1" applyAlignment="1">
      <alignment horizontal="left" vertical="center" indent="1"/>
    </xf>
    <xf numFmtId="0" fontId="1" fillId="0" borderId="21" xfId="0" applyFont="1" applyBorder="1" applyAlignment="1">
      <alignment horizontal="left" vertical="center" indent="1"/>
    </xf>
    <xf numFmtId="0" fontId="1" fillId="0" borderId="22" xfId="0" applyFont="1" applyBorder="1" applyAlignment="1">
      <alignment horizontal="left" vertical="center" indent="1"/>
    </xf>
    <xf numFmtId="0" fontId="19" fillId="3" borderId="16" xfId="0" applyFont="1" applyFill="1" applyBorder="1" applyAlignment="1">
      <alignment horizontal="center" vertical="center"/>
    </xf>
    <xf numFmtId="0" fontId="1" fillId="0" borderId="21" xfId="0" applyFont="1" applyBorder="1" applyAlignment="1">
      <alignment horizontal="center" vertical="center"/>
    </xf>
    <xf numFmtId="0" fontId="1" fillId="0" borderId="28" xfId="0" applyFont="1" applyBorder="1" applyAlignment="1">
      <alignment horizontal="center" vertical="center"/>
    </xf>
    <xf numFmtId="0" fontId="1" fillId="0" borderId="22" xfId="0" applyFont="1" applyBorder="1" applyAlignment="1">
      <alignment horizontal="center" vertical="center"/>
    </xf>
    <xf numFmtId="0" fontId="24" fillId="4" borderId="25" xfId="0" applyFont="1" applyFill="1" applyBorder="1" applyAlignment="1">
      <alignment horizontal="center"/>
    </xf>
    <xf numFmtId="0" fontId="10" fillId="2" borderId="16" xfId="0" applyFont="1" applyFill="1" applyBorder="1" applyAlignment="1">
      <alignment horizontal="center"/>
    </xf>
    <xf numFmtId="0" fontId="10" fillId="2" borderId="16" xfId="0" applyFont="1" applyFill="1" applyBorder="1" applyAlignment="1">
      <alignment horizontal="center" vertical="center"/>
    </xf>
    <xf numFmtId="0" fontId="1" fillId="2" borderId="25" xfId="0" applyFont="1" applyFill="1" applyBorder="1" applyAlignment="1">
      <alignment horizontal="center" vertical="center"/>
    </xf>
    <xf numFmtId="0" fontId="1" fillId="2" borderId="26" xfId="0" applyFont="1" applyFill="1" applyBorder="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3" xfId="0" applyFont="1" applyFill="1" applyBorder="1" applyAlignment="1">
      <alignment horizontal="center" vertical="center"/>
    </xf>
    <xf numFmtId="0" fontId="10" fillId="2" borderId="20" xfId="0" applyFont="1" applyFill="1" applyBorder="1" applyAlignment="1">
      <alignment horizontal="center" vertical="center"/>
    </xf>
    <xf numFmtId="0" fontId="10" fillId="2" borderId="0" xfId="0" applyFont="1" applyFill="1" applyAlignment="1">
      <alignment horizontal="center" vertical="center"/>
    </xf>
    <xf numFmtId="0" fontId="10" fillId="2" borderId="19" xfId="0" applyFont="1" applyFill="1" applyBorder="1" applyAlignment="1">
      <alignment horizontal="center" vertical="center"/>
    </xf>
    <xf numFmtId="0" fontId="10" fillId="2" borderId="4" xfId="0" applyFont="1" applyFill="1" applyBorder="1" applyAlignment="1">
      <alignment horizontal="center" vertical="center"/>
    </xf>
    <xf numFmtId="0" fontId="10" fillId="2" borderId="5" xfId="0" applyFont="1" applyFill="1" applyBorder="1" applyAlignment="1">
      <alignment horizontal="center" vertical="center"/>
    </xf>
    <xf numFmtId="0" fontId="10" fillId="2" borderId="6" xfId="0" applyFont="1" applyFill="1" applyBorder="1" applyAlignment="1">
      <alignment horizontal="center" vertical="center"/>
    </xf>
    <xf numFmtId="0" fontId="31" fillId="4" borderId="16" xfId="0" applyFont="1" applyFill="1" applyBorder="1" applyAlignment="1">
      <alignment horizontal="center" vertical="center"/>
    </xf>
    <xf numFmtId="0" fontId="36" fillId="4" borderId="16" xfId="0" applyFont="1" applyFill="1" applyBorder="1" applyAlignment="1">
      <alignment horizontal="center" vertical="center"/>
    </xf>
    <xf numFmtId="2" fontId="31" fillId="4" borderId="16" xfId="0" applyNumberFormat="1" applyFont="1" applyFill="1" applyBorder="1" applyAlignment="1">
      <alignment horizontal="center" vertical="center"/>
    </xf>
    <xf numFmtId="0" fontId="31" fillId="4" borderId="16" xfId="0" applyFont="1" applyFill="1" applyBorder="1" applyAlignment="1">
      <alignment horizontal="center" vertical="center" wrapText="1"/>
    </xf>
    <xf numFmtId="0" fontId="35" fillId="4" borderId="25" xfId="0" applyFont="1" applyFill="1" applyBorder="1" applyAlignment="1">
      <alignment horizontal="center" vertical="center" wrapText="1"/>
    </xf>
    <xf numFmtId="0" fontId="35" fillId="4" borderId="26" xfId="0" applyFont="1" applyFill="1" applyBorder="1" applyAlignment="1">
      <alignment horizontal="center" vertical="center" wrapText="1"/>
    </xf>
    <xf numFmtId="0" fontId="35" fillId="4" borderId="16" xfId="0" applyFont="1" applyFill="1" applyBorder="1" applyAlignment="1">
      <alignment horizontal="center" vertical="center"/>
    </xf>
    <xf numFmtId="0" fontId="31" fillId="4" borderId="26" xfId="0" applyFont="1" applyFill="1" applyBorder="1" applyAlignment="1">
      <alignment horizontal="center" vertical="center" wrapText="1"/>
    </xf>
    <xf numFmtId="0" fontId="31" fillId="4" borderId="25" xfId="0" applyFont="1" applyFill="1" applyBorder="1" applyAlignment="1">
      <alignment horizontal="center" vertical="center" wrapText="1"/>
    </xf>
    <xf numFmtId="0" fontId="31" fillId="4" borderId="16" xfId="0" applyFont="1" applyFill="1" applyBorder="1" applyAlignment="1">
      <alignment horizontal="center" vertical="top" wrapText="1"/>
    </xf>
    <xf numFmtId="0" fontId="16" fillId="3" borderId="1" xfId="0" applyFont="1" applyFill="1" applyBorder="1" applyAlignment="1">
      <alignment horizontal="center" vertical="center"/>
    </xf>
    <xf numFmtId="0" fontId="16" fillId="3" borderId="2" xfId="0" applyFont="1" applyFill="1" applyBorder="1" applyAlignment="1">
      <alignment horizontal="center" vertical="center"/>
    </xf>
    <xf numFmtId="0" fontId="16" fillId="3" borderId="17" xfId="0" applyFont="1" applyFill="1" applyBorder="1" applyAlignment="1">
      <alignment horizontal="center" vertical="center"/>
    </xf>
    <xf numFmtId="0" fontId="16" fillId="3" borderId="10" xfId="0" applyFont="1" applyFill="1" applyBorder="1" applyAlignment="1">
      <alignment horizontal="center" vertical="center"/>
    </xf>
    <xf numFmtId="0" fontId="42" fillId="4" borderId="1" xfId="0" applyFont="1" applyFill="1" applyBorder="1" applyAlignment="1">
      <alignment horizontal="center"/>
    </xf>
    <xf numFmtId="0" fontId="42" fillId="4" borderId="2" xfId="0" applyFont="1" applyFill="1" applyBorder="1" applyAlignment="1">
      <alignment horizontal="center"/>
    </xf>
    <xf numFmtId="0" fontId="42" fillId="4" borderId="3" xfId="0" applyFont="1" applyFill="1" applyBorder="1" applyAlignment="1">
      <alignment horizontal="center"/>
    </xf>
    <xf numFmtId="0" fontId="24" fillId="4" borderId="4" xfId="0" applyFont="1" applyFill="1" applyBorder="1" applyAlignment="1">
      <alignment horizontal="center"/>
    </xf>
    <xf numFmtId="0" fontId="24" fillId="4" borderId="5" xfId="0" applyFont="1" applyFill="1" applyBorder="1" applyAlignment="1">
      <alignment horizontal="center"/>
    </xf>
    <xf numFmtId="0" fontId="24" fillId="4" borderId="6" xfId="0" applyFont="1" applyFill="1" applyBorder="1" applyAlignment="1">
      <alignment horizontal="center"/>
    </xf>
    <xf numFmtId="0" fontId="18" fillId="4" borderId="2" xfId="0" applyFont="1" applyFill="1" applyBorder="1" applyAlignment="1">
      <alignment horizontal="center" vertical="center"/>
    </xf>
    <xf numFmtId="0" fontId="18" fillId="4" borderId="3" xfId="0" applyFont="1" applyFill="1" applyBorder="1" applyAlignment="1">
      <alignment horizontal="center" vertical="center"/>
    </xf>
    <xf numFmtId="0" fontId="18" fillId="4" borderId="10" xfId="0" applyFont="1" applyFill="1" applyBorder="1" applyAlignment="1">
      <alignment horizontal="center" vertical="center"/>
    </xf>
    <xf numFmtId="0" fontId="18" fillId="4" borderId="18" xfId="0" applyFont="1" applyFill="1" applyBorder="1" applyAlignment="1">
      <alignment horizontal="center" vertical="center"/>
    </xf>
    <xf numFmtId="0" fontId="31" fillId="4" borderId="23" xfId="0" applyFont="1" applyFill="1" applyBorder="1" applyAlignment="1">
      <alignment horizontal="left" vertical="center"/>
    </xf>
    <xf numFmtId="0" fontId="31" fillId="4" borderId="24" xfId="0" applyFont="1" applyFill="1" applyBorder="1" applyAlignment="1">
      <alignment horizontal="left" vertical="center"/>
    </xf>
    <xf numFmtId="0" fontId="24" fillId="4" borderId="16" xfId="0" applyFont="1" applyFill="1" applyBorder="1" applyAlignment="1">
      <alignment horizontal="center"/>
    </xf>
    <xf numFmtId="0" fontId="2" fillId="0" borderId="13" xfId="0" applyFont="1" applyBorder="1" applyAlignment="1">
      <alignment horizontal="center" vertical="center"/>
    </xf>
    <xf numFmtId="0" fontId="2" fillId="0" borderId="14" xfId="0" applyFont="1" applyBorder="1" applyAlignment="1">
      <alignment horizontal="center" vertical="center"/>
    </xf>
    <xf numFmtId="0" fontId="2" fillId="0" borderId="9" xfId="0" applyFont="1" applyBorder="1" applyAlignment="1">
      <alignment horizontal="center" vertical="center"/>
    </xf>
    <xf numFmtId="0" fontId="2" fillId="0" borderId="11" xfId="0" applyFont="1" applyBorder="1" applyAlignment="1">
      <alignment horizontal="center" vertical="center"/>
    </xf>
    <xf numFmtId="0" fontId="1" fillId="2" borderId="16" xfId="0" applyFont="1" applyFill="1" applyBorder="1" applyAlignment="1">
      <alignment horizontal="center" vertical="center"/>
    </xf>
    <xf numFmtId="0" fontId="1" fillId="2" borderId="21" xfId="0" applyFont="1" applyFill="1" applyBorder="1" applyAlignment="1">
      <alignment horizontal="center" vertical="center"/>
    </xf>
    <xf numFmtId="0" fontId="15" fillId="2" borderId="22" xfId="0" applyFont="1" applyFill="1" applyBorder="1" applyAlignment="1">
      <alignment horizontal="center" vertical="center"/>
    </xf>
    <xf numFmtId="0" fontId="15" fillId="2" borderId="16" xfId="0" applyFont="1" applyFill="1" applyBorder="1" applyAlignment="1">
      <alignment horizontal="center" vertical="center"/>
    </xf>
    <xf numFmtId="0" fontId="1" fillId="2" borderId="16" xfId="0" applyFont="1" applyFill="1" applyBorder="1" applyAlignment="1">
      <alignment horizontal="center"/>
    </xf>
    <xf numFmtId="0" fontId="8" fillId="2" borderId="16" xfId="0" applyFont="1" applyFill="1" applyBorder="1" applyAlignment="1">
      <alignment horizontal="center" vertical="center"/>
    </xf>
    <xf numFmtId="0" fontId="10" fillId="2" borderId="25" xfId="0" applyFont="1" applyFill="1" applyBorder="1" applyAlignment="1">
      <alignment horizontal="center" vertical="top"/>
    </xf>
    <xf numFmtId="0" fontId="10" fillId="2" borderId="26" xfId="0" applyFont="1" applyFill="1" applyBorder="1" applyAlignment="1">
      <alignment horizontal="center" vertical="top"/>
    </xf>
    <xf numFmtId="0" fontId="1" fillId="2" borderId="28" xfId="0" applyFont="1" applyFill="1" applyBorder="1" applyAlignment="1">
      <alignment horizontal="center" vertical="center"/>
    </xf>
    <xf numFmtId="0" fontId="1" fillId="2" borderId="22" xfId="0" applyFont="1" applyFill="1" applyBorder="1" applyAlignment="1">
      <alignment horizontal="center" vertical="center"/>
    </xf>
    <xf numFmtId="0" fontId="10" fillId="2" borderId="16" xfId="0" applyFont="1" applyFill="1" applyBorder="1" applyAlignment="1">
      <alignment horizontal="center" vertical="top" wrapText="1"/>
    </xf>
    <xf numFmtId="0" fontId="31" fillId="4" borderId="2" xfId="0" applyFont="1" applyFill="1" applyBorder="1" applyAlignment="1">
      <alignment horizontal="center" vertical="center" wrapText="1"/>
    </xf>
    <xf numFmtId="0" fontId="31" fillId="4" borderId="3" xfId="0" applyFont="1" applyFill="1" applyBorder="1" applyAlignment="1">
      <alignment horizontal="center" vertical="center" wrapText="1"/>
    </xf>
    <xf numFmtId="0" fontId="31" fillId="4" borderId="5" xfId="0" applyFont="1" applyFill="1" applyBorder="1" applyAlignment="1">
      <alignment horizontal="center" vertical="center" wrapText="1"/>
    </xf>
    <xf numFmtId="0" fontId="31" fillId="4" borderId="6" xfId="0" applyFont="1" applyFill="1" applyBorder="1" applyAlignment="1">
      <alignment horizontal="center" vertical="center" wrapText="1"/>
    </xf>
    <xf numFmtId="1" fontId="10" fillId="2" borderId="0" xfId="0" applyNumberFormat="1" applyFont="1" applyFill="1" applyAlignment="1">
      <alignment horizontal="center" vertical="center"/>
    </xf>
    <xf numFmtId="0" fontId="10" fillId="2" borderId="0" xfId="0" applyFont="1" applyFill="1" applyAlignment="1">
      <alignment horizontal="right"/>
    </xf>
    <xf numFmtId="0" fontId="31" fillId="4" borderId="1" xfId="0" applyFont="1" applyFill="1" applyBorder="1" applyAlignment="1">
      <alignment horizontal="center" vertical="center" wrapText="1"/>
    </xf>
    <xf numFmtId="0" fontId="31" fillId="4" borderId="4" xfId="0" applyFont="1" applyFill="1" applyBorder="1" applyAlignment="1">
      <alignment horizontal="center" vertical="center" wrapText="1"/>
    </xf>
    <xf numFmtId="0" fontId="35" fillId="4" borderId="16" xfId="0" applyFont="1" applyFill="1" applyBorder="1" applyAlignment="1">
      <alignment horizontal="center" vertical="center" wrapText="1"/>
    </xf>
    <xf numFmtId="0" fontId="36" fillId="4" borderId="21" xfId="0" applyFont="1" applyFill="1" applyBorder="1" applyAlignment="1">
      <alignment horizontal="center" vertical="center"/>
    </xf>
    <xf numFmtId="0" fontId="36" fillId="4" borderId="28" xfId="0" applyFont="1" applyFill="1" applyBorder="1" applyAlignment="1">
      <alignment horizontal="center" vertical="center"/>
    </xf>
    <xf numFmtId="0" fontId="36" fillId="4" borderId="22" xfId="0" applyFont="1" applyFill="1" applyBorder="1" applyAlignment="1">
      <alignment horizontal="center" vertical="center"/>
    </xf>
    <xf numFmtId="0" fontId="31" fillId="4" borderId="16" xfId="0" applyFont="1" applyFill="1" applyBorder="1" applyAlignment="1">
      <alignment horizontal="center" vertical="top"/>
    </xf>
    <xf numFmtId="0" fontId="31" fillId="4" borderId="25" xfId="0" applyFont="1" applyFill="1" applyBorder="1" applyAlignment="1">
      <alignment horizontal="center" vertical="center"/>
    </xf>
    <xf numFmtId="0" fontId="55" fillId="4" borderId="26" xfId="0" applyFont="1" applyFill="1" applyBorder="1" applyAlignment="1">
      <alignment horizontal="center" vertical="center"/>
    </xf>
  </cellXfs>
  <cellStyles count="4">
    <cellStyle name="Calculation" xfId="2" builtinId="22"/>
    <cellStyle name="Neutral" xfId="3" builtinId="28"/>
    <cellStyle name="Normal" xfId="0" builtinId="0"/>
    <cellStyle name="Normal 6" xfId="1" xr:uid="{00000000-0005-0000-0000-000003000000}"/>
  </cellStyles>
  <dxfs count="21">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0000CC"/>
      <color rgb="FF006100"/>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7</xdr:col>
      <xdr:colOff>314804</xdr:colOff>
      <xdr:row>12</xdr:row>
      <xdr:rowOff>64322</xdr:rowOff>
    </xdr:from>
    <xdr:to>
      <xdr:col>10</xdr:col>
      <xdr:colOff>366646</xdr:colOff>
      <xdr:row>21</xdr:row>
      <xdr:rowOff>47177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3336528" y="859167"/>
          <a:ext cx="1647596" cy="1610764"/>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38100</xdr:colOff>
          <xdr:row>0</xdr:row>
          <xdr:rowOff>0</xdr:rowOff>
        </xdr:from>
        <xdr:to>
          <xdr:col>3</xdr:col>
          <xdr:colOff>247650</xdr:colOff>
          <xdr:row>9</xdr:row>
          <xdr:rowOff>285750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FF"/>
                  </a:solidFill>
                  <a:latin typeface="Calibri"/>
                  <a:ea typeface="Calibri"/>
                  <a:cs typeface="Calibri"/>
                </a:rPr>
                <a:t>Hide bảng chi tiết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0</xdr:row>
          <xdr:rowOff>0</xdr:rowOff>
        </xdr:from>
        <xdr:to>
          <xdr:col>6</xdr:col>
          <xdr:colOff>390525</xdr:colOff>
          <xdr:row>9</xdr:row>
          <xdr:rowOff>285750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FF"/>
                  </a:solidFill>
                  <a:latin typeface="Calibri"/>
                  <a:ea typeface="Calibri"/>
                  <a:cs typeface="Calibri"/>
                </a:rPr>
                <a:t>Unhide bảng chi tiết</a:t>
              </a:r>
            </a:p>
          </xdr:txBody>
        </xdr:sp>
        <xdr:clientData fPrintsWithSheet="0"/>
      </xdr:twoCellAnchor>
    </mc:Choice>
    <mc:Fallback/>
  </mc:AlternateContent>
  <xdr:twoCellAnchor editAs="oneCell">
    <xdr:from>
      <xdr:col>1</xdr:col>
      <xdr:colOff>11907</xdr:colOff>
      <xdr:row>100</xdr:row>
      <xdr:rowOff>74965</xdr:rowOff>
    </xdr:from>
    <xdr:to>
      <xdr:col>13</xdr:col>
      <xdr:colOff>409472</xdr:colOff>
      <xdr:row>104</xdr:row>
      <xdr:rowOff>150828</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119063" y="16017434"/>
          <a:ext cx="6559050" cy="718800"/>
        </a:xfrm>
        <a:prstGeom prst="rect">
          <a:avLst/>
        </a:prstGeom>
      </xdr:spPr>
    </xdr:pic>
    <xdr:clientData/>
  </xdr:twoCellAnchor>
  <xdr:twoCellAnchor editAs="oneCell">
    <xdr:from>
      <xdr:col>0</xdr:col>
      <xdr:colOff>8680</xdr:colOff>
      <xdr:row>105</xdr:row>
      <xdr:rowOff>109472</xdr:rowOff>
    </xdr:from>
    <xdr:to>
      <xdr:col>13</xdr:col>
      <xdr:colOff>302274</xdr:colOff>
      <xdr:row>122</xdr:row>
      <xdr:rowOff>123734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
        <a:stretch>
          <a:fillRect/>
        </a:stretch>
      </xdr:blipFill>
      <xdr:spPr>
        <a:xfrm>
          <a:off x="8680" y="16855613"/>
          <a:ext cx="6562235" cy="2746746"/>
        </a:xfrm>
        <a:prstGeom prst="rect">
          <a:avLst/>
        </a:prstGeom>
      </xdr:spPr>
    </xdr:pic>
    <xdr:clientData/>
  </xdr:twoCellAnchor>
  <xdr:twoCellAnchor editAs="oneCell">
    <xdr:from>
      <xdr:col>0</xdr:col>
      <xdr:colOff>98536</xdr:colOff>
      <xdr:row>123</xdr:row>
      <xdr:rowOff>16143</xdr:rowOff>
    </xdr:from>
    <xdr:to>
      <xdr:col>13</xdr:col>
      <xdr:colOff>407591</xdr:colOff>
      <xdr:row>146</xdr:row>
      <xdr:rowOff>33667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
        <a:stretch>
          <a:fillRect/>
        </a:stretch>
      </xdr:blipFill>
      <xdr:spPr>
        <a:xfrm>
          <a:off x="98536" y="19655502"/>
          <a:ext cx="6577696" cy="3714415"/>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image" Target="../media/image2.png"/></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70C0"/>
  </sheetPr>
  <dimension ref="B1:AC63"/>
  <sheetViews>
    <sheetView showGridLines="0" topLeftCell="A38" zoomScale="130" zoomScaleNormal="130" zoomScaleSheetLayoutView="100" workbookViewId="0">
      <selection activeCell="AF43" sqref="AF43"/>
    </sheetView>
  </sheetViews>
  <sheetFormatPr defaultColWidth="7.28515625" defaultRowHeight="12.75"/>
  <cols>
    <col min="1" max="1" width="7.28515625" style="1"/>
    <col min="2" max="2" width="6" style="1" customWidth="1"/>
    <col min="3" max="3" width="9.85546875" style="1" customWidth="1"/>
    <col min="4" max="28" width="7.28515625" style="1"/>
    <col min="29" max="29" width="8.140625" style="1" bestFit="1" customWidth="1"/>
    <col min="30" max="16384" width="7.28515625" style="1"/>
  </cols>
  <sheetData>
    <row r="1" spans="2:14" ht="17.25">
      <c r="B1" s="188" t="s">
        <v>1</v>
      </c>
      <c r="C1" s="189"/>
      <c r="D1" s="189"/>
      <c r="E1" s="189"/>
      <c r="F1" s="189"/>
      <c r="G1" s="189"/>
      <c r="H1" s="189"/>
      <c r="I1" s="189"/>
      <c r="J1" s="189"/>
      <c r="K1" s="189"/>
      <c r="L1" s="189"/>
      <c r="M1" s="189"/>
      <c r="N1" s="190"/>
    </row>
    <row r="2" spans="2:14">
      <c r="B2" s="191" t="s">
        <v>0</v>
      </c>
      <c r="C2" s="192"/>
      <c r="D2" s="192"/>
      <c r="E2" s="192"/>
      <c r="F2" s="192"/>
      <c r="G2" s="192"/>
      <c r="H2" s="192"/>
      <c r="I2" s="192"/>
      <c r="J2" s="192"/>
      <c r="K2" s="192"/>
      <c r="L2" s="192"/>
      <c r="M2" s="192"/>
      <c r="N2" s="193"/>
    </row>
    <row r="3" spans="2:14" ht="12.75" customHeight="1">
      <c r="B3" s="194" t="s">
        <v>2</v>
      </c>
      <c r="C3" s="195"/>
      <c r="D3" s="195"/>
      <c r="E3" s="195"/>
      <c r="F3" s="195"/>
      <c r="G3" s="195"/>
      <c r="H3" s="195"/>
      <c r="I3" s="195"/>
      <c r="J3" s="195"/>
      <c r="K3" s="195"/>
      <c r="L3" s="195"/>
      <c r="M3" s="195"/>
      <c r="N3" s="196"/>
    </row>
    <row r="4" spans="2:14">
      <c r="B4" s="194"/>
      <c r="C4" s="195"/>
      <c r="D4" s="195"/>
      <c r="E4" s="195"/>
      <c r="F4" s="195"/>
      <c r="G4" s="195"/>
      <c r="H4" s="195"/>
      <c r="I4" s="195"/>
      <c r="J4" s="195"/>
      <c r="K4" s="195"/>
      <c r="L4" s="195"/>
      <c r="M4" s="195"/>
      <c r="N4" s="196"/>
    </row>
    <row r="5" spans="2:14">
      <c r="B5" s="194"/>
      <c r="C5" s="195"/>
      <c r="D5" s="195"/>
      <c r="E5" s="195"/>
      <c r="F5" s="195"/>
      <c r="G5" s="195"/>
      <c r="H5" s="195"/>
      <c r="I5" s="195"/>
      <c r="J5" s="195"/>
      <c r="K5" s="195"/>
      <c r="L5" s="195"/>
      <c r="M5" s="195"/>
      <c r="N5" s="196"/>
    </row>
    <row r="6" spans="2:14">
      <c r="B6" s="194"/>
      <c r="C6" s="195"/>
      <c r="D6" s="195"/>
      <c r="E6" s="195"/>
      <c r="F6" s="195"/>
      <c r="G6" s="195"/>
      <c r="H6" s="195"/>
      <c r="I6" s="195"/>
      <c r="J6" s="195"/>
      <c r="K6" s="195"/>
      <c r="L6" s="195"/>
      <c r="M6" s="195"/>
      <c r="N6" s="196"/>
    </row>
    <row r="7" spans="2:14">
      <c r="B7" s="194"/>
      <c r="C7" s="195"/>
      <c r="D7" s="195"/>
      <c r="E7" s="195"/>
      <c r="F7" s="195"/>
      <c r="G7" s="195"/>
      <c r="H7" s="195"/>
      <c r="I7" s="195"/>
      <c r="J7" s="195"/>
      <c r="K7" s="195"/>
      <c r="L7" s="195"/>
      <c r="M7" s="195"/>
      <c r="N7" s="196"/>
    </row>
    <row r="8" spans="2:14">
      <c r="B8" s="194"/>
      <c r="C8" s="195"/>
      <c r="D8" s="195"/>
      <c r="E8" s="195"/>
      <c r="F8" s="195"/>
      <c r="G8" s="195"/>
      <c r="H8" s="195"/>
      <c r="I8" s="195"/>
      <c r="J8" s="195"/>
      <c r="K8" s="195"/>
      <c r="L8" s="195"/>
      <c r="M8" s="195"/>
      <c r="N8" s="196"/>
    </row>
    <row r="9" spans="2:14">
      <c r="B9" s="194"/>
      <c r="C9" s="195"/>
      <c r="D9" s="195"/>
      <c r="E9" s="195"/>
      <c r="F9" s="195"/>
      <c r="G9" s="195"/>
      <c r="H9" s="195"/>
      <c r="I9" s="195"/>
      <c r="J9" s="195"/>
      <c r="K9" s="195"/>
      <c r="L9" s="195"/>
      <c r="M9" s="195"/>
      <c r="N9" s="196"/>
    </row>
    <row r="10" spans="2:14">
      <c r="B10" s="194"/>
      <c r="C10" s="195"/>
      <c r="D10" s="195"/>
      <c r="E10" s="195"/>
      <c r="F10" s="195"/>
      <c r="G10" s="195"/>
      <c r="H10" s="195"/>
      <c r="I10" s="195"/>
      <c r="J10" s="195"/>
      <c r="K10" s="195"/>
      <c r="L10" s="195"/>
      <c r="M10" s="195"/>
      <c r="N10" s="196"/>
    </row>
    <row r="11" spans="2:14">
      <c r="B11" s="194"/>
      <c r="C11" s="195"/>
      <c r="D11" s="195"/>
      <c r="E11" s="195"/>
      <c r="F11" s="195"/>
      <c r="G11" s="195"/>
      <c r="H11" s="195"/>
      <c r="I11" s="195"/>
      <c r="J11" s="195"/>
      <c r="K11" s="195"/>
      <c r="L11" s="195"/>
      <c r="M11" s="195"/>
      <c r="N11" s="196"/>
    </row>
    <row r="12" spans="2:14">
      <c r="B12" s="194"/>
      <c r="C12" s="195"/>
      <c r="D12" s="195"/>
      <c r="E12" s="195"/>
      <c r="F12" s="195"/>
      <c r="G12" s="195"/>
      <c r="H12" s="195"/>
      <c r="I12" s="195"/>
      <c r="J12" s="195"/>
      <c r="K12" s="195"/>
      <c r="L12" s="195"/>
      <c r="M12" s="195"/>
      <c r="N12" s="196"/>
    </row>
    <row r="13" spans="2:14">
      <c r="B13" s="194"/>
      <c r="C13" s="195"/>
      <c r="D13" s="195"/>
      <c r="E13" s="195"/>
      <c r="F13" s="195"/>
      <c r="G13" s="195"/>
      <c r="H13" s="195"/>
      <c r="I13" s="195"/>
      <c r="J13" s="195"/>
      <c r="K13" s="195"/>
      <c r="L13" s="195"/>
      <c r="M13" s="195"/>
      <c r="N13" s="196"/>
    </row>
    <row r="14" spans="2:14">
      <c r="B14" s="194"/>
      <c r="C14" s="195"/>
      <c r="D14" s="195"/>
      <c r="E14" s="195"/>
      <c r="F14" s="195"/>
      <c r="G14" s="195"/>
      <c r="H14" s="195"/>
      <c r="I14" s="195"/>
      <c r="J14" s="195"/>
      <c r="K14" s="195"/>
      <c r="L14" s="195"/>
      <c r="M14" s="195"/>
      <c r="N14" s="196"/>
    </row>
    <row r="15" spans="2:14">
      <c r="B15" s="194"/>
      <c r="C15" s="195"/>
      <c r="D15" s="195"/>
      <c r="E15" s="195"/>
      <c r="F15" s="195"/>
      <c r="G15" s="195"/>
      <c r="H15" s="195"/>
      <c r="I15" s="195"/>
      <c r="J15" s="195"/>
      <c r="K15" s="195"/>
      <c r="L15" s="195"/>
      <c r="M15" s="195"/>
      <c r="N15" s="196"/>
    </row>
    <row r="16" spans="2:14">
      <c r="B16" s="197"/>
      <c r="C16" s="198"/>
      <c r="D16" s="198"/>
      <c r="E16" s="198"/>
      <c r="F16" s="198"/>
      <c r="G16" s="198"/>
      <c r="H16" s="198"/>
      <c r="I16" s="198"/>
      <c r="J16" s="198"/>
      <c r="K16" s="198"/>
      <c r="L16" s="198"/>
      <c r="M16" s="198"/>
      <c r="N16" s="199"/>
    </row>
    <row r="18" spans="3:6" ht="14.25">
      <c r="C18" s="186" t="s">
        <v>6</v>
      </c>
      <c r="D18" s="19" t="s">
        <v>22</v>
      </c>
      <c r="E18" s="19" t="s">
        <v>62</v>
      </c>
      <c r="F18" s="19" t="s">
        <v>63</v>
      </c>
    </row>
    <row r="19" spans="3:6">
      <c r="C19" s="187"/>
      <c r="D19" s="19" t="s">
        <v>23</v>
      </c>
      <c r="E19" s="19" t="s">
        <v>23</v>
      </c>
      <c r="F19" s="19" t="s">
        <v>23</v>
      </c>
    </row>
    <row r="20" spans="3:6">
      <c r="C20" s="31" t="s">
        <v>82</v>
      </c>
      <c r="D20" s="5">
        <f>2.06*10^5</f>
        <v>206000</v>
      </c>
      <c r="E20" s="5">
        <v>235</v>
      </c>
      <c r="F20" s="5">
        <v>370</v>
      </c>
    </row>
    <row r="21" spans="3:6">
      <c r="C21" s="31" t="s">
        <v>83</v>
      </c>
      <c r="D21" s="5">
        <f t="shared" ref="D21" si="0">2.06*10^5</f>
        <v>206000</v>
      </c>
      <c r="E21" s="5">
        <v>345</v>
      </c>
      <c r="F21" s="5">
        <v>510</v>
      </c>
    </row>
    <row r="22" spans="3:6">
      <c r="C22" s="31" t="s">
        <v>85</v>
      </c>
      <c r="D22" s="5">
        <f t="shared" ref="D22:D38" si="1">2.06*10^5</f>
        <v>206000</v>
      </c>
      <c r="E22" s="5">
        <v>250</v>
      </c>
      <c r="F22" s="5">
        <v>400</v>
      </c>
    </row>
    <row r="23" spans="3:6">
      <c r="C23" s="31" t="s">
        <v>84</v>
      </c>
      <c r="D23" s="5">
        <f t="shared" si="1"/>
        <v>206000</v>
      </c>
      <c r="E23" s="5">
        <v>345</v>
      </c>
      <c r="F23" s="5">
        <v>450</v>
      </c>
    </row>
    <row r="24" spans="3:6">
      <c r="C24" s="31" t="s">
        <v>8</v>
      </c>
      <c r="D24" s="5">
        <f t="shared" si="1"/>
        <v>206000</v>
      </c>
      <c r="E24" s="5">
        <v>235</v>
      </c>
      <c r="F24" s="5">
        <v>360</v>
      </c>
    </row>
    <row r="25" spans="3:6">
      <c r="C25" s="31" t="s">
        <v>7</v>
      </c>
      <c r="D25" s="5">
        <f t="shared" si="1"/>
        <v>206000</v>
      </c>
      <c r="E25" s="5">
        <v>225</v>
      </c>
      <c r="F25" s="5">
        <v>360</v>
      </c>
    </row>
    <row r="26" spans="3:6">
      <c r="C26" s="31" t="s">
        <v>9</v>
      </c>
      <c r="D26" s="5">
        <f t="shared" si="1"/>
        <v>206000</v>
      </c>
      <c r="E26" s="5">
        <v>215</v>
      </c>
      <c r="F26" s="5">
        <v>360</v>
      </c>
    </row>
    <row r="27" spans="3:6">
      <c r="C27" s="31" t="s">
        <v>10</v>
      </c>
      <c r="D27" s="5">
        <f t="shared" si="1"/>
        <v>206000</v>
      </c>
      <c r="E27" s="5">
        <v>215</v>
      </c>
      <c r="F27" s="5">
        <v>360</v>
      </c>
    </row>
    <row r="28" spans="3:6">
      <c r="C28" s="31" t="s">
        <v>11</v>
      </c>
      <c r="D28" s="5">
        <f t="shared" si="1"/>
        <v>206000</v>
      </c>
      <c r="E28" s="5">
        <v>215</v>
      </c>
      <c r="F28" s="5">
        <v>360</v>
      </c>
    </row>
    <row r="29" spans="3:6">
      <c r="C29" s="31" t="s">
        <v>12</v>
      </c>
      <c r="D29" s="5">
        <f t="shared" si="1"/>
        <v>206000</v>
      </c>
      <c r="E29" s="5">
        <v>275</v>
      </c>
      <c r="F29" s="5">
        <v>410</v>
      </c>
    </row>
    <row r="30" spans="3:6">
      <c r="C30" s="31" t="s">
        <v>13</v>
      </c>
      <c r="D30" s="5">
        <f t="shared" si="1"/>
        <v>206000</v>
      </c>
      <c r="E30" s="5">
        <v>265</v>
      </c>
      <c r="F30" s="5">
        <v>410</v>
      </c>
    </row>
    <row r="31" spans="3:6">
      <c r="C31" s="31" t="s">
        <v>14</v>
      </c>
      <c r="D31" s="5">
        <f t="shared" si="1"/>
        <v>206000</v>
      </c>
      <c r="E31" s="5">
        <v>255</v>
      </c>
      <c r="F31" s="5">
        <v>410</v>
      </c>
    </row>
    <row r="32" spans="3:6">
      <c r="C32" s="31" t="s">
        <v>15</v>
      </c>
      <c r="D32" s="5">
        <f t="shared" si="1"/>
        <v>206000</v>
      </c>
      <c r="E32" s="5">
        <v>245</v>
      </c>
      <c r="F32" s="5">
        <v>410</v>
      </c>
    </row>
    <row r="33" spans="2:29">
      <c r="C33" s="31" t="s">
        <v>16</v>
      </c>
      <c r="D33" s="5">
        <f t="shared" si="1"/>
        <v>206000</v>
      </c>
      <c r="E33" s="5">
        <v>235</v>
      </c>
      <c r="F33" s="5">
        <v>410</v>
      </c>
    </row>
    <row r="34" spans="2:29">
      <c r="C34" s="31" t="s">
        <v>17</v>
      </c>
      <c r="D34" s="5">
        <f t="shared" si="1"/>
        <v>206000</v>
      </c>
      <c r="E34" s="5">
        <v>355</v>
      </c>
      <c r="F34" s="5">
        <v>470</v>
      </c>
    </row>
    <row r="35" spans="2:29">
      <c r="C35" s="31" t="s">
        <v>18</v>
      </c>
      <c r="D35" s="5">
        <f t="shared" si="1"/>
        <v>206000</v>
      </c>
      <c r="E35" s="5">
        <v>345</v>
      </c>
      <c r="F35" s="5">
        <v>470</v>
      </c>
    </row>
    <row r="36" spans="2:29">
      <c r="C36" s="31" t="s">
        <v>19</v>
      </c>
      <c r="D36" s="5">
        <f t="shared" si="1"/>
        <v>206000</v>
      </c>
      <c r="E36" s="5">
        <v>335</v>
      </c>
      <c r="F36" s="5">
        <v>470</v>
      </c>
    </row>
    <row r="37" spans="2:29">
      <c r="C37" s="31" t="s">
        <v>20</v>
      </c>
      <c r="D37" s="5">
        <f t="shared" si="1"/>
        <v>206000</v>
      </c>
      <c r="E37" s="5">
        <v>325</v>
      </c>
      <c r="F37" s="5">
        <v>470</v>
      </c>
    </row>
    <row r="38" spans="2:29">
      <c r="C38" s="31" t="s">
        <v>21</v>
      </c>
      <c r="D38" s="5">
        <f t="shared" si="1"/>
        <v>206000</v>
      </c>
      <c r="E38" s="5">
        <v>315</v>
      </c>
      <c r="F38" s="5">
        <v>470</v>
      </c>
    </row>
    <row r="40" spans="2:29" ht="15">
      <c r="B40" s="91" t="s">
        <v>140</v>
      </c>
      <c r="C40" s="92" t="s">
        <v>141</v>
      </c>
      <c r="D40"/>
      <c r="E40"/>
      <c r="F40"/>
      <c r="G40"/>
      <c r="H40"/>
      <c r="I40"/>
      <c r="J40"/>
      <c r="K40"/>
      <c r="L40"/>
      <c r="M40"/>
      <c r="N40"/>
      <c r="O40"/>
      <c r="P40"/>
      <c r="Q40"/>
      <c r="R40"/>
      <c r="S40"/>
      <c r="T40"/>
      <c r="U40"/>
      <c r="V40"/>
      <c r="W40"/>
      <c r="X40"/>
      <c r="Y40"/>
      <c r="Z40"/>
      <c r="AA40"/>
      <c r="AB40"/>
    </row>
    <row r="41" spans="2:29" ht="15">
      <c r="B41" s="93"/>
      <c r="C41" s="94">
        <v>0.1</v>
      </c>
      <c r="D41" s="94">
        <v>0.25</v>
      </c>
      <c r="E41" s="94">
        <f>D41+0.25</f>
        <v>0.5</v>
      </c>
      <c r="F41" s="94">
        <f t="shared" ref="F41:K41" si="2">E41+0.25</f>
        <v>0.75</v>
      </c>
      <c r="G41" s="94">
        <f t="shared" si="2"/>
        <v>1</v>
      </c>
      <c r="H41" s="94">
        <f t="shared" si="2"/>
        <v>1.25</v>
      </c>
      <c r="I41" s="94">
        <f t="shared" si="2"/>
        <v>1.5</v>
      </c>
      <c r="J41" s="94">
        <f>I41+0.25</f>
        <v>1.75</v>
      </c>
      <c r="K41" s="94">
        <f t="shared" si="2"/>
        <v>2</v>
      </c>
      <c r="L41" s="94">
        <f t="shared" ref="L41:U41" si="3">K41+0.5</f>
        <v>2.5</v>
      </c>
      <c r="M41" s="94">
        <f t="shared" si="3"/>
        <v>3</v>
      </c>
      <c r="N41" s="94">
        <f t="shared" si="3"/>
        <v>3.5</v>
      </c>
      <c r="O41" s="94">
        <f t="shared" si="3"/>
        <v>4</v>
      </c>
      <c r="P41" s="94">
        <f t="shared" si="3"/>
        <v>4.5</v>
      </c>
      <c r="Q41" s="94">
        <f t="shared" si="3"/>
        <v>5</v>
      </c>
      <c r="R41" s="94">
        <f t="shared" si="3"/>
        <v>5.5</v>
      </c>
      <c r="S41" s="94">
        <f t="shared" si="3"/>
        <v>6</v>
      </c>
      <c r="T41" s="94">
        <f t="shared" si="3"/>
        <v>6.5</v>
      </c>
      <c r="U41" s="94">
        <f t="shared" si="3"/>
        <v>7</v>
      </c>
      <c r="V41" s="94">
        <f>U41+1</f>
        <v>8</v>
      </c>
      <c r="W41" s="94">
        <f t="shared" ref="W41:X41" si="4">V41+1</f>
        <v>9</v>
      </c>
      <c r="X41" s="94">
        <f t="shared" si="4"/>
        <v>10</v>
      </c>
      <c r="Y41" s="94">
        <f>X41+2</f>
        <v>12</v>
      </c>
      <c r="Z41" s="94">
        <f t="shared" ref="Z41" si="5">Y41+2</f>
        <v>14</v>
      </c>
      <c r="AA41" s="94">
        <v>17</v>
      </c>
      <c r="AB41" s="94">
        <v>20</v>
      </c>
      <c r="AC41" s="131">
        <v>1000</v>
      </c>
    </row>
    <row r="42" spans="2:29" ht="15">
      <c r="B42" s="94">
        <v>0.5</v>
      </c>
      <c r="C42" s="95">
        <v>0.96699999999999997</v>
      </c>
      <c r="D42" s="95">
        <v>0.92200000000000004</v>
      </c>
      <c r="E42" s="95">
        <v>0.85</v>
      </c>
      <c r="F42" s="95">
        <v>0.78200000000000003</v>
      </c>
      <c r="G42" s="95">
        <v>0.72199999999999998</v>
      </c>
      <c r="H42" s="95">
        <v>0.66900000000000004</v>
      </c>
      <c r="I42" s="95">
        <v>0.62</v>
      </c>
      <c r="J42" s="95">
        <v>0.57699999999999996</v>
      </c>
      <c r="K42" s="95">
        <v>0.53800000000000003</v>
      </c>
      <c r="L42" s="95">
        <v>0.46899999999999997</v>
      </c>
      <c r="M42" s="95">
        <v>0.41699999999999998</v>
      </c>
      <c r="N42" s="95">
        <v>0.37</v>
      </c>
      <c r="O42" s="95">
        <v>0.33700000000000002</v>
      </c>
      <c r="P42" s="95">
        <v>0.307</v>
      </c>
      <c r="Q42" s="95">
        <v>0.28000000000000003</v>
      </c>
      <c r="R42" s="95">
        <v>0.26</v>
      </c>
      <c r="S42" s="95">
        <v>0.23699999999999999</v>
      </c>
      <c r="T42" s="95">
        <v>0.222</v>
      </c>
      <c r="U42" s="95">
        <v>0.21</v>
      </c>
      <c r="V42" s="95">
        <v>0.183</v>
      </c>
      <c r="W42" s="95">
        <v>0.16400000000000001</v>
      </c>
      <c r="X42" s="95">
        <v>0.15</v>
      </c>
      <c r="Y42" s="95">
        <v>0.125</v>
      </c>
      <c r="Z42" s="95">
        <v>0.106</v>
      </c>
      <c r="AA42" s="95">
        <v>0.09</v>
      </c>
      <c r="AB42" s="95">
        <v>7.6999999999999999E-2</v>
      </c>
      <c r="AC42" s="95">
        <v>7.6999999999999999E-2</v>
      </c>
    </row>
    <row r="43" spans="2:29" ht="15">
      <c r="B43" s="94">
        <f>B42+0.5</f>
        <v>1</v>
      </c>
      <c r="C43" s="95">
        <v>0.92500000000000004</v>
      </c>
      <c r="D43" s="95">
        <v>0.85399999999999998</v>
      </c>
      <c r="E43" s="95">
        <v>0.77800000000000002</v>
      </c>
      <c r="F43" s="95">
        <v>0.71099999999999997</v>
      </c>
      <c r="G43" s="95">
        <v>0.65300000000000002</v>
      </c>
      <c r="H43" s="95">
        <v>0.6</v>
      </c>
      <c r="I43" s="95">
        <v>0.56299999999999994</v>
      </c>
      <c r="J43" s="95">
        <v>0.52</v>
      </c>
      <c r="K43" s="95">
        <v>0.48399999999999999</v>
      </c>
      <c r="L43" s="95">
        <v>0.42699999999999999</v>
      </c>
      <c r="M43" s="95">
        <v>0.38200000000000001</v>
      </c>
      <c r="N43" s="95">
        <v>0.34100000000000003</v>
      </c>
      <c r="O43" s="95">
        <v>0.307</v>
      </c>
      <c r="P43" s="95">
        <v>0.28299999999999997</v>
      </c>
      <c r="Q43" s="95">
        <v>0.25900000000000001</v>
      </c>
      <c r="R43" s="95">
        <v>0.24</v>
      </c>
      <c r="S43" s="95">
        <v>0.22500000000000001</v>
      </c>
      <c r="T43" s="95">
        <v>0.20899999999999999</v>
      </c>
      <c r="U43" s="95">
        <v>0.19600000000000001</v>
      </c>
      <c r="V43" s="95">
        <v>0.17499999999999999</v>
      </c>
      <c r="W43" s="95">
        <v>0.157</v>
      </c>
      <c r="X43" s="95">
        <v>0.14199999999999999</v>
      </c>
      <c r="Y43" s="95">
        <v>0.121</v>
      </c>
      <c r="Z43" s="95">
        <v>0.10299999999999999</v>
      </c>
      <c r="AA43" s="95">
        <v>8.5999999999999993E-2</v>
      </c>
      <c r="AB43" s="95">
        <v>7.3999999999999996E-2</v>
      </c>
      <c r="AC43" s="95">
        <v>7.3999999999999996E-2</v>
      </c>
    </row>
    <row r="44" spans="2:29" ht="15">
      <c r="B44" s="94">
        <f t="shared" ref="B44:B55" si="6">B43+0.5</f>
        <v>1.5</v>
      </c>
      <c r="C44" s="95">
        <v>0.875</v>
      </c>
      <c r="D44" s="95">
        <v>0.80400000000000005</v>
      </c>
      <c r="E44" s="95">
        <v>0.71599999999999997</v>
      </c>
      <c r="F44" s="95">
        <v>0.64700000000000002</v>
      </c>
      <c r="G44" s="95">
        <v>0.59299999999999997</v>
      </c>
      <c r="H44" s="95">
        <v>0.54800000000000004</v>
      </c>
      <c r="I44" s="95">
        <v>0.50700000000000001</v>
      </c>
      <c r="J44" s="95">
        <v>0.47</v>
      </c>
      <c r="K44" s="95">
        <v>0.439</v>
      </c>
      <c r="L44" s="95">
        <v>0.38800000000000001</v>
      </c>
      <c r="M44" s="95">
        <v>0.34699999999999998</v>
      </c>
      <c r="N44" s="95">
        <v>0.312</v>
      </c>
      <c r="O44" s="95">
        <v>0.28299999999999997</v>
      </c>
      <c r="P44" s="95">
        <v>0.26200000000000001</v>
      </c>
      <c r="Q44" s="95">
        <v>0.24</v>
      </c>
      <c r="R44" s="95">
        <v>0.223</v>
      </c>
      <c r="S44" s="95">
        <v>0.20699999999999999</v>
      </c>
      <c r="T44" s="95">
        <v>0.19500000000000001</v>
      </c>
      <c r="U44" s="95">
        <v>0.182</v>
      </c>
      <c r="V44" s="95">
        <v>0.16300000000000001</v>
      </c>
      <c r="W44" s="95">
        <v>0.14799999999999999</v>
      </c>
      <c r="X44" s="95">
        <v>0.13400000000000001</v>
      </c>
      <c r="Y44" s="95">
        <v>0.114</v>
      </c>
      <c r="Z44" s="95">
        <v>9.9000000000000005E-2</v>
      </c>
      <c r="AA44" s="95">
        <v>8.2000000000000003E-2</v>
      </c>
      <c r="AB44" s="95">
        <v>7.0000000000000007E-2</v>
      </c>
      <c r="AC44" s="95">
        <v>7.0000000000000007E-2</v>
      </c>
    </row>
    <row r="45" spans="2:29" ht="15">
      <c r="B45" s="94">
        <f t="shared" si="6"/>
        <v>2</v>
      </c>
      <c r="C45" s="95">
        <v>0.81299999999999994</v>
      </c>
      <c r="D45" s="95">
        <v>0.74199999999999999</v>
      </c>
      <c r="E45" s="95">
        <v>0.65300000000000002</v>
      </c>
      <c r="F45" s="95">
        <v>0.58699999999999997</v>
      </c>
      <c r="G45" s="95">
        <v>0.53600000000000003</v>
      </c>
      <c r="H45" s="95">
        <v>0.496</v>
      </c>
      <c r="I45" s="95">
        <v>0.45700000000000002</v>
      </c>
      <c r="J45" s="95">
        <v>0.42499999999999999</v>
      </c>
      <c r="K45" s="95">
        <v>0.39700000000000002</v>
      </c>
      <c r="L45" s="95">
        <v>0.35199999999999998</v>
      </c>
      <c r="M45" s="95">
        <v>0.315</v>
      </c>
      <c r="N45" s="95">
        <v>0.28599999999999998</v>
      </c>
      <c r="O45" s="95">
        <v>0.26</v>
      </c>
      <c r="P45" s="95">
        <v>0.24</v>
      </c>
      <c r="Q45" s="95">
        <v>0.222</v>
      </c>
      <c r="R45" s="95">
        <v>0.20599999999999999</v>
      </c>
      <c r="S45" s="95">
        <v>0.193</v>
      </c>
      <c r="T45" s="95">
        <v>0.182</v>
      </c>
      <c r="U45" s="95">
        <v>0.17</v>
      </c>
      <c r="V45" s="95">
        <v>0.153</v>
      </c>
      <c r="W45" s="95">
        <v>0.13800000000000001</v>
      </c>
      <c r="X45" s="95">
        <v>0.125</v>
      </c>
      <c r="Y45" s="95">
        <v>0.107</v>
      </c>
      <c r="Z45" s="95">
        <v>9.4E-2</v>
      </c>
      <c r="AA45" s="95">
        <v>7.9000000000000001E-2</v>
      </c>
      <c r="AB45" s="95">
        <v>6.7000000000000004E-2</v>
      </c>
      <c r="AC45" s="95">
        <v>6.7000000000000004E-2</v>
      </c>
    </row>
    <row r="46" spans="2:29" ht="15">
      <c r="B46" s="94">
        <f t="shared" si="6"/>
        <v>2.5</v>
      </c>
      <c r="C46" s="95">
        <v>0.74199999999999999</v>
      </c>
      <c r="D46" s="95">
        <v>0.67200000000000004</v>
      </c>
      <c r="E46" s="95">
        <v>0.58699999999999997</v>
      </c>
      <c r="F46" s="95">
        <v>0.52600000000000002</v>
      </c>
      <c r="G46" s="95">
        <v>0.48</v>
      </c>
      <c r="H46" s="95">
        <v>0.442</v>
      </c>
      <c r="I46" s="95">
        <v>0.41</v>
      </c>
      <c r="J46" s="95">
        <v>0.38300000000000001</v>
      </c>
      <c r="K46" s="95">
        <v>0.35699999999999998</v>
      </c>
      <c r="L46" s="95">
        <v>0.317</v>
      </c>
      <c r="M46" s="95">
        <v>0.28699999999999998</v>
      </c>
      <c r="N46" s="95">
        <v>0.26200000000000001</v>
      </c>
      <c r="O46" s="95">
        <v>0.23799999999999999</v>
      </c>
      <c r="P46" s="95">
        <v>0.22</v>
      </c>
      <c r="Q46" s="95">
        <v>0.20399999999999999</v>
      </c>
      <c r="R46" s="95">
        <v>0.19</v>
      </c>
      <c r="S46" s="95">
        <v>0.17799999999999999</v>
      </c>
      <c r="T46" s="95">
        <v>0.16800000000000001</v>
      </c>
      <c r="U46" s="95">
        <v>0.158</v>
      </c>
      <c r="V46" s="95">
        <v>0.14399999999999999</v>
      </c>
      <c r="W46" s="95">
        <v>0.13</v>
      </c>
      <c r="X46" s="95">
        <v>0.11799999999999999</v>
      </c>
      <c r="Y46" s="95">
        <v>0.10100000000000001</v>
      </c>
      <c r="Z46" s="95">
        <v>0.09</v>
      </c>
      <c r="AA46" s="95">
        <v>7.5999999999999998E-2</v>
      </c>
      <c r="AB46" s="95">
        <v>6.5000000000000002E-2</v>
      </c>
      <c r="AC46" s="95">
        <v>6.5000000000000002E-2</v>
      </c>
    </row>
    <row r="47" spans="2:29" ht="15">
      <c r="B47" s="94">
        <f t="shared" si="6"/>
        <v>3</v>
      </c>
      <c r="C47" s="95">
        <v>0.66700000000000004</v>
      </c>
      <c r="D47" s="95">
        <v>0.59699999999999998</v>
      </c>
      <c r="E47" s="95">
        <v>0.52</v>
      </c>
      <c r="F47" s="95">
        <v>0.46500000000000002</v>
      </c>
      <c r="G47" s="95">
        <v>0.42499999999999999</v>
      </c>
      <c r="H47" s="95">
        <v>0.39500000000000002</v>
      </c>
      <c r="I47" s="95">
        <v>0.36499999999999999</v>
      </c>
      <c r="J47" s="95">
        <v>0.34200000000000003</v>
      </c>
      <c r="K47" s="95">
        <v>0.32</v>
      </c>
      <c r="L47" s="95">
        <v>0.28699999999999998</v>
      </c>
      <c r="M47" s="95">
        <v>0.26</v>
      </c>
      <c r="N47" s="95">
        <v>0.23799999999999999</v>
      </c>
      <c r="O47" s="95">
        <v>0.217</v>
      </c>
      <c r="P47" s="95">
        <v>0.20200000000000001</v>
      </c>
      <c r="Q47" s="95">
        <v>0.187</v>
      </c>
      <c r="R47" s="95">
        <v>0.17499999999999999</v>
      </c>
      <c r="S47" s="95">
        <v>0.16600000000000001</v>
      </c>
      <c r="T47" s="95">
        <v>0.156</v>
      </c>
      <c r="U47" s="95">
        <v>0.14699999999999999</v>
      </c>
      <c r="V47" s="95">
        <v>0.13500000000000001</v>
      </c>
      <c r="W47" s="95">
        <v>0.123</v>
      </c>
      <c r="X47" s="95">
        <v>0.112</v>
      </c>
      <c r="Y47" s="95">
        <v>9.7000000000000003E-2</v>
      </c>
      <c r="Z47" s="95">
        <v>8.5999999999999993E-2</v>
      </c>
      <c r="AA47" s="95">
        <v>7.2999999999999995E-2</v>
      </c>
      <c r="AB47" s="95">
        <v>6.3E-2</v>
      </c>
      <c r="AC47" s="95">
        <v>6.3E-2</v>
      </c>
    </row>
    <row r="48" spans="2:29" ht="15">
      <c r="B48" s="94">
        <f t="shared" si="6"/>
        <v>3.5</v>
      </c>
      <c r="C48" s="95">
        <v>0.58699999999999997</v>
      </c>
      <c r="D48" s="95">
        <v>0.52200000000000002</v>
      </c>
      <c r="E48" s="95">
        <v>0.45500000000000002</v>
      </c>
      <c r="F48" s="95">
        <v>0.40799999999999997</v>
      </c>
      <c r="G48" s="95">
        <v>0.375</v>
      </c>
      <c r="H48" s="95">
        <v>0.35</v>
      </c>
      <c r="I48" s="95">
        <v>0.32500000000000001</v>
      </c>
      <c r="J48" s="95">
        <v>0.30299999999999999</v>
      </c>
      <c r="K48" s="95">
        <v>0.28699999999999998</v>
      </c>
      <c r="L48" s="95">
        <v>0.25800000000000001</v>
      </c>
      <c r="M48" s="95">
        <v>0.23300000000000001</v>
      </c>
      <c r="N48" s="95">
        <v>0.216</v>
      </c>
      <c r="O48" s="95">
        <v>0.19800000000000001</v>
      </c>
      <c r="P48" s="95">
        <v>0.183</v>
      </c>
      <c r="Q48" s="95">
        <v>0.17199999999999999</v>
      </c>
      <c r="R48" s="95">
        <v>0.16200000000000001</v>
      </c>
      <c r="S48" s="95">
        <v>0.153</v>
      </c>
      <c r="T48" s="95">
        <v>0.14499999999999999</v>
      </c>
      <c r="U48" s="95">
        <v>0.13700000000000001</v>
      </c>
      <c r="V48" s="95">
        <v>0.125</v>
      </c>
      <c r="W48" s="95">
        <v>0.115</v>
      </c>
      <c r="X48" s="95">
        <v>0.106</v>
      </c>
      <c r="Y48" s="95">
        <v>9.1999999999999998E-2</v>
      </c>
      <c r="Z48" s="95">
        <v>8.2000000000000003E-2</v>
      </c>
      <c r="AA48" s="95">
        <v>6.9000000000000006E-2</v>
      </c>
      <c r="AB48" s="95">
        <v>0.06</v>
      </c>
      <c r="AC48" s="95">
        <v>0.06</v>
      </c>
    </row>
    <row r="49" spans="2:29" ht="15">
      <c r="B49" s="94">
        <f t="shared" si="6"/>
        <v>4</v>
      </c>
      <c r="C49" s="95">
        <v>0.505</v>
      </c>
      <c r="D49" s="95">
        <v>0.44700000000000001</v>
      </c>
      <c r="E49" s="95">
        <v>0.39400000000000002</v>
      </c>
      <c r="F49" s="95">
        <v>0.35599999999999998</v>
      </c>
      <c r="G49" s="95">
        <v>0.33</v>
      </c>
      <c r="H49" s="95">
        <v>0.309</v>
      </c>
      <c r="I49" s="95">
        <v>0.28899999999999998</v>
      </c>
      <c r="J49" s="95">
        <v>0.27</v>
      </c>
      <c r="K49" s="95">
        <v>0.25600000000000001</v>
      </c>
      <c r="L49" s="95">
        <v>0.23200000000000001</v>
      </c>
      <c r="M49" s="95">
        <v>0.21199999999999999</v>
      </c>
      <c r="N49" s="95">
        <v>0.19700000000000001</v>
      </c>
      <c r="O49" s="95">
        <v>0.18099999999999999</v>
      </c>
      <c r="P49" s="95">
        <v>0.16800000000000001</v>
      </c>
      <c r="Q49" s="95">
        <v>0.158</v>
      </c>
      <c r="R49" s="95">
        <v>0.14899999999999999</v>
      </c>
      <c r="S49" s="95">
        <v>0.14000000000000001</v>
      </c>
      <c r="T49" s="95">
        <v>0.13500000000000001</v>
      </c>
      <c r="U49" s="95">
        <v>0.127</v>
      </c>
      <c r="V49" s="95">
        <v>0.11799999999999999</v>
      </c>
      <c r="W49" s="95">
        <v>0.108</v>
      </c>
      <c r="X49" s="95">
        <v>9.8000000000000004E-2</v>
      </c>
      <c r="Y49" s="95">
        <v>8.7999999999999995E-2</v>
      </c>
      <c r="Z49" s="95">
        <v>7.8E-2</v>
      </c>
      <c r="AA49" s="95">
        <v>6.6000000000000003E-2</v>
      </c>
      <c r="AB49" s="95">
        <v>5.7000000000000002E-2</v>
      </c>
      <c r="AC49" s="95">
        <v>5.7000000000000002E-2</v>
      </c>
    </row>
    <row r="50" spans="2:29" ht="15">
      <c r="B50" s="94">
        <f t="shared" si="6"/>
        <v>4.5</v>
      </c>
      <c r="C50" s="95">
        <v>0.41799999999999998</v>
      </c>
      <c r="D50" s="95">
        <v>0.38200000000000001</v>
      </c>
      <c r="E50" s="95">
        <v>0.34200000000000003</v>
      </c>
      <c r="F50" s="95">
        <v>0.31</v>
      </c>
      <c r="G50" s="95">
        <v>0.28799999999999998</v>
      </c>
      <c r="H50" s="95">
        <v>0.27200000000000002</v>
      </c>
      <c r="I50" s="95">
        <v>0.25700000000000001</v>
      </c>
      <c r="J50" s="95">
        <v>0.24199999999999999</v>
      </c>
      <c r="K50" s="95">
        <v>0.22900000000000001</v>
      </c>
      <c r="L50" s="95">
        <v>0.20799999999999999</v>
      </c>
      <c r="M50" s="95">
        <v>0.192</v>
      </c>
      <c r="N50" s="95">
        <v>0.17799999999999999</v>
      </c>
      <c r="O50" s="95">
        <v>0.16500000000000001</v>
      </c>
      <c r="P50" s="95">
        <v>0.155</v>
      </c>
      <c r="Q50" s="95">
        <v>0.14599999999999999</v>
      </c>
      <c r="R50" s="95">
        <v>0.13700000000000001</v>
      </c>
      <c r="S50" s="95">
        <v>0.13</v>
      </c>
      <c r="T50" s="95">
        <v>0.125</v>
      </c>
      <c r="U50" s="95">
        <v>0.11799999999999999</v>
      </c>
      <c r="V50" s="95">
        <v>0.11</v>
      </c>
      <c r="W50" s="95">
        <v>0.10100000000000001</v>
      </c>
      <c r="X50" s="95">
        <v>9.2999999999999999E-2</v>
      </c>
      <c r="Y50" s="95">
        <v>8.3000000000000004E-2</v>
      </c>
      <c r="Z50" s="95">
        <v>7.4999999999999997E-2</v>
      </c>
      <c r="AA50" s="95">
        <v>6.4000000000000001E-2</v>
      </c>
      <c r="AB50" s="95">
        <v>5.5E-2</v>
      </c>
      <c r="AC50" s="95">
        <v>5.5E-2</v>
      </c>
    </row>
    <row r="51" spans="2:29" ht="15">
      <c r="B51" s="94">
        <f t="shared" si="6"/>
        <v>5</v>
      </c>
      <c r="C51" s="95">
        <v>0.35399999999999998</v>
      </c>
      <c r="D51" s="95">
        <v>0.32600000000000001</v>
      </c>
      <c r="E51" s="95">
        <v>0.29499999999999998</v>
      </c>
      <c r="F51" s="95">
        <v>0.27300000000000002</v>
      </c>
      <c r="G51" s="95">
        <v>0.253</v>
      </c>
      <c r="H51" s="95">
        <v>0.23899999999999999</v>
      </c>
      <c r="I51" s="95">
        <v>0.22500000000000001</v>
      </c>
      <c r="J51" s="95">
        <v>0.215</v>
      </c>
      <c r="K51" s="95">
        <v>0.20499999999999999</v>
      </c>
      <c r="L51" s="95">
        <v>0.188</v>
      </c>
      <c r="M51" s="95">
        <v>0.17499999999999999</v>
      </c>
      <c r="N51" s="95">
        <v>0.16200000000000001</v>
      </c>
      <c r="O51" s="95">
        <v>0.15</v>
      </c>
      <c r="P51" s="95">
        <v>0.14299999999999999</v>
      </c>
      <c r="Q51" s="95">
        <v>0.13500000000000001</v>
      </c>
      <c r="R51" s="95">
        <v>0.126</v>
      </c>
      <c r="S51" s="95">
        <v>0.12</v>
      </c>
      <c r="T51" s="95">
        <v>0.11700000000000001</v>
      </c>
      <c r="U51" s="95">
        <v>0.111</v>
      </c>
      <c r="V51" s="95">
        <v>0.10299999999999999</v>
      </c>
      <c r="W51" s="95">
        <v>9.5000000000000001E-2</v>
      </c>
      <c r="X51" s="95">
        <v>8.7999999999999995E-2</v>
      </c>
      <c r="Y51" s="95">
        <v>7.9000000000000001E-2</v>
      </c>
      <c r="Z51" s="95">
        <v>7.1999999999999995E-2</v>
      </c>
      <c r="AA51" s="95">
        <v>6.2E-2</v>
      </c>
      <c r="AB51" s="95">
        <v>5.2999999999999999E-2</v>
      </c>
      <c r="AC51" s="95">
        <v>5.2999999999999999E-2</v>
      </c>
    </row>
    <row r="52" spans="2:29" ht="15">
      <c r="B52" s="94">
        <f t="shared" si="6"/>
        <v>5.5</v>
      </c>
      <c r="C52" s="95">
        <v>0.30199999999999999</v>
      </c>
      <c r="D52" s="95">
        <v>0.28000000000000003</v>
      </c>
      <c r="E52" s="95">
        <v>0.25600000000000001</v>
      </c>
      <c r="F52" s="95">
        <v>0.24</v>
      </c>
      <c r="G52" s="95">
        <v>0.224</v>
      </c>
      <c r="H52" s="95">
        <v>0.21199999999999999</v>
      </c>
      <c r="I52" s="95">
        <v>0.2</v>
      </c>
      <c r="J52" s="95">
        <v>0.192</v>
      </c>
      <c r="K52" s="95">
        <v>0.184</v>
      </c>
      <c r="L52" s="95">
        <v>0.17</v>
      </c>
      <c r="M52" s="95">
        <v>0.158</v>
      </c>
      <c r="N52" s="95">
        <v>0.14799999999999999</v>
      </c>
      <c r="O52" s="95">
        <v>0.13800000000000001</v>
      </c>
      <c r="P52" s="95">
        <v>0.13200000000000001</v>
      </c>
      <c r="Q52" s="95">
        <v>0.124</v>
      </c>
      <c r="R52" s="95">
        <v>0.11700000000000001</v>
      </c>
      <c r="S52" s="95">
        <v>0.112</v>
      </c>
      <c r="T52" s="95">
        <v>0.108</v>
      </c>
      <c r="U52" s="95">
        <v>0.104</v>
      </c>
      <c r="V52" s="95">
        <v>9.5000000000000001E-2</v>
      </c>
      <c r="W52" s="95">
        <v>8.8999999999999996E-2</v>
      </c>
      <c r="X52" s="95">
        <v>8.4000000000000005E-2</v>
      </c>
      <c r="Y52" s="95">
        <v>7.4999999999999997E-2</v>
      </c>
      <c r="Z52" s="95">
        <v>6.9000000000000006E-2</v>
      </c>
      <c r="AA52" s="95">
        <v>0.06</v>
      </c>
      <c r="AB52" s="95">
        <v>5.0999999999999997E-2</v>
      </c>
      <c r="AC52" s="95">
        <v>5.0999999999999997E-2</v>
      </c>
    </row>
    <row r="53" spans="2:29" ht="15">
      <c r="B53" s="94">
        <f t="shared" si="6"/>
        <v>6</v>
      </c>
      <c r="C53" s="95">
        <v>0.25800000000000001</v>
      </c>
      <c r="D53" s="95">
        <v>0.24399999999999999</v>
      </c>
      <c r="E53" s="95">
        <v>0.223</v>
      </c>
      <c r="F53" s="95">
        <v>0.21</v>
      </c>
      <c r="G53" s="95">
        <v>0.19800000000000001</v>
      </c>
      <c r="H53" s="95">
        <v>0.19</v>
      </c>
      <c r="I53" s="95">
        <v>0.17799999999999999</v>
      </c>
      <c r="J53" s="95">
        <v>0.17199999999999999</v>
      </c>
      <c r="K53" s="95">
        <v>0.16600000000000001</v>
      </c>
      <c r="L53" s="95">
        <v>0.153</v>
      </c>
      <c r="M53" s="95">
        <v>0.14499999999999999</v>
      </c>
      <c r="N53" s="95">
        <v>0.13700000000000001</v>
      </c>
      <c r="O53" s="95">
        <v>0.128</v>
      </c>
      <c r="P53" s="95">
        <v>0.12</v>
      </c>
      <c r="Q53" s="95">
        <v>0.115</v>
      </c>
      <c r="R53" s="95">
        <v>0.109</v>
      </c>
      <c r="S53" s="95">
        <v>0.104</v>
      </c>
      <c r="T53" s="95">
        <v>0.1</v>
      </c>
      <c r="U53" s="95">
        <v>9.6000000000000002E-2</v>
      </c>
      <c r="V53" s="95">
        <v>8.8999999999999996E-2</v>
      </c>
      <c r="W53" s="95">
        <v>8.4000000000000005E-2</v>
      </c>
      <c r="X53" s="95">
        <v>7.9000000000000001E-2</v>
      </c>
      <c r="Y53" s="95">
        <v>7.1999999999999995E-2</v>
      </c>
      <c r="Z53" s="95">
        <v>6.6000000000000003E-2</v>
      </c>
      <c r="AA53" s="95">
        <v>5.7000000000000002E-2</v>
      </c>
      <c r="AB53" s="95">
        <v>4.9000000000000002E-2</v>
      </c>
      <c r="AC53" s="95">
        <v>4.9000000000000002E-2</v>
      </c>
    </row>
    <row r="54" spans="2:29" ht="15">
      <c r="B54" s="94">
        <f t="shared" si="6"/>
        <v>6.5</v>
      </c>
      <c r="C54" s="95">
        <v>0.223</v>
      </c>
      <c r="D54" s="95">
        <v>0.21299999999999999</v>
      </c>
      <c r="E54" s="95">
        <v>0.19600000000000001</v>
      </c>
      <c r="F54" s="95">
        <v>0.185</v>
      </c>
      <c r="G54" s="95">
        <v>0.17599999999999999</v>
      </c>
      <c r="H54" s="95">
        <v>0.17</v>
      </c>
      <c r="I54" s="95">
        <v>0.16</v>
      </c>
      <c r="J54" s="95">
        <v>0.155</v>
      </c>
      <c r="K54" s="95">
        <v>0.14899999999999999</v>
      </c>
      <c r="L54" s="95">
        <v>0.14000000000000001</v>
      </c>
      <c r="M54" s="95">
        <v>0.13200000000000001</v>
      </c>
      <c r="N54" s="95">
        <v>0.125</v>
      </c>
      <c r="O54" s="95">
        <v>0.11700000000000001</v>
      </c>
      <c r="P54" s="95">
        <v>0.112</v>
      </c>
      <c r="Q54" s="95">
        <v>0.106</v>
      </c>
      <c r="R54" s="95">
        <v>0.10100000000000001</v>
      </c>
      <c r="S54" s="95">
        <v>9.7000000000000003E-2</v>
      </c>
      <c r="T54" s="95">
        <v>9.4E-2</v>
      </c>
      <c r="U54" s="95">
        <v>8.8999999999999996E-2</v>
      </c>
      <c r="V54" s="95">
        <v>8.3000000000000004E-2</v>
      </c>
      <c r="W54" s="95">
        <v>0.08</v>
      </c>
      <c r="X54" s="95">
        <v>7.3999999999999996E-2</v>
      </c>
      <c r="Y54" s="95">
        <v>6.8000000000000005E-2</v>
      </c>
      <c r="Z54" s="95">
        <v>6.2E-2</v>
      </c>
      <c r="AA54" s="95">
        <v>5.3999999999999999E-2</v>
      </c>
      <c r="AB54" s="95">
        <v>4.7E-2</v>
      </c>
      <c r="AC54" s="95">
        <v>4.7E-2</v>
      </c>
    </row>
    <row r="55" spans="2:29" ht="15">
      <c r="B55" s="94">
        <f t="shared" si="6"/>
        <v>7</v>
      </c>
      <c r="C55" s="95">
        <v>0.19400000000000001</v>
      </c>
      <c r="D55" s="95">
        <v>0.186</v>
      </c>
      <c r="E55" s="95">
        <v>0.17299999999999999</v>
      </c>
      <c r="F55" s="95">
        <v>0.16300000000000001</v>
      </c>
      <c r="G55" s="95">
        <v>0.157</v>
      </c>
      <c r="H55" s="95">
        <v>0.152</v>
      </c>
      <c r="I55" s="95">
        <v>0.14499999999999999</v>
      </c>
      <c r="J55" s="95">
        <v>0.14099999999999999</v>
      </c>
      <c r="K55" s="95">
        <v>0.13600000000000001</v>
      </c>
      <c r="L55" s="95">
        <v>0.127</v>
      </c>
      <c r="M55" s="95">
        <v>0.121</v>
      </c>
      <c r="N55" s="95">
        <v>0.115</v>
      </c>
      <c r="O55" s="95">
        <v>0.108</v>
      </c>
      <c r="P55" s="95">
        <v>0.10199999999999999</v>
      </c>
      <c r="Q55" s="95">
        <v>9.8000000000000004E-2</v>
      </c>
      <c r="R55" s="95">
        <v>9.4E-2</v>
      </c>
      <c r="S55" s="95">
        <v>9.0999999999999998E-2</v>
      </c>
      <c r="T55" s="95">
        <v>8.6999999999999994E-2</v>
      </c>
      <c r="U55" s="95">
        <v>8.3000000000000004E-2</v>
      </c>
      <c r="V55" s="95">
        <v>7.8E-2</v>
      </c>
      <c r="W55" s="95">
        <v>7.3999999999999996E-2</v>
      </c>
      <c r="X55" s="95">
        <v>7.0000000000000007E-2</v>
      </c>
      <c r="Y55" s="95">
        <v>6.4000000000000001E-2</v>
      </c>
      <c r="Z55" s="95">
        <v>5.8999999999999997E-2</v>
      </c>
      <c r="AA55" s="95">
        <v>5.1999999999999998E-2</v>
      </c>
      <c r="AB55" s="95">
        <v>4.4999999999999998E-2</v>
      </c>
      <c r="AC55" s="95">
        <v>4.4999999999999998E-2</v>
      </c>
    </row>
    <row r="56" spans="2:29" ht="15">
      <c r="B56" s="94">
        <f>B55+1</f>
        <v>8</v>
      </c>
      <c r="C56" s="95">
        <v>0.152</v>
      </c>
      <c r="D56" s="95">
        <v>0.14599999999999999</v>
      </c>
      <c r="E56" s="95">
        <v>0.13800000000000001</v>
      </c>
      <c r="F56" s="95">
        <v>0.13300000000000001</v>
      </c>
      <c r="G56" s="95">
        <v>0.128</v>
      </c>
      <c r="H56" s="95">
        <v>0.121</v>
      </c>
      <c r="I56" s="95">
        <v>0.11700000000000001</v>
      </c>
      <c r="J56" s="95">
        <v>0.115</v>
      </c>
      <c r="K56" s="95">
        <v>0.113</v>
      </c>
      <c r="L56" s="95">
        <v>0.106</v>
      </c>
      <c r="M56" s="95">
        <v>0.1</v>
      </c>
      <c r="N56" s="95">
        <v>9.5000000000000001E-2</v>
      </c>
      <c r="O56" s="95">
        <v>9.0999999999999998E-2</v>
      </c>
      <c r="P56" s="95">
        <v>8.6999999999999994E-2</v>
      </c>
      <c r="Q56" s="95">
        <v>8.3000000000000004E-2</v>
      </c>
      <c r="R56" s="95">
        <v>8.1000000000000003E-2</v>
      </c>
      <c r="S56" s="95">
        <v>7.8E-2</v>
      </c>
      <c r="T56" s="95">
        <v>7.5999999999999998E-2</v>
      </c>
      <c r="U56" s="95">
        <v>7.3999999999999996E-2</v>
      </c>
      <c r="V56" s="95">
        <v>6.8000000000000005E-2</v>
      </c>
      <c r="W56" s="95">
        <v>6.5000000000000002E-2</v>
      </c>
      <c r="X56" s="95">
        <v>6.2E-2</v>
      </c>
      <c r="Y56" s="95">
        <v>5.7000000000000002E-2</v>
      </c>
      <c r="Z56" s="95">
        <v>5.2999999999999999E-2</v>
      </c>
      <c r="AA56" s="95">
        <v>4.7E-2</v>
      </c>
      <c r="AB56" s="95">
        <v>4.1000000000000002E-2</v>
      </c>
      <c r="AC56" s="95">
        <v>4.1000000000000002E-2</v>
      </c>
    </row>
    <row r="57" spans="2:29" ht="15">
      <c r="B57" s="94">
        <f t="shared" ref="B57:B61" si="7">B56+1</f>
        <v>9</v>
      </c>
      <c r="C57" s="95">
        <v>0.122</v>
      </c>
      <c r="D57" s="95">
        <v>0.11700000000000001</v>
      </c>
      <c r="E57" s="95">
        <v>0.112</v>
      </c>
      <c r="F57" s="95">
        <v>0.107</v>
      </c>
      <c r="G57" s="95">
        <v>0.10299999999999999</v>
      </c>
      <c r="H57" s="95">
        <v>0.1</v>
      </c>
      <c r="I57" s="95">
        <v>9.8000000000000004E-2</v>
      </c>
      <c r="J57" s="95">
        <v>9.6000000000000002E-2</v>
      </c>
      <c r="K57" s="95">
        <v>9.2999999999999999E-2</v>
      </c>
      <c r="L57" s="95">
        <v>8.7999999999999995E-2</v>
      </c>
      <c r="M57" s="95">
        <v>8.5000000000000006E-2</v>
      </c>
      <c r="N57" s="95">
        <v>8.2000000000000003E-2</v>
      </c>
      <c r="O57" s="95">
        <v>7.9000000000000001E-2</v>
      </c>
      <c r="P57" s="95">
        <v>7.4999999999999997E-2</v>
      </c>
      <c r="Q57" s="95">
        <v>7.1999999999999995E-2</v>
      </c>
      <c r="R57" s="95">
        <v>6.9000000000000006E-2</v>
      </c>
      <c r="S57" s="95">
        <v>6.6000000000000003E-2</v>
      </c>
      <c r="T57" s="95">
        <v>6.5000000000000002E-2</v>
      </c>
      <c r="U57" s="95">
        <v>6.4000000000000001E-2</v>
      </c>
      <c r="V57" s="95">
        <v>6.0999999999999999E-2</v>
      </c>
      <c r="W57" s="95">
        <v>5.8000000000000003E-2</v>
      </c>
      <c r="X57" s="95">
        <v>5.5E-2</v>
      </c>
      <c r="Y57" s="95">
        <v>5.0999999999999997E-2</v>
      </c>
      <c r="Z57" s="95">
        <v>4.8000000000000001E-2</v>
      </c>
      <c r="AA57" s="95">
        <v>4.2999999999999997E-2</v>
      </c>
      <c r="AB57" s="95">
        <v>3.7999999999999999E-2</v>
      </c>
      <c r="AC57" s="95">
        <v>3.7999999999999999E-2</v>
      </c>
    </row>
    <row r="58" spans="2:29" ht="15">
      <c r="B58" s="94">
        <f t="shared" si="7"/>
        <v>10</v>
      </c>
      <c r="C58" s="95">
        <v>0.1</v>
      </c>
      <c r="D58" s="95">
        <v>9.7000000000000003E-2</v>
      </c>
      <c r="E58" s="95">
        <v>9.2999999999999999E-2</v>
      </c>
      <c r="F58" s="95">
        <v>9.0999999999999998E-2</v>
      </c>
      <c r="G58" s="95">
        <v>0.09</v>
      </c>
      <c r="H58" s="95">
        <v>8.5000000000000006E-2</v>
      </c>
      <c r="I58" s="95">
        <v>8.1000000000000003E-2</v>
      </c>
      <c r="J58" s="95">
        <v>0.08</v>
      </c>
      <c r="K58" s="95">
        <v>7.9000000000000001E-2</v>
      </c>
      <c r="L58" s="95">
        <v>7.4999999999999997E-2</v>
      </c>
      <c r="M58" s="95">
        <v>7.1999999999999995E-2</v>
      </c>
      <c r="N58" s="95">
        <v>7.0000000000000007E-2</v>
      </c>
      <c r="O58" s="95">
        <v>6.9000000000000006E-2</v>
      </c>
      <c r="P58" s="95">
        <v>6.5000000000000002E-2</v>
      </c>
      <c r="Q58" s="95">
        <v>6.2E-2</v>
      </c>
      <c r="R58" s="95">
        <v>0.06</v>
      </c>
      <c r="S58" s="95">
        <v>5.8999999999999997E-2</v>
      </c>
      <c r="T58" s="95">
        <v>5.8000000000000003E-2</v>
      </c>
      <c r="U58" s="95">
        <v>5.7000000000000002E-2</v>
      </c>
      <c r="V58" s="95">
        <v>5.5E-2</v>
      </c>
      <c r="W58" s="95">
        <v>5.1999999999999998E-2</v>
      </c>
      <c r="X58" s="95">
        <v>4.9000000000000002E-2</v>
      </c>
      <c r="Y58" s="95">
        <v>4.5999999999999999E-2</v>
      </c>
      <c r="Z58" s="95">
        <v>4.2999999999999997E-2</v>
      </c>
      <c r="AA58" s="95">
        <v>3.9E-2</v>
      </c>
      <c r="AB58" s="95">
        <v>3.5000000000000003E-2</v>
      </c>
      <c r="AC58" s="95">
        <v>3.5000000000000003E-2</v>
      </c>
    </row>
    <row r="59" spans="2:29" ht="15">
      <c r="B59" s="94">
        <f t="shared" si="7"/>
        <v>11</v>
      </c>
      <c r="C59" s="95">
        <v>8.3000000000000004E-2</v>
      </c>
      <c r="D59" s="95">
        <v>7.9000000000000001E-2</v>
      </c>
      <c r="E59" s="95">
        <v>7.6999999999999999E-2</v>
      </c>
      <c r="F59" s="95">
        <v>7.5999999999999998E-2</v>
      </c>
      <c r="G59" s="95">
        <v>7.4999999999999997E-2</v>
      </c>
      <c r="H59" s="95">
        <v>7.2999999999999995E-2</v>
      </c>
      <c r="I59" s="95">
        <v>7.0999999999999994E-2</v>
      </c>
      <c r="J59" s="95">
        <v>6.9000000000000006E-2</v>
      </c>
      <c r="K59" s="95">
        <v>6.8000000000000005E-2</v>
      </c>
      <c r="L59" s="95">
        <v>6.3E-2</v>
      </c>
      <c r="M59" s="95">
        <v>6.2E-2</v>
      </c>
      <c r="N59" s="95">
        <v>6.0999999999999999E-2</v>
      </c>
      <c r="O59" s="95">
        <v>0.06</v>
      </c>
      <c r="P59" s="95">
        <v>5.7000000000000002E-2</v>
      </c>
      <c r="Q59" s="95">
        <v>5.5E-2</v>
      </c>
      <c r="R59" s="95">
        <v>5.2999999999999999E-2</v>
      </c>
      <c r="S59" s="95">
        <v>5.1999999999999998E-2</v>
      </c>
      <c r="T59" s="95">
        <v>5.0999999999999997E-2</v>
      </c>
      <c r="U59" s="95">
        <v>0.05</v>
      </c>
      <c r="V59" s="95">
        <v>4.8000000000000001E-2</v>
      </c>
      <c r="W59" s="95">
        <v>4.5999999999999999E-2</v>
      </c>
      <c r="X59" s="95">
        <v>4.3999999999999997E-2</v>
      </c>
      <c r="Y59" s="95">
        <v>0.04</v>
      </c>
      <c r="Z59" s="95">
        <v>3.7999999999999999E-2</v>
      </c>
      <c r="AA59" s="95">
        <v>3.5000000000000003E-2</v>
      </c>
      <c r="AB59" s="95">
        <v>3.2000000000000001E-2</v>
      </c>
      <c r="AC59" s="95">
        <v>3.2000000000000001E-2</v>
      </c>
    </row>
    <row r="60" spans="2:29" ht="15">
      <c r="B60" s="94">
        <f t="shared" si="7"/>
        <v>12</v>
      </c>
      <c r="C60" s="95">
        <v>6.9000000000000006E-2</v>
      </c>
      <c r="D60" s="95">
        <v>6.7000000000000004E-2</v>
      </c>
      <c r="E60" s="95">
        <v>6.4000000000000001E-2</v>
      </c>
      <c r="F60" s="95">
        <v>6.3E-2</v>
      </c>
      <c r="G60" s="95">
        <v>6.2E-2</v>
      </c>
      <c r="H60" s="95">
        <v>0.06</v>
      </c>
      <c r="I60" s="95">
        <v>5.8999999999999997E-2</v>
      </c>
      <c r="J60" s="95">
        <v>5.8999999999999997E-2</v>
      </c>
      <c r="K60" s="95">
        <v>5.8000000000000003E-2</v>
      </c>
      <c r="L60" s="95">
        <v>5.5E-2</v>
      </c>
      <c r="M60" s="95">
        <v>5.3999999999999999E-2</v>
      </c>
      <c r="N60" s="95">
        <v>5.2999999999999999E-2</v>
      </c>
      <c r="O60" s="95">
        <v>5.1999999999999998E-2</v>
      </c>
      <c r="P60" s="95">
        <v>5.0999999999999997E-2</v>
      </c>
      <c r="Q60" s="95">
        <v>0.05</v>
      </c>
      <c r="R60" s="95">
        <v>4.9000000000000002E-2</v>
      </c>
      <c r="S60" s="95">
        <v>4.8000000000000001E-2</v>
      </c>
      <c r="T60" s="95">
        <v>4.7E-2</v>
      </c>
      <c r="U60" s="95">
        <v>4.5999999999999999E-2</v>
      </c>
      <c r="V60" s="95">
        <v>4.3999999999999997E-2</v>
      </c>
      <c r="W60" s="95">
        <v>4.2000000000000003E-2</v>
      </c>
      <c r="X60" s="95">
        <v>0.04</v>
      </c>
      <c r="Y60" s="95">
        <v>3.6999999999999998E-2</v>
      </c>
      <c r="Z60" s="95">
        <v>3.5000000000000003E-2</v>
      </c>
      <c r="AA60" s="95">
        <v>3.2000000000000001E-2</v>
      </c>
      <c r="AB60" s="95">
        <v>2.9000000000000001E-2</v>
      </c>
      <c r="AC60" s="95">
        <v>2.9000000000000001E-2</v>
      </c>
    </row>
    <row r="61" spans="2:29" ht="15">
      <c r="B61" s="94">
        <f t="shared" si="7"/>
        <v>13</v>
      </c>
      <c r="C61" s="95">
        <v>6.2E-2</v>
      </c>
      <c r="D61" s="95">
        <v>6.0999999999999999E-2</v>
      </c>
      <c r="E61" s="95">
        <v>5.3999999999999999E-2</v>
      </c>
      <c r="F61" s="95">
        <v>5.2999999999999999E-2</v>
      </c>
      <c r="G61" s="95">
        <v>5.1999999999999998E-2</v>
      </c>
      <c r="H61" s="95">
        <v>5.0999999999999997E-2</v>
      </c>
      <c r="I61" s="95">
        <v>5.0999999999999997E-2</v>
      </c>
      <c r="J61" s="95">
        <v>0.05</v>
      </c>
      <c r="K61" s="95">
        <v>4.9000000000000002E-2</v>
      </c>
      <c r="L61" s="95">
        <v>4.9000000000000002E-2</v>
      </c>
      <c r="M61" s="95">
        <v>4.8000000000000001E-2</v>
      </c>
      <c r="N61" s="95">
        <v>4.8000000000000001E-2</v>
      </c>
      <c r="O61" s="95">
        <v>4.7E-2</v>
      </c>
      <c r="P61" s="95">
        <v>4.4999999999999998E-2</v>
      </c>
      <c r="Q61" s="95">
        <v>4.3999999999999997E-2</v>
      </c>
      <c r="R61" s="95">
        <v>4.2999999999999997E-2</v>
      </c>
      <c r="S61" s="95">
        <v>4.2000000000000003E-2</v>
      </c>
      <c r="T61" s="95">
        <v>4.1000000000000002E-2</v>
      </c>
      <c r="U61" s="95">
        <v>4.1000000000000002E-2</v>
      </c>
      <c r="V61" s="95">
        <v>3.9E-2</v>
      </c>
      <c r="W61" s="95">
        <v>3.7999999999999999E-2</v>
      </c>
      <c r="X61" s="95">
        <v>3.6999999999999998E-2</v>
      </c>
      <c r="Y61" s="95">
        <v>3.5000000000000003E-2</v>
      </c>
      <c r="Z61" s="95">
        <v>3.3000000000000002E-2</v>
      </c>
      <c r="AA61" s="95">
        <v>0.03</v>
      </c>
      <c r="AB61" s="95">
        <v>2.7E-2</v>
      </c>
      <c r="AC61" s="95">
        <v>2.7E-2</v>
      </c>
    </row>
    <row r="62" spans="2:29" ht="15">
      <c r="B62" s="94">
        <f>B61+1</f>
        <v>14</v>
      </c>
      <c r="C62" s="95">
        <v>5.1999999999999998E-2</v>
      </c>
      <c r="D62" s="95">
        <v>4.9000000000000002E-2</v>
      </c>
      <c r="E62" s="95">
        <v>4.9000000000000002E-2</v>
      </c>
      <c r="F62" s="95">
        <v>4.8000000000000001E-2</v>
      </c>
      <c r="G62" s="95">
        <v>4.8000000000000001E-2</v>
      </c>
      <c r="H62" s="95">
        <v>4.7E-2</v>
      </c>
      <c r="I62" s="95">
        <v>4.7E-2</v>
      </c>
      <c r="J62" s="95">
        <v>4.5999999999999999E-2</v>
      </c>
      <c r="K62" s="95">
        <v>4.4999999999999998E-2</v>
      </c>
      <c r="L62" s="95">
        <v>4.3999999999999997E-2</v>
      </c>
      <c r="M62" s="95">
        <v>4.2999999999999997E-2</v>
      </c>
      <c r="N62" s="95">
        <v>4.2999999999999997E-2</v>
      </c>
      <c r="O62" s="95">
        <v>4.2000000000000003E-2</v>
      </c>
      <c r="P62" s="95">
        <v>4.1000000000000002E-2</v>
      </c>
      <c r="Q62" s="95">
        <v>0.04</v>
      </c>
      <c r="R62" s="95">
        <v>0.04</v>
      </c>
      <c r="S62" s="95">
        <v>3.9E-2</v>
      </c>
      <c r="T62" s="95">
        <v>3.9E-2</v>
      </c>
      <c r="U62" s="95">
        <v>3.7999999999999999E-2</v>
      </c>
      <c r="V62" s="95">
        <v>3.6999999999999998E-2</v>
      </c>
      <c r="W62" s="95">
        <v>3.5999999999999997E-2</v>
      </c>
      <c r="X62" s="95">
        <v>3.5999999999999997E-2</v>
      </c>
      <c r="Y62" s="95">
        <v>3.4000000000000002E-2</v>
      </c>
      <c r="Z62" s="95">
        <v>3.2000000000000001E-2</v>
      </c>
      <c r="AA62" s="95">
        <v>2.9000000000000001E-2</v>
      </c>
      <c r="AB62" s="95">
        <v>2.5999999999999999E-2</v>
      </c>
      <c r="AC62" s="95">
        <v>2.5999999999999999E-2</v>
      </c>
    </row>
    <row r="63" spans="2:29" ht="15">
      <c r="B63" s="131">
        <v>1000</v>
      </c>
      <c r="C63" s="95">
        <v>5.1999999999999998E-2</v>
      </c>
      <c r="D63" s="95">
        <v>4.9000000000000002E-2</v>
      </c>
      <c r="E63" s="95">
        <v>4.9000000000000002E-2</v>
      </c>
      <c r="F63" s="95">
        <v>4.8000000000000001E-2</v>
      </c>
      <c r="G63" s="95">
        <v>4.8000000000000001E-2</v>
      </c>
      <c r="H63" s="95">
        <v>4.7E-2</v>
      </c>
      <c r="I63" s="95">
        <v>4.7E-2</v>
      </c>
      <c r="J63" s="95">
        <v>4.5999999999999999E-2</v>
      </c>
      <c r="K63" s="95">
        <v>4.4999999999999998E-2</v>
      </c>
      <c r="L63" s="95">
        <v>4.3999999999999997E-2</v>
      </c>
      <c r="M63" s="95">
        <v>4.2999999999999997E-2</v>
      </c>
      <c r="N63" s="95">
        <v>4.2999999999999997E-2</v>
      </c>
      <c r="O63" s="95">
        <v>4.2000000000000003E-2</v>
      </c>
      <c r="P63" s="95">
        <v>4.1000000000000002E-2</v>
      </c>
      <c r="Q63" s="95">
        <v>0.04</v>
      </c>
      <c r="R63" s="95">
        <v>0.04</v>
      </c>
      <c r="S63" s="95">
        <v>3.9E-2</v>
      </c>
      <c r="T63" s="95">
        <v>3.9E-2</v>
      </c>
      <c r="U63" s="95">
        <v>3.7999999999999999E-2</v>
      </c>
      <c r="V63" s="95">
        <v>3.6999999999999998E-2</v>
      </c>
      <c r="W63" s="95">
        <v>3.5999999999999997E-2</v>
      </c>
      <c r="X63" s="95">
        <v>3.5999999999999997E-2</v>
      </c>
      <c r="Y63" s="95">
        <v>3.4000000000000002E-2</v>
      </c>
      <c r="Z63" s="95">
        <v>3.2000000000000001E-2</v>
      </c>
      <c r="AA63" s="95">
        <v>2.9000000000000001E-2</v>
      </c>
      <c r="AB63" s="95">
        <v>2.5999999999999999E-2</v>
      </c>
      <c r="AC63" s="95">
        <v>2.5999999999999999E-2</v>
      </c>
    </row>
  </sheetData>
  <mergeCells count="4">
    <mergeCell ref="C18:C19"/>
    <mergeCell ref="B1:N1"/>
    <mergeCell ref="B2:N2"/>
    <mergeCell ref="B3:N16"/>
  </mergeCells>
  <pageMargins left="0.59055118110236227" right="0.31496062992125984" top="0.59055118110236227" bottom="0.59055118110236227" header="0.31496062992125984" footer="0.31496062992125984"/>
  <pageSetup orientation="portrait" r:id="rId1"/>
  <picture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C00000"/>
  </sheetPr>
  <dimension ref="B1:FH445"/>
  <sheetViews>
    <sheetView showGridLines="0" tabSelected="1" topLeftCell="A10" zoomScale="115" zoomScaleNormal="115" zoomScaleSheetLayoutView="100" workbookViewId="0">
      <selection activeCell="AC30" sqref="AC30"/>
    </sheetView>
  </sheetViews>
  <sheetFormatPr defaultColWidth="7.28515625" defaultRowHeight="12.75"/>
  <cols>
    <col min="1" max="1" width="1.5703125" style="1" customWidth="1"/>
    <col min="2" max="3" width="7.28515625" style="1"/>
    <col min="4" max="4" width="8.42578125" style="1" bestFit="1" customWidth="1"/>
    <col min="5" max="7" width="7.28515625" style="1"/>
    <col min="8" max="8" width="8.5703125" style="1" customWidth="1"/>
    <col min="9" max="11" width="7.7109375" style="1" customWidth="1"/>
    <col min="12" max="12" width="8.140625" style="1" customWidth="1"/>
    <col min="13" max="14" width="7.7109375" style="1" customWidth="1"/>
    <col min="15" max="25" width="7.28515625" style="1" hidden="1" customWidth="1"/>
    <col min="26" max="26" width="2.85546875" style="72" customWidth="1"/>
    <col min="27" max="27" width="11.85546875" style="20" customWidth="1"/>
    <col min="28" max="28" width="5.42578125" style="24" customWidth="1"/>
    <col min="29" max="30" width="5.42578125" style="88" customWidth="1"/>
    <col min="31" max="33" width="5.42578125" style="24" customWidth="1"/>
    <col min="34" max="36" width="5.42578125" style="8" customWidth="1"/>
    <col min="37" max="38" width="5.42578125" style="27" customWidth="1"/>
    <col min="39" max="39" width="5.42578125" style="7" customWidth="1"/>
    <col min="40" max="40" width="5.42578125" style="20" customWidth="1"/>
    <col min="41" max="41" width="8.42578125" style="20" customWidth="1"/>
    <col min="42" max="44" width="5.42578125" style="20" customWidth="1"/>
    <col min="45" max="47" width="6" style="20" customWidth="1"/>
    <col min="48" max="48" width="7.7109375" style="24" customWidth="1"/>
    <col min="49" max="49" width="7.140625" style="25" customWidth="1"/>
    <col min="50" max="53" width="5.42578125" style="25" customWidth="1"/>
    <col min="54" max="55" width="6" style="25" customWidth="1"/>
    <col min="56" max="57" width="6" style="26" customWidth="1"/>
    <col min="58" max="58" width="5.42578125" style="27" customWidth="1"/>
    <col min="59" max="59" width="5.42578125" style="28" customWidth="1"/>
    <col min="60" max="60" width="5.42578125" style="33" customWidth="1"/>
    <col min="61" max="62" width="5.42578125" style="6" customWidth="1"/>
    <col min="63" max="63" width="5.42578125" style="6" hidden="1" customWidth="1"/>
    <col min="64" max="66" width="5.42578125" style="6" customWidth="1"/>
    <col min="67" max="67" width="5.42578125" style="32" customWidth="1"/>
    <col min="68" max="68" width="6.85546875" style="57" bestFit="1" customWidth="1"/>
    <col min="69" max="69" width="5.42578125" style="58" customWidth="1"/>
    <col min="70" max="71" width="5.42578125" style="4" customWidth="1"/>
    <col min="72" max="73" width="5.42578125" style="32" customWidth="1"/>
    <col min="74" max="74" width="6.28515625" style="32" customWidth="1"/>
    <col min="75" max="75" width="6.28515625" style="57" customWidth="1"/>
    <col min="76" max="76" width="5.42578125" style="58" customWidth="1"/>
    <col min="77" max="78" width="5.42578125" style="4" customWidth="1"/>
    <col min="79" max="79" width="7.140625" style="4" customWidth="1"/>
    <col min="80" max="80" width="5.42578125" style="4" customWidth="1"/>
    <col min="81" max="82" width="6.5703125" style="4" customWidth="1"/>
    <col min="83" max="83" width="7.28515625" style="4" customWidth="1"/>
    <col min="84" max="84" width="9.140625" style="4" customWidth="1"/>
    <col min="85" max="85" width="7.28515625" style="4" customWidth="1"/>
    <col min="86" max="86" width="9.140625" style="4" bestFit="1" customWidth="1"/>
    <col min="87" max="103" width="7.28515625" style="1" hidden="1" customWidth="1"/>
    <col min="104" max="104" width="3.85546875" style="72" customWidth="1"/>
    <col min="105" max="105" width="11.85546875" style="20" customWidth="1"/>
    <col min="106" max="106" width="5.42578125" style="24" customWidth="1"/>
    <col min="107" max="108" width="5.42578125" style="88" customWidth="1"/>
    <col min="109" max="111" width="5.42578125" style="24" customWidth="1"/>
    <col min="112" max="114" width="5.42578125" style="8" customWidth="1"/>
    <col min="115" max="116" width="5.42578125" style="27" customWidth="1"/>
    <col min="117" max="117" width="5.42578125" style="7" customWidth="1"/>
    <col min="118" max="118" width="5.42578125" style="20" customWidth="1"/>
    <col min="119" max="119" width="8.42578125" style="20" customWidth="1"/>
    <col min="120" max="122" width="5.42578125" style="20" customWidth="1"/>
    <col min="123" max="125" width="6" style="20" customWidth="1"/>
    <col min="126" max="126" width="7.7109375" style="24" customWidth="1"/>
    <col min="127" max="131" width="5.42578125" style="25" customWidth="1"/>
    <col min="132" max="133" width="6" style="25" customWidth="1"/>
    <col min="134" max="135" width="6" style="26" customWidth="1"/>
    <col min="136" max="136" width="5.42578125" style="27" customWidth="1"/>
    <col min="137" max="137" width="5.42578125" style="28" customWidth="1"/>
    <col min="138" max="138" width="5.42578125" style="33" customWidth="1"/>
    <col min="139" max="140" width="5.42578125" style="6" customWidth="1"/>
    <col min="141" max="141" width="5.42578125" style="6" hidden="1" customWidth="1"/>
    <col min="142" max="144" width="5.42578125" style="6" customWidth="1"/>
    <col min="145" max="145" width="5.42578125" style="63" customWidth="1"/>
    <col min="146" max="146" width="6.42578125" style="71" bestFit="1" customWidth="1"/>
    <col min="147" max="147" width="5.42578125" style="66" customWidth="1"/>
    <col min="148" max="149" width="5.42578125" style="1" customWidth="1"/>
    <col min="150" max="151" width="5.42578125" style="63" customWidth="1"/>
    <col min="152" max="152" width="6.28515625" style="63" customWidth="1"/>
    <col min="153" max="153" width="6.28515625" style="71" customWidth="1"/>
    <col min="154" max="154" width="5.42578125" style="66" customWidth="1"/>
    <col min="155" max="156" width="5.42578125" style="1" customWidth="1"/>
    <col min="157" max="157" width="7.140625" style="1" customWidth="1"/>
    <col min="158" max="158" width="5.42578125" style="1" customWidth="1"/>
    <col min="159" max="160" width="6.5703125" style="4" customWidth="1"/>
    <col min="161" max="161" width="7.28515625" style="4"/>
    <col min="162" max="162" width="9.140625" style="4" customWidth="1"/>
    <col min="163" max="163" width="7.28515625" style="4"/>
    <col min="164" max="164" width="9.140625" style="4" bestFit="1" customWidth="1"/>
    <col min="165" max="16384" width="7.28515625" style="1"/>
  </cols>
  <sheetData>
    <row r="1" spans="2:164" hidden="1">
      <c r="AA1" s="58"/>
      <c r="AB1" s="58"/>
      <c r="AC1" s="58"/>
      <c r="AD1" s="58"/>
      <c r="AE1" s="58"/>
      <c r="AF1" s="58"/>
      <c r="AG1" s="58"/>
      <c r="AH1" s="58"/>
      <c r="AI1" s="58"/>
      <c r="AJ1" s="58"/>
      <c r="AK1" s="175"/>
      <c r="AL1" s="175"/>
      <c r="AM1" s="58"/>
      <c r="AN1" s="58"/>
      <c r="AO1" s="58"/>
      <c r="AP1" s="58"/>
      <c r="AQ1" s="58"/>
      <c r="AR1" s="58"/>
      <c r="AS1" s="58"/>
      <c r="AT1" s="58"/>
      <c r="AU1" s="58"/>
      <c r="AV1" s="58"/>
      <c r="AW1" s="58"/>
      <c r="AX1" s="58"/>
      <c r="AY1" s="58"/>
      <c r="AZ1" s="58"/>
      <c r="BA1" s="58"/>
      <c r="BB1" s="58"/>
      <c r="BC1" s="58"/>
      <c r="BD1" s="58"/>
      <c r="BE1" s="58"/>
      <c r="BF1" s="58"/>
      <c r="BG1" s="58"/>
      <c r="BH1" s="58"/>
      <c r="BI1" s="58"/>
      <c r="BJ1" s="58"/>
      <c r="BK1" s="58"/>
      <c r="BL1" s="58"/>
      <c r="BM1" s="58"/>
      <c r="BN1" s="58"/>
      <c r="DA1" s="66"/>
      <c r="DB1" s="66"/>
      <c r="DC1" s="66"/>
      <c r="DD1" s="66"/>
      <c r="DE1" s="66"/>
      <c r="DF1" s="66"/>
      <c r="DG1" s="66"/>
      <c r="DH1" s="66"/>
      <c r="DI1" s="66"/>
      <c r="DJ1" s="66"/>
      <c r="DK1" s="132"/>
      <c r="DL1" s="132"/>
      <c r="DM1" s="66"/>
      <c r="DN1" s="66"/>
      <c r="DO1" s="66"/>
      <c r="DP1" s="66"/>
      <c r="DQ1" s="66"/>
      <c r="DR1" s="66"/>
      <c r="DS1" s="66"/>
      <c r="DT1" s="66"/>
      <c r="DU1" s="66"/>
      <c r="DV1" s="66"/>
      <c r="DW1" s="66"/>
      <c r="DX1" s="66"/>
      <c r="DY1" s="66"/>
      <c r="DZ1" s="66"/>
      <c r="EA1" s="66"/>
      <c r="EB1" s="66"/>
      <c r="EC1" s="66"/>
      <c r="ED1" s="66"/>
      <c r="EE1" s="66"/>
      <c r="EF1" s="66"/>
      <c r="EG1" s="66"/>
      <c r="EH1" s="66"/>
      <c r="EI1" s="66"/>
      <c r="EJ1" s="66"/>
      <c r="EK1" s="66"/>
      <c r="EL1" s="66"/>
      <c r="EM1" s="66"/>
      <c r="EN1" s="66"/>
    </row>
    <row r="2" spans="2:164" hidden="1">
      <c r="AA2" s="58"/>
      <c r="AB2" s="58"/>
      <c r="AC2" s="58"/>
      <c r="AD2" s="58"/>
      <c r="AE2" s="58"/>
      <c r="AF2" s="58"/>
      <c r="AG2" s="58"/>
      <c r="AH2" s="58"/>
      <c r="AI2" s="58"/>
      <c r="AJ2" s="58"/>
      <c r="AK2" s="175"/>
      <c r="AL2" s="175"/>
      <c r="AM2" s="58"/>
      <c r="AN2" s="58"/>
      <c r="AO2" s="58"/>
      <c r="AP2" s="58"/>
      <c r="AQ2" s="58"/>
      <c r="AR2" s="58"/>
      <c r="AS2" s="58"/>
      <c r="AT2" s="58"/>
      <c r="AU2" s="58"/>
      <c r="AV2" s="58"/>
      <c r="AW2" s="58"/>
      <c r="AX2" s="58"/>
      <c r="AY2" s="58"/>
      <c r="AZ2" s="58"/>
      <c r="BA2" s="58"/>
      <c r="BB2" s="58"/>
      <c r="BC2" s="58"/>
      <c r="BD2" s="58"/>
      <c r="BE2" s="58"/>
      <c r="BF2" s="58"/>
      <c r="BG2" s="58"/>
      <c r="BH2" s="58"/>
      <c r="BI2" s="58"/>
      <c r="BJ2" s="58"/>
      <c r="BK2" s="58"/>
      <c r="BL2" s="58"/>
      <c r="BM2" s="58"/>
      <c r="BN2" s="58"/>
      <c r="DA2" s="66"/>
      <c r="DB2" s="66"/>
      <c r="DC2" s="66"/>
      <c r="DD2" s="66"/>
      <c r="DE2" s="66"/>
      <c r="DF2" s="66"/>
      <c r="DG2" s="66"/>
      <c r="DH2" s="66"/>
      <c r="DI2" s="66"/>
      <c r="DJ2" s="66"/>
      <c r="DK2" s="132"/>
      <c r="DL2" s="132"/>
      <c r="DM2" s="66"/>
      <c r="DN2" s="66"/>
      <c r="DO2" s="66"/>
      <c r="DP2" s="66"/>
      <c r="DQ2" s="66"/>
      <c r="DR2" s="66"/>
      <c r="DS2" s="66"/>
      <c r="DT2" s="66"/>
      <c r="DU2" s="66"/>
      <c r="DV2" s="66"/>
      <c r="DW2" s="66"/>
      <c r="DX2" s="66"/>
      <c r="DY2" s="66"/>
      <c r="DZ2" s="66"/>
      <c r="EA2" s="66"/>
      <c r="EB2" s="66"/>
      <c r="EC2" s="66"/>
      <c r="ED2" s="66"/>
      <c r="EE2" s="66"/>
      <c r="EF2" s="66"/>
      <c r="EG2" s="66"/>
      <c r="EH2" s="66"/>
      <c r="EI2" s="66"/>
      <c r="EJ2" s="66"/>
      <c r="EK2" s="66"/>
      <c r="EL2" s="66"/>
      <c r="EM2" s="66"/>
      <c r="EN2" s="66"/>
    </row>
    <row r="3" spans="2:164" hidden="1">
      <c r="AA3" s="58"/>
      <c r="AB3" s="58"/>
      <c r="AC3" s="58"/>
      <c r="AD3" s="58"/>
      <c r="AE3" s="58"/>
      <c r="AF3" s="58"/>
      <c r="AG3" s="58"/>
      <c r="AH3" s="58"/>
      <c r="AI3" s="58"/>
      <c r="AJ3" s="58"/>
      <c r="AK3" s="175"/>
      <c r="AL3" s="175"/>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c r="BM3" s="58"/>
      <c r="BN3" s="58"/>
      <c r="DA3" s="66"/>
      <c r="DB3" s="66"/>
      <c r="DC3" s="66"/>
      <c r="DD3" s="66"/>
      <c r="DE3" s="66"/>
      <c r="DF3" s="66"/>
      <c r="DG3" s="66"/>
      <c r="DH3" s="66"/>
      <c r="DI3" s="66"/>
      <c r="DJ3" s="66"/>
      <c r="DK3" s="132"/>
      <c r="DL3" s="132"/>
      <c r="DM3" s="66"/>
      <c r="DN3" s="66"/>
      <c r="DO3" s="66"/>
      <c r="DP3" s="66"/>
      <c r="DQ3" s="66"/>
      <c r="DR3" s="66"/>
      <c r="DS3" s="66"/>
      <c r="DT3" s="66"/>
      <c r="DU3" s="66"/>
      <c r="DV3" s="66"/>
      <c r="DW3" s="66"/>
      <c r="DX3" s="66"/>
      <c r="DY3" s="66"/>
      <c r="DZ3" s="66"/>
      <c r="EA3" s="66"/>
      <c r="EB3" s="66"/>
      <c r="EC3" s="66"/>
      <c r="ED3" s="66"/>
      <c r="EE3" s="66"/>
      <c r="EF3" s="66"/>
      <c r="EG3" s="66"/>
      <c r="EH3" s="66"/>
      <c r="EI3" s="66"/>
      <c r="EJ3" s="66"/>
      <c r="EK3" s="66"/>
      <c r="EL3" s="66"/>
      <c r="EM3" s="66"/>
      <c r="EN3" s="66"/>
    </row>
    <row r="4" spans="2:164" hidden="1">
      <c r="AA4" s="58"/>
      <c r="AB4" s="58"/>
      <c r="AC4" s="58"/>
      <c r="AD4" s="58"/>
      <c r="AE4" s="58"/>
      <c r="AF4" s="58"/>
      <c r="AG4" s="58"/>
      <c r="AH4" s="58"/>
      <c r="AI4" s="58"/>
      <c r="AJ4" s="58"/>
      <c r="AK4" s="175"/>
      <c r="AL4" s="175"/>
      <c r="AM4" s="58"/>
      <c r="AN4" s="58"/>
      <c r="AO4" s="58"/>
      <c r="AP4" s="58"/>
      <c r="AQ4" s="58"/>
      <c r="AR4" s="58"/>
      <c r="AS4" s="58"/>
      <c r="AT4" s="58"/>
      <c r="AU4" s="58"/>
      <c r="AV4" s="58"/>
      <c r="AW4" s="58"/>
      <c r="AX4" s="58"/>
      <c r="AY4" s="58"/>
      <c r="AZ4" s="58"/>
      <c r="BA4" s="58"/>
      <c r="BB4" s="58"/>
      <c r="BC4" s="58"/>
      <c r="BD4" s="58"/>
      <c r="BE4" s="58"/>
      <c r="BF4" s="58"/>
      <c r="BG4" s="58"/>
      <c r="BH4" s="58"/>
      <c r="BI4" s="58"/>
      <c r="BJ4" s="58"/>
      <c r="BK4" s="58"/>
      <c r="BL4" s="58"/>
      <c r="BM4" s="58"/>
      <c r="BN4" s="58"/>
      <c r="DA4" s="66"/>
      <c r="DB4" s="66"/>
      <c r="DC4" s="66"/>
      <c r="DD4" s="66"/>
      <c r="DE4" s="66"/>
      <c r="DF4" s="66"/>
      <c r="DG4" s="66"/>
      <c r="DH4" s="66"/>
      <c r="DI4" s="66"/>
      <c r="DJ4" s="66"/>
      <c r="DK4" s="132"/>
      <c r="DL4" s="132"/>
      <c r="DM4" s="66"/>
      <c r="DN4" s="66"/>
      <c r="DO4" s="66"/>
      <c r="DP4" s="66"/>
      <c r="DQ4" s="66"/>
      <c r="DR4" s="66"/>
      <c r="DS4" s="66"/>
      <c r="DT4" s="66"/>
      <c r="DU4" s="66"/>
      <c r="DV4" s="66"/>
      <c r="DW4" s="66"/>
      <c r="DX4" s="66"/>
      <c r="DY4" s="66"/>
      <c r="DZ4" s="66"/>
      <c r="EA4" s="66"/>
      <c r="EB4" s="66"/>
      <c r="EC4" s="66"/>
      <c r="ED4" s="66"/>
      <c r="EE4" s="66"/>
      <c r="EF4" s="66"/>
      <c r="EG4" s="66"/>
      <c r="EH4" s="66"/>
      <c r="EI4" s="66"/>
      <c r="EJ4" s="66"/>
      <c r="EK4" s="66"/>
      <c r="EL4" s="66"/>
      <c r="EM4" s="66"/>
      <c r="EN4" s="66"/>
    </row>
    <row r="5" spans="2:164" hidden="1">
      <c r="AA5" s="58"/>
      <c r="AB5" s="58"/>
      <c r="AC5" s="58"/>
      <c r="AD5" s="58"/>
      <c r="AE5" s="58"/>
      <c r="AF5" s="58"/>
      <c r="AG5" s="58"/>
      <c r="AH5" s="58"/>
      <c r="AI5" s="58"/>
      <c r="AJ5" s="58"/>
      <c r="AK5" s="175"/>
      <c r="AL5" s="175"/>
      <c r="AM5" s="58"/>
      <c r="AN5" s="58"/>
      <c r="AO5" s="58"/>
      <c r="AP5" s="58"/>
      <c r="AQ5" s="58"/>
      <c r="AR5" s="58"/>
      <c r="AS5" s="58"/>
      <c r="AT5" s="58"/>
      <c r="AU5" s="58"/>
      <c r="AV5" s="58"/>
      <c r="AW5" s="58"/>
      <c r="AX5" s="58"/>
      <c r="AY5" s="58"/>
      <c r="AZ5" s="58"/>
      <c r="BA5" s="58"/>
      <c r="BB5" s="58"/>
      <c r="BC5" s="58"/>
      <c r="BD5" s="58"/>
      <c r="BE5" s="58"/>
      <c r="BF5" s="58"/>
      <c r="BG5" s="58"/>
      <c r="BH5" s="58"/>
      <c r="BI5" s="58"/>
      <c r="BJ5" s="58"/>
      <c r="BK5" s="58"/>
      <c r="BL5" s="58"/>
      <c r="BM5" s="58"/>
      <c r="BN5" s="58"/>
      <c r="DA5" s="66"/>
      <c r="DB5" s="66"/>
      <c r="DC5" s="66"/>
      <c r="DD5" s="66"/>
      <c r="DE5" s="66"/>
      <c r="DF5" s="66"/>
      <c r="DG5" s="66"/>
      <c r="DH5" s="66"/>
      <c r="DI5" s="66"/>
      <c r="DJ5" s="66"/>
      <c r="DK5" s="132"/>
      <c r="DL5" s="132"/>
      <c r="DM5" s="66"/>
      <c r="DN5" s="66"/>
      <c r="DO5" s="66"/>
      <c r="DP5" s="66"/>
      <c r="DQ5" s="66"/>
      <c r="DR5" s="66"/>
      <c r="DS5" s="66"/>
      <c r="DT5" s="66"/>
      <c r="DU5" s="66"/>
      <c r="DV5" s="66"/>
      <c r="DW5" s="66"/>
      <c r="DX5" s="66"/>
      <c r="DY5" s="66"/>
      <c r="DZ5" s="66"/>
      <c r="EA5" s="66"/>
      <c r="EB5" s="66"/>
      <c r="EC5" s="66"/>
      <c r="ED5" s="66"/>
      <c r="EE5" s="66"/>
      <c r="EF5" s="66"/>
      <c r="EG5" s="66"/>
      <c r="EH5" s="66"/>
      <c r="EI5" s="66"/>
      <c r="EJ5" s="66"/>
      <c r="EK5" s="66"/>
      <c r="EL5" s="66"/>
      <c r="EM5" s="66"/>
      <c r="EN5" s="66"/>
    </row>
    <row r="6" spans="2:164" hidden="1">
      <c r="AA6" s="58"/>
      <c r="AB6" s="58"/>
      <c r="AC6" s="58"/>
      <c r="AD6" s="58"/>
      <c r="AE6" s="58"/>
      <c r="AF6" s="58"/>
      <c r="AG6" s="58"/>
      <c r="AH6" s="58"/>
      <c r="AI6" s="58"/>
      <c r="AJ6" s="58"/>
      <c r="AK6" s="175"/>
      <c r="AL6" s="175"/>
      <c r="AM6" s="58"/>
      <c r="AN6" s="58"/>
      <c r="AO6" s="58"/>
      <c r="AP6" s="58"/>
      <c r="AQ6" s="58"/>
      <c r="AR6" s="58"/>
      <c r="AS6" s="58"/>
      <c r="AT6" s="58"/>
      <c r="AU6" s="58"/>
      <c r="AV6" s="58"/>
      <c r="AW6" s="58"/>
      <c r="AX6" s="58"/>
      <c r="AY6" s="58"/>
      <c r="AZ6" s="58"/>
      <c r="BA6" s="58"/>
      <c r="BB6" s="58"/>
      <c r="BC6" s="58"/>
      <c r="BD6" s="58"/>
      <c r="BE6" s="58"/>
      <c r="BF6" s="58"/>
      <c r="BG6" s="58"/>
      <c r="BH6" s="58"/>
      <c r="BI6" s="58"/>
      <c r="BJ6" s="58"/>
      <c r="BK6" s="58"/>
      <c r="BL6" s="58"/>
      <c r="BM6" s="58"/>
      <c r="BN6" s="58"/>
      <c r="DA6" s="66"/>
      <c r="DB6" s="66"/>
      <c r="DC6" s="66"/>
      <c r="DD6" s="66"/>
      <c r="DE6" s="66"/>
      <c r="DF6" s="66"/>
      <c r="DG6" s="66"/>
      <c r="DH6" s="66"/>
      <c r="DI6" s="66"/>
      <c r="DJ6" s="66"/>
      <c r="DK6" s="132"/>
      <c r="DL6" s="132"/>
      <c r="DM6" s="66"/>
      <c r="DN6" s="66"/>
      <c r="DO6" s="66"/>
      <c r="DP6" s="66"/>
      <c r="DQ6" s="66"/>
      <c r="DR6" s="66"/>
      <c r="DS6" s="66"/>
      <c r="DT6" s="66"/>
      <c r="DU6" s="66"/>
      <c r="DV6" s="66"/>
      <c r="DW6" s="66"/>
      <c r="DX6" s="66"/>
      <c r="DY6" s="66"/>
      <c r="DZ6" s="66"/>
      <c r="EA6" s="66"/>
      <c r="EB6" s="66"/>
      <c r="EC6" s="66"/>
      <c r="ED6" s="66"/>
      <c r="EE6" s="66"/>
      <c r="EF6" s="66"/>
      <c r="EG6" s="66"/>
      <c r="EH6" s="66"/>
      <c r="EI6" s="66"/>
      <c r="EJ6" s="66"/>
      <c r="EK6" s="66"/>
      <c r="EL6" s="66"/>
      <c r="EM6" s="66"/>
      <c r="EN6" s="66"/>
    </row>
    <row r="7" spans="2:164" hidden="1">
      <c r="AA7" s="58"/>
      <c r="AB7" s="58"/>
      <c r="AC7" s="58"/>
      <c r="AD7" s="58"/>
      <c r="AE7" s="58"/>
      <c r="AF7" s="58"/>
      <c r="AG7" s="58"/>
      <c r="AH7" s="58"/>
      <c r="AI7" s="58"/>
      <c r="AJ7" s="58"/>
      <c r="AK7" s="175"/>
      <c r="AL7" s="175"/>
      <c r="AM7" s="58"/>
      <c r="AN7" s="58"/>
      <c r="AO7" s="58"/>
      <c r="AP7" s="58"/>
      <c r="AQ7" s="58"/>
      <c r="AR7" s="58"/>
      <c r="AS7" s="58"/>
      <c r="AT7" s="58"/>
      <c r="AU7" s="58"/>
      <c r="AV7" s="58"/>
      <c r="AW7" s="58"/>
      <c r="AX7" s="58"/>
      <c r="AY7" s="58"/>
      <c r="AZ7" s="58"/>
      <c r="BA7" s="58"/>
      <c r="BB7" s="58"/>
      <c r="BC7" s="58"/>
      <c r="BD7" s="58"/>
      <c r="BE7" s="58"/>
      <c r="BF7" s="58"/>
      <c r="BG7" s="58"/>
      <c r="BH7" s="58"/>
      <c r="BI7" s="58"/>
      <c r="BJ7" s="58"/>
      <c r="BK7" s="58"/>
      <c r="BL7" s="58"/>
      <c r="BM7" s="58"/>
      <c r="BN7" s="58"/>
      <c r="DA7" s="66"/>
      <c r="DB7" s="66"/>
      <c r="DC7" s="66"/>
      <c r="DD7" s="66"/>
      <c r="DE7" s="66"/>
      <c r="DF7" s="66"/>
      <c r="DG7" s="66"/>
      <c r="DH7" s="66"/>
      <c r="DI7" s="66"/>
      <c r="DJ7" s="66"/>
      <c r="DK7" s="132"/>
      <c r="DL7" s="132"/>
      <c r="DM7" s="66"/>
      <c r="DN7" s="66"/>
      <c r="DO7" s="66"/>
      <c r="DP7" s="66"/>
      <c r="DQ7" s="66"/>
      <c r="DR7" s="66"/>
      <c r="DS7" s="66"/>
      <c r="DT7" s="66"/>
      <c r="DU7" s="66"/>
      <c r="DV7" s="66"/>
      <c r="DW7" s="66"/>
      <c r="DX7" s="66"/>
      <c r="DY7" s="66"/>
      <c r="DZ7" s="66"/>
      <c r="EA7" s="66"/>
      <c r="EB7" s="66"/>
      <c r="EC7" s="66"/>
      <c r="ED7" s="66"/>
      <c r="EE7" s="66"/>
      <c r="EF7" s="66"/>
      <c r="EG7" s="66"/>
      <c r="EH7" s="66"/>
      <c r="EI7" s="66"/>
      <c r="EJ7" s="66"/>
      <c r="EK7" s="66"/>
      <c r="EL7" s="66"/>
      <c r="EM7" s="66"/>
      <c r="EN7" s="66"/>
    </row>
    <row r="8" spans="2:164" hidden="1">
      <c r="AA8" s="58"/>
      <c r="AB8" s="58"/>
      <c r="AC8" s="58"/>
      <c r="AD8" s="58"/>
      <c r="AE8" s="58"/>
      <c r="AF8" s="58"/>
      <c r="AG8" s="58"/>
      <c r="AH8" s="58"/>
      <c r="AI8" s="58"/>
      <c r="AJ8" s="58"/>
      <c r="AK8" s="175"/>
      <c r="AL8" s="175"/>
      <c r="AM8" s="58"/>
      <c r="AN8" s="58"/>
      <c r="AO8" s="58"/>
      <c r="AP8" s="58"/>
      <c r="AQ8" s="58"/>
      <c r="AR8" s="58"/>
      <c r="AS8" s="58"/>
      <c r="AT8" s="58"/>
      <c r="AU8" s="58"/>
      <c r="AV8" s="58"/>
      <c r="AW8" s="58"/>
      <c r="AX8" s="58"/>
      <c r="AY8" s="58"/>
      <c r="AZ8" s="58"/>
      <c r="BA8" s="58"/>
      <c r="BB8" s="58"/>
      <c r="BC8" s="58"/>
      <c r="BD8" s="58"/>
      <c r="BE8" s="58"/>
      <c r="BF8" s="58"/>
      <c r="BG8" s="58"/>
      <c r="BH8" s="58"/>
      <c r="BI8" s="58"/>
      <c r="BJ8" s="58"/>
      <c r="BK8" s="58"/>
      <c r="BL8" s="58"/>
      <c r="BM8" s="58"/>
      <c r="BN8" s="58"/>
      <c r="DA8" s="66"/>
      <c r="DB8" s="66"/>
      <c r="DC8" s="66"/>
      <c r="DD8" s="66"/>
      <c r="DE8" s="66"/>
      <c r="DF8" s="66"/>
      <c r="DG8" s="66"/>
      <c r="DH8" s="66"/>
      <c r="DI8" s="66"/>
      <c r="DJ8" s="66"/>
      <c r="DK8" s="132"/>
      <c r="DL8" s="132"/>
      <c r="DM8" s="66"/>
      <c r="DN8" s="66"/>
      <c r="DO8" s="66"/>
      <c r="DP8" s="66"/>
      <c r="DQ8" s="66"/>
      <c r="DR8" s="66"/>
      <c r="DS8" s="66"/>
      <c r="DT8" s="66"/>
      <c r="DU8" s="66"/>
      <c r="DV8" s="66"/>
      <c r="DW8" s="66"/>
      <c r="DX8" s="66"/>
      <c r="DY8" s="66"/>
      <c r="DZ8" s="66"/>
      <c r="EA8" s="66"/>
      <c r="EB8" s="66"/>
      <c r="EC8" s="66"/>
      <c r="ED8" s="66"/>
      <c r="EE8" s="66"/>
      <c r="EF8" s="66"/>
      <c r="EG8" s="66"/>
      <c r="EH8" s="66"/>
      <c r="EI8" s="66"/>
      <c r="EJ8" s="66"/>
      <c r="EK8" s="66"/>
      <c r="EL8" s="66"/>
      <c r="EM8" s="66"/>
      <c r="EN8" s="66"/>
    </row>
    <row r="9" spans="2:164" hidden="1">
      <c r="AA9" s="58"/>
      <c r="AB9" s="58"/>
      <c r="AC9" s="58"/>
      <c r="AD9" s="58"/>
      <c r="AE9" s="58"/>
      <c r="AF9" s="58"/>
      <c r="AG9" s="58"/>
      <c r="AH9" s="58"/>
      <c r="AI9" s="58"/>
      <c r="AJ9" s="58"/>
      <c r="AK9" s="175"/>
      <c r="AL9" s="175"/>
      <c r="AM9" s="58"/>
      <c r="AN9" s="58"/>
      <c r="AO9" s="58"/>
      <c r="AP9" s="58"/>
      <c r="AQ9" s="58"/>
      <c r="AR9" s="58"/>
      <c r="AS9" s="58"/>
      <c r="AT9" s="58"/>
      <c r="AU9" s="58"/>
      <c r="AV9" s="58"/>
      <c r="AW9" s="58"/>
      <c r="AX9" s="58"/>
      <c r="AY9" s="58"/>
      <c r="AZ9" s="58"/>
      <c r="BA9" s="58"/>
      <c r="BB9" s="58"/>
      <c r="BC9" s="58"/>
      <c r="BD9" s="58"/>
      <c r="BE9" s="58"/>
      <c r="BF9" s="58"/>
      <c r="BG9" s="58"/>
      <c r="BH9" s="58"/>
      <c r="BI9" s="58"/>
      <c r="BJ9" s="58"/>
      <c r="BK9" s="58"/>
      <c r="BL9" s="58"/>
      <c r="BM9" s="58"/>
      <c r="BN9" s="58"/>
      <c r="DA9" s="66"/>
      <c r="DB9" s="66"/>
      <c r="DC9" s="66"/>
      <c r="DD9" s="66"/>
      <c r="DE9" s="66"/>
      <c r="DF9" s="66"/>
      <c r="DG9" s="66"/>
      <c r="DH9" s="66"/>
      <c r="DI9" s="66"/>
      <c r="DJ9" s="66"/>
      <c r="DK9" s="132"/>
      <c r="DL9" s="132"/>
      <c r="DM9" s="66"/>
      <c r="DN9" s="66"/>
      <c r="DO9" s="66"/>
      <c r="DP9" s="66"/>
      <c r="DQ9" s="66"/>
      <c r="DR9" s="66"/>
      <c r="DS9" s="66"/>
      <c r="DT9" s="66"/>
      <c r="DU9" s="66"/>
      <c r="DV9" s="66"/>
      <c r="DW9" s="66"/>
      <c r="DX9" s="66"/>
      <c r="DY9" s="66"/>
      <c r="DZ9" s="66"/>
      <c r="EA9" s="66"/>
      <c r="EB9" s="66"/>
      <c r="EC9" s="66"/>
      <c r="ED9" s="66"/>
      <c r="EE9" s="66"/>
      <c r="EF9" s="66"/>
      <c r="EG9" s="66"/>
      <c r="EH9" s="66"/>
      <c r="EI9" s="66"/>
      <c r="EJ9" s="66"/>
      <c r="EK9" s="66"/>
      <c r="EL9" s="66"/>
      <c r="EM9" s="66"/>
      <c r="EN9" s="66"/>
    </row>
    <row r="10" spans="2:164" ht="29.25" customHeight="1">
      <c r="AA10" s="58"/>
      <c r="AB10" s="58"/>
      <c r="AC10" s="58"/>
      <c r="AD10" s="58"/>
      <c r="AE10" s="58"/>
      <c r="AF10" s="58"/>
      <c r="AG10" s="58"/>
      <c r="AH10" s="58"/>
      <c r="AI10" s="58"/>
      <c r="AJ10" s="58"/>
      <c r="AK10" s="175"/>
      <c r="AL10" s="175"/>
      <c r="AM10" s="58"/>
      <c r="AN10" s="58"/>
      <c r="AO10" s="58"/>
      <c r="AP10" s="58"/>
      <c r="AQ10" s="58"/>
      <c r="AR10" s="58"/>
      <c r="AS10" s="58"/>
      <c r="AT10" s="58"/>
      <c r="AU10" s="58"/>
      <c r="AV10" s="58"/>
      <c r="AW10" s="58"/>
      <c r="AX10" s="58"/>
      <c r="AY10" s="58"/>
      <c r="AZ10" s="58"/>
      <c r="BA10" s="58"/>
      <c r="BB10" s="58"/>
      <c r="BC10" s="58"/>
      <c r="BD10" s="58"/>
      <c r="BE10" s="58"/>
      <c r="BF10" s="58"/>
      <c r="BG10" s="58"/>
      <c r="BH10" s="58"/>
      <c r="BI10" s="58"/>
      <c r="BJ10" s="58"/>
      <c r="BK10" s="58"/>
      <c r="BL10" s="58"/>
      <c r="BM10" s="58"/>
      <c r="BN10" s="58"/>
      <c r="DA10" s="66"/>
      <c r="DB10" s="66"/>
      <c r="DC10" s="66"/>
      <c r="DD10" s="66"/>
      <c r="DE10" s="66"/>
      <c r="DF10" s="66"/>
      <c r="DG10" s="66"/>
      <c r="DH10" s="66"/>
      <c r="DI10" s="66"/>
      <c r="DJ10" s="66"/>
      <c r="DK10" s="132"/>
      <c r="DL10" s="132"/>
      <c r="DM10" s="66"/>
      <c r="DN10" s="66"/>
      <c r="DO10" s="66"/>
      <c r="DP10" s="66"/>
      <c r="DQ10" s="66"/>
      <c r="DR10" s="66"/>
      <c r="DS10" s="66"/>
      <c r="DT10" s="66"/>
      <c r="DU10" s="66"/>
      <c r="DV10" s="66"/>
      <c r="DW10" s="66"/>
      <c r="DX10" s="66"/>
      <c r="DY10" s="66"/>
      <c r="DZ10" s="66"/>
      <c r="EA10" s="66"/>
      <c r="EB10" s="66"/>
      <c r="EC10" s="66"/>
      <c r="ED10" s="66"/>
      <c r="EE10" s="66"/>
      <c r="EF10" s="66"/>
      <c r="EG10" s="66"/>
      <c r="EH10" s="66"/>
      <c r="EI10" s="66"/>
      <c r="EJ10" s="66"/>
      <c r="EK10" s="66"/>
      <c r="EL10" s="66"/>
      <c r="EM10" s="66"/>
      <c r="EN10" s="66"/>
      <c r="FC10" s="1"/>
      <c r="FD10" s="1"/>
      <c r="FE10" s="1"/>
      <c r="FF10" s="1"/>
      <c r="FG10" s="1"/>
      <c r="FH10" s="1"/>
    </row>
    <row r="11" spans="2:164" ht="20.25" customHeight="1">
      <c r="B11" s="235" t="s">
        <v>228</v>
      </c>
      <c r="C11" s="236"/>
      <c r="D11" s="236"/>
      <c r="E11" s="236"/>
      <c r="F11" s="236"/>
      <c r="G11" s="236"/>
      <c r="H11" s="236"/>
      <c r="I11" s="236"/>
      <c r="J11" s="236"/>
      <c r="K11" s="245" t="s">
        <v>219</v>
      </c>
      <c r="L11" s="245"/>
      <c r="M11" s="245"/>
      <c r="N11" s="246"/>
      <c r="O11" s="2"/>
      <c r="Z11" s="133">
        <f>MAX(COUNTA(AB:AB)+21,23)</f>
        <v>23</v>
      </c>
      <c r="AA11" s="239" t="s">
        <v>218</v>
      </c>
      <c r="AB11" s="240"/>
      <c r="AC11" s="240"/>
      <c r="AD11" s="240"/>
      <c r="AE11" s="240"/>
      <c r="AF11" s="240"/>
      <c r="AG11" s="240"/>
      <c r="AH11" s="240"/>
      <c r="AI11" s="240"/>
      <c r="AJ11" s="240"/>
      <c r="AK11" s="240"/>
      <c r="AL11" s="240"/>
      <c r="AM11" s="240"/>
      <c r="AN11" s="240"/>
      <c r="AO11" s="240"/>
      <c r="AP11" s="240"/>
      <c r="AQ11" s="240"/>
      <c r="AR11" s="240"/>
      <c r="AS11" s="240"/>
      <c r="AT11" s="240"/>
      <c r="AU11" s="240"/>
      <c r="AV11" s="240"/>
      <c r="AW11" s="240"/>
      <c r="AX11" s="240"/>
      <c r="AY11" s="240"/>
      <c r="AZ11" s="240"/>
      <c r="BA11" s="240"/>
      <c r="BB11" s="240"/>
      <c r="BC11" s="240"/>
      <c r="BD11" s="240"/>
      <c r="BE11" s="240"/>
      <c r="BF11" s="240"/>
      <c r="BG11" s="240"/>
      <c r="BH11" s="240"/>
      <c r="BI11" s="240"/>
      <c r="BJ11" s="240"/>
      <c r="BK11" s="240"/>
      <c r="BL11" s="240"/>
      <c r="BM11" s="240"/>
      <c r="BN11" s="240"/>
      <c r="BO11" s="240"/>
      <c r="BP11" s="240"/>
      <c r="BQ11" s="240"/>
      <c r="BR11" s="240"/>
      <c r="BS11" s="240"/>
      <c r="BT11" s="240"/>
      <c r="BU11" s="240"/>
      <c r="BV11" s="240"/>
      <c r="BW11" s="240"/>
      <c r="BX11" s="240"/>
      <c r="BY11" s="240"/>
      <c r="BZ11" s="240"/>
      <c r="CA11" s="240"/>
      <c r="CB11" s="240"/>
      <c r="CC11" s="240"/>
      <c r="CD11" s="240"/>
      <c r="CE11" s="240"/>
      <c r="CF11" s="240"/>
      <c r="CG11" s="240"/>
      <c r="CH11" s="241"/>
      <c r="DA11" s="239" t="s">
        <v>218</v>
      </c>
      <c r="DB11" s="240"/>
      <c r="DC11" s="240"/>
      <c r="DD11" s="240"/>
      <c r="DE11" s="240"/>
      <c r="DF11" s="240"/>
      <c r="DG11" s="240"/>
      <c r="DH11" s="240"/>
      <c r="DI11" s="240"/>
      <c r="DJ11" s="240"/>
      <c r="DK11" s="240"/>
      <c r="DL11" s="240"/>
      <c r="DM11" s="240"/>
      <c r="DN11" s="240"/>
      <c r="DO11" s="240"/>
      <c r="DP11" s="240"/>
      <c r="DQ11" s="240"/>
      <c r="DR11" s="240"/>
      <c r="DS11" s="240"/>
      <c r="DT11" s="240"/>
      <c r="DU11" s="240"/>
      <c r="DV11" s="240"/>
      <c r="DW11" s="240"/>
      <c r="DX11" s="240"/>
      <c r="DY11" s="240"/>
      <c r="DZ11" s="240"/>
      <c r="EA11" s="240"/>
      <c r="EB11" s="240"/>
      <c r="EC11" s="240"/>
      <c r="ED11" s="240"/>
      <c r="EE11" s="240"/>
      <c r="EF11" s="240"/>
      <c r="EG11" s="240"/>
      <c r="EH11" s="240"/>
      <c r="EI11" s="240"/>
      <c r="EJ11" s="240"/>
      <c r="EK11" s="240"/>
      <c r="EL11" s="240"/>
      <c r="EM11" s="240"/>
      <c r="EN11" s="240"/>
      <c r="EO11" s="240"/>
      <c r="EP11" s="240"/>
      <c r="EQ11" s="240"/>
      <c r="ER11" s="240"/>
      <c r="ES11" s="240"/>
      <c r="ET11" s="240"/>
      <c r="EU11" s="240"/>
      <c r="EV11" s="240"/>
      <c r="EW11" s="240"/>
      <c r="EX11" s="240"/>
      <c r="EY11" s="240"/>
      <c r="EZ11" s="240"/>
      <c r="FA11" s="240"/>
      <c r="FB11" s="240"/>
      <c r="FC11" s="240"/>
      <c r="FD11" s="240"/>
      <c r="FE11" s="240"/>
      <c r="FF11" s="240"/>
      <c r="FG11" s="240"/>
      <c r="FH11" s="241"/>
    </row>
    <row r="12" spans="2:164" ht="12.75" customHeight="1">
      <c r="B12" s="237"/>
      <c r="C12" s="238"/>
      <c r="D12" s="238"/>
      <c r="E12" s="238"/>
      <c r="F12" s="238"/>
      <c r="G12" s="238"/>
      <c r="H12" s="238"/>
      <c r="I12" s="238"/>
      <c r="J12" s="238"/>
      <c r="K12" s="247"/>
      <c r="L12" s="247"/>
      <c r="M12" s="247"/>
      <c r="N12" s="248"/>
      <c r="Z12" s="134"/>
      <c r="AA12" s="242" t="s">
        <v>86</v>
      </c>
      <c r="AB12" s="243"/>
      <c r="AC12" s="243"/>
      <c r="AD12" s="243"/>
      <c r="AE12" s="243"/>
      <c r="AF12" s="243"/>
      <c r="AG12" s="243"/>
      <c r="AH12" s="243"/>
      <c r="AI12" s="243"/>
      <c r="AJ12" s="243"/>
      <c r="AK12" s="243"/>
      <c r="AL12" s="243"/>
      <c r="AM12" s="243"/>
      <c r="AN12" s="243"/>
      <c r="AO12" s="243"/>
      <c r="AP12" s="243"/>
      <c r="AQ12" s="243"/>
      <c r="AR12" s="243"/>
      <c r="AS12" s="243"/>
      <c r="AT12" s="243"/>
      <c r="AU12" s="243"/>
      <c r="AV12" s="243"/>
      <c r="AW12" s="243"/>
      <c r="AX12" s="243"/>
      <c r="AY12" s="243"/>
      <c r="AZ12" s="243"/>
      <c r="BA12" s="243"/>
      <c r="BB12" s="243"/>
      <c r="BC12" s="243"/>
      <c r="BD12" s="243"/>
      <c r="BE12" s="243"/>
      <c r="BF12" s="243"/>
      <c r="BG12" s="243"/>
      <c r="BH12" s="243"/>
      <c r="BI12" s="243"/>
      <c r="BJ12" s="243"/>
      <c r="BK12" s="243"/>
      <c r="BL12" s="243"/>
      <c r="BM12" s="243"/>
      <c r="BN12" s="243"/>
      <c r="BO12" s="243"/>
      <c r="BP12" s="243"/>
      <c r="BQ12" s="243"/>
      <c r="BR12" s="243"/>
      <c r="BS12" s="243"/>
      <c r="BT12" s="243"/>
      <c r="BU12" s="243"/>
      <c r="BV12" s="243"/>
      <c r="BW12" s="243"/>
      <c r="BX12" s="243"/>
      <c r="BY12" s="243"/>
      <c r="BZ12" s="243"/>
      <c r="CA12" s="243"/>
      <c r="CB12" s="243"/>
      <c r="CC12" s="243"/>
      <c r="CD12" s="243"/>
      <c r="CE12" s="243"/>
      <c r="CF12" s="243"/>
      <c r="CG12" s="243"/>
      <c r="CH12" s="244"/>
      <c r="DA12" s="242" t="s">
        <v>86</v>
      </c>
      <c r="DB12" s="243"/>
      <c r="DC12" s="243"/>
      <c r="DD12" s="243"/>
      <c r="DE12" s="243"/>
      <c r="DF12" s="243"/>
      <c r="DG12" s="243"/>
      <c r="DH12" s="243"/>
      <c r="DI12" s="243"/>
      <c r="DJ12" s="243"/>
      <c r="DK12" s="243"/>
      <c r="DL12" s="243"/>
      <c r="DM12" s="243"/>
      <c r="DN12" s="243"/>
      <c r="DO12" s="243"/>
      <c r="DP12" s="243"/>
      <c r="DQ12" s="243"/>
      <c r="DR12" s="243"/>
      <c r="DS12" s="243"/>
      <c r="DT12" s="243"/>
      <c r="DU12" s="243"/>
      <c r="DV12" s="243"/>
      <c r="DW12" s="243"/>
      <c r="DX12" s="243"/>
      <c r="DY12" s="243"/>
      <c r="DZ12" s="243"/>
      <c r="EA12" s="243"/>
      <c r="EB12" s="243"/>
      <c r="EC12" s="243"/>
      <c r="ED12" s="243"/>
      <c r="EE12" s="243"/>
      <c r="EF12" s="243"/>
      <c r="EG12" s="243"/>
      <c r="EH12" s="243"/>
      <c r="EI12" s="243"/>
      <c r="EJ12" s="243"/>
      <c r="EK12" s="243"/>
      <c r="EL12" s="243"/>
      <c r="EM12" s="243"/>
      <c r="EN12" s="243"/>
      <c r="EO12" s="243"/>
      <c r="EP12" s="243"/>
      <c r="EQ12" s="243"/>
      <c r="ER12" s="243"/>
      <c r="ES12" s="243"/>
      <c r="ET12" s="243"/>
      <c r="EU12" s="243"/>
      <c r="EV12" s="243"/>
      <c r="EW12" s="243"/>
      <c r="EX12" s="243"/>
      <c r="EY12" s="243"/>
      <c r="EZ12" s="243"/>
      <c r="FA12" s="243"/>
      <c r="FB12" s="243"/>
      <c r="FC12" s="243"/>
      <c r="FD12" s="243"/>
      <c r="FE12" s="243"/>
      <c r="FF12" s="243"/>
      <c r="FG12" s="243"/>
      <c r="FH12" s="244"/>
    </row>
    <row r="13" spans="2:164" ht="15" customHeight="1">
      <c r="B13" s="249" t="s">
        <v>3</v>
      </c>
      <c r="C13" s="250"/>
      <c r="D13" s="250"/>
      <c r="E13" s="102"/>
      <c r="F13" s="102"/>
      <c r="G13" s="102"/>
      <c r="H13" s="102"/>
      <c r="I13" s="102"/>
      <c r="J13" s="102"/>
      <c r="K13" s="102"/>
      <c r="L13" s="102"/>
      <c r="M13" s="102"/>
      <c r="N13" s="9"/>
      <c r="AA13" s="10" t="s">
        <v>43</v>
      </c>
      <c r="AB13" s="135"/>
      <c r="AC13" s="86"/>
      <c r="AD13" s="86"/>
      <c r="AE13" s="35"/>
      <c r="AF13" s="35"/>
      <c r="AG13" s="35"/>
      <c r="AH13" s="32"/>
      <c r="AI13" s="32"/>
      <c r="AJ13" s="32"/>
      <c r="AK13" s="37"/>
      <c r="AL13" s="37"/>
      <c r="AM13" s="38"/>
      <c r="AN13" s="4"/>
      <c r="AO13" s="4"/>
      <c r="AP13" s="4"/>
      <c r="AQ13" s="4"/>
      <c r="AR13" s="4"/>
      <c r="AS13" s="4"/>
      <c r="AT13" s="4"/>
      <c r="AU13" s="4"/>
      <c r="AV13" s="35"/>
      <c r="AW13" s="39"/>
      <c r="AX13" s="39"/>
      <c r="AY13" s="39"/>
      <c r="AZ13" s="39"/>
      <c r="BA13" s="39"/>
      <c r="BB13" s="39"/>
      <c r="BC13" s="39"/>
      <c r="BD13" s="40"/>
      <c r="BE13" s="40"/>
      <c r="BF13" s="37"/>
      <c r="BG13" s="45"/>
      <c r="BH13" s="6"/>
      <c r="DA13" s="10" t="s">
        <v>43</v>
      </c>
      <c r="DB13" s="135"/>
      <c r="DC13" s="86"/>
      <c r="DD13" s="86"/>
      <c r="DE13" s="35"/>
      <c r="DF13" s="35"/>
      <c r="DG13" s="35"/>
      <c r="DH13" s="32"/>
      <c r="DI13" s="32"/>
      <c r="DJ13" s="32"/>
      <c r="DK13" s="37"/>
      <c r="DL13" s="37"/>
      <c r="DM13" s="38"/>
      <c r="DN13" s="4"/>
      <c r="DO13" s="4"/>
      <c r="DP13" s="4"/>
      <c r="DQ13" s="4"/>
      <c r="DR13" s="4"/>
      <c r="DS13" s="4"/>
      <c r="DT13" s="4"/>
      <c r="DU13" s="4"/>
      <c r="DV13" s="35"/>
      <c r="DW13" s="39"/>
      <c r="DX13" s="39"/>
      <c r="DY13" s="39"/>
      <c r="DZ13" s="39"/>
      <c r="EA13" s="39"/>
      <c r="EB13" s="39"/>
      <c r="EC13" s="39"/>
      <c r="ED13" s="40"/>
      <c r="EE13" s="40"/>
      <c r="EF13" s="37"/>
      <c r="EG13" s="45"/>
      <c r="EH13" s="6"/>
      <c r="EO13" s="32"/>
      <c r="EP13" s="57"/>
      <c r="EQ13" s="58"/>
      <c r="ER13" s="4"/>
      <c r="ES13" s="4"/>
      <c r="ET13" s="32"/>
      <c r="EU13" s="32"/>
      <c r="EV13" s="32"/>
      <c r="EW13" s="57"/>
      <c r="EX13" s="58"/>
      <c r="EY13" s="4"/>
      <c r="EZ13" s="4"/>
      <c r="FA13" s="4"/>
      <c r="FB13" s="4"/>
    </row>
    <row r="14" spans="2:164" ht="14.25">
      <c r="B14" s="10" t="s">
        <v>28</v>
      </c>
      <c r="C14" s="102"/>
      <c r="D14" s="102"/>
      <c r="E14" s="102"/>
      <c r="F14" s="102"/>
      <c r="G14" s="102"/>
      <c r="H14" s="103"/>
      <c r="I14" s="104"/>
      <c r="J14" s="102"/>
      <c r="K14" s="4"/>
      <c r="L14" s="4"/>
      <c r="M14" s="4"/>
      <c r="N14" s="9"/>
      <c r="AA14" s="13"/>
      <c r="AB14" s="35"/>
      <c r="AC14" s="86"/>
      <c r="AD14" s="272" t="s">
        <v>41</v>
      </c>
      <c r="AE14" s="272"/>
      <c r="AF14" s="35"/>
      <c r="AG14" s="36" t="s">
        <v>42</v>
      </c>
      <c r="AH14" s="220">
        <f>VLOOKUP(AD15,Data!$C$20:$F$38,2,FALSE)</f>
        <v>206000</v>
      </c>
      <c r="AI14" s="220"/>
      <c r="AJ14" s="37" t="s">
        <v>59</v>
      </c>
      <c r="AK14" s="37"/>
      <c r="AL14" s="37"/>
      <c r="AM14" s="38"/>
      <c r="AN14" s="4"/>
      <c r="AO14" s="4"/>
      <c r="AP14" s="4"/>
      <c r="AQ14" s="4"/>
      <c r="AR14" s="4"/>
      <c r="AS14" s="4"/>
      <c r="AT14" s="4"/>
      <c r="AU14" s="4"/>
      <c r="AV14" s="41"/>
      <c r="AW14" s="41" t="s">
        <v>47</v>
      </c>
      <c r="AX14" s="39"/>
      <c r="AY14" s="39"/>
      <c r="AZ14" s="42" t="s">
        <v>91</v>
      </c>
      <c r="BA14" s="43">
        <f>AH16*AE16</f>
        <v>312.14285714285711</v>
      </c>
      <c r="BB14" s="6" t="s">
        <v>59</v>
      </c>
      <c r="BC14" s="39"/>
      <c r="BD14" s="39"/>
      <c r="BE14" s="6"/>
      <c r="BF14" s="37"/>
      <c r="BG14" s="45"/>
      <c r="BH14" s="6"/>
      <c r="DA14" s="13"/>
      <c r="DB14" s="35"/>
      <c r="DC14" s="86"/>
      <c r="DD14" s="272" t="s">
        <v>41</v>
      </c>
      <c r="DE14" s="272"/>
      <c r="DF14" s="35"/>
      <c r="DG14" s="36" t="s">
        <v>42</v>
      </c>
      <c r="DH14" s="220">
        <f>AH14</f>
        <v>206000</v>
      </c>
      <c r="DI14" s="220"/>
      <c r="DJ14" s="37" t="s">
        <v>59</v>
      </c>
      <c r="DK14" s="37"/>
      <c r="DL14" s="37"/>
      <c r="DM14" s="38"/>
      <c r="DN14" s="4"/>
      <c r="DO14" s="4"/>
      <c r="DP14" s="4"/>
      <c r="DQ14" s="4"/>
      <c r="DR14" s="4"/>
      <c r="DS14" s="4"/>
      <c r="DT14" s="4"/>
      <c r="DU14" s="4"/>
      <c r="DV14" s="41"/>
      <c r="DW14" s="41" t="s">
        <v>47</v>
      </c>
      <c r="DX14" s="39"/>
      <c r="DY14" s="39"/>
      <c r="DZ14" s="42" t="s">
        <v>91</v>
      </c>
      <c r="EA14" s="43">
        <f>BA14</f>
        <v>312.14285714285711</v>
      </c>
      <c r="EB14" s="6" t="s">
        <v>59</v>
      </c>
      <c r="EC14" s="39"/>
      <c r="ED14" s="39"/>
      <c r="EE14" s="6"/>
      <c r="EF14" s="37"/>
      <c r="EG14" s="45"/>
      <c r="EH14" s="6"/>
      <c r="EO14" s="32"/>
      <c r="EP14" s="57"/>
      <c r="EQ14" s="58"/>
      <c r="ER14" s="4"/>
      <c r="ES14" s="4"/>
      <c r="ET14" s="32"/>
      <c r="EU14" s="32"/>
      <c r="EV14" s="32"/>
      <c r="EW14" s="57"/>
      <c r="EX14" s="58"/>
      <c r="EY14" s="4"/>
      <c r="EZ14" s="4"/>
      <c r="FA14" s="4"/>
      <c r="FB14" s="4"/>
    </row>
    <row r="15" spans="2:164" ht="14.25">
      <c r="B15" s="11" t="s">
        <v>112</v>
      </c>
      <c r="C15" s="102"/>
      <c r="D15" s="102"/>
      <c r="E15" s="103" t="s">
        <v>66</v>
      </c>
      <c r="F15" s="105">
        <v>388</v>
      </c>
      <c r="G15" s="102" t="s">
        <v>5</v>
      </c>
      <c r="H15" s="4"/>
      <c r="I15" s="4"/>
      <c r="J15" s="4"/>
      <c r="K15" s="4"/>
      <c r="L15" s="4"/>
      <c r="M15" s="4"/>
      <c r="N15" s="12"/>
      <c r="AA15" s="13"/>
      <c r="AB15" s="35"/>
      <c r="AC15" s="86"/>
      <c r="AD15" s="220" t="str">
        <f>D25</f>
        <v>Q345</v>
      </c>
      <c r="AE15" s="220"/>
      <c r="AF15" s="35"/>
      <c r="AG15" s="36" t="s">
        <v>73</v>
      </c>
      <c r="AH15" s="220">
        <f>VLOOKUP(AD15,Data!$C$20:$F$38,3,FALSE)</f>
        <v>345</v>
      </c>
      <c r="AI15" s="220"/>
      <c r="AJ15" s="37" t="s">
        <v>59</v>
      </c>
      <c r="AK15" s="37"/>
      <c r="AL15" s="37"/>
      <c r="AM15" s="38"/>
      <c r="AN15" s="4"/>
      <c r="AO15" s="4"/>
      <c r="AP15" s="4"/>
      <c r="AQ15" s="4"/>
      <c r="AR15" s="4"/>
      <c r="AS15" s="4"/>
      <c r="AT15" s="4"/>
      <c r="AU15" s="4"/>
      <c r="AV15" s="41"/>
      <c r="AW15" s="41" t="s">
        <v>48</v>
      </c>
      <c r="AX15" s="39"/>
      <c r="AY15" s="39"/>
      <c r="AZ15" s="42" t="s">
        <v>77</v>
      </c>
      <c r="BA15" s="43">
        <f>AH17*AE16</f>
        <v>181.04285714285712</v>
      </c>
      <c r="BB15" s="6" t="s">
        <v>59</v>
      </c>
      <c r="BC15" s="39"/>
      <c r="BD15" s="39"/>
      <c r="BE15" s="6"/>
      <c r="BF15" s="37"/>
      <c r="BG15" s="45"/>
      <c r="BH15" s="6"/>
      <c r="DA15" s="13"/>
      <c r="DB15" s="35"/>
      <c r="DC15" s="86"/>
      <c r="DD15" s="220">
        <f>CD25</f>
        <v>0</v>
      </c>
      <c r="DE15" s="220"/>
      <c r="DF15" s="35"/>
      <c r="DG15" s="36" t="s">
        <v>73</v>
      </c>
      <c r="DH15" s="220">
        <f t="shared" ref="DH15:DH17" si="0">AH15</f>
        <v>345</v>
      </c>
      <c r="DI15" s="220"/>
      <c r="DJ15" s="37" t="s">
        <v>59</v>
      </c>
      <c r="DK15" s="37"/>
      <c r="DL15" s="37"/>
      <c r="DM15" s="38"/>
      <c r="DN15" s="4"/>
      <c r="DO15" s="4"/>
      <c r="DP15" s="4"/>
      <c r="DQ15" s="4"/>
      <c r="DR15" s="4"/>
      <c r="DS15" s="4"/>
      <c r="DT15" s="4"/>
      <c r="DU15" s="4"/>
      <c r="DV15" s="41"/>
      <c r="DW15" s="41" t="s">
        <v>48</v>
      </c>
      <c r="DX15" s="39"/>
      <c r="DY15" s="39"/>
      <c r="DZ15" s="42" t="s">
        <v>77</v>
      </c>
      <c r="EA15" s="43">
        <f t="shared" ref="EA15:EA16" si="1">BA15</f>
        <v>181.04285714285712</v>
      </c>
      <c r="EB15" s="6" t="s">
        <v>59</v>
      </c>
      <c r="EC15" s="39"/>
      <c r="ED15" s="39"/>
      <c r="EE15" s="6"/>
      <c r="EF15" s="37"/>
      <c r="EG15" s="45"/>
      <c r="EH15" s="6"/>
      <c r="EO15" s="32"/>
      <c r="EP15" s="57"/>
      <c r="EQ15" s="58"/>
      <c r="ER15" s="4"/>
      <c r="ES15" s="4"/>
      <c r="ET15" s="32"/>
      <c r="EU15" s="32"/>
      <c r="EV15" s="32"/>
      <c r="EW15" s="57"/>
      <c r="EX15" s="58"/>
      <c r="EY15" s="4"/>
      <c r="EZ15" s="4"/>
      <c r="FA15" s="4"/>
      <c r="FB15" s="4"/>
    </row>
    <row r="16" spans="2:164" ht="15" customHeight="1">
      <c r="B16" s="11" t="s">
        <v>113</v>
      </c>
      <c r="C16" s="102"/>
      <c r="D16" s="102"/>
      <c r="E16" s="103" t="s">
        <v>66</v>
      </c>
      <c r="F16" s="105">
        <v>388</v>
      </c>
      <c r="G16" s="102" t="s">
        <v>5</v>
      </c>
      <c r="H16" s="4"/>
      <c r="I16" s="4"/>
      <c r="J16" s="4"/>
      <c r="K16" s="4"/>
      <c r="L16" s="4"/>
      <c r="M16" s="4"/>
      <c r="N16" s="12"/>
      <c r="AA16" s="13"/>
      <c r="AB16" s="35"/>
      <c r="AC16" s="86"/>
      <c r="AD16" s="44" t="s">
        <v>75</v>
      </c>
      <c r="AE16" s="6">
        <f>G28</f>
        <v>0.95</v>
      </c>
      <c r="AF16" s="35"/>
      <c r="AG16" s="36" t="s">
        <v>79</v>
      </c>
      <c r="AH16" s="271">
        <f>AH15/AE17</f>
        <v>328.57142857142856</v>
      </c>
      <c r="AI16" s="271"/>
      <c r="AJ16" s="37" t="s">
        <v>59</v>
      </c>
      <c r="AK16" s="37"/>
      <c r="AL16" s="37"/>
      <c r="AM16" s="38"/>
      <c r="AN16" s="4"/>
      <c r="AO16" s="4"/>
      <c r="AP16" s="4"/>
      <c r="AQ16" s="4"/>
      <c r="AR16" s="4"/>
      <c r="AS16" s="4"/>
      <c r="AT16" s="4"/>
      <c r="AU16" s="4"/>
      <c r="AV16" s="41"/>
      <c r="AW16" s="41" t="s">
        <v>40</v>
      </c>
      <c r="AX16" s="39"/>
      <c r="AY16" s="39"/>
      <c r="AZ16" s="42" t="s">
        <v>80</v>
      </c>
      <c r="BA16" s="43">
        <f>1.15*AH16*AE16</f>
        <v>358.96428571428567</v>
      </c>
      <c r="BB16" s="6" t="s">
        <v>59</v>
      </c>
      <c r="BC16" s="39"/>
      <c r="BD16" s="39"/>
      <c r="BE16" s="6"/>
      <c r="BF16" s="37"/>
      <c r="BG16" s="45"/>
      <c r="BH16" s="6"/>
      <c r="DA16" s="13"/>
      <c r="DB16" s="35"/>
      <c r="DC16" s="86"/>
      <c r="DD16" s="44" t="s">
        <v>75</v>
      </c>
      <c r="DE16" s="6">
        <f>CG28</f>
        <v>0</v>
      </c>
      <c r="DF16" s="35"/>
      <c r="DG16" s="36" t="s">
        <v>79</v>
      </c>
      <c r="DH16" s="271">
        <f t="shared" si="0"/>
        <v>328.57142857142856</v>
      </c>
      <c r="DI16" s="271"/>
      <c r="DJ16" s="37" t="s">
        <v>59</v>
      </c>
      <c r="DK16" s="37"/>
      <c r="DL16" s="37"/>
      <c r="DM16" s="38"/>
      <c r="DN16" s="4"/>
      <c r="DO16" s="4"/>
      <c r="DP16" s="4"/>
      <c r="DQ16" s="4"/>
      <c r="DR16" s="4"/>
      <c r="DS16" s="4"/>
      <c r="DT16" s="4"/>
      <c r="DU16" s="4"/>
      <c r="DV16" s="41"/>
      <c r="DW16" s="41" t="s">
        <v>40</v>
      </c>
      <c r="DX16" s="39"/>
      <c r="DY16" s="39"/>
      <c r="DZ16" s="42" t="s">
        <v>80</v>
      </c>
      <c r="EA16" s="43">
        <f t="shared" si="1"/>
        <v>358.96428571428567</v>
      </c>
      <c r="EB16" s="6" t="s">
        <v>59</v>
      </c>
      <c r="EC16" s="39"/>
      <c r="ED16" s="39"/>
      <c r="EE16" s="6"/>
      <c r="EF16" s="37"/>
      <c r="EG16" s="45"/>
      <c r="EH16" s="6"/>
      <c r="EO16" s="32"/>
      <c r="EP16" s="57"/>
      <c r="EQ16" s="58"/>
      <c r="ER16" s="4"/>
      <c r="ES16" s="4"/>
      <c r="ET16" s="32"/>
      <c r="EU16" s="32"/>
      <c r="EV16" s="32"/>
      <c r="EW16" s="57"/>
      <c r="EX16" s="58"/>
      <c r="EY16" s="4"/>
      <c r="EZ16" s="4"/>
      <c r="FA16" s="4"/>
      <c r="FB16" s="4"/>
    </row>
    <row r="17" spans="2:164" ht="14.25">
      <c r="B17" s="11" t="s">
        <v>4</v>
      </c>
      <c r="C17" s="102"/>
      <c r="D17" s="102"/>
      <c r="E17" s="103" t="s">
        <v>67</v>
      </c>
      <c r="F17" s="106">
        <v>8</v>
      </c>
      <c r="G17" s="102" t="s">
        <v>5</v>
      </c>
      <c r="H17" s="4"/>
      <c r="I17" s="4"/>
      <c r="J17" s="4"/>
      <c r="K17" s="4"/>
      <c r="L17" s="4"/>
      <c r="M17" s="4"/>
      <c r="N17" s="12"/>
      <c r="AA17" s="13"/>
      <c r="AB17" s="35"/>
      <c r="AC17" s="86"/>
      <c r="AD17" s="44" t="s">
        <v>76</v>
      </c>
      <c r="AE17" s="6">
        <f>F28</f>
        <v>1.05</v>
      </c>
      <c r="AF17" s="35"/>
      <c r="AG17" s="36" t="s">
        <v>74</v>
      </c>
      <c r="AH17" s="271">
        <f>0.58*AH15/AE17</f>
        <v>190.57142857142856</v>
      </c>
      <c r="AI17" s="271"/>
      <c r="AJ17" s="37" t="s">
        <v>59</v>
      </c>
      <c r="AK17" s="37"/>
      <c r="AL17" s="37"/>
      <c r="AM17" s="38"/>
      <c r="AN17" s="4"/>
      <c r="AO17" s="4"/>
      <c r="AP17" s="4"/>
      <c r="AQ17" s="4"/>
      <c r="AR17" s="4"/>
      <c r="AS17" s="4"/>
      <c r="AT17" s="4"/>
      <c r="AU17" s="4"/>
      <c r="AV17" s="35"/>
      <c r="AW17" s="39"/>
      <c r="AX17" s="39"/>
      <c r="AY17" s="39"/>
      <c r="AZ17" s="39"/>
      <c r="BA17" s="39"/>
      <c r="BB17" s="39"/>
      <c r="BC17" s="39"/>
      <c r="BD17" s="6"/>
      <c r="BE17" s="40"/>
      <c r="BF17" s="37"/>
      <c r="BG17" s="45"/>
      <c r="BH17" s="6"/>
      <c r="DA17" s="13"/>
      <c r="DB17" s="35"/>
      <c r="DC17" s="86"/>
      <c r="DD17" s="44" t="s">
        <v>76</v>
      </c>
      <c r="DE17" s="6">
        <f>CF28</f>
        <v>0</v>
      </c>
      <c r="DF17" s="35"/>
      <c r="DG17" s="36" t="s">
        <v>74</v>
      </c>
      <c r="DH17" s="271">
        <f t="shared" si="0"/>
        <v>190.57142857142856</v>
      </c>
      <c r="DI17" s="271"/>
      <c r="DJ17" s="37" t="s">
        <v>59</v>
      </c>
      <c r="DK17" s="37"/>
      <c r="DL17" s="37"/>
      <c r="DM17" s="38"/>
      <c r="DN17" s="4"/>
      <c r="DO17" s="4"/>
      <c r="DP17" s="4"/>
      <c r="DQ17" s="4"/>
      <c r="DR17" s="4"/>
      <c r="DS17" s="4"/>
      <c r="DT17" s="4"/>
      <c r="DU17" s="4"/>
      <c r="DV17" s="35"/>
      <c r="DW17" s="39"/>
      <c r="DX17" s="39"/>
      <c r="DY17" s="39"/>
      <c r="DZ17" s="39"/>
      <c r="EA17" s="39"/>
      <c r="EB17" s="39"/>
      <c r="EC17" s="39"/>
      <c r="ED17" s="6"/>
      <c r="EE17" s="40"/>
      <c r="EF17" s="37"/>
      <c r="EG17" s="45"/>
      <c r="EH17" s="6"/>
      <c r="EO17" s="32"/>
      <c r="EP17" s="57"/>
      <c r="EQ17" s="58"/>
      <c r="ER17" s="4"/>
      <c r="ES17" s="4"/>
      <c r="ET17" s="32"/>
      <c r="EU17" s="32"/>
      <c r="EV17" s="32"/>
      <c r="EW17" s="57"/>
      <c r="EX17" s="58"/>
      <c r="EY17" s="4"/>
      <c r="EZ17" s="4"/>
      <c r="FA17" s="4"/>
      <c r="FB17" s="4"/>
    </row>
    <row r="18" spans="2:164" ht="14.25">
      <c r="B18" s="11" t="s">
        <v>134</v>
      </c>
      <c r="C18" s="102"/>
      <c r="D18" s="102"/>
      <c r="E18" s="103" t="s">
        <v>136</v>
      </c>
      <c r="F18" s="106">
        <v>200</v>
      </c>
      <c r="G18" s="102" t="s">
        <v>5</v>
      </c>
      <c r="H18" s="4"/>
      <c r="I18" s="4"/>
      <c r="J18" s="4"/>
      <c r="K18" s="4"/>
      <c r="L18" s="4"/>
      <c r="M18" s="4"/>
      <c r="N18" s="12"/>
      <c r="O18" s="3"/>
      <c r="AA18" s="46" t="s">
        <v>44</v>
      </c>
      <c r="AB18" s="47"/>
      <c r="AC18" s="87"/>
      <c r="AD18" s="87"/>
      <c r="AE18" s="48"/>
      <c r="AF18" s="48"/>
      <c r="AG18" s="48"/>
      <c r="AH18" s="49"/>
      <c r="AI18" s="50"/>
      <c r="AJ18" s="223"/>
      <c r="AK18" s="223"/>
      <c r="AL18" s="50"/>
      <c r="AM18" s="51"/>
      <c r="AN18" s="14"/>
      <c r="AO18" s="14"/>
      <c r="AP18" s="14"/>
      <c r="AQ18" s="14"/>
      <c r="AR18" s="14"/>
      <c r="AS18" s="14"/>
      <c r="AT18" s="14"/>
      <c r="AU18" s="14"/>
      <c r="AV18" s="48"/>
      <c r="AW18" s="52"/>
      <c r="AX18" s="52"/>
      <c r="AY18" s="52"/>
      <c r="AZ18" s="52"/>
      <c r="BA18" s="52"/>
      <c r="BB18" s="52"/>
      <c r="BC18" s="52"/>
      <c r="BD18" s="53"/>
      <c r="BE18" s="54"/>
      <c r="BF18" s="50"/>
      <c r="BG18" s="55"/>
      <c r="BH18" s="53"/>
      <c r="DA18" s="46" t="s">
        <v>44</v>
      </c>
      <c r="DB18" s="47"/>
      <c r="DC18" s="87"/>
      <c r="DD18" s="87"/>
      <c r="DE18" s="48"/>
      <c r="DF18" s="48"/>
      <c r="DG18" s="48"/>
      <c r="DH18" s="49"/>
      <c r="DI18" s="50"/>
      <c r="DJ18" s="223"/>
      <c r="DK18" s="223"/>
      <c r="DL18" s="50"/>
      <c r="DM18" s="51"/>
      <c r="DN18" s="14"/>
      <c r="DO18" s="14"/>
      <c r="DP18" s="14"/>
      <c r="DQ18" s="14"/>
      <c r="DR18" s="14"/>
      <c r="DS18" s="14"/>
      <c r="DT18" s="14"/>
      <c r="DU18" s="14"/>
      <c r="DV18" s="48"/>
      <c r="DW18" s="52"/>
      <c r="DX18" s="52"/>
      <c r="DY18" s="52"/>
      <c r="DZ18" s="52"/>
      <c r="EA18" s="52"/>
      <c r="EB18" s="52"/>
      <c r="EC18" s="52"/>
      <c r="ED18" s="53"/>
      <c r="EE18" s="54"/>
      <c r="EF18" s="50"/>
      <c r="EG18" s="55"/>
      <c r="EH18" s="53"/>
      <c r="EO18" s="32"/>
      <c r="EP18" s="57"/>
      <c r="EQ18" s="58"/>
      <c r="ER18" s="4"/>
      <c r="ES18" s="4"/>
      <c r="ET18" s="32"/>
      <c r="EU18" s="32"/>
      <c r="EV18" s="32"/>
      <c r="EW18" s="57"/>
      <c r="EX18" s="58"/>
      <c r="EY18" s="4"/>
      <c r="EZ18" s="4"/>
      <c r="FA18" s="4"/>
      <c r="FB18" s="4"/>
    </row>
    <row r="19" spans="2:164" ht="15" customHeight="1">
      <c r="B19" s="11" t="s">
        <v>135</v>
      </c>
      <c r="C19" s="102"/>
      <c r="D19" s="102"/>
      <c r="E19" s="103" t="s">
        <v>137</v>
      </c>
      <c r="F19" s="106">
        <v>10</v>
      </c>
      <c r="G19" s="102" t="s">
        <v>5</v>
      </c>
      <c r="H19" s="4"/>
      <c r="I19" s="4"/>
      <c r="J19" s="4"/>
      <c r="K19" s="4"/>
      <c r="L19" s="4"/>
      <c r="M19" s="4"/>
      <c r="N19" s="9"/>
      <c r="O19" s="3"/>
      <c r="AA19" s="225" t="s">
        <v>51</v>
      </c>
      <c r="AB19" s="225"/>
      <c r="AC19" s="225"/>
      <c r="AD19" s="225"/>
      <c r="AE19" s="225"/>
      <c r="AF19" s="225"/>
      <c r="AG19" s="225"/>
      <c r="AH19" s="225"/>
      <c r="AI19" s="225"/>
      <c r="AJ19" s="225"/>
      <c r="AK19" s="225"/>
      <c r="AL19" s="225"/>
      <c r="AM19" s="225"/>
      <c r="AN19" s="225"/>
      <c r="AO19" s="225"/>
      <c r="AP19" s="225"/>
      <c r="AQ19" s="225"/>
      <c r="AR19" s="225"/>
      <c r="AS19" s="225"/>
      <c r="AT19" s="225"/>
      <c r="AU19" s="225"/>
      <c r="AV19" s="225"/>
      <c r="AW19" s="225"/>
      <c r="AX19" s="225"/>
      <c r="AY19" s="225"/>
      <c r="AZ19" s="225"/>
      <c r="BA19" s="225"/>
      <c r="BB19" s="225"/>
      <c r="BC19" s="225" t="s">
        <v>50</v>
      </c>
      <c r="BD19" s="225"/>
      <c r="BE19" s="225"/>
      <c r="BF19" s="225"/>
      <c r="BG19" s="225"/>
      <c r="BH19" s="225"/>
      <c r="BI19" s="273" t="s">
        <v>180</v>
      </c>
      <c r="BJ19" s="267"/>
      <c r="BK19" s="267"/>
      <c r="BL19" s="268"/>
      <c r="BM19" s="267" t="s">
        <v>199</v>
      </c>
      <c r="BN19" s="267"/>
      <c r="BO19" s="267"/>
      <c r="BP19" s="267"/>
      <c r="BQ19" s="267"/>
      <c r="BR19" s="268"/>
      <c r="BS19" s="273" t="s">
        <v>200</v>
      </c>
      <c r="BT19" s="267"/>
      <c r="BU19" s="267"/>
      <c r="BV19" s="267"/>
      <c r="BW19" s="267"/>
      <c r="BX19" s="267"/>
      <c r="BY19" s="268"/>
      <c r="BZ19" s="273" t="s">
        <v>92</v>
      </c>
      <c r="CA19" s="267"/>
      <c r="CB19" s="268"/>
      <c r="CC19" s="228" t="s">
        <v>93</v>
      </c>
      <c r="CD19" s="228"/>
      <c r="CE19" s="228"/>
      <c r="CF19" s="228"/>
      <c r="CG19" s="228"/>
      <c r="CH19" s="228"/>
      <c r="DA19" s="225" t="s">
        <v>51</v>
      </c>
      <c r="DB19" s="225"/>
      <c r="DC19" s="225"/>
      <c r="DD19" s="225"/>
      <c r="DE19" s="225"/>
      <c r="DF19" s="225"/>
      <c r="DG19" s="225"/>
      <c r="DH19" s="225"/>
      <c r="DI19" s="225"/>
      <c r="DJ19" s="225"/>
      <c r="DK19" s="225"/>
      <c r="DL19" s="225"/>
      <c r="DM19" s="225"/>
      <c r="DN19" s="225"/>
      <c r="DO19" s="225"/>
      <c r="DP19" s="225"/>
      <c r="DQ19" s="225"/>
      <c r="DR19" s="225"/>
      <c r="DS19" s="225"/>
      <c r="DT19" s="225"/>
      <c r="DU19" s="225"/>
      <c r="DV19" s="225"/>
      <c r="DW19" s="225"/>
      <c r="DX19" s="225"/>
      <c r="DY19" s="225"/>
      <c r="DZ19" s="225"/>
      <c r="EA19" s="225"/>
      <c r="EB19" s="225"/>
      <c r="EC19" s="225" t="s">
        <v>50</v>
      </c>
      <c r="ED19" s="225"/>
      <c r="EE19" s="225"/>
      <c r="EF19" s="225"/>
      <c r="EG19" s="225"/>
      <c r="EH19" s="225"/>
      <c r="EI19" s="273" t="s">
        <v>180</v>
      </c>
      <c r="EJ19" s="267"/>
      <c r="EK19" s="267"/>
      <c r="EL19" s="268"/>
      <c r="EM19" s="267" t="s">
        <v>199</v>
      </c>
      <c r="EN19" s="267"/>
      <c r="EO19" s="267"/>
      <c r="EP19" s="267"/>
      <c r="EQ19" s="267"/>
      <c r="ER19" s="268"/>
      <c r="ES19" s="273" t="s">
        <v>200</v>
      </c>
      <c r="ET19" s="267"/>
      <c r="EU19" s="267"/>
      <c r="EV19" s="267"/>
      <c r="EW19" s="267"/>
      <c r="EX19" s="267"/>
      <c r="EY19" s="268"/>
      <c r="EZ19" s="273" t="s">
        <v>92</v>
      </c>
      <c r="FA19" s="267"/>
      <c r="FB19" s="268"/>
      <c r="FC19" s="228" t="s">
        <v>93</v>
      </c>
      <c r="FD19" s="228"/>
      <c r="FE19" s="228"/>
      <c r="FF19" s="228"/>
      <c r="FG19" s="228"/>
      <c r="FH19" s="228"/>
    </row>
    <row r="20" spans="2:164" ht="14.25">
      <c r="B20" s="11" t="s">
        <v>31</v>
      </c>
      <c r="C20" s="102"/>
      <c r="D20" s="102"/>
      <c r="E20" s="103" t="s">
        <v>68</v>
      </c>
      <c r="F20" s="107">
        <f>F32-2*F19</f>
        <v>368</v>
      </c>
      <c r="G20" s="102" t="s">
        <v>5</v>
      </c>
      <c r="H20" s="4"/>
      <c r="I20" s="4"/>
      <c r="J20" s="4"/>
      <c r="K20" s="4"/>
      <c r="L20" s="4"/>
      <c r="M20" s="4"/>
      <c r="N20" s="9"/>
      <c r="AA20" s="225"/>
      <c r="AB20" s="225"/>
      <c r="AC20" s="225"/>
      <c r="AD20" s="225"/>
      <c r="AE20" s="225"/>
      <c r="AF20" s="225"/>
      <c r="AG20" s="225"/>
      <c r="AH20" s="225"/>
      <c r="AI20" s="225"/>
      <c r="AJ20" s="225"/>
      <c r="AK20" s="225"/>
      <c r="AL20" s="225"/>
      <c r="AM20" s="225"/>
      <c r="AN20" s="225"/>
      <c r="AO20" s="225"/>
      <c r="AP20" s="225"/>
      <c r="AQ20" s="225"/>
      <c r="AR20" s="225"/>
      <c r="AS20" s="225"/>
      <c r="AT20" s="225"/>
      <c r="AU20" s="225"/>
      <c r="AV20" s="225"/>
      <c r="AW20" s="225"/>
      <c r="AX20" s="225"/>
      <c r="AY20" s="225"/>
      <c r="AZ20" s="225"/>
      <c r="BA20" s="225"/>
      <c r="BB20" s="225"/>
      <c r="BC20" s="225"/>
      <c r="BD20" s="225"/>
      <c r="BE20" s="225"/>
      <c r="BF20" s="225"/>
      <c r="BG20" s="225"/>
      <c r="BH20" s="225"/>
      <c r="BI20" s="274"/>
      <c r="BJ20" s="269"/>
      <c r="BK20" s="269"/>
      <c r="BL20" s="270"/>
      <c r="BM20" s="269"/>
      <c r="BN20" s="269"/>
      <c r="BO20" s="269"/>
      <c r="BP20" s="269"/>
      <c r="BQ20" s="269"/>
      <c r="BR20" s="270"/>
      <c r="BS20" s="274"/>
      <c r="BT20" s="269"/>
      <c r="BU20" s="269"/>
      <c r="BV20" s="269"/>
      <c r="BW20" s="269"/>
      <c r="BX20" s="269"/>
      <c r="BY20" s="270"/>
      <c r="BZ20" s="274"/>
      <c r="CA20" s="269"/>
      <c r="CB20" s="270"/>
      <c r="CC20" s="228"/>
      <c r="CD20" s="228"/>
      <c r="CE20" s="228"/>
      <c r="CF20" s="228"/>
      <c r="CG20" s="228"/>
      <c r="CH20" s="228"/>
      <c r="DA20" s="225"/>
      <c r="DB20" s="225"/>
      <c r="DC20" s="225"/>
      <c r="DD20" s="225"/>
      <c r="DE20" s="225"/>
      <c r="DF20" s="225"/>
      <c r="DG20" s="225"/>
      <c r="DH20" s="225"/>
      <c r="DI20" s="225"/>
      <c r="DJ20" s="225"/>
      <c r="DK20" s="225"/>
      <c r="DL20" s="225"/>
      <c r="DM20" s="225"/>
      <c r="DN20" s="225"/>
      <c r="DO20" s="225"/>
      <c r="DP20" s="225"/>
      <c r="DQ20" s="225"/>
      <c r="DR20" s="225"/>
      <c r="DS20" s="225"/>
      <c r="DT20" s="225"/>
      <c r="DU20" s="225"/>
      <c r="DV20" s="225"/>
      <c r="DW20" s="225"/>
      <c r="DX20" s="225"/>
      <c r="DY20" s="225"/>
      <c r="DZ20" s="225"/>
      <c r="EA20" s="225"/>
      <c r="EB20" s="225"/>
      <c r="EC20" s="225"/>
      <c r="ED20" s="225"/>
      <c r="EE20" s="225"/>
      <c r="EF20" s="225"/>
      <c r="EG20" s="225"/>
      <c r="EH20" s="225"/>
      <c r="EI20" s="274"/>
      <c r="EJ20" s="269"/>
      <c r="EK20" s="269"/>
      <c r="EL20" s="270"/>
      <c r="EM20" s="269"/>
      <c r="EN20" s="269"/>
      <c r="EO20" s="269"/>
      <c r="EP20" s="269"/>
      <c r="EQ20" s="269"/>
      <c r="ER20" s="270"/>
      <c r="ES20" s="274"/>
      <c r="ET20" s="269"/>
      <c r="EU20" s="269"/>
      <c r="EV20" s="269"/>
      <c r="EW20" s="269"/>
      <c r="EX20" s="269"/>
      <c r="EY20" s="270"/>
      <c r="EZ20" s="274"/>
      <c r="FA20" s="269"/>
      <c r="FB20" s="270"/>
      <c r="FC20" s="228"/>
      <c r="FD20" s="228"/>
      <c r="FE20" s="228"/>
      <c r="FF20" s="228"/>
      <c r="FG20" s="228"/>
      <c r="FH20" s="228"/>
    </row>
    <row r="21" spans="2:164" ht="15" customHeight="1">
      <c r="B21" s="11" t="s">
        <v>182</v>
      </c>
      <c r="C21" s="102"/>
      <c r="D21" s="102"/>
      <c r="E21" s="103" t="s">
        <v>181</v>
      </c>
      <c r="F21" s="108">
        <v>11.333333333333334</v>
      </c>
      <c r="G21" s="102" t="s">
        <v>111</v>
      </c>
      <c r="H21" s="4"/>
      <c r="I21" s="4"/>
      <c r="J21" s="4"/>
      <c r="K21" s="102"/>
      <c r="L21" s="102"/>
      <c r="M21" s="102"/>
      <c r="N21" s="9"/>
      <c r="AA21" s="280" t="s">
        <v>109</v>
      </c>
      <c r="AB21" s="234" t="s">
        <v>71</v>
      </c>
      <c r="AC21" s="84" t="s">
        <v>45</v>
      </c>
      <c r="AD21" s="84" t="s">
        <v>52</v>
      </c>
      <c r="AE21" s="75" t="s">
        <v>94</v>
      </c>
      <c r="AF21" s="75" t="s">
        <v>95</v>
      </c>
      <c r="AG21" s="75" t="s">
        <v>61</v>
      </c>
      <c r="AH21" s="73" t="s">
        <v>96</v>
      </c>
      <c r="AI21" s="73" t="s">
        <v>149</v>
      </c>
      <c r="AJ21" s="73" t="s">
        <v>216</v>
      </c>
      <c r="AK21" s="75" t="s">
        <v>97</v>
      </c>
      <c r="AL21" s="75" t="s">
        <v>98</v>
      </c>
      <c r="AM21" s="75" t="s">
        <v>99</v>
      </c>
      <c r="AN21" s="73" t="s">
        <v>29</v>
      </c>
      <c r="AO21" s="73" t="s">
        <v>192</v>
      </c>
      <c r="AP21" s="73" t="s">
        <v>193</v>
      </c>
      <c r="AQ21" s="73" t="s">
        <v>194</v>
      </c>
      <c r="AR21" s="73" t="s">
        <v>195</v>
      </c>
      <c r="AS21" s="73" t="s">
        <v>196</v>
      </c>
      <c r="AT21" s="73" t="s">
        <v>197</v>
      </c>
      <c r="AU21" s="73" t="s">
        <v>198</v>
      </c>
      <c r="AV21" s="234" t="s">
        <v>72</v>
      </c>
      <c r="AW21" s="76" t="s">
        <v>55</v>
      </c>
      <c r="AX21" s="76" t="s">
        <v>203</v>
      </c>
      <c r="AY21" s="76" t="s">
        <v>205</v>
      </c>
      <c r="AZ21" s="76" t="s">
        <v>56</v>
      </c>
      <c r="BA21" s="76" t="s">
        <v>204</v>
      </c>
      <c r="BB21" s="76" t="s">
        <v>206</v>
      </c>
      <c r="BC21" s="77" t="s">
        <v>100</v>
      </c>
      <c r="BD21" s="77" t="s">
        <v>101</v>
      </c>
      <c r="BE21" s="77" t="s">
        <v>102</v>
      </c>
      <c r="BF21" s="77" t="s">
        <v>46</v>
      </c>
      <c r="BG21" s="227" t="s">
        <v>49</v>
      </c>
      <c r="BH21" s="228" t="s">
        <v>81</v>
      </c>
      <c r="BI21" s="229" t="s">
        <v>111</v>
      </c>
      <c r="BJ21" s="233" t="s">
        <v>207</v>
      </c>
      <c r="BK21" s="229"/>
      <c r="BL21" s="233" t="s">
        <v>212</v>
      </c>
      <c r="BM21" s="275" t="s">
        <v>213</v>
      </c>
      <c r="BN21" s="228" t="s">
        <v>202</v>
      </c>
      <c r="BO21" s="226" t="s">
        <v>209</v>
      </c>
      <c r="BP21" s="78" t="s">
        <v>46</v>
      </c>
      <c r="BQ21" s="227" t="s">
        <v>49</v>
      </c>
      <c r="BR21" s="228" t="s">
        <v>81</v>
      </c>
      <c r="BS21" s="229" t="s">
        <v>214</v>
      </c>
      <c r="BT21" s="226" t="s">
        <v>208</v>
      </c>
      <c r="BU21" s="231" t="s">
        <v>215</v>
      </c>
      <c r="BV21" s="227" t="s">
        <v>157</v>
      </c>
      <c r="BW21" s="78" t="s">
        <v>46</v>
      </c>
      <c r="BX21" s="227" t="s">
        <v>49</v>
      </c>
      <c r="BY21" s="228" t="s">
        <v>81</v>
      </c>
      <c r="BZ21" s="225" t="s">
        <v>103</v>
      </c>
      <c r="CA21" s="225" t="s">
        <v>104</v>
      </c>
      <c r="CB21" s="228" t="s">
        <v>81</v>
      </c>
      <c r="CC21" s="225" t="s">
        <v>217</v>
      </c>
      <c r="CD21" s="276" t="s">
        <v>201</v>
      </c>
      <c r="CE21" s="277"/>
      <c r="CF21" s="278"/>
      <c r="CG21" s="226" t="s">
        <v>110</v>
      </c>
      <c r="CH21" s="226"/>
      <c r="DA21" s="279" t="s">
        <v>109</v>
      </c>
      <c r="DB21" s="234" t="s">
        <v>71</v>
      </c>
      <c r="DC21" s="84" t="s">
        <v>45</v>
      </c>
      <c r="DD21" s="84" t="s">
        <v>52</v>
      </c>
      <c r="DE21" s="75" t="s">
        <v>94</v>
      </c>
      <c r="DF21" s="75" t="s">
        <v>95</v>
      </c>
      <c r="DG21" s="75" t="s">
        <v>61</v>
      </c>
      <c r="DH21" s="73" t="s">
        <v>96</v>
      </c>
      <c r="DI21" s="73" t="s">
        <v>149</v>
      </c>
      <c r="DJ21" s="73" t="s">
        <v>216</v>
      </c>
      <c r="DK21" s="75" t="s">
        <v>97</v>
      </c>
      <c r="DL21" s="75" t="s">
        <v>98</v>
      </c>
      <c r="DM21" s="75" t="s">
        <v>99</v>
      </c>
      <c r="DN21" s="73" t="s">
        <v>29</v>
      </c>
      <c r="DO21" s="73" t="s">
        <v>192</v>
      </c>
      <c r="DP21" s="73" t="s">
        <v>193</v>
      </c>
      <c r="DQ21" s="73" t="s">
        <v>194</v>
      </c>
      <c r="DR21" s="73" t="s">
        <v>195</v>
      </c>
      <c r="DS21" s="73" t="s">
        <v>196</v>
      </c>
      <c r="DT21" s="73" t="s">
        <v>197</v>
      </c>
      <c r="DU21" s="73" t="s">
        <v>198</v>
      </c>
      <c r="DV21" s="234" t="s">
        <v>72</v>
      </c>
      <c r="DW21" s="76" t="s">
        <v>55</v>
      </c>
      <c r="DX21" s="76" t="s">
        <v>203</v>
      </c>
      <c r="DY21" s="76" t="s">
        <v>205</v>
      </c>
      <c r="DZ21" s="76" t="s">
        <v>56</v>
      </c>
      <c r="EA21" s="76" t="s">
        <v>204</v>
      </c>
      <c r="EB21" s="76" t="s">
        <v>206</v>
      </c>
      <c r="EC21" s="77" t="s">
        <v>100</v>
      </c>
      <c r="ED21" s="77" t="s">
        <v>101</v>
      </c>
      <c r="EE21" s="77" t="s">
        <v>102</v>
      </c>
      <c r="EF21" s="77" t="s">
        <v>46</v>
      </c>
      <c r="EG21" s="227" t="s">
        <v>49</v>
      </c>
      <c r="EH21" s="228" t="s">
        <v>81</v>
      </c>
      <c r="EI21" s="229" t="s">
        <v>111</v>
      </c>
      <c r="EJ21" s="233" t="s">
        <v>207</v>
      </c>
      <c r="EK21" s="229"/>
      <c r="EL21" s="233" t="s">
        <v>212</v>
      </c>
      <c r="EM21" s="275" t="s">
        <v>213</v>
      </c>
      <c r="EN21" s="228" t="s">
        <v>202</v>
      </c>
      <c r="EO21" s="226" t="s">
        <v>209</v>
      </c>
      <c r="EP21" s="78" t="s">
        <v>46</v>
      </c>
      <c r="EQ21" s="227" t="s">
        <v>49</v>
      </c>
      <c r="ER21" s="228" t="s">
        <v>81</v>
      </c>
      <c r="ES21" s="229" t="s">
        <v>214</v>
      </c>
      <c r="ET21" s="226" t="s">
        <v>208</v>
      </c>
      <c r="EU21" s="231" t="s">
        <v>215</v>
      </c>
      <c r="EV21" s="227" t="s">
        <v>157</v>
      </c>
      <c r="EW21" s="78" t="s">
        <v>46</v>
      </c>
      <c r="EX21" s="227" t="s">
        <v>49</v>
      </c>
      <c r="EY21" s="228" t="s">
        <v>81</v>
      </c>
      <c r="EZ21" s="225" t="s">
        <v>103</v>
      </c>
      <c r="FA21" s="225" t="s">
        <v>104</v>
      </c>
      <c r="FB21" s="228" t="s">
        <v>81</v>
      </c>
      <c r="FC21" s="225" t="s">
        <v>217</v>
      </c>
      <c r="FD21" s="276" t="s">
        <v>201</v>
      </c>
      <c r="FE21" s="277"/>
      <c r="FF21" s="278"/>
      <c r="FG21" s="226" t="s">
        <v>110</v>
      </c>
      <c r="FH21" s="226"/>
    </row>
    <row r="22" spans="2:164" ht="15">
      <c r="B22" s="11" t="s">
        <v>180</v>
      </c>
      <c r="C22" s="4"/>
      <c r="D22" s="4"/>
      <c r="E22" s="109" t="s">
        <v>114</v>
      </c>
      <c r="F22" s="137">
        <v>22.666666666666668</v>
      </c>
      <c r="G22" s="110" t="s">
        <v>69</v>
      </c>
      <c r="H22" s="4" t="s">
        <v>178</v>
      </c>
      <c r="I22" s="4"/>
      <c r="J22" s="4"/>
      <c r="K22" s="4"/>
      <c r="L22" s="4"/>
      <c r="M22" s="4"/>
      <c r="N22" s="9"/>
      <c r="AA22" s="281">
        <f>23+COUNTA(AA23:AA999999)</f>
        <v>24</v>
      </c>
      <c r="AB22" s="234"/>
      <c r="AC22" s="82" t="s">
        <v>69</v>
      </c>
      <c r="AD22" s="82" t="s">
        <v>69</v>
      </c>
      <c r="AE22" s="73" t="s">
        <v>64</v>
      </c>
      <c r="AF22" s="73" t="s">
        <v>64</v>
      </c>
      <c r="AG22" s="75" t="s">
        <v>5</v>
      </c>
      <c r="AH22" s="73" t="s">
        <v>5</v>
      </c>
      <c r="AI22" s="73" t="s">
        <v>5</v>
      </c>
      <c r="AJ22" s="73" t="s">
        <v>5</v>
      </c>
      <c r="AK22" s="75" t="s">
        <v>5</v>
      </c>
      <c r="AL22" s="75" t="s">
        <v>5</v>
      </c>
      <c r="AM22" s="75" t="s">
        <v>5</v>
      </c>
      <c r="AN22" s="75" t="s">
        <v>105</v>
      </c>
      <c r="AO22" s="74" t="s">
        <v>106</v>
      </c>
      <c r="AP22" s="74" t="s">
        <v>106</v>
      </c>
      <c r="AQ22" s="74" t="s">
        <v>107</v>
      </c>
      <c r="AR22" s="74" t="s">
        <v>107</v>
      </c>
      <c r="AS22" s="74" t="s">
        <v>107</v>
      </c>
      <c r="AT22" s="74" t="s">
        <v>131</v>
      </c>
      <c r="AU22" s="74" t="s">
        <v>131</v>
      </c>
      <c r="AV22" s="234"/>
      <c r="AW22" s="76" t="s">
        <v>34</v>
      </c>
      <c r="AX22" s="76" t="s">
        <v>34</v>
      </c>
      <c r="AY22" s="76" t="s">
        <v>34</v>
      </c>
      <c r="AZ22" s="76" t="s">
        <v>70</v>
      </c>
      <c r="BA22" s="76" t="s">
        <v>70</v>
      </c>
      <c r="BB22" s="76" t="s">
        <v>70</v>
      </c>
      <c r="BC22" s="73" t="s">
        <v>59</v>
      </c>
      <c r="BD22" s="73" t="s">
        <v>59</v>
      </c>
      <c r="BE22" s="73" t="s">
        <v>59</v>
      </c>
      <c r="BF22" s="73" t="s">
        <v>59</v>
      </c>
      <c r="BG22" s="227"/>
      <c r="BH22" s="228"/>
      <c r="BI22" s="232"/>
      <c r="BJ22" s="232"/>
      <c r="BK22" s="232"/>
      <c r="BL22" s="232"/>
      <c r="BM22" s="228"/>
      <c r="BN22" s="228"/>
      <c r="BO22" s="225"/>
      <c r="BP22" s="80" t="s">
        <v>59</v>
      </c>
      <c r="BQ22" s="227"/>
      <c r="BR22" s="228"/>
      <c r="BS22" s="230"/>
      <c r="BT22" s="225"/>
      <c r="BU22" s="225"/>
      <c r="BV22" s="227"/>
      <c r="BW22" s="80" t="s">
        <v>59</v>
      </c>
      <c r="BX22" s="227"/>
      <c r="BY22" s="228"/>
      <c r="BZ22" s="225"/>
      <c r="CA22" s="225"/>
      <c r="CB22" s="228"/>
      <c r="CC22" s="225"/>
      <c r="CD22" s="73" t="s">
        <v>111</v>
      </c>
      <c r="CE22" s="79" t="s">
        <v>108</v>
      </c>
      <c r="CF22" s="81" t="s">
        <v>81</v>
      </c>
      <c r="CG22" s="79" t="s">
        <v>108</v>
      </c>
      <c r="CH22" s="81" t="s">
        <v>81</v>
      </c>
      <c r="DA22" s="279"/>
      <c r="DB22" s="234"/>
      <c r="DC22" s="82" t="s">
        <v>69</v>
      </c>
      <c r="DD22" s="82" t="s">
        <v>69</v>
      </c>
      <c r="DE22" s="73" t="s">
        <v>64</v>
      </c>
      <c r="DF22" s="73" t="s">
        <v>64</v>
      </c>
      <c r="DG22" s="75" t="s">
        <v>5</v>
      </c>
      <c r="DH22" s="73" t="s">
        <v>5</v>
      </c>
      <c r="DI22" s="73" t="s">
        <v>5</v>
      </c>
      <c r="DJ22" s="73" t="s">
        <v>5</v>
      </c>
      <c r="DK22" s="75" t="s">
        <v>5</v>
      </c>
      <c r="DL22" s="75" t="s">
        <v>5</v>
      </c>
      <c r="DM22" s="75" t="s">
        <v>5</v>
      </c>
      <c r="DN22" s="75" t="s">
        <v>105</v>
      </c>
      <c r="DO22" s="74" t="s">
        <v>106</v>
      </c>
      <c r="DP22" s="74" t="s">
        <v>106</v>
      </c>
      <c r="DQ22" s="74" t="s">
        <v>107</v>
      </c>
      <c r="DR22" s="74" t="s">
        <v>107</v>
      </c>
      <c r="DS22" s="74" t="s">
        <v>107</v>
      </c>
      <c r="DT22" s="74" t="s">
        <v>131</v>
      </c>
      <c r="DU22" s="74" t="s">
        <v>131</v>
      </c>
      <c r="DV22" s="234"/>
      <c r="DW22" s="76" t="s">
        <v>34</v>
      </c>
      <c r="DX22" s="76" t="s">
        <v>34</v>
      </c>
      <c r="DY22" s="76" t="s">
        <v>34</v>
      </c>
      <c r="DZ22" s="76" t="s">
        <v>70</v>
      </c>
      <c r="EA22" s="76" t="s">
        <v>70</v>
      </c>
      <c r="EB22" s="76" t="s">
        <v>70</v>
      </c>
      <c r="EC22" s="73" t="s">
        <v>59</v>
      </c>
      <c r="ED22" s="73" t="s">
        <v>59</v>
      </c>
      <c r="EE22" s="73" t="s">
        <v>59</v>
      </c>
      <c r="EF22" s="73" t="s">
        <v>59</v>
      </c>
      <c r="EG22" s="227"/>
      <c r="EH22" s="228"/>
      <c r="EI22" s="232"/>
      <c r="EJ22" s="232"/>
      <c r="EK22" s="232"/>
      <c r="EL22" s="232"/>
      <c r="EM22" s="228"/>
      <c r="EN22" s="228"/>
      <c r="EO22" s="225"/>
      <c r="EP22" s="80" t="s">
        <v>59</v>
      </c>
      <c r="EQ22" s="227"/>
      <c r="ER22" s="228"/>
      <c r="ES22" s="230"/>
      <c r="ET22" s="225"/>
      <c r="EU22" s="225"/>
      <c r="EV22" s="227"/>
      <c r="EW22" s="80" t="s">
        <v>59</v>
      </c>
      <c r="EX22" s="227"/>
      <c r="EY22" s="228"/>
      <c r="EZ22" s="225"/>
      <c r="FA22" s="225"/>
      <c r="FB22" s="228"/>
      <c r="FC22" s="225"/>
      <c r="FD22" s="73" t="s">
        <v>111</v>
      </c>
      <c r="FE22" s="79" t="s">
        <v>108</v>
      </c>
      <c r="FF22" s="81" t="s">
        <v>81</v>
      </c>
      <c r="FG22" s="79" t="s">
        <v>108</v>
      </c>
      <c r="FH22" s="81" t="s">
        <v>81</v>
      </c>
    </row>
    <row r="23" spans="2:164" ht="14.25">
      <c r="B23" s="11" t="s">
        <v>180</v>
      </c>
      <c r="C23" s="4"/>
      <c r="D23" s="4"/>
      <c r="E23" s="109" t="s">
        <v>115</v>
      </c>
      <c r="F23" s="137">
        <v>5</v>
      </c>
      <c r="G23" s="110" t="s">
        <v>69</v>
      </c>
      <c r="H23" s="4" t="s">
        <v>179</v>
      </c>
      <c r="I23" s="4"/>
      <c r="J23" s="4"/>
      <c r="K23" s="4"/>
      <c r="L23" s="4"/>
      <c r="M23" s="4"/>
      <c r="N23" s="9"/>
      <c r="AA23" s="20" t="s">
        <v>219</v>
      </c>
      <c r="AB23" s="24" t="s">
        <v>224</v>
      </c>
      <c r="AC23" s="88">
        <v>0</v>
      </c>
      <c r="AD23" s="88">
        <v>11.333333333333334</v>
      </c>
      <c r="AE23" s="24">
        <v>388</v>
      </c>
      <c r="AF23" s="24">
        <v>388</v>
      </c>
      <c r="AG23" s="24">
        <v>388</v>
      </c>
      <c r="AH23" s="8">
        <v>6</v>
      </c>
      <c r="AI23" s="8">
        <v>212</v>
      </c>
      <c r="AJ23" s="8">
        <v>8</v>
      </c>
      <c r="AK23" s="27">
        <v>212</v>
      </c>
      <c r="AL23" s="27">
        <v>8</v>
      </c>
      <c r="AM23" s="7">
        <f>AG23-AJ23-AL23</f>
        <v>372</v>
      </c>
      <c r="AN23" s="29">
        <f>(AM23*AH23+AI23*AJ23+AK23*AL23)/100</f>
        <v>56.24</v>
      </c>
      <c r="AO23" s="29">
        <f>(AH23*AM23^3/12+AI23*AJ23^3/12+AI23*AJ23*(AM23/2+AJ23/2)^2+AK23*AL23^3/12+AK23*AL23*(AM23/2+AL23/2)^2)/10000</f>
        <v>14820.871466666666</v>
      </c>
      <c r="AP23" s="7">
        <f>(AM23*AH23^3/12+AJ23*AI23^3/12+AL23*AK23^3/12)/10000</f>
        <v>1271.0866666666666</v>
      </c>
      <c r="AQ23" s="7">
        <f>AO23/(AG23/20)</f>
        <v>763.96244673539513</v>
      </c>
      <c r="AR23" s="29">
        <f>AP23/(MAX(AI23,AK23)/20)</f>
        <v>119.91383647798742</v>
      </c>
      <c r="AS23" s="29">
        <f>(AH23*AM23^2/8+AI23*AJ23*(AM23/2+AJ23/2))/1000</f>
        <v>426.02800000000002</v>
      </c>
      <c r="AT23" s="29">
        <f>SQRT(AO23/AN23)</f>
        <v>16.233576593252916</v>
      </c>
      <c r="AU23" s="29">
        <f>SQRT(AP23/AN23)</f>
        <v>4.7540629226133415</v>
      </c>
      <c r="AV23" s="24" t="s">
        <v>87</v>
      </c>
      <c r="AW23" s="25">
        <v>-96.153485526236892</v>
      </c>
      <c r="AX23" s="25">
        <v>-1.6765911172134316</v>
      </c>
      <c r="AY23" s="25">
        <v>5.7400017074193716E-4</v>
      </c>
      <c r="AZ23" s="25">
        <v>-3.9689899611419909E-5</v>
      </c>
      <c r="BA23" s="25">
        <v>6.9384957621061259E-3</v>
      </c>
      <c r="BB23" s="25">
        <v>-3.8203189299418092</v>
      </c>
      <c r="BC23" s="26">
        <f>ABS(AW23)/AN23*10</f>
        <v>17.096992447766162</v>
      </c>
      <c r="BD23" s="26">
        <f>ABS(BB23)/AQ23*1000</f>
        <v>5.0006632476072603</v>
      </c>
      <c r="BE23" s="26">
        <f>ABS(BA23)/AR23*1000</f>
        <v>5.7862344879440378E-2</v>
      </c>
      <c r="BF23" s="26">
        <f>BC23+BD23+BE23</f>
        <v>22.155518040252861</v>
      </c>
      <c r="BG23" s="30">
        <f t="shared" ref="BG23" si="2">BF23/$BA$14</f>
        <v>7.0978776330329535E-2</v>
      </c>
      <c r="BH23" s="7" t="str">
        <f>IF(BG23&lt;=1,"OK","Check")</f>
        <v>OK</v>
      </c>
      <c r="BI23" s="64">
        <v>2</v>
      </c>
      <c r="BJ23" s="7">
        <f>BI23*AD23</f>
        <v>22.666666666666668</v>
      </c>
      <c r="BK23" s="7"/>
      <c r="BL23" s="139">
        <v>5</v>
      </c>
      <c r="BM23" s="7">
        <f t="shared" ref="BM23" si="3">BJ23/AT23*100*SQRT($AH$16/$AH$14)</f>
        <v>5.5764104369426963</v>
      </c>
      <c r="BN23" s="7">
        <f>Factorme7422(AG23, AH23, AI23, AJ23, $AH$14, $AH$16, BB23, AW23, BM23)</f>
        <v>0.37321034485532956</v>
      </c>
      <c r="BO23" s="140">
        <f>noisuy2chieu(BN23,BM23,Data!$B$41:$AC$63)</f>
        <v>0.26289623975753784</v>
      </c>
      <c r="BP23" s="69">
        <f t="shared" ref="BP23" si="4">ABS(AW23)/(BO23*AN23)*10</f>
        <v>65.033233124727303</v>
      </c>
      <c r="BQ23" s="67">
        <f t="shared" ref="BQ23" si="5">BP23/$BA$14</f>
        <v>0.20834445394649481</v>
      </c>
      <c r="BR23" s="7" t="str">
        <f>IF(BQ23&lt;=1,"OK","Check")</f>
        <v>OK</v>
      </c>
      <c r="BS23" s="7">
        <f t="shared" ref="BS23" si="6">BL23/AU23*100</f>
        <v>105.17319777609222</v>
      </c>
      <c r="BT23" s="28">
        <f>Factorphi7321(BS23, $AH$16, $AH$14)</f>
        <v>0.40339562296867371</v>
      </c>
      <c r="BU23" s="28">
        <f>Factorphi7321(3.14*SQRT($AH$14/$AH$16), $AH$16, $AH$14)</f>
        <v>0.60522556304931641</v>
      </c>
      <c r="BV23" s="28">
        <f>Factorc7425(AG23,AH23,AI23,AJ23,$AH$14,$AH$16,BB23,AW23,BS23,BT23,BU23)</f>
        <v>1.0167148421470729</v>
      </c>
      <c r="BW23" s="29">
        <f t="shared" ref="BW23" si="7">ABS(AW23)/(BV23*BT23*AN23)*10</f>
        <v>41.685918466309424</v>
      </c>
      <c r="BX23" s="136">
        <f>BW23/$BA$14</f>
        <v>0.13354756488062516</v>
      </c>
      <c r="BY23" s="7" t="str">
        <f>IF(BX23&lt;=1,"OK","Check")</f>
        <v>OK</v>
      </c>
      <c r="BZ23" s="68">
        <f t="shared" ref="BZ23" si="8">((AI23-AH23)/2)/AJ23</f>
        <v>12.875</v>
      </c>
      <c r="CA23" s="65">
        <f t="shared" ref="CA23" si="9">(0.36+0.1*MIN(MAX(BM23,0.8),4))*SQRT($AH$14/$AH$16)</f>
        <v>19.029715892690614</v>
      </c>
      <c r="CB23" s="7" t="str">
        <f>IF(BZ23&lt;=CA23,"OK","Check")</f>
        <v>OK</v>
      </c>
      <c r="CC23" s="83">
        <f t="shared" ref="CC23" si="10">AM23/AH23</f>
        <v>62</v>
      </c>
      <c r="CD23" s="83">
        <f>ABS((BB23/AW23)*100*AN23/AQ23)</f>
        <v>0.29248789007101833</v>
      </c>
      <c r="CE23" s="28">
        <f>LimHwtwTable33(CD23, AD23*100/AT23, BM23, $AH$14, $AH$16)</f>
        <v>63.448836464831068</v>
      </c>
      <c r="CF23" s="7" t="str">
        <f>IF(CC23&lt;=CE23,"OK","Check")</f>
        <v>OK</v>
      </c>
      <c r="CG23" s="29">
        <f>2.3*SQRT($AH$14/$AH$16)</f>
        <v>57.589929675247909</v>
      </c>
      <c r="CH23" s="7" t="str">
        <f>IF(CC23&lt;=CG23,"OK","Gia cường")</f>
        <v>Gia cường</v>
      </c>
      <c r="DA23" s="20" t="s">
        <v>219</v>
      </c>
      <c r="DB23" s="24" t="s">
        <v>224</v>
      </c>
      <c r="DC23" s="88">
        <v>0</v>
      </c>
      <c r="DD23" s="88">
        <v>11.333333333333334</v>
      </c>
      <c r="DE23" s="24">
        <v>388</v>
      </c>
      <c r="DF23" s="24">
        <v>388</v>
      </c>
      <c r="DG23" s="24">
        <v>388</v>
      </c>
      <c r="DH23" s="8">
        <v>6</v>
      </c>
      <c r="DI23" s="8">
        <v>212</v>
      </c>
      <c r="DJ23" s="8">
        <v>8</v>
      </c>
      <c r="DK23" s="27">
        <v>212</v>
      </c>
      <c r="DL23" s="27">
        <v>8</v>
      </c>
      <c r="DM23" s="7">
        <v>372</v>
      </c>
      <c r="DN23" s="29">
        <v>56.24</v>
      </c>
      <c r="DO23" s="29">
        <v>14820.871466666666</v>
      </c>
      <c r="DP23" s="7">
        <v>1271.0866666666666</v>
      </c>
      <c r="DQ23" s="7">
        <v>763.96244673539513</v>
      </c>
      <c r="DR23" s="29">
        <v>119.91383647798742</v>
      </c>
      <c r="DS23" s="29">
        <v>426.02800000000002</v>
      </c>
      <c r="DT23" s="29">
        <v>16.233576593252916</v>
      </c>
      <c r="DU23" s="29">
        <v>4.7540629226133415</v>
      </c>
      <c r="DV23" s="24" t="s">
        <v>223</v>
      </c>
      <c r="DW23" s="25">
        <v>-91.807714865869329</v>
      </c>
      <c r="DX23" s="25">
        <v>-13.230360701494646</v>
      </c>
      <c r="DY23" s="25">
        <v>-7.3395566341457018E-3</v>
      </c>
      <c r="DZ23" s="25">
        <v>7.8001240985723266E-5</v>
      </c>
      <c r="EA23" s="25">
        <v>-8.236114185990423E-2</v>
      </c>
      <c r="EB23" s="25">
        <v>-81.13292275663342</v>
      </c>
      <c r="EC23" s="26">
        <v>16.324273624798955</v>
      </c>
      <c r="ED23" s="26">
        <v>106.20014518165773</v>
      </c>
      <c r="EE23" s="26">
        <v>0.68683601725163101</v>
      </c>
      <c r="EF23" s="26">
        <v>123.21125482370832</v>
      </c>
      <c r="EG23" s="30">
        <v>0.39472713215833333</v>
      </c>
      <c r="EH23" s="7" t="s">
        <v>225</v>
      </c>
      <c r="EI23" s="64">
        <v>2</v>
      </c>
      <c r="EJ23" s="7">
        <v>22.666666666666668</v>
      </c>
      <c r="EK23" s="7"/>
      <c r="EL23" s="139">
        <v>5</v>
      </c>
      <c r="EM23" s="7">
        <v>5.5764104369426963</v>
      </c>
      <c r="EN23" s="7">
        <v>8.3011261517657946</v>
      </c>
      <c r="EO23" s="140">
        <v>9.232233464717865E-2</v>
      </c>
      <c r="EP23" s="69">
        <v>176.8182497462202</v>
      </c>
      <c r="EQ23" s="67">
        <v>0.56646578866065977</v>
      </c>
      <c r="ER23" s="7" t="s">
        <v>225</v>
      </c>
      <c r="ES23" s="7">
        <v>105.17319777609222</v>
      </c>
      <c r="ET23" s="28">
        <v>0.40339562296867371</v>
      </c>
      <c r="EU23" s="28">
        <v>0.60522556304931641</v>
      </c>
      <c r="EV23" s="28">
        <v>0.20805033886725877</v>
      </c>
      <c r="EW23" s="29">
        <v>194.506561589456</v>
      </c>
      <c r="EX23" s="136">
        <v>0.62313314925683849</v>
      </c>
      <c r="EY23" s="7" t="s">
        <v>225</v>
      </c>
      <c r="EZ23" s="68">
        <v>12.875</v>
      </c>
      <c r="FA23" s="65">
        <v>19.029715892690614</v>
      </c>
      <c r="FB23" s="7" t="s">
        <v>225</v>
      </c>
      <c r="FC23" s="83">
        <v>62</v>
      </c>
      <c r="FD23" s="83">
        <v>6.5056582377009526</v>
      </c>
      <c r="FE23" s="28">
        <v>77.621209562290659</v>
      </c>
      <c r="FF23" s="7" t="s">
        <v>225</v>
      </c>
      <c r="FG23" s="29">
        <v>57.589929675247909</v>
      </c>
      <c r="FH23" s="7" t="s">
        <v>110</v>
      </c>
    </row>
    <row r="24" spans="2:164">
      <c r="B24" s="10" t="s">
        <v>57</v>
      </c>
      <c r="C24" s="102"/>
      <c r="D24" s="102"/>
      <c r="E24" s="102"/>
      <c r="F24" s="102"/>
      <c r="G24" s="102"/>
      <c r="H24" s="102"/>
      <c r="I24" s="102"/>
      <c r="J24" s="102"/>
      <c r="K24" s="102"/>
      <c r="L24" s="102"/>
      <c r="M24" s="102"/>
      <c r="N24" s="9"/>
      <c r="AN24" s="29"/>
      <c r="AO24" s="29"/>
      <c r="AP24" s="7"/>
      <c r="AQ24" s="7"/>
      <c r="AR24" s="29"/>
      <c r="AS24" s="29"/>
      <c r="AT24" s="29"/>
      <c r="AU24" s="29"/>
      <c r="BC24" s="26"/>
      <c r="BF24" s="26"/>
      <c r="BG24" s="30"/>
      <c r="BH24" s="7"/>
      <c r="BI24" s="64"/>
      <c r="BJ24" s="7"/>
      <c r="BK24" s="7"/>
      <c r="BL24" s="139"/>
      <c r="BM24" s="7"/>
      <c r="BN24" s="7"/>
      <c r="BO24" s="140"/>
      <c r="BP24" s="69"/>
      <c r="BQ24" s="67"/>
      <c r="BR24" s="7"/>
      <c r="BS24" s="7"/>
      <c r="BT24" s="28"/>
      <c r="BU24" s="28"/>
      <c r="BV24" s="28"/>
      <c r="BW24" s="29"/>
      <c r="BX24" s="136"/>
      <c r="BY24" s="7"/>
      <c r="BZ24" s="68"/>
      <c r="CA24" s="65"/>
      <c r="CB24" s="7"/>
      <c r="CC24" s="83"/>
      <c r="CD24" s="83"/>
      <c r="CE24" s="28"/>
      <c r="CF24" s="7"/>
      <c r="CG24" s="29"/>
      <c r="CH24" s="7"/>
      <c r="DA24" s="20" t="s">
        <v>220</v>
      </c>
      <c r="DB24" s="24" t="s">
        <v>221</v>
      </c>
      <c r="DC24" s="88">
        <v>8.9965005885644906</v>
      </c>
      <c r="DD24" s="88">
        <v>9.5</v>
      </c>
      <c r="DE24" s="24">
        <v>388</v>
      </c>
      <c r="DF24" s="24">
        <v>388</v>
      </c>
      <c r="DG24" s="24">
        <v>388</v>
      </c>
      <c r="DH24" s="8">
        <v>5</v>
      </c>
      <c r="DI24" s="8">
        <v>184</v>
      </c>
      <c r="DJ24" s="8">
        <v>8</v>
      </c>
      <c r="DK24" s="27">
        <v>184</v>
      </c>
      <c r="DL24" s="27">
        <v>8</v>
      </c>
      <c r="DM24" s="7">
        <v>372</v>
      </c>
      <c r="DN24" s="29">
        <v>48.04</v>
      </c>
      <c r="DO24" s="29">
        <v>12774.362133333334</v>
      </c>
      <c r="DP24" s="20">
        <v>830.98803333333331</v>
      </c>
      <c r="DQ24" s="20">
        <v>658.47227491408944</v>
      </c>
      <c r="DR24" s="29">
        <v>90.324786231884062</v>
      </c>
      <c r="DS24" s="29">
        <v>366.17</v>
      </c>
      <c r="DT24" s="29">
        <v>16.306776259716617</v>
      </c>
      <c r="DU24" s="29">
        <v>4.1590667019478946</v>
      </c>
      <c r="DV24" s="24" t="s">
        <v>222</v>
      </c>
      <c r="DW24" s="25">
        <v>111.2632066034502</v>
      </c>
      <c r="DX24" s="25">
        <v>-68.924835661313736</v>
      </c>
      <c r="DY24" s="25">
        <v>-0.26426429909960675</v>
      </c>
      <c r="DZ24" s="25">
        <v>-7.9631711377719421E-4</v>
      </c>
      <c r="EA24" s="25">
        <v>-0.13747828854369762</v>
      </c>
      <c r="EB24" s="25">
        <v>289.41649835843856</v>
      </c>
      <c r="EC24" s="26">
        <v>23.160534263832268</v>
      </c>
      <c r="ED24" s="26">
        <v>439.52723506270416</v>
      </c>
      <c r="EE24" s="26">
        <v>1.5220438849504707</v>
      </c>
      <c r="EF24" s="26">
        <v>464.2098132114869</v>
      </c>
      <c r="EG24" s="30">
        <v>1.4871710263068232</v>
      </c>
      <c r="EH24" s="7" t="s">
        <v>226</v>
      </c>
      <c r="EI24" s="64">
        <v>2</v>
      </c>
      <c r="EJ24" s="7">
        <v>19</v>
      </c>
      <c r="EK24" s="7"/>
      <c r="EL24" s="64">
        <v>5</v>
      </c>
      <c r="EM24" s="7">
        <v>4.6533613285875788</v>
      </c>
      <c r="EN24" s="7">
        <v>15.087573926535027</v>
      </c>
      <c r="EO24" s="140">
        <v>7.0203252136707306E-2</v>
      </c>
      <c r="EP24" s="69">
        <v>329.90685700331363</v>
      </c>
      <c r="EQ24" s="67">
        <v>1.0569098393698837</v>
      </c>
      <c r="ER24" s="7" t="s">
        <v>226</v>
      </c>
      <c r="ES24" s="7">
        <v>120.21927894684292</v>
      </c>
      <c r="ET24" s="28">
        <v>0.31174331903457642</v>
      </c>
      <c r="EU24" s="28">
        <v>0.60522556304931641</v>
      </c>
      <c r="EV24" s="28">
        <v>0.12562656850053816</v>
      </c>
      <c r="EW24" s="29">
        <v>591.38447787660641</v>
      </c>
      <c r="EX24" s="136">
        <v>1.8945955812980528</v>
      </c>
      <c r="EY24" s="7" t="s">
        <v>226</v>
      </c>
      <c r="EZ24" s="68">
        <v>11.1875</v>
      </c>
      <c r="FA24" s="65">
        <v>19.029715892690614</v>
      </c>
      <c r="FB24" s="7" t="s">
        <v>225</v>
      </c>
      <c r="FC24" s="70">
        <v>74.400000000000006</v>
      </c>
      <c r="FD24" s="83">
        <v>18.977422111936104</v>
      </c>
      <c r="FE24" s="28">
        <v>70.827512475523648</v>
      </c>
      <c r="FF24" s="7" t="s">
        <v>226</v>
      </c>
      <c r="FG24" s="29">
        <v>57.589929675247909</v>
      </c>
      <c r="FH24" s="7" t="s">
        <v>110</v>
      </c>
    </row>
    <row r="25" spans="2:164" ht="15" customHeight="1">
      <c r="B25" s="256" t="s">
        <v>25</v>
      </c>
      <c r="C25" s="257"/>
      <c r="D25" s="258" t="s">
        <v>83</v>
      </c>
      <c r="E25" s="259"/>
      <c r="F25" s="260" t="s">
        <v>37</v>
      </c>
      <c r="G25" s="260"/>
      <c r="H25" s="257" t="s">
        <v>30</v>
      </c>
      <c r="I25" s="264"/>
      <c r="J25" s="264"/>
      <c r="K25" s="264"/>
      <c r="L25" s="264"/>
      <c r="M25" s="264"/>
      <c r="N25" s="265"/>
      <c r="AN25" s="29"/>
      <c r="AO25" s="29"/>
      <c r="AP25" s="7"/>
      <c r="AQ25" s="7"/>
      <c r="AR25" s="29"/>
      <c r="AS25" s="29"/>
      <c r="AT25" s="29"/>
      <c r="AU25" s="29"/>
      <c r="BC25" s="26"/>
      <c r="BF25" s="26"/>
      <c r="BG25" s="30"/>
      <c r="BH25" s="7"/>
      <c r="BI25" s="64"/>
      <c r="BJ25" s="7"/>
      <c r="BK25" s="7"/>
      <c r="BL25" s="139"/>
      <c r="BM25" s="7"/>
      <c r="BN25" s="7"/>
      <c r="BO25" s="140"/>
      <c r="BP25" s="69"/>
      <c r="BQ25" s="67"/>
      <c r="BR25" s="7"/>
      <c r="BS25" s="7"/>
      <c r="BT25" s="28"/>
      <c r="BU25" s="28"/>
      <c r="BV25" s="28"/>
      <c r="BW25" s="29"/>
      <c r="BX25" s="136"/>
      <c r="BY25" s="7"/>
      <c r="BZ25" s="68"/>
      <c r="CA25" s="65"/>
      <c r="CB25" s="7"/>
      <c r="CC25" s="83"/>
      <c r="CD25" s="83"/>
      <c r="CE25" s="28"/>
      <c r="CF25" s="7"/>
      <c r="CG25" s="29"/>
      <c r="CH25" s="7"/>
      <c r="DN25" s="29"/>
      <c r="DO25" s="29"/>
      <c r="DR25" s="29"/>
      <c r="DS25" s="29"/>
      <c r="DT25" s="29"/>
      <c r="DU25" s="29"/>
      <c r="EC25" s="26"/>
      <c r="EF25" s="26"/>
      <c r="EG25" s="30"/>
      <c r="EH25" s="7"/>
      <c r="EI25" s="64"/>
      <c r="EJ25" s="7"/>
      <c r="EK25" s="7"/>
      <c r="EL25" s="64"/>
      <c r="EM25" s="7"/>
      <c r="EN25" s="7"/>
      <c r="EO25" s="140"/>
      <c r="EP25" s="69"/>
      <c r="EQ25" s="67"/>
      <c r="ER25" s="7"/>
      <c r="ES25" s="7"/>
      <c r="ET25" s="28"/>
      <c r="EU25" s="28"/>
      <c r="EV25" s="28"/>
      <c r="EW25" s="29"/>
      <c r="EX25" s="136"/>
      <c r="EY25" s="7"/>
      <c r="EZ25" s="68"/>
      <c r="FA25" s="65"/>
      <c r="FB25" s="7"/>
      <c r="FC25" s="70"/>
      <c r="FD25" s="83"/>
      <c r="FE25" s="28"/>
      <c r="FF25" s="7"/>
      <c r="FG25" s="29"/>
      <c r="FH25" s="7"/>
    </row>
    <row r="26" spans="2:164" ht="15" customHeight="1">
      <c r="B26" s="7" t="s">
        <v>22</v>
      </c>
      <c r="C26" s="7" t="s">
        <v>24</v>
      </c>
      <c r="D26" s="7" t="s">
        <v>78</v>
      </c>
      <c r="E26" s="7" t="s">
        <v>27</v>
      </c>
      <c r="F26" s="261" t="s">
        <v>26</v>
      </c>
      <c r="G26" s="261" t="s">
        <v>38</v>
      </c>
      <c r="H26" s="7" t="s">
        <v>29</v>
      </c>
      <c r="I26" s="7" t="s">
        <v>121</v>
      </c>
      <c r="J26" s="7" t="s">
        <v>122</v>
      </c>
      <c r="K26" s="7" t="s">
        <v>123</v>
      </c>
      <c r="L26" s="7" t="s">
        <v>124</v>
      </c>
      <c r="M26" s="7" t="s">
        <v>132</v>
      </c>
      <c r="N26" s="90" t="s">
        <v>133</v>
      </c>
      <c r="AN26" s="29"/>
      <c r="AO26" s="29"/>
      <c r="AP26" s="7"/>
      <c r="AQ26" s="7"/>
      <c r="AR26" s="29"/>
      <c r="AS26" s="29"/>
      <c r="AT26" s="29"/>
      <c r="AU26" s="29"/>
      <c r="BC26" s="26"/>
      <c r="BF26" s="26"/>
      <c r="BG26" s="30"/>
      <c r="BH26" s="7"/>
      <c r="BI26" s="64"/>
      <c r="BJ26" s="7"/>
      <c r="BK26" s="7"/>
      <c r="BL26" s="139"/>
      <c r="BM26" s="7"/>
      <c r="BN26" s="7"/>
      <c r="BO26" s="140"/>
      <c r="BP26" s="69"/>
      <c r="BQ26" s="67"/>
      <c r="BR26" s="7"/>
      <c r="BS26" s="7"/>
      <c r="BT26" s="28"/>
      <c r="BU26" s="28"/>
      <c r="BV26" s="28"/>
      <c r="BW26" s="29"/>
      <c r="BX26" s="136"/>
      <c r="BY26" s="7"/>
      <c r="BZ26" s="68"/>
      <c r="CA26" s="65"/>
      <c r="CB26" s="7"/>
      <c r="CC26" s="83"/>
      <c r="CD26" s="83"/>
      <c r="CE26" s="28"/>
      <c r="CF26" s="7"/>
      <c r="CG26" s="29"/>
      <c r="CH26" s="7"/>
      <c r="DN26" s="29"/>
      <c r="DO26" s="29"/>
      <c r="DR26" s="29"/>
      <c r="DS26" s="29"/>
      <c r="DT26" s="29"/>
      <c r="DU26" s="29"/>
      <c r="EC26" s="26"/>
      <c r="EF26" s="26"/>
      <c r="EG26" s="30"/>
      <c r="EH26" s="7"/>
      <c r="EI26" s="64"/>
      <c r="EJ26" s="7"/>
      <c r="EK26" s="7"/>
      <c r="EL26" s="64"/>
      <c r="EM26" s="7"/>
      <c r="EN26" s="7"/>
      <c r="EO26" s="140"/>
      <c r="EP26" s="69"/>
      <c r="EQ26" s="67"/>
      <c r="ER26" s="7"/>
      <c r="ES26" s="7"/>
      <c r="ET26" s="28"/>
      <c r="EU26" s="28"/>
      <c r="EV26" s="28"/>
      <c r="EW26" s="29"/>
      <c r="EX26" s="136"/>
      <c r="EY26" s="7"/>
      <c r="EZ26" s="68"/>
      <c r="FA26" s="65"/>
      <c r="FB26" s="7"/>
      <c r="FC26" s="70"/>
      <c r="FD26" s="83"/>
      <c r="FE26" s="28"/>
      <c r="FF26" s="7"/>
      <c r="FG26" s="29"/>
      <c r="FH26" s="7"/>
    </row>
    <row r="27" spans="2:164" ht="15">
      <c r="B27" s="7" t="s">
        <v>59</v>
      </c>
      <c r="C27" s="7" t="s">
        <v>59</v>
      </c>
      <c r="D27" s="7" t="s">
        <v>59</v>
      </c>
      <c r="E27" s="7" t="s">
        <v>59</v>
      </c>
      <c r="F27" s="256"/>
      <c r="G27" s="256"/>
      <c r="H27" s="15" t="s">
        <v>60</v>
      </c>
      <c r="I27" s="16" t="s">
        <v>32</v>
      </c>
      <c r="J27" s="16" t="s">
        <v>32</v>
      </c>
      <c r="K27" s="16" t="s">
        <v>33</v>
      </c>
      <c r="L27" s="16" t="s">
        <v>33</v>
      </c>
      <c r="M27" s="16" t="s">
        <v>131</v>
      </c>
      <c r="N27" s="16" t="s">
        <v>131</v>
      </c>
      <c r="AN27" s="29"/>
      <c r="AO27" s="29"/>
      <c r="AP27" s="7"/>
      <c r="AQ27" s="7"/>
      <c r="AR27" s="29"/>
      <c r="AS27" s="29"/>
      <c r="AT27" s="29"/>
      <c r="AU27" s="29"/>
      <c r="BC27" s="26"/>
      <c r="BF27" s="26"/>
      <c r="BG27" s="30"/>
      <c r="BH27" s="7"/>
      <c r="BI27" s="64"/>
      <c r="BJ27" s="7"/>
      <c r="BK27" s="7"/>
      <c r="BL27" s="139"/>
      <c r="BM27" s="7"/>
      <c r="BN27" s="7"/>
      <c r="BO27" s="140"/>
      <c r="BP27" s="69"/>
      <c r="BQ27" s="67"/>
      <c r="BR27" s="7"/>
      <c r="BS27" s="7"/>
      <c r="BT27" s="28"/>
      <c r="BU27" s="28"/>
      <c r="BV27" s="28"/>
      <c r="BW27" s="29"/>
      <c r="BX27" s="136"/>
      <c r="BY27" s="7"/>
      <c r="BZ27" s="68"/>
      <c r="CA27" s="65"/>
      <c r="CB27" s="7"/>
      <c r="CC27" s="83"/>
      <c r="CD27" s="83"/>
      <c r="CE27" s="28"/>
      <c r="CF27" s="7"/>
      <c r="CG27" s="29"/>
      <c r="CH27" s="7"/>
      <c r="DN27" s="29"/>
      <c r="DO27" s="29"/>
      <c r="DR27" s="29"/>
      <c r="DS27" s="29"/>
      <c r="DT27" s="29"/>
      <c r="DU27" s="29"/>
      <c r="EC27" s="26"/>
      <c r="EF27" s="26"/>
      <c r="EG27" s="30"/>
      <c r="EH27" s="7"/>
      <c r="EI27" s="64"/>
      <c r="EJ27" s="7"/>
      <c r="EK27" s="7"/>
      <c r="EL27" s="64"/>
      <c r="EM27" s="7"/>
      <c r="EN27" s="7"/>
      <c r="EO27" s="140"/>
      <c r="EP27" s="69"/>
      <c r="EQ27" s="67"/>
      <c r="ER27" s="7"/>
      <c r="ES27" s="7"/>
      <c r="ET27" s="28"/>
      <c r="EU27" s="28"/>
      <c r="EV27" s="28"/>
      <c r="EW27" s="29"/>
      <c r="EX27" s="136"/>
      <c r="EY27" s="7"/>
      <c r="EZ27" s="68"/>
      <c r="FA27" s="65"/>
      <c r="FB27" s="7"/>
      <c r="FC27" s="70"/>
      <c r="FD27" s="83"/>
      <c r="FE27" s="28"/>
      <c r="FF27" s="7"/>
      <c r="FG27" s="29"/>
      <c r="FH27" s="7"/>
    </row>
    <row r="28" spans="2:164" ht="15" customHeight="1">
      <c r="B28" s="8">
        <v>206000</v>
      </c>
      <c r="C28" s="7">
        <f>VLOOKUP(D25,Data!$C$20:$F$38,3,FALSE)</f>
        <v>345</v>
      </c>
      <c r="D28" s="85">
        <f>C28/F28</f>
        <v>328.57142857142856</v>
      </c>
      <c r="E28" s="17">
        <f>0.58*C28/F28</f>
        <v>190.57142857142856</v>
      </c>
      <c r="F28" s="8">
        <v>1.05</v>
      </c>
      <c r="G28" s="8">
        <v>0.95</v>
      </c>
      <c r="H28" s="21">
        <f>(F20*F17+2*(F18*F19))/100</f>
        <v>69.44</v>
      </c>
      <c r="I28" s="22">
        <f>(F17*F20^3/12+2*(F18*F19^3/12+F18*F19*(F20/2+F19/2)^2))/10000</f>
        <v>17614.13546666667</v>
      </c>
      <c r="J28" s="22">
        <f>(2*F19*F18^3/12+F20*F17^3/12)/10000</f>
        <v>1334.9034666666669</v>
      </c>
      <c r="K28" s="18">
        <f>I28/((F20+2*F19)/20)</f>
        <v>907.94512714776658</v>
      </c>
      <c r="L28" s="18">
        <f>J28/(F18/20)</f>
        <v>133.49034666666668</v>
      </c>
      <c r="M28" s="18">
        <f>SQRT(I28/H28)</f>
        <v>15.926700378491352</v>
      </c>
      <c r="N28" s="18">
        <f>SQRT(J28/H28)</f>
        <v>4.3844999995182725</v>
      </c>
      <c r="AN28" s="29"/>
      <c r="AO28" s="29"/>
      <c r="AP28" s="7"/>
      <c r="AQ28" s="7"/>
      <c r="AR28" s="29"/>
      <c r="AS28" s="29"/>
      <c r="AT28" s="29"/>
      <c r="AU28" s="29"/>
      <c r="BC28" s="26"/>
      <c r="BF28" s="26"/>
      <c r="BG28" s="30"/>
      <c r="BH28" s="7"/>
      <c r="BI28" s="64"/>
      <c r="BJ28" s="7"/>
      <c r="BK28" s="7"/>
      <c r="BL28" s="139"/>
      <c r="BM28" s="7"/>
      <c r="BN28" s="7"/>
      <c r="BO28" s="140"/>
      <c r="BP28" s="69"/>
      <c r="BQ28" s="67"/>
      <c r="BR28" s="7"/>
      <c r="BS28" s="7"/>
      <c r="BT28" s="28"/>
      <c r="BU28" s="28"/>
      <c r="BV28" s="28"/>
      <c r="BW28" s="29"/>
      <c r="BX28" s="136"/>
      <c r="BY28" s="7"/>
      <c r="BZ28" s="68"/>
      <c r="CA28" s="65"/>
      <c r="CB28" s="7"/>
      <c r="CC28" s="83"/>
      <c r="CD28" s="83"/>
      <c r="CE28" s="28"/>
      <c r="CF28" s="7"/>
      <c r="CG28" s="29"/>
      <c r="CH28" s="7"/>
      <c r="DN28" s="29"/>
      <c r="DO28" s="29"/>
      <c r="DR28" s="29"/>
      <c r="DS28" s="29"/>
      <c r="DT28" s="29"/>
      <c r="DU28" s="29"/>
      <c r="EC28" s="26"/>
      <c r="EF28" s="26"/>
      <c r="EG28" s="30"/>
      <c r="EH28" s="7"/>
      <c r="EI28" s="64"/>
      <c r="EJ28" s="7"/>
      <c r="EK28" s="7"/>
      <c r="EL28" s="64"/>
      <c r="EM28" s="7"/>
      <c r="EN28" s="7"/>
      <c r="EO28" s="140"/>
      <c r="EP28" s="69"/>
      <c r="EQ28" s="67"/>
      <c r="ER28" s="7"/>
      <c r="ES28" s="7"/>
      <c r="ET28" s="28"/>
      <c r="EU28" s="28"/>
      <c r="EV28" s="28"/>
      <c r="EW28" s="29"/>
      <c r="EX28" s="136"/>
      <c r="EY28" s="7"/>
      <c r="EZ28" s="68"/>
      <c r="FA28" s="65"/>
      <c r="FB28" s="7"/>
      <c r="FC28" s="70"/>
      <c r="FD28" s="83"/>
      <c r="FE28" s="28"/>
      <c r="FF28" s="7"/>
      <c r="FG28" s="29"/>
      <c r="FH28" s="7"/>
    </row>
    <row r="29" spans="2:164">
      <c r="B29" s="10" t="s">
        <v>58</v>
      </c>
      <c r="C29" s="4"/>
      <c r="D29" s="4"/>
      <c r="E29" s="4"/>
      <c r="F29" s="4"/>
      <c r="G29" s="4"/>
      <c r="H29" s="4"/>
      <c r="I29" s="4"/>
      <c r="J29" s="4"/>
      <c r="K29" s="4"/>
      <c r="L29" s="111"/>
      <c r="M29" s="4"/>
      <c r="N29" s="12"/>
      <c r="AN29" s="29"/>
      <c r="AO29" s="29"/>
      <c r="AP29" s="7"/>
      <c r="AQ29" s="7"/>
      <c r="AR29" s="29"/>
      <c r="AS29" s="29"/>
      <c r="AT29" s="29"/>
      <c r="AU29" s="29"/>
      <c r="BC29" s="26"/>
      <c r="BF29" s="26"/>
      <c r="BG29" s="30"/>
      <c r="BH29" s="7"/>
      <c r="BI29" s="64"/>
      <c r="BJ29" s="7"/>
      <c r="BK29" s="7"/>
      <c r="BL29" s="139"/>
      <c r="BM29" s="7"/>
      <c r="BN29" s="7"/>
      <c r="BO29" s="140"/>
      <c r="BP29" s="69"/>
      <c r="BQ29" s="67"/>
      <c r="BR29" s="7"/>
      <c r="BS29" s="7"/>
      <c r="BT29" s="28"/>
      <c r="BU29" s="28"/>
      <c r="BV29" s="28"/>
      <c r="BW29" s="29"/>
      <c r="BX29" s="136"/>
      <c r="BY29" s="7"/>
      <c r="BZ29" s="68"/>
      <c r="CA29" s="65"/>
      <c r="CB29" s="7"/>
      <c r="CC29" s="83"/>
      <c r="CD29" s="83"/>
      <c r="CE29" s="28"/>
      <c r="CF29" s="7"/>
      <c r="CG29" s="29"/>
      <c r="CH29" s="7"/>
      <c r="DN29" s="29"/>
      <c r="DO29" s="29"/>
      <c r="DR29" s="29"/>
      <c r="DS29" s="29"/>
      <c r="DT29" s="29"/>
      <c r="DU29" s="29"/>
      <c r="EC29" s="26"/>
      <c r="EF29" s="26"/>
      <c r="EG29" s="30"/>
      <c r="EH29" s="7"/>
      <c r="EI29" s="64"/>
      <c r="EJ29" s="7"/>
      <c r="EK29" s="7"/>
      <c r="EL29" s="64"/>
      <c r="EM29" s="7"/>
      <c r="EN29" s="7"/>
      <c r="EO29" s="140"/>
      <c r="EP29" s="69"/>
      <c r="EQ29" s="67"/>
      <c r="ER29" s="7"/>
      <c r="ES29" s="7"/>
      <c r="ET29" s="28"/>
      <c r="EU29" s="28"/>
      <c r="EV29" s="28"/>
      <c r="EW29" s="29"/>
      <c r="EX29" s="136"/>
      <c r="EY29" s="7"/>
      <c r="EZ29" s="68"/>
      <c r="FA29" s="65"/>
      <c r="FB29" s="7"/>
      <c r="FC29" s="70"/>
      <c r="FD29" s="83"/>
      <c r="FE29" s="28"/>
      <c r="FF29" s="7"/>
      <c r="FG29" s="29"/>
      <c r="FH29" s="7"/>
    </row>
    <row r="30" spans="2:164">
      <c r="B30" s="13"/>
      <c r="C30" s="4"/>
      <c r="D30" s="266" t="s">
        <v>71</v>
      </c>
      <c r="E30" s="56" t="s">
        <v>45</v>
      </c>
      <c r="F30" s="7" t="s">
        <v>61</v>
      </c>
      <c r="G30" s="262" t="s">
        <v>72</v>
      </c>
      <c r="H30" s="7" t="s">
        <v>55</v>
      </c>
      <c r="I30" s="7" t="s">
        <v>117</v>
      </c>
      <c r="J30" s="7" t="s">
        <v>118</v>
      </c>
      <c r="K30" s="7" t="s">
        <v>119</v>
      </c>
      <c r="L30" s="7" t="s">
        <v>120</v>
      </c>
      <c r="M30" s="7" t="s">
        <v>56</v>
      </c>
      <c r="N30" s="12"/>
      <c r="AN30" s="29"/>
      <c r="AO30" s="29"/>
      <c r="AP30" s="7"/>
      <c r="AQ30" s="7"/>
      <c r="AR30" s="29"/>
      <c r="AS30" s="29"/>
      <c r="AT30" s="29"/>
      <c r="AU30" s="29"/>
      <c r="BC30" s="26"/>
      <c r="BF30" s="26"/>
      <c r="BG30" s="30"/>
      <c r="BH30" s="7"/>
      <c r="BI30" s="64"/>
      <c r="BJ30" s="7"/>
      <c r="BK30" s="7"/>
      <c r="BL30" s="139"/>
      <c r="BM30" s="7"/>
      <c r="BN30" s="7"/>
      <c r="BO30" s="140"/>
      <c r="BP30" s="69"/>
      <c r="BQ30" s="67"/>
      <c r="BR30" s="7"/>
      <c r="BS30" s="7"/>
      <c r="BT30" s="28"/>
      <c r="BU30" s="28"/>
      <c r="BV30" s="28"/>
      <c r="BW30" s="29"/>
      <c r="BX30" s="136"/>
      <c r="BY30" s="7"/>
      <c r="BZ30" s="68"/>
      <c r="CA30" s="65"/>
      <c r="CB30" s="7"/>
      <c r="CC30" s="83"/>
      <c r="CD30" s="83"/>
      <c r="CE30" s="28"/>
      <c r="CF30" s="7"/>
      <c r="CG30" s="29"/>
      <c r="CH30" s="7"/>
      <c r="DN30" s="29"/>
      <c r="DO30" s="29"/>
      <c r="DR30" s="29"/>
      <c r="DS30" s="29"/>
      <c r="DT30" s="29"/>
      <c r="DU30" s="29"/>
      <c r="EC30" s="26"/>
      <c r="EF30" s="26"/>
      <c r="EG30" s="30"/>
      <c r="EH30" s="7"/>
      <c r="EI30" s="64"/>
      <c r="EJ30" s="7"/>
      <c r="EK30" s="7"/>
      <c r="EL30" s="64"/>
      <c r="EM30" s="7"/>
      <c r="EN30" s="7"/>
      <c r="EO30" s="140"/>
      <c r="EP30" s="69"/>
      <c r="EQ30" s="67"/>
      <c r="ER30" s="7"/>
      <c r="ES30" s="7"/>
      <c r="ET30" s="28"/>
      <c r="EU30" s="28"/>
      <c r="EV30" s="28"/>
      <c r="EW30" s="29"/>
      <c r="EX30" s="136"/>
      <c r="EY30" s="7"/>
      <c r="EZ30" s="68"/>
      <c r="FA30" s="65"/>
      <c r="FB30" s="7"/>
      <c r="FC30" s="70"/>
      <c r="FD30" s="83"/>
      <c r="FE30" s="28"/>
      <c r="FF30" s="7"/>
      <c r="FG30" s="29"/>
      <c r="FH30" s="7"/>
    </row>
    <row r="31" spans="2:164">
      <c r="B31" s="13"/>
      <c r="C31" s="4"/>
      <c r="D31" s="266"/>
      <c r="E31" s="27" t="s">
        <v>69</v>
      </c>
      <c r="F31" s="7" t="s">
        <v>64</v>
      </c>
      <c r="G31" s="263"/>
      <c r="H31" s="7" t="s">
        <v>54</v>
      </c>
      <c r="I31" s="7" t="s">
        <v>54</v>
      </c>
      <c r="J31" s="7" t="s">
        <v>54</v>
      </c>
      <c r="K31" s="7" t="s">
        <v>53</v>
      </c>
      <c r="L31" s="7" t="s">
        <v>53</v>
      </c>
      <c r="M31" s="7" t="s">
        <v>53</v>
      </c>
      <c r="N31" s="12"/>
      <c r="AN31" s="29"/>
      <c r="AO31" s="29"/>
      <c r="AP31" s="7"/>
      <c r="AQ31" s="7"/>
      <c r="AR31" s="29"/>
      <c r="AS31" s="29"/>
      <c r="AT31" s="29"/>
      <c r="AU31" s="29"/>
      <c r="BC31" s="26"/>
      <c r="BF31" s="26"/>
      <c r="BG31" s="30"/>
      <c r="BH31" s="7"/>
      <c r="BI31" s="64"/>
      <c r="BJ31" s="7"/>
      <c r="BK31" s="7"/>
      <c r="BL31" s="139"/>
      <c r="BM31" s="7"/>
      <c r="BN31" s="7"/>
      <c r="BO31" s="140"/>
      <c r="BP31" s="69"/>
      <c r="BQ31" s="67"/>
      <c r="BR31" s="7"/>
      <c r="BS31" s="7"/>
      <c r="BT31" s="28"/>
      <c r="BU31" s="28"/>
      <c r="BV31" s="28"/>
      <c r="BW31" s="29"/>
      <c r="BX31" s="136"/>
      <c r="BY31" s="7"/>
      <c r="BZ31" s="68"/>
      <c r="CA31" s="65"/>
      <c r="CB31" s="7"/>
      <c r="CC31" s="83"/>
      <c r="CD31" s="83"/>
      <c r="CE31" s="28"/>
      <c r="CF31" s="7"/>
      <c r="CG31" s="29"/>
      <c r="CH31" s="7"/>
      <c r="DN31" s="29"/>
      <c r="DO31" s="29"/>
      <c r="DR31" s="29"/>
      <c r="DS31" s="29"/>
      <c r="DT31" s="29"/>
      <c r="DU31" s="29"/>
      <c r="EC31" s="26"/>
      <c r="EF31" s="26"/>
      <c r="EG31" s="30"/>
      <c r="EH31" s="7"/>
      <c r="EI31" s="64"/>
      <c r="EJ31" s="7"/>
      <c r="EK31" s="7"/>
      <c r="EL31" s="64"/>
      <c r="EM31" s="7"/>
      <c r="EN31" s="7"/>
      <c r="EO31" s="140"/>
      <c r="EP31" s="69"/>
      <c r="EQ31" s="67"/>
      <c r="ER31" s="7"/>
      <c r="ES31" s="7"/>
      <c r="ET31" s="28"/>
      <c r="EU31" s="28"/>
      <c r="EV31" s="28"/>
      <c r="EW31" s="29"/>
      <c r="EX31" s="136"/>
      <c r="EY31" s="7"/>
      <c r="EZ31" s="68"/>
      <c r="FA31" s="65"/>
      <c r="FB31" s="7"/>
      <c r="FC31" s="70"/>
      <c r="FD31" s="83"/>
      <c r="FE31" s="28"/>
      <c r="FF31" s="7"/>
      <c r="FG31" s="29"/>
      <c r="FH31" s="7"/>
    </row>
    <row r="32" spans="2:164">
      <c r="B32" s="13"/>
      <c r="C32" s="4"/>
      <c r="D32" s="8">
        <v>408</v>
      </c>
      <c r="E32" s="89">
        <v>10.829833921897823</v>
      </c>
      <c r="F32" s="85">
        <v>388</v>
      </c>
      <c r="G32" s="8" t="s">
        <v>87</v>
      </c>
      <c r="H32" s="89">
        <v>-90.994663814005861</v>
      </c>
      <c r="I32" s="89">
        <v>-1.6765911172134316</v>
      </c>
      <c r="J32" s="89">
        <v>5.7400017074193716E-4</v>
      </c>
      <c r="K32" s="89">
        <v>7.2216924182995248E-4</v>
      </c>
      <c r="L32" s="89">
        <v>14.336884424408776</v>
      </c>
      <c r="M32" s="89">
        <v>-3.9689899611419909E-5</v>
      </c>
      <c r="N32" s="12"/>
      <c r="AN32" s="29"/>
      <c r="AO32" s="29"/>
      <c r="AP32" s="7"/>
      <c r="AQ32" s="7"/>
      <c r="AR32" s="29"/>
      <c r="AS32" s="29"/>
      <c r="AT32" s="29"/>
      <c r="AU32" s="29"/>
      <c r="BC32" s="26"/>
      <c r="BF32" s="26"/>
      <c r="BG32" s="30"/>
      <c r="BH32" s="7"/>
      <c r="BI32" s="64"/>
      <c r="BJ32" s="7"/>
      <c r="BK32" s="7"/>
      <c r="BL32" s="139"/>
      <c r="BM32" s="7"/>
      <c r="BN32" s="7"/>
      <c r="BO32" s="140"/>
      <c r="BP32" s="69"/>
      <c r="BQ32" s="67"/>
      <c r="BR32" s="7"/>
      <c r="BS32" s="7"/>
      <c r="BT32" s="28"/>
      <c r="BU32" s="28"/>
      <c r="BV32" s="28"/>
      <c r="BW32" s="29"/>
      <c r="BX32" s="136"/>
      <c r="BY32" s="7"/>
      <c r="BZ32" s="68"/>
      <c r="CA32" s="65"/>
      <c r="CB32" s="7"/>
      <c r="CC32" s="83"/>
      <c r="CD32" s="83"/>
      <c r="CE32" s="28"/>
      <c r="CF32" s="7"/>
      <c r="CG32" s="29"/>
      <c r="CH32" s="7"/>
      <c r="DN32" s="29"/>
      <c r="DO32" s="29"/>
      <c r="DR32" s="29"/>
      <c r="DS32" s="29"/>
      <c r="DT32" s="29"/>
      <c r="DU32" s="29"/>
      <c r="EC32" s="26"/>
      <c r="EF32" s="26"/>
      <c r="EG32" s="30"/>
      <c r="EH32" s="7"/>
      <c r="EI32" s="64"/>
      <c r="EJ32" s="7"/>
      <c r="EK32" s="7"/>
      <c r="EL32" s="64"/>
      <c r="EM32" s="7"/>
      <c r="EN32" s="7"/>
      <c r="EO32" s="140"/>
      <c r="EP32" s="69"/>
      <c r="EQ32" s="67"/>
      <c r="ER32" s="7"/>
      <c r="ES32" s="7"/>
      <c r="ET32" s="28"/>
      <c r="EU32" s="28"/>
      <c r="EV32" s="28"/>
      <c r="EW32" s="29"/>
      <c r="EX32" s="136"/>
      <c r="EY32" s="7"/>
      <c r="EZ32" s="68"/>
      <c r="FA32" s="65"/>
      <c r="FB32" s="7"/>
      <c r="FC32" s="70"/>
      <c r="FD32" s="83"/>
      <c r="FE32" s="28"/>
      <c r="FF32" s="7"/>
      <c r="FG32" s="29"/>
      <c r="FH32" s="7"/>
    </row>
    <row r="33" spans="2:164">
      <c r="B33" s="13"/>
      <c r="C33" s="4"/>
      <c r="D33" s="4"/>
      <c r="E33" s="4"/>
      <c r="F33" s="103"/>
      <c r="G33" s="4"/>
      <c r="H33" s="4"/>
      <c r="I33" s="4"/>
      <c r="J33" s="4"/>
      <c r="K33" s="4"/>
      <c r="L33" s="4"/>
      <c r="M33" s="4"/>
      <c r="N33" s="12"/>
      <c r="AN33" s="29"/>
      <c r="AO33" s="29"/>
      <c r="AP33" s="7"/>
      <c r="AQ33" s="7"/>
      <c r="AR33" s="29"/>
      <c r="AS33" s="29"/>
      <c r="AT33" s="29"/>
      <c r="AU33" s="29"/>
      <c r="BC33" s="26"/>
      <c r="BF33" s="26"/>
      <c r="BG33" s="30"/>
      <c r="BH33" s="7"/>
      <c r="BI33" s="64"/>
      <c r="BJ33" s="7"/>
      <c r="BK33" s="7"/>
      <c r="BL33" s="139"/>
      <c r="BM33" s="7"/>
      <c r="BN33" s="7"/>
      <c r="BO33" s="140"/>
      <c r="BP33" s="69"/>
      <c r="BQ33" s="67"/>
      <c r="BR33" s="7"/>
      <c r="BS33" s="7"/>
      <c r="BT33" s="28"/>
      <c r="BU33" s="28"/>
      <c r="BV33" s="28"/>
      <c r="BW33" s="29"/>
      <c r="BX33" s="136"/>
      <c r="BY33" s="7"/>
      <c r="BZ33" s="68"/>
      <c r="CA33" s="65"/>
      <c r="CB33" s="7"/>
      <c r="CC33" s="83"/>
      <c r="CD33" s="83"/>
      <c r="CE33" s="28"/>
      <c r="CF33" s="7"/>
      <c r="CG33" s="29"/>
      <c r="CH33" s="7"/>
      <c r="DN33" s="29"/>
      <c r="DO33" s="29"/>
      <c r="DR33" s="29"/>
      <c r="DS33" s="29"/>
      <c r="DT33" s="29"/>
      <c r="DU33" s="29"/>
      <c r="EC33" s="26"/>
      <c r="EF33" s="26"/>
      <c r="EG33" s="30"/>
      <c r="EH33" s="7"/>
      <c r="EI33" s="64"/>
      <c r="EJ33" s="7"/>
      <c r="EK33" s="7"/>
      <c r="EL33" s="64"/>
      <c r="EM33" s="7"/>
      <c r="EN33" s="7"/>
      <c r="EO33" s="140"/>
      <c r="EP33" s="69"/>
      <c r="EQ33" s="67"/>
      <c r="ER33" s="7"/>
      <c r="ES33" s="7"/>
      <c r="ET33" s="28"/>
      <c r="EU33" s="28"/>
      <c r="EV33" s="28"/>
      <c r="EW33" s="29"/>
      <c r="EX33" s="136"/>
      <c r="EY33" s="7"/>
      <c r="EZ33" s="68"/>
      <c r="FA33" s="65"/>
      <c r="FB33" s="7"/>
      <c r="FC33" s="70"/>
      <c r="FD33" s="83"/>
      <c r="FE33" s="28"/>
      <c r="FF33" s="7"/>
      <c r="FG33" s="29"/>
      <c r="FH33" s="7"/>
    </row>
    <row r="34" spans="2:164">
      <c r="B34" s="249" t="s">
        <v>35</v>
      </c>
      <c r="C34" s="250"/>
      <c r="D34" s="250"/>
      <c r="E34" s="4"/>
      <c r="F34" s="4"/>
      <c r="G34" s="4"/>
      <c r="H34" s="4"/>
      <c r="I34" s="4"/>
      <c r="J34" s="4"/>
      <c r="K34" s="4"/>
      <c r="L34" s="4"/>
      <c r="M34" s="102"/>
      <c r="N34" s="9"/>
      <c r="AN34" s="29"/>
      <c r="AO34" s="29"/>
      <c r="AP34" s="7"/>
      <c r="AQ34" s="7"/>
      <c r="AR34" s="29"/>
      <c r="AS34" s="29"/>
      <c r="AT34" s="29"/>
      <c r="AU34" s="29"/>
      <c r="BC34" s="26"/>
      <c r="BF34" s="26"/>
      <c r="BG34" s="30"/>
      <c r="BH34" s="7"/>
      <c r="BI34" s="64"/>
      <c r="BJ34" s="7"/>
      <c r="BK34" s="7"/>
      <c r="BL34" s="139"/>
      <c r="BM34" s="7"/>
      <c r="BN34" s="7"/>
      <c r="BO34" s="140"/>
      <c r="BP34" s="69"/>
      <c r="BQ34" s="67"/>
      <c r="BR34" s="7"/>
      <c r="BS34" s="7"/>
      <c r="BT34" s="28"/>
      <c r="BU34" s="28"/>
      <c r="BV34" s="28"/>
      <c r="BW34" s="29"/>
      <c r="BX34" s="136"/>
      <c r="BY34" s="7"/>
      <c r="BZ34" s="68"/>
      <c r="CA34" s="65"/>
      <c r="CB34" s="7"/>
      <c r="CC34" s="83"/>
      <c r="CD34" s="83"/>
      <c r="CE34" s="28"/>
      <c r="CF34" s="7"/>
      <c r="CG34" s="29"/>
      <c r="CH34" s="7"/>
      <c r="DN34" s="29"/>
      <c r="DO34" s="29"/>
      <c r="DR34" s="29"/>
      <c r="DS34" s="29"/>
      <c r="DT34" s="29"/>
      <c r="DU34" s="29"/>
      <c r="EC34" s="26"/>
      <c r="EF34" s="26"/>
      <c r="EG34" s="30"/>
      <c r="EH34" s="7"/>
      <c r="EI34" s="64"/>
      <c r="EJ34" s="7"/>
      <c r="EK34" s="7"/>
      <c r="EL34" s="64"/>
      <c r="EM34" s="7"/>
      <c r="EN34" s="7"/>
      <c r="EO34" s="140"/>
      <c r="EP34" s="69"/>
      <c r="EQ34" s="67"/>
      <c r="ER34" s="7"/>
      <c r="ES34" s="7"/>
      <c r="ET34" s="28"/>
      <c r="EU34" s="28"/>
      <c r="EV34" s="28"/>
      <c r="EW34" s="29"/>
      <c r="EX34" s="136"/>
      <c r="EY34" s="7"/>
      <c r="EZ34" s="68"/>
      <c r="FA34" s="65"/>
      <c r="FB34" s="7"/>
      <c r="FC34" s="70"/>
      <c r="FD34" s="83"/>
      <c r="FE34" s="28"/>
      <c r="FF34" s="7"/>
      <c r="FG34" s="29"/>
      <c r="FH34" s="7"/>
    </row>
    <row r="35" spans="2:164">
      <c r="B35" s="101" t="s">
        <v>116</v>
      </c>
      <c r="C35" s="4"/>
      <c r="D35" s="4"/>
      <c r="E35" s="4"/>
      <c r="F35" s="4"/>
      <c r="G35" s="4"/>
      <c r="H35" s="4"/>
      <c r="I35" s="4"/>
      <c r="J35" s="4"/>
      <c r="K35" s="4"/>
      <c r="L35" s="4"/>
      <c r="M35" s="4"/>
      <c r="N35" s="12"/>
      <c r="AN35" s="29"/>
      <c r="AO35" s="29"/>
      <c r="AP35" s="7"/>
      <c r="AQ35" s="7"/>
      <c r="AR35" s="29"/>
      <c r="AS35" s="29"/>
      <c r="AT35" s="29"/>
      <c r="AU35" s="29"/>
      <c r="BC35" s="26"/>
      <c r="BF35" s="26"/>
      <c r="BG35" s="30"/>
      <c r="BH35" s="7"/>
      <c r="BI35" s="64"/>
      <c r="BJ35" s="7"/>
      <c r="BK35" s="7"/>
      <c r="BL35" s="139"/>
      <c r="BM35" s="7"/>
      <c r="BN35" s="7"/>
      <c r="BO35" s="140"/>
      <c r="BP35" s="69"/>
      <c r="BQ35" s="67"/>
      <c r="BR35" s="7"/>
      <c r="BS35" s="7"/>
      <c r="BT35" s="28"/>
      <c r="BU35" s="28"/>
      <c r="BV35" s="28"/>
      <c r="BW35" s="29"/>
      <c r="BX35" s="136"/>
      <c r="BY35" s="7"/>
      <c r="BZ35" s="68"/>
      <c r="CA35" s="65"/>
      <c r="CB35" s="7"/>
      <c r="CC35" s="83"/>
      <c r="CD35" s="83"/>
      <c r="CE35" s="28"/>
      <c r="CF35" s="7"/>
      <c r="CG35" s="29"/>
      <c r="CH35" s="7"/>
      <c r="DN35" s="29"/>
      <c r="DO35" s="29"/>
      <c r="DR35" s="29"/>
      <c r="DS35" s="29"/>
      <c r="DT35" s="29"/>
      <c r="DU35" s="29"/>
      <c r="EC35" s="26"/>
      <c r="EF35" s="26"/>
      <c r="EG35" s="30"/>
      <c r="EH35" s="7"/>
      <c r="EI35" s="64"/>
      <c r="EJ35" s="7"/>
      <c r="EK35" s="7"/>
      <c r="EL35" s="64"/>
      <c r="EM35" s="7"/>
      <c r="EN35" s="7"/>
      <c r="EO35" s="140"/>
      <c r="EP35" s="69"/>
      <c r="EQ35" s="67"/>
      <c r="ER35" s="7"/>
      <c r="ES35" s="7"/>
      <c r="ET35" s="28"/>
      <c r="EU35" s="28"/>
      <c r="EV35" s="28"/>
      <c r="EW35" s="29"/>
      <c r="EX35" s="136"/>
      <c r="EY35" s="7"/>
      <c r="EZ35" s="68"/>
      <c r="FA35" s="65"/>
      <c r="FB35" s="7"/>
      <c r="FC35" s="70"/>
      <c r="FD35" s="83"/>
      <c r="FE35" s="28"/>
      <c r="FF35" s="7"/>
      <c r="FG35" s="29"/>
      <c r="FH35" s="7"/>
    </row>
    <row r="36" spans="2:164" ht="14.25">
      <c r="B36" s="11" t="s">
        <v>36</v>
      </c>
      <c r="C36" s="4"/>
      <c r="D36" s="4"/>
      <c r="E36" s="4"/>
      <c r="F36" s="4"/>
      <c r="G36" s="4"/>
      <c r="H36" s="4"/>
      <c r="I36" s="4"/>
      <c r="J36" s="4"/>
      <c r="K36" s="103" t="s">
        <v>89</v>
      </c>
      <c r="L36" s="112">
        <f>D28*G28</f>
        <v>312.14285714285711</v>
      </c>
      <c r="M36" s="102" t="s">
        <v>59</v>
      </c>
      <c r="N36" s="9"/>
      <c r="AN36" s="29"/>
      <c r="AO36" s="29"/>
      <c r="AP36" s="7"/>
      <c r="AQ36" s="7"/>
      <c r="AR36" s="29"/>
      <c r="AS36" s="29"/>
      <c r="AT36" s="29"/>
      <c r="AU36" s="29"/>
      <c r="BC36" s="26"/>
      <c r="BF36" s="26"/>
      <c r="BG36" s="30"/>
      <c r="BH36" s="7"/>
      <c r="BI36" s="64"/>
      <c r="BJ36" s="7"/>
      <c r="BK36" s="7"/>
      <c r="BL36" s="139"/>
      <c r="BM36" s="7"/>
      <c r="BN36" s="7"/>
      <c r="BO36" s="140"/>
      <c r="BP36" s="69"/>
      <c r="BQ36" s="67"/>
      <c r="BR36" s="7"/>
      <c r="BS36" s="7"/>
      <c r="BT36" s="28"/>
      <c r="BU36" s="28"/>
      <c r="BV36" s="28"/>
      <c r="BW36" s="29"/>
      <c r="BX36" s="136"/>
      <c r="BY36" s="7"/>
      <c r="BZ36" s="68"/>
      <c r="CA36" s="65"/>
      <c r="CB36" s="7"/>
      <c r="CC36" s="83"/>
      <c r="CD36" s="83"/>
      <c r="CE36" s="28"/>
      <c r="CF36" s="7"/>
      <c r="CG36" s="29"/>
      <c r="CH36" s="7"/>
      <c r="DN36" s="29"/>
      <c r="DO36" s="29"/>
      <c r="DR36" s="29"/>
      <c r="DS36" s="29"/>
      <c r="DT36" s="29"/>
      <c r="DU36" s="29"/>
      <c r="EC36" s="26"/>
      <c r="EF36" s="26"/>
      <c r="EG36" s="30"/>
      <c r="EH36" s="7"/>
      <c r="EI36" s="64"/>
      <c r="EJ36" s="7"/>
      <c r="EK36" s="7"/>
      <c r="EL36" s="64"/>
      <c r="EM36" s="7"/>
      <c r="EN36" s="7"/>
      <c r="EO36" s="140"/>
      <c r="EP36" s="69"/>
      <c r="EQ36" s="67"/>
      <c r="ER36" s="7"/>
      <c r="ES36" s="7"/>
      <c r="ET36" s="28"/>
      <c r="EU36" s="28"/>
      <c r="EV36" s="28"/>
      <c r="EW36" s="29"/>
      <c r="EX36" s="136"/>
      <c r="EY36" s="7"/>
      <c r="EZ36" s="68"/>
      <c r="FA36" s="65"/>
      <c r="FB36" s="7"/>
      <c r="FC36" s="70"/>
      <c r="FD36" s="83"/>
      <c r="FE36" s="28"/>
      <c r="FF36" s="7"/>
      <c r="FG36" s="29"/>
      <c r="FH36" s="7"/>
    </row>
    <row r="37" spans="2:164" ht="14.25">
      <c r="B37" s="11" t="s">
        <v>88</v>
      </c>
      <c r="C37" s="4"/>
      <c r="D37" s="4"/>
      <c r="E37" s="4"/>
      <c r="F37" s="4"/>
      <c r="G37" s="4"/>
      <c r="H37" s="4"/>
      <c r="I37" s="4"/>
      <c r="J37" s="4"/>
      <c r="K37" s="113" t="s">
        <v>129</v>
      </c>
      <c r="L37" s="112">
        <f>ABS(H32)/H28*10</f>
        <v>13.104070249712827</v>
      </c>
      <c r="M37" s="102" t="s">
        <v>59</v>
      </c>
      <c r="N37" s="9"/>
      <c r="P37" s="252"/>
      <c r="Q37" s="253"/>
      <c r="AN37" s="29"/>
      <c r="AO37" s="29"/>
      <c r="AP37" s="7"/>
      <c r="AQ37" s="7"/>
      <c r="AR37" s="29"/>
      <c r="AS37" s="29"/>
      <c r="AT37" s="29"/>
      <c r="AU37" s="29"/>
      <c r="BC37" s="26"/>
      <c r="BF37" s="26"/>
      <c r="BG37" s="30"/>
      <c r="BH37" s="7"/>
      <c r="BI37" s="64"/>
      <c r="BJ37" s="7"/>
      <c r="BK37" s="7"/>
      <c r="BL37" s="139"/>
      <c r="BM37" s="7"/>
      <c r="BN37" s="7"/>
      <c r="BO37" s="140"/>
      <c r="BP37" s="69"/>
      <c r="BQ37" s="67"/>
      <c r="BR37" s="7"/>
      <c r="BS37" s="7"/>
      <c r="BT37" s="28"/>
      <c r="BU37" s="28"/>
      <c r="BV37" s="28"/>
      <c r="BW37" s="29"/>
      <c r="BX37" s="136"/>
      <c r="BY37" s="7"/>
      <c r="BZ37" s="68"/>
      <c r="CA37" s="65"/>
      <c r="CB37" s="7"/>
      <c r="CC37" s="83"/>
      <c r="CD37" s="83"/>
      <c r="CE37" s="28"/>
      <c r="CF37" s="7"/>
      <c r="CG37" s="29"/>
      <c r="CH37" s="7"/>
      <c r="DN37" s="29"/>
      <c r="DO37" s="29"/>
      <c r="DR37" s="29"/>
      <c r="DS37" s="29"/>
      <c r="DT37" s="29"/>
      <c r="DU37" s="29"/>
      <c r="EC37" s="26"/>
      <c r="EF37" s="26"/>
      <c r="EG37" s="30"/>
      <c r="EH37" s="7"/>
      <c r="EI37" s="64"/>
      <c r="EJ37" s="7"/>
      <c r="EK37" s="7"/>
      <c r="EL37" s="64"/>
      <c r="EM37" s="7"/>
      <c r="EN37" s="7"/>
      <c r="EO37" s="140"/>
      <c r="EP37" s="69"/>
      <c r="EQ37" s="67"/>
      <c r="ER37" s="7"/>
      <c r="ES37" s="7"/>
      <c r="ET37" s="28"/>
      <c r="EU37" s="28"/>
      <c r="EV37" s="28"/>
      <c r="EW37" s="29"/>
      <c r="EX37" s="136"/>
      <c r="EY37" s="7"/>
      <c r="EZ37" s="68"/>
      <c r="FA37" s="65"/>
      <c r="FB37" s="7"/>
      <c r="FC37" s="70"/>
      <c r="FD37" s="83"/>
      <c r="FE37" s="28"/>
      <c r="FF37" s="7"/>
      <c r="FG37" s="29"/>
      <c r="FH37" s="7"/>
    </row>
    <row r="38" spans="2:164" ht="14.25">
      <c r="B38" s="11" t="s">
        <v>127</v>
      </c>
      <c r="C38" s="4"/>
      <c r="D38" s="4"/>
      <c r="E38" s="4"/>
      <c r="F38" s="4"/>
      <c r="G38" s="4"/>
      <c r="H38" s="4"/>
      <c r="I38" s="4"/>
      <c r="J38" s="4"/>
      <c r="K38" s="113" t="s">
        <v>125</v>
      </c>
      <c r="L38" s="112">
        <f>ABS(L32)/(I28/(F32/20))*1000</f>
        <v>15.790474551525921</v>
      </c>
      <c r="M38" s="102" t="s">
        <v>59</v>
      </c>
      <c r="N38" s="9"/>
      <c r="P38" s="254"/>
      <c r="Q38" s="255"/>
      <c r="AN38" s="29"/>
      <c r="AO38" s="29"/>
      <c r="AP38" s="7"/>
      <c r="AQ38" s="7"/>
      <c r="AR38" s="29"/>
      <c r="AS38" s="29"/>
      <c r="AT38" s="29"/>
      <c r="AU38" s="29"/>
      <c r="BC38" s="26"/>
      <c r="BF38" s="26"/>
      <c r="BG38" s="30"/>
      <c r="BH38" s="7"/>
      <c r="BI38" s="64"/>
      <c r="BJ38" s="7"/>
      <c r="BK38" s="7"/>
      <c r="BL38" s="139"/>
      <c r="BM38" s="7"/>
      <c r="BN38" s="7"/>
      <c r="BO38" s="140"/>
      <c r="BP38" s="69"/>
      <c r="BQ38" s="67"/>
      <c r="BR38" s="7"/>
      <c r="BS38" s="7"/>
      <c r="BT38" s="28"/>
      <c r="BU38" s="28"/>
      <c r="BV38" s="28"/>
      <c r="BW38" s="29"/>
      <c r="BX38" s="136"/>
      <c r="BY38" s="7"/>
      <c r="BZ38" s="68"/>
      <c r="CA38" s="65"/>
      <c r="CB38" s="7"/>
      <c r="CC38" s="83"/>
      <c r="CD38" s="83"/>
      <c r="CE38" s="28"/>
      <c r="CF38" s="7"/>
      <c r="CG38" s="29"/>
      <c r="CH38" s="7"/>
      <c r="DN38" s="29"/>
      <c r="DO38" s="29"/>
      <c r="DR38" s="29"/>
      <c r="DS38" s="29"/>
      <c r="DT38" s="29"/>
      <c r="DU38" s="29"/>
      <c r="EC38" s="26"/>
      <c r="EF38" s="26"/>
      <c r="EG38" s="30"/>
      <c r="EH38" s="7"/>
      <c r="EI38" s="64"/>
      <c r="EJ38" s="7"/>
      <c r="EK38" s="7"/>
      <c r="EL38" s="64"/>
      <c r="EM38" s="7"/>
      <c r="EN38" s="7"/>
      <c r="EO38" s="140"/>
      <c r="EP38" s="69"/>
      <c r="EQ38" s="67"/>
      <c r="ER38" s="7"/>
      <c r="ES38" s="7"/>
      <c r="ET38" s="28"/>
      <c r="EU38" s="28"/>
      <c r="EV38" s="28"/>
      <c r="EW38" s="29"/>
      <c r="EX38" s="136"/>
      <c r="EY38" s="7"/>
      <c r="EZ38" s="68"/>
      <c r="FA38" s="65"/>
      <c r="FB38" s="7"/>
      <c r="FC38" s="70"/>
      <c r="FD38" s="83"/>
      <c r="FE38" s="28"/>
      <c r="FF38" s="7"/>
      <c r="FG38" s="29"/>
      <c r="FH38" s="7"/>
    </row>
    <row r="39" spans="2:164" ht="14.25">
      <c r="B39" s="11" t="s">
        <v>128</v>
      </c>
      <c r="C39" s="4"/>
      <c r="D39" s="4"/>
      <c r="E39" s="4"/>
      <c r="F39" s="4"/>
      <c r="G39" s="4"/>
      <c r="H39" s="4"/>
      <c r="I39" s="4"/>
      <c r="J39" s="4"/>
      <c r="K39" s="113" t="s">
        <v>126</v>
      </c>
      <c r="L39" s="112">
        <f>ABS(K32)/(J28/(F18/20))*1000</f>
        <v>5.4098986171131304E-3</v>
      </c>
      <c r="M39" s="102" t="s">
        <v>59</v>
      </c>
      <c r="N39" s="9"/>
      <c r="AA39" s="141"/>
      <c r="AB39" s="142"/>
      <c r="AC39" s="143"/>
      <c r="AD39" s="143"/>
      <c r="AE39" s="142"/>
      <c r="AF39" s="142"/>
      <c r="AG39" s="142"/>
      <c r="AH39" s="144"/>
      <c r="AI39" s="144"/>
      <c r="AJ39" s="144"/>
      <c r="AK39" s="145"/>
      <c r="AL39" s="145"/>
      <c r="AN39" s="29"/>
      <c r="AO39" s="29"/>
      <c r="AP39" s="7"/>
      <c r="AQ39" s="7"/>
      <c r="AR39" s="29"/>
      <c r="AS39" s="29"/>
      <c r="AT39" s="29"/>
      <c r="AU39" s="29"/>
      <c r="AV39" s="142"/>
      <c r="AW39" s="147"/>
      <c r="AX39" s="147"/>
      <c r="AY39" s="147"/>
      <c r="AZ39" s="147"/>
      <c r="BA39" s="147"/>
      <c r="BB39" s="147"/>
      <c r="BC39" s="26"/>
      <c r="BF39" s="26"/>
      <c r="BG39" s="30"/>
      <c r="BH39" s="7"/>
      <c r="BI39" s="64"/>
      <c r="BJ39" s="7"/>
      <c r="BK39" s="7"/>
      <c r="BL39" s="139"/>
      <c r="BM39" s="7"/>
      <c r="BN39" s="7"/>
      <c r="BO39" s="140"/>
      <c r="BP39" s="69"/>
      <c r="BQ39" s="67"/>
      <c r="BR39" s="7"/>
      <c r="BS39" s="7"/>
      <c r="BT39" s="28"/>
      <c r="BU39" s="28"/>
      <c r="BV39" s="28"/>
      <c r="BW39" s="29"/>
      <c r="BX39" s="136"/>
      <c r="BY39" s="7"/>
      <c r="BZ39" s="68"/>
      <c r="CA39" s="65"/>
      <c r="CB39" s="7"/>
      <c r="CC39" s="83"/>
      <c r="CD39" s="83"/>
      <c r="CE39" s="28"/>
      <c r="CF39" s="7"/>
      <c r="CG39" s="29"/>
      <c r="CH39" s="7"/>
      <c r="DA39" s="141"/>
      <c r="DB39" s="142"/>
      <c r="DC39" s="143"/>
      <c r="DD39" s="143"/>
      <c r="DE39" s="142"/>
      <c r="DF39" s="142"/>
      <c r="DG39" s="142"/>
      <c r="DH39" s="144"/>
      <c r="DI39" s="144"/>
      <c r="DJ39" s="144"/>
      <c r="DK39" s="145"/>
      <c r="DL39" s="145"/>
      <c r="DM39" s="138"/>
      <c r="DN39" s="146"/>
      <c r="DO39" s="146"/>
      <c r="DP39" s="141"/>
      <c r="DQ39" s="141"/>
      <c r="DR39" s="146"/>
      <c r="DS39" s="146"/>
      <c r="DT39" s="146"/>
      <c r="DU39" s="146"/>
      <c r="DV39" s="142"/>
      <c r="DW39" s="147"/>
      <c r="DX39" s="147"/>
      <c r="DY39" s="147"/>
      <c r="DZ39" s="147"/>
      <c r="EA39" s="147"/>
      <c r="EB39" s="147"/>
      <c r="EC39" s="148"/>
      <c r="ED39" s="148"/>
      <c r="EE39" s="148"/>
      <c r="EF39" s="148"/>
      <c r="EG39" s="149"/>
      <c r="EH39" s="138"/>
      <c r="EI39" s="150"/>
      <c r="EJ39" s="138"/>
      <c r="EK39" s="138"/>
      <c r="EL39" s="150"/>
      <c r="EM39" s="138"/>
      <c r="EN39" s="138"/>
      <c r="EO39" s="151"/>
      <c r="EP39" s="152"/>
      <c r="EQ39" s="153"/>
      <c r="ER39" s="138"/>
      <c r="ES39" s="138"/>
      <c r="ET39" s="154"/>
      <c r="EU39" s="154"/>
      <c r="EV39" s="154"/>
      <c r="EW39" s="146"/>
      <c r="EX39" s="155"/>
      <c r="EY39" s="138"/>
      <c r="EZ39" s="156"/>
      <c r="FA39" s="157"/>
      <c r="FB39" s="138"/>
      <c r="FC39" s="158"/>
      <c r="FD39" s="159"/>
      <c r="FE39" s="154"/>
      <c r="FF39" s="138"/>
      <c r="FG39" s="146"/>
      <c r="FH39" s="138"/>
    </row>
    <row r="40" spans="2:164" ht="14.25">
      <c r="B40" s="11" t="s">
        <v>227</v>
      </c>
      <c r="C40" s="102"/>
      <c r="D40" s="102"/>
      <c r="E40" s="102"/>
      <c r="F40" s="102"/>
      <c r="G40" s="102"/>
      <c r="H40" s="102"/>
      <c r="I40" s="102"/>
      <c r="J40" s="102"/>
      <c r="K40" s="114" t="s">
        <v>130</v>
      </c>
      <c r="L40" s="112">
        <f>L37+L38+L39</f>
        <v>28.899954699855861</v>
      </c>
      <c r="M40" s="102" t="s">
        <v>59</v>
      </c>
      <c r="N40" s="9"/>
      <c r="AN40" s="29"/>
      <c r="AO40" s="29"/>
      <c r="AP40" s="7"/>
      <c r="AQ40" s="7"/>
      <c r="AR40" s="29"/>
      <c r="AS40" s="29"/>
      <c r="AT40" s="29"/>
      <c r="AU40" s="29"/>
      <c r="BC40" s="26"/>
      <c r="BF40" s="26"/>
      <c r="BG40" s="30"/>
      <c r="BH40" s="7"/>
      <c r="BI40" s="64"/>
      <c r="BJ40" s="7"/>
      <c r="BK40" s="7"/>
      <c r="BL40" s="139"/>
      <c r="BM40" s="7"/>
      <c r="BN40" s="7"/>
      <c r="BO40" s="140"/>
      <c r="BP40" s="69"/>
      <c r="BQ40" s="67"/>
      <c r="BR40" s="7"/>
      <c r="BS40" s="7"/>
      <c r="BT40" s="28"/>
      <c r="BU40" s="28"/>
      <c r="BV40" s="28"/>
      <c r="BW40" s="29"/>
      <c r="BX40" s="136"/>
      <c r="BY40" s="7"/>
      <c r="BZ40" s="68"/>
      <c r="CA40" s="65"/>
      <c r="CB40" s="7"/>
      <c r="CC40" s="83"/>
      <c r="CD40" s="83"/>
      <c r="CE40" s="28"/>
      <c r="CF40" s="7"/>
      <c r="CG40" s="29"/>
      <c r="CH40" s="7"/>
      <c r="DN40" s="29"/>
      <c r="DO40" s="29"/>
      <c r="DR40" s="29"/>
      <c r="DS40" s="29"/>
      <c r="DT40" s="29"/>
      <c r="DU40" s="29"/>
      <c r="EC40" s="26"/>
      <c r="EF40" s="26"/>
      <c r="EG40" s="30"/>
      <c r="EH40" s="7"/>
      <c r="EI40" s="8"/>
      <c r="EJ40" s="7"/>
      <c r="EK40" s="7"/>
      <c r="EL40" s="8"/>
      <c r="EM40" s="7"/>
      <c r="EN40" s="7"/>
      <c r="EO40" s="27"/>
      <c r="EP40" s="29"/>
      <c r="EQ40" s="136"/>
      <c r="ER40" s="7"/>
      <c r="ES40" s="7"/>
      <c r="ET40" s="28"/>
      <c r="EU40" s="28"/>
      <c r="EV40" s="28"/>
      <c r="EW40" s="29"/>
      <c r="EX40" s="136"/>
      <c r="EY40" s="7"/>
      <c r="EZ40" s="160"/>
      <c r="FA40" s="83"/>
      <c r="FB40" s="7"/>
      <c r="FC40" s="83"/>
      <c r="FD40" s="83"/>
      <c r="FE40" s="28"/>
      <c r="FF40" s="7"/>
      <c r="FG40" s="29"/>
      <c r="FH40" s="7"/>
    </row>
    <row r="41" spans="2:164">
      <c r="B41" s="11" t="s">
        <v>65</v>
      </c>
      <c r="C41" s="4"/>
      <c r="D41" s="4"/>
      <c r="E41" s="4"/>
      <c r="F41" s="4"/>
      <c r="G41" s="4"/>
      <c r="H41" s="4"/>
      <c r="I41" s="4"/>
      <c r="J41" s="4"/>
      <c r="K41" s="103" t="s">
        <v>90</v>
      </c>
      <c r="L41" s="115">
        <f>L40/L36</f>
        <v>9.2585667230659516E-2</v>
      </c>
      <c r="M41" s="116" t="s">
        <v>39</v>
      </c>
      <c r="N41" s="23" t="str">
        <f>IF(L41&lt;=1,"OK","Check")</f>
        <v>OK</v>
      </c>
      <c r="AN41" s="29"/>
      <c r="AO41" s="29"/>
      <c r="AP41" s="7"/>
      <c r="AQ41" s="7"/>
      <c r="AR41" s="29"/>
      <c r="AS41" s="29"/>
      <c r="AT41" s="29"/>
      <c r="AU41" s="29"/>
      <c r="BC41" s="26"/>
      <c r="BF41" s="26"/>
      <c r="BG41" s="30"/>
      <c r="BH41" s="7"/>
      <c r="BI41" s="64"/>
      <c r="BJ41" s="7"/>
      <c r="BK41" s="7"/>
      <c r="BL41" s="139"/>
      <c r="BM41" s="7"/>
      <c r="BN41" s="7"/>
      <c r="BO41" s="140"/>
      <c r="BP41" s="69"/>
      <c r="BQ41" s="67"/>
      <c r="BR41" s="7"/>
      <c r="BS41" s="7"/>
      <c r="BT41" s="28"/>
      <c r="BU41" s="28"/>
      <c r="BV41" s="28"/>
      <c r="BW41" s="29"/>
      <c r="BX41" s="136"/>
      <c r="BY41" s="7"/>
      <c r="BZ41" s="68"/>
      <c r="CA41" s="65"/>
      <c r="CB41" s="7"/>
      <c r="CC41" s="83"/>
      <c r="CD41" s="83"/>
      <c r="CE41" s="28"/>
      <c r="CF41" s="7"/>
      <c r="CG41" s="29"/>
      <c r="CH41" s="7"/>
      <c r="DN41" s="29"/>
      <c r="DO41" s="29"/>
      <c r="DR41" s="29"/>
      <c r="DS41" s="29"/>
      <c r="DT41" s="29"/>
      <c r="DU41" s="29"/>
      <c r="EC41" s="26"/>
      <c r="EF41" s="26"/>
      <c r="EG41" s="30"/>
      <c r="EH41" s="7"/>
      <c r="EI41" s="8"/>
      <c r="EJ41" s="7"/>
      <c r="EK41" s="7"/>
      <c r="EL41" s="8"/>
      <c r="EM41" s="7"/>
      <c r="EN41" s="7"/>
      <c r="EO41" s="27"/>
      <c r="EP41" s="29"/>
      <c r="EQ41" s="136"/>
      <c r="ER41" s="7"/>
      <c r="ES41" s="7"/>
      <c r="ET41" s="28"/>
      <c r="EU41" s="28"/>
      <c r="EV41" s="28"/>
      <c r="EW41" s="29"/>
      <c r="EX41" s="136"/>
      <c r="EY41" s="7"/>
      <c r="EZ41" s="160"/>
      <c r="FA41" s="83"/>
      <c r="FB41" s="7"/>
      <c r="FC41" s="83"/>
      <c r="FD41" s="83"/>
      <c r="FE41" s="28"/>
      <c r="FF41" s="7"/>
      <c r="FG41" s="29"/>
      <c r="FH41" s="7"/>
    </row>
    <row r="42" spans="2:164">
      <c r="B42" s="101" t="s">
        <v>138</v>
      </c>
      <c r="C42" s="4"/>
      <c r="D42" s="4"/>
      <c r="E42" s="4"/>
      <c r="F42" s="4"/>
      <c r="G42" s="4"/>
      <c r="H42" s="4"/>
      <c r="I42" s="4"/>
      <c r="J42" s="4"/>
      <c r="K42" s="4"/>
      <c r="L42" s="4"/>
      <c r="M42" s="4"/>
      <c r="N42" s="12"/>
      <c r="AN42" s="29"/>
      <c r="AO42" s="29"/>
      <c r="AP42" s="7"/>
      <c r="AQ42" s="7"/>
      <c r="AR42" s="29"/>
      <c r="AS42" s="29"/>
      <c r="AT42" s="29"/>
      <c r="AU42" s="29"/>
      <c r="BC42" s="26"/>
      <c r="BF42" s="26"/>
      <c r="BG42" s="30"/>
      <c r="BH42" s="7"/>
      <c r="BI42" s="64"/>
      <c r="BJ42" s="7"/>
      <c r="BK42" s="7"/>
      <c r="BL42" s="139"/>
      <c r="BM42" s="7"/>
      <c r="BN42" s="7"/>
      <c r="BO42" s="140"/>
      <c r="BP42" s="69"/>
      <c r="BQ42" s="67"/>
      <c r="BR42" s="7"/>
      <c r="BS42" s="7"/>
      <c r="BT42" s="28"/>
      <c r="BU42" s="28"/>
      <c r="BV42" s="28"/>
      <c r="BW42" s="29"/>
      <c r="BX42" s="136"/>
      <c r="BY42" s="7"/>
      <c r="BZ42" s="68"/>
      <c r="CA42" s="65"/>
      <c r="CB42" s="7"/>
      <c r="CC42" s="83"/>
      <c r="CD42" s="83"/>
      <c r="CE42" s="28"/>
      <c r="CF42" s="7"/>
      <c r="CG42" s="29"/>
      <c r="CH42" s="7"/>
      <c r="DN42" s="29"/>
      <c r="DO42" s="29"/>
      <c r="DR42" s="29"/>
      <c r="DS42" s="29"/>
      <c r="DT42" s="29"/>
      <c r="DU42" s="29"/>
      <c r="EC42" s="26"/>
      <c r="EF42" s="26"/>
      <c r="EG42" s="30"/>
      <c r="EH42" s="7"/>
      <c r="EI42" s="8"/>
      <c r="EJ42" s="7"/>
      <c r="EK42" s="7"/>
      <c r="EL42" s="8"/>
      <c r="EM42" s="7"/>
      <c r="EN42" s="7"/>
      <c r="EO42" s="27"/>
      <c r="EP42" s="29"/>
      <c r="EQ42" s="136"/>
      <c r="ER42" s="7"/>
      <c r="ES42" s="7"/>
      <c r="ET42" s="28"/>
      <c r="EU42" s="28"/>
      <c r="EV42" s="28"/>
      <c r="EW42" s="29"/>
      <c r="EX42" s="136"/>
      <c r="EY42" s="7"/>
      <c r="EZ42" s="160"/>
      <c r="FA42" s="83"/>
      <c r="FB42" s="7"/>
      <c r="FC42" s="83"/>
      <c r="FD42" s="83"/>
      <c r="FE42" s="28"/>
      <c r="FF42" s="7"/>
      <c r="FG42" s="29"/>
      <c r="FH42" s="7"/>
    </row>
    <row r="43" spans="2:164">
      <c r="B43" s="10" t="s">
        <v>139</v>
      </c>
      <c r="C43" s="4"/>
      <c r="D43" s="4"/>
      <c r="E43" s="4"/>
      <c r="F43" s="4"/>
      <c r="G43" s="4"/>
      <c r="H43" s="4"/>
      <c r="I43" s="4"/>
      <c r="J43" s="4"/>
      <c r="K43" s="4"/>
      <c r="L43" s="4"/>
      <c r="M43" s="4"/>
      <c r="N43" s="12"/>
      <c r="AN43" s="29"/>
      <c r="AO43" s="29"/>
      <c r="AP43" s="7"/>
      <c r="AQ43" s="7"/>
      <c r="AR43" s="29"/>
      <c r="AS43" s="29"/>
      <c r="AT43" s="29"/>
      <c r="AU43" s="29"/>
      <c r="BC43" s="26"/>
      <c r="BF43" s="26"/>
      <c r="BG43" s="30"/>
      <c r="BH43" s="7"/>
      <c r="BI43" s="64"/>
      <c r="BJ43" s="7"/>
      <c r="BK43" s="7"/>
      <c r="BL43" s="139"/>
      <c r="BM43" s="7"/>
      <c r="BN43" s="7"/>
      <c r="BO43" s="140"/>
      <c r="BP43" s="69"/>
      <c r="BQ43" s="67"/>
      <c r="BR43" s="7"/>
      <c r="BS43" s="7"/>
      <c r="BT43" s="28"/>
      <c r="BU43" s="28"/>
      <c r="BV43" s="28"/>
      <c r="BW43" s="29"/>
      <c r="BX43" s="136"/>
      <c r="BY43" s="7"/>
      <c r="BZ43" s="68"/>
      <c r="CA43" s="65"/>
      <c r="CB43" s="7"/>
      <c r="CC43" s="83"/>
      <c r="CD43" s="83"/>
      <c r="CE43" s="28"/>
      <c r="CF43" s="7"/>
      <c r="CG43" s="29"/>
      <c r="CH43" s="7"/>
      <c r="DN43" s="29"/>
      <c r="DO43" s="29"/>
      <c r="DR43" s="29"/>
      <c r="DS43" s="29"/>
      <c r="DT43" s="29"/>
      <c r="DU43" s="29"/>
      <c r="EC43" s="26"/>
      <c r="EF43" s="26"/>
      <c r="EG43" s="30"/>
      <c r="EH43" s="7"/>
      <c r="EI43" s="8"/>
      <c r="EJ43" s="7"/>
      <c r="EK43" s="7"/>
      <c r="EL43" s="8"/>
      <c r="EM43" s="7"/>
      <c r="EN43" s="7"/>
      <c r="EO43" s="27"/>
      <c r="EP43" s="29"/>
      <c r="EQ43" s="136"/>
      <c r="ER43" s="7"/>
      <c r="ES43" s="7"/>
      <c r="ET43" s="28"/>
      <c r="EU43" s="28"/>
      <c r="EV43" s="28"/>
      <c r="EW43" s="29"/>
      <c r="EX43" s="136"/>
      <c r="EY43" s="7"/>
      <c r="EZ43" s="160"/>
      <c r="FA43" s="83"/>
      <c r="FB43" s="7"/>
      <c r="FC43" s="83"/>
      <c r="FD43" s="83"/>
      <c r="FE43" s="28"/>
      <c r="FF43" s="7"/>
      <c r="FG43" s="29"/>
      <c r="FH43" s="7"/>
    </row>
    <row r="44" spans="2:164" ht="14.25">
      <c r="B44" s="11" t="s">
        <v>168</v>
      </c>
      <c r="C44" s="117"/>
      <c r="D44" s="117"/>
      <c r="E44" s="117"/>
      <c r="F44" s="117"/>
      <c r="G44" s="117"/>
      <c r="H44" s="117"/>
      <c r="I44" s="117"/>
      <c r="J44" s="117"/>
      <c r="K44" s="100" t="s">
        <v>167</v>
      </c>
      <c r="L44" s="118">
        <f>H70</f>
        <v>0.19110049307346344</v>
      </c>
      <c r="M44" s="4"/>
      <c r="N44" s="12"/>
      <c r="AN44" s="29"/>
      <c r="AO44" s="29"/>
      <c r="AP44" s="7"/>
      <c r="AQ44" s="7"/>
      <c r="AR44" s="29"/>
      <c r="AS44" s="29"/>
      <c r="AT44" s="29"/>
      <c r="AU44" s="29"/>
      <c r="BC44" s="26"/>
      <c r="BF44" s="26"/>
      <c r="BG44" s="30"/>
      <c r="BH44" s="7"/>
      <c r="BI44" s="64"/>
      <c r="BJ44" s="7"/>
      <c r="BK44" s="7"/>
      <c r="BL44" s="139"/>
      <c r="BM44" s="7"/>
      <c r="BN44" s="7"/>
      <c r="BO44" s="140"/>
      <c r="BP44" s="69"/>
      <c r="BQ44" s="67"/>
      <c r="BR44" s="7"/>
      <c r="BS44" s="7"/>
      <c r="BT44" s="28"/>
      <c r="BU44" s="28"/>
      <c r="BV44" s="28"/>
      <c r="BW44" s="29"/>
      <c r="BX44" s="136"/>
      <c r="BY44" s="7"/>
      <c r="BZ44" s="68"/>
      <c r="CA44" s="65"/>
      <c r="CB44" s="7"/>
      <c r="CC44" s="83"/>
      <c r="CD44" s="83"/>
      <c r="CE44" s="28"/>
      <c r="CF44" s="7"/>
      <c r="CG44" s="29"/>
      <c r="CH44" s="7"/>
      <c r="DN44" s="29"/>
      <c r="DO44" s="29"/>
      <c r="DR44" s="29"/>
      <c r="DS44" s="29"/>
      <c r="DT44" s="29"/>
      <c r="DU44" s="29"/>
      <c r="EC44" s="26"/>
      <c r="EF44" s="26"/>
      <c r="EG44" s="30"/>
      <c r="EH44" s="7"/>
      <c r="EI44" s="8"/>
      <c r="EJ44" s="7"/>
      <c r="EK44" s="7"/>
      <c r="EL44" s="8"/>
      <c r="EM44" s="7"/>
      <c r="EN44" s="7"/>
      <c r="EO44" s="27"/>
      <c r="EP44" s="29"/>
      <c r="EQ44" s="136"/>
      <c r="ER44" s="7"/>
      <c r="ES44" s="7"/>
      <c r="ET44" s="28"/>
      <c r="EU44" s="28"/>
      <c r="EV44" s="28"/>
      <c r="EW44" s="29"/>
      <c r="EX44" s="136"/>
      <c r="EY44" s="7"/>
      <c r="EZ44" s="160"/>
      <c r="FA44" s="83"/>
      <c r="FB44" s="7"/>
      <c r="FC44" s="83"/>
      <c r="FD44" s="83"/>
      <c r="FE44" s="28"/>
      <c r="FF44" s="7"/>
      <c r="FG44" s="29"/>
      <c r="FH44" s="7"/>
    </row>
    <row r="45" spans="2:164" ht="14.25">
      <c r="B45" s="11" t="s">
        <v>142</v>
      </c>
      <c r="C45" s="4"/>
      <c r="D45" s="4"/>
      <c r="E45" s="4"/>
      <c r="F45" s="4"/>
      <c r="G45" s="4"/>
      <c r="H45" s="4"/>
      <c r="I45" s="4"/>
      <c r="J45" s="4"/>
      <c r="K45" s="103" t="s">
        <v>89</v>
      </c>
      <c r="L45" s="119">
        <f>D28*G28</f>
        <v>312.14285714285711</v>
      </c>
      <c r="M45" s="102" t="s">
        <v>59</v>
      </c>
      <c r="N45" s="12"/>
      <c r="AN45" s="29"/>
      <c r="AO45" s="29"/>
      <c r="AP45" s="7"/>
      <c r="AQ45" s="7"/>
      <c r="AR45" s="29"/>
      <c r="AS45" s="29"/>
      <c r="AT45" s="29"/>
      <c r="AU45" s="29"/>
      <c r="BC45" s="26"/>
      <c r="BF45" s="26"/>
      <c r="BG45" s="30"/>
      <c r="BH45" s="7"/>
      <c r="BI45" s="64"/>
      <c r="BJ45" s="7"/>
      <c r="BK45" s="7"/>
      <c r="BL45" s="139"/>
      <c r="BM45" s="7"/>
      <c r="BN45" s="7"/>
      <c r="BO45" s="140"/>
      <c r="BP45" s="69"/>
      <c r="BQ45" s="67"/>
      <c r="BR45" s="7"/>
      <c r="BS45" s="7"/>
      <c r="BT45" s="28"/>
      <c r="BU45" s="28"/>
      <c r="BV45" s="28"/>
      <c r="BW45" s="29"/>
      <c r="BX45" s="136"/>
      <c r="BY45" s="7"/>
      <c r="BZ45" s="68"/>
      <c r="CA45" s="65"/>
      <c r="CB45" s="7"/>
      <c r="CC45" s="83"/>
      <c r="CD45" s="83"/>
      <c r="CE45" s="28"/>
      <c r="CF45" s="7"/>
      <c r="CG45" s="29"/>
      <c r="CH45" s="7"/>
      <c r="DN45" s="29"/>
      <c r="DO45" s="29"/>
      <c r="DR45" s="29"/>
      <c r="DS45" s="29"/>
      <c r="DT45" s="29"/>
      <c r="DU45" s="29"/>
      <c r="EC45" s="26"/>
      <c r="EF45" s="26"/>
      <c r="EG45" s="30"/>
      <c r="EH45" s="7"/>
      <c r="EI45" s="8"/>
      <c r="EJ45" s="7"/>
      <c r="EK45" s="7"/>
      <c r="EL45" s="8"/>
      <c r="EM45" s="7"/>
      <c r="EN45" s="7"/>
      <c r="EO45" s="27"/>
      <c r="EP45" s="29"/>
      <c r="EQ45" s="136"/>
      <c r="ER45" s="7"/>
      <c r="ES45" s="7"/>
      <c r="ET45" s="28"/>
      <c r="EU45" s="28"/>
      <c r="EV45" s="28"/>
      <c r="EW45" s="29"/>
      <c r="EX45" s="136"/>
      <c r="EY45" s="7"/>
      <c r="EZ45" s="160"/>
      <c r="FA45" s="83"/>
      <c r="FB45" s="7"/>
      <c r="FC45" s="83"/>
      <c r="FD45" s="83"/>
      <c r="FE45" s="28"/>
      <c r="FF45" s="7"/>
      <c r="FG45" s="29"/>
      <c r="FH45" s="7"/>
    </row>
    <row r="46" spans="2:164" ht="14.25">
      <c r="B46" s="11" t="s">
        <v>143</v>
      </c>
      <c r="C46" s="102"/>
      <c r="D46" s="102"/>
      <c r="E46" s="102"/>
      <c r="F46" s="102"/>
      <c r="G46" s="102"/>
      <c r="H46" s="102"/>
      <c r="I46" s="102"/>
      <c r="J46" s="102"/>
      <c r="K46" s="114" t="s">
        <v>170</v>
      </c>
      <c r="L46" s="119">
        <f>ABS(H32)/(H28*H70)*10</f>
        <v>68.571619251004861</v>
      </c>
      <c r="M46" s="102" t="s">
        <v>59</v>
      </c>
      <c r="N46" s="9"/>
      <c r="AN46" s="29"/>
      <c r="AO46" s="29"/>
      <c r="AP46" s="7"/>
      <c r="AQ46" s="7"/>
      <c r="AR46" s="29"/>
      <c r="AS46" s="29"/>
      <c r="AT46" s="29"/>
      <c r="AU46" s="29"/>
      <c r="BC46" s="26"/>
      <c r="BF46" s="26"/>
      <c r="BG46" s="30"/>
      <c r="BH46" s="7"/>
      <c r="BI46" s="64"/>
      <c r="BJ46" s="7"/>
      <c r="BK46" s="7"/>
      <c r="BL46" s="139"/>
      <c r="BM46" s="7"/>
      <c r="BN46" s="7"/>
      <c r="BO46" s="140"/>
      <c r="BP46" s="69"/>
      <c r="BQ46" s="67"/>
      <c r="BR46" s="7"/>
      <c r="BS46" s="7"/>
      <c r="BT46" s="28"/>
      <c r="BU46" s="28"/>
      <c r="BV46" s="28"/>
      <c r="BW46" s="29"/>
      <c r="BX46" s="136"/>
      <c r="BY46" s="7"/>
      <c r="BZ46" s="68"/>
      <c r="CA46" s="65"/>
      <c r="CB46" s="7"/>
      <c r="CC46" s="83"/>
      <c r="CD46" s="83"/>
      <c r="CE46" s="28"/>
      <c r="CF46" s="7"/>
      <c r="CG46" s="29"/>
      <c r="CH46" s="7"/>
      <c r="DN46" s="29"/>
      <c r="DO46" s="29"/>
      <c r="DR46" s="29"/>
      <c r="DS46" s="29"/>
      <c r="DT46" s="29"/>
      <c r="DU46" s="29"/>
      <c r="EC46" s="26"/>
      <c r="EF46" s="26"/>
      <c r="EG46" s="30"/>
      <c r="EH46" s="7"/>
      <c r="EI46" s="8"/>
      <c r="EJ46" s="7"/>
      <c r="EK46" s="7"/>
      <c r="EL46" s="8"/>
      <c r="EM46" s="7"/>
      <c r="EN46" s="7"/>
      <c r="EO46" s="27"/>
      <c r="EP46" s="29"/>
      <c r="EQ46" s="136"/>
      <c r="ER46" s="7"/>
      <c r="ES46" s="7"/>
      <c r="ET46" s="28"/>
      <c r="EU46" s="28"/>
      <c r="EV46" s="28"/>
      <c r="EW46" s="29"/>
      <c r="EX46" s="136"/>
      <c r="EY46" s="7"/>
      <c r="EZ46" s="160"/>
      <c r="FA46" s="83"/>
      <c r="FB46" s="7"/>
      <c r="FC46" s="83"/>
      <c r="FD46" s="83"/>
      <c r="FE46" s="28"/>
      <c r="FF46" s="7"/>
      <c r="FG46" s="29"/>
      <c r="FH46" s="7"/>
    </row>
    <row r="47" spans="2:164">
      <c r="B47" s="11" t="s">
        <v>65</v>
      </c>
      <c r="C47" s="4"/>
      <c r="D47" s="4"/>
      <c r="E47" s="4"/>
      <c r="F47" s="4"/>
      <c r="G47" s="4"/>
      <c r="H47" s="4"/>
      <c r="I47" s="4"/>
      <c r="J47" s="4"/>
      <c r="K47" s="103" t="s">
        <v>90</v>
      </c>
      <c r="L47" s="115">
        <f>L46/L45</f>
        <v>0.21968024474006137</v>
      </c>
      <c r="M47" s="116" t="s">
        <v>39</v>
      </c>
      <c r="N47" s="23" t="str">
        <f>IF(L47&lt;=1,"OK","Check")</f>
        <v>OK</v>
      </c>
      <c r="AN47" s="29"/>
      <c r="AO47" s="29"/>
      <c r="AP47" s="7"/>
      <c r="AQ47" s="7"/>
      <c r="AR47" s="29"/>
      <c r="AS47" s="29"/>
      <c r="AT47" s="29"/>
      <c r="AU47" s="29"/>
      <c r="BC47" s="26"/>
      <c r="BF47" s="26"/>
      <c r="BG47" s="30"/>
      <c r="BH47" s="7"/>
      <c r="BI47" s="64"/>
      <c r="BJ47" s="7"/>
      <c r="BK47" s="7"/>
      <c r="BL47" s="139"/>
      <c r="BM47" s="7"/>
      <c r="BN47" s="7"/>
      <c r="BO47" s="140"/>
      <c r="BP47" s="69"/>
      <c r="BQ47" s="67"/>
      <c r="BR47" s="7"/>
      <c r="BS47" s="7"/>
      <c r="BT47" s="28"/>
      <c r="BU47" s="28"/>
      <c r="BV47" s="28"/>
      <c r="BW47" s="29"/>
      <c r="BX47" s="136"/>
      <c r="BY47" s="7"/>
      <c r="BZ47" s="68"/>
      <c r="CA47" s="65"/>
      <c r="CB47" s="7"/>
      <c r="CC47" s="83"/>
      <c r="CD47" s="83"/>
      <c r="CE47" s="28"/>
      <c r="CF47" s="7"/>
      <c r="CG47" s="29"/>
      <c r="CH47" s="7"/>
      <c r="DN47" s="29"/>
      <c r="DO47" s="29"/>
      <c r="DR47" s="29"/>
      <c r="DS47" s="29"/>
      <c r="DT47" s="29"/>
      <c r="DU47" s="29"/>
      <c r="EC47" s="26"/>
      <c r="EF47" s="26"/>
      <c r="EG47" s="30"/>
      <c r="EH47" s="7"/>
      <c r="EI47" s="8"/>
      <c r="EJ47" s="7"/>
      <c r="EK47" s="7"/>
      <c r="EL47" s="8"/>
      <c r="EM47" s="7"/>
      <c r="EN47" s="7"/>
      <c r="EO47" s="27"/>
      <c r="EP47" s="29"/>
      <c r="EQ47" s="136"/>
      <c r="ER47" s="7"/>
      <c r="ES47" s="7"/>
      <c r="ET47" s="28"/>
      <c r="EU47" s="28"/>
      <c r="EV47" s="28"/>
      <c r="EW47" s="29"/>
      <c r="EX47" s="136"/>
      <c r="EY47" s="7"/>
      <c r="EZ47" s="160"/>
      <c r="FA47" s="83"/>
      <c r="FB47" s="7"/>
      <c r="FC47" s="83"/>
      <c r="FD47" s="83"/>
      <c r="FE47" s="28"/>
      <c r="FF47" s="7"/>
      <c r="FG47" s="29"/>
      <c r="FH47" s="7"/>
    </row>
    <row r="48" spans="2:164">
      <c r="B48" s="10" t="s">
        <v>144</v>
      </c>
      <c r="C48" s="4"/>
      <c r="D48" s="4"/>
      <c r="E48" s="4"/>
      <c r="F48" s="4"/>
      <c r="G48" s="4"/>
      <c r="H48" s="4"/>
      <c r="I48" s="4"/>
      <c r="J48" s="4"/>
      <c r="K48" s="109"/>
      <c r="L48" s="112"/>
      <c r="M48" s="102"/>
      <c r="N48" s="12"/>
      <c r="AN48" s="29"/>
      <c r="AO48" s="29"/>
      <c r="AP48" s="7"/>
      <c r="AQ48" s="7"/>
      <c r="AR48" s="29"/>
      <c r="AS48" s="29"/>
      <c r="AT48" s="29"/>
      <c r="AU48" s="29"/>
      <c r="BC48" s="26"/>
      <c r="BF48" s="26"/>
      <c r="BG48" s="30"/>
      <c r="BH48" s="7"/>
      <c r="BI48" s="64"/>
      <c r="BJ48" s="7"/>
      <c r="BK48" s="7"/>
      <c r="BL48" s="139"/>
      <c r="BM48" s="7"/>
      <c r="BN48" s="7"/>
      <c r="BO48" s="140"/>
      <c r="BP48" s="69"/>
      <c r="BQ48" s="67"/>
      <c r="BR48" s="7"/>
      <c r="BS48" s="7"/>
      <c r="BT48" s="28"/>
      <c r="BU48" s="28"/>
      <c r="BV48" s="28"/>
      <c r="BW48" s="29"/>
      <c r="BX48" s="136"/>
      <c r="BY48" s="7"/>
      <c r="BZ48" s="68"/>
      <c r="CA48" s="65"/>
      <c r="CB48" s="7"/>
      <c r="CC48" s="83"/>
      <c r="CD48" s="83"/>
      <c r="CE48" s="28"/>
      <c r="CF48" s="7"/>
      <c r="CG48" s="29"/>
      <c r="CH48" s="7"/>
      <c r="DN48" s="29"/>
      <c r="DO48" s="29"/>
      <c r="DR48" s="29"/>
      <c r="DS48" s="29"/>
      <c r="DT48" s="29"/>
      <c r="DU48" s="29"/>
      <c r="EC48" s="26"/>
      <c r="EF48" s="26"/>
      <c r="EG48" s="30"/>
      <c r="EH48" s="7"/>
      <c r="EI48" s="8"/>
      <c r="EJ48" s="7"/>
      <c r="EK48" s="7"/>
      <c r="EL48" s="8"/>
      <c r="EM48" s="7"/>
      <c r="EN48" s="7"/>
      <c r="EO48" s="27"/>
      <c r="EP48" s="29"/>
      <c r="EQ48" s="136"/>
      <c r="ER48" s="7"/>
      <c r="ES48" s="7"/>
      <c r="ET48" s="28"/>
      <c r="EU48" s="28"/>
      <c r="EV48" s="28"/>
      <c r="EW48" s="29"/>
      <c r="EX48" s="136"/>
      <c r="EY48" s="7"/>
      <c r="EZ48" s="160"/>
      <c r="FA48" s="83"/>
      <c r="FB48" s="7"/>
      <c r="FC48" s="83"/>
      <c r="FD48" s="83"/>
      <c r="FE48" s="28"/>
      <c r="FF48" s="7"/>
      <c r="FG48" s="29"/>
      <c r="FH48" s="7"/>
    </row>
    <row r="49" spans="2:164" ht="14.25">
      <c r="B49" s="120" t="s">
        <v>37</v>
      </c>
      <c r="C49" s="109" t="s">
        <v>146</v>
      </c>
      <c r="D49" s="121">
        <f>N73</f>
        <v>0.71408345100754844</v>
      </c>
      <c r="E49" s="4" t="s">
        <v>153</v>
      </c>
      <c r="F49" s="4"/>
      <c r="G49" s="4"/>
      <c r="H49" s="4"/>
      <c r="I49" s="4"/>
      <c r="J49" s="122"/>
      <c r="K49" s="123" t="s">
        <v>171</v>
      </c>
      <c r="L49" s="118" cm="1">
        <f t="array" ref="L49">Factorphi7321(B73, D28, B28)</f>
        <v>0.34461253881454468</v>
      </c>
      <c r="M49" s="4" t="s">
        <v>152</v>
      </c>
      <c r="N49" s="12"/>
      <c r="AN49" s="29"/>
      <c r="AO49" s="29"/>
      <c r="AP49" s="7"/>
      <c r="AQ49" s="7"/>
      <c r="AR49" s="29"/>
      <c r="AS49" s="29"/>
      <c r="AT49" s="29"/>
      <c r="AU49" s="29"/>
      <c r="BC49" s="26"/>
      <c r="BF49" s="26"/>
      <c r="BG49" s="30"/>
      <c r="BH49" s="7"/>
      <c r="BI49" s="64"/>
      <c r="BJ49" s="7"/>
      <c r="BK49" s="7"/>
      <c r="BL49" s="139"/>
      <c r="BM49" s="7"/>
      <c r="BN49" s="7"/>
      <c r="BO49" s="140"/>
      <c r="BP49" s="69"/>
      <c r="BQ49" s="67"/>
      <c r="BR49" s="7"/>
      <c r="BS49" s="7"/>
      <c r="BT49" s="28"/>
      <c r="BU49" s="28"/>
      <c r="BV49" s="28"/>
      <c r="BW49" s="29"/>
      <c r="BX49" s="136"/>
      <c r="BY49" s="7"/>
      <c r="BZ49" s="68"/>
      <c r="CA49" s="65"/>
      <c r="CB49" s="7"/>
      <c r="CC49" s="83"/>
      <c r="CD49" s="83"/>
      <c r="CE49" s="28"/>
      <c r="CF49" s="7"/>
      <c r="CG49" s="29"/>
      <c r="CH49" s="7"/>
      <c r="DN49" s="29"/>
      <c r="DO49" s="29"/>
      <c r="DR49" s="29"/>
      <c r="DS49" s="29"/>
      <c r="DT49" s="29"/>
      <c r="DU49" s="29"/>
      <c r="EC49" s="26"/>
      <c r="EF49" s="26"/>
      <c r="EG49" s="30"/>
      <c r="EH49" s="7"/>
      <c r="EI49" s="8"/>
      <c r="EJ49" s="7"/>
      <c r="EK49" s="7"/>
      <c r="EL49" s="8"/>
      <c r="EM49" s="7"/>
      <c r="EN49" s="7"/>
      <c r="EO49" s="27"/>
      <c r="EP49" s="29"/>
      <c r="EQ49" s="136"/>
      <c r="ER49" s="7"/>
      <c r="ES49" s="7"/>
      <c r="ET49" s="28"/>
      <c r="EU49" s="28"/>
      <c r="EV49" s="28"/>
      <c r="EW49" s="29"/>
      <c r="EX49" s="136"/>
      <c r="EY49" s="7"/>
      <c r="EZ49" s="160"/>
      <c r="FA49" s="83"/>
      <c r="FB49" s="7"/>
      <c r="FC49" s="83"/>
      <c r="FD49" s="83"/>
      <c r="FE49" s="28"/>
      <c r="FF49" s="7"/>
      <c r="FG49" s="29"/>
      <c r="FH49" s="7"/>
    </row>
    <row r="50" spans="2:164" ht="14.25">
      <c r="B50" s="11" t="s">
        <v>36</v>
      </c>
      <c r="C50" s="4"/>
      <c r="D50" s="4"/>
      <c r="E50" s="4"/>
      <c r="F50" s="4"/>
      <c r="G50" s="4"/>
      <c r="H50" s="4"/>
      <c r="I50" s="4"/>
      <c r="J50" s="4"/>
      <c r="K50" s="103" t="s">
        <v>89</v>
      </c>
      <c r="L50" s="112">
        <f>D28*G28</f>
        <v>312.14285714285711</v>
      </c>
      <c r="M50" s="102" t="s">
        <v>59</v>
      </c>
      <c r="N50" s="12"/>
      <c r="AN50" s="29"/>
      <c r="AO50" s="29"/>
      <c r="AP50" s="7"/>
      <c r="AQ50" s="7"/>
      <c r="AR50" s="29"/>
      <c r="AS50" s="29"/>
      <c r="AT50" s="29"/>
      <c r="AU50" s="29"/>
      <c r="BC50" s="26"/>
      <c r="BF50" s="26"/>
      <c r="BG50" s="30"/>
      <c r="BH50" s="7"/>
      <c r="BI50" s="64"/>
      <c r="BJ50" s="7"/>
      <c r="BK50" s="7"/>
      <c r="BL50" s="139"/>
      <c r="BM50" s="7"/>
      <c r="BN50" s="7"/>
      <c r="BO50" s="140"/>
      <c r="BP50" s="69"/>
      <c r="BQ50" s="67"/>
      <c r="BR50" s="7"/>
      <c r="BS50" s="7"/>
      <c r="BT50" s="28"/>
      <c r="BU50" s="28"/>
      <c r="BV50" s="28"/>
      <c r="BW50" s="29"/>
      <c r="BX50" s="136"/>
      <c r="BY50" s="7"/>
      <c r="BZ50" s="68"/>
      <c r="CA50" s="65"/>
      <c r="CB50" s="7"/>
      <c r="CC50" s="83"/>
      <c r="CD50" s="83"/>
      <c r="CE50" s="28"/>
      <c r="CF50" s="7"/>
      <c r="CG50" s="29"/>
      <c r="CH50" s="7"/>
      <c r="DN50" s="29"/>
      <c r="DO50" s="29"/>
      <c r="DR50" s="29"/>
      <c r="DS50" s="29"/>
      <c r="DT50" s="29"/>
      <c r="DU50" s="29"/>
      <c r="EC50" s="26"/>
      <c r="EF50" s="26"/>
      <c r="EG50" s="30"/>
      <c r="EH50" s="7"/>
      <c r="EI50" s="8"/>
      <c r="EJ50" s="7"/>
      <c r="EK50" s="7"/>
      <c r="EL50" s="8"/>
      <c r="EM50" s="7"/>
      <c r="EN50" s="7"/>
      <c r="EO50" s="27"/>
      <c r="EP50" s="29"/>
      <c r="EQ50" s="136"/>
      <c r="ER50" s="7"/>
      <c r="ES50" s="7"/>
      <c r="ET50" s="28"/>
      <c r="EU50" s="28"/>
      <c r="EV50" s="28"/>
      <c r="EW50" s="29"/>
      <c r="EX50" s="136"/>
      <c r="EY50" s="7"/>
      <c r="EZ50" s="160"/>
      <c r="FA50" s="83"/>
      <c r="FB50" s="7"/>
      <c r="FC50" s="83"/>
      <c r="FD50" s="83"/>
      <c r="FE50" s="28"/>
      <c r="FF50" s="7"/>
      <c r="FG50" s="29"/>
      <c r="FH50" s="7"/>
    </row>
    <row r="51" spans="2:164" ht="14.25">
      <c r="B51" s="11" t="s">
        <v>161</v>
      </c>
      <c r="C51" s="102"/>
      <c r="D51" s="102"/>
      <c r="E51" s="102"/>
      <c r="F51" s="102"/>
      <c r="G51" s="102"/>
      <c r="H51" s="102"/>
      <c r="I51" s="102"/>
      <c r="J51" s="102"/>
      <c r="K51" s="114" t="s">
        <v>162</v>
      </c>
      <c r="L51" s="119">
        <f>ABS(H32)/(D49*L49*H28)*10</f>
        <v>53.250803960020178</v>
      </c>
      <c r="M51" s="102" t="s">
        <v>59</v>
      </c>
      <c r="N51" s="12"/>
      <c r="AN51" s="29"/>
      <c r="AO51" s="29"/>
      <c r="AP51" s="7"/>
      <c r="AQ51" s="7"/>
      <c r="AR51" s="29"/>
      <c r="AS51" s="29"/>
      <c r="AT51" s="29"/>
      <c r="AU51" s="29"/>
      <c r="BC51" s="26"/>
      <c r="BF51" s="26"/>
      <c r="BG51" s="30"/>
      <c r="BH51" s="7"/>
      <c r="BI51" s="64"/>
      <c r="BJ51" s="7"/>
      <c r="BK51" s="7"/>
      <c r="BL51" s="139"/>
      <c r="BM51" s="7"/>
      <c r="BN51" s="7"/>
      <c r="BO51" s="140"/>
      <c r="BP51" s="69"/>
      <c r="BQ51" s="67"/>
      <c r="BR51" s="7"/>
      <c r="BS51" s="7"/>
      <c r="BT51" s="28"/>
      <c r="BU51" s="28"/>
      <c r="BV51" s="28"/>
      <c r="BW51" s="29"/>
      <c r="BX51" s="136"/>
      <c r="BY51" s="7"/>
      <c r="BZ51" s="68"/>
      <c r="CA51" s="65"/>
      <c r="CB51" s="7"/>
      <c r="CC51" s="83"/>
      <c r="CD51" s="83"/>
      <c r="CE51" s="28"/>
      <c r="CF51" s="7"/>
      <c r="CG51" s="29"/>
      <c r="CH51" s="7"/>
      <c r="DN51" s="29"/>
      <c r="DO51" s="29"/>
      <c r="DR51" s="29"/>
      <c r="DS51" s="29"/>
      <c r="DT51" s="29"/>
      <c r="DU51" s="29"/>
      <c r="EC51" s="26"/>
      <c r="EF51" s="26"/>
      <c r="EG51" s="30"/>
      <c r="EH51" s="7"/>
      <c r="EI51" s="8"/>
      <c r="EJ51" s="7"/>
      <c r="EK51" s="7"/>
      <c r="EL51" s="8"/>
      <c r="EM51" s="7"/>
      <c r="EN51" s="7"/>
      <c r="EO51" s="27"/>
      <c r="EP51" s="29"/>
      <c r="EQ51" s="136"/>
      <c r="ER51" s="7"/>
      <c r="ES51" s="7"/>
      <c r="ET51" s="28"/>
      <c r="EU51" s="28"/>
      <c r="EV51" s="28"/>
      <c r="EW51" s="29"/>
      <c r="EX51" s="136"/>
      <c r="EY51" s="7"/>
      <c r="EZ51" s="160"/>
      <c r="FA51" s="83"/>
      <c r="FB51" s="7"/>
      <c r="FC51" s="83"/>
      <c r="FD51" s="83"/>
      <c r="FE51" s="28"/>
      <c r="FF51" s="7"/>
      <c r="FG51" s="29"/>
      <c r="FH51" s="7"/>
    </row>
    <row r="52" spans="2:164">
      <c r="B52" s="11" t="s">
        <v>65</v>
      </c>
      <c r="C52" s="4"/>
      <c r="D52" s="4"/>
      <c r="E52" s="4"/>
      <c r="F52" s="4"/>
      <c r="G52" s="4"/>
      <c r="H52" s="4"/>
      <c r="I52" s="4"/>
      <c r="J52" s="4"/>
      <c r="K52" s="103" t="s">
        <v>90</v>
      </c>
      <c r="L52" s="115">
        <f>L51/L50</f>
        <v>0.17059754129068253</v>
      </c>
      <c r="M52" s="116" t="s">
        <v>39</v>
      </c>
      <c r="N52" s="23" t="str">
        <f>IF(L52&lt;=1,"OK","Check")</f>
        <v>OK</v>
      </c>
      <c r="AN52" s="29"/>
      <c r="AO52" s="29"/>
      <c r="AP52" s="7"/>
      <c r="AQ52" s="7"/>
      <c r="AR52" s="29"/>
      <c r="AS52" s="29"/>
      <c r="AT52" s="29"/>
      <c r="AU52" s="29"/>
      <c r="BC52" s="26"/>
      <c r="BF52" s="26"/>
      <c r="BG52" s="30"/>
      <c r="BH52" s="7"/>
      <c r="BI52" s="64"/>
      <c r="BJ52" s="7"/>
      <c r="BK52" s="7"/>
      <c r="BL52" s="139"/>
      <c r="BM52" s="7"/>
      <c r="BN52" s="7"/>
      <c r="BO52" s="140"/>
      <c r="BP52" s="69"/>
      <c r="BQ52" s="67"/>
      <c r="BR52" s="7"/>
      <c r="BS52" s="7"/>
      <c r="BT52" s="28"/>
      <c r="BU52" s="28"/>
      <c r="BV52" s="28"/>
      <c r="BW52" s="29"/>
      <c r="BX52" s="136"/>
      <c r="BY52" s="7"/>
      <c r="BZ52" s="68"/>
      <c r="CA52" s="65"/>
      <c r="CB52" s="7"/>
      <c r="CC52" s="83"/>
      <c r="CD52" s="83"/>
      <c r="CE52" s="28"/>
      <c r="CF52" s="7"/>
      <c r="CG52" s="29"/>
      <c r="CH52" s="7"/>
      <c r="DN52" s="29"/>
      <c r="DO52" s="29"/>
      <c r="DR52" s="29"/>
      <c r="DS52" s="29"/>
      <c r="DT52" s="29"/>
      <c r="DU52" s="29"/>
      <c r="EC52" s="26"/>
      <c r="EF52" s="26"/>
      <c r="EH52" s="27"/>
      <c r="EI52" s="27"/>
      <c r="EJ52" s="27"/>
      <c r="EK52" s="27"/>
      <c r="EL52" s="27"/>
      <c r="EM52" s="27"/>
      <c r="EN52" s="27"/>
      <c r="EO52" s="8"/>
      <c r="EP52" s="29"/>
      <c r="EQ52" s="136"/>
      <c r="ER52" s="7"/>
      <c r="ES52" s="7"/>
      <c r="ET52" s="8"/>
      <c r="EU52" s="8"/>
      <c r="EV52" s="8"/>
      <c r="EW52" s="29"/>
      <c r="EX52" s="136"/>
      <c r="EY52" s="7"/>
      <c r="EZ52" s="160"/>
      <c r="FA52" s="83"/>
      <c r="FB52" s="7"/>
      <c r="FC52" s="83"/>
      <c r="FD52" s="83"/>
      <c r="FE52" s="8"/>
      <c r="FF52" s="7"/>
      <c r="FG52" s="7"/>
      <c r="FH52" s="7"/>
    </row>
    <row r="53" spans="2:164">
      <c r="B53" s="10" t="s">
        <v>173</v>
      </c>
      <c r="C53" s="4"/>
      <c r="D53" s="4"/>
      <c r="E53" s="4"/>
      <c r="F53" s="4"/>
      <c r="G53" s="4"/>
      <c r="H53" s="4"/>
      <c r="I53" s="4"/>
      <c r="J53" s="4"/>
      <c r="K53" s="4"/>
      <c r="L53" s="4"/>
      <c r="M53" s="4"/>
      <c r="N53" s="12"/>
      <c r="AN53" s="29"/>
      <c r="AO53" s="29"/>
      <c r="AP53" s="7"/>
      <c r="AQ53" s="7"/>
      <c r="AR53" s="29"/>
      <c r="AS53" s="29"/>
      <c r="AT53" s="29"/>
      <c r="AU53" s="29"/>
      <c r="BC53" s="26"/>
      <c r="BF53" s="26"/>
      <c r="BG53" s="30"/>
      <c r="BH53" s="7"/>
      <c r="BI53" s="64"/>
      <c r="BJ53" s="7"/>
      <c r="BK53" s="7"/>
      <c r="BL53" s="139"/>
      <c r="BM53" s="7"/>
      <c r="BN53" s="7"/>
      <c r="BO53" s="140"/>
      <c r="BP53" s="69"/>
      <c r="BQ53" s="67"/>
      <c r="BR53" s="7"/>
      <c r="BS53" s="7"/>
      <c r="BT53" s="28"/>
      <c r="BU53" s="28"/>
      <c r="BV53" s="28"/>
      <c r="BW53" s="29"/>
      <c r="BX53" s="136"/>
      <c r="BY53" s="7"/>
      <c r="BZ53" s="68"/>
      <c r="CA53" s="65"/>
      <c r="CB53" s="7"/>
      <c r="CC53" s="83"/>
      <c r="CD53" s="83"/>
      <c r="CE53" s="28"/>
      <c r="CF53" s="7"/>
      <c r="CG53" s="29"/>
      <c r="CH53" s="7"/>
      <c r="DN53" s="29"/>
      <c r="DO53" s="29"/>
      <c r="DR53" s="29"/>
      <c r="DS53" s="29"/>
      <c r="DT53" s="29"/>
      <c r="DU53" s="29"/>
      <c r="EC53" s="26"/>
      <c r="EF53" s="26"/>
      <c r="EH53" s="27"/>
      <c r="EI53" s="27"/>
      <c r="EJ53" s="27"/>
      <c r="EK53" s="27"/>
      <c r="EL53" s="27"/>
      <c r="EM53" s="27"/>
      <c r="EN53" s="27"/>
      <c r="EO53" s="8"/>
      <c r="EP53" s="29"/>
      <c r="EQ53" s="136"/>
      <c r="ER53" s="7"/>
      <c r="ES53" s="7"/>
      <c r="ET53" s="8"/>
      <c r="EU53" s="8"/>
      <c r="EV53" s="8"/>
      <c r="EW53" s="29"/>
      <c r="EX53" s="136"/>
      <c r="EY53" s="7"/>
      <c r="EZ53" s="160"/>
      <c r="FA53" s="83"/>
      <c r="FB53" s="7"/>
      <c r="FC53" s="83"/>
      <c r="FD53" s="83"/>
      <c r="FE53" s="8"/>
      <c r="FF53" s="7"/>
      <c r="FG53" s="7"/>
      <c r="FH53" s="7"/>
    </row>
    <row r="54" spans="2:164" ht="15">
      <c r="B54" s="13"/>
      <c r="C54" s="100" t="s">
        <v>176</v>
      </c>
      <c r="D54" s="124">
        <f>MIN(MAX(C70,0.8),4)</f>
        <v>4</v>
      </c>
      <c r="E54" s="109" t="s">
        <v>174</v>
      </c>
      <c r="F54" s="59">
        <f>((F18-F17)/2)/F19</f>
        <v>9.6</v>
      </c>
      <c r="G54" s="38" t="str">
        <f>IF(F54&lt;L54,"&lt;","&gt;")</f>
        <v>&lt;</v>
      </c>
      <c r="H54" s="4"/>
      <c r="I54" s="4"/>
      <c r="J54" s="4"/>
      <c r="K54" s="109" t="s">
        <v>175</v>
      </c>
      <c r="L54" s="58">
        <f>(0.36+0.1*D54)*SQRT(B28/D28)</f>
        <v>19.029715892690614</v>
      </c>
      <c r="M54" s="116" t="s">
        <v>39</v>
      </c>
      <c r="N54" s="23" t="str">
        <f>IF(F54&lt;=L54,"OK","Check")</f>
        <v>OK</v>
      </c>
      <c r="AN54" s="29"/>
      <c r="AO54" s="29"/>
      <c r="AP54" s="7"/>
      <c r="AQ54" s="7"/>
      <c r="AR54" s="29"/>
      <c r="AS54" s="29"/>
      <c r="AT54" s="29"/>
      <c r="AU54" s="29"/>
      <c r="BC54" s="26"/>
      <c r="BF54" s="26"/>
      <c r="BG54" s="30"/>
      <c r="BH54" s="7"/>
      <c r="BI54" s="64"/>
      <c r="BJ54" s="7"/>
      <c r="BK54" s="7"/>
      <c r="BL54" s="139"/>
      <c r="BM54" s="7"/>
      <c r="BN54" s="7"/>
      <c r="BO54" s="140"/>
      <c r="BP54" s="69"/>
      <c r="BQ54" s="67"/>
      <c r="BR54" s="7"/>
      <c r="BS54" s="7"/>
      <c r="BT54" s="28"/>
      <c r="BU54" s="28"/>
      <c r="BV54" s="28"/>
      <c r="BW54" s="29"/>
      <c r="BX54" s="136"/>
      <c r="BY54" s="7"/>
      <c r="BZ54" s="68"/>
      <c r="CA54" s="65"/>
      <c r="CB54" s="7"/>
      <c r="CC54" s="83"/>
      <c r="CD54" s="83"/>
      <c r="CE54" s="28"/>
      <c r="CF54" s="7"/>
      <c r="CG54" s="29"/>
      <c r="CH54" s="7"/>
      <c r="DN54" s="29"/>
      <c r="DO54" s="29"/>
      <c r="DR54" s="29"/>
      <c r="DS54" s="29"/>
      <c r="DT54" s="29"/>
      <c r="DU54" s="29"/>
      <c r="EC54" s="26"/>
      <c r="EF54" s="26"/>
      <c r="EH54" s="27"/>
      <c r="EI54" s="27"/>
      <c r="EJ54" s="27"/>
      <c r="EK54" s="27"/>
      <c r="EL54" s="27"/>
      <c r="EM54" s="27"/>
      <c r="EN54" s="27"/>
      <c r="EO54" s="8"/>
      <c r="EP54" s="29"/>
      <c r="EQ54" s="136"/>
      <c r="ER54" s="7"/>
      <c r="ES54" s="7"/>
      <c r="ET54" s="8"/>
      <c r="EU54" s="8"/>
      <c r="EV54" s="8"/>
      <c r="EW54" s="29"/>
      <c r="EX54" s="136"/>
      <c r="EY54" s="7"/>
      <c r="EZ54" s="160"/>
      <c r="FA54" s="83"/>
      <c r="FB54" s="7"/>
      <c r="FC54" s="83"/>
      <c r="FD54" s="83"/>
      <c r="FE54" s="8"/>
      <c r="FF54" s="7"/>
      <c r="FG54" s="7"/>
      <c r="FH54" s="7"/>
    </row>
    <row r="55" spans="2:164">
      <c r="B55" s="10" t="s">
        <v>177</v>
      </c>
      <c r="C55" s="4"/>
      <c r="D55" s="4"/>
      <c r="E55" s="4"/>
      <c r="F55" s="4"/>
      <c r="G55" s="4"/>
      <c r="H55" s="4"/>
      <c r="I55" s="4"/>
      <c r="J55" s="4"/>
      <c r="K55" s="4"/>
      <c r="L55" s="4"/>
      <c r="M55" s="4"/>
      <c r="N55" s="12"/>
      <c r="AN55" s="29"/>
      <c r="AO55" s="29"/>
      <c r="AP55" s="7"/>
      <c r="AQ55" s="7"/>
      <c r="AR55" s="29"/>
      <c r="AS55" s="29"/>
      <c r="AT55" s="29"/>
      <c r="AU55" s="29"/>
      <c r="BC55" s="26"/>
      <c r="BF55" s="26"/>
      <c r="BG55" s="30"/>
      <c r="BH55" s="7"/>
      <c r="BI55" s="64"/>
      <c r="BJ55" s="7"/>
      <c r="BK55" s="7"/>
      <c r="BL55" s="139"/>
      <c r="BM55" s="7"/>
      <c r="BN55" s="7"/>
      <c r="BO55" s="140"/>
      <c r="BP55" s="69"/>
      <c r="BQ55" s="67"/>
      <c r="BR55" s="7"/>
      <c r="BS55" s="7"/>
      <c r="BT55" s="28"/>
      <c r="BU55" s="28"/>
      <c r="BV55" s="28"/>
      <c r="BW55" s="29"/>
      <c r="BX55" s="136"/>
      <c r="BY55" s="7"/>
      <c r="BZ55" s="68"/>
      <c r="CA55" s="65"/>
      <c r="CB55" s="7"/>
      <c r="CC55" s="83"/>
      <c r="CD55" s="83"/>
      <c r="CE55" s="28"/>
      <c r="CF55" s="7"/>
      <c r="CG55" s="29"/>
      <c r="CH55" s="7"/>
      <c r="DN55" s="29"/>
      <c r="DO55" s="29"/>
      <c r="DR55" s="29"/>
      <c r="DS55" s="29"/>
      <c r="DT55" s="29"/>
      <c r="DU55" s="29"/>
      <c r="EC55" s="26"/>
      <c r="EF55" s="26"/>
      <c r="EH55" s="27"/>
      <c r="EI55" s="27"/>
      <c r="EJ55" s="27"/>
      <c r="EK55" s="27"/>
      <c r="EL55" s="27"/>
      <c r="EM55" s="27"/>
      <c r="EN55" s="27"/>
      <c r="EO55" s="8"/>
      <c r="EP55" s="29"/>
      <c r="EQ55" s="136"/>
      <c r="ER55" s="7"/>
      <c r="ES55" s="7"/>
      <c r="ET55" s="8"/>
      <c r="EU55" s="8"/>
      <c r="EV55" s="8"/>
      <c r="EW55" s="29"/>
      <c r="EX55" s="136"/>
      <c r="EY55" s="7"/>
      <c r="EZ55" s="160"/>
      <c r="FA55" s="83"/>
      <c r="FB55" s="7"/>
      <c r="FC55" s="83"/>
      <c r="FD55" s="83"/>
      <c r="FE55" s="8"/>
      <c r="FF55" s="7"/>
      <c r="FG55" s="7"/>
      <c r="FH55" s="7"/>
    </row>
    <row r="56" spans="2:164" ht="14.25">
      <c r="B56" s="60"/>
      <c r="C56" s="4"/>
      <c r="D56" s="125"/>
      <c r="E56" s="109" t="s">
        <v>183</v>
      </c>
      <c r="F56" s="59">
        <f>F20/F17</f>
        <v>46</v>
      </c>
      <c r="G56" s="38" t="str">
        <f>IF(F56&lt;I56,"&lt;","&gt;")</f>
        <v>&lt;</v>
      </c>
      <c r="H56" s="38" t="s">
        <v>189</v>
      </c>
      <c r="I56" s="59">
        <f>J77</f>
        <v>77.621209562290659</v>
      </c>
      <c r="J56" s="126"/>
      <c r="K56" s="123"/>
      <c r="L56" s="37"/>
      <c r="M56" s="116" t="s">
        <v>39</v>
      </c>
      <c r="N56" s="23" t="str">
        <f>IF(F56&lt;=I56,"OK","Check")</f>
        <v>OK</v>
      </c>
      <c r="AN56" s="29"/>
      <c r="AO56" s="29"/>
      <c r="AP56" s="7"/>
      <c r="AQ56" s="7"/>
      <c r="AR56" s="29"/>
      <c r="AS56" s="29"/>
      <c r="AT56" s="29"/>
      <c r="AU56" s="29"/>
      <c r="BC56" s="26"/>
      <c r="BF56" s="26"/>
      <c r="BG56" s="30"/>
      <c r="BH56" s="7"/>
      <c r="BI56" s="64"/>
      <c r="BJ56" s="7"/>
      <c r="BK56" s="7"/>
      <c r="BL56" s="139"/>
      <c r="BM56" s="7"/>
      <c r="BN56" s="7"/>
      <c r="BO56" s="140"/>
      <c r="BP56" s="69"/>
      <c r="BQ56" s="67"/>
      <c r="BR56" s="7"/>
      <c r="BS56" s="7"/>
      <c r="BT56" s="28"/>
      <c r="BU56" s="28"/>
      <c r="BV56" s="28"/>
      <c r="BW56" s="29"/>
      <c r="BX56" s="136"/>
      <c r="BY56" s="7"/>
      <c r="BZ56" s="68"/>
      <c r="CA56" s="65"/>
      <c r="CB56" s="7"/>
      <c r="CC56" s="83"/>
      <c r="CD56" s="83"/>
      <c r="CE56" s="28"/>
      <c r="CF56" s="7"/>
      <c r="CG56" s="29"/>
      <c r="CH56" s="7"/>
      <c r="DA56" s="161"/>
      <c r="DB56" s="162"/>
      <c r="DC56" s="163"/>
      <c r="DD56" s="163"/>
      <c r="DE56" s="162"/>
      <c r="DF56" s="162"/>
      <c r="DG56" s="162"/>
      <c r="DH56" s="164"/>
      <c r="DI56" s="164"/>
      <c r="DJ56" s="164"/>
      <c r="DK56" s="165"/>
      <c r="DL56" s="165"/>
      <c r="DM56" s="166"/>
      <c r="DN56" s="167"/>
      <c r="DO56" s="167"/>
      <c r="DP56" s="161"/>
      <c r="DQ56" s="161"/>
      <c r="DR56" s="167"/>
      <c r="DS56" s="167"/>
      <c r="DT56" s="167"/>
      <c r="DU56" s="167"/>
      <c r="DV56" s="162"/>
      <c r="DW56" s="168"/>
      <c r="DX56" s="168"/>
      <c r="DY56" s="168"/>
      <c r="DZ56" s="168"/>
      <c r="EA56" s="168"/>
      <c r="EB56" s="168"/>
      <c r="EC56" s="169"/>
      <c r="ED56" s="169"/>
      <c r="EE56" s="169"/>
      <c r="EF56" s="169"/>
      <c r="EG56" s="170"/>
      <c r="EH56" s="165"/>
      <c r="EI56" s="165"/>
      <c r="EJ56" s="165"/>
      <c r="EK56" s="165"/>
      <c r="EL56" s="165"/>
      <c r="EM56" s="165"/>
      <c r="EN56" s="165"/>
      <c r="EO56" s="164"/>
      <c r="EP56" s="167"/>
      <c r="EQ56" s="171"/>
      <c r="ER56" s="166"/>
      <c r="ES56" s="166"/>
      <c r="ET56" s="164"/>
      <c r="EU56" s="164"/>
      <c r="EV56" s="164"/>
      <c r="EW56" s="167"/>
      <c r="EX56" s="171"/>
      <c r="EY56" s="166"/>
      <c r="EZ56" s="172"/>
      <c r="FA56" s="173"/>
      <c r="FB56" s="166"/>
      <c r="FC56" s="173"/>
      <c r="FD56" s="173"/>
      <c r="FE56" s="164"/>
      <c r="FF56" s="166"/>
      <c r="FG56" s="166"/>
      <c r="FH56" s="166"/>
    </row>
    <row r="57" spans="2:164">
      <c r="B57" s="60" t="s">
        <v>191</v>
      </c>
      <c r="C57" s="4"/>
      <c r="D57" s="125"/>
      <c r="E57" s="109"/>
      <c r="F57" s="59"/>
      <c r="G57" s="38"/>
      <c r="H57" s="38"/>
      <c r="I57" s="59"/>
      <c r="J57" s="126"/>
      <c r="K57" s="123"/>
      <c r="L57" s="37"/>
      <c r="M57" s="116"/>
      <c r="N57" s="23"/>
      <c r="AN57" s="29"/>
      <c r="AO57" s="29"/>
      <c r="AP57" s="7"/>
      <c r="AQ57" s="7"/>
      <c r="AR57" s="29"/>
      <c r="AS57" s="29"/>
      <c r="AT57" s="29"/>
      <c r="AU57" s="29"/>
      <c r="BC57" s="26"/>
      <c r="BF57" s="26"/>
      <c r="BG57" s="30"/>
      <c r="BH57" s="7"/>
      <c r="BI57" s="64"/>
      <c r="BJ57" s="7"/>
      <c r="BK57" s="7"/>
      <c r="BL57" s="139"/>
      <c r="BM57" s="7"/>
      <c r="BN57" s="7"/>
      <c r="BO57" s="140"/>
      <c r="BP57" s="69"/>
      <c r="BQ57" s="67"/>
      <c r="BR57" s="7"/>
      <c r="BS57" s="7"/>
      <c r="BT57" s="28"/>
      <c r="BU57" s="28"/>
      <c r="BV57" s="28"/>
      <c r="BW57" s="29"/>
      <c r="BX57" s="136"/>
      <c r="BY57" s="7"/>
      <c r="BZ57" s="68"/>
      <c r="CA57" s="65"/>
      <c r="CB57" s="7"/>
      <c r="CC57" s="83"/>
      <c r="CD57" s="83"/>
      <c r="CE57" s="28"/>
      <c r="CF57" s="7"/>
      <c r="CG57" s="29"/>
      <c r="CH57" s="7"/>
      <c r="DA57" s="161"/>
      <c r="DB57" s="162"/>
      <c r="DC57" s="163"/>
      <c r="DD57" s="163"/>
      <c r="DE57" s="162"/>
      <c r="DF57" s="162"/>
      <c r="DG57" s="162"/>
      <c r="DH57" s="164"/>
      <c r="DI57" s="164"/>
      <c r="DJ57" s="164"/>
      <c r="DK57" s="165"/>
      <c r="DL57" s="165"/>
      <c r="DM57" s="166"/>
      <c r="DN57" s="167"/>
      <c r="DO57" s="167"/>
      <c r="DP57" s="161"/>
      <c r="DQ57" s="161"/>
      <c r="DR57" s="167"/>
      <c r="DS57" s="167"/>
      <c r="DT57" s="167"/>
      <c r="DU57" s="167"/>
      <c r="DV57" s="162"/>
      <c r="DW57" s="168"/>
      <c r="DX57" s="168"/>
      <c r="DY57" s="168"/>
      <c r="DZ57" s="168"/>
      <c r="EA57" s="168"/>
      <c r="EB57" s="168"/>
      <c r="EC57" s="169"/>
      <c r="ED57" s="169"/>
      <c r="EE57" s="169"/>
      <c r="EF57" s="169"/>
      <c r="EG57" s="170"/>
      <c r="EH57" s="165"/>
      <c r="EI57" s="165"/>
      <c r="EJ57" s="165"/>
      <c r="EK57" s="165"/>
      <c r="EL57" s="165"/>
      <c r="EM57" s="165"/>
      <c r="EN57" s="165"/>
      <c r="EO57" s="164"/>
      <c r="EP57" s="167"/>
      <c r="EQ57" s="171"/>
      <c r="ER57" s="166"/>
      <c r="ES57" s="166"/>
      <c r="ET57" s="164"/>
      <c r="EU57" s="164"/>
      <c r="EV57" s="164"/>
      <c r="EW57" s="167"/>
      <c r="EX57" s="171"/>
      <c r="EY57" s="166"/>
      <c r="EZ57" s="172"/>
      <c r="FA57" s="173"/>
      <c r="FB57" s="166"/>
      <c r="FC57" s="173"/>
      <c r="FD57" s="173"/>
      <c r="FE57" s="164"/>
      <c r="FF57" s="166"/>
      <c r="FG57" s="166"/>
      <c r="FH57" s="166"/>
    </row>
    <row r="58" spans="2:164" ht="15">
      <c r="B58" s="62"/>
      <c r="C58" s="4"/>
      <c r="D58" s="4"/>
      <c r="E58" s="109" t="s">
        <v>183</v>
      </c>
      <c r="F58" s="59">
        <f>F56</f>
        <v>46</v>
      </c>
      <c r="G58" s="38" t="str">
        <f>IF(F58&lt;I58,"&lt;","&gt;")</f>
        <v>&lt;</v>
      </c>
      <c r="H58" s="38" t="s">
        <v>190</v>
      </c>
      <c r="I58" s="59">
        <f>2.3*(B28/D28)^0.5</f>
        <v>57.589929675247909</v>
      </c>
      <c r="J58" s="4"/>
      <c r="K58" s="4"/>
      <c r="L58" s="109"/>
      <c r="M58" s="4"/>
      <c r="N58" s="12"/>
      <c r="AN58" s="29"/>
      <c r="AO58" s="29"/>
      <c r="AP58" s="7"/>
      <c r="AQ58" s="7"/>
      <c r="AR58" s="29"/>
      <c r="AS58" s="29"/>
      <c r="AT58" s="29"/>
      <c r="AU58" s="29"/>
      <c r="BC58" s="26"/>
      <c r="BF58" s="26"/>
      <c r="BG58" s="30"/>
      <c r="BH58" s="7"/>
      <c r="BI58" s="64"/>
      <c r="BJ58" s="7"/>
      <c r="BK58" s="7"/>
      <c r="BL58" s="139"/>
      <c r="BM58" s="7"/>
      <c r="BN58" s="7"/>
      <c r="BO58" s="140"/>
      <c r="BP58" s="69"/>
      <c r="BQ58" s="67"/>
      <c r="BR58" s="7"/>
      <c r="BS58" s="7"/>
      <c r="BT58" s="28"/>
      <c r="BU58" s="28"/>
      <c r="BV58" s="28"/>
      <c r="BW58" s="29"/>
      <c r="BX58" s="136"/>
      <c r="BY58" s="7"/>
      <c r="BZ58" s="68"/>
      <c r="CA58" s="65"/>
      <c r="CB58" s="7"/>
      <c r="CC58" s="83"/>
      <c r="CD58" s="83"/>
      <c r="CE58" s="28"/>
      <c r="CF58" s="7"/>
      <c r="CG58" s="29"/>
      <c r="CH58" s="7"/>
      <c r="DA58" s="161"/>
      <c r="DB58" s="162"/>
      <c r="DC58" s="163"/>
      <c r="DD58" s="163"/>
      <c r="DE58" s="162"/>
      <c r="DF58" s="162"/>
      <c r="DG58" s="162"/>
      <c r="DH58" s="164"/>
      <c r="DI58" s="164"/>
      <c r="DJ58" s="164"/>
      <c r="DK58" s="165"/>
      <c r="DL58" s="165"/>
      <c r="DM58" s="166"/>
      <c r="DN58" s="167"/>
      <c r="DO58" s="167"/>
      <c r="DP58" s="161"/>
      <c r="DQ58" s="161"/>
      <c r="DR58" s="167"/>
      <c r="DS58" s="167"/>
      <c r="DT58" s="167"/>
      <c r="DU58" s="167"/>
      <c r="DV58" s="162"/>
      <c r="DW58" s="168"/>
      <c r="DX58" s="168"/>
      <c r="DY58" s="168"/>
      <c r="DZ58" s="168"/>
      <c r="EA58" s="168"/>
      <c r="EB58" s="168"/>
      <c r="EC58" s="169"/>
      <c r="ED58" s="169"/>
      <c r="EE58" s="169"/>
      <c r="EF58" s="169"/>
      <c r="EG58" s="170"/>
      <c r="EH58" s="165"/>
      <c r="EI58" s="165"/>
      <c r="EJ58" s="165"/>
      <c r="EK58" s="165"/>
      <c r="EL58" s="165"/>
      <c r="EM58" s="165"/>
      <c r="EN58" s="165"/>
      <c r="EO58" s="164"/>
      <c r="EP58" s="167"/>
      <c r="EQ58" s="171"/>
      <c r="ER58" s="166"/>
      <c r="ES58" s="166"/>
      <c r="ET58" s="164"/>
      <c r="EU58" s="164"/>
      <c r="EV58" s="164"/>
      <c r="EW58" s="167"/>
      <c r="EX58" s="171"/>
      <c r="EY58" s="166"/>
      <c r="EZ58" s="172"/>
      <c r="FA58" s="173"/>
      <c r="FB58" s="166"/>
      <c r="FC58" s="173"/>
      <c r="FD58" s="173"/>
      <c r="FE58" s="164"/>
      <c r="FF58" s="166"/>
      <c r="FG58" s="166"/>
      <c r="FH58" s="166"/>
    </row>
    <row r="59" spans="2:164" ht="15">
      <c r="B59" s="62"/>
      <c r="C59" s="4"/>
      <c r="D59" s="4"/>
      <c r="E59" s="116" t="s">
        <v>39</v>
      </c>
      <c r="F59" s="185" t="str">
        <f>IF(F58&lt;I58,"OK","Gia cường")</f>
        <v>OK</v>
      </c>
      <c r="G59" s="59"/>
      <c r="H59" s="59"/>
      <c r="I59" s="59"/>
      <c r="J59" s="100"/>
      <c r="K59" s="4"/>
      <c r="L59" s="109"/>
      <c r="M59" s="4"/>
      <c r="N59" s="12"/>
      <c r="AN59" s="29"/>
      <c r="AO59" s="29"/>
      <c r="AP59" s="7"/>
      <c r="AQ59" s="7"/>
      <c r="AR59" s="29"/>
      <c r="AS59" s="29"/>
      <c r="AT59" s="29"/>
      <c r="AU59" s="29"/>
      <c r="BC59" s="26"/>
      <c r="BF59" s="26"/>
      <c r="BG59" s="30"/>
      <c r="BH59" s="7"/>
      <c r="BI59" s="64"/>
      <c r="BJ59" s="7"/>
      <c r="BK59" s="7"/>
      <c r="BL59" s="139"/>
      <c r="BM59" s="7"/>
      <c r="BN59" s="7"/>
      <c r="BO59" s="140"/>
      <c r="BP59" s="69"/>
      <c r="BQ59" s="67"/>
      <c r="BR59" s="7"/>
      <c r="BS59" s="7"/>
      <c r="BT59" s="28"/>
      <c r="BU59" s="28"/>
      <c r="BV59" s="28"/>
      <c r="BW59" s="29"/>
      <c r="BX59" s="136"/>
      <c r="BY59" s="7"/>
      <c r="BZ59" s="68"/>
      <c r="CA59" s="65"/>
      <c r="CB59" s="7"/>
      <c r="CC59" s="83"/>
      <c r="CD59" s="83"/>
      <c r="CE59" s="28"/>
      <c r="CF59" s="7"/>
      <c r="CG59" s="29"/>
      <c r="CH59" s="7"/>
      <c r="DA59" s="161"/>
      <c r="DB59" s="162"/>
      <c r="DC59" s="163"/>
      <c r="DD59" s="163"/>
      <c r="DE59" s="162"/>
      <c r="DF59" s="162"/>
      <c r="DG59" s="162"/>
      <c r="DH59" s="164"/>
      <c r="DI59" s="164"/>
      <c r="DJ59" s="164"/>
      <c r="DK59" s="165"/>
      <c r="DL59" s="165"/>
      <c r="DM59" s="166"/>
      <c r="DN59" s="167"/>
      <c r="DO59" s="167"/>
      <c r="DP59" s="161"/>
      <c r="DQ59" s="161"/>
      <c r="DR59" s="167"/>
      <c r="DS59" s="167"/>
      <c r="DT59" s="167"/>
      <c r="DU59" s="167"/>
      <c r="DV59" s="162"/>
      <c r="DW59" s="168"/>
      <c r="DX59" s="168"/>
      <c r="DY59" s="168"/>
      <c r="DZ59" s="168"/>
      <c r="EA59" s="168"/>
      <c r="EB59" s="168"/>
      <c r="EC59" s="169"/>
      <c r="ED59" s="169"/>
      <c r="EE59" s="169"/>
      <c r="EF59" s="169"/>
      <c r="EG59" s="170"/>
      <c r="EH59" s="165"/>
      <c r="EI59" s="165"/>
      <c r="EJ59" s="165"/>
      <c r="EK59" s="165"/>
      <c r="EL59" s="165"/>
      <c r="EM59" s="165"/>
      <c r="EN59" s="165"/>
      <c r="EO59" s="164"/>
      <c r="EP59" s="167"/>
      <c r="EQ59" s="171"/>
      <c r="ER59" s="166"/>
      <c r="ES59" s="166"/>
      <c r="ET59" s="164"/>
      <c r="EU59" s="164"/>
      <c r="EV59" s="164"/>
      <c r="EW59" s="167"/>
      <c r="EX59" s="171"/>
      <c r="EY59" s="166"/>
      <c r="EZ59" s="172"/>
      <c r="FA59" s="173"/>
      <c r="FB59" s="166"/>
      <c r="FC59" s="173"/>
      <c r="FD59" s="173"/>
      <c r="FE59" s="164"/>
      <c r="FF59" s="166"/>
      <c r="FG59" s="166"/>
      <c r="FH59" s="166"/>
    </row>
    <row r="60" spans="2:164">
      <c r="B60" s="101" t="s">
        <v>229</v>
      </c>
      <c r="C60" s="4"/>
      <c r="D60" s="4"/>
      <c r="E60" s="116"/>
      <c r="F60" s="100"/>
      <c r="G60" s="100"/>
      <c r="H60" s="100"/>
      <c r="I60" s="59"/>
      <c r="J60" s="100"/>
      <c r="K60" s="4"/>
      <c r="L60" s="109"/>
      <c r="M60" s="4"/>
      <c r="N60" s="12"/>
      <c r="AN60" s="29"/>
      <c r="AO60" s="29"/>
      <c r="AP60" s="7"/>
      <c r="AQ60" s="7"/>
      <c r="AR60" s="29"/>
      <c r="AS60" s="29"/>
      <c r="AT60" s="29"/>
      <c r="AU60" s="29"/>
      <c r="BC60" s="26"/>
      <c r="BF60" s="26"/>
      <c r="BG60" s="30"/>
      <c r="BH60" s="7"/>
      <c r="BI60" s="64"/>
      <c r="BJ60" s="7"/>
      <c r="BK60" s="7"/>
      <c r="BL60" s="139"/>
      <c r="BM60" s="7"/>
      <c r="BN60" s="7"/>
      <c r="BO60" s="140"/>
      <c r="BP60" s="69"/>
      <c r="BQ60" s="67"/>
      <c r="BR60" s="7"/>
      <c r="BS60" s="7"/>
      <c r="BT60" s="28"/>
      <c r="BU60" s="28"/>
      <c r="BV60" s="28"/>
      <c r="BW60" s="29"/>
      <c r="BX60" s="136"/>
      <c r="BY60" s="7"/>
      <c r="BZ60" s="68"/>
      <c r="CA60" s="65"/>
      <c r="CB60" s="7"/>
      <c r="CC60" s="83"/>
      <c r="CD60" s="83"/>
      <c r="CE60" s="28"/>
      <c r="CF60" s="7"/>
      <c r="CG60" s="29"/>
      <c r="CH60" s="7"/>
      <c r="DA60" s="161"/>
      <c r="DB60" s="162"/>
      <c r="DC60" s="163"/>
      <c r="DD60" s="163"/>
      <c r="DE60" s="162"/>
      <c r="DF60" s="162"/>
      <c r="DG60" s="162"/>
      <c r="DH60" s="164"/>
      <c r="DI60" s="164"/>
      <c r="DJ60" s="164"/>
      <c r="DK60" s="165"/>
      <c r="DL60" s="165"/>
      <c r="DM60" s="166"/>
      <c r="DN60" s="167"/>
      <c r="DO60" s="167"/>
      <c r="DP60" s="161"/>
      <c r="DQ60" s="161"/>
      <c r="DR60" s="167"/>
      <c r="DS60" s="167"/>
      <c r="DT60" s="167"/>
      <c r="DU60" s="167"/>
      <c r="DV60" s="162"/>
      <c r="DW60" s="168"/>
      <c r="DX60" s="168"/>
      <c r="DY60" s="168"/>
      <c r="DZ60" s="168"/>
      <c r="EA60" s="168"/>
      <c r="EB60" s="168"/>
      <c r="EC60" s="169"/>
      <c r="ED60" s="169"/>
      <c r="EE60" s="169"/>
      <c r="EF60" s="169"/>
      <c r="EG60" s="170"/>
      <c r="EH60" s="165"/>
      <c r="EI60" s="165"/>
      <c r="EJ60" s="165"/>
      <c r="EK60" s="165"/>
      <c r="EL60" s="165"/>
      <c r="EM60" s="165"/>
      <c r="EN60" s="165"/>
      <c r="EO60" s="164"/>
      <c r="EP60" s="167"/>
      <c r="EQ60" s="171"/>
      <c r="ER60" s="166"/>
      <c r="ES60" s="166"/>
      <c r="ET60" s="164"/>
      <c r="EU60" s="164"/>
      <c r="EV60" s="164"/>
      <c r="EW60" s="167"/>
      <c r="EX60" s="171"/>
      <c r="EY60" s="166"/>
      <c r="EZ60" s="172"/>
      <c r="FA60" s="173"/>
      <c r="FB60" s="166"/>
      <c r="FC60" s="173"/>
      <c r="FD60" s="173"/>
      <c r="FE60" s="164"/>
      <c r="FF60" s="166"/>
      <c r="FG60" s="166"/>
      <c r="FH60" s="166"/>
    </row>
    <row r="61" spans="2:164" ht="14.25">
      <c r="B61" s="11" t="s">
        <v>230</v>
      </c>
      <c r="C61" s="117"/>
      <c r="D61" s="100" t="s">
        <v>231</v>
      </c>
      <c r="E61" s="118">
        <f>MAX(L44,0.5)</f>
        <v>0.5</v>
      </c>
      <c r="F61" s="117"/>
      <c r="G61" s="100" t="s">
        <v>234</v>
      </c>
      <c r="H61" s="121">
        <f>ABS(H32)/(H28*E61*D28)*10</f>
        <v>7.9763905867817217E-2</v>
      </c>
      <c r="I61" s="117"/>
      <c r="J61" s="117"/>
      <c r="K61" s="100"/>
      <c r="L61" s="118"/>
      <c r="M61" s="4"/>
      <c r="N61" s="12"/>
      <c r="AN61" s="29"/>
      <c r="AO61" s="29"/>
      <c r="AP61" s="7"/>
      <c r="AQ61" s="7"/>
      <c r="AR61" s="29"/>
      <c r="AS61" s="29"/>
      <c r="AT61" s="29"/>
      <c r="AU61" s="29"/>
      <c r="BC61" s="26"/>
      <c r="BF61" s="26"/>
      <c r="BG61" s="30"/>
      <c r="BH61" s="7"/>
      <c r="BI61" s="64"/>
      <c r="BJ61" s="7"/>
      <c r="BK61" s="7"/>
      <c r="BL61" s="139"/>
      <c r="BM61" s="7"/>
      <c r="BN61" s="7"/>
      <c r="BO61" s="140"/>
      <c r="BP61" s="69"/>
      <c r="BQ61" s="67"/>
      <c r="BR61" s="7"/>
      <c r="BS61" s="7"/>
      <c r="BT61" s="28"/>
      <c r="BU61" s="28"/>
      <c r="BV61" s="28"/>
      <c r="BW61" s="29"/>
      <c r="BX61" s="136"/>
      <c r="BY61" s="7"/>
      <c r="BZ61" s="68"/>
      <c r="CA61" s="65"/>
      <c r="CB61" s="7"/>
      <c r="CC61" s="83"/>
      <c r="CD61" s="83"/>
      <c r="CE61" s="28"/>
      <c r="CF61" s="7"/>
      <c r="CG61" s="29"/>
      <c r="CH61" s="7"/>
      <c r="DA61" s="161"/>
      <c r="DB61" s="162"/>
      <c r="DC61" s="163"/>
      <c r="DD61" s="163"/>
      <c r="DE61" s="162"/>
      <c r="DF61" s="162"/>
      <c r="DG61" s="162"/>
      <c r="DH61" s="164"/>
      <c r="DI61" s="164"/>
      <c r="DJ61" s="164"/>
      <c r="DK61" s="165"/>
      <c r="DL61" s="165"/>
      <c r="DM61" s="166"/>
      <c r="DN61" s="167"/>
      <c r="DO61" s="167"/>
      <c r="DP61" s="161"/>
      <c r="DQ61" s="161"/>
      <c r="DR61" s="167"/>
      <c r="DS61" s="167"/>
      <c r="DT61" s="167"/>
      <c r="DU61" s="167"/>
      <c r="DV61" s="162"/>
      <c r="DW61" s="168"/>
      <c r="DX61" s="168"/>
      <c r="DY61" s="168"/>
      <c r="DZ61" s="168"/>
      <c r="EA61" s="168"/>
      <c r="EB61" s="168"/>
      <c r="EC61" s="169"/>
      <c r="ED61" s="169"/>
      <c r="EE61" s="169"/>
      <c r="EF61" s="169"/>
      <c r="EG61" s="170"/>
      <c r="EH61" s="165"/>
      <c r="EI61" s="165"/>
      <c r="EJ61" s="165"/>
      <c r="EK61" s="165"/>
      <c r="EL61" s="165"/>
      <c r="EM61" s="165"/>
      <c r="EN61" s="165"/>
      <c r="EO61" s="164"/>
      <c r="EP61" s="167"/>
      <c r="EQ61" s="171"/>
      <c r="ER61" s="166"/>
      <c r="ES61" s="166"/>
      <c r="ET61" s="164"/>
      <c r="EU61" s="164"/>
      <c r="EV61" s="164"/>
      <c r="EW61" s="167"/>
      <c r="EX61" s="171"/>
      <c r="EY61" s="166"/>
      <c r="EZ61" s="172"/>
      <c r="FA61" s="173"/>
      <c r="FB61" s="166"/>
      <c r="FC61" s="173"/>
      <c r="FD61" s="173"/>
      <c r="FE61" s="164"/>
      <c r="FF61" s="166"/>
      <c r="FG61" s="166"/>
      <c r="FH61" s="166"/>
    </row>
    <row r="62" spans="2:164" ht="14.25">
      <c r="B62" s="11" t="s">
        <v>232</v>
      </c>
      <c r="C62" s="102"/>
      <c r="D62" s="102"/>
      <c r="E62" s="102"/>
      <c r="F62" s="102"/>
      <c r="G62" s="102"/>
      <c r="H62" s="102"/>
      <c r="I62" s="102"/>
      <c r="J62" s="102"/>
      <c r="K62" s="114" t="s">
        <v>235</v>
      </c>
      <c r="L62" s="119">
        <f>B70</f>
        <v>142.31866066418559</v>
      </c>
      <c r="M62" s="102"/>
      <c r="N62" s="12"/>
      <c r="AN62" s="29"/>
      <c r="AO62" s="29"/>
      <c r="AP62" s="7"/>
      <c r="AQ62" s="7"/>
      <c r="AR62" s="29"/>
      <c r="AS62" s="29"/>
      <c r="AT62" s="29"/>
      <c r="AU62" s="29"/>
      <c r="BC62" s="26"/>
      <c r="BF62" s="26"/>
      <c r="BG62" s="30"/>
      <c r="BH62" s="7"/>
      <c r="BI62" s="64"/>
      <c r="BJ62" s="7"/>
      <c r="BK62" s="7"/>
      <c r="BL62" s="139"/>
      <c r="BM62" s="7"/>
      <c r="BN62" s="7"/>
      <c r="BO62" s="140"/>
      <c r="BP62" s="69"/>
      <c r="BQ62" s="67"/>
      <c r="BR62" s="7"/>
      <c r="BS62" s="7"/>
      <c r="BT62" s="28"/>
      <c r="BU62" s="28"/>
      <c r="BV62" s="28"/>
      <c r="BW62" s="29"/>
      <c r="BX62" s="136"/>
      <c r="BY62" s="7"/>
      <c r="BZ62" s="68"/>
      <c r="CA62" s="65"/>
      <c r="CB62" s="7"/>
      <c r="CC62" s="83"/>
      <c r="CD62" s="83"/>
      <c r="CE62" s="28"/>
      <c r="CF62" s="7"/>
      <c r="CG62" s="29"/>
      <c r="CH62" s="7"/>
      <c r="DA62" s="161"/>
      <c r="DB62" s="162"/>
      <c r="DC62" s="163"/>
      <c r="DD62" s="163"/>
      <c r="DE62" s="162"/>
      <c r="DF62" s="162"/>
      <c r="DG62" s="162"/>
      <c r="DH62" s="164"/>
      <c r="DI62" s="164"/>
      <c r="DJ62" s="164"/>
      <c r="DK62" s="165"/>
      <c r="DL62" s="165"/>
      <c r="DM62" s="166"/>
      <c r="DN62" s="167"/>
      <c r="DO62" s="167"/>
      <c r="DP62" s="161"/>
      <c r="DQ62" s="161"/>
      <c r="DR62" s="167"/>
      <c r="DS62" s="167"/>
      <c r="DT62" s="167"/>
      <c r="DU62" s="167"/>
      <c r="DV62" s="162"/>
      <c r="DW62" s="168"/>
      <c r="DX62" s="168"/>
      <c r="DY62" s="168"/>
      <c r="DZ62" s="168"/>
      <c r="EA62" s="168"/>
      <c r="EB62" s="168"/>
      <c r="EC62" s="169"/>
      <c r="ED62" s="169"/>
      <c r="EE62" s="169"/>
      <c r="EF62" s="169"/>
      <c r="EG62" s="170"/>
      <c r="EH62" s="165"/>
      <c r="EI62" s="165"/>
      <c r="EJ62" s="165"/>
      <c r="EK62" s="165"/>
      <c r="EL62" s="165"/>
      <c r="EM62" s="165"/>
      <c r="EN62" s="165"/>
      <c r="EO62" s="164"/>
      <c r="EP62" s="167"/>
      <c r="EQ62" s="171"/>
      <c r="ER62" s="166"/>
      <c r="ES62" s="166"/>
      <c r="ET62" s="164"/>
      <c r="EU62" s="164"/>
      <c r="EV62" s="164"/>
      <c r="EW62" s="167"/>
      <c r="EX62" s="171"/>
      <c r="EY62" s="166"/>
      <c r="EZ62" s="172"/>
      <c r="FA62" s="173"/>
      <c r="FB62" s="166"/>
      <c r="FC62" s="173"/>
      <c r="FD62" s="173"/>
      <c r="FE62" s="164"/>
      <c r="FF62" s="166"/>
      <c r="FG62" s="166"/>
      <c r="FH62" s="166"/>
    </row>
    <row r="63" spans="2:164">
      <c r="B63" s="11" t="s">
        <v>233</v>
      </c>
      <c r="C63" s="4"/>
      <c r="D63" s="4"/>
      <c r="E63" s="116"/>
      <c r="F63" s="100"/>
      <c r="G63" s="100"/>
      <c r="H63" s="100"/>
      <c r="I63" s="59"/>
      <c r="J63" s="100"/>
      <c r="K63" s="109" t="s">
        <v>237</v>
      </c>
      <c r="L63" s="119">
        <f>180-60*H61</f>
        <v>175.21416564793097</v>
      </c>
      <c r="M63" s="4"/>
      <c r="N63" s="12"/>
      <c r="AN63" s="29"/>
      <c r="AO63" s="29"/>
      <c r="AP63" s="7"/>
      <c r="AQ63" s="7"/>
      <c r="AR63" s="29"/>
      <c r="AS63" s="29"/>
      <c r="AT63" s="29"/>
      <c r="AU63" s="29"/>
      <c r="BC63" s="26"/>
      <c r="BF63" s="26"/>
      <c r="BG63" s="30"/>
      <c r="BH63" s="7"/>
      <c r="BI63" s="64"/>
      <c r="BJ63" s="7"/>
      <c r="BK63" s="7"/>
      <c r="BL63" s="139"/>
      <c r="BM63" s="7"/>
      <c r="BN63" s="7"/>
      <c r="BO63" s="140"/>
      <c r="BP63" s="69"/>
      <c r="BQ63" s="67"/>
      <c r="BR63" s="7"/>
      <c r="BS63" s="7"/>
      <c r="BT63" s="28"/>
      <c r="BU63" s="28"/>
      <c r="BV63" s="28"/>
      <c r="BW63" s="29"/>
      <c r="BX63" s="136"/>
      <c r="BY63" s="7"/>
      <c r="BZ63" s="68"/>
      <c r="CA63" s="65"/>
      <c r="CB63" s="7"/>
      <c r="CC63" s="83"/>
      <c r="CD63" s="83"/>
      <c r="CE63" s="28"/>
      <c r="CF63" s="7"/>
      <c r="CG63" s="29"/>
      <c r="CH63" s="7"/>
      <c r="DA63" s="161"/>
      <c r="DB63" s="162"/>
      <c r="DC63" s="163"/>
      <c r="DD63" s="163"/>
      <c r="DE63" s="162"/>
      <c r="DF63" s="162"/>
      <c r="DG63" s="162"/>
      <c r="DH63" s="164"/>
      <c r="DI63" s="164"/>
      <c r="DJ63" s="164"/>
      <c r="DK63" s="165"/>
      <c r="DL63" s="165"/>
      <c r="DM63" s="166"/>
      <c r="DN63" s="167"/>
      <c r="DO63" s="167"/>
      <c r="DP63" s="161"/>
      <c r="DQ63" s="161"/>
      <c r="DR63" s="167"/>
      <c r="DS63" s="167"/>
      <c r="DT63" s="167"/>
      <c r="DU63" s="167"/>
      <c r="DV63" s="162"/>
      <c r="DW63" s="168"/>
      <c r="DX63" s="168"/>
      <c r="DY63" s="168"/>
      <c r="DZ63" s="168"/>
      <c r="EA63" s="168"/>
      <c r="EB63" s="168"/>
      <c r="EC63" s="169"/>
      <c r="ED63" s="169"/>
      <c r="EE63" s="169"/>
      <c r="EF63" s="169"/>
      <c r="EG63" s="170"/>
      <c r="EH63" s="165"/>
      <c r="EI63" s="165"/>
      <c r="EJ63" s="165"/>
      <c r="EK63" s="165"/>
      <c r="EL63" s="165"/>
      <c r="EM63" s="165"/>
      <c r="EN63" s="165"/>
      <c r="EO63" s="164"/>
      <c r="EP63" s="167"/>
      <c r="EQ63" s="171"/>
      <c r="ER63" s="166"/>
      <c r="ES63" s="166"/>
      <c r="ET63" s="164"/>
      <c r="EU63" s="164"/>
      <c r="EV63" s="164"/>
      <c r="EW63" s="167"/>
      <c r="EX63" s="171"/>
      <c r="EY63" s="166"/>
      <c r="EZ63" s="172"/>
      <c r="FA63" s="173"/>
      <c r="FB63" s="166"/>
      <c r="FC63" s="173"/>
      <c r="FD63" s="173"/>
      <c r="FE63" s="164"/>
      <c r="FF63" s="166"/>
      <c r="FG63" s="166"/>
      <c r="FH63" s="166"/>
    </row>
    <row r="64" spans="2:164">
      <c r="B64" s="11" t="s">
        <v>236</v>
      </c>
      <c r="C64" s="4"/>
      <c r="D64" s="4"/>
      <c r="E64" s="4"/>
      <c r="F64" s="4"/>
      <c r="G64" s="4"/>
      <c r="H64" s="4"/>
      <c r="I64" s="4"/>
      <c r="J64" s="4"/>
      <c r="K64" s="100" t="s">
        <v>238</v>
      </c>
      <c r="L64" s="115">
        <f>L62/L63</f>
        <v>0.81225544828467566</v>
      </c>
      <c r="M64" s="116" t="s">
        <v>39</v>
      </c>
      <c r="N64" s="23" t="str">
        <f>IF(L64&lt;=1,"OK","Check")</f>
        <v>OK</v>
      </c>
      <c r="AN64" s="29"/>
      <c r="AO64" s="29"/>
      <c r="AP64" s="7"/>
      <c r="AQ64" s="7"/>
      <c r="AR64" s="29"/>
      <c r="AS64" s="29"/>
      <c r="AT64" s="29"/>
      <c r="AU64" s="29"/>
      <c r="BC64" s="26"/>
      <c r="BF64" s="26"/>
      <c r="BG64" s="30"/>
      <c r="BH64" s="7"/>
      <c r="BI64" s="64"/>
      <c r="BJ64" s="7"/>
      <c r="BK64" s="7"/>
      <c r="BL64" s="139"/>
      <c r="BM64" s="7"/>
      <c r="BN64" s="7"/>
      <c r="BO64" s="140"/>
      <c r="BP64" s="69"/>
      <c r="BQ64" s="67"/>
      <c r="BR64" s="7"/>
      <c r="BS64" s="7"/>
      <c r="BT64" s="28"/>
      <c r="BU64" s="28"/>
      <c r="BV64" s="28"/>
      <c r="BW64" s="29"/>
      <c r="BX64" s="136"/>
      <c r="BY64" s="7"/>
      <c r="BZ64" s="68"/>
      <c r="CA64" s="65"/>
      <c r="CB64" s="7"/>
      <c r="CC64" s="83"/>
      <c r="CD64" s="83"/>
      <c r="CE64" s="28"/>
      <c r="CF64" s="7"/>
      <c r="CG64" s="29"/>
      <c r="CH64" s="7"/>
      <c r="DA64" s="161"/>
      <c r="DB64" s="162"/>
      <c r="DC64" s="163"/>
      <c r="DD64" s="163"/>
      <c r="DE64" s="162"/>
      <c r="DF64" s="162"/>
      <c r="DG64" s="162"/>
      <c r="DH64" s="164"/>
      <c r="DI64" s="164"/>
      <c r="DJ64" s="164"/>
      <c r="DK64" s="165"/>
      <c r="DL64" s="165"/>
      <c r="DM64" s="166"/>
      <c r="DN64" s="167"/>
      <c r="DO64" s="167"/>
      <c r="DP64" s="161"/>
      <c r="DQ64" s="161"/>
      <c r="DR64" s="167"/>
      <c r="DS64" s="167"/>
      <c r="DT64" s="167"/>
      <c r="DU64" s="167"/>
      <c r="DV64" s="162"/>
      <c r="DW64" s="168"/>
      <c r="DX64" s="168"/>
      <c r="DY64" s="168"/>
      <c r="DZ64" s="168"/>
      <c r="EA64" s="168"/>
      <c r="EB64" s="168"/>
      <c r="EC64" s="169"/>
      <c r="ED64" s="169"/>
      <c r="EE64" s="169"/>
      <c r="EF64" s="169"/>
      <c r="EG64" s="170"/>
      <c r="EH64" s="165"/>
      <c r="EI64" s="165"/>
      <c r="EJ64" s="165"/>
      <c r="EK64" s="165"/>
      <c r="EL64" s="165"/>
      <c r="EM64" s="165"/>
      <c r="EN64" s="165"/>
      <c r="EO64" s="164"/>
      <c r="EP64" s="167"/>
      <c r="EQ64" s="171"/>
      <c r="ER64" s="166"/>
      <c r="ES64" s="166"/>
      <c r="ET64" s="164"/>
      <c r="EU64" s="164"/>
      <c r="EV64" s="164"/>
      <c r="EW64" s="167"/>
      <c r="EX64" s="171"/>
      <c r="EY64" s="166"/>
      <c r="EZ64" s="172"/>
      <c r="FA64" s="173"/>
      <c r="FB64" s="166"/>
      <c r="FC64" s="173"/>
      <c r="FD64" s="173"/>
      <c r="FE64" s="164"/>
      <c r="FF64" s="166"/>
      <c r="FG64" s="166"/>
      <c r="FH64" s="166"/>
    </row>
    <row r="65" spans="2:164">
      <c r="B65" s="11"/>
      <c r="C65" s="4"/>
      <c r="D65" s="4"/>
      <c r="E65" s="4"/>
      <c r="F65" s="4"/>
      <c r="G65" s="4"/>
      <c r="H65" s="4"/>
      <c r="I65" s="4"/>
      <c r="J65" s="4"/>
      <c r="K65" s="100"/>
      <c r="L65" s="109"/>
      <c r="M65" s="116"/>
      <c r="N65" s="23"/>
      <c r="AN65" s="29"/>
      <c r="AO65" s="29"/>
      <c r="AP65" s="7"/>
      <c r="AQ65" s="7"/>
      <c r="AR65" s="29"/>
      <c r="AS65" s="29"/>
      <c r="AT65" s="29"/>
      <c r="AU65" s="29"/>
      <c r="BC65" s="26"/>
      <c r="BF65" s="26"/>
      <c r="BG65" s="30"/>
      <c r="BH65" s="7"/>
      <c r="BI65" s="64"/>
      <c r="BJ65" s="7"/>
      <c r="BK65" s="7"/>
      <c r="BL65" s="139"/>
      <c r="BM65" s="7"/>
      <c r="BN65" s="7"/>
      <c r="BO65" s="140"/>
      <c r="BP65" s="69"/>
      <c r="BQ65" s="67"/>
      <c r="BR65" s="7"/>
      <c r="BS65" s="7"/>
      <c r="BT65" s="28"/>
      <c r="BU65" s="28"/>
      <c r="BV65" s="28"/>
      <c r="BW65" s="29"/>
      <c r="BX65" s="136"/>
      <c r="BY65" s="7"/>
      <c r="BZ65" s="68"/>
      <c r="CA65" s="65"/>
      <c r="CB65" s="7"/>
      <c r="CC65" s="83"/>
      <c r="CD65" s="83"/>
      <c r="CE65" s="28"/>
      <c r="CF65" s="7"/>
      <c r="CG65" s="29"/>
      <c r="CH65" s="7"/>
      <c r="DA65" s="161"/>
      <c r="DB65" s="162"/>
      <c r="DC65" s="163"/>
      <c r="DD65" s="163"/>
      <c r="DE65" s="162"/>
      <c r="DF65" s="162"/>
      <c r="DG65" s="162"/>
      <c r="DH65" s="164"/>
      <c r="DI65" s="164"/>
      <c r="DJ65" s="164"/>
      <c r="DK65" s="165"/>
      <c r="DL65" s="165"/>
      <c r="DM65" s="166"/>
      <c r="DN65" s="167"/>
      <c r="DO65" s="167"/>
      <c r="DP65" s="161"/>
      <c r="DQ65" s="161"/>
      <c r="DR65" s="167"/>
      <c r="DS65" s="167"/>
      <c r="DT65" s="167"/>
      <c r="DU65" s="167"/>
      <c r="DV65" s="162"/>
      <c r="DW65" s="168"/>
      <c r="DX65" s="168"/>
      <c r="DY65" s="168"/>
      <c r="DZ65" s="168"/>
      <c r="EA65" s="168"/>
      <c r="EB65" s="168"/>
      <c r="EC65" s="169"/>
      <c r="ED65" s="169"/>
      <c r="EE65" s="169"/>
      <c r="EF65" s="169"/>
      <c r="EG65" s="170"/>
      <c r="EH65" s="165"/>
      <c r="EI65" s="165"/>
      <c r="EJ65" s="165"/>
      <c r="EK65" s="165"/>
      <c r="EL65" s="165"/>
      <c r="EM65" s="165"/>
      <c r="EN65" s="165"/>
      <c r="EO65" s="164"/>
      <c r="EP65" s="167"/>
      <c r="EQ65" s="171"/>
      <c r="ER65" s="166"/>
      <c r="ES65" s="166"/>
      <c r="ET65" s="164"/>
      <c r="EU65" s="164"/>
      <c r="EV65" s="164"/>
      <c r="EW65" s="167"/>
      <c r="EX65" s="171"/>
      <c r="EY65" s="166"/>
      <c r="EZ65" s="172"/>
      <c r="FA65" s="173"/>
      <c r="FB65" s="166"/>
      <c r="FC65" s="173"/>
      <c r="FD65" s="173"/>
      <c r="FE65" s="164"/>
      <c r="FF65" s="166"/>
      <c r="FG65" s="166"/>
      <c r="FH65" s="166"/>
    </row>
    <row r="66" spans="2:164">
      <c r="B66" s="101" t="s">
        <v>239</v>
      </c>
      <c r="C66" s="4"/>
      <c r="D66" s="4"/>
      <c r="E66" s="116"/>
      <c r="F66" s="129"/>
      <c r="G66" s="38"/>
      <c r="H66" s="38"/>
      <c r="I66" s="59"/>
      <c r="J66" s="100"/>
      <c r="K66" s="4"/>
      <c r="L66" s="109"/>
      <c r="M66" s="4"/>
      <c r="N66" s="12"/>
      <c r="AN66" s="29"/>
      <c r="AO66" s="29"/>
      <c r="AP66" s="7"/>
      <c r="AQ66" s="7"/>
      <c r="AR66" s="29"/>
      <c r="AS66" s="29"/>
      <c r="AT66" s="29"/>
      <c r="AU66" s="29"/>
      <c r="BC66" s="26"/>
      <c r="BF66" s="26"/>
      <c r="BG66" s="30"/>
      <c r="BH66" s="7"/>
      <c r="BI66" s="64"/>
      <c r="BJ66" s="7"/>
      <c r="BK66" s="7"/>
      <c r="BL66" s="139"/>
      <c r="BM66" s="7"/>
      <c r="BN66" s="7"/>
      <c r="BO66" s="140"/>
      <c r="BP66" s="69"/>
      <c r="BQ66" s="67"/>
      <c r="BR66" s="7"/>
      <c r="BS66" s="7"/>
      <c r="BT66" s="28"/>
      <c r="BU66" s="28"/>
      <c r="BV66" s="28"/>
      <c r="BW66" s="29"/>
      <c r="BX66" s="136"/>
      <c r="BY66" s="7"/>
      <c r="BZ66" s="68"/>
      <c r="CA66" s="65"/>
      <c r="CB66" s="7"/>
      <c r="CC66" s="83"/>
      <c r="CD66" s="83"/>
      <c r="CE66" s="28"/>
      <c r="CF66" s="7"/>
      <c r="CG66" s="29"/>
      <c r="CH66" s="7"/>
      <c r="DA66" s="161"/>
      <c r="DB66" s="162"/>
      <c r="DC66" s="163"/>
      <c r="DD66" s="163"/>
      <c r="DE66" s="162"/>
      <c r="DF66" s="162"/>
      <c r="DG66" s="162"/>
      <c r="DH66" s="164"/>
      <c r="DI66" s="164"/>
      <c r="DJ66" s="164"/>
      <c r="DK66" s="165"/>
      <c r="DL66" s="165"/>
      <c r="DM66" s="166"/>
      <c r="DN66" s="167"/>
      <c r="DO66" s="167"/>
      <c r="DP66" s="161"/>
      <c r="DQ66" s="161"/>
      <c r="DR66" s="167"/>
      <c r="DS66" s="167"/>
      <c r="DT66" s="167"/>
      <c r="DU66" s="167"/>
      <c r="DV66" s="162"/>
      <c r="DW66" s="168"/>
      <c r="DX66" s="168"/>
      <c r="DY66" s="168"/>
      <c r="DZ66" s="168"/>
      <c r="EA66" s="168"/>
      <c r="EB66" s="168"/>
      <c r="EC66" s="169"/>
      <c r="ED66" s="169"/>
      <c r="EE66" s="169"/>
      <c r="EF66" s="169"/>
      <c r="EG66" s="170"/>
      <c r="EH66" s="165"/>
      <c r="EI66" s="165"/>
      <c r="EJ66" s="165"/>
      <c r="EK66" s="165"/>
      <c r="EL66" s="165"/>
      <c r="EM66" s="165"/>
      <c r="EN66" s="165"/>
      <c r="EO66" s="164"/>
      <c r="EP66" s="167"/>
      <c r="EQ66" s="171"/>
      <c r="ER66" s="166"/>
      <c r="ES66" s="166"/>
      <c r="ET66" s="164"/>
      <c r="EU66" s="164"/>
      <c r="EV66" s="164"/>
      <c r="EW66" s="167"/>
      <c r="EX66" s="171"/>
      <c r="EY66" s="166"/>
      <c r="EZ66" s="172"/>
      <c r="FA66" s="173"/>
      <c r="FB66" s="166"/>
      <c r="FC66" s="173"/>
      <c r="FD66" s="173"/>
      <c r="FE66" s="164"/>
      <c r="FF66" s="166"/>
      <c r="FG66" s="166"/>
      <c r="FH66" s="166"/>
    </row>
    <row r="67" spans="2:164">
      <c r="B67" s="101"/>
      <c r="C67" s="14"/>
      <c r="D67" s="14"/>
      <c r="E67" s="116"/>
      <c r="F67" s="129"/>
      <c r="G67" s="38"/>
      <c r="H67" s="38"/>
      <c r="I67" s="59"/>
      <c r="J67" s="127"/>
      <c r="K67" s="14"/>
      <c r="L67" s="128"/>
      <c r="M67" s="14"/>
      <c r="N67" s="61"/>
      <c r="AN67" s="29"/>
      <c r="AO67" s="29"/>
      <c r="AP67" s="7"/>
      <c r="AQ67" s="7"/>
      <c r="AR67" s="29"/>
      <c r="AS67" s="29"/>
      <c r="AT67" s="29"/>
      <c r="AU67" s="29"/>
      <c r="BC67" s="26"/>
      <c r="BF67" s="26"/>
      <c r="BG67" s="30"/>
      <c r="BH67" s="7"/>
      <c r="BI67" s="64"/>
      <c r="BJ67" s="7"/>
      <c r="BK67" s="7"/>
      <c r="BL67" s="139"/>
      <c r="BM67" s="7"/>
      <c r="BN67" s="7"/>
      <c r="BO67" s="140"/>
      <c r="BP67" s="69"/>
      <c r="BQ67" s="67"/>
      <c r="BR67" s="7"/>
      <c r="BS67" s="7"/>
      <c r="BT67" s="28"/>
      <c r="BU67" s="28"/>
      <c r="BV67" s="28"/>
      <c r="BW67" s="29"/>
      <c r="BX67" s="136"/>
      <c r="BY67" s="7"/>
      <c r="BZ67" s="68"/>
      <c r="CA67" s="65"/>
      <c r="CB67" s="7"/>
      <c r="CC67" s="83"/>
      <c r="CD67" s="83"/>
      <c r="CE67" s="28"/>
      <c r="CF67" s="7"/>
      <c r="CG67" s="29"/>
      <c r="CH67" s="7"/>
      <c r="DA67" s="161"/>
      <c r="DB67" s="162"/>
      <c r="DC67" s="163"/>
      <c r="DD67" s="163"/>
      <c r="DE67" s="162"/>
      <c r="DF67" s="162"/>
      <c r="DG67" s="162"/>
      <c r="DH67" s="164"/>
      <c r="DI67" s="164"/>
      <c r="DJ67" s="164"/>
      <c r="DK67" s="165"/>
      <c r="DL67" s="165"/>
      <c r="DM67" s="166"/>
      <c r="DN67" s="167"/>
      <c r="DO67" s="167"/>
      <c r="DP67" s="161"/>
      <c r="DQ67" s="161"/>
      <c r="DR67" s="167"/>
      <c r="DS67" s="167"/>
      <c r="DT67" s="167"/>
      <c r="DU67" s="167"/>
      <c r="DV67" s="162"/>
      <c r="DW67" s="168"/>
      <c r="DX67" s="168"/>
      <c r="DY67" s="168"/>
      <c r="DZ67" s="168"/>
      <c r="EA67" s="168"/>
      <c r="EB67" s="168"/>
      <c r="EC67" s="169"/>
      <c r="ED67" s="169"/>
      <c r="EE67" s="169"/>
      <c r="EF67" s="169"/>
      <c r="EG67" s="170"/>
      <c r="EH67" s="165"/>
      <c r="EI67" s="165"/>
      <c r="EJ67" s="165"/>
      <c r="EK67" s="165"/>
      <c r="EL67" s="165"/>
      <c r="EM67" s="165"/>
      <c r="EN67" s="165"/>
      <c r="EO67" s="164"/>
      <c r="EP67" s="167"/>
      <c r="EQ67" s="171"/>
      <c r="ER67" s="166"/>
      <c r="ES67" s="166"/>
      <c r="ET67" s="164"/>
      <c r="EU67" s="164"/>
      <c r="EV67" s="164"/>
      <c r="EW67" s="167"/>
      <c r="EX67" s="171"/>
      <c r="EY67" s="166"/>
      <c r="EZ67" s="172"/>
      <c r="FA67" s="173"/>
      <c r="FB67" s="166"/>
      <c r="FC67" s="173"/>
      <c r="FD67" s="173"/>
      <c r="FE67" s="164"/>
      <c r="FF67" s="166"/>
      <c r="FG67" s="166"/>
      <c r="FH67" s="166"/>
    </row>
    <row r="68" spans="2:164">
      <c r="B68" s="251" t="s">
        <v>163</v>
      </c>
      <c r="C68" s="251"/>
      <c r="D68" s="251"/>
      <c r="E68" s="251"/>
      <c r="F68" s="251"/>
      <c r="G68" s="251"/>
      <c r="H68" s="251"/>
      <c r="I68" s="251"/>
      <c r="J68" s="251"/>
      <c r="K68" s="251"/>
      <c r="L68" s="251"/>
      <c r="M68" s="251"/>
      <c r="N68" s="251"/>
      <c r="AN68" s="29"/>
      <c r="AO68" s="29"/>
      <c r="AP68" s="7"/>
      <c r="AQ68" s="7"/>
      <c r="AR68" s="29"/>
      <c r="AS68" s="29"/>
      <c r="AT68" s="29"/>
      <c r="AU68" s="29"/>
      <c r="BC68" s="26"/>
      <c r="BF68" s="26"/>
      <c r="BG68" s="30"/>
      <c r="BH68" s="7"/>
      <c r="BI68" s="64"/>
      <c r="BJ68" s="7"/>
      <c r="BK68" s="7"/>
      <c r="BL68" s="139"/>
      <c r="BM68" s="7"/>
      <c r="BN68" s="7"/>
      <c r="BO68" s="140"/>
      <c r="BP68" s="69"/>
      <c r="BQ68" s="67"/>
      <c r="BR68" s="7"/>
      <c r="BS68" s="7"/>
      <c r="BT68" s="28"/>
      <c r="BU68" s="28"/>
      <c r="BV68" s="28"/>
      <c r="BW68" s="29"/>
      <c r="BX68" s="136"/>
      <c r="BY68" s="7"/>
      <c r="BZ68" s="68"/>
      <c r="CA68" s="65"/>
      <c r="CB68" s="7"/>
      <c r="CC68" s="83"/>
      <c r="CD68" s="83"/>
      <c r="CE68" s="28"/>
      <c r="CF68" s="7"/>
      <c r="CG68" s="29"/>
      <c r="CH68" s="7"/>
      <c r="DA68" s="161"/>
      <c r="DB68" s="162"/>
      <c r="DC68" s="163"/>
      <c r="DD68" s="163"/>
      <c r="DE68" s="162"/>
      <c r="DF68" s="162"/>
      <c r="DG68" s="162"/>
      <c r="DH68" s="164"/>
      <c r="DI68" s="164"/>
      <c r="DJ68" s="164"/>
      <c r="DK68" s="165"/>
      <c r="DL68" s="165"/>
      <c r="DM68" s="166"/>
      <c r="DN68" s="167"/>
      <c r="DO68" s="167"/>
      <c r="DP68" s="161"/>
      <c r="DQ68" s="161"/>
      <c r="DR68" s="167"/>
      <c r="DS68" s="167"/>
      <c r="DT68" s="167"/>
      <c r="DU68" s="167"/>
      <c r="DV68" s="162"/>
      <c r="DW68" s="168"/>
      <c r="DX68" s="168"/>
      <c r="DY68" s="168"/>
      <c r="DZ68" s="168"/>
      <c r="EA68" s="168"/>
      <c r="EB68" s="168"/>
      <c r="EC68" s="169"/>
      <c r="ED68" s="169"/>
      <c r="EE68" s="169"/>
      <c r="EF68" s="169"/>
      <c r="EG68" s="170"/>
      <c r="EH68" s="165"/>
      <c r="EI68" s="165"/>
      <c r="EJ68" s="165"/>
      <c r="EK68" s="165"/>
      <c r="EL68" s="165"/>
      <c r="EM68" s="165"/>
      <c r="EN68" s="165"/>
      <c r="EO68" s="164"/>
      <c r="EP68" s="167"/>
      <c r="EQ68" s="171"/>
      <c r="ER68" s="166"/>
      <c r="ES68" s="166"/>
      <c r="ET68" s="164"/>
      <c r="EU68" s="164"/>
      <c r="EV68" s="164"/>
      <c r="EW68" s="167"/>
      <c r="EX68" s="171"/>
      <c r="EY68" s="166"/>
      <c r="EZ68" s="172"/>
      <c r="FA68" s="173"/>
      <c r="FB68" s="166"/>
      <c r="FC68" s="173"/>
      <c r="FD68" s="173"/>
      <c r="FE68" s="164"/>
      <c r="FF68" s="166"/>
      <c r="FG68" s="166"/>
      <c r="FH68" s="166"/>
    </row>
    <row r="69" spans="2:164" ht="14.25">
      <c r="B69" s="96" t="s">
        <v>210</v>
      </c>
      <c r="C69" s="97" t="s">
        <v>166</v>
      </c>
      <c r="D69" s="7" t="s">
        <v>165</v>
      </c>
      <c r="E69" s="7" t="s">
        <v>111</v>
      </c>
      <c r="F69" s="96" t="s">
        <v>61</v>
      </c>
      <c r="G69" s="7" t="s">
        <v>164</v>
      </c>
      <c r="H69" s="97" t="s">
        <v>169</v>
      </c>
      <c r="I69" s="34"/>
      <c r="J69" s="34"/>
      <c r="K69" s="34"/>
      <c r="L69" s="34"/>
      <c r="M69" s="34"/>
      <c r="N69" s="34"/>
      <c r="AN69" s="29"/>
      <c r="AO69" s="29"/>
      <c r="AP69" s="7"/>
      <c r="AQ69" s="7"/>
      <c r="AR69" s="29"/>
      <c r="AS69" s="29"/>
      <c r="AT69" s="29"/>
      <c r="AU69" s="29"/>
      <c r="BC69" s="26"/>
      <c r="BF69" s="26"/>
      <c r="BG69" s="30"/>
      <c r="BH69" s="7"/>
      <c r="BI69" s="64"/>
      <c r="BJ69" s="7"/>
      <c r="BK69" s="7"/>
      <c r="BL69" s="139"/>
      <c r="BM69" s="7"/>
      <c r="BN69" s="7"/>
      <c r="BO69" s="140"/>
      <c r="BP69" s="69"/>
      <c r="BQ69" s="67"/>
      <c r="BR69" s="7"/>
      <c r="BS69" s="7"/>
      <c r="BT69" s="28"/>
      <c r="BU69" s="28"/>
      <c r="BV69" s="28"/>
      <c r="BW69" s="29"/>
      <c r="BX69" s="136"/>
      <c r="BY69" s="7"/>
      <c r="BZ69" s="68"/>
      <c r="CA69" s="65"/>
      <c r="CB69" s="7"/>
      <c r="CC69" s="83"/>
      <c r="CD69" s="83"/>
      <c r="CE69" s="28"/>
      <c r="CF69" s="7"/>
      <c r="CG69" s="29"/>
      <c r="CH69" s="7"/>
      <c r="DA69" s="161"/>
      <c r="DB69" s="162"/>
      <c r="DC69" s="163"/>
      <c r="DD69" s="163"/>
      <c r="DE69" s="162"/>
      <c r="DF69" s="162"/>
      <c r="DG69" s="162"/>
      <c r="DH69" s="164"/>
      <c r="DI69" s="164"/>
      <c r="DJ69" s="164"/>
      <c r="DK69" s="165"/>
      <c r="DL69" s="165"/>
      <c r="DM69" s="166"/>
      <c r="DN69" s="167"/>
      <c r="DO69" s="167"/>
      <c r="DP69" s="161"/>
      <c r="DQ69" s="161"/>
      <c r="DR69" s="167"/>
      <c r="DS69" s="167"/>
      <c r="DT69" s="167"/>
      <c r="DU69" s="167"/>
      <c r="DV69" s="162"/>
      <c r="DW69" s="168"/>
      <c r="DX69" s="168"/>
      <c r="DY69" s="168"/>
      <c r="DZ69" s="168"/>
      <c r="EA69" s="168"/>
      <c r="EB69" s="168"/>
      <c r="EC69" s="169"/>
      <c r="ED69" s="169"/>
      <c r="EE69" s="169"/>
      <c r="EF69" s="169"/>
      <c r="EG69" s="170"/>
      <c r="EH69" s="165"/>
      <c r="EI69" s="165"/>
      <c r="EJ69" s="165"/>
      <c r="EK69" s="165"/>
      <c r="EL69" s="165"/>
      <c r="EM69" s="165"/>
      <c r="EN69" s="165"/>
      <c r="EO69" s="164"/>
      <c r="EP69" s="167"/>
      <c r="EQ69" s="171"/>
      <c r="ER69" s="166"/>
      <c r="ES69" s="166"/>
      <c r="ET69" s="164"/>
      <c r="EU69" s="164"/>
      <c r="EV69" s="164"/>
      <c r="EW69" s="167"/>
      <c r="EX69" s="171"/>
      <c r="EY69" s="166"/>
      <c r="EZ69" s="172"/>
      <c r="FA69" s="173"/>
      <c r="FB69" s="166"/>
      <c r="FC69" s="173"/>
      <c r="FD69" s="173"/>
      <c r="FE69" s="164"/>
      <c r="FF69" s="166"/>
      <c r="FG69" s="166"/>
      <c r="FH69" s="166"/>
    </row>
    <row r="70" spans="2:164">
      <c r="B70" s="83">
        <f>F22*100/M28</f>
        <v>142.31866066418559</v>
      </c>
      <c r="C70" s="83">
        <f>B70*(D28/B28)^0.5</f>
        <v>5.6838569064673505</v>
      </c>
      <c r="D70" s="29">
        <f>(F18*F19)/(F17*F20)</f>
        <v>0.67934782608695654</v>
      </c>
      <c r="E70" s="29">
        <f>ABS((L32/H32)*100*H28/K28)</f>
        <v>1.2050053342679516</v>
      </c>
      <c r="F70" s="98" cm="1">
        <f t="array" ref="F70">FactorEta(D70,E70,C70)</f>
        <v>1.2679347826086955</v>
      </c>
      <c r="G70" s="83">
        <f>E70*F70</f>
        <v>1.5278681765473539</v>
      </c>
      <c r="H70" s="99" cm="1">
        <f t="array" ref="H70">noisuy2chieu(G70,C70,Data!$B$41:$AC$63)</f>
        <v>0.19110049307346344</v>
      </c>
      <c r="I70" s="14"/>
      <c r="J70" s="14"/>
      <c r="K70" s="14"/>
      <c r="L70" s="14"/>
      <c r="M70" s="14"/>
      <c r="N70" s="14"/>
      <c r="AN70" s="29"/>
      <c r="AO70" s="29"/>
      <c r="AP70" s="7"/>
      <c r="AQ70" s="7"/>
      <c r="AR70" s="29"/>
      <c r="AS70" s="29"/>
      <c r="AT70" s="29"/>
      <c r="AU70" s="29"/>
      <c r="BC70" s="26"/>
      <c r="BF70" s="26"/>
      <c r="BG70" s="30"/>
      <c r="BH70" s="7"/>
      <c r="BI70" s="64"/>
      <c r="BJ70" s="7"/>
      <c r="BK70" s="7"/>
      <c r="BL70" s="139"/>
      <c r="BM70" s="7"/>
      <c r="BN70" s="7"/>
      <c r="BO70" s="140"/>
      <c r="BP70" s="69"/>
      <c r="BQ70" s="67"/>
      <c r="BR70" s="7"/>
      <c r="BS70" s="7"/>
      <c r="BT70" s="28"/>
      <c r="BU70" s="28"/>
      <c r="BV70" s="28"/>
      <c r="BW70" s="29"/>
      <c r="BX70" s="136"/>
      <c r="BY70" s="7"/>
      <c r="BZ70" s="68"/>
      <c r="CA70" s="65"/>
      <c r="CB70" s="7"/>
      <c r="CC70" s="83"/>
      <c r="CD70" s="83"/>
      <c r="CE70" s="28"/>
      <c r="CF70" s="7"/>
      <c r="CG70" s="29"/>
      <c r="CH70" s="7"/>
      <c r="DA70" s="161"/>
      <c r="DB70" s="162"/>
      <c r="DC70" s="163"/>
      <c r="DD70" s="163"/>
      <c r="DE70" s="162"/>
      <c r="DF70" s="162"/>
      <c r="DG70" s="162"/>
      <c r="DH70" s="164"/>
      <c r="DI70" s="164"/>
      <c r="DJ70" s="164"/>
      <c r="DK70" s="165"/>
      <c r="DL70" s="165"/>
      <c r="DM70" s="166"/>
      <c r="DN70" s="167"/>
      <c r="DO70" s="167"/>
      <c r="DP70" s="161"/>
      <c r="DQ70" s="161"/>
      <c r="DR70" s="167"/>
      <c r="DS70" s="167"/>
      <c r="DT70" s="167"/>
      <c r="DU70" s="167"/>
      <c r="DV70" s="162"/>
      <c r="DW70" s="168"/>
      <c r="DX70" s="168"/>
      <c r="DY70" s="168"/>
      <c r="DZ70" s="168"/>
      <c r="EA70" s="168"/>
      <c r="EB70" s="168"/>
      <c r="EC70" s="169"/>
      <c r="ED70" s="169"/>
      <c r="EE70" s="169"/>
      <c r="EF70" s="169"/>
      <c r="EG70" s="170"/>
      <c r="EH70" s="165"/>
      <c r="EI70" s="165"/>
      <c r="EJ70" s="165"/>
      <c r="EK70" s="165"/>
      <c r="EL70" s="165"/>
      <c r="EM70" s="165"/>
      <c r="EN70" s="165"/>
      <c r="EO70" s="164"/>
      <c r="EP70" s="167"/>
      <c r="EQ70" s="171"/>
      <c r="ER70" s="166"/>
      <c r="ES70" s="166"/>
      <c r="ET70" s="164"/>
      <c r="EU70" s="164"/>
      <c r="EV70" s="164"/>
      <c r="EW70" s="167"/>
      <c r="EX70" s="171"/>
      <c r="EY70" s="166"/>
      <c r="EZ70" s="172"/>
      <c r="FA70" s="173"/>
      <c r="FB70" s="166"/>
      <c r="FC70" s="173"/>
      <c r="FD70" s="173"/>
      <c r="FE70" s="164"/>
      <c r="FF70" s="166"/>
      <c r="FG70" s="166"/>
      <c r="FH70" s="166"/>
    </row>
    <row r="71" spans="2:164">
      <c r="B71" s="251" t="s">
        <v>154</v>
      </c>
      <c r="C71" s="251"/>
      <c r="D71" s="251"/>
      <c r="E71" s="251"/>
      <c r="F71" s="251"/>
      <c r="G71" s="251"/>
      <c r="H71" s="251"/>
      <c r="I71" s="251"/>
      <c r="J71" s="251"/>
      <c r="K71" s="251"/>
      <c r="L71" s="251"/>
      <c r="M71" s="251"/>
      <c r="N71" s="251"/>
      <c r="AN71" s="29"/>
      <c r="AO71" s="29"/>
      <c r="AP71" s="7"/>
      <c r="AQ71" s="7"/>
      <c r="AR71" s="29"/>
      <c r="AS71" s="29"/>
      <c r="AT71" s="29"/>
      <c r="AU71" s="29"/>
      <c r="BC71" s="26"/>
      <c r="BF71" s="26"/>
      <c r="BG71" s="30"/>
      <c r="BH71" s="7"/>
      <c r="BI71" s="64"/>
      <c r="BJ71" s="7"/>
      <c r="BK71" s="7"/>
      <c r="BL71" s="139"/>
      <c r="BM71" s="7"/>
      <c r="BN71" s="7"/>
      <c r="BO71" s="140"/>
      <c r="BP71" s="69"/>
      <c r="BQ71" s="67"/>
      <c r="BR71" s="7"/>
      <c r="BS71" s="7"/>
      <c r="BT71" s="28"/>
      <c r="BU71" s="28"/>
      <c r="BV71" s="28"/>
      <c r="BW71" s="29"/>
      <c r="BX71" s="136"/>
      <c r="BY71" s="7"/>
      <c r="BZ71" s="68"/>
      <c r="CA71" s="65"/>
      <c r="CB71" s="7"/>
      <c r="CC71" s="83"/>
      <c r="CD71" s="83"/>
      <c r="CE71" s="28"/>
      <c r="CF71" s="7"/>
      <c r="CG71" s="29"/>
      <c r="CH71" s="7"/>
      <c r="DA71" s="161"/>
      <c r="DB71" s="162"/>
      <c r="DC71" s="163"/>
      <c r="DD71" s="163"/>
      <c r="DE71" s="162"/>
      <c r="DF71" s="162"/>
      <c r="DG71" s="162"/>
      <c r="DH71" s="164"/>
      <c r="DI71" s="164"/>
      <c r="DJ71" s="164"/>
      <c r="DK71" s="165"/>
      <c r="DL71" s="165"/>
      <c r="DM71" s="166"/>
      <c r="DN71" s="167"/>
      <c r="DO71" s="167"/>
      <c r="DP71" s="161"/>
      <c r="DQ71" s="161"/>
      <c r="DR71" s="167"/>
      <c r="DS71" s="167"/>
      <c r="DT71" s="167"/>
      <c r="DU71" s="167"/>
      <c r="DV71" s="162"/>
      <c r="DW71" s="168"/>
      <c r="DX71" s="168"/>
      <c r="DY71" s="168"/>
      <c r="DZ71" s="168"/>
      <c r="EA71" s="168"/>
      <c r="EB71" s="168"/>
      <c r="EC71" s="169"/>
      <c r="ED71" s="169"/>
      <c r="EE71" s="169"/>
      <c r="EF71" s="169"/>
      <c r="EG71" s="170"/>
      <c r="EH71" s="165"/>
      <c r="EI71" s="165"/>
      <c r="EJ71" s="165"/>
      <c r="EK71" s="165"/>
      <c r="EL71" s="165"/>
      <c r="EM71" s="165"/>
      <c r="EN71" s="165"/>
      <c r="EO71" s="164"/>
      <c r="EP71" s="167"/>
      <c r="EQ71" s="171"/>
      <c r="ER71" s="166"/>
      <c r="ES71" s="166"/>
      <c r="ET71" s="164"/>
      <c r="EU71" s="164"/>
      <c r="EV71" s="164"/>
      <c r="EW71" s="167"/>
      <c r="EX71" s="171"/>
      <c r="EY71" s="166"/>
      <c r="EZ71" s="172"/>
      <c r="FA71" s="173"/>
      <c r="FB71" s="166"/>
      <c r="FC71" s="173"/>
      <c r="FD71" s="173"/>
      <c r="FE71" s="164"/>
      <c r="FF71" s="166"/>
      <c r="FG71" s="166"/>
      <c r="FH71" s="166"/>
    </row>
    <row r="72" spans="2:164" ht="14.25">
      <c r="B72" s="96" t="s">
        <v>211</v>
      </c>
      <c r="C72" s="7" t="s">
        <v>155</v>
      </c>
      <c r="D72" s="96" t="s">
        <v>145</v>
      </c>
      <c r="E72" s="97" t="s">
        <v>147</v>
      </c>
      <c r="F72" s="97" t="s">
        <v>148</v>
      </c>
      <c r="G72" s="96" t="s">
        <v>149</v>
      </c>
      <c r="H72" s="7" t="s">
        <v>150</v>
      </c>
      <c r="I72" s="97" t="s">
        <v>156</v>
      </c>
      <c r="J72" s="7" t="s">
        <v>151</v>
      </c>
      <c r="K72" s="7" t="s">
        <v>158</v>
      </c>
      <c r="L72" s="7" t="s">
        <v>159</v>
      </c>
      <c r="M72" s="7" t="s">
        <v>160</v>
      </c>
      <c r="N72" s="7" t="s">
        <v>157</v>
      </c>
      <c r="AN72" s="29"/>
      <c r="AO72" s="29"/>
      <c r="AP72" s="7"/>
      <c r="AQ72" s="7"/>
      <c r="AR72" s="29"/>
      <c r="AS72" s="29"/>
      <c r="AT72" s="29"/>
      <c r="AU72" s="29"/>
      <c r="BC72" s="26"/>
      <c r="BF72" s="26"/>
      <c r="BG72" s="30"/>
      <c r="BH72" s="7"/>
      <c r="BI72" s="64"/>
      <c r="BJ72" s="7"/>
      <c r="BK72" s="7"/>
      <c r="BL72" s="139"/>
      <c r="BM72" s="7"/>
      <c r="BN72" s="7"/>
      <c r="BO72" s="140"/>
      <c r="BP72" s="69"/>
      <c r="BQ72" s="67"/>
      <c r="BR72" s="7"/>
      <c r="BS72" s="7"/>
      <c r="BT72" s="28"/>
      <c r="BU72" s="28"/>
      <c r="BV72" s="28"/>
      <c r="BW72" s="29"/>
      <c r="BX72" s="136"/>
      <c r="BY72" s="7"/>
      <c r="BZ72" s="68"/>
      <c r="CA72" s="65"/>
      <c r="CB72" s="7"/>
      <c r="CC72" s="83"/>
      <c r="CD72" s="83"/>
      <c r="CE72" s="28"/>
      <c r="CF72" s="7"/>
      <c r="CG72" s="29"/>
      <c r="CH72" s="7"/>
      <c r="DA72" s="161"/>
      <c r="DB72" s="162"/>
      <c r="DC72" s="163"/>
      <c r="DD72" s="163"/>
      <c r="DE72" s="162"/>
      <c r="DF72" s="162"/>
      <c r="DG72" s="162"/>
      <c r="DH72" s="164"/>
      <c r="DI72" s="164"/>
      <c r="DJ72" s="164"/>
      <c r="DK72" s="165"/>
      <c r="DL72" s="165"/>
      <c r="DM72" s="166"/>
      <c r="DN72" s="167"/>
      <c r="DO72" s="167"/>
      <c r="DP72" s="161"/>
      <c r="DQ72" s="161"/>
      <c r="DR72" s="167"/>
      <c r="DS72" s="167"/>
      <c r="DT72" s="167"/>
      <c r="DU72" s="167"/>
      <c r="DV72" s="162"/>
      <c r="DW72" s="168"/>
      <c r="DX72" s="168"/>
      <c r="DY72" s="168"/>
      <c r="DZ72" s="168"/>
      <c r="EA72" s="168"/>
      <c r="EB72" s="168"/>
      <c r="EC72" s="169"/>
      <c r="ED72" s="169"/>
      <c r="EE72" s="169"/>
      <c r="EF72" s="169"/>
      <c r="EG72" s="170"/>
      <c r="EH72" s="165"/>
      <c r="EI72" s="165"/>
      <c r="EJ72" s="165"/>
      <c r="EK72" s="165"/>
      <c r="EL72" s="165"/>
      <c r="EM72" s="165"/>
      <c r="EN72" s="165"/>
      <c r="EO72" s="164"/>
      <c r="EP72" s="167"/>
      <c r="EQ72" s="171"/>
      <c r="ER72" s="166"/>
      <c r="ES72" s="166"/>
      <c r="ET72" s="164"/>
      <c r="EU72" s="164"/>
      <c r="EV72" s="164"/>
      <c r="EW72" s="167"/>
      <c r="EX72" s="171"/>
      <c r="EY72" s="166"/>
      <c r="EZ72" s="172"/>
      <c r="FA72" s="173"/>
      <c r="FB72" s="166"/>
      <c r="FC72" s="173"/>
      <c r="FD72" s="173"/>
      <c r="FE72" s="164"/>
      <c r="FF72" s="166"/>
      <c r="FG72" s="166"/>
      <c r="FH72" s="166"/>
    </row>
    <row r="73" spans="2:164">
      <c r="B73" s="17">
        <f>F23*100/N28</f>
        <v>114.03808873416246</v>
      </c>
      <c r="C73" s="29">
        <f>ABS((L32/H32)*100*H28/K28)</f>
        <v>1.2050053342679516</v>
      </c>
      <c r="D73" s="98">
        <f>IF(C73&lt;=1,0.7,IF(C73&lt;=5,0.65+0.05*C73,0.65+0.05*5))</f>
        <v>0.71025026671339764</v>
      </c>
      <c r="E73" s="29">
        <f>3.14*SQRT(B28/D28)</f>
        <v>78.622773556642798</v>
      </c>
      <c r="F73" s="83" cm="1">
        <f t="array" ref="F73">Factorphi7321(E73, D28, B28)</f>
        <v>0.60522556304931641</v>
      </c>
      <c r="G73" s="98">
        <f>IF(B73&lt;=E73,1,SQRT(F73/L49))</f>
        <v>1.3252356000788448</v>
      </c>
      <c r="H73" s="98">
        <f>G73/(1+D73*5)</f>
        <v>0.29118049146281877</v>
      </c>
      <c r="I73" s="130">
        <v>0.85</v>
      </c>
      <c r="J73" s="98">
        <f>1/(1+10*L49/I73)</f>
        <v>0.19785269823489213</v>
      </c>
      <c r="K73" s="98">
        <f>IF(C73&lt;=5,G73/(1+D73*C73),"-")</f>
        <v>0.71408345100754844</v>
      </c>
      <c r="L73" s="98" t="str">
        <f>IF(AND(C73&gt;5,C73&lt;10),H73*(2-0.2*C73)+J73*(0.2*C73-1),"-")</f>
        <v>-</v>
      </c>
      <c r="M73" s="98" t="str">
        <f>IF(C73&gt;=10,1/(1+C73*L49/I73),"")</f>
        <v/>
      </c>
      <c r="N73" s="98">
        <f>IF(C73&lt;=5,K73,IF(C73&lt;10,L73,M73))</f>
        <v>0.71408345100754844</v>
      </c>
      <c r="AN73" s="29"/>
      <c r="AO73" s="29"/>
      <c r="AP73" s="7"/>
      <c r="AQ73" s="7"/>
      <c r="AR73" s="29"/>
      <c r="AS73" s="29"/>
      <c r="AT73" s="29"/>
      <c r="AU73" s="29"/>
      <c r="BC73" s="26"/>
      <c r="BF73" s="26"/>
      <c r="BG73" s="30"/>
      <c r="BH73" s="7"/>
      <c r="BI73" s="64"/>
      <c r="BJ73" s="7"/>
      <c r="BK73" s="7"/>
      <c r="BL73" s="139"/>
      <c r="BM73" s="7"/>
      <c r="BN73" s="7"/>
      <c r="BO73" s="140"/>
      <c r="BP73" s="69"/>
      <c r="BQ73" s="67"/>
      <c r="BR73" s="7"/>
      <c r="BS73" s="7"/>
      <c r="BT73" s="28"/>
      <c r="BU73" s="28"/>
      <c r="BV73" s="28"/>
      <c r="BW73" s="29"/>
      <c r="BX73" s="136"/>
      <c r="BY73" s="7"/>
      <c r="BZ73" s="68"/>
      <c r="CA73" s="65"/>
      <c r="CB73" s="7"/>
      <c r="CC73" s="83"/>
      <c r="CD73" s="83"/>
      <c r="CE73" s="28"/>
      <c r="CF73" s="7"/>
      <c r="CG73" s="29"/>
      <c r="CH73" s="7"/>
      <c r="DA73" s="161"/>
      <c r="DB73" s="162"/>
      <c r="DC73" s="163"/>
      <c r="DD73" s="163"/>
      <c r="DE73" s="162"/>
      <c r="DF73" s="162"/>
      <c r="DG73" s="162"/>
      <c r="DH73" s="164"/>
      <c r="DI73" s="164"/>
      <c r="DJ73" s="164"/>
      <c r="DK73" s="165"/>
      <c r="DL73" s="165"/>
      <c r="DM73" s="166"/>
      <c r="DN73" s="167"/>
      <c r="DO73" s="167"/>
      <c r="DP73" s="161"/>
      <c r="DQ73" s="161"/>
      <c r="DR73" s="167"/>
      <c r="DS73" s="167"/>
      <c r="DT73" s="167"/>
      <c r="DU73" s="167"/>
      <c r="DV73" s="162"/>
      <c r="DW73" s="168"/>
      <c r="DX73" s="168"/>
      <c r="DY73" s="168"/>
      <c r="DZ73" s="168"/>
      <c r="EA73" s="168"/>
      <c r="EB73" s="168"/>
      <c r="EC73" s="169"/>
      <c r="ED73" s="169"/>
      <c r="EE73" s="169"/>
      <c r="EF73" s="169"/>
      <c r="EG73" s="170"/>
      <c r="EH73" s="165"/>
      <c r="EI73" s="165"/>
      <c r="EJ73" s="165"/>
      <c r="EK73" s="165"/>
      <c r="EL73" s="165"/>
      <c r="EM73" s="165"/>
      <c r="EN73" s="165"/>
      <c r="EO73" s="164"/>
      <c r="EP73" s="167"/>
      <c r="EQ73" s="171"/>
      <c r="ER73" s="166"/>
      <c r="ES73" s="166"/>
      <c r="ET73" s="164"/>
      <c r="EU73" s="164"/>
      <c r="EV73" s="164"/>
      <c r="EW73" s="167"/>
      <c r="EX73" s="171"/>
      <c r="EY73" s="166"/>
      <c r="EZ73" s="172"/>
      <c r="FA73" s="173"/>
      <c r="FB73" s="166"/>
      <c r="FC73" s="173"/>
      <c r="FD73" s="173"/>
      <c r="FE73" s="164"/>
      <c r="FF73" s="166"/>
      <c r="FG73" s="166"/>
      <c r="FH73" s="166"/>
    </row>
    <row r="74" spans="2:164">
      <c r="B74" s="211" t="s">
        <v>184</v>
      </c>
      <c r="C74" s="211"/>
      <c r="D74" s="211"/>
      <c r="E74" s="211"/>
      <c r="F74" s="211"/>
      <c r="G74" s="211"/>
      <c r="H74" s="211"/>
      <c r="I74" s="211"/>
      <c r="J74" s="211"/>
      <c r="K74" s="211"/>
      <c r="L74" s="211"/>
      <c r="M74" s="211"/>
      <c r="N74" s="211"/>
      <c r="AN74" s="29"/>
      <c r="AO74" s="29"/>
      <c r="AP74" s="7"/>
      <c r="AQ74" s="7"/>
      <c r="AR74" s="29"/>
      <c r="AS74" s="29"/>
      <c r="AT74" s="29"/>
      <c r="AU74" s="29"/>
      <c r="BC74" s="26"/>
      <c r="BF74" s="26"/>
      <c r="BG74" s="30"/>
      <c r="BH74" s="7"/>
      <c r="BI74" s="64"/>
      <c r="BJ74" s="7"/>
      <c r="BK74" s="7"/>
      <c r="BL74" s="139"/>
      <c r="BM74" s="7"/>
      <c r="BN74" s="7"/>
      <c r="BO74" s="140"/>
      <c r="BP74" s="69"/>
      <c r="BQ74" s="67"/>
      <c r="BR74" s="7"/>
      <c r="BS74" s="7"/>
      <c r="BT74" s="28"/>
      <c r="BU74" s="28"/>
      <c r="BV74" s="28"/>
      <c r="BW74" s="29"/>
      <c r="BX74" s="136"/>
      <c r="BY74" s="7"/>
      <c r="BZ74" s="68"/>
      <c r="CA74" s="65"/>
      <c r="CB74" s="7"/>
      <c r="CC74" s="83"/>
      <c r="CD74" s="83"/>
      <c r="CE74" s="28"/>
      <c r="CF74" s="7"/>
      <c r="CG74" s="29"/>
      <c r="CH74" s="7"/>
      <c r="DA74" s="161"/>
      <c r="DB74" s="162"/>
      <c r="DC74" s="163"/>
      <c r="DD74" s="163"/>
      <c r="DE74" s="162"/>
      <c r="DF74" s="162"/>
      <c r="DG74" s="162"/>
      <c r="DH74" s="164"/>
      <c r="DI74" s="164"/>
      <c r="DJ74" s="164"/>
      <c r="DK74" s="165"/>
      <c r="DL74" s="165"/>
      <c r="DM74" s="166"/>
      <c r="DN74" s="167"/>
      <c r="DO74" s="167"/>
      <c r="DP74" s="161"/>
      <c r="DQ74" s="161"/>
      <c r="DR74" s="167"/>
      <c r="DS74" s="167"/>
      <c r="DT74" s="167"/>
      <c r="DU74" s="167"/>
      <c r="DV74" s="162"/>
      <c r="DW74" s="168"/>
      <c r="DX74" s="168"/>
      <c r="DY74" s="168"/>
      <c r="DZ74" s="168"/>
      <c r="EA74" s="168"/>
      <c r="EB74" s="168"/>
      <c r="EC74" s="169"/>
      <c r="ED74" s="169"/>
      <c r="EE74" s="169"/>
      <c r="EF74" s="169"/>
      <c r="EG74" s="170"/>
      <c r="EH74" s="165"/>
      <c r="EI74" s="165"/>
      <c r="EJ74" s="165"/>
      <c r="EK74" s="165"/>
      <c r="EL74" s="165"/>
      <c r="EM74" s="165"/>
      <c r="EN74" s="165"/>
      <c r="EO74" s="164"/>
      <c r="EP74" s="167"/>
      <c r="EQ74" s="171"/>
      <c r="ER74" s="166"/>
      <c r="ES74" s="166"/>
      <c r="ET74" s="164"/>
      <c r="EU74" s="164"/>
      <c r="EV74" s="164"/>
      <c r="EW74" s="167"/>
      <c r="EX74" s="171"/>
      <c r="EY74" s="166"/>
      <c r="EZ74" s="172"/>
      <c r="FA74" s="173"/>
      <c r="FB74" s="166"/>
      <c r="FC74" s="173"/>
      <c r="FD74" s="173"/>
      <c r="FE74" s="164"/>
      <c r="FF74" s="166"/>
      <c r="FG74" s="166"/>
      <c r="FH74" s="166"/>
    </row>
    <row r="75" spans="2:164">
      <c r="B75" s="212" t="s">
        <v>188</v>
      </c>
      <c r="C75" s="212"/>
      <c r="D75" s="212"/>
      <c r="E75" s="212"/>
      <c r="F75" s="212"/>
      <c r="G75" s="213" t="s">
        <v>187</v>
      </c>
      <c r="H75" s="213"/>
      <c r="I75" s="213" t="s">
        <v>111</v>
      </c>
      <c r="J75" s="214" t="s">
        <v>186</v>
      </c>
      <c r="K75" s="216"/>
      <c r="L75" s="217"/>
      <c r="M75" s="217"/>
      <c r="N75" s="218"/>
      <c r="AN75" s="29"/>
      <c r="AO75" s="29"/>
      <c r="AP75" s="7"/>
      <c r="AQ75" s="7"/>
      <c r="AR75" s="29"/>
      <c r="AS75" s="29"/>
      <c r="AT75" s="29"/>
      <c r="AU75" s="29"/>
      <c r="BC75" s="26"/>
      <c r="BF75" s="26"/>
      <c r="BG75" s="30"/>
      <c r="BH75" s="7"/>
      <c r="BI75" s="64"/>
      <c r="BJ75" s="7"/>
      <c r="BK75" s="7"/>
      <c r="BL75" s="139"/>
      <c r="BM75" s="7"/>
      <c r="BN75" s="7"/>
      <c r="BO75" s="140"/>
      <c r="BP75" s="69"/>
      <c r="BQ75" s="67"/>
      <c r="BR75" s="7"/>
      <c r="BS75" s="7"/>
      <c r="BT75" s="28"/>
      <c r="BU75" s="28"/>
      <c r="BV75" s="28"/>
      <c r="BW75" s="29"/>
      <c r="BX75" s="136"/>
      <c r="BY75" s="7"/>
      <c r="BZ75" s="68"/>
      <c r="CA75" s="65"/>
      <c r="CB75" s="7"/>
      <c r="CC75" s="83"/>
      <c r="CD75" s="83"/>
      <c r="CE75" s="28"/>
      <c r="CF75" s="7"/>
      <c r="CG75" s="29"/>
      <c r="CH75" s="7"/>
      <c r="DA75" s="161"/>
      <c r="DB75" s="162"/>
      <c r="DC75" s="163"/>
      <c r="DD75" s="163"/>
      <c r="DE75" s="162"/>
      <c r="DF75" s="162"/>
      <c r="DG75" s="162"/>
      <c r="DH75" s="164"/>
      <c r="DI75" s="164"/>
      <c r="DJ75" s="164"/>
      <c r="DK75" s="165"/>
      <c r="DL75" s="165"/>
      <c r="DM75" s="166"/>
      <c r="DN75" s="167"/>
      <c r="DO75" s="167"/>
      <c r="DP75" s="161"/>
      <c r="DQ75" s="161"/>
      <c r="DR75" s="167"/>
      <c r="DS75" s="167"/>
      <c r="DT75" s="167"/>
      <c r="DU75" s="167"/>
      <c r="DV75" s="162"/>
      <c r="DW75" s="168"/>
      <c r="DX75" s="168"/>
      <c r="DY75" s="168"/>
      <c r="DZ75" s="168"/>
      <c r="EA75" s="168"/>
      <c r="EB75" s="168"/>
      <c r="EC75" s="169"/>
      <c r="ED75" s="169"/>
      <c r="EE75" s="169"/>
      <c r="EF75" s="169"/>
      <c r="EG75" s="170"/>
      <c r="EH75" s="165"/>
      <c r="EI75" s="165"/>
      <c r="EJ75" s="165"/>
      <c r="EK75" s="165"/>
      <c r="EL75" s="165"/>
      <c r="EM75" s="165"/>
      <c r="EN75" s="165"/>
      <c r="EO75" s="164"/>
      <c r="EP75" s="167"/>
      <c r="EQ75" s="171"/>
      <c r="ER75" s="166"/>
      <c r="ES75" s="166"/>
      <c r="ET75" s="164"/>
      <c r="EU75" s="164"/>
      <c r="EV75" s="164"/>
      <c r="EW75" s="167"/>
      <c r="EX75" s="171"/>
      <c r="EY75" s="166"/>
      <c r="EZ75" s="172"/>
      <c r="FA75" s="173"/>
      <c r="FB75" s="166"/>
      <c r="FC75" s="173"/>
      <c r="FD75" s="173"/>
      <c r="FE75" s="164"/>
      <c r="FF75" s="166"/>
      <c r="FG75" s="166"/>
      <c r="FH75" s="166"/>
    </row>
    <row r="76" spans="2:164" ht="14.25">
      <c r="B76" s="96" t="s">
        <v>111</v>
      </c>
      <c r="C76" s="7" t="s">
        <v>185</v>
      </c>
      <c r="D76" s="96" t="s">
        <v>172</v>
      </c>
      <c r="E76" s="97" t="s">
        <v>166</v>
      </c>
      <c r="F76" s="7" t="s">
        <v>186</v>
      </c>
      <c r="G76" s="97" t="s">
        <v>166</v>
      </c>
      <c r="H76" s="7" t="s">
        <v>186</v>
      </c>
      <c r="I76" s="213"/>
      <c r="J76" s="215"/>
      <c r="K76" s="219"/>
      <c r="L76" s="220"/>
      <c r="M76" s="220"/>
      <c r="N76" s="221"/>
      <c r="AN76" s="29"/>
      <c r="AO76" s="29"/>
      <c r="AP76" s="7"/>
      <c r="AQ76" s="7"/>
      <c r="AR76" s="29"/>
      <c r="AS76" s="29"/>
      <c r="AT76" s="29"/>
      <c r="AU76" s="29"/>
      <c r="BC76" s="26"/>
      <c r="BF76" s="26"/>
      <c r="BG76" s="30"/>
      <c r="BH76" s="7"/>
      <c r="BI76" s="64"/>
      <c r="BJ76" s="7"/>
      <c r="BK76" s="7"/>
      <c r="BL76" s="139"/>
      <c r="BM76" s="7"/>
      <c r="BN76" s="7"/>
      <c r="BO76" s="140"/>
      <c r="BP76" s="69"/>
      <c r="BQ76" s="67"/>
      <c r="BR76" s="7"/>
      <c r="BS76" s="7"/>
      <c r="BT76" s="28"/>
      <c r="BU76" s="28"/>
      <c r="BV76" s="28"/>
      <c r="BW76" s="29"/>
      <c r="BX76" s="136"/>
      <c r="BY76" s="7"/>
      <c r="BZ76" s="68"/>
      <c r="CA76" s="65"/>
      <c r="CB76" s="7"/>
      <c r="CC76" s="83"/>
      <c r="CD76" s="83"/>
      <c r="CE76" s="28"/>
      <c r="CF76" s="7"/>
      <c r="CG76" s="29"/>
      <c r="CH76" s="7"/>
      <c r="DA76" s="161"/>
      <c r="DB76" s="162"/>
      <c r="DC76" s="163"/>
      <c r="DD76" s="163"/>
      <c r="DE76" s="162"/>
      <c r="DF76" s="162"/>
      <c r="DG76" s="162"/>
      <c r="DH76" s="164"/>
      <c r="DI76" s="164"/>
      <c r="DJ76" s="164"/>
      <c r="DK76" s="165"/>
      <c r="DL76" s="165"/>
      <c r="DM76" s="166"/>
      <c r="DN76" s="167"/>
      <c r="DO76" s="167"/>
      <c r="DP76" s="161"/>
      <c r="DQ76" s="161"/>
      <c r="DR76" s="167"/>
      <c r="DS76" s="167"/>
      <c r="DT76" s="167"/>
      <c r="DU76" s="167"/>
      <c r="DV76" s="162"/>
      <c r="DW76" s="168"/>
      <c r="DX76" s="168"/>
      <c r="DY76" s="168"/>
      <c r="DZ76" s="168"/>
      <c r="EA76" s="168"/>
      <c r="EB76" s="168"/>
      <c r="EC76" s="169"/>
      <c r="ED76" s="169"/>
      <c r="EE76" s="169"/>
      <c r="EF76" s="169"/>
      <c r="EG76" s="170"/>
      <c r="EH76" s="165"/>
      <c r="EI76" s="165"/>
      <c r="EJ76" s="165"/>
      <c r="EK76" s="165"/>
      <c r="EL76" s="165"/>
      <c r="EM76" s="165"/>
      <c r="EN76" s="165"/>
      <c r="EO76" s="164"/>
      <c r="EP76" s="167"/>
      <c r="EQ76" s="171"/>
      <c r="ER76" s="166"/>
      <c r="ES76" s="166"/>
      <c r="ET76" s="164"/>
      <c r="EU76" s="164"/>
      <c r="EV76" s="164"/>
      <c r="EW76" s="167"/>
      <c r="EX76" s="171"/>
      <c r="EY76" s="166"/>
      <c r="EZ76" s="172"/>
      <c r="FA76" s="173"/>
      <c r="FB76" s="166"/>
      <c r="FC76" s="173"/>
      <c r="FD76" s="173"/>
      <c r="FE76" s="164"/>
      <c r="FF76" s="166"/>
      <c r="FG76" s="166"/>
      <c r="FH76" s="166"/>
    </row>
    <row r="77" spans="2:164">
      <c r="B77" s="26">
        <v>1</v>
      </c>
      <c r="C77" s="29">
        <f>B77*F21</f>
        <v>11.333333333333334</v>
      </c>
      <c r="D77" s="29">
        <f>C77*100/M28</f>
        <v>71.159330332092793</v>
      </c>
      <c r="E77" s="29">
        <f>D77*(D28/B28)^0.5</f>
        <v>2.8419284532336753</v>
      </c>
      <c r="F77" s="83">
        <f>IF(E77&lt;2,(1.3+0.15*E77^2),MIN(1.2+0.35*E77,2.3))*SQRT(B28/D28)</f>
        <v>54.952685446796607</v>
      </c>
      <c r="G77" s="29">
        <f>C70</f>
        <v>5.6838569064673505</v>
      </c>
      <c r="H77" s="83">
        <f>IF(G77&lt;2,(1.3+0.15*G77^2),MIN(1.2+0.35*G77,3.1))*SQRT(B28/D28)</f>
        <v>77.621209562290659</v>
      </c>
      <c r="I77" s="29">
        <f>E70</f>
        <v>1.2050053342679516</v>
      </c>
      <c r="J77" s="83">
        <f>IF(I77&lt;=0,F77,IF(I77&lt;1,(H77-F77)*I77+F77,H77))</f>
        <v>77.621209562290659</v>
      </c>
      <c r="K77" s="222"/>
      <c r="L77" s="223"/>
      <c r="M77" s="223"/>
      <c r="N77" s="224"/>
      <c r="AN77" s="29"/>
      <c r="AO77" s="29"/>
      <c r="AP77" s="7"/>
      <c r="AQ77" s="7"/>
      <c r="AR77" s="29"/>
      <c r="AS77" s="29"/>
      <c r="AT77" s="29"/>
      <c r="AU77" s="29"/>
      <c r="BC77" s="26"/>
      <c r="BF77" s="26"/>
      <c r="BG77" s="30"/>
      <c r="BH77" s="7"/>
      <c r="BI77" s="64"/>
      <c r="BJ77" s="7"/>
      <c r="BK77" s="7"/>
      <c r="BL77" s="139"/>
      <c r="BM77" s="7"/>
      <c r="BN77" s="7"/>
      <c r="BO77" s="140"/>
      <c r="BP77" s="69"/>
      <c r="BQ77" s="67"/>
      <c r="BR77" s="7"/>
      <c r="BS77" s="7"/>
      <c r="BT77" s="28"/>
      <c r="BU77" s="28"/>
      <c r="BV77" s="28"/>
      <c r="BW77" s="29"/>
      <c r="BX77" s="136"/>
      <c r="BY77" s="7"/>
      <c r="BZ77" s="68"/>
      <c r="CA77" s="65"/>
      <c r="CB77" s="7"/>
      <c r="CC77" s="83"/>
      <c r="CD77" s="83"/>
      <c r="CE77" s="28"/>
      <c r="CF77" s="7"/>
      <c r="CG77" s="29"/>
      <c r="CH77" s="7"/>
      <c r="DA77" s="161"/>
      <c r="DB77" s="162"/>
      <c r="DC77" s="163"/>
      <c r="DD77" s="163"/>
      <c r="DE77" s="162"/>
      <c r="DF77" s="162"/>
      <c r="DG77" s="162"/>
      <c r="DH77" s="164"/>
      <c r="DI77" s="164"/>
      <c r="DJ77" s="164"/>
      <c r="DK77" s="165"/>
      <c r="DL77" s="165"/>
      <c r="DM77" s="166"/>
      <c r="DN77" s="161"/>
      <c r="DO77" s="161"/>
      <c r="DP77" s="161"/>
      <c r="DQ77" s="161"/>
      <c r="DR77" s="161"/>
      <c r="DS77" s="161"/>
      <c r="DT77" s="161"/>
      <c r="DU77" s="161"/>
      <c r="DV77" s="162"/>
      <c r="DW77" s="168"/>
      <c r="DX77" s="168"/>
      <c r="DY77" s="168"/>
      <c r="DZ77" s="168"/>
      <c r="EA77" s="168"/>
      <c r="EB77" s="168"/>
      <c r="EC77" s="168"/>
      <c r="ED77" s="169"/>
      <c r="EE77" s="169"/>
      <c r="EF77" s="165"/>
      <c r="EG77" s="170"/>
      <c r="EH77" s="174"/>
      <c r="EI77" s="174"/>
      <c r="EJ77" s="174"/>
      <c r="EK77" s="174"/>
      <c r="EL77" s="174"/>
      <c r="EM77" s="174"/>
      <c r="EN77" s="174"/>
      <c r="EO77" s="164"/>
      <c r="EP77" s="172"/>
      <c r="EQ77" s="171"/>
      <c r="ER77" s="161"/>
      <c r="ES77" s="161"/>
      <c r="ET77" s="164"/>
      <c r="EU77" s="164"/>
      <c r="EV77" s="164"/>
      <c r="EW77" s="172"/>
      <c r="EX77" s="171"/>
      <c r="EY77" s="161"/>
      <c r="EZ77" s="161"/>
      <c r="FA77" s="161"/>
      <c r="FB77" s="161"/>
      <c r="FC77" s="161"/>
      <c r="FD77" s="161"/>
      <c r="FE77" s="161"/>
      <c r="FF77" s="161"/>
      <c r="FG77" s="161"/>
      <c r="FH77" s="161"/>
    </row>
    <row r="78" spans="2:164">
      <c r="AN78" s="29"/>
      <c r="AO78" s="29"/>
      <c r="AP78" s="7"/>
      <c r="AQ78" s="7"/>
      <c r="AR78" s="29"/>
      <c r="AS78" s="29"/>
      <c r="AT78" s="29"/>
      <c r="AU78" s="29"/>
      <c r="BC78" s="26"/>
      <c r="BF78" s="26"/>
      <c r="BG78" s="30"/>
      <c r="BH78" s="7"/>
      <c r="BI78" s="64"/>
      <c r="BJ78" s="7"/>
      <c r="BK78" s="7"/>
      <c r="BL78" s="139"/>
      <c r="BM78" s="7"/>
      <c r="BN78" s="7"/>
      <c r="BO78" s="140"/>
      <c r="BP78" s="69"/>
      <c r="BQ78" s="67"/>
      <c r="BR78" s="7"/>
      <c r="BS78" s="7"/>
      <c r="BT78" s="28"/>
      <c r="BU78" s="28"/>
      <c r="BV78" s="28"/>
      <c r="BW78" s="29"/>
      <c r="BX78" s="136"/>
      <c r="BY78" s="7"/>
      <c r="BZ78" s="68"/>
      <c r="CA78" s="65"/>
      <c r="CB78" s="7"/>
      <c r="CC78" s="83"/>
      <c r="CD78" s="83"/>
      <c r="CE78" s="28"/>
      <c r="CF78" s="7"/>
      <c r="CG78" s="29"/>
      <c r="CH78" s="7"/>
      <c r="DA78" s="161"/>
      <c r="DB78" s="162"/>
      <c r="DC78" s="163"/>
      <c r="DD78" s="163"/>
      <c r="DE78" s="162"/>
      <c r="DF78" s="162"/>
      <c r="DG78" s="162"/>
      <c r="DH78" s="164"/>
      <c r="DI78" s="164"/>
      <c r="DJ78" s="164"/>
      <c r="DK78" s="165"/>
      <c r="DL78" s="165"/>
      <c r="DM78" s="166"/>
      <c r="DN78" s="161"/>
      <c r="DO78" s="161"/>
      <c r="DP78" s="161"/>
      <c r="DQ78" s="161"/>
      <c r="DR78" s="161"/>
      <c r="DS78" s="161"/>
      <c r="DT78" s="161"/>
      <c r="DU78" s="161"/>
      <c r="DV78" s="162"/>
      <c r="DW78" s="168"/>
      <c r="DX78" s="168"/>
      <c r="DY78" s="168"/>
      <c r="DZ78" s="168"/>
      <c r="EA78" s="168"/>
      <c r="EB78" s="168"/>
      <c r="EC78" s="168"/>
      <c r="ED78" s="169"/>
      <c r="EE78" s="169"/>
      <c r="EF78" s="165"/>
      <c r="EG78" s="170"/>
      <c r="EH78" s="174"/>
      <c r="EI78" s="174"/>
      <c r="EJ78" s="174"/>
      <c r="EK78" s="174"/>
      <c r="EL78" s="174"/>
      <c r="EM78" s="174"/>
      <c r="EN78" s="174"/>
      <c r="EO78" s="164"/>
      <c r="EP78" s="172"/>
      <c r="EQ78" s="171"/>
      <c r="ER78" s="161"/>
      <c r="ES78" s="161"/>
      <c r="ET78" s="164"/>
      <c r="EU78" s="164"/>
      <c r="EV78" s="164"/>
      <c r="EW78" s="172"/>
      <c r="EX78" s="171"/>
      <c r="EY78" s="161"/>
      <c r="EZ78" s="161"/>
      <c r="FA78" s="161"/>
      <c r="FB78" s="161"/>
      <c r="FC78" s="161"/>
      <c r="FD78" s="161"/>
      <c r="FE78" s="161"/>
      <c r="FF78" s="161"/>
      <c r="FG78" s="161"/>
      <c r="FH78" s="161"/>
    </row>
    <row r="79" spans="2:164">
      <c r="I79" s="200" t="s">
        <v>240</v>
      </c>
      <c r="J79" s="200"/>
      <c r="K79" s="200"/>
      <c r="L79" s="207"/>
      <c r="M79" s="207"/>
      <c r="N79" s="207"/>
      <c r="AN79" s="29"/>
      <c r="AO79" s="29"/>
      <c r="AP79" s="7"/>
      <c r="AQ79" s="7"/>
      <c r="AR79" s="29"/>
      <c r="AS79" s="29"/>
      <c r="AT79" s="29"/>
      <c r="AU79" s="29"/>
      <c r="BC79" s="26"/>
      <c r="BF79" s="26"/>
      <c r="BG79" s="30"/>
      <c r="BH79" s="7"/>
      <c r="BI79" s="64"/>
      <c r="BJ79" s="7"/>
      <c r="BK79" s="7"/>
      <c r="BL79" s="139"/>
      <c r="BM79" s="7"/>
      <c r="BN79" s="7"/>
      <c r="BO79" s="140"/>
      <c r="BP79" s="69"/>
      <c r="BQ79" s="67"/>
      <c r="BR79" s="7"/>
      <c r="BS79" s="7"/>
      <c r="BT79" s="28"/>
      <c r="BU79" s="28"/>
      <c r="BV79" s="28"/>
      <c r="BW79" s="29"/>
      <c r="BX79" s="136"/>
      <c r="BY79" s="7"/>
      <c r="BZ79" s="68"/>
      <c r="CA79" s="65"/>
      <c r="CB79" s="7"/>
      <c r="CC79" s="83"/>
      <c r="CD79" s="83"/>
      <c r="CE79" s="28"/>
      <c r="CF79" s="7"/>
      <c r="CG79" s="29"/>
      <c r="CH79" s="7"/>
      <c r="DA79" s="161"/>
      <c r="DB79" s="162"/>
      <c r="DC79" s="163"/>
      <c r="DD79" s="163"/>
      <c r="DE79" s="162"/>
      <c r="DF79" s="162"/>
      <c r="DG79" s="162"/>
      <c r="DH79" s="164"/>
      <c r="DI79" s="164"/>
      <c r="DJ79" s="164"/>
      <c r="DK79" s="165"/>
      <c r="DL79" s="165"/>
      <c r="DM79" s="166"/>
      <c r="DN79" s="161"/>
      <c r="DO79" s="161"/>
      <c r="DP79" s="161"/>
      <c r="DQ79" s="161"/>
      <c r="DR79" s="161"/>
      <c r="DS79" s="161"/>
      <c r="DT79" s="161"/>
      <c r="DU79" s="161"/>
      <c r="DV79" s="162"/>
      <c r="DW79" s="168"/>
      <c r="DX79" s="168"/>
      <c r="DY79" s="168"/>
      <c r="DZ79" s="168"/>
      <c r="EA79" s="168"/>
      <c r="EB79" s="168"/>
      <c r="EC79" s="168"/>
      <c r="ED79" s="169"/>
      <c r="EE79" s="169"/>
      <c r="EF79" s="165"/>
      <c r="EG79" s="170"/>
      <c r="EH79" s="174"/>
      <c r="EI79" s="174"/>
      <c r="EJ79" s="174"/>
      <c r="EK79" s="174"/>
      <c r="EL79" s="174"/>
      <c r="EM79" s="174"/>
      <c r="EN79" s="174"/>
      <c r="EO79" s="164"/>
      <c r="EP79" s="172"/>
      <c r="EQ79" s="171"/>
      <c r="ER79" s="161"/>
      <c r="ES79" s="161"/>
      <c r="ET79" s="164"/>
      <c r="EU79" s="164"/>
      <c r="EV79" s="164"/>
      <c r="EW79" s="172"/>
      <c r="EX79" s="171"/>
      <c r="EY79" s="161"/>
      <c r="EZ79" s="161"/>
      <c r="FA79" s="161"/>
      <c r="FB79" s="161"/>
      <c r="FC79" s="161"/>
      <c r="FD79" s="161"/>
      <c r="FE79" s="161"/>
      <c r="FF79" s="161"/>
      <c r="FG79" s="161"/>
      <c r="FH79" s="161"/>
    </row>
    <row r="80" spans="2:164">
      <c r="I80" s="201" t="s">
        <v>241</v>
      </c>
      <c r="J80" s="201"/>
      <c r="K80" s="201"/>
      <c r="L80" s="201"/>
      <c r="M80" s="201"/>
      <c r="N80" s="201"/>
      <c r="AN80" s="29"/>
      <c r="AO80" s="29"/>
      <c r="AP80" s="7"/>
      <c r="AQ80" s="7"/>
      <c r="AR80" s="29"/>
      <c r="AS80" s="29"/>
      <c r="AT80" s="29"/>
      <c r="AU80" s="29"/>
      <c r="BC80" s="26"/>
      <c r="BF80" s="26"/>
      <c r="BG80" s="30"/>
      <c r="BH80" s="7"/>
      <c r="BI80" s="64"/>
      <c r="BJ80" s="7"/>
      <c r="BK80" s="7"/>
      <c r="BL80" s="139"/>
      <c r="BM80" s="7"/>
      <c r="BN80" s="7"/>
      <c r="BO80" s="140"/>
      <c r="BP80" s="69"/>
      <c r="BQ80" s="67"/>
      <c r="BR80" s="7"/>
      <c r="BS80" s="7"/>
      <c r="BT80" s="28"/>
      <c r="BU80" s="28"/>
      <c r="BV80" s="28"/>
      <c r="BW80" s="29"/>
      <c r="BX80" s="136"/>
      <c r="BY80" s="7"/>
      <c r="BZ80" s="68"/>
      <c r="CA80" s="65"/>
      <c r="CB80" s="7"/>
      <c r="CC80" s="83"/>
      <c r="CD80" s="83"/>
      <c r="CE80" s="28"/>
      <c r="CF80" s="7"/>
      <c r="CG80" s="29"/>
      <c r="CH80" s="7"/>
      <c r="DA80" s="161"/>
      <c r="DB80" s="162"/>
      <c r="DC80" s="163"/>
      <c r="DD80" s="163"/>
      <c r="DE80" s="162"/>
      <c r="DF80" s="162"/>
      <c r="DG80" s="162"/>
      <c r="DH80" s="164"/>
      <c r="DI80" s="164"/>
      <c r="DJ80" s="164"/>
      <c r="DK80" s="165"/>
      <c r="DL80" s="165"/>
      <c r="DM80" s="166"/>
      <c r="DN80" s="161"/>
      <c r="DO80" s="161"/>
      <c r="DP80" s="161"/>
      <c r="DQ80" s="161"/>
      <c r="DR80" s="161"/>
      <c r="DS80" s="161"/>
      <c r="DT80" s="161"/>
      <c r="DU80" s="161"/>
      <c r="DV80" s="162"/>
      <c r="DW80" s="168"/>
      <c r="DX80" s="168"/>
      <c r="DY80" s="168"/>
      <c r="DZ80" s="168"/>
      <c r="EA80" s="168"/>
      <c r="EB80" s="168"/>
      <c r="EC80" s="168"/>
      <c r="ED80" s="169"/>
      <c r="EE80" s="169"/>
      <c r="EF80" s="165"/>
      <c r="EG80" s="170"/>
      <c r="EH80" s="174"/>
      <c r="EI80" s="174"/>
      <c r="EJ80" s="174"/>
      <c r="EK80" s="174"/>
      <c r="EL80" s="174"/>
      <c r="EM80" s="174"/>
      <c r="EN80" s="174"/>
      <c r="EO80" s="164"/>
      <c r="EP80" s="172"/>
      <c r="EQ80" s="171"/>
      <c r="ER80" s="161"/>
      <c r="ES80" s="161"/>
      <c r="ET80" s="164"/>
      <c r="EU80" s="164"/>
      <c r="EV80" s="164"/>
      <c r="EW80" s="172"/>
      <c r="EX80" s="171"/>
      <c r="EY80" s="161"/>
      <c r="EZ80" s="161"/>
      <c r="FA80" s="161"/>
      <c r="FB80" s="161"/>
      <c r="FC80" s="161"/>
      <c r="FD80" s="161"/>
      <c r="FE80" s="161"/>
      <c r="FF80" s="161"/>
      <c r="FG80" s="161"/>
      <c r="FH80" s="161"/>
    </row>
    <row r="81" spans="9:164" ht="14.25">
      <c r="I81" s="166"/>
      <c r="J81" s="166" t="s">
        <v>242</v>
      </c>
      <c r="K81" s="166" t="s">
        <v>243</v>
      </c>
      <c r="L81" s="166" t="s">
        <v>244</v>
      </c>
      <c r="M81" s="166" t="s">
        <v>245</v>
      </c>
      <c r="N81" s="166" t="s">
        <v>246</v>
      </c>
      <c r="AN81" s="29"/>
      <c r="AO81" s="29"/>
      <c r="AP81" s="7"/>
      <c r="AQ81" s="7"/>
      <c r="AR81" s="29"/>
      <c r="AS81" s="29"/>
      <c r="AT81" s="29"/>
      <c r="AU81" s="29"/>
      <c r="BC81" s="26"/>
      <c r="BF81" s="26"/>
      <c r="BG81" s="30"/>
      <c r="BH81" s="7"/>
      <c r="BI81" s="64"/>
      <c r="BJ81" s="7"/>
      <c r="BK81" s="7"/>
      <c r="BL81" s="139"/>
      <c r="BM81" s="7"/>
      <c r="BN81" s="7"/>
      <c r="BO81" s="140"/>
      <c r="BP81" s="69"/>
      <c r="BQ81" s="67"/>
      <c r="BR81" s="7"/>
      <c r="BS81" s="7"/>
      <c r="BT81" s="28"/>
      <c r="BU81" s="28"/>
      <c r="BV81" s="28"/>
      <c r="BW81" s="29"/>
      <c r="BX81" s="136"/>
      <c r="BY81" s="7"/>
      <c r="BZ81" s="68"/>
      <c r="CA81" s="65"/>
      <c r="CB81" s="7"/>
      <c r="CC81" s="83"/>
      <c r="CD81" s="83"/>
      <c r="CE81" s="28"/>
      <c r="CF81" s="7"/>
      <c r="CG81" s="29"/>
      <c r="CH81" s="7"/>
      <c r="DA81" s="161"/>
      <c r="DB81" s="162"/>
      <c r="DC81" s="163"/>
      <c r="DD81" s="163"/>
      <c r="DE81" s="162"/>
      <c r="DF81" s="162"/>
      <c r="DG81" s="162"/>
      <c r="DH81" s="164"/>
      <c r="DI81" s="164"/>
      <c r="DJ81" s="164"/>
      <c r="DK81" s="165"/>
      <c r="DL81" s="165"/>
      <c r="DM81" s="166"/>
      <c r="DN81" s="161"/>
      <c r="DO81" s="161"/>
      <c r="DP81" s="161"/>
      <c r="DQ81" s="161"/>
      <c r="DR81" s="161"/>
      <c r="DS81" s="161"/>
      <c r="DT81" s="161"/>
      <c r="DU81" s="161"/>
      <c r="DV81" s="162"/>
      <c r="DW81" s="168"/>
      <c r="DX81" s="168"/>
      <c r="DY81" s="168"/>
      <c r="DZ81" s="168"/>
      <c r="EA81" s="168"/>
      <c r="EB81" s="168"/>
      <c r="EC81" s="168"/>
      <c r="ED81" s="169"/>
      <c r="EE81" s="169"/>
      <c r="EF81" s="165"/>
      <c r="EG81" s="170"/>
      <c r="EH81" s="174"/>
      <c r="EI81" s="174"/>
      <c r="EJ81" s="174"/>
      <c r="EK81" s="174"/>
      <c r="EL81" s="174"/>
      <c r="EM81" s="174"/>
      <c r="EN81" s="174"/>
      <c r="EO81" s="164"/>
      <c r="EP81" s="172"/>
      <c r="EQ81" s="171"/>
      <c r="ER81" s="161"/>
      <c r="ES81" s="161"/>
      <c r="ET81" s="164"/>
      <c r="EU81" s="164"/>
      <c r="EV81" s="164"/>
      <c r="EW81" s="172"/>
      <c r="EX81" s="171"/>
      <c r="EY81" s="161"/>
      <c r="EZ81" s="161"/>
      <c r="FA81" s="161"/>
      <c r="FB81" s="161"/>
      <c r="FC81" s="161"/>
      <c r="FD81" s="161"/>
      <c r="FE81" s="161"/>
      <c r="FF81" s="161"/>
      <c r="FG81" s="161"/>
      <c r="FH81" s="161"/>
    </row>
    <row r="82" spans="9:164">
      <c r="I82" s="176" t="s">
        <v>247</v>
      </c>
      <c r="J82" s="164">
        <v>400</v>
      </c>
      <c r="K82" s="164">
        <v>200</v>
      </c>
      <c r="L82" s="164">
        <v>8</v>
      </c>
      <c r="M82" s="164">
        <v>10</v>
      </c>
      <c r="N82" s="183">
        <f>L82*(J82-2*M82)^3/12+2*(K82*M82^3/12+K82*M82*(J82/2-M82/2)^2)</f>
        <v>188714666.66666669</v>
      </c>
      <c r="AN82" s="29"/>
      <c r="AO82" s="29"/>
      <c r="AP82" s="7"/>
      <c r="AQ82" s="7"/>
      <c r="AR82" s="29"/>
      <c r="AS82" s="29"/>
      <c r="AT82" s="29"/>
      <c r="AU82" s="29"/>
      <c r="BC82" s="26"/>
      <c r="BF82" s="26"/>
      <c r="BG82" s="30"/>
      <c r="BH82" s="7"/>
      <c r="BI82" s="64"/>
      <c r="BJ82" s="7"/>
      <c r="BK82" s="7"/>
      <c r="BL82" s="139"/>
      <c r="BM82" s="7"/>
      <c r="BN82" s="7"/>
      <c r="BO82" s="140"/>
      <c r="BP82" s="69"/>
      <c r="BQ82" s="67"/>
      <c r="BR82" s="7"/>
      <c r="BS82" s="7"/>
      <c r="BT82" s="28"/>
      <c r="BU82" s="28"/>
      <c r="BV82" s="28"/>
      <c r="BW82" s="29"/>
      <c r="BX82" s="136"/>
      <c r="BY82" s="7"/>
      <c r="BZ82" s="68"/>
      <c r="CA82" s="65"/>
      <c r="CB82" s="7"/>
      <c r="CC82" s="83"/>
      <c r="CD82" s="83"/>
      <c r="CE82" s="28"/>
      <c r="CF82" s="7"/>
      <c r="CG82" s="29"/>
      <c r="CH82" s="7"/>
      <c r="DA82" s="161"/>
      <c r="DB82" s="162"/>
      <c r="DC82" s="163"/>
      <c r="DD82" s="163"/>
      <c r="DE82" s="162"/>
      <c r="DF82" s="162"/>
      <c r="DG82" s="162"/>
      <c r="DH82" s="164"/>
      <c r="DI82" s="164"/>
      <c r="DJ82" s="164"/>
      <c r="DK82" s="165"/>
      <c r="DL82" s="165"/>
      <c r="DM82" s="166"/>
      <c r="DN82" s="161"/>
      <c r="DO82" s="161"/>
      <c r="DP82" s="161"/>
      <c r="DQ82" s="161"/>
      <c r="DR82" s="161"/>
      <c r="DS82" s="161"/>
      <c r="DT82" s="161"/>
      <c r="DU82" s="161"/>
      <c r="DV82" s="162"/>
      <c r="DW82" s="168"/>
      <c r="DX82" s="168"/>
      <c r="DY82" s="168"/>
      <c r="DZ82" s="168"/>
      <c r="EA82" s="168"/>
      <c r="EB82" s="168"/>
      <c r="EC82" s="168"/>
      <c r="ED82" s="169"/>
      <c r="EE82" s="169"/>
      <c r="EF82" s="165"/>
      <c r="EG82" s="170"/>
      <c r="EH82" s="174"/>
      <c r="EI82" s="174"/>
      <c r="EJ82" s="174"/>
      <c r="EK82" s="174"/>
      <c r="EL82" s="174"/>
      <c r="EM82" s="174"/>
      <c r="EN82" s="174"/>
      <c r="EO82" s="164"/>
      <c r="EP82" s="172"/>
      <c r="EQ82" s="171"/>
      <c r="ER82" s="161"/>
      <c r="ES82" s="161"/>
      <c r="ET82" s="164"/>
      <c r="EU82" s="164"/>
      <c r="EV82" s="164"/>
      <c r="EW82" s="172"/>
      <c r="EX82" s="171"/>
      <c r="EY82" s="161"/>
      <c r="EZ82" s="161"/>
      <c r="FA82" s="161"/>
      <c r="FB82" s="161"/>
      <c r="FC82" s="161"/>
      <c r="FD82" s="161"/>
      <c r="FE82" s="161"/>
      <c r="FF82" s="161"/>
      <c r="FG82" s="161"/>
      <c r="FH82" s="161"/>
    </row>
    <row r="83" spans="9:164">
      <c r="I83" s="176" t="s">
        <v>248</v>
      </c>
      <c r="J83" s="164">
        <v>500</v>
      </c>
      <c r="K83" s="164">
        <v>200</v>
      </c>
      <c r="L83" s="164">
        <v>8</v>
      </c>
      <c r="M83" s="164">
        <v>10</v>
      </c>
      <c r="N83" s="183">
        <f>L83*(J83-2*M83)^3/12+2*(K83*M83^3/12+K83*M83*(J83/2-M83/2)^2)</f>
        <v>313861333.33333337</v>
      </c>
      <c r="AN83" s="29"/>
      <c r="AO83" s="29"/>
      <c r="AP83" s="7"/>
      <c r="AQ83" s="7"/>
      <c r="AR83" s="29"/>
      <c r="AS83" s="29"/>
      <c r="AT83" s="29"/>
      <c r="AU83" s="29"/>
      <c r="BC83" s="26"/>
      <c r="BF83" s="26"/>
      <c r="BG83" s="30"/>
      <c r="BH83" s="7"/>
      <c r="BI83" s="64"/>
      <c r="BJ83" s="7"/>
      <c r="BK83" s="7"/>
      <c r="BL83" s="139"/>
      <c r="BM83" s="7"/>
      <c r="BN83" s="7"/>
      <c r="BO83" s="140"/>
      <c r="BP83" s="69"/>
      <c r="BQ83" s="67"/>
      <c r="BR83" s="7"/>
      <c r="BS83" s="7"/>
      <c r="BT83" s="28"/>
      <c r="BU83" s="28"/>
      <c r="BV83" s="28"/>
      <c r="BW83" s="29"/>
      <c r="BX83" s="136"/>
      <c r="BY83" s="7"/>
      <c r="BZ83" s="68"/>
      <c r="CA83" s="65"/>
      <c r="CB83" s="7"/>
      <c r="CC83" s="83"/>
      <c r="CD83" s="83"/>
      <c r="CE83" s="28"/>
      <c r="CF83" s="7"/>
      <c r="CG83" s="29"/>
      <c r="CH83" s="7"/>
      <c r="DA83" s="161"/>
      <c r="DB83" s="162"/>
      <c r="DC83" s="163"/>
      <c r="DD83" s="163"/>
      <c r="DE83" s="162"/>
      <c r="DF83" s="162"/>
      <c r="DG83" s="162"/>
      <c r="DH83" s="164"/>
      <c r="DI83" s="164"/>
      <c r="DJ83" s="164"/>
      <c r="DK83" s="165"/>
      <c r="DL83" s="165"/>
      <c r="DM83" s="166"/>
      <c r="DN83" s="161"/>
      <c r="DO83" s="161"/>
      <c r="DP83" s="161"/>
      <c r="DQ83" s="161"/>
      <c r="DR83" s="161"/>
      <c r="DS83" s="161"/>
      <c r="DT83" s="161"/>
      <c r="DU83" s="161"/>
      <c r="DV83" s="162"/>
      <c r="DW83" s="168"/>
      <c r="DX83" s="168"/>
      <c r="DY83" s="168"/>
      <c r="DZ83" s="168"/>
      <c r="EA83" s="168"/>
      <c r="EB83" s="168"/>
      <c r="EC83" s="168"/>
      <c r="ED83" s="169"/>
      <c r="EE83" s="169"/>
      <c r="EF83" s="165"/>
      <c r="EG83" s="170"/>
      <c r="EH83" s="174"/>
      <c r="EI83" s="174"/>
      <c r="EJ83" s="174"/>
      <c r="EK83" s="174"/>
      <c r="EL83" s="174"/>
      <c r="EM83" s="174"/>
      <c r="EN83" s="174"/>
      <c r="EO83" s="164"/>
      <c r="EP83" s="172"/>
      <c r="EQ83" s="171"/>
      <c r="ER83" s="161"/>
      <c r="ES83" s="161"/>
      <c r="ET83" s="164"/>
      <c r="EU83" s="164"/>
      <c r="EV83" s="164"/>
      <c r="EW83" s="172"/>
      <c r="EX83" s="171"/>
      <c r="EY83" s="161"/>
      <c r="EZ83" s="161"/>
      <c r="FA83" s="161"/>
      <c r="FB83" s="161"/>
      <c r="FC83" s="161"/>
      <c r="FD83" s="161"/>
      <c r="FE83" s="161"/>
      <c r="FF83" s="161"/>
      <c r="FG83" s="161"/>
      <c r="FH83" s="161"/>
    </row>
    <row r="84" spans="9:164" ht="14.25">
      <c r="I84" s="208" t="s">
        <v>249</v>
      </c>
      <c r="J84" s="209"/>
      <c r="K84" s="164">
        <v>8</v>
      </c>
      <c r="L84" s="208" t="s">
        <v>250</v>
      </c>
      <c r="M84" s="210"/>
      <c r="N84" s="184">
        <f>N83</f>
        <v>313861333.33333337</v>
      </c>
      <c r="AN84" s="29"/>
      <c r="AO84" s="29"/>
      <c r="AP84" s="7"/>
      <c r="AQ84" s="7"/>
      <c r="AR84" s="29"/>
      <c r="AS84" s="29"/>
      <c r="AT84" s="29"/>
      <c r="AU84" s="29"/>
      <c r="BC84" s="26"/>
      <c r="BF84" s="26"/>
      <c r="BG84" s="30"/>
      <c r="BH84" s="7"/>
      <c r="BI84" s="64"/>
      <c r="BJ84" s="7"/>
      <c r="BK84" s="7"/>
      <c r="BL84" s="139"/>
      <c r="BM84" s="7"/>
      <c r="BN84" s="7"/>
      <c r="BO84" s="140"/>
      <c r="BP84" s="69"/>
      <c r="BQ84" s="67"/>
      <c r="BR84" s="7"/>
      <c r="BS84" s="7"/>
      <c r="BT84" s="28"/>
      <c r="BU84" s="28"/>
      <c r="BV84" s="28"/>
      <c r="BW84" s="29"/>
      <c r="BX84" s="136"/>
      <c r="BY84" s="7"/>
      <c r="BZ84" s="68"/>
      <c r="CA84" s="65"/>
      <c r="CB84" s="7"/>
      <c r="CC84" s="83"/>
      <c r="CD84" s="83"/>
      <c r="CE84" s="28"/>
      <c r="CF84" s="7"/>
      <c r="CG84" s="29"/>
      <c r="CH84" s="7"/>
      <c r="DA84" s="161"/>
      <c r="DB84" s="162"/>
      <c r="DC84" s="163"/>
      <c r="DD84" s="163"/>
      <c r="DE84" s="162"/>
      <c r="DF84" s="162"/>
      <c r="DG84" s="162"/>
      <c r="DH84" s="164"/>
      <c r="DI84" s="164"/>
      <c r="DJ84" s="164"/>
      <c r="DK84" s="165"/>
      <c r="DL84" s="165"/>
      <c r="DM84" s="166"/>
      <c r="DN84" s="161"/>
      <c r="DO84" s="161"/>
      <c r="DP84" s="161"/>
      <c r="DQ84" s="161"/>
      <c r="DR84" s="161"/>
      <c r="DS84" s="161"/>
      <c r="DT84" s="161"/>
      <c r="DU84" s="161"/>
      <c r="DV84" s="162"/>
      <c r="DW84" s="168"/>
      <c r="DX84" s="168"/>
      <c r="DY84" s="168"/>
      <c r="DZ84" s="168"/>
      <c r="EA84" s="168"/>
      <c r="EB84" s="168"/>
      <c r="EC84" s="168"/>
      <c r="ED84" s="169"/>
      <c r="EE84" s="169"/>
      <c r="EF84" s="165"/>
      <c r="EG84" s="170"/>
      <c r="EH84" s="174"/>
      <c r="EI84" s="174"/>
      <c r="EJ84" s="174"/>
      <c r="EK84" s="174"/>
      <c r="EL84" s="174"/>
      <c r="EM84" s="174"/>
      <c r="EN84" s="174"/>
      <c r="EO84" s="164"/>
      <c r="EP84" s="172"/>
      <c r="EQ84" s="171"/>
      <c r="ER84" s="161"/>
      <c r="ES84" s="161"/>
      <c r="ET84" s="164"/>
      <c r="EU84" s="164"/>
      <c r="EV84" s="164"/>
      <c r="EW84" s="172"/>
      <c r="EX84" s="171"/>
      <c r="EY84" s="161"/>
      <c r="EZ84" s="161"/>
      <c r="FA84" s="161"/>
      <c r="FB84" s="161"/>
      <c r="FC84" s="161"/>
      <c r="FD84" s="161"/>
      <c r="FE84" s="161"/>
      <c r="FF84" s="161"/>
      <c r="FG84" s="161"/>
      <c r="FH84" s="161"/>
    </row>
    <row r="85" spans="9:164" ht="14.25">
      <c r="I85" s="205" t="s">
        <v>251</v>
      </c>
      <c r="J85" s="206"/>
      <c r="K85" s="164">
        <v>20</v>
      </c>
      <c r="L85" s="208" t="s">
        <v>252</v>
      </c>
      <c r="M85" s="210"/>
      <c r="N85" s="184">
        <f>N82</f>
        <v>188714666.66666669</v>
      </c>
      <c r="AN85" s="29"/>
      <c r="AO85" s="29"/>
      <c r="AP85" s="7"/>
      <c r="AQ85" s="7"/>
      <c r="AR85" s="29"/>
      <c r="AS85" s="29"/>
      <c r="AT85" s="29"/>
      <c r="AU85" s="29"/>
      <c r="BC85" s="26"/>
      <c r="BF85" s="26"/>
      <c r="BG85" s="30"/>
      <c r="BH85" s="7"/>
      <c r="BI85" s="64"/>
      <c r="BJ85" s="7"/>
      <c r="BK85" s="7"/>
      <c r="BL85" s="139"/>
      <c r="BM85" s="7"/>
      <c r="BN85" s="7"/>
      <c r="BO85" s="140"/>
      <c r="BP85" s="69"/>
      <c r="BQ85" s="67"/>
      <c r="BR85" s="7"/>
      <c r="BS85" s="7"/>
      <c r="BT85" s="28"/>
      <c r="BU85" s="28"/>
      <c r="BV85" s="28"/>
      <c r="BW85" s="29"/>
      <c r="BX85" s="136"/>
      <c r="BY85" s="7"/>
      <c r="BZ85" s="68"/>
      <c r="CA85" s="65"/>
      <c r="CB85" s="7"/>
      <c r="CC85" s="83"/>
      <c r="CD85" s="83"/>
      <c r="CE85" s="28"/>
      <c r="CF85" s="7"/>
      <c r="CG85" s="29"/>
      <c r="CH85" s="7"/>
      <c r="DA85" s="161"/>
      <c r="DB85" s="162"/>
      <c r="DC85" s="163"/>
      <c r="DD85" s="163"/>
      <c r="DE85" s="162"/>
      <c r="DF85" s="162"/>
      <c r="DG85" s="162"/>
      <c r="DH85" s="164"/>
      <c r="DI85" s="164"/>
      <c r="DJ85" s="164"/>
      <c r="DK85" s="165"/>
      <c r="DL85" s="165"/>
      <c r="DM85" s="166"/>
      <c r="DN85" s="161"/>
      <c r="DO85" s="161"/>
      <c r="DP85" s="161"/>
      <c r="DQ85" s="161"/>
      <c r="DR85" s="161"/>
      <c r="DS85" s="161"/>
      <c r="DT85" s="161"/>
      <c r="DU85" s="161"/>
      <c r="DV85" s="162"/>
      <c r="DW85" s="168"/>
      <c r="DX85" s="168"/>
      <c r="DY85" s="168"/>
      <c r="DZ85" s="168"/>
      <c r="EA85" s="168"/>
      <c r="EB85" s="168"/>
      <c r="EC85" s="168"/>
      <c r="ED85" s="169"/>
      <c r="EE85" s="169"/>
      <c r="EF85" s="165"/>
      <c r="EG85" s="170"/>
      <c r="EH85" s="174"/>
      <c r="EI85" s="174"/>
      <c r="EJ85" s="174"/>
      <c r="EK85" s="174"/>
      <c r="EL85" s="174"/>
      <c r="EM85" s="174"/>
      <c r="EN85" s="174"/>
      <c r="EO85" s="164"/>
      <c r="EP85" s="172"/>
      <c r="EQ85" s="171"/>
      <c r="ER85" s="161"/>
      <c r="ES85" s="161"/>
      <c r="ET85" s="164"/>
      <c r="EU85" s="164"/>
      <c r="EV85" s="164"/>
      <c r="EW85" s="172"/>
      <c r="EX85" s="171"/>
      <c r="EY85" s="161"/>
      <c r="EZ85" s="161"/>
      <c r="FA85" s="161"/>
      <c r="FB85" s="161"/>
      <c r="FC85" s="161"/>
      <c r="FD85" s="161"/>
      <c r="FE85" s="161"/>
      <c r="FF85" s="161"/>
      <c r="FG85" s="161"/>
      <c r="FH85" s="161"/>
    </row>
    <row r="86" spans="9:164">
      <c r="I86" s="204" t="s">
        <v>253</v>
      </c>
      <c r="J86" s="204"/>
      <c r="K86" s="204"/>
      <c r="L86" s="204"/>
      <c r="M86" s="204"/>
      <c r="N86" s="171">
        <f>(N84*K84)/(N85*K85)</f>
        <v>0.66526113497626038</v>
      </c>
      <c r="AN86" s="29"/>
      <c r="AO86" s="29"/>
      <c r="AP86" s="7"/>
      <c r="AQ86" s="7"/>
      <c r="AR86" s="29"/>
      <c r="AS86" s="29"/>
      <c r="AT86" s="29"/>
      <c r="AU86" s="29"/>
      <c r="BC86" s="26"/>
      <c r="BF86" s="26"/>
      <c r="BG86" s="30"/>
      <c r="BH86" s="7"/>
      <c r="BI86" s="64"/>
      <c r="BJ86" s="7"/>
      <c r="BK86" s="7"/>
      <c r="BL86" s="139"/>
      <c r="BM86" s="7"/>
      <c r="BN86" s="7"/>
      <c r="BO86" s="140"/>
      <c r="BP86" s="69"/>
      <c r="BQ86" s="67"/>
      <c r="BR86" s="7"/>
      <c r="BS86" s="7"/>
      <c r="BT86" s="28"/>
      <c r="BU86" s="28"/>
      <c r="BV86" s="28"/>
      <c r="BW86" s="29"/>
      <c r="BX86" s="136"/>
      <c r="BY86" s="7"/>
      <c r="BZ86" s="68"/>
      <c r="CA86" s="65"/>
      <c r="CB86" s="7"/>
      <c r="CC86" s="83"/>
      <c r="CD86" s="83"/>
      <c r="CE86" s="28"/>
      <c r="CF86" s="7"/>
      <c r="CG86" s="29"/>
      <c r="CH86" s="7"/>
      <c r="DA86" s="161"/>
      <c r="DB86" s="162"/>
      <c r="DC86" s="163"/>
      <c r="DD86" s="163"/>
      <c r="DE86" s="162"/>
      <c r="DF86" s="162"/>
      <c r="DG86" s="162"/>
      <c r="DH86" s="164"/>
      <c r="DI86" s="164"/>
      <c r="DJ86" s="164"/>
      <c r="DK86" s="165"/>
      <c r="DL86" s="165"/>
      <c r="DM86" s="166"/>
      <c r="DN86" s="161"/>
      <c r="DO86" s="161"/>
      <c r="DP86" s="161"/>
      <c r="DQ86" s="161"/>
      <c r="DR86" s="161"/>
      <c r="DS86" s="161"/>
      <c r="DT86" s="161"/>
      <c r="DU86" s="161"/>
      <c r="DV86" s="162"/>
      <c r="DW86" s="168"/>
      <c r="DX86" s="168"/>
      <c r="DY86" s="168"/>
      <c r="DZ86" s="168"/>
      <c r="EA86" s="168"/>
      <c r="EB86" s="168"/>
      <c r="EC86" s="168"/>
      <c r="ED86" s="169"/>
      <c r="EE86" s="169"/>
      <c r="EF86" s="165"/>
      <c r="EG86" s="170"/>
      <c r="EH86" s="174"/>
      <c r="EI86" s="174"/>
      <c r="EJ86" s="174"/>
      <c r="EK86" s="174"/>
      <c r="EL86" s="174"/>
      <c r="EM86" s="174"/>
      <c r="EN86" s="174"/>
      <c r="EO86" s="164"/>
      <c r="EP86" s="172"/>
      <c r="EQ86" s="171"/>
      <c r="ER86" s="161"/>
      <c r="ES86" s="161"/>
      <c r="ET86" s="164"/>
      <c r="EU86" s="164"/>
      <c r="EV86" s="164"/>
      <c r="EW86" s="172"/>
      <c r="EX86" s="171"/>
      <c r="EY86" s="161"/>
      <c r="EZ86" s="161"/>
      <c r="FA86" s="161"/>
      <c r="FB86" s="161"/>
      <c r="FC86" s="161"/>
      <c r="FD86" s="161"/>
      <c r="FE86" s="161"/>
      <c r="FF86" s="161"/>
      <c r="FG86" s="161"/>
      <c r="FH86" s="161"/>
    </row>
    <row r="87" spans="9:164" ht="15">
      <c r="I87" s="204" t="s">
        <v>254</v>
      </c>
      <c r="J87" s="204"/>
      <c r="K87" s="204"/>
      <c r="L87" s="204"/>
      <c r="M87" s="204"/>
      <c r="N87" s="177">
        <f>2*SQRT(1+0.38/N86)</f>
        <v>2.5069537439304437</v>
      </c>
      <c r="AN87" s="29"/>
      <c r="AO87" s="29"/>
      <c r="AP87" s="7"/>
      <c r="AQ87" s="7"/>
      <c r="AR87" s="29"/>
      <c r="AS87" s="29"/>
      <c r="AT87" s="29"/>
      <c r="AU87" s="29"/>
      <c r="BC87" s="26"/>
      <c r="BF87" s="26"/>
      <c r="BG87" s="30"/>
      <c r="BH87" s="7"/>
      <c r="BI87" s="64"/>
      <c r="BJ87" s="7"/>
      <c r="BK87" s="7"/>
      <c r="BL87" s="139"/>
      <c r="BM87" s="7"/>
      <c r="BN87" s="7"/>
      <c r="BO87" s="140"/>
      <c r="BP87" s="69"/>
      <c r="BQ87" s="67"/>
      <c r="BR87" s="7"/>
      <c r="BS87" s="7"/>
      <c r="BT87" s="28"/>
      <c r="BU87" s="28"/>
      <c r="BV87" s="28"/>
      <c r="BW87" s="29"/>
      <c r="BX87" s="136"/>
      <c r="BY87" s="7"/>
      <c r="BZ87" s="68"/>
      <c r="CA87" s="65"/>
      <c r="CB87" s="7"/>
      <c r="CC87" s="83"/>
      <c r="CD87" s="83"/>
      <c r="CE87" s="28"/>
      <c r="CF87" s="7"/>
      <c r="CG87" s="29"/>
      <c r="CH87" s="7"/>
      <c r="DA87" s="161"/>
      <c r="DB87" s="162"/>
      <c r="DC87" s="163"/>
      <c r="DD87" s="163"/>
      <c r="DE87" s="162"/>
      <c r="DF87" s="162"/>
      <c r="DG87" s="162"/>
      <c r="DH87" s="164"/>
      <c r="DI87" s="164"/>
      <c r="DJ87" s="164"/>
      <c r="DK87" s="165"/>
      <c r="DL87" s="165"/>
      <c r="DM87" s="166"/>
      <c r="DN87" s="161"/>
      <c r="DO87" s="161"/>
      <c r="DP87" s="161"/>
      <c r="DQ87" s="161"/>
      <c r="DR87" s="161"/>
      <c r="DS87" s="161"/>
      <c r="DT87" s="161"/>
      <c r="DU87" s="161"/>
      <c r="DV87" s="162"/>
      <c r="DW87" s="168"/>
      <c r="DX87" s="168"/>
      <c r="DY87" s="168"/>
      <c r="DZ87" s="168"/>
      <c r="EA87" s="168"/>
      <c r="EB87" s="168"/>
      <c r="EC87" s="168"/>
      <c r="ED87" s="169"/>
      <c r="EE87" s="169"/>
      <c r="EF87" s="165"/>
      <c r="EG87" s="170"/>
      <c r="EH87" s="174"/>
      <c r="EI87" s="174"/>
      <c r="EJ87" s="174"/>
      <c r="EK87" s="174"/>
      <c r="EL87" s="174"/>
      <c r="EM87" s="174"/>
      <c r="EN87" s="174"/>
      <c r="EO87" s="164"/>
      <c r="EP87" s="172"/>
      <c r="EQ87" s="171"/>
      <c r="ER87" s="161"/>
      <c r="ES87" s="161"/>
      <c r="ET87" s="164"/>
      <c r="EU87" s="164"/>
      <c r="EV87" s="164"/>
      <c r="EW87" s="172"/>
      <c r="EX87" s="171"/>
      <c r="EY87" s="161"/>
      <c r="EZ87" s="161"/>
      <c r="FA87" s="161"/>
      <c r="FB87" s="161"/>
      <c r="FC87" s="161"/>
      <c r="FD87" s="161"/>
      <c r="FE87" s="161"/>
      <c r="FF87" s="161"/>
      <c r="FG87" s="161"/>
      <c r="FH87" s="161"/>
    </row>
    <row r="88" spans="9:164" ht="15">
      <c r="I88" s="204" t="s">
        <v>255</v>
      </c>
      <c r="J88" s="204"/>
      <c r="K88" s="204"/>
      <c r="L88" s="204"/>
      <c r="M88" s="204"/>
      <c r="N88" s="177">
        <f>SQRT((N86+0.56)/(N86+0.14))</f>
        <v>1.233519330086791</v>
      </c>
      <c r="AN88" s="29"/>
      <c r="AO88" s="29"/>
      <c r="AP88" s="7"/>
      <c r="AQ88" s="7"/>
      <c r="AR88" s="29"/>
      <c r="AS88" s="29"/>
      <c r="AT88" s="29"/>
      <c r="AU88" s="29"/>
      <c r="BC88" s="26"/>
      <c r="BF88" s="26"/>
      <c r="BG88" s="30"/>
      <c r="BH88" s="7"/>
      <c r="BI88" s="64"/>
      <c r="BJ88" s="7"/>
      <c r="BK88" s="7"/>
      <c r="BL88" s="139"/>
      <c r="BM88" s="7"/>
      <c r="BN88" s="7"/>
      <c r="BO88" s="140"/>
      <c r="BP88" s="69"/>
      <c r="BQ88" s="67"/>
      <c r="BR88" s="7"/>
      <c r="BS88" s="7"/>
      <c r="BT88" s="28"/>
      <c r="BU88" s="28"/>
      <c r="BV88" s="28"/>
      <c r="BW88" s="29"/>
      <c r="BX88" s="136"/>
      <c r="BY88" s="7"/>
      <c r="BZ88" s="68"/>
      <c r="CA88" s="65"/>
      <c r="CB88" s="7"/>
      <c r="CC88" s="83"/>
      <c r="CD88" s="83"/>
      <c r="CE88" s="28"/>
      <c r="CF88" s="7"/>
      <c r="CG88" s="29"/>
      <c r="CH88" s="7"/>
      <c r="DA88" s="161"/>
      <c r="DB88" s="162"/>
      <c r="DC88" s="163"/>
      <c r="DD88" s="163"/>
      <c r="DE88" s="162"/>
      <c r="DF88" s="162"/>
      <c r="DG88" s="162"/>
      <c r="DH88" s="164"/>
      <c r="DI88" s="164"/>
      <c r="DJ88" s="164"/>
      <c r="DK88" s="165"/>
      <c r="DL88" s="165"/>
      <c r="DM88" s="166"/>
      <c r="DN88" s="161"/>
      <c r="DO88" s="161"/>
      <c r="DP88" s="161"/>
      <c r="DQ88" s="161"/>
      <c r="DR88" s="161"/>
      <c r="DS88" s="161"/>
      <c r="DT88" s="161"/>
      <c r="DU88" s="161"/>
      <c r="DV88" s="162"/>
      <c r="DW88" s="168"/>
      <c r="DX88" s="168"/>
      <c r="DY88" s="168"/>
      <c r="DZ88" s="168"/>
      <c r="EA88" s="168"/>
      <c r="EB88" s="168"/>
      <c r="EC88" s="168"/>
      <c r="ED88" s="169"/>
      <c r="EE88" s="169"/>
      <c r="EF88" s="165"/>
      <c r="EG88" s="170"/>
      <c r="EH88" s="174"/>
      <c r="EI88" s="174"/>
      <c r="EJ88" s="174"/>
      <c r="EK88" s="174"/>
      <c r="EL88" s="174"/>
      <c r="EM88" s="174"/>
      <c r="EN88" s="174"/>
      <c r="EO88" s="164"/>
      <c r="EP88" s="172"/>
      <c r="EQ88" s="171"/>
      <c r="ER88" s="161"/>
      <c r="ES88" s="161"/>
      <c r="ET88" s="164"/>
      <c r="EU88" s="164"/>
      <c r="EV88" s="164"/>
      <c r="EW88" s="172"/>
      <c r="EX88" s="171"/>
      <c r="EY88" s="161"/>
      <c r="EZ88" s="161"/>
      <c r="FA88" s="161"/>
      <c r="FB88" s="161"/>
      <c r="FC88" s="161"/>
      <c r="FD88" s="161"/>
      <c r="FE88" s="161"/>
      <c r="FF88" s="161"/>
      <c r="FG88" s="161"/>
      <c r="FH88" s="161"/>
    </row>
    <row r="89" spans="9:164">
      <c r="I89" s="200" t="s">
        <v>256</v>
      </c>
      <c r="J89" s="200"/>
      <c r="K89" s="200"/>
      <c r="L89" s="200"/>
      <c r="M89" s="200"/>
      <c r="N89" s="200"/>
      <c r="AN89" s="29"/>
      <c r="AO89" s="29"/>
      <c r="AP89" s="7"/>
      <c r="AQ89" s="7"/>
      <c r="AR89" s="29"/>
      <c r="AS89" s="29"/>
      <c r="AT89" s="29"/>
      <c r="AU89" s="29"/>
      <c r="BC89" s="26"/>
      <c r="BF89" s="26"/>
      <c r="BG89" s="30"/>
      <c r="BH89" s="7"/>
      <c r="BI89" s="64"/>
      <c r="BJ89" s="7"/>
      <c r="BK89" s="7"/>
      <c r="BL89" s="139"/>
      <c r="BM89" s="7"/>
      <c r="BN89" s="7"/>
      <c r="BO89" s="140"/>
      <c r="BP89" s="69"/>
      <c r="BQ89" s="67"/>
      <c r="BR89" s="7"/>
      <c r="BS89" s="7"/>
      <c r="BT89" s="28"/>
      <c r="BU89" s="28"/>
      <c r="BV89" s="28"/>
      <c r="BW89" s="29"/>
      <c r="BX89" s="136"/>
      <c r="BY89" s="7"/>
      <c r="BZ89" s="68"/>
      <c r="CA89" s="65"/>
      <c r="CB89" s="7"/>
      <c r="CC89" s="83"/>
      <c r="CD89" s="83"/>
      <c r="CE89" s="28"/>
      <c r="CF89" s="7"/>
      <c r="CG89" s="29"/>
      <c r="CH89" s="7"/>
      <c r="DA89" s="161"/>
      <c r="DB89" s="162"/>
      <c r="DC89" s="163"/>
      <c r="DD89" s="163"/>
      <c r="DE89" s="162"/>
      <c r="DF89" s="162"/>
      <c r="DG89" s="162"/>
      <c r="DH89" s="164"/>
      <c r="DI89" s="164"/>
      <c r="DJ89" s="164"/>
      <c r="DK89" s="165"/>
      <c r="DL89" s="165"/>
      <c r="DM89" s="166"/>
      <c r="DN89" s="161"/>
      <c r="DO89" s="161"/>
      <c r="DP89" s="161"/>
      <c r="DQ89" s="161"/>
      <c r="DR89" s="161"/>
      <c r="DS89" s="161"/>
      <c r="DT89" s="161"/>
      <c r="DU89" s="161"/>
      <c r="DV89" s="162"/>
      <c r="DW89" s="168"/>
      <c r="DX89" s="168"/>
      <c r="DY89" s="168"/>
      <c r="DZ89" s="168"/>
      <c r="EA89" s="168"/>
      <c r="EB89" s="168"/>
      <c r="EC89" s="168"/>
      <c r="ED89" s="169"/>
      <c r="EE89" s="169"/>
      <c r="EF89" s="165"/>
      <c r="EG89" s="170"/>
      <c r="EH89" s="174"/>
      <c r="EI89" s="174"/>
      <c r="EJ89" s="174"/>
      <c r="EK89" s="174"/>
      <c r="EL89" s="174"/>
      <c r="EM89" s="174"/>
      <c r="EN89" s="174"/>
      <c r="EO89" s="164"/>
      <c r="EP89" s="172"/>
      <c r="EQ89" s="171"/>
      <c r="ER89" s="161"/>
      <c r="ES89" s="161"/>
      <c r="ET89" s="164"/>
      <c r="EU89" s="164"/>
      <c r="EV89" s="164"/>
      <c r="EW89" s="172"/>
      <c r="EX89" s="171"/>
      <c r="EY89" s="161"/>
      <c r="EZ89" s="161"/>
      <c r="FA89" s="161"/>
      <c r="FB89" s="161"/>
      <c r="FC89" s="161"/>
      <c r="FD89" s="161"/>
      <c r="FE89" s="161"/>
      <c r="FF89" s="161"/>
      <c r="FG89" s="161"/>
      <c r="FH89" s="161"/>
    </row>
    <row r="90" spans="9:164">
      <c r="I90" s="201" t="s">
        <v>241</v>
      </c>
      <c r="J90" s="201"/>
      <c r="K90" s="201"/>
      <c r="L90" s="201"/>
      <c r="M90" s="201"/>
      <c r="N90" s="201"/>
      <c r="AN90" s="29"/>
      <c r="AO90" s="29"/>
      <c r="AP90" s="7"/>
      <c r="AQ90" s="7"/>
      <c r="AR90" s="29"/>
      <c r="AS90" s="29"/>
      <c r="AT90" s="29"/>
      <c r="AU90" s="29"/>
      <c r="BC90" s="26"/>
      <c r="BF90" s="26"/>
      <c r="BG90" s="30"/>
      <c r="BH90" s="7"/>
      <c r="BI90" s="64"/>
      <c r="BJ90" s="7"/>
      <c r="BK90" s="7"/>
      <c r="BL90" s="139"/>
      <c r="BM90" s="7"/>
      <c r="BN90" s="7"/>
      <c r="BO90" s="140"/>
      <c r="BP90" s="69"/>
      <c r="BQ90" s="67"/>
      <c r="BR90" s="7"/>
      <c r="BS90" s="7"/>
      <c r="BT90" s="28"/>
      <c r="BU90" s="28"/>
      <c r="BV90" s="28"/>
      <c r="BW90" s="29"/>
      <c r="BX90" s="136"/>
      <c r="BY90" s="7"/>
      <c r="BZ90" s="68"/>
      <c r="CA90" s="65"/>
      <c r="CB90" s="7"/>
      <c r="CC90" s="83"/>
      <c r="CD90" s="83"/>
      <c r="CE90" s="28"/>
      <c r="CF90" s="7"/>
      <c r="CG90" s="29"/>
      <c r="CH90" s="7"/>
      <c r="DA90" s="161"/>
      <c r="DB90" s="162"/>
      <c r="DC90" s="163"/>
      <c r="DD90" s="163"/>
      <c r="DE90" s="162"/>
      <c r="DF90" s="162"/>
      <c r="DG90" s="162"/>
      <c r="DH90" s="164"/>
      <c r="DI90" s="164"/>
      <c r="DJ90" s="164"/>
      <c r="DK90" s="165"/>
      <c r="DL90" s="165"/>
      <c r="DM90" s="166"/>
      <c r="DN90" s="161"/>
      <c r="DO90" s="161"/>
      <c r="DP90" s="161"/>
      <c r="DQ90" s="161"/>
      <c r="DR90" s="161"/>
      <c r="DS90" s="161"/>
      <c r="DT90" s="161"/>
      <c r="DU90" s="161"/>
      <c r="DV90" s="162"/>
      <c r="DW90" s="168"/>
      <c r="DX90" s="168"/>
      <c r="DY90" s="168"/>
      <c r="DZ90" s="168"/>
      <c r="EA90" s="168"/>
      <c r="EB90" s="168"/>
      <c r="EC90" s="168"/>
      <c r="ED90" s="169"/>
      <c r="EE90" s="169"/>
      <c r="EF90" s="165"/>
      <c r="EG90" s="170"/>
      <c r="EH90" s="174"/>
      <c r="EI90" s="174"/>
      <c r="EJ90" s="174"/>
      <c r="EK90" s="174"/>
      <c r="EL90" s="174"/>
      <c r="EM90" s="174"/>
      <c r="EN90" s="174"/>
      <c r="EO90" s="164"/>
      <c r="EP90" s="172"/>
      <c r="EQ90" s="171"/>
      <c r="ER90" s="161"/>
      <c r="ES90" s="161"/>
      <c r="ET90" s="164"/>
      <c r="EU90" s="164"/>
      <c r="EV90" s="164"/>
      <c r="EW90" s="172"/>
      <c r="EX90" s="171"/>
      <c r="EY90" s="161"/>
      <c r="EZ90" s="161"/>
      <c r="FA90" s="161"/>
      <c r="FB90" s="161"/>
      <c r="FC90" s="161"/>
      <c r="FD90" s="161"/>
      <c r="FE90" s="161"/>
      <c r="FF90" s="161"/>
      <c r="FG90" s="161"/>
      <c r="FH90" s="161"/>
    </row>
    <row r="91" spans="9:164" ht="14.25">
      <c r="I91" s="166"/>
      <c r="J91" s="166" t="s">
        <v>242</v>
      </c>
      <c r="K91" s="166" t="s">
        <v>243</v>
      </c>
      <c r="L91" s="166" t="s">
        <v>244</v>
      </c>
      <c r="M91" s="166" t="s">
        <v>245</v>
      </c>
      <c r="N91" s="166" t="s">
        <v>246</v>
      </c>
      <c r="AN91" s="29"/>
      <c r="AO91" s="29"/>
      <c r="AP91" s="7"/>
      <c r="AQ91" s="7"/>
      <c r="AR91" s="29"/>
      <c r="AS91" s="29"/>
      <c r="AT91" s="29"/>
      <c r="AU91" s="29"/>
      <c r="BC91" s="26"/>
      <c r="BF91" s="26"/>
      <c r="BG91" s="30"/>
      <c r="BH91" s="7"/>
      <c r="BI91" s="64"/>
      <c r="BJ91" s="7"/>
      <c r="BK91" s="7"/>
      <c r="BL91" s="139"/>
      <c r="BM91" s="7"/>
      <c r="BN91" s="7"/>
      <c r="BO91" s="140"/>
      <c r="BP91" s="69"/>
      <c r="BQ91" s="67"/>
      <c r="BR91" s="7"/>
      <c r="BS91" s="7"/>
      <c r="BT91" s="28"/>
      <c r="BU91" s="28"/>
      <c r="BV91" s="28"/>
      <c r="BW91" s="29"/>
      <c r="BX91" s="136"/>
      <c r="BY91" s="7"/>
      <c r="BZ91" s="68"/>
      <c r="CA91" s="65"/>
      <c r="CB91" s="7"/>
      <c r="CC91" s="83"/>
      <c r="CD91" s="83"/>
      <c r="CE91" s="28"/>
      <c r="CF91" s="7"/>
      <c r="CG91" s="29"/>
      <c r="CH91" s="7"/>
      <c r="DA91" s="161"/>
      <c r="DB91" s="162"/>
      <c r="DC91" s="163"/>
      <c r="DD91" s="163"/>
      <c r="DE91" s="162"/>
      <c r="DF91" s="162"/>
      <c r="DG91" s="162"/>
      <c r="DH91" s="164"/>
      <c r="DI91" s="164"/>
      <c r="DJ91" s="164"/>
      <c r="DK91" s="165"/>
      <c r="DL91" s="165"/>
      <c r="DM91" s="166"/>
      <c r="DN91" s="161"/>
      <c r="DO91" s="161"/>
      <c r="DP91" s="161"/>
      <c r="DQ91" s="161"/>
      <c r="DR91" s="161"/>
      <c r="DS91" s="161"/>
      <c r="DT91" s="161"/>
      <c r="DU91" s="161"/>
      <c r="DV91" s="162"/>
      <c r="DW91" s="168"/>
      <c r="DX91" s="168"/>
      <c r="DY91" s="168"/>
      <c r="DZ91" s="168"/>
      <c r="EA91" s="168"/>
      <c r="EB91" s="168"/>
      <c r="EC91" s="168"/>
      <c r="ED91" s="169"/>
      <c r="EE91" s="169"/>
      <c r="EF91" s="165"/>
      <c r="EG91" s="170"/>
      <c r="EH91" s="174"/>
      <c r="EI91" s="174"/>
      <c r="EJ91" s="174"/>
      <c r="EK91" s="174"/>
      <c r="EL91" s="174"/>
      <c r="EM91" s="174"/>
      <c r="EN91" s="174"/>
      <c r="EO91" s="164"/>
      <c r="EP91" s="172"/>
      <c r="EQ91" s="171"/>
      <c r="ER91" s="161"/>
      <c r="ES91" s="161"/>
      <c r="ET91" s="164"/>
      <c r="EU91" s="164"/>
      <c r="EV91" s="164"/>
      <c r="EW91" s="172"/>
      <c r="EX91" s="171"/>
      <c r="EY91" s="161"/>
      <c r="EZ91" s="161"/>
      <c r="FA91" s="161"/>
      <c r="FB91" s="161"/>
      <c r="FC91" s="161"/>
      <c r="FD91" s="161"/>
      <c r="FE91" s="161"/>
      <c r="FF91" s="161"/>
      <c r="FG91" s="161"/>
      <c r="FH91" s="161"/>
    </row>
    <row r="92" spans="9:164">
      <c r="I92" s="178" t="s">
        <v>247</v>
      </c>
      <c r="J92" s="164">
        <v>400</v>
      </c>
      <c r="K92" s="164">
        <v>200</v>
      </c>
      <c r="L92" s="164">
        <v>8</v>
      </c>
      <c r="M92" s="164">
        <v>10</v>
      </c>
      <c r="N92" s="183">
        <f>L92*(J92-2*M92)^3/12+2*(K92*M92^3/12+K92*M92*(J92/2-M92/2)^2)</f>
        <v>188714666.66666669</v>
      </c>
      <c r="AN92" s="29"/>
      <c r="AO92" s="29"/>
      <c r="AP92" s="7"/>
      <c r="AQ92" s="7"/>
      <c r="AR92" s="29"/>
      <c r="AS92" s="29"/>
      <c r="AT92" s="29"/>
      <c r="AU92" s="29"/>
      <c r="BC92" s="26"/>
      <c r="BF92" s="26"/>
      <c r="BG92" s="30"/>
      <c r="BH92" s="7"/>
      <c r="BI92" s="64"/>
      <c r="BJ92" s="7"/>
      <c r="BK92" s="7"/>
      <c r="BL92" s="139"/>
      <c r="BM92" s="7"/>
      <c r="BN92" s="7"/>
      <c r="BO92" s="140"/>
      <c r="BP92" s="69"/>
      <c r="BQ92" s="67"/>
      <c r="BR92" s="7"/>
      <c r="BS92" s="7"/>
      <c r="BT92" s="28"/>
      <c r="BU92" s="28"/>
      <c r="BV92" s="28"/>
      <c r="BW92" s="29"/>
      <c r="BX92" s="136"/>
      <c r="BY92" s="7"/>
      <c r="BZ92" s="68"/>
      <c r="CA92" s="65"/>
      <c r="CB92" s="7"/>
      <c r="CC92" s="83"/>
      <c r="CD92" s="83"/>
      <c r="CE92" s="28"/>
      <c r="CF92" s="7"/>
      <c r="CG92" s="29"/>
      <c r="CH92" s="7"/>
      <c r="DA92" s="161"/>
      <c r="DB92" s="162"/>
      <c r="DC92" s="163"/>
      <c r="DD92" s="163"/>
      <c r="DE92" s="162"/>
      <c r="DF92" s="162"/>
      <c r="DG92" s="162"/>
      <c r="DH92" s="164"/>
      <c r="DI92" s="164"/>
      <c r="DJ92" s="164"/>
      <c r="DK92" s="165"/>
      <c r="DL92" s="165"/>
      <c r="DM92" s="166"/>
      <c r="DN92" s="161"/>
      <c r="DO92" s="161"/>
      <c r="DP92" s="161"/>
      <c r="DQ92" s="161"/>
      <c r="DR92" s="161"/>
      <c r="DS92" s="161"/>
      <c r="DT92" s="161"/>
      <c r="DU92" s="161"/>
      <c r="DV92" s="162"/>
      <c r="DW92" s="168"/>
      <c r="DX92" s="168"/>
      <c r="DY92" s="168"/>
      <c r="DZ92" s="168"/>
      <c r="EA92" s="168"/>
      <c r="EB92" s="168"/>
      <c r="EC92" s="168"/>
      <c r="ED92" s="169"/>
      <c r="EE92" s="169"/>
      <c r="EF92" s="165"/>
      <c r="EG92" s="170"/>
      <c r="EH92" s="174"/>
      <c r="EI92" s="174"/>
      <c r="EJ92" s="174"/>
      <c r="EK92" s="174"/>
      <c r="EL92" s="174"/>
      <c r="EM92" s="174"/>
      <c r="EN92" s="174"/>
      <c r="EO92" s="164"/>
      <c r="EP92" s="172"/>
      <c r="EQ92" s="171"/>
      <c r="ER92" s="161"/>
      <c r="ES92" s="161"/>
      <c r="ET92" s="164"/>
      <c r="EU92" s="164"/>
      <c r="EV92" s="164"/>
      <c r="EW92" s="172"/>
      <c r="EX92" s="171"/>
      <c r="EY92" s="161"/>
      <c r="EZ92" s="161"/>
      <c r="FA92" s="161"/>
      <c r="FB92" s="161"/>
      <c r="FC92" s="161"/>
      <c r="FD92" s="161"/>
      <c r="FE92" s="161"/>
      <c r="FF92" s="161"/>
      <c r="FG92" s="161"/>
      <c r="FH92" s="161"/>
    </row>
    <row r="93" spans="9:164">
      <c r="I93" s="178" t="s">
        <v>257</v>
      </c>
      <c r="J93" s="164">
        <v>500</v>
      </c>
      <c r="K93" s="164">
        <v>200</v>
      </c>
      <c r="L93" s="164">
        <v>8</v>
      </c>
      <c r="M93" s="164">
        <v>10</v>
      </c>
      <c r="N93" s="183">
        <f>L93*(J93-2*M93)^3/12+2*(K93*M93^3/12+K93*M93*(J93/2-M93/2)^2)</f>
        <v>313861333.33333337</v>
      </c>
      <c r="AN93" s="29"/>
      <c r="AO93" s="29"/>
      <c r="AP93" s="7"/>
      <c r="AQ93" s="7"/>
      <c r="AR93" s="29"/>
      <c r="AS93" s="29"/>
      <c r="AT93" s="29"/>
      <c r="AU93" s="29"/>
      <c r="BC93" s="26"/>
      <c r="BF93" s="26"/>
      <c r="BG93" s="30"/>
      <c r="BH93" s="7"/>
      <c r="BI93" s="64"/>
      <c r="BJ93" s="7"/>
      <c r="BK93" s="7"/>
      <c r="BL93" s="139"/>
      <c r="BM93" s="7"/>
      <c r="BN93" s="7"/>
      <c r="BO93" s="140"/>
      <c r="BP93" s="69"/>
      <c r="BQ93" s="67"/>
      <c r="BR93" s="7"/>
      <c r="BS93" s="7"/>
      <c r="BT93" s="28"/>
      <c r="BU93" s="28"/>
      <c r="BV93" s="28"/>
      <c r="BW93" s="29"/>
      <c r="BX93" s="136"/>
      <c r="BY93" s="7"/>
      <c r="BZ93" s="68"/>
      <c r="CA93" s="65"/>
      <c r="CB93" s="7"/>
      <c r="CC93" s="83"/>
      <c r="CD93" s="83"/>
      <c r="CE93" s="28"/>
      <c r="CF93" s="7"/>
      <c r="CG93" s="29"/>
      <c r="CH93" s="7"/>
      <c r="DA93" s="161"/>
      <c r="DB93" s="162"/>
      <c r="DC93" s="163"/>
      <c r="DD93" s="163"/>
      <c r="DE93" s="162"/>
      <c r="DF93" s="162"/>
      <c r="DG93" s="162"/>
      <c r="DH93" s="164"/>
      <c r="DI93" s="164"/>
      <c r="DJ93" s="164"/>
      <c r="DK93" s="165"/>
      <c r="DL93" s="165"/>
      <c r="DM93" s="166"/>
      <c r="DN93" s="161"/>
      <c r="DO93" s="161"/>
      <c r="DP93" s="161"/>
      <c r="DQ93" s="161"/>
      <c r="DR93" s="161"/>
      <c r="DS93" s="161"/>
      <c r="DT93" s="161"/>
      <c r="DU93" s="161"/>
      <c r="DV93" s="162"/>
      <c r="DW93" s="168"/>
      <c r="DX93" s="168"/>
      <c r="DY93" s="168"/>
      <c r="DZ93" s="168"/>
      <c r="EA93" s="168"/>
      <c r="EB93" s="168"/>
      <c r="EC93" s="168"/>
      <c r="ED93" s="169"/>
      <c r="EE93" s="169"/>
      <c r="EF93" s="165"/>
      <c r="EG93" s="170"/>
      <c r="EH93" s="174"/>
      <c r="EI93" s="174"/>
      <c r="EJ93" s="174"/>
      <c r="EK93" s="174"/>
      <c r="EL93" s="174"/>
      <c r="EM93" s="174"/>
      <c r="EN93" s="174"/>
      <c r="EO93" s="164"/>
      <c r="EP93" s="172"/>
      <c r="EQ93" s="171"/>
      <c r="ER93" s="161"/>
      <c r="ES93" s="161"/>
      <c r="ET93" s="164"/>
      <c r="EU93" s="164"/>
      <c r="EV93" s="164"/>
      <c r="EW93" s="172"/>
      <c r="EX93" s="171"/>
      <c r="EY93" s="161"/>
      <c r="EZ93" s="161"/>
      <c r="FA93" s="161"/>
      <c r="FB93" s="161"/>
      <c r="FC93" s="161"/>
      <c r="FD93" s="161"/>
      <c r="FE93" s="161"/>
      <c r="FF93" s="161"/>
      <c r="FG93" s="161"/>
      <c r="FH93" s="161"/>
    </row>
    <row r="94" spans="9:164">
      <c r="I94" s="178" t="s">
        <v>258</v>
      </c>
      <c r="J94" s="164">
        <f>J93</f>
        <v>500</v>
      </c>
      <c r="K94" s="164">
        <f t="shared" ref="K94:M94" si="11">K93</f>
        <v>200</v>
      </c>
      <c r="L94" s="164">
        <f t="shared" si="11"/>
        <v>8</v>
      </c>
      <c r="M94" s="164">
        <f t="shared" si="11"/>
        <v>10</v>
      </c>
      <c r="N94" s="183">
        <f>L94*(J94-2*M94)^3/12+2*(K94*M94^3/12+K94*M94*(J94/2-M94/2)^2)</f>
        <v>313861333.33333337</v>
      </c>
      <c r="AN94" s="29"/>
      <c r="AO94" s="29"/>
      <c r="AP94" s="7"/>
      <c r="AQ94" s="7"/>
      <c r="AR94" s="29"/>
      <c r="AS94" s="29"/>
      <c r="AT94" s="29"/>
      <c r="AU94" s="29"/>
      <c r="BC94" s="26"/>
      <c r="BF94" s="26"/>
      <c r="BG94" s="30"/>
      <c r="BH94" s="7"/>
      <c r="BI94" s="64"/>
      <c r="BJ94" s="7"/>
      <c r="BK94" s="7"/>
      <c r="BL94" s="139"/>
      <c r="BM94" s="7"/>
      <c r="BN94" s="7"/>
      <c r="BO94" s="140"/>
      <c r="BP94" s="69"/>
      <c r="BQ94" s="67"/>
      <c r="BR94" s="7"/>
      <c r="BS94" s="7"/>
      <c r="BT94" s="28"/>
      <c r="BU94" s="28"/>
      <c r="BV94" s="28"/>
      <c r="BW94" s="29"/>
      <c r="BX94" s="136"/>
      <c r="BY94" s="7"/>
      <c r="BZ94" s="68"/>
      <c r="CA94" s="65"/>
      <c r="CB94" s="7"/>
      <c r="CC94" s="83"/>
      <c r="CD94" s="83"/>
      <c r="CE94" s="28"/>
      <c r="CF94" s="7"/>
      <c r="CG94" s="29"/>
      <c r="CH94" s="7"/>
      <c r="DA94" s="161"/>
      <c r="DB94" s="162"/>
      <c r="DC94" s="163"/>
      <c r="DD94" s="163"/>
      <c r="DE94" s="162"/>
      <c r="DF94" s="162"/>
      <c r="DG94" s="162"/>
      <c r="DH94" s="164"/>
      <c r="DI94" s="164"/>
      <c r="DJ94" s="164"/>
      <c r="DK94" s="165"/>
      <c r="DL94" s="165"/>
      <c r="DM94" s="166"/>
      <c r="DN94" s="161"/>
      <c r="DO94" s="161"/>
      <c r="DP94" s="161"/>
      <c r="DQ94" s="161"/>
      <c r="DR94" s="161"/>
      <c r="DS94" s="161"/>
      <c r="DT94" s="161"/>
      <c r="DU94" s="161"/>
      <c r="DV94" s="162"/>
      <c r="DW94" s="168"/>
      <c r="DX94" s="168"/>
      <c r="DY94" s="168"/>
      <c r="DZ94" s="168"/>
      <c r="EA94" s="168"/>
      <c r="EB94" s="168"/>
      <c r="EC94" s="168"/>
      <c r="ED94" s="169"/>
      <c r="EE94" s="169"/>
      <c r="EF94" s="165"/>
      <c r="EG94" s="170"/>
      <c r="EH94" s="174"/>
      <c r="EI94" s="174"/>
      <c r="EJ94" s="174"/>
      <c r="EK94" s="174"/>
      <c r="EL94" s="174"/>
      <c r="EM94" s="174"/>
      <c r="EN94" s="174"/>
      <c r="EO94" s="164"/>
      <c r="EP94" s="172"/>
      <c r="EQ94" s="171"/>
      <c r="ER94" s="161"/>
      <c r="ES94" s="161"/>
      <c r="ET94" s="164"/>
      <c r="EU94" s="164"/>
      <c r="EV94" s="164"/>
      <c r="EW94" s="172"/>
      <c r="EX94" s="171"/>
      <c r="EY94" s="161"/>
      <c r="EZ94" s="161"/>
      <c r="FA94" s="161"/>
      <c r="FB94" s="161"/>
      <c r="FC94" s="161"/>
      <c r="FD94" s="161"/>
      <c r="FE94" s="161"/>
      <c r="FF94" s="161"/>
      <c r="FG94" s="161"/>
      <c r="FH94" s="161"/>
    </row>
    <row r="95" spans="9:164" ht="14.25">
      <c r="I95" s="176" t="s">
        <v>259</v>
      </c>
      <c r="J95" s="179"/>
      <c r="K95" s="164">
        <v>8</v>
      </c>
      <c r="L95" s="202"/>
      <c r="M95" s="203"/>
      <c r="N95" s="203"/>
      <c r="AN95" s="29"/>
      <c r="AO95" s="29"/>
      <c r="AP95" s="7"/>
      <c r="AQ95" s="7"/>
      <c r="AR95" s="29"/>
      <c r="AS95" s="29"/>
      <c r="AT95" s="29"/>
      <c r="AU95" s="29"/>
      <c r="BC95" s="26"/>
      <c r="BF95" s="26"/>
      <c r="BG95" s="30"/>
      <c r="BH95" s="7"/>
      <c r="BI95" s="64"/>
      <c r="BJ95" s="7"/>
      <c r="BK95" s="7"/>
      <c r="BL95" s="139"/>
      <c r="BM95" s="7"/>
      <c r="BN95" s="7"/>
      <c r="BO95" s="140"/>
      <c r="BP95" s="69"/>
      <c r="BQ95" s="67"/>
      <c r="BR95" s="7"/>
      <c r="BS95" s="7"/>
      <c r="BT95" s="28"/>
      <c r="BU95" s="28"/>
      <c r="BV95" s="28"/>
      <c r="BW95" s="29"/>
      <c r="BX95" s="136"/>
      <c r="BY95" s="7"/>
      <c r="BZ95" s="68"/>
      <c r="CA95" s="65"/>
      <c r="CB95" s="7"/>
      <c r="CC95" s="83"/>
      <c r="CD95" s="83"/>
      <c r="CE95" s="28"/>
      <c r="CF95" s="7"/>
      <c r="CG95" s="29"/>
      <c r="CH95" s="7"/>
      <c r="DA95" s="161"/>
      <c r="DB95" s="162"/>
      <c r="DC95" s="163"/>
      <c r="DD95" s="163"/>
      <c r="DE95" s="162"/>
      <c r="DF95" s="162"/>
      <c r="DG95" s="162"/>
      <c r="DH95" s="164"/>
      <c r="DI95" s="164"/>
      <c r="DJ95" s="164"/>
      <c r="DK95" s="165"/>
      <c r="DL95" s="165"/>
      <c r="DM95" s="166"/>
      <c r="DN95" s="161"/>
      <c r="DO95" s="161"/>
      <c r="DP95" s="161"/>
      <c r="DQ95" s="161"/>
      <c r="DR95" s="161"/>
      <c r="DS95" s="161"/>
      <c r="DT95" s="161"/>
      <c r="DU95" s="161"/>
      <c r="DV95" s="162"/>
      <c r="DW95" s="168"/>
      <c r="DX95" s="168"/>
      <c r="DY95" s="168"/>
      <c r="DZ95" s="168"/>
      <c r="EA95" s="168"/>
      <c r="EB95" s="168"/>
      <c r="EC95" s="168"/>
      <c r="ED95" s="169"/>
      <c r="EE95" s="169"/>
      <c r="EF95" s="165"/>
      <c r="EG95" s="170"/>
      <c r="EH95" s="174"/>
      <c r="EI95" s="174"/>
      <c r="EJ95" s="174"/>
      <c r="EK95" s="174"/>
      <c r="EL95" s="174"/>
      <c r="EM95" s="174"/>
      <c r="EN95" s="174"/>
      <c r="EO95" s="164"/>
      <c r="EP95" s="172"/>
      <c r="EQ95" s="171"/>
      <c r="ER95" s="161"/>
      <c r="ES95" s="161"/>
      <c r="ET95" s="164"/>
      <c r="EU95" s="164"/>
      <c r="EV95" s="164"/>
      <c r="EW95" s="172"/>
      <c r="EX95" s="171"/>
      <c r="EY95" s="161"/>
      <c r="EZ95" s="161"/>
      <c r="FA95" s="161"/>
      <c r="FB95" s="161"/>
      <c r="FC95" s="161"/>
      <c r="FD95" s="161"/>
      <c r="FE95" s="161"/>
      <c r="FF95" s="161"/>
      <c r="FG95" s="161"/>
      <c r="FH95" s="161"/>
    </row>
    <row r="96" spans="9:164" ht="14.25">
      <c r="I96" s="176" t="s">
        <v>260</v>
      </c>
      <c r="J96" s="179"/>
      <c r="K96" s="164">
        <v>15</v>
      </c>
      <c r="L96" s="204" t="s">
        <v>261</v>
      </c>
      <c r="M96" s="204"/>
      <c r="N96" s="173">
        <f>(N93*K95)/(N92*K96)</f>
        <v>0.88701484663501395</v>
      </c>
      <c r="AN96" s="29"/>
      <c r="AO96" s="29"/>
      <c r="AP96" s="7"/>
      <c r="AQ96" s="7"/>
      <c r="AR96" s="29"/>
      <c r="AS96" s="29"/>
      <c r="AT96" s="29"/>
      <c r="AU96" s="29"/>
      <c r="BC96" s="26"/>
      <c r="BF96" s="26"/>
      <c r="BG96" s="30"/>
      <c r="BH96" s="7"/>
      <c r="BI96" s="64"/>
      <c r="BJ96" s="7"/>
      <c r="BK96" s="7"/>
      <c r="BL96" s="139"/>
      <c r="BM96" s="7"/>
      <c r="BN96" s="7"/>
      <c r="BO96" s="140"/>
      <c r="BP96" s="69"/>
      <c r="BQ96" s="67"/>
      <c r="BR96" s="7"/>
      <c r="BS96" s="7"/>
      <c r="BT96" s="28"/>
      <c r="BU96" s="28"/>
      <c r="BV96" s="28"/>
      <c r="BW96" s="29"/>
      <c r="BX96" s="136"/>
      <c r="BY96" s="7"/>
      <c r="BZ96" s="68"/>
      <c r="CA96" s="65"/>
      <c r="CB96" s="7"/>
      <c r="CC96" s="83"/>
      <c r="CD96" s="83"/>
      <c r="CE96" s="28"/>
      <c r="CF96" s="7"/>
      <c r="CG96" s="29"/>
      <c r="CH96" s="7"/>
      <c r="DA96" s="161"/>
      <c r="DB96" s="162"/>
      <c r="DC96" s="163"/>
      <c r="DD96" s="163"/>
      <c r="DE96" s="162"/>
      <c r="DF96" s="162"/>
      <c r="DG96" s="162"/>
      <c r="DH96" s="164"/>
      <c r="DI96" s="164"/>
      <c r="DJ96" s="164"/>
      <c r="DK96" s="165"/>
      <c r="DL96" s="165"/>
      <c r="DM96" s="166"/>
      <c r="DN96" s="161"/>
      <c r="DO96" s="161"/>
      <c r="DP96" s="161"/>
      <c r="DQ96" s="161"/>
      <c r="DR96" s="161"/>
      <c r="DS96" s="161"/>
      <c r="DT96" s="161"/>
      <c r="DU96" s="161"/>
      <c r="DV96" s="162"/>
      <c r="DW96" s="168"/>
      <c r="DX96" s="168"/>
      <c r="DY96" s="168"/>
      <c r="DZ96" s="168"/>
      <c r="EA96" s="168"/>
      <c r="EB96" s="168"/>
      <c r="EC96" s="168"/>
      <c r="ED96" s="169"/>
      <c r="EE96" s="169"/>
      <c r="EF96" s="165"/>
      <c r="EG96" s="170"/>
      <c r="EH96" s="174"/>
      <c r="EI96" s="174"/>
      <c r="EJ96" s="174"/>
      <c r="EK96" s="174"/>
      <c r="EL96" s="174"/>
      <c r="EM96" s="174"/>
      <c r="EN96" s="174"/>
      <c r="EO96" s="164"/>
      <c r="EP96" s="172"/>
      <c r="EQ96" s="171"/>
      <c r="ER96" s="161"/>
      <c r="ES96" s="161"/>
      <c r="ET96" s="164"/>
      <c r="EU96" s="164"/>
      <c r="EV96" s="164"/>
      <c r="EW96" s="172"/>
      <c r="EX96" s="171"/>
      <c r="EY96" s="161"/>
      <c r="EZ96" s="161"/>
      <c r="FA96" s="161"/>
      <c r="FB96" s="161"/>
      <c r="FC96" s="161"/>
      <c r="FD96" s="161"/>
      <c r="FE96" s="161"/>
      <c r="FF96" s="161"/>
      <c r="FG96" s="161"/>
      <c r="FH96" s="161"/>
    </row>
    <row r="97" spans="9:164" ht="14.25">
      <c r="I97" s="176" t="s">
        <v>262</v>
      </c>
      <c r="J97" s="179"/>
      <c r="K97" s="164">
        <f>K96</f>
        <v>15</v>
      </c>
      <c r="L97" s="204" t="s">
        <v>263</v>
      </c>
      <c r="M97" s="204"/>
      <c r="N97" s="173">
        <f>(N94*K95)/(N92*K97)</f>
        <v>0.88701484663501395</v>
      </c>
      <c r="AN97" s="29"/>
      <c r="AO97" s="29"/>
      <c r="AP97" s="7"/>
      <c r="AQ97" s="7"/>
      <c r="AR97" s="29"/>
      <c r="AS97" s="29"/>
      <c r="AT97" s="29"/>
      <c r="AU97" s="29"/>
      <c r="BC97" s="26"/>
      <c r="BF97" s="26"/>
      <c r="BG97" s="30"/>
      <c r="BH97" s="7"/>
      <c r="BI97" s="64"/>
      <c r="BJ97" s="7"/>
      <c r="BK97" s="7"/>
      <c r="BL97" s="139"/>
      <c r="BM97" s="7"/>
      <c r="BN97" s="7"/>
      <c r="BO97" s="140"/>
      <c r="BP97" s="69"/>
      <c r="BQ97" s="67"/>
      <c r="BR97" s="7"/>
      <c r="BS97" s="7"/>
      <c r="BT97" s="28"/>
      <c r="BU97" s="28"/>
      <c r="BV97" s="28"/>
      <c r="BW97" s="29"/>
      <c r="BX97" s="136"/>
      <c r="BY97" s="7"/>
      <c r="BZ97" s="68"/>
      <c r="CA97" s="65"/>
      <c r="CB97" s="7"/>
      <c r="CC97" s="83"/>
      <c r="CD97" s="83"/>
      <c r="CE97" s="28"/>
      <c r="CF97" s="7"/>
      <c r="CG97" s="29"/>
      <c r="CH97" s="7"/>
      <c r="DA97" s="161"/>
      <c r="DB97" s="162"/>
      <c r="DC97" s="163"/>
      <c r="DD97" s="163"/>
      <c r="DE97" s="162"/>
      <c r="DF97" s="162"/>
      <c r="DG97" s="162"/>
      <c r="DH97" s="164"/>
      <c r="DI97" s="164"/>
      <c r="DJ97" s="164"/>
      <c r="DK97" s="165"/>
      <c r="DL97" s="165"/>
      <c r="DM97" s="166"/>
      <c r="DN97" s="161"/>
      <c r="DO97" s="161"/>
      <c r="DP97" s="161"/>
      <c r="DQ97" s="161"/>
      <c r="DR97" s="161"/>
      <c r="DS97" s="161"/>
      <c r="DT97" s="161"/>
      <c r="DU97" s="161"/>
      <c r="DV97" s="162"/>
      <c r="DW97" s="168"/>
      <c r="DX97" s="168"/>
      <c r="DY97" s="168"/>
      <c r="DZ97" s="168"/>
      <c r="EA97" s="168"/>
      <c r="EB97" s="168"/>
      <c r="EC97" s="168"/>
      <c r="ED97" s="169"/>
      <c r="EE97" s="169"/>
      <c r="EF97" s="165"/>
      <c r="EG97" s="170"/>
      <c r="EH97" s="174"/>
      <c r="EI97" s="174"/>
      <c r="EJ97" s="174"/>
      <c r="EK97" s="174"/>
      <c r="EL97" s="174"/>
      <c r="EM97" s="174"/>
      <c r="EN97" s="174"/>
      <c r="EO97" s="164"/>
      <c r="EP97" s="172"/>
      <c r="EQ97" s="171"/>
      <c r="ER97" s="161"/>
      <c r="ES97" s="161"/>
      <c r="ET97" s="164"/>
      <c r="EU97" s="164"/>
      <c r="EV97" s="164"/>
      <c r="EW97" s="172"/>
      <c r="EX97" s="171"/>
      <c r="EY97" s="161"/>
      <c r="EZ97" s="161"/>
      <c r="FA97" s="161"/>
      <c r="FB97" s="161"/>
      <c r="FC97" s="161"/>
      <c r="FD97" s="161"/>
      <c r="FE97" s="161"/>
      <c r="FF97" s="161"/>
      <c r="FG97" s="161"/>
      <c r="FH97" s="161"/>
    </row>
    <row r="98" spans="9:164">
      <c r="I98" s="180" t="s">
        <v>264</v>
      </c>
      <c r="J98" s="181"/>
      <c r="K98" s="164">
        <v>2</v>
      </c>
      <c r="L98" s="205" t="s">
        <v>253</v>
      </c>
      <c r="M98" s="206"/>
      <c r="N98" s="173">
        <f>K98*(N96+N97)/(K98+1)</f>
        <v>1.1826864621800186</v>
      </c>
      <c r="AN98" s="29"/>
      <c r="AO98" s="29"/>
      <c r="AP98" s="7"/>
      <c r="AQ98" s="7"/>
      <c r="AR98" s="29"/>
      <c r="AS98" s="29"/>
      <c r="AT98" s="29"/>
      <c r="AU98" s="29"/>
      <c r="BC98" s="26"/>
      <c r="BF98" s="26"/>
      <c r="BG98" s="30"/>
      <c r="BH98" s="7"/>
      <c r="BI98" s="64"/>
      <c r="BJ98" s="7"/>
      <c r="BK98" s="7"/>
      <c r="BL98" s="139"/>
      <c r="BM98" s="7"/>
      <c r="BN98" s="7"/>
      <c r="BO98" s="140"/>
      <c r="BP98" s="69"/>
      <c r="BQ98" s="67"/>
      <c r="BR98" s="7"/>
      <c r="BS98" s="7"/>
      <c r="BT98" s="28"/>
      <c r="BU98" s="28"/>
      <c r="BV98" s="28"/>
      <c r="BW98" s="29"/>
      <c r="BX98" s="136"/>
      <c r="BY98" s="7"/>
      <c r="BZ98" s="68"/>
      <c r="CA98" s="65"/>
      <c r="CB98" s="7"/>
      <c r="CC98" s="83"/>
      <c r="CD98" s="83"/>
      <c r="CE98" s="28"/>
      <c r="CF98" s="7"/>
      <c r="CG98" s="29"/>
      <c r="CH98" s="7"/>
      <c r="DA98" s="161"/>
      <c r="DB98" s="162"/>
      <c r="DC98" s="163"/>
      <c r="DD98" s="163"/>
      <c r="DE98" s="162"/>
      <c r="DF98" s="162"/>
      <c r="DG98" s="162"/>
      <c r="DH98" s="164"/>
      <c r="DI98" s="164"/>
      <c r="DJ98" s="164"/>
      <c r="DK98" s="165"/>
      <c r="DL98" s="165"/>
      <c r="DM98" s="166"/>
      <c r="DN98" s="161"/>
      <c r="DO98" s="161"/>
      <c r="DP98" s="161"/>
      <c r="DQ98" s="161"/>
      <c r="DR98" s="161"/>
      <c r="DS98" s="161"/>
      <c r="DT98" s="161"/>
      <c r="DU98" s="161"/>
      <c r="DV98" s="162"/>
      <c r="DW98" s="168"/>
      <c r="DX98" s="168"/>
      <c r="DY98" s="168"/>
      <c r="DZ98" s="168"/>
      <c r="EA98" s="168"/>
      <c r="EB98" s="168"/>
      <c r="EC98" s="168"/>
      <c r="ED98" s="169"/>
      <c r="EE98" s="169"/>
      <c r="EF98" s="165"/>
      <c r="EG98" s="170"/>
      <c r="EH98" s="174"/>
      <c r="EI98" s="174"/>
      <c r="EJ98" s="174"/>
      <c r="EK98" s="174"/>
      <c r="EL98" s="174"/>
      <c r="EM98" s="174"/>
      <c r="EN98" s="174"/>
      <c r="EO98" s="164"/>
      <c r="EP98" s="172"/>
      <c r="EQ98" s="171"/>
      <c r="ER98" s="161"/>
      <c r="ES98" s="161"/>
      <c r="ET98" s="164"/>
      <c r="EU98" s="164"/>
      <c r="EV98" s="164"/>
      <c r="EW98" s="172"/>
      <c r="EX98" s="171"/>
      <c r="EY98" s="161"/>
      <c r="EZ98" s="161"/>
      <c r="FA98" s="161"/>
      <c r="FB98" s="161"/>
      <c r="FC98" s="161"/>
      <c r="FD98" s="161"/>
      <c r="FE98" s="161"/>
      <c r="FF98" s="161"/>
      <c r="FG98" s="161"/>
      <c r="FH98" s="161"/>
    </row>
    <row r="99" spans="9:164" ht="15">
      <c r="I99" s="204" t="s">
        <v>254</v>
      </c>
      <c r="J99" s="204"/>
      <c r="K99" s="204"/>
      <c r="L99" s="204"/>
      <c r="M99" s="204"/>
      <c r="N99" s="182">
        <f>2*SQRT(1+0.38/N98)</f>
        <v>2.2989583737513306</v>
      </c>
      <c r="AN99" s="29"/>
      <c r="AO99" s="29"/>
      <c r="AP99" s="7"/>
      <c r="AQ99" s="7"/>
      <c r="AR99" s="29"/>
      <c r="AS99" s="29"/>
      <c r="AT99" s="29"/>
      <c r="AU99" s="29"/>
      <c r="BC99" s="26"/>
      <c r="BF99" s="26"/>
      <c r="BG99" s="30"/>
      <c r="BH99" s="7"/>
      <c r="BI99" s="64"/>
      <c r="BJ99" s="7"/>
      <c r="BK99" s="7"/>
      <c r="BL99" s="139"/>
      <c r="BM99" s="7"/>
      <c r="BN99" s="7"/>
      <c r="BO99" s="140"/>
      <c r="BP99" s="69"/>
      <c r="BQ99" s="67"/>
      <c r="BR99" s="7"/>
      <c r="BS99" s="7"/>
      <c r="BT99" s="28"/>
      <c r="BU99" s="28"/>
      <c r="BV99" s="28"/>
      <c r="BW99" s="29"/>
      <c r="BX99" s="136"/>
      <c r="BY99" s="7"/>
      <c r="BZ99" s="68"/>
      <c r="CA99" s="65"/>
      <c r="CB99" s="7"/>
      <c r="CC99" s="83"/>
      <c r="CD99" s="83"/>
      <c r="CE99" s="28"/>
      <c r="CF99" s="7"/>
      <c r="CG99" s="29"/>
      <c r="CH99" s="7"/>
      <c r="DA99" s="161"/>
      <c r="DB99" s="162"/>
      <c r="DC99" s="163"/>
      <c r="DD99" s="163"/>
      <c r="DE99" s="162"/>
      <c r="DF99" s="162"/>
      <c r="DG99" s="162"/>
      <c r="DH99" s="164"/>
      <c r="DI99" s="164"/>
      <c r="DJ99" s="164"/>
      <c r="DK99" s="165"/>
      <c r="DL99" s="165"/>
      <c r="DM99" s="166"/>
      <c r="DN99" s="161"/>
      <c r="DO99" s="161"/>
      <c r="DP99" s="161"/>
      <c r="DQ99" s="161"/>
      <c r="DR99" s="161"/>
      <c r="DS99" s="161"/>
      <c r="DT99" s="161"/>
      <c r="DU99" s="161"/>
      <c r="DV99" s="162"/>
      <c r="DW99" s="168"/>
      <c r="DX99" s="168"/>
      <c r="DY99" s="168"/>
      <c r="DZ99" s="168"/>
      <c r="EA99" s="168"/>
      <c r="EB99" s="168"/>
      <c r="EC99" s="168"/>
      <c r="ED99" s="169"/>
      <c r="EE99" s="169"/>
      <c r="EF99" s="165"/>
      <c r="EG99" s="170"/>
      <c r="EH99" s="174"/>
      <c r="EI99" s="174"/>
      <c r="EJ99" s="174"/>
      <c r="EK99" s="174"/>
      <c r="EL99" s="174"/>
      <c r="EM99" s="174"/>
      <c r="EN99" s="174"/>
      <c r="EO99" s="164"/>
      <c r="EP99" s="172"/>
      <c r="EQ99" s="171"/>
      <c r="ER99" s="161"/>
      <c r="ES99" s="161"/>
      <c r="ET99" s="164"/>
      <c r="EU99" s="164"/>
      <c r="EV99" s="164"/>
      <c r="EW99" s="172"/>
      <c r="EX99" s="171"/>
      <c r="EY99" s="161"/>
      <c r="EZ99" s="161"/>
      <c r="FA99" s="161"/>
      <c r="FB99" s="161"/>
      <c r="FC99" s="161"/>
      <c r="FD99" s="161"/>
      <c r="FE99" s="161"/>
      <c r="FF99" s="161"/>
      <c r="FG99" s="161"/>
      <c r="FH99" s="161"/>
    </row>
    <row r="100" spans="9:164" ht="15">
      <c r="I100" s="204" t="s">
        <v>255</v>
      </c>
      <c r="J100" s="204"/>
      <c r="K100" s="204"/>
      <c r="L100" s="204"/>
      <c r="M100" s="204"/>
      <c r="N100" s="182">
        <f>SQRT((N98+0.56)/(N98+0.14))</f>
        <v>1.1478395228546112</v>
      </c>
      <c r="AN100" s="29"/>
      <c r="AO100" s="29"/>
      <c r="AP100" s="7"/>
      <c r="AQ100" s="7"/>
      <c r="AR100" s="29"/>
      <c r="AS100" s="29"/>
      <c r="AT100" s="29"/>
      <c r="AU100" s="29"/>
      <c r="BC100" s="26"/>
      <c r="BF100" s="26"/>
      <c r="BG100" s="30"/>
      <c r="BH100" s="7"/>
      <c r="BI100" s="64"/>
      <c r="BJ100" s="7"/>
      <c r="BK100" s="7"/>
      <c r="BL100" s="139"/>
      <c r="BM100" s="7"/>
      <c r="BN100" s="7"/>
      <c r="BO100" s="140"/>
      <c r="BP100" s="69"/>
      <c r="BQ100" s="67"/>
      <c r="BR100" s="7"/>
      <c r="BS100" s="7"/>
      <c r="BT100" s="28"/>
      <c r="BU100" s="28"/>
      <c r="BV100" s="28"/>
      <c r="BW100" s="29"/>
      <c r="BX100" s="136"/>
      <c r="BY100" s="7"/>
      <c r="BZ100" s="68"/>
      <c r="CA100" s="65"/>
      <c r="CB100" s="7"/>
      <c r="CC100" s="83"/>
      <c r="CD100" s="83"/>
      <c r="CE100" s="28"/>
      <c r="CF100" s="7"/>
      <c r="CG100" s="29"/>
      <c r="CH100" s="7"/>
      <c r="DA100" s="161"/>
      <c r="DB100" s="162"/>
      <c r="DC100" s="163"/>
      <c r="DD100" s="163"/>
      <c r="DE100" s="162"/>
      <c r="DF100" s="162"/>
      <c r="DG100" s="162"/>
      <c r="DH100" s="164"/>
      <c r="DI100" s="164"/>
      <c r="DJ100" s="164"/>
      <c r="DK100" s="165"/>
      <c r="DL100" s="165"/>
      <c r="DM100" s="166"/>
      <c r="DN100" s="161"/>
      <c r="DO100" s="161"/>
      <c r="DP100" s="161"/>
      <c r="DQ100" s="161"/>
      <c r="DR100" s="161"/>
      <c r="DS100" s="161"/>
      <c r="DT100" s="161"/>
      <c r="DU100" s="161"/>
      <c r="DV100" s="162"/>
      <c r="DW100" s="168"/>
      <c r="DX100" s="168"/>
      <c r="DY100" s="168"/>
      <c r="DZ100" s="168"/>
      <c r="EA100" s="168"/>
      <c r="EB100" s="168"/>
      <c r="EC100" s="168"/>
      <c r="ED100" s="169"/>
      <c r="EE100" s="169"/>
      <c r="EF100" s="165"/>
      <c r="EG100" s="170"/>
      <c r="EH100" s="174"/>
      <c r="EI100" s="174"/>
      <c r="EJ100" s="174"/>
      <c r="EK100" s="174"/>
      <c r="EL100" s="174"/>
      <c r="EM100" s="174"/>
      <c r="EN100" s="174"/>
      <c r="EO100" s="164"/>
      <c r="EP100" s="172"/>
      <c r="EQ100" s="171"/>
      <c r="ER100" s="161"/>
      <c r="ES100" s="161"/>
      <c r="ET100" s="164"/>
      <c r="EU100" s="164"/>
      <c r="EV100" s="164"/>
      <c r="EW100" s="172"/>
      <c r="EX100" s="171"/>
      <c r="EY100" s="161"/>
      <c r="EZ100" s="161"/>
      <c r="FA100" s="161"/>
      <c r="FB100" s="161"/>
      <c r="FC100" s="161"/>
      <c r="FD100" s="161"/>
      <c r="FE100" s="161"/>
      <c r="FF100" s="161"/>
      <c r="FG100" s="161"/>
      <c r="FH100" s="161"/>
    </row>
    <row r="101" spans="9:164">
      <c r="AN101" s="29"/>
      <c r="AO101" s="29"/>
      <c r="AP101" s="7"/>
      <c r="AQ101" s="7"/>
      <c r="AR101" s="29"/>
      <c r="AS101" s="29"/>
      <c r="AT101" s="29"/>
      <c r="AU101" s="29"/>
      <c r="BC101" s="26"/>
      <c r="BF101" s="26"/>
      <c r="BG101" s="30"/>
      <c r="BH101" s="7"/>
      <c r="BI101" s="64"/>
      <c r="BJ101" s="7"/>
      <c r="BK101" s="7"/>
      <c r="BL101" s="139"/>
      <c r="BM101" s="7"/>
      <c r="BN101" s="7"/>
      <c r="BO101" s="140"/>
      <c r="BP101" s="69"/>
      <c r="BQ101" s="67"/>
      <c r="BR101" s="7"/>
      <c r="BS101" s="7"/>
      <c r="BT101" s="28"/>
      <c r="BU101" s="28"/>
      <c r="BV101" s="28"/>
      <c r="BW101" s="29"/>
      <c r="BX101" s="136"/>
      <c r="BY101" s="7"/>
      <c r="BZ101" s="68"/>
      <c r="CA101" s="65"/>
      <c r="CB101" s="7"/>
      <c r="CC101" s="83"/>
      <c r="CD101" s="83"/>
      <c r="CE101" s="28"/>
      <c r="CF101" s="7"/>
      <c r="CG101" s="29"/>
      <c r="CH101" s="7"/>
      <c r="DA101" s="161"/>
      <c r="DB101" s="162"/>
      <c r="DC101" s="163"/>
      <c r="DD101" s="163"/>
      <c r="DE101" s="162"/>
      <c r="DF101" s="162"/>
      <c r="DG101" s="162"/>
      <c r="DH101" s="164"/>
      <c r="DI101" s="164"/>
      <c r="DJ101" s="164"/>
      <c r="DK101" s="165"/>
      <c r="DL101" s="165"/>
      <c r="DM101" s="166"/>
      <c r="DN101" s="161"/>
      <c r="DO101" s="161"/>
      <c r="DP101" s="161"/>
      <c r="DQ101" s="161"/>
      <c r="DR101" s="161"/>
      <c r="DS101" s="161"/>
      <c r="DT101" s="161"/>
      <c r="DU101" s="161"/>
      <c r="DV101" s="162"/>
      <c r="DW101" s="168"/>
      <c r="DX101" s="168"/>
      <c r="DY101" s="168"/>
      <c r="DZ101" s="168"/>
      <c r="EA101" s="168"/>
      <c r="EB101" s="168"/>
      <c r="EC101" s="168"/>
      <c r="ED101" s="169"/>
      <c r="EE101" s="169"/>
      <c r="EF101" s="165"/>
      <c r="EG101" s="170"/>
      <c r="EH101" s="174"/>
      <c r="EI101" s="174"/>
      <c r="EJ101" s="174"/>
      <c r="EK101" s="174"/>
      <c r="EL101" s="174"/>
      <c r="EM101" s="174"/>
      <c r="EN101" s="174"/>
      <c r="EO101" s="164"/>
      <c r="EP101" s="172"/>
      <c r="EQ101" s="171"/>
      <c r="ER101" s="161"/>
      <c r="ES101" s="161"/>
      <c r="ET101" s="164"/>
      <c r="EU101" s="164"/>
      <c r="EV101" s="164"/>
      <c r="EW101" s="172"/>
      <c r="EX101" s="171"/>
      <c r="EY101" s="161"/>
      <c r="EZ101" s="161"/>
      <c r="FA101" s="161"/>
      <c r="FB101" s="161"/>
      <c r="FC101" s="161"/>
      <c r="FD101" s="161"/>
      <c r="FE101" s="161"/>
      <c r="FF101" s="161"/>
      <c r="FG101" s="161"/>
      <c r="FH101" s="161"/>
    </row>
    <row r="102" spans="9:164">
      <c r="AN102" s="29"/>
      <c r="AO102" s="29"/>
      <c r="AP102" s="7"/>
      <c r="AQ102" s="7"/>
      <c r="AR102" s="29"/>
      <c r="AS102" s="29"/>
      <c r="AT102" s="29"/>
      <c r="AU102" s="29"/>
      <c r="BC102" s="26"/>
      <c r="BF102" s="26"/>
      <c r="BG102" s="30"/>
      <c r="BH102" s="7"/>
      <c r="BI102" s="64"/>
      <c r="BJ102" s="7"/>
      <c r="BK102" s="7"/>
      <c r="BL102" s="139"/>
      <c r="BM102" s="7"/>
      <c r="BN102" s="7"/>
      <c r="BO102" s="140"/>
      <c r="BP102" s="69"/>
      <c r="BQ102" s="67"/>
      <c r="BR102" s="7"/>
      <c r="BS102" s="7"/>
      <c r="BT102" s="28"/>
      <c r="BU102" s="28"/>
      <c r="BV102" s="28"/>
      <c r="BW102" s="29"/>
      <c r="BX102" s="136"/>
      <c r="BY102" s="7"/>
      <c r="BZ102" s="68"/>
      <c r="CA102" s="65"/>
      <c r="CB102" s="7"/>
      <c r="CC102" s="83"/>
      <c r="CD102" s="83"/>
      <c r="CE102" s="28"/>
      <c r="CF102" s="7"/>
      <c r="CG102" s="29"/>
      <c r="CH102" s="7"/>
      <c r="DA102" s="161"/>
      <c r="DB102" s="162"/>
      <c r="DC102" s="163"/>
      <c r="DD102" s="163"/>
      <c r="DE102" s="162"/>
      <c r="DF102" s="162"/>
      <c r="DG102" s="162"/>
      <c r="DH102" s="164"/>
      <c r="DI102" s="164"/>
      <c r="DJ102" s="164"/>
      <c r="DK102" s="165"/>
      <c r="DL102" s="165"/>
      <c r="DM102" s="166"/>
      <c r="DN102" s="161"/>
      <c r="DO102" s="161"/>
      <c r="DP102" s="161"/>
      <c r="DQ102" s="161"/>
      <c r="DR102" s="161"/>
      <c r="DS102" s="161"/>
      <c r="DT102" s="161"/>
      <c r="DU102" s="161"/>
      <c r="DV102" s="162"/>
      <c r="DW102" s="168"/>
      <c r="DX102" s="168"/>
      <c r="DY102" s="168"/>
      <c r="DZ102" s="168"/>
      <c r="EA102" s="168"/>
      <c r="EB102" s="168"/>
      <c r="EC102" s="168"/>
      <c r="ED102" s="169"/>
      <c r="EE102" s="169"/>
      <c r="EF102" s="165"/>
      <c r="EG102" s="170"/>
      <c r="EH102" s="174"/>
      <c r="EI102" s="174"/>
      <c r="EJ102" s="174"/>
      <c r="EK102" s="174"/>
      <c r="EL102" s="174"/>
      <c r="EM102" s="174"/>
      <c r="EN102" s="174"/>
      <c r="EO102" s="164"/>
      <c r="EP102" s="172"/>
      <c r="EQ102" s="171"/>
      <c r="ER102" s="161"/>
      <c r="ES102" s="161"/>
      <c r="ET102" s="164"/>
      <c r="EU102" s="164"/>
      <c r="EV102" s="164"/>
      <c r="EW102" s="172"/>
      <c r="EX102" s="171"/>
      <c r="EY102" s="161"/>
      <c r="EZ102" s="161"/>
      <c r="FA102" s="161"/>
      <c r="FB102" s="161"/>
      <c r="FC102" s="161"/>
      <c r="FD102" s="161"/>
      <c r="FE102" s="161"/>
      <c r="FF102" s="161"/>
      <c r="FG102" s="161"/>
      <c r="FH102" s="161"/>
    </row>
    <row r="103" spans="9:164">
      <c r="AN103" s="29"/>
      <c r="AO103" s="29"/>
      <c r="AP103" s="7"/>
      <c r="AQ103" s="7"/>
      <c r="AR103" s="29"/>
      <c r="AS103" s="29"/>
      <c r="AT103" s="29"/>
      <c r="AU103" s="29"/>
      <c r="BC103" s="26"/>
      <c r="BF103" s="26"/>
      <c r="BG103" s="30"/>
      <c r="BH103" s="7"/>
      <c r="BI103" s="64"/>
      <c r="BJ103" s="7"/>
      <c r="BK103" s="7"/>
      <c r="BL103" s="139"/>
      <c r="BM103" s="7"/>
      <c r="BN103" s="7"/>
      <c r="BO103" s="140"/>
      <c r="BP103" s="69"/>
      <c r="BQ103" s="67"/>
      <c r="BR103" s="7"/>
      <c r="BS103" s="7"/>
      <c r="BT103" s="28"/>
      <c r="BU103" s="28"/>
      <c r="BV103" s="28"/>
      <c r="BW103" s="29"/>
      <c r="BX103" s="136"/>
      <c r="BY103" s="7"/>
      <c r="BZ103" s="68"/>
      <c r="CA103" s="65"/>
      <c r="CB103" s="7"/>
      <c r="CC103" s="83"/>
      <c r="CD103" s="83"/>
      <c r="CE103" s="28"/>
      <c r="CF103" s="7"/>
      <c r="CG103" s="29"/>
      <c r="CH103" s="7"/>
      <c r="DA103" s="161"/>
      <c r="DB103" s="162"/>
      <c r="DC103" s="163"/>
      <c r="DD103" s="163"/>
      <c r="DE103" s="162"/>
      <c r="DF103" s="162"/>
      <c r="DG103" s="162"/>
      <c r="DH103" s="164"/>
      <c r="DI103" s="164"/>
      <c r="DJ103" s="164"/>
      <c r="DK103" s="165"/>
      <c r="DL103" s="165"/>
      <c r="DM103" s="166"/>
      <c r="DN103" s="161"/>
      <c r="DO103" s="161"/>
      <c r="DP103" s="161"/>
      <c r="DQ103" s="161"/>
      <c r="DR103" s="161"/>
      <c r="DS103" s="161"/>
      <c r="DT103" s="161"/>
      <c r="DU103" s="161"/>
      <c r="DV103" s="162"/>
      <c r="DW103" s="168"/>
      <c r="DX103" s="168"/>
      <c r="DY103" s="168"/>
      <c r="DZ103" s="168"/>
      <c r="EA103" s="168"/>
      <c r="EB103" s="168"/>
      <c r="EC103" s="168"/>
      <c r="ED103" s="169"/>
      <c r="EE103" s="169"/>
      <c r="EF103" s="165"/>
      <c r="EG103" s="170"/>
      <c r="EH103" s="174"/>
      <c r="EI103" s="174"/>
      <c r="EJ103" s="174"/>
      <c r="EK103" s="174"/>
      <c r="EL103" s="174"/>
      <c r="EM103" s="174"/>
      <c r="EN103" s="174"/>
      <c r="EO103" s="164"/>
      <c r="EP103" s="172"/>
      <c r="EQ103" s="171"/>
      <c r="ER103" s="161"/>
      <c r="ES103" s="161"/>
      <c r="ET103" s="164"/>
      <c r="EU103" s="164"/>
      <c r="EV103" s="164"/>
      <c r="EW103" s="172"/>
      <c r="EX103" s="171"/>
      <c r="EY103" s="161"/>
      <c r="EZ103" s="161"/>
      <c r="FA103" s="161"/>
      <c r="FB103" s="161"/>
      <c r="FC103" s="161"/>
      <c r="FD103" s="161"/>
      <c r="FE103" s="161"/>
      <c r="FF103" s="161"/>
      <c r="FG103" s="161"/>
      <c r="FH103" s="161"/>
    </row>
    <row r="104" spans="9:164">
      <c r="AN104" s="29"/>
      <c r="AO104" s="29"/>
      <c r="AP104" s="7"/>
      <c r="AQ104" s="7"/>
      <c r="AR104" s="29"/>
      <c r="AS104" s="29"/>
      <c r="AT104" s="29"/>
      <c r="AU104" s="29"/>
      <c r="BC104" s="26"/>
      <c r="BF104" s="26"/>
      <c r="BG104" s="30"/>
      <c r="BH104" s="7"/>
      <c r="BI104" s="64"/>
      <c r="BJ104" s="7"/>
      <c r="BK104" s="7"/>
      <c r="BL104" s="139"/>
      <c r="BM104" s="7"/>
      <c r="BN104" s="7"/>
      <c r="BO104" s="140"/>
      <c r="BP104" s="69"/>
      <c r="BQ104" s="67"/>
      <c r="BR104" s="7"/>
      <c r="BS104" s="7"/>
      <c r="BT104" s="28"/>
      <c r="BU104" s="28"/>
      <c r="BV104" s="28"/>
      <c r="BW104" s="29"/>
      <c r="BX104" s="136"/>
      <c r="BY104" s="7"/>
      <c r="BZ104" s="68"/>
      <c r="CA104" s="65"/>
      <c r="CB104" s="7"/>
      <c r="CC104" s="83"/>
      <c r="CD104" s="83"/>
      <c r="CE104" s="28"/>
      <c r="CF104" s="7"/>
      <c r="CG104" s="29"/>
      <c r="CH104" s="7"/>
      <c r="DA104" s="161"/>
      <c r="DB104" s="162"/>
      <c r="DC104" s="163"/>
      <c r="DD104" s="163"/>
      <c r="DE104" s="162"/>
      <c r="DF104" s="162"/>
      <c r="DG104" s="162"/>
      <c r="DH104" s="164"/>
      <c r="DI104" s="164"/>
      <c r="DJ104" s="164"/>
      <c r="DK104" s="165"/>
      <c r="DL104" s="165"/>
      <c r="DM104" s="166"/>
      <c r="DN104" s="161"/>
      <c r="DO104" s="161"/>
      <c r="DP104" s="161"/>
      <c r="DQ104" s="161"/>
      <c r="DR104" s="161"/>
      <c r="DS104" s="161"/>
      <c r="DT104" s="161"/>
      <c r="DU104" s="161"/>
      <c r="DV104" s="162"/>
      <c r="DW104" s="168"/>
      <c r="DX104" s="168"/>
      <c r="DY104" s="168"/>
      <c r="DZ104" s="168"/>
      <c r="EA104" s="168"/>
      <c r="EB104" s="168"/>
      <c r="EC104" s="168"/>
      <c r="ED104" s="169"/>
      <c r="EE104" s="169"/>
      <c r="EF104" s="165"/>
      <c r="EG104" s="170"/>
      <c r="EH104" s="174"/>
      <c r="EI104" s="174"/>
      <c r="EJ104" s="174"/>
      <c r="EK104" s="174"/>
      <c r="EL104" s="174"/>
      <c r="EM104" s="174"/>
      <c r="EN104" s="174"/>
      <c r="EO104" s="164"/>
      <c r="EP104" s="172"/>
      <c r="EQ104" s="171"/>
      <c r="ER104" s="161"/>
      <c r="ES104" s="161"/>
      <c r="ET104" s="164"/>
      <c r="EU104" s="164"/>
      <c r="EV104" s="164"/>
      <c r="EW104" s="172"/>
      <c r="EX104" s="171"/>
      <c r="EY104" s="161"/>
      <c r="EZ104" s="161"/>
      <c r="FA104" s="161"/>
      <c r="FB104" s="161"/>
      <c r="FC104" s="161"/>
      <c r="FD104" s="161"/>
      <c r="FE104" s="161"/>
      <c r="FF104" s="161"/>
      <c r="FG104" s="161"/>
      <c r="FH104" s="161"/>
    </row>
    <row r="105" spans="9:164">
      <c r="AN105" s="29"/>
      <c r="AO105" s="29"/>
      <c r="AP105" s="7"/>
      <c r="AQ105" s="7"/>
      <c r="AR105" s="29"/>
      <c r="AS105" s="29"/>
      <c r="AT105" s="29"/>
      <c r="AU105" s="29"/>
      <c r="BC105" s="26"/>
      <c r="BF105" s="26"/>
      <c r="BG105" s="30"/>
      <c r="BH105" s="7"/>
      <c r="BI105" s="64"/>
      <c r="BJ105" s="7"/>
      <c r="BK105" s="7"/>
      <c r="BL105" s="139"/>
      <c r="BM105" s="7"/>
      <c r="BN105" s="7"/>
      <c r="BO105" s="140"/>
      <c r="BP105" s="69"/>
      <c r="BQ105" s="67"/>
      <c r="BR105" s="7"/>
      <c r="BS105" s="7"/>
      <c r="BT105" s="28"/>
      <c r="BU105" s="28"/>
      <c r="BV105" s="28"/>
      <c r="BW105" s="29"/>
      <c r="BX105" s="136"/>
      <c r="BY105" s="7"/>
      <c r="BZ105" s="68"/>
      <c r="CA105" s="65"/>
      <c r="CB105" s="7"/>
      <c r="CC105" s="83"/>
      <c r="CD105" s="83"/>
      <c r="CE105" s="28"/>
      <c r="CF105" s="7"/>
      <c r="CG105" s="29"/>
      <c r="CH105" s="7"/>
      <c r="DA105" s="161"/>
      <c r="DB105" s="162"/>
      <c r="DC105" s="163"/>
      <c r="DD105" s="163"/>
      <c r="DE105" s="162"/>
      <c r="DF105" s="162"/>
      <c r="DG105" s="162"/>
      <c r="DH105" s="164"/>
      <c r="DI105" s="164"/>
      <c r="DJ105" s="164"/>
      <c r="DK105" s="165"/>
      <c r="DL105" s="165"/>
      <c r="DM105" s="166"/>
      <c r="DN105" s="161"/>
      <c r="DO105" s="161"/>
      <c r="DP105" s="161"/>
      <c r="DQ105" s="161"/>
      <c r="DR105" s="161"/>
      <c r="DS105" s="161"/>
      <c r="DT105" s="161"/>
      <c r="DU105" s="161"/>
      <c r="DV105" s="162"/>
      <c r="DW105" s="168"/>
      <c r="DX105" s="168"/>
      <c r="DY105" s="168"/>
      <c r="DZ105" s="168"/>
      <c r="EA105" s="168"/>
      <c r="EB105" s="168"/>
      <c r="EC105" s="168"/>
      <c r="ED105" s="169"/>
      <c r="EE105" s="169"/>
      <c r="EF105" s="165"/>
      <c r="EG105" s="170"/>
      <c r="EH105" s="174"/>
      <c r="EI105" s="174"/>
      <c r="EJ105" s="174"/>
      <c r="EK105" s="174"/>
      <c r="EL105" s="174"/>
      <c r="EM105" s="174"/>
      <c r="EN105" s="174"/>
      <c r="EO105" s="164"/>
      <c r="EP105" s="172"/>
      <c r="EQ105" s="171"/>
      <c r="ER105" s="161"/>
      <c r="ES105" s="161"/>
      <c r="ET105" s="164"/>
      <c r="EU105" s="164"/>
      <c r="EV105" s="164"/>
      <c r="EW105" s="172"/>
      <c r="EX105" s="171"/>
      <c r="EY105" s="161"/>
      <c r="EZ105" s="161"/>
      <c r="FA105" s="161"/>
      <c r="FB105" s="161"/>
      <c r="FC105" s="161"/>
      <c r="FD105" s="161"/>
      <c r="FE105" s="161"/>
      <c r="FF105" s="161"/>
      <c r="FG105" s="161"/>
      <c r="FH105" s="161"/>
    </row>
    <row r="106" spans="9:164">
      <c r="AN106" s="29"/>
      <c r="AO106" s="29"/>
      <c r="AP106" s="7"/>
      <c r="AQ106" s="7"/>
      <c r="AR106" s="29"/>
      <c r="AS106" s="29"/>
      <c r="AT106" s="29"/>
      <c r="AU106" s="29"/>
      <c r="BC106" s="26"/>
      <c r="BF106" s="26"/>
      <c r="BG106" s="30"/>
      <c r="BH106" s="7"/>
      <c r="BI106" s="64"/>
      <c r="BJ106" s="7"/>
      <c r="BK106" s="7"/>
      <c r="BL106" s="139"/>
      <c r="BM106" s="7"/>
      <c r="BN106" s="7"/>
      <c r="BO106" s="140"/>
      <c r="BP106" s="69"/>
      <c r="BQ106" s="67"/>
      <c r="BR106" s="7"/>
      <c r="BS106" s="7"/>
      <c r="BT106" s="28"/>
      <c r="BU106" s="28"/>
      <c r="BV106" s="28"/>
      <c r="BW106" s="29"/>
      <c r="BX106" s="136"/>
      <c r="BY106" s="7"/>
      <c r="BZ106" s="68"/>
      <c r="CA106" s="65"/>
      <c r="CB106" s="7"/>
      <c r="CC106" s="83"/>
      <c r="CD106" s="83"/>
      <c r="CE106" s="28"/>
      <c r="CF106" s="7"/>
      <c r="CG106" s="29"/>
      <c r="CH106" s="7"/>
      <c r="DA106" s="161"/>
      <c r="DB106" s="162"/>
      <c r="DC106" s="163"/>
      <c r="DD106" s="163"/>
      <c r="DE106" s="162"/>
      <c r="DF106" s="162"/>
      <c r="DG106" s="162"/>
      <c r="DH106" s="164"/>
      <c r="DI106" s="164"/>
      <c r="DJ106" s="164"/>
      <c r="DK106" s="165"/>
      <c r="DL106" s="165"/>
      <c r="DM106" s="166"/>
      <c r="DN106" s="161"/>
      <c r="DO106" s="161"/>
      <c r="DP106" s="161"/>
      <c r="DQ106" s="161"/>
      <c r="DR106" s="161"/>
      <c r="DS106" s="161"/>
      <c r="DT106" s="161"/>
      <c r="DU106" s="161"/>
      <c r="DV106" s="162"/>
      <c r="DW106" s="168"/>
      <c r="DX106" s="168"/>
      <c r="DY106" s="168"/>
      <c r="DZ106" s="168"/>
      <c r="EA106" s="168"/>
      <c r="EB106" s="168"/>
      <c r="EC106" s="168"/>
      <c r="ED106" s="169"/>
      <c r="EE106" s="169"/>
      <c r="EF106" s="165"/>
      <c r="EG106" s="170"/>
      <c r="EH106" s="174"/>
      <c r="EI106" s="174"/>
      <c r="EJ106" s="174"/>
      <c r="EK106" s="174"/>
      <c r="EL106" s="174"/>
      <c r="EM106" s="174"/>
      <c r="EN106" s="174"/>
      <c r="EO106" s="164"/>
      <c r="EP106" s="172"/>
      <c r="EQ106" s="171"/>
      <c r="ER106" s="161"/>
      <c r="ES106" s="161"/>
      <c r="ET106" s="164"/>
      <c r="EU106" s="164"/>
      <c r="EV106" s="164"/>
      <c r="EW106" s="172"/>
      <c r="EX106" s="171"/>
      <c r="EY106" s="161"/>
      <c r="EZ106" s="161"/>
      <c r="FA106" s="161"/>
      <c r="FB106" s="161"/>
      <c r="FC106" s="161"/>
      <c r="FD106" s="161"/>
      <c r="FE106" s="161"/>
      <c r="FF106" s="161"/>
      <c r="FG106" s="161"/>
      <c r="FH106" s="161"/>
    </row>
    <row r="107" spans="9:164">
      <c r="AN107" s="29"/>
      <c r="AO107" s="29"/>
      <c r="AP107" s="7"/>
      <c r="AQ107" s="7"/>
      <c r="AR107" s="29"/>
      <c r="AS107" s="29"/>
      <c r="AT107" s="29"/>
      <c r="AU107" s="29"/>
      <c r="BC107" s="26"/>
      <c r="BF107" s="26"/>
      <c r="BG107" s="30"/>
      <c r="BH107" s="7"/>
      <c r="BI107" s="64"/>
      <c r="BJ107" s="7"/>
      <c r="BK107" s="7"/>
      <c r="BL107" s="139"/>
      <c r="BM107" s="7"/>
      <c r="BN107" s="7"/>
      <c r="BO107" s="140"/>
      <c r="BP107" s="69"/>
      <c r="BQ107" s="67"/>
      <c r="BR107" s="7"/>
      <c r="BS107" s="7"/>
      <c r="BT107" s="28"/>
      <c r="BU107" s="28"/>
      <c r="BV107" s="28"/>
      <c r="BW107" s="29"/>
      <c r="BX107" s="136"/>
      <c r="BY107" s="7"/>
      <c r="BZ107" s="68"/>
      <c r="CA107" s="65"/>
      <c r="CB107" s="7"/>
      <c r="CC107" s="83"/>
      <c r="CD107" s="83"/>
      <c r="CE107" s="28"/>
      <c r="CF107" s="7"/>
      <c r="CG107" s="29"/>
      <c r="CH107" s="7"/>
      <c r="DA107" s="161"/>
      <c r="DB107" s="162"/>
      <c r="DC107" s="163"/>
      <c r="DD107" s="163"/>
      <c r="DE107" s="162"/>
      <c r="DF107" s="162"/>
      <c r="DG107" s="162"/>
      <c r="DH107" s="164"/>
      <c r="DI107" s="164"/>
      <c r="DJ107" s="164"/>
      <c r="DK107" s="165"/>
      <c r="DL107" s="165"/>
      <c r="DM107" s="166"/>
      <c r="DN107" s="161"/>
      <c r="DO107" s="161"/>
      <c r="DP107" s="161"/>
      <c r="DQ107" s="161"/>
      <c r="DR107" s="161"/>
      <c r="DS107" s="161"/>
      <c r="DT107" s="161"/>
      <c r="DU107" s="161"/>
      <c r="DV107" s="162"/>
      <c r="DW107" s="168"/>
      <c r="DX107" s="168"/>
      <c r="DY107" s="168"/>
      <c r="DZ107" s="168"/>
      <c r="EA107" s="168"/>
      <c r="EB107" s="168"/>
      <c r="EC107" s="168"/>
      <c r="ED107" s="169"/>
      <c r="EE107" s="169"/>
      <c r="EF107" s="165"/>
      <c r="EG107" s="170"/>
      <c r="EH107" s="174"/>
      <c r="EI107" s="174"/>
      <c r="EJ107" s="174"/>
      <c r="EK107" s="174"/>
      <c r="EL107" s="174"/>
      <c r="EM107" s="174"/>
      <c r="EN107" s="174"/>
      <c r="EO107" s="164"/>
      <c r="EP107" s="172"/>
      <c r="EQ107" s="171"/>
      <c r="ER107" s="161"/>
      <c r="ES107" s="161"/>
      <c r="ET107" s="164"/>
      <c r="EU107" s="164"/>
      <c r="EV107" s="164"/>
      <c r="EW107" s="172"/>
      <c r="EX107" s="171"/>
      <c r="EY107" s="161"/>
      <c r="EZ107" s="161"/>
      <c r="FA107" s="161"/>
      <c r="FB107" s="161"/>
      <c r="FC107" s="161"/>
      <c r="FD107" s="161"/>
      <c r="FE107" s="161"/>
      <c r="FF107" s="161"/>
      <c r="FG107" s="161"/>
      <c r="FH107" s="161"/>
    </row>
    <row r="108" spans="9:164">
      <c r="AN108" s="29"/>
      <c r="AO108" s="29"/>
      <c r="AP108" s="7"/>
      <c r="AQ108" s="7"/>
      <c r="AR108" s="29"/>
      <c r="AS108" s="29"/>
      <c r="AT108" s="29"/>
      <c r="AU108" s="29"/>
      <c r="BC108" s="26"/>
      <c r="BF108" s="26"/>
      <c r="BG108" s="30"/>
      <c r="BH108" s="7"/>
      <c r="BI108" s="64"/>
      <c r="BJ108" s="7"/>
      <c r="BK108" s="7"/>
      <c r="BL108" s="139"/>
      <c r="BM108" s="7"/>
      <c r="BN108" s="7"/>
      <c r="BO108" s="140"/>
      <c r="BP108" s="69"/>
      <c r="BQ108" s="67"/>
      <c r="BR108" s="7"/>
      <c r="BS108" s="7"/>
      <c r="BT108" s="28"/>
      <c r="BU108" s="28"/>
      <c r="BV108" s="28"/>
      <c r="BW108" s="29"/>
      <c r="BX108" s="136"/>
      <c r="BY108" s="7"/>
      <c r="BZ108" s="68"/>
      <c r="CA108" s="65"/>
      <c r="CB108" s="7"/>
      <c r="CC108" s="83"/>
      <c r="CD108" s="83"/>
      <c r="CE108" s="28"/>
      <c r="CF108" s="7"/>
      <c r="CG108" s="29"/>
      <c r="CH108" s="7"/>
      <c r="DA108" s="161"/>
      <c r="DB108" s="162"/>
      <c r="DC108" s="163"/>
      <c r="DD108" s="163"/>
      <c r="DE108" s="162"/>
      <c r="DF108" s="162"/>
      <c r="DG108" s="162"/>
      <c r="DH108" s="164"/>
      <c r="DI108" s="164"/>
      <c r="DJ108" s="164"/>
      <c r="DK108" s="165"/>
      <c r="DL108" s="165"/>
      <c r="DM108" s="166"/>
      <c r="DN108" s="161"/>
      <c r="DO108" s="161"/>
      <c r="DP108" s="161"/>
      <c r="DQ108" s="161"/>
      <c r="DR108" s="161"/>
      <c r="DS108" s="161"/>
      <c r="DT108" s="161"/>
      <c r="DU108" s="161"/>
      <c r="DV108" s="162"/>
      <c r="DW108" s="168"/>
      <c r="DX108" s="168"/>
      <c r="DY108" s="168"/>
      <c r="DZ108" s="168"/>
      <c r="EA108" s="168"/>
      <c r="EB108" s="168"/>
      <c r="EC108" s="168"/>
      <c r="ED108" s="169"/>
      <c r="EE108" s="169"/>
      <c r="EF108" s="165"/>
      <c r="EG108" s="170"/>
      <c r="EH108" s="174"/>
      <c r="EI108" s="174"/>
      <c r="EJ108" s="174"/>
      <c r="EK108" s="174"/>
      <c r="EL108" s="174"/>
      <c r="EM108" s="174"/>
      <c r="EN108" s="174"/>
      <c r="EO108" s="164"/>
      <c r="EP108" s="172"/>
      <c r="EQ108" s="171"/>
      <c r="ER108" s="161"/>
      <c r="ES108" s="161"/>
      <c r="ET108" s="164"/>
      <c r="EU108" s="164"/>
      <c r="EV108" s="164"/>
      <c r="EW108" s="172"/>
      <c r="EX108" s="171"/>
      <c r="EY108" s="161"/>
      <c r="EZ108" s="161"/>
      <c r="FA108" s="161"/>
      <c r="FB108" s="161"/>
      <c r="FC108" s="161"/>
      <c r="FD108" s="161"/>
      <c r="FE108" s="161"/>
      <c r="FF108" s="161"/>
      <c r="FG108" s="161"/>
      <c r="FH108" s="161"/>
    </row>
    <row r="109" spans="9:164">
      <c r="AN109" s="29"/>
      <c r="AO109" s="29"/>
      <c r="AP109" s="7"/>
      <c r="AQ109" s="7"/>
      <c r="AR109" s="29"/>
      <c r="AS109" s="29"/>
      <c r="AT109" s="29"/>
      <c r="AU109" s="29"/>
      <c r="BC109" s="26"/>
      <c r="BF109" s="26"/>
      <c r="BG109" s="30"/>
      <c r="BH109" s="7"/>
      <c r="BI109" s="64"/>
      <c r="BJ109" s="7"/>
      <c r="BK109" s="7"/>
      <c r="BL109" s="139"/>
      <c r="BM109" s="7"/>
      <c r="BN109" s="7"/>
      <c r="BO109" s="140"/>
      <c r="BP109" s="69"/>
      <c r="BQ109" s="67"/>
      <c r="BR109" s="7"/>
      <c r="BS109" s="7"/>
      <c r="BT109" s="28"/>
      <c r="BU109" s="28"/>
      <c r="BV109" s="28"/>
      <c r="BW109" s="29"/>
      <c r="BX109" s="136"/>
      <c r="BY109" s="7"/>
      <c r="BZ109" s="68"/>
      <c r="CA109" s="65"/>
      <c r="CB109" s="7"/>
      <c r="CC109" s="83"/>
      <c r="CD109" s="83"/>
      <c r="CE109" s="28"/>
      <c r="CF109" s="7"/>
      <c r="CG109" s="29"/>
      <c r="CH109" s="7"/>
      <c r="DA109" s="161"/>
      <c r="DB109" s="162"/>
      <c r="DC109" s="163"/>
      <c r="DD109" s="163"/>
      <c r="DE109" s="162"/>
      <c r="DF109" s="162"/>
      <c r="DG109" s="162"/>
      <c r="DH109" s="164"/>
      <c r="DI109" s="164"/>
      <c r="DJ109" s="164"/>
      <c r="DK109" s="165"/>
      <c r="DL109" s="165"/>
      <c r="DM109" s="166"/>
      <c r="DN109" s="161"/>
      <c r="DO109" s="161"/>
      <c r="DP109" s="161"/>
      <c r="DQ109" s="161"/>
      <c r="DR109" s="161"/>
      <c r="DS109" s="161"/>
      <c r="DT109" s="161"/>
      <c r="DU109" s="161"/>
      <c r="DV109" s="162"/>
      <c r="DW109" s="168"/>
      <c r="DX109" s="168"/>
      <c r="DY109" s="168"/>
      <c r="DZ109" s="168"/>
      <c r="EA109" s="168"/>
      <c r="EB109" s="168"/>
      <c r="EC109" s="168"/>
      <c r="ED109" s="169"/>
      <c r="EE109" s="169"/>
      <c r="EF109" s="165"/>
      <c r="EG109" s="170"/>
      <c r="EH109" s="174"/>
      <c r="EI109" s="174"/>
      <c r="EJ109" s="174"/>
      <c r="EK109" s="174"/>
      <c r="EL109" s="174"/>
      <c r="EM109" s="174"/>
      <c r="EN109" s="174"/>
      <c r="EO109" s="164"/>
      <c r="EP109" s="172"/>
      <c r="EQ109" s="171"/>
      <c r="ER109" s="161"/>
      <c r="ES109" s="161"/>
      <c r="ET109" s="164"/>
      <c r="EU109" s="164"/>
      <c r="EV109" s="164"/>
      <c r="EW109" s="172"/>
      <c r="EX109" s="171"/>
      <c r="EY109" s="161"/>
      <c r="EZ109" s="161"/>
      <c r="FA109" s="161"/>
      <c r="FB109" s="161"/>
      <c r="FC109" s="161"/>
      <c r="FD109" s="161"/>
      <c r="FE109" s="161"/>
      <c r="FF109" s="161"/>
      <c r="FG109" s="161"/>
      <c r="FH109" s="161"/>
    </row>
    <row r="110" spans="9:164">
      <c r="AN110" s="29"/>
      <c r="AO110" s="29"/>
      <c r="AP110" s="7"/>
      <c r="AQ110" s="7"/>
      <c r="AR110" s="29"/>
      <c r="AS110" s="29"/>
      <c r="AT110" s="29"/>
      <c r="AU110" s="29"/>
      <c r="BC110" s="26"/>
      <c r="BF110" s="26"/>
      <c r="BG110" s="30"/>
      <c r="BH110" s="7"/>
      <c r="BI110" s="64"/>
      <c r="BJ110" s="7"/>
      <c r="BK110" s="7"/>
      <c r="BL110" s="139"/>
      <c r="BM110" s="7"/>
      <c r="BN110" s="7"/>
      <c r="BO110" s="140"/>
      <c r="BP110" s="69"/>
      <c r="BQ110" s="67"/>
      <c r="BR110" s="7"/>
      <c r="BS110" s="7"/>
      <c r="BT110" s="28"/>
      <c r="BU110" s="28"/>
      <c r="BV110" s="28"/>
      <c r="BW110" s="29"/>
      <c r="BX110" s="136"/>
      <c r="BY110" s="7"/>
      <c r="BZ110" s="68"/>
      <c r="CA110" s="65"/>
      <c r="CB110" s="7"/>
      <c r="CC110" s="83"/>
      <c r="CD110" s="83"/>
      <c r="CE110" s="28"/>
      <c r="CF110" s="7"/>
      <c r="CG110" s="29"/>
      <c r="CH110" s="7"/>
      <c r="DA110" s="161"/>
      <c r="DB110" s="162"/>
      <c r="DC110" s="163"/>
      <c r="DD110" s="163"/>
      <c r="DE110" s="162"/>
      <c r="DF110" s="162"/>
      <c r="DG110" s="162"/>
      <c r="DH110" s="164"/>
      <c r="DI110" s="164"/>
      <c r="DJ110" s="164"/>
      <c r="DK110" s="165"/>
      <c r="DL110" s="165"/>
      <c r="DM110" s="166"/>
      <c r="DN110" s="161"/>
      <c r="DO110" s="161"/>
      <c r="DP110" s="161"/>
      <c r="DQ110" s="161"/>
      <c r="DR110" s="161"/>
      <c r="DS110" s="161"/>
      <c r="DT110" s="161"/>
      <c r="DU110" s="161"/>
      <c r="DV110" s="162"/>
      <c r="DW110" s="168"/>
      <c r="DX110" s="168"/>
      <c r="DY110" s="168"/>
      <c r="DZ110" s="168"/>
      <c r="EA110" s="168"/>
      <c r="EB110" s="168"/>
      <c r="EC110" s="168"/>
      <c r="ED110" s="169"/>
      <c r="EE110" s="169"/>
      <c r="EF110" s="165"/>
      <c r="EG110" s="170"/>
      <c r="EH110" s="174"/>
      <c r="EI110" s="174"/>
      <c r="EJ110" s="174"/>
      <c r="EK110" s="174"/>
      <c r="EL110" s="174"/>
      <c r="EM110" s="174"/>
      <c r="EN110" s="174"/>
      <c r="EO110" s="164"/>
      <c r="EP110" s="172"/>
      <c r="EQ110" s="171"/>
      <c r="ER110" s="161"/>
      <c r="ES110" s="161"/>
      <c r="ET110" s="164"/>
      <c r="EU110" s="164"/>
      <c r="EV110" s="164"/>
      <c r="EW110" s="172"/>
      <c r="EX110" s="171"/>
      <c r="EY110" s="161"/>
      <c r="EZ110" s="161"/>
      <c r="FA110" s="161"/>
      <c r="FB110" s="161"/>
      <c r="FC110" s="161"/>
      <c r="FD110" s="161"/>
      <c r="FE110" s="161"/>
      <c r="FF110" s="161"/>
      <c r="FG110" s="161"/>
      <c r="FH110" s="161"/>
    </row>
    <row r="111" spans="9:164">
      <c r="AN111" s="29"/>
      <c r="AO111" s="29"/>
      <c r="AP111" s="7"/>
      <c r="AQ111" s="7"/>
      <c r="AR111" s="29"/>
      <c r="AS111" s="29"/>
      <c r="AT111" s="29"/>
      <c r="AU111" s="29"/>
      <c r="BC111" s="26"/>
      <c r="BF111" s="26"/>
      <c r="BG111" s="30"/>
      <c r="BH111" s="7"/>
      <c r="BI111" s="64"/>
      <c r="BJ111" s="7"/>
      <c r="BK111" s="7"/>
      <c r="BL111" s="139"/>
      <c r="BM111" s="7"/>
      <c r="BN111" s="7"/>
      <c r="BO111" s="140"/>
      <c r="BP111" s="69"/>
      <c r="BQ111" s="67"/>
      <c r="BR111" s="7"/>
      <c r="BS111" s="7"/>
      <c r="BT111" s="28"/>
      <c r="BU111" s="28"/>
      <c r="BV111" s="28"/>
      <c r="BW111" s="29"/>
      <c r="BX111" s="136"/>
      <c r="BY111" s="7"/>
      <c r="BZ111" s="68"/>
      <c r="CA111" s="65"/>
      <c r="CB111" s="7"/>
      <c r="CC111" s="83"/>
      <c r="CD111" s="83"/>
      <c r="CE111" s="28"/>
      <c r="CF111" s="7"/>
      <c r="CG111" s="29"/>
      <c r="CH111" s="7"/>
      <c r="DA111" s="161"/>
      <c r="DB111" s="162"/>
      <c r="DC111" s="163"/>
      <c r="DD111" s="163"/>
      <c r="DE111" s="162"/>
      <c r="DF111" s="162"/>
      <c r="DG111" s="162"/>
      <c r="DH111" s="164"/>
      <c r="DI111" s="164"/>
      <c r="DJ111" s="164"/>
      <c r="DK111" s="165"/>
      <c r="DL111" s="165"/>
      <c r="DM111" s="166"/>
      <c r="DN111" s="161"/>
      <c r="DO111" s="161"/>
      <c r="DP111" s="161"/>
      <c r="DQ111" s="161"/>
      <c r="DR111" s="161"/>
      <c r="DS111" s="161"/>
      <c r="DT111" s="161"/>
      <c r="DU111" s="161"/>
      <c r="DV111" s="162"/>
      <c r="DW111" s="168"/>
      <c r="DX111" s="168"/>
      <c r="DY111" s="168"/>
      <c r="DZ111" s="168"/>
      <c r="EA111" s="168"/>
      <c r="EB111" s="168"/>
      <c r="EC111" s="168"/>
      <c r="ED111" s="169"/>
      <c r="EE111" s="169"/>
      <c r="EF111" s="165"/>
      <c r="EG111" s="170"/>
      <c r="EH111" s="174"/>
      <c r="EI111" s="174"/>
      <c r="EJ111" s="174"/>
      <c r="EK111" s="174"/>
      <c r="EL111" s="174"/>
      <c r="EM111" s="174"/>
      <c r="EN111" s="174"/>
      <c r="EO111" s="164"/>
      <c r="EP111" s="172"/>
      <c r="EQ111" s="171"/>
      <c r="ER111" s="161"/>
      <c r="ES111" s="161"/>
      <c r="ET111" s="164"/>
      <c r="EU111" s="164"/>
      <c r="EV111" s="164"/>
      <c r="EW111" s="172"/>
      <c r="EX111" s="171"/>
      <c r="EY111" s="161"/>
      <c r="EZ111" s="161"/>
      <c r="FA111" s="161"/>
      <c r="FB111" s="161"/>
      <c r="FC111" s="161"/>
      <c r="FD111" s="161"/>
      <c r="FE111" s="161"/>
      <c r="FF111" s="161"/>
      <c r="FG111" s="161"/>
      <c r="FH111" s="161"/>
    </row>
    <row r="112" spans="9:164">
      <c r="AN112" s="29"/>
      <c r="AO112" s="29"/>
      <c r="AP112" s="7"/>
      <c r="AQ112" s="7"/>
      <c r="AR112" s="29"/>
      <c r="AS112" s="29"/>
      <c r="AT112" s="29"/>
      <c r="AU112" s="29"/>
      <c r="BC112" s="26"/>
      <c r="BF112" s="26"/>
      <c r="BG112" s="30"/>
      <c r="BH112" s="7"/>
      <c r="BI112" s="64"/>
      <c r="BJ112" s="7"/>
      <c r="BK112" s="7"/>
      <c r="BL112" s="139"/>
      <c r="BM112" s="7"/>
      <c r="BN112" s="7"/>
      <c r="BO112" s="140"/>
      <c r="BP112" s="69"/>
      <c r="BQ112" s="67"/>
      <c r="BR112" s="7"/>
      <c r="BS112" s="7"/>
      <c r="BT112" s="28"/>
      <c r="BU112" s="28"/>
      <c r="BV112" s="28"/>
      <c r="BW112" s="29"/>
      <c r="BX112" s="136"/>
      <c r="BY112" s="7"/>
      <c r="BZ112" s="68"/>
      <c r="CA112" s="65"/>
      <c r="CB112" s="7"/>
      <c r="CC112" s="83"/>
      <c r="CD112" s="83"/>
      <c r="CE112" s="28"/>
      <c r="CF112" s="7"/>
      <c r="CG112" s="29"/>
      <c r="CH112" s="7"/>
      <c r="DA112" s="161"/>
      <c r="DB112" s="162"/>
      <c r="DC112" s="163"/>
      <c r="DD112" s="163"/>
      <c r="DE112" s="162"/>
      <c r="DF112" s="162"/>
      <c r="DG112" s="162"/>
      <c r="DH112" s="164"/>
      <c r="DI112" s="164"/>
      <c r="DJ112" s="164"/>
      <c r="DK112" s="165"/>
      <c r="DL112" s="165"/>
      <c r="DM112" s="166"/>
      <c r="DN112" s="161"/>
      <c r="DO112" s="161"/>
      <c r="DP112" s="161"/>
      <c r="DQ112" s="161"/>
      <c r="DR112" s="161"/>
      <c r="DS112" s="161"/>
      <c r="DT112" s="161"/>
      <c r="DU112" s="161"/>
      <c r="DV112" s="162"/>
      <c r="DW112" s="168"/>
      <c r="DX112" s="168"/>
      <c r="DY112" s="168"/>
      <c r="DZ112" s="168"/>
      <c r="EA112" s="168"/>
      <c r="EB112" s="168"/>
      <c r="EC112" s="168"/>
      <c r="ED112" s="169"/>
      <c r="EE112" s="169"/>
      <c r="EF112" s="165"/>
      <c r="EG112" s="170"/>
      <c r="EH112" s="174"/>
      <c r="EI112" s="174"/>
      <c r="EJ112" s="174"/>
      <c r="EK112" s="174"/>
      <c r="EL112" s="174"/>
      <c r="EM112" s="174"/>
      <c r="EN112" s="174"/>
      <c r="EO112" s="164"/>
      <c r="EP112" s="172"/>
      <c r="EQ112" s="171"/>
      <c r="ER112" s="161"/>
      <c r="ES112" s="161"/>
      <c r="ET112" s="164"/>
      <c r="EU112" s="164"/>
      <c r="EV112" s="164"/>
      <c r="EW112" s="172"/>
      <c r="EX112" s="171"/>
      <c r="EY112" s="161"/>
      <c r="EZ112" s="161"/>
      <c r="FA112" s="161"/>
      <c r="FB112" s="161"/>
      <c r="FC112" s="161"/>
      <c r="FD112" s="161"/>
      <c r="FE112" s="161"/>
      <c r="FF112" s="161"/>
      <c r="FG112" s="161"/>
      <c r="FH112" s="161"/>
    </row>
    <row r="113" spans="40:164">
      <c r="AN113" s="29"/>
      <c r="AO113" s="29"/>
      <c r="AP113" s="7"/>
      <c r="AQ113" s="7"/>
      <c r="AR113" s="29"/>
      <c r="AS113" s="29"/>
      <c r="AT113" s="29"/>
      <c r="AU113" s="29"/>
      <c r="BC113" s="26"/>
      <c r="BF113" s="26"/>
      <c r="BG113" s="30"/>
      <c r="BH113" s="7"/>
      <c r="BI113" s="64"/>
      <c r="BJ113" s="7"/>
      <c r="BK113" s="7"/>
      <c r="BL113" s="139"/>
      <c r="BM113" s="7"/>
      <c r="BN113" s="7"/>
      <c r="BO113" s="140"/>
      <c r="BP113" s="69"/>
      <c r="BQ113" s="67"/>
      <c r="BR113" s="7"/>
      <c r="BS113" s="7"/>
      <c r="BT113" s="28"/>
      <c r="BU113" s="28"/>
      <c r="BV113" s="28"/>
      <c r="BW113" s="29"/>
      <c r="BX113" s="136"/>
      <c r="BY113" s="7"/>
      <c r="BZ113" s="68"/>
      <c r="CA113" s="65"/>
      <c r="CB113" s="7"/>
      <c r="CC113" s="83"/>
      <c r="CD113" s="83"/>
      <c r="CE113" s="28"/>
      <c r="CF113" s="7"/>
      <c r="CG113" s="29"/>
      <c r="CH113" s="7"/>
      <c r="DA113" s="161"/>
      <c r="DB113" s="162"/>
      <c r="DC113" s="163"/>
      <c r="DD113" s="163"/>
      <c r="DE113" s="162"/>
      <c r="DF113" s="162"/>
      <c r="DG113" s="162"/>
      <c r="DH113" s="164"/>
      <c r="DI113" s="164"/>
      <c r="DJ113" s="164"/>
      <c r="DK113" s="165"/>
      <c r="DL113" s="165"/>
      <c r="DM113" s="166"/>
      <c r="DN113" s="161"/>
      <c r="DO113" s="161"/>
      <c r="DP113" s="161"/>
      <c r="DQ113" s="161"/>
      <c r="DR113" s="161"/>
      <c r="DS113" s="161"/>
      <c r="DT113" s="161"/>
      <c r="DU113" s="161"/>
      <c r="DV113" s="162"/>
      <c r="DW113" s="168"/>
      <c r="DX113" s="168"/>
      <c r="DY113" s="168"/>
      <c r="DZ113" s="168"/>
      <c r="EA113" s="168"/>
      <c r="EB113" s="168"/>
      <c r="EC113" s="168"/>
      <c r="ED113" s="169"/>
      <c r="EE113" s="169"/>
      <c r="EF113" s="165"/>
      <c r="EG113" s="170"/>
      <c r="EH113" s="174"/>
      <c r="EI113" s="174"/>
      <c r="EJ113" s="174"/>
      <c r="EK113" s="174"/>
      <c r="EL113" s="174"/>
      <c r="EM113" s="174"/>
      <c r="EN113" s="174"/>
      <c r="EO113" s="164"/>
      <c r="EP113" s="172"/>
      <c r="EQ113" s="171"/>
      <c r="ER113" s="161"/>
      <c r="ES113" s="161"/>
      <c r="ET113" s="164"/>
      <c r="EU113" s="164"/>
      <c r="EV113" s="164"/>
      <c r="EW113" s="172"/>
      <c r="EX113" s="171"/>
      <c r="EY113" s="161"/>
      <c r="EZ113" s="161"/>
      <c r="FA113" s="161"/>
      <c r="FB113" s="161"/>
      <c r="FC113" s="161"/>
      <c r="FD113" s="161"/>
      <c r="FE113" s="161"/>
      <c r="FF113" s="161"/>
      <c r="FG113" s="161"/>
      <c r="FH113" s="161"/>
    </row>
    <row r="114" spans="40:164">
      <c r="AN114" s="29"/>
      <c r="AO114" s="29"/>
      <c r="AP114" s="7"/>
      <c r="AQ114" s="7"/>
      <c r="AR114" s="29"/>
      <c r="AS114" s="29"/>
      <c r="AT114" s="29"/>
      <c r="AU114" s="29"/>
      <c r="BC114" s="26"/>
      <c r="BF114" s="26"/>
      <c r="BG114" s="30"/>
      <c r="BH114" s="7"/>
      <c r="BI114" s="64"/>
      <c r="BJ114" s="7"/>
      <c r="BK114" s="7"/>
      <c r="BL114" s="139"/>
      <c r="BM114" s="7"/>
      <c r="BN114" s="7"/>
      <c r="BO114" s="140"/>
      <c r="BP114" s="69"/>
      <c r="BQ114" s="67"/>
      <c r="BR114" s="7"/>
      <c r="BS114" s="7"/>
      <c r="BT114" s="28"/>
      <c r="BU114" s="28"/>
      <c r="BV114" s="28"/>
      <c r="BW114" s="29"/>
      <c r="BX114" s="136"/>
      <c r="BY114" s="7"/>
      <c r="BZ114" s="68"/>
      <c r="CA114" s="65"/>
      <c r="CB114" s="7"/>
      <c r="CC114" s="83"/>
      <c r="CD114" s="83"/>
      <c r="CE114" s="28"/>
      <c r="CF114" s="7"/>
      <c r="CG114" s="29"/>
      <c r="CH114" s="7"/>
      <c r="DA114" s="161"/>
      <c r="DB114" s="162"/>
      <c r="DC114" s="163"/>
      <c r="DD114" s="163"/>
      <c r="DE114" s="162"/>
      <c r="DF114" s="162"/>
      <c r="DG114" s="162"/>
      <c r="DH114" s="164"/>
      <c r="DI114" s="164"/>
      <c r="DJ114" s="164"/>
      <c r="DK114" s="165"/>
      <c r="DL114" s="165"/>
      <c r="DM114" s="166"/>
      <c r="DN114" s="161"/>
      <c r="DO114" s="161"/>
      <c r="DP114" s="161"/>
      <c r="DQ114" s="161"/>
      <c r="DR114" s="161"/>
      <c r="DS114" s="161"/>
      <c r="DT114" s="161"/>
      <c r="DU114" s="161"/>
      <c r="DV114" s="162"/>
      <c r="DW114" s="168"/>
      <c r="DX114" s="168"/>
      <c r="DY114" s="168"/>
      <c r="DZ114" s="168"/>
      <c r="EA114" s="168"/>
      <c r="EB114" s="168"/>
      <c r="EC114" s="168"/>
      <c r="ED114" s="169"/>
      <c r="EE114" s="169"/>
      <c r="EF114" s="165"/>
      <c r="EG114" s="170"/>
      <c r="EH114" s="174"/>
      <c r="EI114" s="174"/>
      <c r="EJ114" s="174"/>
      <c r="EK114" s="174"/>
      <c r="EL114" s="174"/>
      <c r="EM114" s="174"/>
      <c r="EN114" s="174"/>
      <c r="EO114" s="164"/>
      <c r="EP114" s="172"/>
      <c r="EQ114" s="171"/>
      <c r="ER114" s="161"/>
      <c r="ES114" s="161"/>
      <c r="ET114" s="164"/>
      <c r="EU114" s="164"/>
      <c r="EV114" s="164"/>
      <c r="EW114" s="172"/>
      <c r="EX114" s="171"/>
      <c r="EY114" s="161"/>
      <c r="EZ114" s="161"/>
      <c r="FA114" s="161"/>
      <c r="FB114" s="161"/>
      <c r="FC114" s="161"/>
      <c r="FD114" s="161"/>
      <c r="FE114" s="161"/>
      <c r="FF114" s="161"/>
      <c r="FG114" s="161"/>
      <c r="FH114" s="161"/>
    </row>
    <row r="115" spans="40:164">
      <c r="AN115" s="29"/>
      <c r="AO115" s="29"/>
      <c r="AP115" s="7"/>
      <c r="AQ115" s="7"/>
      <c r="AR115" s="29"/>
      <c r="AS115" s="29"/>
      <c r="AT115" s="29"/>
      <c r="AU115" s="29"/>
      <c r="BC115" s="26"/>
      <c r="BF115" s="26"/>
      <c r="BG115" s="30"/>
      <c r="BH115" s="7"/>
      <c r="BI115" s="64"/>
      <c r="BJ115" s="7"/>
      <c r="BK115" s="7"/>
      <c r="BL115" s="139"/>
      <c r="BM115" s="7"/>
      <c r="BN115" s="7"/>
      <c r="BO115" s="140"/>
      <c r="BP115" s="69"/>
      <c r="BQ115" s="67"/>
      <c r="BR115" s="7"/>
      <c r="BS115" s="7"/>
      <c r="BT115" s="28"/>
      <c r="BU115" s="28"/>
      <c r="BV115" s="28"/>
      <c r="BW115" s="29"/>
      <c r="BX115" s="136"/>
      <c r="BY115" s="7"/>
      <c r="BZ115" s="68"/>
      <c r="CA115" s="65"/>
      <c r="CB115" s="7"/>
      <c r="CC115" s="83"/>
      <c r="CD115" s="83"/>
      <c r="CE115" s="28"/>
      <c r="CF115" s="7"/>
      <c r="CG115" s="29"/>
      <c r="CH115" s="7"/>
      <c r="DA115" s="161"/>
      <c r="DB115" s="162"/>
      <c r="DC115" s="163"/>
      <c r="DD115" s="163"/>
      <c r="DE115" s="162"/>
      <c r="DF115" s="162"/>
      <c r="DG115" s="162"/>
      <c r="DH115" s="164"/>
      <c r="DI115" s="164"/>
      <c r="DJ115" s="164"/>
      <c r="DK115" s="165"/>
      <c r="DL115" s="165"/>
      <c r="DM115" s="166"/>
      <c r="DN115" s="161"/>
      <c r="DO115" s="161"/>
      <c r="DP115" s="161"/>
      <c r="DQ115" s="161"/>
      <c r="DR115" s="161"/>
      <c r="DS115" s="161"/>
      <c r="DT115" s="161"/>
      <c r="DU115" s="161"/>
      <c r="DV115" s="162"/>
      <c r="DW115" s="168"/>
      <c r="DX115" s="168"/>
      <c r="DY115" s="168"/>
      <c r="DZ115" s="168"/>
      <c r="EA115" s="168"/>
      <c r="EB115" s="168"/>
      <c r="EC115" s="168"/>
      <c r="ED115" s="169"/>
      <c r="EE115" s="169"/>
      <c r="EF115" s="165"/>
      <c r="EG115" s="170"/>
      <c r="EH115" s="174"/>
      <c r="EI115" s="174"/>
      <c r="EJ115" s="174"/>
      <c r="EK115" s="174"/>
      <c r="EL115" s="174"/>
      <c r="EM115" s="174"/>
      <c r="EN115" s="174"/>
      <c r="EO115" s="164"/>
      <c r="EP115" s="172"/>
      <c r="EQ115" s="171"/>
      <c r="ER115" s="161"/>
      <c r="ES115" s="161"/>
      <c r="ET115" s="164"/>
      <c r="EU115" s="164"/>
      <c r="EV115" s="164"/>
      <c r="EW115" s="172"/>
      <c r="EX115" s="171"/>
      <c r="EY115" s="161"/>
      <c r="EZ115" s="161"/>
      <c r="FA115" s="161"/>
      <c r="FB115" s="161"/>
      <c r="FC115" s="161"/>
      <c r="FD115" s="161"/>
      <c r="FE115" s="161"/>
      <c r="FF115" s="161"/>
      <c r="FG115" s="161"/>
      <c r="FH115" s="161"/>
    </row>
    <row r="116" spans="40:164">
      <c r="AN116" s="29"/>
      <c r="AO116" s="29"/>
      <c r="AP116" s="7"/>
      <c r="AQ116" s="7"/>
      <c r="AR116" s="29"/>
      <c r="AS116" s="29"/>
      <c r="AT116" s="29"/>
      <c r="AU116" s="29"/>
      <c r="BC116" s="26"/>
      <c r="BF116" s="26"/>
      <c r="BG116" s="30"/>
      <c r="BH116" s="7"/>
      <c r="BI116" s="64"/>
      <c r="BJ116" s="7"/>
      <c r="BK116" s="7"/>
      <c r="BL116" s="139"/>
      <c r="BM116" s="7"/>
      <c r="BN116" s="7"/>
      <c r="BO116" s="140"/>
      <c r="BP116" s="69"/>
      <c r="BQ116" s="67"/>
      <c r="BR116" s="7"/>
      <c r="BS116" s="7"/>
      <c r="BT116" s="28"/>
      <c r="BU116" s="28"/>
      <c r="BV116" s="28"/>
      <c r="BW116" s="29"/>
      <c r="BX116" s="136"/>
      <c r="BY116" s="7"/>
      <c r="BZ116" s="68"/>
      <c r="CA116" s="65"/>
      <c r="CB116" s="7"/>
      <c r="CC116" s="83"/>
      <c r="CD116" s="83"/>
      <c r="CE116" s="28"/>
      <c r="CF116" s="7"/>
      <c r="CG116" s="29"/>
      <c r="CH116" s="7"/>
      <c r="DA116" s="161"/>
      <c r="DB116" s="162"/>
      <c r="DC116" s="163"/>
      <c r="DD116" s="163"/>
      <c r="DE116" s="162"/>
      <c r="DF116" s="162"/>
      <c r="DG116" s="162"/>
      <c r="DH116" s="164"/>
      <c r="DI116" s="164"/>
      <c r="DJ116" s="164"/>
      <c r="DK116" s="165"/>
      <c r="DL116" s="165"/>
      <c r="DM116" s="166"/>
      <c r="DN116" s="161"/>
      <c r="DO116" s="161"/>
      <c r="DP116" s="161"/>
      <c r="DQ116" s="161"/>
      <c r="DR116" s="161"/>
      <c r="DS116" s="161"/>
      <c r="DT116" s="161"/>
      <c r="DU116" s="161"/>
      <c r="DV116" s="162"/>
      <c r="DW116" s="168"/>
      <c r="DX116" s="168"/>
      <c r="DY116" s="168"/>
      <c r="DZ116" s="168"/>
      <c r="EA116" s="168"/>
      <c r="EB116" s="168"/>
      <c r="EC116" s="168"/>
      <c r="ED116" s="169"/>
      <c r="EE116" s="169"/>
      <c r="EF116" s="165"/>
      <c r="EG116" s="170"/>
      <c r="EH116" s="174"/>
      <c r="EI116" s="174"/>
      <c r="EJ116" s="174"/>
      <c r="EK116" s="174"/>
      <c r="EL116" s="174"/>
      <c r="EM116" s="174"/>
      <c r="EN116" s="174"/>
      <c r="EO116" s="164"/>
      <c r="EP116" s="172"/>
      <c r="EQ116" s="171"/>
      <c r="ER116" s="161"/>
      <c r="ES116" s="161"/>
      <c r="ET116" s="164"/>
      <c r="EU116" s="164"/>
      <c r="EV116" s="164"/>
      <c r="EW116" s="172"/>
      <c r="EX116" s="171"/>
      <c r="EY116" s="161"/>
      <c r="EZ116" s="161"/>
      <c r="FA116" s="161"/>
      <c r="FB116" s="161"/>
      <c r="FC116" s="161"/>
      <c r="FD116" s="161"/>
      <c r="FE116" s="161"/>
      <c r="FF116" s="161"/>
      <c r="FG116" s="161"/>
      <c r="FH116" s="161"/>
    </row>
    <row r="117" spans="40:164">
      <c r="AN117" s="29"/>
      <c r="AO117" s="29"/>
      <c r="AP117" s="7"/>
      <c r="AQ117" s="7"/>
      <c r="AR117" s="29"/>
      <c r="AS117" s="29"/>
      <c r="AT117" s="29"/>
      <c r="AU117" s="29"/>
      <c r="BC117" s="26"/>
      <c r="BF117" s="26"/>
      <c r="BG117" s="30"/>
      <c r="BH117" s="7"/>
      <c r="BI117" s="64"/>
      <c r="BJ117" s="7"/>
      <c r="BK117" s="7"/>
      <c r="BL117" s="139"/>
      <c r="BM117" s="7"/>
      <c r="BN117" s="7"/>
      <c r="BO117" s="140"/>
      <c r="BP117" s="69"/>
      <c r="BQ117" s="67"/>
      <c r="BR117" s="7"/>
      <c r="BS117" s="7"/>
      <c r="BT117" s="28"/>
      <c r="BU117" s="28"/>
      <c r="BV117" s="28"/>
      <c r="BW117" s="29"/>
      <c r="BX117" s="136"/>
      <c r="BY117" s="7"/>
      <c r="BZ117" s="68"/>
      <c r="CA117" s="65"/>
      <c r="CB117" s="7"/>
      <c r="CC117" s="83"/>
      <c r="CD117" s="83"/>
      <c r="CE117" s="28"/>
      <c r="CF117" s="7"/>
      <c r="CG117" s="29"/>
      <c r="CH117" s="7"/>
      <c r="DA117" s="161"/>
      <c r="DB117" s="162"/>
      <c r="DC117" s="163"/>
      <c r="DD117" s="163"/>
      <c r="DE117" s="162"/>
      <c r="DF117" s="162"/>
      <c r="DG117" s="162"/>
      <c r="DH117" s="164"/>
      <c r="DI117" s="164"/>
      <c r="DJ117" s="164"/>
      <c r="DK117" s="165"/>
      <c r="DL117" s="165"/>
      <c r="DM117" s="166"/>
      <c r="DN117" s="161"/>
      <c r="DO117" s="161"/>
      <c r="DP117" s="161"/>
      <c r="DQ117" s="161"/>
      <c r="DR117" s="161"/>
      <c r="DS117" s="161"/>
      <c r="DT117" s="161"/>
      <c r="DU117" s="161"/>
      <c r="DV117" s="162"/>
      <c r="DW117" s="168"/>
      <c r="DX117" s="168"/>
      <c r="DY117" s="168"/>
      <c r="DZ117" s="168"/>
      <c r="EA117" s="168"/>
      <c r="EB117" s="168"/>
      <c r="EC117" s="168"/>
      <c r="ED117" s="169"/>
      <c r="EE117" s="169"/>
      <c r="EF117" s="165"/>
      <c r="EG117" s="170"/>
      <c r="EH117" s="174"/>
      <c r="EI117" s="174"/>
      <c r="EJ117" s="174"/>
      <c r="EK117" s="174"/>
      <c r="EL117" s="174"/>
      <c r="EM117" s="174"/>
      <c r="EN117" s="174"/>
      <c r="EO117" s="164"/>
      <c r="EP117" s="172"/>
      <c r="EQ117" s="171"/>
      <c r="ER117" s="161"/>
      <c r="ES117" s="161"/>
      <c r="ET117" s="164"/>
      <c r="EU117" s="164"/>
      <c r="EV117" s="164"/>
      <c r="EW117" s="172"/>
      <c r="EX117" s="171"/>
      <c r="EY117" s="161"/>
      <c r="EZ117" s="161"/>
      <c r="FA117" s="161"/>
      <c r="FB117" s="161"/>
      <c r="FC117" s="161"/>
      <c r="FD117" s="161"/>
      <c r="FE117" s="161"/>
      <c r="FF117" s="161"/>
      <c r="FG117" s="161"/>
      <c r="FH117" s="161"/>
    </row>
    <row r="118" spans="40:164">
      <c r="AN118" s="29"/>
      <c r="AO118" s="29"/>
      <c r="AP118" s="7"/>
      <c r="AQ118" s="7"/>
      <c r="AR118" s="29"/>
      <c r="AS118" s="29"/>
      <c r="AT118" s="29"/>
      <c r="AU118" s="29"/>
      <c r="BC118" s="26"/>
      <c r="BF118" s="26"/>
      <c r="BG118" s="30"/>
      <c r="BH118" s="7"/>
      <c r="BI118" s="64"/>
      <c r="BJ118" s="7"/>
      <c r="BK118" s="7"/>
      <c r="BL118" s="139"/>
      <c r="BM118" s="7"/>
      <c r="BN118" s="7"/>
      <c r="BO118" s="140"/>
      <c r="BP118" s="69"/>
      <c r="BQ118" s="67"/>
      <c r="BR118" s="7"/>
      <c r="BS118" s="7"/>
      <c r="BT118" s="28"/>
      <c r="BU118" s="28"/>
      <c r="BV118" s="28"/>
      <c r="BW118" s="29"/>
      <c r="BX118" s="136"/>
      <c r="BY118" s="7"/>
      <c r="BZ118" s="68"/>
      <c r="CA118" s="65"/>
      <c r="CB118" s="7"/>
      <c r="CC118" s="83"/>
      <c r="CD118" s="83"/>
      <c r="CE118" s="28"/>
      <c r="CF118" s="7"/>
      <c r="CG118" s="29"/>
      <c r="CH118" s="7"/>
      <c r="DA118" s="161"/>
      <c r="DB118" s="162"/>
      <c r="DC118" s="163"/>
      <c r="DD118" s="163"/>
      <c r="DE118" s="162"/>
      <c r="DF118" s="162"/>
      <c r="DG118" s="162"/>
      <c r="DH118" s="164"/>
      <c r="DI118" s="164"/>
      <c r="DJ118" s="164"/>
      <c r="DK118" s="165"/>
      <c r="DL118" s="165"/>
      <c r="DM118" s="166"/>
      <c r="DN118" s="161"/>
      <c r="DO118" s="161"/>
      <c r="DP118" s="161"/>
      <c r="DQ118" s="161"/>
      <c r="DR118" s="161"/>
      <c r="DS118" s="161"/>
      <c r="DT118" s="161"/>
      <c r="DU118" s="161"/>
      <c r="DV118" s="162"/>
      <c r="DW118" s="168"/>
      <c r="DX118" s="168"/>
      <c r="DY118" s="168"/>
      <c r="DZ118" s="168"/>
      <c r="EA118" s="168"/>
      <c r="EB118" s="168"/>
      <c r="EC118" s="168"/>
      <c r="ED118" s="169"/>
      <c r="EE118" s="169"/>
      <c r="EF118" s="165"/>
      <c r="EG118" s="170"/>
      <c r="EH118" s="174"/>
      <c r="EI118" s="174"/>
      <c r="EJ118" s="174"/>
      <c r="EK118" s="174"/>
      <c r="EL118" s="174"/>
      <c r="EM118" s="174"/>
      <c r="EN118" s="174"/>
      <c r="EO118" s="164"/>
      <c r="EP118" s="172"/>
      <c r="EQ118" s="171"/>
      <c r="ER118" s="161"/>
      <c r="ES118" s="161"/>
      <c r="ET118" s="164"/>
      <c r="EU118" s="164"/>
      <c r="EV118" s="164"/>
      <c r="EW118" s="172"/>
      <c r="EX118" s="171"/>
      <c r="EY118" s="161"/>
      <c r="EZ118" s="161"/>
      <c r="FA118" s="161"/>
      <c r="FB118" s="161"/>
      <c r="FC118" s="161"/>
      <c r="FD118" s="161"/>
      <c r="FE118" s="161"/>
      <c r="FF118" s="161"/>
      <c r="FG118" s="161"/>
      <c r="FH118" s="161"/>
    </row>
    <row r="119" spans="40:164">
      <c r="AN119" s="29"/>
      <c r="AO119" s="29"/>
      <c r="AP119" s="7"/>
      <c r="AQ119" s="7"/>
      <c r="AR119" s="29"/>
      <c r="AS119" s="29"/>
      <c r="AT119" s="29"/>
      <c r="AU119" s="29"/>
      <c r="BC119" s="26"/>
      <c r="BF119" s="26"/>
      <c r="BG119" s="30"/>
      <c r="BH119" s="7"/>
      <c r="BI119" s="64"/>
      <c r="BJ119" s="7"/>
      <c r="BK119" s="7"/>
      <c r="BL119" s="139"/>
      <c r="BM119" s="7"/>
      <c r="BN119" s="7"/>
      <c r="BO119" s="140"/>
      <c r="BP119" s="69"/>
      <c r="BQ119" s="67"/>
      <c r="BR119" s="7"/>
      <c r="BS119" s="7"/>
      <c r="BT119" s="28"/>
      <c r="BU119" s="28"/>
      <c r="BV119" s="28"/>
      <c r="BW119" s="29"/>
      <c r="BX119" s="136"/>
      <c r="BY119" s="7"/>
      <c r="BZ119" s="68"/>
      <c r="CA119" s="65"/>
      <c r="CB119" s="7"/>
      <c r="CC119" s="83"/>
      <c r="CD119" s="83"/>
      <c r="CE119" s="28"/>
      <c r="CF119" s="7"/>
      <c r="CG119" s="29"/>
      <c r="CH119" s="7"/>
      <c r="DA119" s="161"/>
      <c r="DB119" s="162"/>
      <c r="DC119" s="163"/>
      <c r="DD119" s="163"/>
      <c r="DE119" s="162"/>
      <c r="DF119" s="162"/>
      <c r="DG119" s="162"/>
      <c r="DH119" s="164"/>
      <c r="DI119" s="164"/>
      <c r="DJ119" s="164"/>
      <c r="DK119" s="165"/>
      <c r="DL119" s="165"/>
      <c r="DM119" s="166"/>
      <c r="DN119" s="161"/>
      <c r="DO119" s="161"/>
      <c r="DP119" s="161"/>
      <c r="DQ119" s="161"/>
      <c r="DR119" s="161"/>
      <c r="DS119" s="161"/>
      <c r="DT119" s="161"/>
      <c r="DU119" s="161"/>
      <c r="DV119" s="162"/>
      <c r="DW119" s="168"/>
      <c r="DX119" s="168"/>
      <c r="DY119" s="168"/>
      <c r="DZ119" s="168"/>
      <c r="EA119" s="168"/>
      <c r="EB119" s="168"/>
      <c r="EC119" s="168"/>
      <c r="ED119" s="169"/>
      <c r="EE119" s="169"/>
      <c r="EF119" s="165"/>
      <c r="EG119" s="170"/>
      <c r="EH119" s="174"/>
      <c r="EI119" s="174"/>
      <c r="EJ119" s="174"/>
      <c r="EK119" s="174"/>
      <c r="EL119" s="174"/>
      <c r="EM119" s="174"/>
      <c r="EN119" s="174"/>
      <c r="EO119" s="164"/>
      <c r="EP119" s="172"/>
      <c r="EQ119" s="171"/>
      <c r="ER119" s="161"/>
      <c r="ES119" s="161"/>
      <c r="ET119" s="164"/>
      <c r="EU119" s="164"/>
      <c r="EV119" s="164"/>
      <c r="EW119" s="172"/>
      <c r="EX119" s="171"/>
      <c r="EY119" s="161"/>
      <c r="EZ119" s="161"/>
      <c r="FA119" s="161"/>
      <c r="FB119" s="161"/>
      <c r="FC119" s="161"/>
      <c r="FD119" s="161"/>
      <c r="FE119" s="161"/>
      <c r="FF119" s="161"/>
      <c r="FG119" s="161"/>
      <c r="FH119" s="161"/>
    </row>
    <row r="120" spans="40:164">
      <c r="AN120" s="29"/>
      <c r="AO120" s="29"/>
      <c r="AP120" s="7"/>
      <c r="AQ120" s="7"/>
      <c r="AR120" s="29"/>
      <c r="AS120" s="29"/>
      <c r="AT120" s="29"/>
      <c r="AU120" s="29"/>
      <c r="BC120" s="26"/>
      <c r="BF120" s="26"/>
      <c r="BG120" s="30"/>
      <c r="BH120" s="7"/>
      <c r="BI120" s="64"/>
      <c r="BJ120" s="7"/>
      <c r="BK120" s="7"/>
      <c r="BL120" s="139"/>
      <c r="BM120" s="7"/>
      <c r="BN120" s="7"/>
      <c r="BO120" s="140"/>
      <c r="BP120" s="69"/>
      <c r="BQ120" s="67"/>
      <c r="BR120" s="7"/>
      <c r="BS120" s="7"/>
      <c r="BT120" s="28"/>
      <c r="BU120" s="28"/>
      <c r="BV120" s="28"/>
      <c r="BW120" s="29"/>
      <c r="BX120" s="136"/>
      <c r="BY120" s="7"/>
      <c r="BZ120" s="68"/>
      <c r="CA120" s="65"/>
      <c r="CB120" s="7"/>
      <c r="CC120" s="83"/>
      <c r="CD120" s="83"/>
      <c r="CE120" s="28"/>
      <c r="CF120" s="7"/>
      <c r="CG120" s="29"/>
      <c r="CH120" s="7"/>
      <c r="DA120" s="161"/>
      <c r="DB120" s="162"/>
      <c r="DC120" s="163"/>
      <c r="DD120" s="163"/>
      <c r="DE120" s="162"/>
      <c r="DF120" s="162"/>
      <c r="DG120" s="162"/>
      <c r="DH120" s="164"/>
      <c r="DI120" s="164"/>
      <c r="DJ120" s="164"/>
      <c r="DK120" s="165"/>
      <c r="DL120" s="165"/>
      <c r="DM120" s="166"/>
      <c r="DN120" s="161"/>
      <c r="DO120" s="161"/>
      <c r="DP120" s="161"/>
      <c r="DQ120" s="161"/>
      <c r="DR120" s="161"/>
      <c r="DS120" s="161"/>
      <c r="DT120" s="161"/>
      <c r="DU120" s="161"/>
      <c r="DV120" s="162"/>
      <c r="DW120" s="168"/>
      <c r="DX120" s="168"/>
      <c r="DY120" s="168"/>
      <c r="DZ120" s="168"/>
      <c r="EA120" s="168"/>
      <c r="EB120" s="168"/>
      <c r="EC120" s="168"/>
      <c r="ED120" s="169"/>
      <c r="EE120" s="169"/>
      <c r="EF120" s="165"/>
      <c r="EG120" s="170"/>
      <c r="EH120" s="174"/>
      <c r="EI120" s="174"/>
      <c r="EJ120" s="174"/>
      <c r="EK120" s="174"/>
      <c r="EL120" s="174"/>
      <c r="EM120" s="174"/>
      <c r="EN120" s="174"/>
      <c r="EO120" s="164"/>
      <c r="EP120" s="172"/>
      <c r="EQ120" s="171"/>
      <c r="ER120" s="161"/>
      <c r="ES120" s="161"/>
      <c r="ET120" s="164"/>
      <c r="EU120" s="164"/>
      <c r="EV120" s="164"/>
      <c r="EW120" s="172"/>
      <c r="EX120" s="171"/>
      <c r="EY120" s="161"/>
      <c r="EZ120" s="161"/>
      <c r="FA120" s="161"/>
      <c r="FB120" s="161"/>
      <c r="FC120" s="161"/>
      <c r="FD120" s="161"/>
      <c r="FE120" s="161"/>
      <c r="FF120" s="161"/>
      <c r="FG120" s="161"/>
      <c r="FH120" s="161"/>
    </row>
    <row r="121" spans="40:164">
      <c r="AN121" s="29"/>
      <c r="AO121" s="29"/>
      <c r="AP121" s="7"/>
      <c r="AQ121" s="7"/>
      <c r="AR121" s="29"/>
      <c r="AS121" s="29"/>
      <c r="AT121" s="29"/>
      <c r="AU121" s="29"/>
      <c r="BC121" s="26"/>
      <c r="BF121" s="26"/>
      <c r="BG121" s="30"/>
      <c r="BH121" s="7"/>
      <c r="BI121" s="64"/>
      <c r="BJ121" s="7"/>
      <c r="BK121" s="7"/>
      <c r="BL121" s="139"/>
      <c r="BM121" s="7"/>
      <c r="BN121" s="7"/>
      <c r="BO121" s="140"/>
      <c r="BP121" s="69"/>
      <c r="BQ121" s="67"/>
      <c r="BR121" s="7"/>
      <c r="BS121" s="7"/>
      <c r="BT121" s="28"/>
      <c r="BU121" s="28"/>
      <c r="BV121" s="28"/>
      <c r="BW121" s="29"/>
      <c r="BX121" s="136"/>
      <c r="BY121" s="7"/>
      <c r="BZ121" s="68"/>
      <c r="CA121" s="65"/>
      <c r="CB121" s="7"/>
      <c r="CC121" s="83"/>
      <c r="CD121" s="83"/>
      <c r="CE121" s="28"/>
      <c r="CF121" s="7"/>
      <c r="CG121" s="29"/>
      <c r="CH121" s="7"/>
      <c r="DA121" s="161"/>
      <c r="DB121" s="162"/>
      <c r="DC121" s="163"/>
      <c r="DD121" s="163"/>
      <c r="DE121" s="162"/>
      <c r="DF121" s="162"/>
      <c r="DG121" s="162"/>
      <c r="DH121" s="164"/>
      <c r="DI121" s="164"/>
      <c r="DJ121" s="164"/>
      <c r="DK121" s="165"/>
      <c r="DL121" s="165"/>
      <c r="DM121" s="166"/>
      <c r="DN121" s="161"/>
      <c r="DO121" s="161"/>
      <c r="DP121" s="161"/>
      <c r="DQ121" s="161"/>
      <c r="DR121" s="161"/>
      <c r="DS121" s="161"/>
      <c r="DT121" s="161"/>
      <c r="DU121" s="161"/>
      <c r="DV121" s="162"/>
      <c r="DW121" s="168"/>
      <c r="DX121" s="168"/>
      <c r="DY121" s="168"/>
      <c r="DZ121" s="168"/>
      <c r="EA121" s="168"/>
      <c r="EB121" s="168"/>
      <c r="EC121" s="168"/>
      <c r="ED121" s="169"/>
      <c r="EE121" s="169"/>
      <c r="EF121" s="165"/>
      <c r="EG121" s="170"/>
      <c r="EH121" s="174"/>
      <c r="EI121" s="174"/>
      <c r="EJ121" s="174"/>
      <c r="EK121" s="174"/>
      <c r="EL121" s="174"/>
      <c r="EM121" s="174"/>
      <c r="EN121" s="174"/>
      <c r="EO121" s="164"/>
      <c r="EP121" s="172"/>
      <c r="EQ121" s="171"/>
      <c r="ER121" s="161"/>
      <c r="ES121" s="161"/>
      <c r="ET121" s="164"/>
      <c r="EU121" s="164"/>
      <c r="EV121" s="164"/>
      <c r="EW121" s="172"/>
      <c r="EX121" s="171"/>
      <c r="EY121" s="161"/>
      <c r="EZ121" s="161"/>
      <c r="FA121" s="161"/>
      <c r="FB121" s="161"/>
      <c r="FC121" s="161"/>
      <c r="FD121" s="161"/>
      <c r="FE121" s="161"/>
      <c r="FF121" s="161"/>
      <c r="FG121" s="161"/>
      <c r="FH121" s="161"/>
    </row>
    <row r="122" spans="40:164">
      <c r="AN122" s="29"/>
      <c r="AO122" s="29"/>
      <c r="AP122" s="7"/>
      <c r="AQ122" s="7"/>
      <c r="AR122" s="29"/>
      <c r="AS122" s="29"/>
      <c r="AT122" s="29"/>
      <c r="AU122" s="29"/>
      <c r="BC122" s="26"/>
      <c r="BF122" s="26"/>
      <c r="BG122" s="30"/>
      <c r="BH122" s="7"/>
      <c r="BI122" s="64"/>
      <c r="BJ122" s="7"/>
      <c r="BK122" s="7"/>
      <c r="BL122" s="139"/>
      <c r="BM122" s="7"/>
      <c r="BN122" s="7"/>
      <c r="BO122" s="140"/>
      <c r="BP122" s="69"/>
      <c r="BQ122" s="67"/>
      <c r="BR122" s="7"/>
      <c r="BS122" s="7"/>
      <c r="BT122" s="28"/>
      <c r="BU122" s="28"/>
      <c r="BV122" s="28"/>
      <c r="BW122" s="29"/>
      <c r="BX122" s="136"/>
      <c r="BY122" s="7"/>
      <c r="BZ122" s="68"/>
      <c r="CA122" s="65"/>
      <c r="CB122" s="7"/>
      <c r="CC122" s="83"/>
      <c r="CD122" s="83"/>
      <c r="CE122" s="28"/>
      <c r="CF122" s="7"/>
      <c r="CG122" s="29"/>
      <c r="CH122" s="7"/>
      <c r="DA122" s="161"/>
      <c r="DB122" s="162"/>
      <c r="DC122" s="163"/>
      <c r="DD122" s="163"/>
      <c r="DE122" s="162"/>
      <c r="DF122" s="162"/>
      <c r="DG122" s="162"/>
      <c r="DH122" s="164"/>
      <c r="DI122" s="164"/>
      <c r="DJ122" s="164"/>
      <c r="DK122" s="165"/>
      <c r="DL122" s="165"/>
      <c r="DM122" s="166"/>
      <c r="DN122" s="161"/>
      <c r="DO122" s="161"/>
      <c r="DP122" s="161"/>
      <c r="DQ122" s="161"/>
      <c r="DR122" s="161"/>
      <c r="DS122" s="161"/>
      <c r="DT122" s="161"/>
      <c r="DU122" s="161"/>
      <c r="DV122" s="162"/>
      <c r="DW122" s="168"/>
      <c r="DX122" s="168"/>
      <c r="DY122" s="168"/>
      <c r="DZ122" s="168"/>
      <c r="EA122" s="168"/>
      <c r="EB122" s="168"/>
      <c r="EC122" s="168"/>
      <c r="ED122" s="169"/>
      <c r="EE122" s="169"/>
      <c r="EF122" s="165"/>
      <c r="EG122" s="170"/>
      <c r="EH122" s="174"/>
      <c r="EI122" s="174"/>
      <c r="EJ122" s="174"/>
      <c r="EK122" s="174"/>
      <c r="EL122" s="174"/>
      <c r="EM122" s="174"/>
      <c r="EN122" s="174"/>
      <c r="EO122" s="164"/>
      <c r="EP122" s="172"/>
      <c r="EQ122" s="171"/>
      <c r="ER122" s="161"/>
      <c r="ES122" s="161"/>
      <c r="ET122" s="164"/>
      <c r="EU122" s="164"/>
      <c r="EV122" s="164"/>
      <c r="EW122" s="172"/>
      <c r="EX122" s="171"/>
      <c r="EY122" s="161"/>
      <c r="EZ122" s="161"/>
      <c r="FA122" s="161"/>
      <c r="FB122" s="161"/>
      <c r="FC122" s="161"/>
      <c r="FD122" s="161"/>
      <c r="FE122" s="161"/>
      <c r="FF122" s="161"/>
      <c r="FG122" s="161"/>
      <c r="FH122" s="161"/>
    </row>
    <row r="123" spans="40:164">
      <c r="AN123" s="29"/>
      <c r="AO123" s="29"/>
      <c r="AP123" s="7"/>
      <c r="AQ123" s="7"/>
      <c r="AR123" s="29"/>
      <c r="AS123" s="29"/>
      <c r="AT123" s="29"/>
      <c r="AU123" s="29"/>
      <c r="BC123" s="26"/>
      <c r="BF123" s="26"/>
      <c r="BG123" s="30"/>
      <c r="BH123" s="7"/>
      <c r="BI123" s="64"/>
      <c r="BJ123" s="7"/>
      <c r="BK123" s="7"/>
      <c r="BL123" s="139"/>
      <c r="BM123" s="7"/>
      <c r="BN123" s="7"/>
      <c r="BO123" s="140"/>
      <c r="BP123" s="69"/>
      <c r="BQ123" s="67"/>
      <c r="BR123" s="7"/>
      <c r="BS123" s="7"/>
      <c r="BT123" s="28"/>
      <c r="BU123" s="28"/>
      <c r="BV123" s="28"/>
      <c r="BW123" s="29"/>
      <c r="BX123" s="136"/>
      <c r="BY123" s="7"/>
      <c r="BZ123" s="68"/>
      <c r="CA123" s="65"/>
      <c r="CB123" s="7"/>
      <c r="CC123" s="83"/>
      <c r="CD123" s="83"/>
      <c r="CE123" s="28"/>
      <c r="CF123" s="7"/>
      <c r="CG123" s="29"/>
      <c r="CH123" s="7"/>
      <c r="DA123" s="161"/>
      <c r="DB123" s="162"/>
      <c r="DC123" s="163"/>
      <c r="DD123" s="163"/>
      <c r="DE123" s="162"/>
      <c r="DF123" s="162"/>
      <c r="DG123" s="162"/>
      <c r="DH123" s="164"/>
      <c r="DI123" s="164"/>
      <c r="DJ123" s="164"/>
      <c r="DK123" s="165"/>
      <c r="DL123" s="165"/>
      <c r="DM123" s="166"/>
      <c r="DN123" s="161"/>
      <c r="DO123" s="161"/>
      <c r="DP123" s="161"/>
      <c r="DQ123" s="161"/>
      <c r="DR123" s="161"/>
      <c r="DS123" s="161"/>
      <c r="DT123" s="161"/>
      <c r="DU123" s="161"/>
      <c r="DV123" s="162"/>
      <c r="DW123" s="168"/>
      <c r="DX123" s="168"/>
      <c r="DY123" s="168"/>
      <c r="DZ123" s="168"/>
      <c r="EA123" s="168"/>
      <c r="EB123" s="168"/>
      <c r="EC123" s="168"/>
      <c r="ED123" s="169"/>
      <c r="EE123" s="169"/>
      <c r="EF123" s="165"/>
      <c r="EG123" s="170"/>
      <c r="EH123" s="174"/>
      <c r="EI123" s="174"/>
      <c r="EJ123" s="174"/>
      <c r="EK123" s="174"/>
      <c r="EL123" s="174"/>
      <c r="EM123" s="174"/>
      <c r="EN123" s="174"/>
      <c r="EO123" s="164"/>
      <c r="EP123" s="172"/>
      <c r="EQ123" s="171"/>
      <c r="ER123" s="161"/>
      <c r="ES123" s="161"/>
      <c r="ET123" s="164"/>
      <c r="EU123" s="164"/>
      <c r="EV123" s="164"/>
      <c r="EW123" s="172"/>
      <c r="EX123" s="171"/>
      <c r="EY123" s="161"/>
      <c r="EZ123" s="161"/>
      <c r="FA123" s="161"/>
      <c r="FB123" s="161"/>
      <c r="FC123" s="161"/>
      <c r="FD123" s="161"/>
      <c r="FE123" s="161"/>
      <c r="FF123" s="161"/>
      <c r="FG123" s="161"/>
      <c r="FH123" s="161"/>
    </row>
    <row r="124" spans="40:164">
      <c r="AN124" s="29"/>
      <c r="AO124" s="29"/>
      <c r="AP124" s="7"/>
      <c r="AQ124" s="7"/>
      <c r="AR124" s="29"/>
      <c r="AS124" s="29"/>
      <c r="AT124" s="29"/>
      <c r="AU124" s="29"/>
      <c r="BC124" s="26"/>
      <c r="BF124" s="26"/>
      <c r="BG124" s="30"/>
      <c r="BH124" s="7"/>
      <c r="BI124" s="64"/>
      <c r="BJ124" s="7"/>
      <c r="BK124" s="7"/>
      <c r="BL124" s="139"/>
      <c r="BM124" s="7"/>
      <c r="BN124" s="7"/>
      <c r="BO124" s="140"/>
      <c r="BP124" s="69"/>
      <c r="BQ124" s="67"/>
      <c r="BR124" s="7"/>
      <c r="BS124" s="7"/>
      <c r="BT124" s="28"/>
      <c r="BU124" s="28"/>
      <c r="BV124" s="28"/>
      <c r="BW124" s="29"/>
      <c r="BX124" s="136"/>
      <c r="BY124" s="7"/>
      <c r="BZ124" s="68"/>
      <c r="CA124" s="65"/>
      <c r="CB124" s="7"/>
      <c r="CC124" s="83"/>
      <c r="CD124" s="83"/>
      <c r="CE124" s="28"/>
      <c r="CF124" s="7"/>
      <c r="CG124" s="29"/>
      <c r="CH124" s="7"/>
      <c r="DA124" s="161"/>
      <c r="DB124" s="162"/>
      <c r="DC124" s="163"/>
      <c r="DD124" s="163"/>
      <c r="DE124" s="162"/>
      <c r="DF124" s="162"/>
      <c r="DG124" s="162"/>
      <c r="DH124" s="164"/>
      <c r="DI124" s="164"/>
      <c r="DJ124" s="164"/>
      <c r="DK124" s="165"/>
      <c r="DL124" s="165"/>
      <c r="DM124" s="166"/>
      <c r="DN124" s="161"/>
      <c r="DO124" s="161"/>
      <c r="DP124" s="161"/>
      <c r="DQ124" s="161"/>
      <c r="DR124" s="161"/>
      <c r="DS124" s="161"/>
      <c r="DT124" s="161"/>
      <c r="DU124" s="161"/>
      <c r="DV124" s="162"/>
      <c r="DW124" s="168"/>
      <c r="DX124" s="168"/>
      <c r="DY124" s="168"/>
      <c r="DZ124" s="168"/>
      <c r="EA124" s="168"/>
      <c r="EB124" s="168"/>
      <c r="EC124" s="168"/>
      <c r="ED124" s="169"/>
      <c r="EE124" s="169"/>
      <c r="EF124" s="165"/>
      <c r="EG124" s="170"/>
      <c r="EH124" s="174"/>
      <c r="EI124" s="174"/>
      <c r="EJ124" s="174"/>
      <c r="EK124" s="174"/>
      <c r="EL124" s="174"/>
      <c r="EM124" s="174"/>
      <c r="EN124" s="174"/>
      <c r="EO124" s="164"/>
      <c r="EP124" s="172"/>
      <c r="EQ124" s="171"/>
      <c r="ER124" s="161"/>
      <c r="ES124" s="161"/>
      <c r="ET124" s="164"/>
      <c r="EU124" s="164"/>
      <c r="EV124" s="164"/>
      <c r="EW124" s="172"/>
      <c r="EX124" s="171"/>
      <c r="EY124" s="161"/>
      <c r="EZ124" s="161"/>
      <c r="FA124" s="161"/>
      <c r="FB124" s="161"/>
      <c r="FC124" s="161"/>
      <c r="FD124" s="161"/>
      <c r="FE124" s="161"/>
      <c r="FF124" s="161"/>
      <c r="FG124" s="161"/>
      <c r="FH124" s="161"/>
    </row>
    <row r="125" spans="40:164">
      <c r="AN125" s="29"/>
      <c r="AO125" s="29"/>
      <c r="AP125" s="7"/>
      <c r="AQ125" s="7"/>
      <c r="AR125" s="29"/>
      <c r="AS125" s="29"/>
      <c r="AT125" s="29"/>
      <c r="AU125" s="29"/>
      <c r="BC125" s="26"/>
      <c r="BF125" s="26"/>
      <c r="BG125" s="30"/>
      <c r="BH125" s="7"/>
      <c r="BI125" s="64"/>
      <c r="BJ125" s="7"/>
      <c r="BK125" s="7"/>
      <c r="BL125" s="139"/>
      <c r="BM125" s="7"/>
      <c r="BN125" s="7"/>
      <c r="BO125" s="140"/>
      <c r="BP125" s="69"/>
      <c r="BQ125" s="67"/>
      <c r="BR125" s="7"/>
      <c r="BS125" s="7"/>
      <c r="BT125" s="28"/>
      <c r="BU125" s="28"/>
      <c r="BV125" s="28"/>
      <c r="BW125" s="29"/>
      <c r="BX125" s="136"/>
      <c r="BY125" s="7"/>
      <c r="BZ125" s="68"/>
      <c r="CA125" s="65"/>
      <c r="CB125" s="7"/>
      <c r="CC125" s="83"/>
      <c r="CD125" s="83"/>
      <c r="CE125" s="28"/>
      <c r="CF125" s="7"/>
      <c r="CG125" s="29"/>
      <c r="CH125" s="7"/>
      <c r="DA125" s="161"/>
      <c r="DB125" s="162"/>
      <c r="DC125" s="163"/>
      <c r="DD125" s="163"/>
      <c r="DE125" s="162"/>
      <c r="DF125" s="162"/>
      <c r="DG125" s="162"/>
      <c r="DH125" s="164"/>
      <c r="DI125" s="164"/>
      <c r="DJ125" s="164"/>
      <c r="DK125" s="165"/>
      <c r="DL125" s="165"/>
      <c r="DM125" s="166"/>
      <c r="DN125" s="161"/>
      <c r="DO125" s="161"/>
      <c r="DP125" s="161"/>
      <c r="DQ125" s="161"/>
      <c r="DR125" s="161"/>
      <c r="DS125" s="161"/>
      <c r="DT125" s="161"/>
      <c r="DU125" s="161"/>
      <c r="DV125" s="162"/>
      <c r="DW125" s="168"/>
      <c r="DX125" s="168"/>
      <c r="DY125" s="168"/>
      <c r="DZ125" s="168"/>
      <c r="EA125" s="168"/>
      <c r="EB125" s="168"/>
      <c r="EC125" s="168"/>
      <c r="ED125" s="169"/>
      <c r="EE125" s="169"/>
      <c r="EF125" s="165"/>
      <c r="EG125" s="170"/>
      <c r="EH125" s="174"/>
      <c r="EI125" s="174"/>
      <c r="EJ125" s="174"/>
      <c r="EK125" s="174"/>
      <c r="EL125" s="174"/>
      <c r="EM125" s="174"/>
      <c r="EN125" s="174"/>
      <c r="EO125" s="164"/>
      <c r="EP125" s="172"/>
      <c r="EQ125" s="171"/>
      <c r="ER125" s="161"/>
      <c r="ES125" s="161"/>
      <c r="ET125" s="164"/>
      <c r="EU125" s="164"/>
      <c r="EV125" s="164"/>
      <c r="EW125" s="172"/>
      <c r="EX125" s="171"/>
      <c r="EY125" s="161"/>
      <c r="EZ125" s="161"/>
      <c r="FA125" s="161"/>
      <c r="FB125" s="161"/>
      <c r="FC125" s="161"/>
      <c r="FD125" s="161"/>
      <c r="FE125" s="161"/>
      <c r="FF125" s="161"/>
      <c r="FG125" s="161"/>
      <c r="FH125" s="161"/>
    </row>
    <row r="126" spans="40:164">
      <c r="AN126" s="29"/>
      <c r="AO126" s="29"/>
      <c r="AP126" s="7"/>
      <c r="AQ126" s="7"/>
      <c r="AR126" s="29"/>
      <c r="AS126" s="29"/>
      <c r="AT126" s="29"/>
      <c r="AU126" s="29"/>
      <c r="BC126" s="26"/>
      <c r="BF126" s="26"/>
      <c r="BG126" s="30"/>
      <c r="BH126" s="7"/>
      <c r="BI126" s="64"/>
      <c r="BJ126" s="7"/>
      <c r="BK126" s="7"/>
      <c r="BL126" s="139"/>
      <c r="BM126" s="7"/>
      <c r="BN126" s="7"/>
      <c r="BO126" s="140"/>
      <c r="BP126" s="69"/>
      <c r="BQ126" s="67"/>
      <c r="BR126" s="7"/>
      <c r="BS126" s="7"/>
      <c r="BT126" s="28"/>
      <c r="BU126" s="28"/>
      <c r="BV126" s="28"/>
      <c r="BW126" s="29"/>
      <c r="BX126" s="136"/>
      <c r="BY126" s="7"/>
      <c r="BZ126" s="68"/>
      <c r="CA126" s="65"/>
      <c r="CB126" s="7"/>
      <c r="CC126" s="83"/>
      <c r="CD126" s="83"/>
      <c r="CE126" s="28"/>
      <c r="CF126" s="7"/>
      <c r="CG126" s="29"/>
      <c r="CH126" s="7"/>
      <c r="DA126" s="161"/>
      <c r="DB126" s="162"/>
      <c r="DC126" s="163"/>
      <c r="DD126" s="163"/>
      <c r="DE126" s="162"/>
      <c r="DF126" s="162"/>
      <c r="DG126" s="162"/>
      <c r="DH126" s="164"/>
      <c r="DI126" s="164"/>
      <c r="DJ126" s="164"/>
      <c r="DK126" s="165"/>
      <c r="DL126" s="165"/>
      <c r="DM126" s="166"/>
      <c r="DN126" s="161"/>
      <c r="DO126" s="161"/>
      <c r="DP126" s="161"/>
      <c r="DQ126" s="161"/>
      <c r="DR126" s="161"/>
      <c r="DS126" s="161"/>
      <c r="DT126" s="161"/>
      <c r="DU126" s="161"/>
      <c r="DV126" s="162"/>
      <c r="DW126" s="168"/>
      <c r="DX126" s="168"/>
      <c r="DY126" s="168"/>
      <c r="DZ126" s="168"/>
      <c r="EA126" s="168"/>
      <c r="EB126" s="168"/>
      <c r="EC126" s="168"/>
      <c r="ED126" s="169"/>
      <c r="EE126" s="169"/>
      <c r="EF126" s="165"/>
      <c r="EG126" s="170"/>
      <c r="EH126" s="174"/>
      <c r="EI126" s="174"/>
      <c r="EJ126" s="174"/>
      <c r="EK126" s="174"/>
      <c r="EL126" s="174"/>
      <c r="EM126" s="174"/>
      <c r="EN126" s="174"/>
      <c r="EO126" s="164"/>
      <c r="EP126" s="172"/>
      <c r="EQ126" s="171"/>
      <c r="ER126" s="161"/>
      <c r="ES126" s="161"/>
      <c r="ET126" s="164"/>
      <c r="EU126" s="164"/>
      <c r="EV126" s="164"/>
      <c r="EW126" s="172"/>
      <c r="EX126" s="171"/>
      <c r="EY126" s="161"/>
      <c r="EZ126" s="161"/>
      <c r="FA126" s="161"/>
      <c r="FB126" s="161"/>
      <c r="FC126" s="161"/>
      <c r="FD126" s="161"/>
      <c r="FE126" s="161"/>
      <c r="FF126" s="161"/>
      <c r="FG126" s="161"/>
      <c r="FH126" s="161"/>
    </row>
    <row r="127" spans="40:164">
      <c r="AN127" s="29"/>
      <c r="AO127" s="29"/>
      <c r="AP127" s="7"/>
      <c r="AQ127" s="7"/>
      <c r="AR127" s="29"/>
      <c r="AS127" s="29"/>
      <c r="AT127" s="29"/>
      <c r="AU127" s="29"/>
      <c r="BC127" s="26"/>
      <c r="BF127" s="26"/>
      <c r="BG127" s="30"/>
      <c r="BH127" s="7"/>
      <c r="BI127" s="64"/>
      <c r="BJ127" s="7"/>
      <c r="BK127" s="7"/>
      <c r="BL127" s="139"/>
      <c r="BM127" s="7"/>
      <c r="BN127" s="7"/>
      <c r="BO127" s="140"/>
      <c r="BP127" s="69"/>
      <c r="BQ127" s="67"/>
      <c r="BR127" s="7"/>
      <c r="BS127" s="7"/>
      <c r="BT127" s="28"/>
      <c r="BU127" s="28"/>
      <c r="BV127" s="28"/>
      <c r="BW127" s="29"/>
      <c r="BX127" s="136"/>
      <c r="BY127" s="7"/>
      <c r="BZ127" s="68"/>
      <c r="CA127" s="65"/>
      <c r="CB127" s="7"/>
      <c r="CC127" s="83"/>
      <c r="CD127" s="83"/>
      <c r="CE127" s="28"/>
      <c r="CF127" s="7"/>
      <c r="CG127" s="29"/>
      <c r="CH127" s="7"/>
      <c r="DA127" s="161"/>
      <c r="DB127" s="162"/>
      <c r="DC127" s="163"/>
      <c r="DD127" s="163"/>
      <c r="DE127" s="162"/>
      <c r="DF127" s="162"/>
      <c r="DG127" s="162"/>
      <c r="DH127" s="164"/>
      <c r="DI127" s="164"/>
      <c r="DJ127" s="164"/>
      <c r="DK127" s="165"/>
      <c r="DL127" s="165"/>
      <c r="DM127" s="166"/>
      <c r="DN127" s="161"/>
      <c r="DO127" s="161"/>
      <c r="DP127" s="161"/>
      <c r="DQ127" s="161"/>
      <c r="DR127" s="161"/>
      <c r="DS127" s="161"/>
      <c r="DT127" s="161"/>
      <c r="DU127" s="161"/>
      <c r="DV127" s="162"/>
      <c r="DW127" s="168"/>
      <c r="DX127" s="168"/>
      <c r="DY127" s="168"/>
      <c r="DZ127" s="168"/>
      <c r="EA127" s="168"/>
      <c r="EB127" s="168"/>
      <c r="EC127" s="168"/>
      <c r="ED127" s="169"/>
      <c r="EE127" s="169"/>
      <c r="EF127" s="165"/>
      <c r="EG127" s="170"/>
      <c r="EH127" s="174"/>
      <c r="EI127" s="174"/>
      <c r="EJ127" s="174"/>
      <c r="EK127" s="174"/>
      <c r="EL127" s="174"/>
      <c r="EM127" s="174"/>
      <c r="EN127" s="174"/>
      <c r="EO127" s="164"/>
      <c r="EP127" s="172"/>
      <c r="EQ127" s="171"/>
      <c r="ER127" s="161"/>
      <c r="ES127" s="161"/>
      <c r="ET127" s="164"/>
      <c r="EU127" s="164"/>
      <c r="EV127" s="164"/>
      <c r="EW127" s="172"/>
      <c r="EX127" s="171"/>
      <c r="EY127" s="161"/>
      <c r="EZ127" s="161"/>
      <c r="FA127" s="161"/>
      <c r="FB127" s="161"/>
      <c r="FC127" s="161"/>
      <c r="FD127" s="161"/>
      <c r="FE127" s="161"/>
      <c r="FF127" s="161"/>
      <c r="FG127" s="161"/>
      <c r="FH127" s="161"/>
    </row>
    <row r="128" spans="40:164">
      <c r="AN128" s="29"/>
      <c r="AO128" s="29"/>
      <c r="AP128" s="7"/>
      <c r="AQ128" s="7"/>
      <c r="AR128" s="29"/>
      <c r="AS128" s="29"/>
      <c r="AT128" s="29"/>
      <c r="AU128" s="29"/>
      <c r="BC128" s="26"/>
      <c r="BF128" s="26"/>
      <c r="BG128" s="30"/>
      <c r="BH128" s="7"/>
      <c r="BI128" s="64"/>
      <c r="BJ128" s="7"/>
      <c r="BK128" s="7"/>
      <c r="BL128" s="139"/>
      <c r="BM128" s="7"/>
      <c r="BN128" s="7"/>
      <c r="BO128" s="140"/>
      <c r="BP128" s="69"/>
      <c r="BQ128" s="67"/>
      <c r="BR128" s="7"/>
      <c r="BS128" s="7"/>
      <c r="BT128" s="28"/>
      <c r="BU128" s="28"/>
      <c r="BV128" s="28"/>
      <c r="BW128" s="29"/>
      <c r="BX128" s="136"/>
      <c r="BY128" s="7"/>
      <c r="BZ128" s="68"/>
      <c r="CA128" s="65"/>
      <c r="CB128" s="7"/>
      <c r="CC128" s="83"/>
      <c r="CD128" s="83"/>
      <c r="CE128" s="28"/>
      <c r="CF128" s="7"/>
      <c r="CG128" s="29"/>
      <c r="CH128" s="7"/>
      <c r="DA128" s="161"/>
      <c r="DB128" s="162"/>
      <c r="DC128" s="163"/>
      <c r="DD128" s="163"/>
      <c r="DE128" s="162"/>
      <c r="DF128" s="162"/>
      <c r="DG128" s="162"/>
      <c r="DH128" s="164"/>
      <c r="DI128" s="164"/>
      <c r="DJ128" s="164"/>
      <c r="DK128" s="165"/>
      <c r="DL128" s="165"/>
      <c r="DM128" s="166"/>
      <c r="DN128" s="161"/>
      <c r="DO128" s="161"/>
      <c r="DP128" s="161"/>
      <c r="DQ128" s="161"/>
      <c r="DR128" s="161"/>
      <c r="DS128" s="161"/>
      <c r="DT128" s="161"/>
      <c r="DU128" s="161"/>
      <c r="DV128" s="162"/>
      <c r="DW128" s="168"/>
      <c r="DX128" s="168"/>
      <c r="DY128" s="168"/>
      <c r="DZ128" s="168"/>
      <c r="EA128" s="168"/>
      <c r="EB128" s="168"/>
      <c r="EC128" s="168"/>
      <c r="ED128" s="169"/>
      <c r="EE128" s="169"/>
      <c r="EF128" s="165"/>
      <c r="EG128" s="170"/>
      <c r="EH128" s="174"/>
      <c r="EI128" s="174"/>
      <c r="EJ128" s="174"/>
      <c r="EK128" s="174"/>
      <c r="EL128" s="174"/>
      <c r="EM128" s="174"/>
      <c r="EN128" s="174"/>
      <c r="EO128" s="164"/>
      <c r="EP128" s="172"/>
      <c r="EQ128" s="171"/>
      <c r="ER128" s="161"/>
      <c r="ES128" s="161"/>
      <c r="ET128" s="164"/>
      <c r="EU128" s="164"/>
      <c r="EV128" s="164"/>
      <c r="EW128" s="172"/>
      <c r="EX128" s="171"/>
      <c r="EY128" s="161"/>
      <c r="EZ128" s="161"/>
      <c r="FA128" s="161"/>
      <c r="FB128" s="161"/>
      <c r="FC128" s="161"/>
      <c r="FD128" s="161"/>
      <c r="FE128" s="161"/>
      <c r="FF128" s="161"/>
      <c r="FG128" s="161"/>
      <c r="FH128" s="161"/>
    </row>
    <row r="129" spans="40:164">
      <c r="AN129" s="29"/>
      <c r="AO129" s="29"/>
      <c r="AP129" s="7"/>
      <c r="AQ129" s="7"/>
      <c r="AR129" s="29"/>
      <c r="AS129" s="29"/>
      <c r="AT129" s="29"/>
      <c r="AU129" s="29"/>
      <c r="BC129" s="26"/>
      <c r="BF129" s="26"/>
      <c r="BG129" s="30"/>
      <c r="BH129" s="7"/>
      <c r="BI129" s="64"/>
      <c r="BJ129" s="7"/>
      <c r="BK129" s="7"/>
      <c r="BL129" s="139"/>
      <c r="BM129" s="7"/>
      <c r="BN129" s="7"/>
      <c r="BO129" s="140"/>
      <c r="BP129" s="69"/>
      <c r="BQ129" s="67"/>
      <c r="BR129" s="7"/>
      <c r="BS129" s="7"/>
      <c r="BT129" s="28"/>
      <c r="BU129" s="28"/>
      <c r="BV129" s="28"/>
      <c r="BW129" s="29"/>
      <c r="BX129" s="136"/>
      <c r="BY129" s="7"/>
      <c r="BZ129" s="68"/>
      <c r="CA129" s="65"/>
      <c r="CB129" s="7"/>
      <c r="CC129" s="83"/>
      <c r="CD129" s="83"/>
      <c r="CE129" s="28"/>
      <c r="CF129" s="7"/>
      <c r="CG129" s="29"/>
      <c r="CH129" s="7"/>
      <c r="DA129" s="161"/>
      <c r="DB129" s="162"/>
      <c r="DC129" s="163"/>
      <c r="DD129" s="163"/>
      <c r="DE129" s="162"/>
      <c r="DF129" s="162"/>
      <c r="DG129" s="162"/>
      <c r="DH129" s="164"/>
      <c r="DI129" s="164"/>
      <c r="DJ129" s="164"/>
      <c r="DK129" s="165"/>
      <c r="DL129" s="165"/>
      <c r="DM129" s="166"/>
      <c r="DN129" s="161"/>
      <c r="DO129" s="161"/>
      <c r="DP129" s="161"/>
      <c r="DQ129" s="161"/>
      <c r="DR129" s="161"/>
      <c r="DS129" s="161"/>
      <c r="DT129" s="161"/>
      <c r="DU129" s="161"/>
      <c r="DV129" s="162"/>
      <c r="DW129" s="168"/>
      <c r="DX129" s="168"/>
      <c r="DY129" s="168"/>
      <c r="DZ129" s="168"/>
      <c r="EA129" s="168"/>
      <c r="EB129" s="168"/>
      <c r="EC129" s="168"/>
      <c r="ED129" s="169"/>
      <c r="EE129" s="169"/>
      <c r="EF129" s="165"/>
      <c r="EG129" s="170"/>
      <c r="EH129" s="174"/>
      <c r="EI129" s="174"/>
      <c r="EJ129" s="174"/>
      <c r="EK129" s="174"/>
      <c r="EL129" s="174"/>
      <c r="EM129" s="174"/>
      <c r="EN129" s="174"/>
      <c r="EO129" s="164"/>
      <c r="EP129" s="172"/>
      <c r="EQ129" s="171"/>
      <c r="ER129" s="161"/>
      <c r="ES129" s="161"/>
      <c r="ET129" s="164"/>
      <c r="EU129" s="164"/>
      <c r="EV129" s="164"/>
      <c r="EW129" s="172"/>
      <c r="EX129" s="171"/>
      <c r="EY129" s="161"/>
      <c r="EZ129" s="161"/>
      <c r="FA129" s="161"/>
      <c r="FB129" s="161"/>
      <c r="FC129" s="161"/>
      <c r="FD129" s="161"/>
      <c r="FE129" s="161"/>
      <c r="FF129" s="161"/>
      <c r="FG129" s="161"/>
      <c r="FH129" s="161"/>
    </row>
    <row r="130" spans="40:164">
      <c r="AN130" s="29"/>
      <c r="AO130" s="29"/>
      <c r="AP130" s="7"/>
      <c r="AQ130" s="7"/>
      <c r="AR130" s="29"/>
      <c r="AS130" s="29"/>
      <c r="AT130" s="29"/>
      <c r="AU130" s="29"/>
      <c r="BC130" s="26"/>
      <c r="BF130" s="26"/>
      <c r="BG130" s="30"/>
      <c r="BH130" s="7"/>
      <c r="BI130" s="64"/>
      <c r="BJ130" s="7"/>
      <c r="BK130" s="7"/>
      <c r="BL130" s="139"/>
      <c r="BM130" s="7"/>
      <c r="BN130" s="7"/>
      <c r="BO130" s="140"/>
      <c r="BP130" s="69"/>
      <c r="BQ130" s="67"/>
      <c r="BR130" s="7"/>
      <c r="BS130" s="7"/>
      <c r="BT130" s="28"/>
      <c r="BU130" s="28"/>
      <c r="BV130" s="28"/>
      <c r="BW130" s="29"/>
      <c r="BX130" s="136"/>
      <c r="BY130" s="7"/>
      <c r="BZ130" s="68"/>
      <c r="CA130" s="65"/>
      <c r="CB130" s="7"/>
      <c r="CC130" s="83"/>
      <c r="CD130" s="83"/>
      <c r="CE130" s="28"/>
      <c r="CF130" s="7"/>
      <c r="CG130" s="29"/>
      <c r="CH130" s="7"/>
      <c r="DA130" s="161"/>
      <c r="DB130" s="162"/>
      <c r="DC130" s="163"/>
      <c r="DD130" s="163"/>
      <c r="DE130" s="162"/>
      <c r="DF130" s="162"/>
      <c r="DG130" s="162"/>
      <c r="DH130" s="164"/>
      <c r="DI130" s="164"/>
      <c r="DJ130" s="164"/>
      <c r="DK130" s="165"/>
      <c r="DL130" s="165"/>
      <c r="DM130" s="166"/>
      <c r="DN130" s="161"/>
      <c r="DO130" s="161"/>
      <c r="DP130" s="161"/>
      <c r="DQ130" s="161"/>
      <c r="DR130" s="161"/>
      <c r="DS130" s="161"/>
      <c r="DT130" s="161"/>
      <c r="DU130" s="161"/>
      <c r="DV130" s="162"/>
      <c r="DW130" s="168"/>
      <c r="DX130" s="168"/>
      <c r="DY130" s="168"/>
      <c r="DZ130" s="168"/>
      <c r="EA130" s="168"/>
      <c r="EB130" s="168"/>
      <c r="EC130" s="168"/>
      <c r="ED130" s="169"/>
      <c r="EE130" s="169"/>
      <c r="EF130" s="165"/>
      <c r="EG130" s="170"/>
      <c r="EH130" s="174"/>
      <c r="EI130" s="174"/>
      <c r="EJ130" s="174"/>
      <c r="EK130" s="174"/>
      <c r="EL130" s="174"/>
      <c r="EM130" s="174"/>
      <c r="EN130" s="174"/>
      <c r="EO130" s="164"/>
      <c r="EP130" s="172"/>
      <c r="EQ130" s="171"/>
      <c r="ER130" s="161"/>
      <c r="ES130" s="161"/>
      <c r="ET130" s="164"/>
      <c r="EU130" s="164"/>
      <c r="EV130" s="164"/>
      <c r="EW130" s="172"/>
      <c r="EX130" s="171"/>
      <c r="EY130" s="161"/>
      <c r="EZ130" s="161"/>
      <c r="FA130" s="161"/>
      <c r="FB130" s="161"/>
      <c r="FC130" s="161"/>
      <c r="FD130" s="161"/>
      <c r="FE130" s="161"/>
      <c r="FF130" s="161"/>
      <c r="FG130" s="161"/>
      <c r="FH130" s="161"/>
    </row>
    <row r="131" spans="40:164">
      <c r="AN131" s="29"/>
      <c r="AO131" s="29"/>
      <c r="AP131" s="7"/>
      <c r="AQ131" s="7"/>
      <c r="AR131" s="29"/>
      <c r="AS131" s="29"/>
      <c r="AT131" s="29"/>
      <c r="AU131" s="29"/>
      <c r="BC131" s="26"/>
      <c r="BF131" s="26"/>
      <c r="BG131" s="30"/>
      <c r="BH131" s="7"/>
      <c r="BI131" s="64"/>
      <c r="BJ131" s="7"/>
      <c r="BK131" s="7"/>
      <c r="BL131" s="139"/>
      <c r="BM131" s="7"/>
      <c r="BN131" s="7"/>
      <c r="BO131" s="140"/>
      <c r="BP131" s="69"/>
      <c r="BQ131" s="67"/>
      <c r="BR131" s="7"/>
      <c r="BS131" s="7"/>
      <c r="BT131" s="28"/>
      <c r="BU131" s="28"/>
      <c r="BV131" s="28"/>
      <c r="BW131" s="29"/>
      <c r="BX131" s="136"/>
      <c r="BY131" s="7"/>
      <c r="BZ131" s="68"/>
      <c r="CA131" s="65"/>
      <c r="CB131" s="7"/>
      <c r="CC131" s="83"/>
      <c r="CD131" s="83"/>
      <c r="CE131" s="28"/>
      <c r="CF131" s="7"/>
      <c r="CG131" s="29"/>
      <c r="CH131" s="7"/>
      <c r="DA131" s="161"/>
      <c r="DB131" s="162"/>
      <c r="DC131" s="163"/>
      <c r="DD131" s="163"/>
      <c r="DE131" s="162"/>
      <c r="DF131" s="162"/>
      <c r="DG131" s="162"/>
      <c r="DH131" s="164"/>
      <c r="DI131" s="164"/>
      <c r="DJ131" s="164"/>
      <c r="DK131" s="165"/>
      <c r="DL131" s="165"/>
      <c r="DM131" s="166"/>
      <c r="DN131" s="161"/>
      <c r="DO131" s="161"/>
      <c r="DP131" s="161"/>
      <c r="DQ131" s="161"/>
      <c r="DR131" s="161"/>
      <c r="DS131" s="161"/>
      <c r="DT131" s="161"/>
      <c r="DU131" s="161"/>
      <c r="DV131" s="162"/>
      <c r="DW131" s="168"/>
      <c r="DX131" s="168"/>
      <c r="DY131" s="168"/>
      <c r="DZ131" s="168"/>
      <c r="EA131" s="168"/>
      <c r="EB131" s="168"/>
      <c r="EC131" s="168"/>
      <c r="ED131" s="169"/>
      <c r="EE131" s="169"/>
      <c r="EF131" s="165"/>
      <c r="EG131" s="170"/>
      <c r="EH131" s="174"/>
      <c r="EI131" s="174"/>
      <c r="EJ131" s="174"/>
      <c r="EK131" s="174"/>
      <c r="EL131" s="174"/>
      <c r="EM131" s="174"/>
      <c r="EN131" s="174"/>
      <c r="EO131" s="164"/>
      <c r="EP131" s="172"/>
      <c r="EQ131" s="171"/>
      <c r="ER131" s="161"/>
      <c r="ES131" s="161"/>
      <c r="ET131" s="164"/>
      <c r="EU131" s="164"/>
      <c r="EV131" s="164"/>
      <c r="EW131" s="172"/>
      <c r="EX131" s="171"/>
      <c r="EY131" s="161"/>
      <c r="EZ131" s="161"/>
      <c r="FA131" s="161"/>
      <c r="FB131" s="161"/>
      <c r="FC131" s="161"/>
      <c r="FD131" s="161"/>
      <c r="FE131" s="161"/>
      <c r="FF131" s="161"/>
      <c r="FG131" s="161"/>
      <c r="FH131" s="161"/>
    </row>
    <row r="132" spans="40:164">
      <c r="AN132" s="29"/>
      <c r="AO132" s="29"/>
      <c r="AP132" s="7"/>
      <c r="AQ132" s="7"/>
      <c r="AR132" s="29"/>
      <c r="AS132" s="29"/>
      <c r="AT132" s="29"/>
      <c r="AU132" s="29"/>
      <c r="BC132" s="26"/>
      <c r="BF132" s="26"/>
      <c r="BG132" s="30"/>
      <c r="BH132" s="7"/>
      <c r="BI132" s="64"/>
      <c r="BJ132" s="7"/>
      <c r="BK132" s="7"/>
      <c r="BL132" s="139"/>
      <c r="BM132" s="7"/>
      <c r="BN132" s="7"/>
      <c r="BO132" s="140"/>
      <c r="BP132" s="69"/>
      <c r="BQ132" s="67"/>
      <c r="BR132" s="7"/>
      <c r="BS132" s="7"/>
      <c r="BT132" s="28"/>
      <c r="BU132" s="28"/>
      <c r="BV132" s="28"/>
      <c r="BW132" s="29"/>
      <c r="BX132" s="136"/>
      <c r="BY132" s="7"/>
      <c r="BZ132" s="68"/>
      <c r="CA132" s="65"/>
      <c r="CB132" s="7"/>
      <c r="CC132" s="83"/>
      <c r="CD132" s="83"/>
      <c r="CE132" s="28"/>
      <c r="CF132" s="7"/>
      <c r="CG132" s="29"/>
      <c r="CH132" s="7"/>
      <c r="DA132" s="161"/>
      <c r="DB132" s="162"/>
      <c r="DC132" s="163"/>
      <c r="DD132" s="163"/>
      <c r="DE132" s="162"/>
      <c r="DF132" s="162"/>
      <c r="DG132" s="162"/>
      <c r="DH132" s="164"/>
      <c r="DI132" s="164"/>
      <c r="DJ132" s="164"/>
      <c r="DK132" s="165"/>
      <c r="DL132" s="165"/>
      <c r="DM132" s="166"/>
      <c r="DN132" s="161"/>
      <c r="DO132" s="161"/>
      <c r="DP132" s="161"/>
      <c r="DQ132" s="161"/>
      <c r="DR132" s="161"/>
      <c r="DS132" s="161"/>
      <c r="DT132" s="161"/>
      <c r="DU132" s="161"/>
      <c r="DV132" s="162"/>
      <c r="DW132" s="168"/>
      <c r="DX132" s="168"/>
      <c r="DY132" s="168"/>
      <c r="DZ132" s="168"/>
      <c r="EA132" s="168"/>
      <c r="EB132" s="168"/>
      <c r="EC132" s="168"/>
      <c r="ED132" s="169"/>
      <c r="EE132" s="169"/>
      <c r="EF132" s="165"/>
      <c r="EG132" s="170"/>
      <c r="EH132" s="174"/>
      <c r="EI132" s="174"/>
      <c r="EJ132" s="174"/>
      <c r="EK132" s="174"/>
      <c r="EL132" s="174"/>
      <c r="EM132" s="174"/>
      <c r="EN132" s="174"/>
      <c r="EO132" s="164"/>
      <c r="EP132" s="172"/>
      <c r="EQ132" s="171"/>
      <c r="ER132" s="161"/>
      <c r="ES132" s="161"/>
      <c r="ET132" s="164"/>
      <c r="EU132" s="164"/>
      <c r="EV132" s="164"/>
      <c r="EW132" s="172"/>
      <c r="EX132" s="171"/>
      <c r="EY132" s="161"/>
      <c r="EZ132" s="161"/>
      <c r="FA132" s="161"/>
      <c r="FB132" s="161"/>
      <c r="FC132" s="161"/>
      <c r="FD132" s="161"/>
      <c r="FE132" s="161"/>
      <c r="FF132" s="161"/>
      <c r="FG132" s="161"/>
      <c r="FH132" s="161"/>
    </row>
    <row r="133" spans="40:164">
      <c r="AN133" s="29"/>
      <c r="AO133" s="29"/>
      <c r="AP133" s="7"/>
      <c r="AQ133" s="7"/>
      <c r="AR133" s="29"/>
      <c r="AS133" s="29"/>
      <c r="AT133" s="29"/>
      <c r="AU133" s="29"/>
      <c r="BC133" s="26"/>
      <c r="BF133" s="26"/>
      <c r="BG133" s="30"/>
      <c r="BH133" s="7"/>
      <c r="BI133" s="64"/>
      <c r="BJ133" s="7"/>
      <c r="BK133" s="7"/>
      <c r="BL133" s="139"/>
      <c r="BM133" s="7"/>
      <c r="BN133" s="7"/>
      <c r="BO133" s="140"/>
      <c r="BP133" s="69"/>
      <c r="BQ133" s="67"/>
      <c r="BR133" s="7"/>
      <c r="BS133" s="7"/>
      <c r="BT133" s="28"/>
      <c r="BU133" s="28"/>
      <c r="BV133" s="28"/>
      <c r="BW133" s="29"/>
      <c r="BX133" s="136"/>
      <c r="BY133" s="7"/>
      <c r="BZ133" s="68"/>
      <c r="CA133" s="65"/>
      <c r="CB133" s="7"/>
      <c r="CC133" s="83"/>
      <c r="CD133" s="83"/>
      <c r="CE133" s="28"/>
      <c r="CF133" s="7"/>
      <c r="CG133" s="29"/>
      <c r="CH133" s="7"/>
      <c r="DA133" s="161"/>
      <c r="DB133" s="162"/>
      <c r="DC133" s="163"/>
      <c r="DD133" s="163"/>
      <c r="DE133" s="162"/>
      <c r="DF133" s="162"/>
      <c r="DG133" s="162"/>
      <c r="DH133" s="164"/>
      <c r="DI133" s="164"/>
      <c r="DJ133" s="164"/>
      <c r="DK133" s="165"/>
      <c r="DL133" s="165"/>
      <c r="DM133" s="166"/>
      <c r="DN133" s="161"/>
      <c r="DO133" s="161"/>
      <c r="DP133" s="161"/>
      <c r="DQ133" s="161"/>
      <c r="DR133" s="161"/>
      <c r="DS133" s="161"/>
      <c r="DT133" s="161"/>
      <c r="DU133" s="161"/>
      <c r="DV133" s="162"/>
      <c r="DW133" s="168"/>
      <c r="DX133" s="168"/>
      <c r="DY133" s="168"/>
      <c r="DZ133" s="168"/>
      <c r="EA133" s="168"/>
      <c r="EB133" s="168"/>
      <c r="EC133" s="168"/>
      <c r="ED133" s="169"/>
      <c r="EE133" s="169"/>
      <c r="EF133" s="165"/>
      <c r="EG133" s="170"/>
      <c r="EH133" s="174"/>
      <c r="EI133" s="174"/>
      <c r="EJ133" s="174"/>
      <c r="EK133" s="174"/>
      <c r="EL133" s="174"/>
      <c r="EM133" s="174"/>
      <c r="EN133" s="174"/>
      <c r="EO133" s="164"/>
      <c r="EP133" s="172"/>
      <c r="EQ133" s="171"/>
      <c r="ER133" s="161"/>
      <c r="ES133" s="161"/>
      <c r="ET133" s="164"/>
      <c r="EU133" s="164"/>
      <c r="EV133" s="164"/>
      <c r="EW133" s="172"/>
      <c r="EX133" s="171"/>
      <c r="EY133" s="161"/>
      <c r="EZ133" s="161"/>
      <c r="FA133" s="161"/>
      <c r="FB133" s="161"/>
      <c r="FC133" s="161"/>
      <c r="FD133" s="161"/>
      <c r="FE133" s="161"/>
      <c r="FF133" s="161"/>
      <c r="FG133" s="161"/>
      <c r="FH133" s="161"/>
    </row>
    <row r="134" spans="40:164">
      <c r="AN134" s="29"/>
      <c r="AO134" s="29"/>
      <c r="AP134" s="7"/>
      <c r="AQ134" s="7"/>
      <c r="AR134" s="29"/>
      <c r="AS134" s="29"/>
      <c r="AT134" s="29"/>
      <c r="AU134" s="29"/>
      <c r="BC134" s="26"/>
      <c r="BF134" s="26"/>
      <c r="BG134" s="30"/>
      <c r="BH134" s="7"/>
      <c r="BI134" s="64"/>
      <c r="BJ134" s="7"/>
      <c r="BK134" s="7"/>
      <c r="BL134" s="139"/>
      <c r="BM134" s="7"/>
      <c r="BN134" s="7"/>
      <c r="BO134" s="140"/>
      <c r="BP134" s="69"/>
      <c r="BQ134" s="67"/>
      <c r="BR134" s="7"/>
      <c r="BS134" s="7"/>
      <c r="BT134" s="28"/>
      <c r="BU134" s="28"/>
      <c r="BV134" s="28"/>
      <c r="BW134" s="29"/>
      <c r="BX134" s="136"/>
      <c r="BY134" s="7"/>
      <c r="BZ134" s="68"/>
      <c r="CA134" s="65"/>
      <c r="CB134" s="7"/>
      <c r="CC134" s="83"/>
      <c r="CD134" s="83"/>
      <c r="CE134" s="28"/>
      <c r="CF134" s="7"/>
      <c r="CG134" s="29"/>
      <c r="CH134" s="7"/>
      <c r="DA134" s="161"/>
      <c r="DB134" s="162"/>
      <c r="DC134" s="163"/>
      <c r="DD134" s="163"/>
      <c r="DE134" s="162"/>
      <c r="DF134" s="162"/>
      <c r="DG134" s="162"/>
      <c r="DH134" s="164"/>
      <c r="DI134" s="164"/>
      <c r="DJ134" s="164"/>
      <c r="DK134" s="165"/>
      <c r="DL134" s="165"/>
      <c r="DM134" s="166"/>
      <c r="DN134" s="161"/>
      <c r="DO134" s="161"/>
      <c r="DP134" s="161"/>
      <c r="DQ134" s="161"/>
      <c r="DR134" s="161"/>
      <c r="DS134" s="161"/>
      <c r="DT134" s="161"/>
      <c r="DU134" s="161"/>
      <c r="DV134" s="162"/>
      <c r="DW134" s="168"/>
      <c r="DX134" s="168"/>
      <c r="DY134" s="168"/>
      <c r="DZ134" s="168"/>
      <c r="EA134" s="168"/>
      <c r="EB134" s="168"/>
      <c r="EC134" s="168"/>
      <c r="ED134" s="169"/>
      <c r="EE134" s="169"/>
      <c r="EF134" s="165"/>
      <c r="EG134" s="170"/>
      <c r="EH134" s="174"/>
      <c r="EI134" s="174"/>
      <c r="EJ134" s="174"/>
      <c r="EK134" s="174"/>
      <c r="EL134" s="174"/>
      <c r="EM134" s="174"/>
      <c r="EN134" s="174"/>
      <c r="EO134" s="164"/>
      <c r="EP134" s="172"/>
      <c r="EQ134" s="171"/>
      <c r="ER134" s="161"/>
      <c r="ES134" s="161"/>
      <c r="ET134" s="164"/>
      <c r="EU134" s="164"/>
      <c r="EV134" s="164"/>
      <c r="EW134" s="172"/>
      <c r="EX134" s="171"/>
      <c r="EY134" s="161"/>
      <c r="EZ134" s="161"/>
      <c r="FA134" s="161"/>
      <c r="FB134" s="161"/>
      <c r="FC134" s="161"/>
      <c r="FD134" s="161"/>
      <c r="FE134" s="161"/>
      <c r="FF134" s="161"/>
      <c r="FG134" s="161"/>
      <c r="FH134" s="161"/>
    </row>
    <row r="135" spans="40:164">
      <c r="AN135" s="29"/>
      <c r="AO135" s="29"/>
      <c r="AP135" s="7"/>
      <c r="AQ135" s="7"/>
      <c r="AR135" s="29"/>
      <c r="AS135" s="29"/>
      <c r="AT135" s="29"/>
      <c r="AU135" s="29"/>
      <c r="BC135" s="26"/>
      <c r="BF135" s="26"/>
      <c r="BG135" s="30"/>
      <c r="BH135" s="7"/>
      <c r="BI135" s="64"/>
      <c r="BJ135" s="7"/>
      <c r="BK135" s="7"/>
      <c r="BL135" s="139"/>
      <c r="BM135" s="7"/>
      <c r="BN135" s="7"/>
      <c r="BO135" s="140"/>
      <c r="BP135" s="69"/>
      <c r="BQ135" s="67"/>
      <c r="BR135" s="7"/>
      <c r="BS135" s="7"/>
      <c r="BT135" s="28"/>
      <c r="BU135" s="28"/>
      <c r="BV135" s="28"/>
      <c r="BW135" s="29"/>
      <c r="BX135" s="136"/>
      <c r="BY135" s="7"/>
      <c r="BZ135" s="68"/>
      <c r="CA135" s="65"/>
      <c r="CB135" s="7"/>
      <c r="CC135" s="83"/>
      <c r="CD135" s="83"/>
      <c r="CE135" s="28"/>
      <c r="CF135" s="7"/>
      <c r="CG135" s="29"/>
      <c r="CH135" s="7"/>
      <c r="DA135" s="161"/>
      <c r="DB135" s="162"/>
      <c r="DC135" s="163"/>
      <c r="DD135" s="163"/>
      <c r="DE135" s="162"/>
      <c r="DF135" s="162"/>
      <c r="DG135" s="162"/>
      <c r="DH135" s="164"/>
      <c r="DI135" s="164"/>
      <c r="DJ135" s="164"/>
      <c r="DK135" s="165"/>
      <c r="DL135" s="165"/>
      <c r="DM135" s="166"/>
      <c r="DN135" s="161"/>
      <c r="DO135" s="161"/>
      <c r="DP135" s="161"/>
      <c r="DQ135" s="161"/>
      <c r="DR135" s="161"/>
      <c r="DS135" s="161"/>
      <c r="DT135" s="161"/>
      <c r="DU135" s="161"/>
      <c r="DV135" s="162"/>
      <c r="DW135" s="168"/>
      <c r="DX135" s="168"/>
      <c r="DY135" s="168"/>
      <c r="DZ135" s="168"/>
      <c r="EA135" s="168"/>
      <c r="EB135" s="168"/>
      <c r="EC135" s="168"/>
      <c r="ED135" s="169"/>
      <c r="EE135" s="169"/>
      <c r="EF135" s="165"/>
      <c r="EG135" s="170"/>
      <c r="EH135" s="174"/>
      <c r="EI135" s="174"/>
      <c r="EJ135" s="174"/>
      <c r="EK135" s="174"/>
      <c r="EL135" s="174"/>
      <c r="EM135" s="174"/>
      <c r="EN135" s="174"/>
      <c r="EO135" s="164"/>
      <c r="EP135" s="172"/>
      <c r="EQ135" s="171"/>
      <c r="ER135" s="161"/>
      <c r="ES135" s="161"/>
      <c r="ET135" s="164"/>
      <c r="EU135" s="164"/>
      <c r="EV135" s="164"/>
      <c r="EW135" s="172"/>
      <c r="EX135" s="171"/>
      <c r="EY135" s="161"/>
      <c r="EZ135" s="161"/>
      <c r="FA135" s="161"/>
      <c r="FB135" s="161"/>
      <c r="FC135" s="161"/>
      <c r="FD135" s="161"/>
      <c r="FE135" s="161"/>
      <c r="FF135" s="161"/>
      <c r="FG135" s="161"/>
      <c r="FH135" s="161"/>
    </row>
    <row r="136" spans="40:164">
      <c r="AN136" s="29"/>
      <c r="AO136" s="29"/>
      <c r="AP136" s="7"/>
      <c r="AQ136" s="7"/>
      <c r="AR136" s="29"/>
      <c r="AS136" s="29"/>
      <c r="AT136" s="29"/>
      <c r="AU136" s="29"/>
      <c r="BC136" s="26"/>
      <c r="BF136" s="26"/>
      <c r="BG136" s="30"/>
      <c r="BH136" s="7"/>
      <c r="BI136" s="64"/>
      <c r="BJ136" s="7"/>
      <c r="BK136" s="7"/>
      <c r="BL136" s="139"/>
      <c r="BM136" s="7"/>
      <c r="BN136" s="7"/>
      <c r="BO136" s="140"/>
      <c r="BP136" s="69"/>
      <c r="BQ136" s="67"/>
      <c r="BR136" s="7"/>
      <c r="BS136" s="7"/>
      <c r="BT136" s="28"/>
      <c r="BU136" s="28"/>
      <c r="BV136" s="28"/>
      <c r="BW136" s="29"/>
      <c r="BX136" s="136"/>
      <c r="BY136" s="7"/>
      <c r="BZ136" s="68"/>
      <c r="CA136" s="65"/>
      <c r="CB136" s="7"/>
      <c r="CC136" s="83"/>
      <c r="CD136" s="83"/>
      <c r="CE136" s="28"/>
      <c r="CF136" s="7"/>
      <c r="CG136" s="29"/>
      <c r="CH136" s="7"/>
      <c r="DA136" s="161"/>
      <c r="DB136" s="162"/>
      <c r="DC136" s="163"/>
      <c r="DD136" s="163"/>
      <c r="DE136" s="162"/>
      <c r="DF136" s="162"/>
      <c r="DG136" s="162"/>
      <c r="DH136" s="164"/>
      <c r="DI136" s="164"/>
      <c r="DJ136" s="164"/>
      <c r="DK136" s="165"/>
      <c r="DL136" s="165"/>
      <c r="DM136" s="166"/>
      <c r="DN136" s="161"/>
      <c r="DO136" s="161"/>
      <c r="DP136" s="161"/>
      <c r="DQ136" s="161"/>
      <c r="DR136" s="161"/>
      <c r="DS136" s="161"/>
      <c r="DT136" s="161"/>
      <c r="DU136" s="161"/>
      <c r="DV136" s="162"/>
      <c r="DW136" s="168"/>
      <c r="DX136" s="168"/>
      <c r="DY136" s="168"/>
      <c r="DZ136" s="168"/>
      <c r="EA136" s="168"/>
      <c r="EB136" s="168"/>
      <c r="EC136" s="168"/>
      <c r="ED136" s="169"/>
      <c r="EE136" s="169"/>
      <c r="EF136" s="165"/>
      <c r="EG136" s="170"/>
      <c r="EH136" s="174"/>
      <c r="EI136" s="174"/>
      <c r="EJ136" s="174"/>
      <c r="EK136" s="174"/>
      <c r="EL136" s="174"/>
      <c r="EM136" s="174"/>
      <c r="EN136" s="174"/>
      <c r="EO136" s="164"/>
      <c r="EP136" s="172"/>
      <c r="EQ136" s="171"/>
      <c r="ER136" s="161"/>
      <c r="ES136" s="161"/>
      <c r="ET136" s="164"/>
      <c r="EU136" s="164"/>
      <c r="EV136" s="164"/>
      <c r="EW136" s="172"/>
      <c r="EX136" s="171"/>
      <c r="EY136" s="161"/>
      <c r="EZ136" s="161"/>
      <c r="FA136" s="161"/>
      <c r="FB136" s="161"/>
      <c r="FC136" s="161"/>
      <c r="FD136" s="161"/>
      <c r="FE136" s="161"/>
      <c r="FF136" s="161"/>
      <c r="FG136" s="161"/>
      <c r="FH136" s="161"/>
    </row>
    <row r="137" spans="40:164">
      <c r="AN137" s="29"/>
      <c r="AO137" s="29"/>
      <c r="AP137" s="7"/>
      <c r="AQ137" s="7"/>
      <c r="AR137" s="29"/>
      <c r="AS137" s="29"/>
      <c r="AT137" s="29"/>
      <c r="AU137" s="29"/>
      <c r="BC137" s="26"/>
      <c r="BF137" s="26"/>
      <c r="BG137" s="30"/>
      <c r="BH137" s="7"/>
      <c r="BI137" s="64"/>
      <c r="BJ137" s="7"/>
      <c r="BK137" s="7"/>
      <c r="BL137" s="139"/>
      <c r="BM137" s="7"/>
      <c r="BN137" s="7"/>
      <c r="BO137" s="140"/>
      <c r="BP137" s="69"/>
      <c r="BQ137" s="67"/>
      <c r="BR137" s="7"/>
      <c r="BS137" s="7"/>
      <c r="BT137" s="28"/>
      <c r="BU137" s="28"/>
      <c r="BV137" s="28"/>
      <c r="BW137" s="29"/>
      <c r="BX137" s="136"/>
      <c r="BY137" s="7"/>
      <c r="BZ137" s="68"/>
      <c r="CA137" s="65"/>
      <c r="CB137" s="7"/>
      <c r="CC137" s="83"/>
      <c r="CD137" s="83"/>
      <c r="CE137" s="28"/>
      <c r="CF137" s="7"/>
      <c r="CG137" s="29"/>
      <c r="CH137" s="7"/>
      <c r="DA137" s="161"/>
      <c r="DB137" s="162"/>
      <c r="DC137" s="163"/>
      <c r="DD137" s="163"/>
      <c r="DE137" s="162"/>
      <c r="DF137" s="162"/>
      <c r="DG137" s="162"/>
      <c r="DH137" s="164"/>
      <c r="DI137" s="164"/>
      <c r="DJ137" s="164"/>
      <c r="DK137" s="165"/>
      <c r="DL137" s="165"/>
      <c r="DM137" s="166"/>
      <c r="DN137" s="161"/>
      <c r="DO137" s="161"/>
      <c r="DP137" s="161"/>
      <c r="DQ137" s="161"/>
      <c r="DR137" s="161"/>
      <c r="DS137" s="161"/>
      <c r="DT137" s="161"/>
      <c r="DU137" s="161"/>
      <c r="DV137" s="162"/>
      <c r="DW137" s="168"/>
      <c r="DX137" s="168"/>
      <c r="DY137" s="168"/>
      <c r="DZ137" s="168"/>
      <c r="EA137" s="168"/>
      <c r="EB137" s="168"/>
      <c r="EC137" s="168"/>
      <c r="ED137" s="169"/>
      <c r="EE137" s="169"/>
      <c r="EF137" s="165"/>
      <c r="EG137" s="170"/>
      <c r="EH137" s="174"/>
      <c r="EI137" s="174"/>
      <c r="EJ137" s="174"/>
      <c r="EK137" s="174"/>
      <c r="EL137" s="174"/>
      <c r="EM137" s="174"/>
      <c r="EN137" s="174"/>
      <c r="EO137" s="164"/>
      <c r="EP137" s="172"/>
      <c r="EQ137" s="171"/>
      <c r="ER137" s="161"/>
      <c r="ES137" s="161"/>
      <c r="ET137" s="164"/>
      <c r="EU137" s="164"/>
      <c r="EV137" s="164"/>
      <c r="EW137" s="172"/>
      <c r="EX137" s="171"/>
      <c r="EY137" s="161"/>
      <c r="EZ137" s="161"/>
      <c r="FA137" s="161"/>
      <c r="FB137" s="161"/>
      <c r="FC137" s="161"/>
      <c r="FD137" s="161"/>
      <c r="FE137" s="161"/>
      <c r="FF137" s="161"/>
      <c r="FG137" s="161"/>
      <c r="FH137" s="161"/>
    </row>
    <row r="138" spans="40:164">
      <c r="BH138" s="7"/>
      <c r="BI138" s="33"/>
      <c r="BJ138" s="33"/>
      <c r="BK138" s="33"/>
      <c r="BL138" s="33"/>
      <c r="BM138" s="33"/>
      <c r="BN138" s="33"/>
      <c r="BO138" s="8"/>
      <c r="BP138" s="160"/>
      <c r="BQ138" s="136"/>
      <c r="BR138" s="20"/>
      <c r="BS138" s="20"/>
      <c r="BT138" s="8"/>
      <c r="BU138" s="8"/>
      <c r="BV138" s="8"/>
      <c r="BW138" s="160"/>
      <c r="BX138" s="136"/>
      <c r="BY138" s="20"/>
      <c r="BZ138" s="20"/>
      <c r="CA138" s="20"/>
      <c r="CB138" s="20"/>
      <c r="CC138" s="20"/>
      <c r="CD138" s="20"/>
      <c r="CE138" s="20"/>
      <c r="CF138" s="20"/>
      <c r="CG138" s="20"/>
      <c r="CH138" s="20"/>
      <c r="DA138" s="161"/>
      <c r="DB138" s="162"/>
      <c r="DC138" s="163"/>
      <c r="DD138" s="163"/>
      <c r="DE138" s="162"/>
      <c r="DF138" s="162"/>
      <c r="DG138" s="162"/>
      <c r="DH138" s="164"/>
      <c r="DI138" s="164"/>
      <c r="DJ138" s="164"/>
      <c r="DK138" s="165"/>
      <c r="DL138" s="165"/>
      <c r="DM138" s="166"/>
      <c r="DN138" s="161"/>
      <c r="DO138" s="161"/>
      <c r="DP138" s="161"/>
      <c r="DQ138" s="161"/>
      <c r="DR138" s="161"/>
      <c r="DS138" s="161"/>
      <c r="DT138" s="161"/>
      <c r="DU138" s="161"/>
      <c r="DV138" s="162"/>
      <c r="DW138" s="168"/>
      <c r="DX138" s="168"/>
      <c r="DY138" s="168"/>
      <c r="DZ138" s="168"/>
      <c r="EA138" s="168"/>
      <c r="EB138" s="168"/>
      <c r="EC138" s="168"/>
      <c r="ED138" s="169"/>
      <c r="EE138" s="169"/>
      <c r="EF138" s="165"/>
      <c r="EG138" s="170"/>
      <c r="EH138" s="174"/>
      <c r="EI138" s="174"/>
      <c r="EJ138" s="174"/>
      <c r="EK138" s="174"/>
      <c r="EL138" s="174"/>
      <c r="EM138" s="174"/>
      <c r="EN138" s="174"/>
      <c r="EO138" s="164"/>
      <c r="EP138" s="172"/>
      <c r="EQ138" s="171"/>
      <c r="ER138" s="161"/>
      <c r="ES138" s="161"/>
      <c r="ET138" s="164"/>
      <c r="EU138" s="164"/>
      <c r="EV138" s="164"/>
      <c r="EW138" s="172"/>
      <c r="EX138" s="171"/>
      <c r="EY138" s="161"/>
      <c r="EZ138" s="161"/>
      <c r="FA138" s="161"/>
      <c r="FB138" s="161"/>
      <c r="FC138" s="161"/>
      <c r="FD138" s="161"/>
      <c r="FE138" s="161"/>
      <c r="FF138" s="161"/>
      <c r="FG138" s="161"/>
      <c r="FH138" s="161"/>
    </row>
    <row r="139" spans="40:164">
      <c r="BH139" s="7"/>
      <c r="BI139" s="33"/>
      <c r="BJ139" s="33"/>
      <c r="BK139" s="33"/>
      <c r="BL139" s="33"/>
      <c r="BM139" s="33"/>
      <c r="BN139" s="33"/>
      <c r="BO139" s="8"/>
      <c r="BP139" s="160"/>
      <c r="BQ139" s="136"/>
      <c r="BR139" s="20"/>
      <c r="BS139" s="20"/>
      <c r="BT139" s="8"/>
      <c r="BU139" s="8"/>
      <c r="BV139" s="8"/>
      <c r="BW139" s="160"/>
      <c r="BX139" s="136"/>
      <c r="BY139" s="20"/>
      <c r="BZ139" s="20"/>
      <c r="CA139" s="20"/>
      <c r="CB139" s="20"/>
      <c r="CC139" s="20"/>
      <c r="CD139" s="20"/>
      <c r="CE139" s="20"/>
      <c r="CF139" s="20"/>
      <c r="CG139" s="20"/>
      <c r="CH139" s="20"/>
      <c r="DA139" s="161"/>
      <c r="DB139" s="162"/>
      <c r="DC139" s="163"/>
      <c r="DD139" s="163"/>
      <c r="DE139" s="162"/>
      <c r="DF139" s="162"/>
      <c r="DG139" s="162"/>
      <c r="DH139" s="164"/>
      <c r="DI139" s="164"/>
      <c r="DJ139" s="164"/>
      <c r="DK139" s="165"/>
      <c r="DL139" s="165"/>
      <c r="DM139" s="166"/>
      <c r="DN139" s="161"/>
      <c r="DO139" s="161"/>
      <c r="DP139" s="161"/>
      <c r="DQ139" s="161"/>
      <c r="DR139" s="161"/>
      <c r="DS139" s="161"/>
      <c r="DT139" s="161"/>
      <c r="DU139" s="161"/>
      <c r="DV139" s="162"/>
      <c r="DW139" s="168"/>
      <c r="DX139" s="168"/>
      <c r="DY139" s="168"/>
      <c r="DZ139" s="168"/>
      <c r="EA139" s="168"/>
      <c r="EB139" s="168"/>
      <c r="EC139" s="168"/>
      <c r="ED139" s="169"/>
      <c r="EE139" s="169"/>
      <c r="EF139" s="165"/>
      <c r="EG139" s="170"/>
      <c r="EH139" s="174"/>
      <c r="EI139" s="174"/>
      <c r="EJ139" s="174"/>
      <c r="EK139" s="174"/>
      <c r="EL139" s="174"/>
      <c r="EM139" s="174"/>
      <c r="EN139" s="174"/>
      <c r="EO139" s="164"/>
      <c r="EP139" s="172"/>
      <c r="EQ139" s="171"/>
      <c r="ER139" s="161"/>
      <c r="ES139" s="161"/>
      <c r="ET139" s="164"/>
      <c r="EU139" s="164"/>
      <c r="EV139" s="164"/>
      <c r="EW139" s="172"/>
      <c r="EX139" s="171"/>
      <c r="EY139" s="161"/>
      <c r="EZ139" s="161"/>
      <c r="FA139" s="161"/>
      <c r="FB139" s="161"/>
      <c r="FC139" s="161"/>
      <c r="FD139" s="161"/>
      <c r="FE139" s="161"/>
      <c r="FF139" s="161"/>
      <c r="FG139" s="161"/>
      <c r="FH139" s="161"/>
    </row>
    <row r="140" spans="40:164">
      <c r="BH140" s="7"/>
      <c r="BI140" s="33"/>
      <c r="BJ140" s="33"/>
      <c r="BK140" s="33"/>
      <c r="BL140" s="33"/>
      <c r="BM140" s="33"/>
      <c r="BN140" s="33"/>
      <c r="BO140" s="8"/>
      <c r="BP140" s="160"/>
      <c r="BQ140" s="136"/>
      <c r="BR140" s="20"/>
      <c r="BS140" s="20"/>
      <c r="BT140" s="8"/>
      <c r="BU140" s="8"/>
      <c r="BV140" s="8"/>
      <c r="BW140" s="160"/>
      <c r="BX140" s="136"/>
      <c r="BY140" s="20"/>
      <c r="BZ140" s="20"/>
      <c r="CA140" s="20"/>
      <c r="CB140" s="20"/>
      <c r="CC140" s="20"/>
      <c r="CD140" s="20"/>
      <c r="CE140" s="20"/>
      <c r="CF140" s="20"/>
      <c r="CG140" s="20"/>
      <c r="CH140" s="20"/>
      <c r="DA140" s="161"/>
      <c r="DB140" s="162"/>
      <c r="DC140" s="163"/>
      <c r="DD140" s="163"/>
      <c r="DE140" s="162"/>
      <c r="DF140" s="162"/>
      <c r="DG140" s="162"/>
      <c r="DH140" s="164"/>
      <c r="DI140" s="164"/>
      <c r="DJ140" s="164"/>
      <c r="DK140" s="165"/>
      <c r="DL140" s="165"/>
      <c r="DM140" s="166"/>
      <c r="DN140" s="161"/>
      <c r="DO140" s="161"/>
      <c r="DP140" s="161"/>
      <c r="DQ140" s="161"/>
      <c r="DR140" s="161"/>
      <c r="DS140" s="161"/>
      <c r="DT140" s="161"/>
      <c r="DU140" s="161"/>
      <c r="DV140" s="162"/>
      <c r="DW140" s="168"/>
      <c r="DX140" s="168"/>
      <c r="DY140" s="168"/>
      <c r="DZ140" s="168"/>
      <c r="EA140" s="168"/>
      <c r="EB140" s="168"/>
      <c r="EC140" s="168"/>
      <c r="ED140" s="169"/>
      <c r="EE140" s="169"/>
      <c r="EF140" s="165"/>
      <c r="EG140" s="170"/>
      <c r="EH140" s="174"/>
      <c r="EI140" s="174"/>
      <c r="EJ140" s="174"/>
      <c r="EK140" s="174"/>
      <c r="EL140" s="174"/>
      <c r="EM140" s="174"/>
      <c r="EN140" s="174"/>
      <c r="EO140" s="164"/>
      <c r="EP140" s="172"/>
      <c r="EQ140" s="171"/>
      <c r="ER140" s="161"/>
      <c r="ES140" s="161"/>
      <c r="ET140" s="164"/>
      <c r="EU140" s="164"/>
      <c r="EV140" s="164"/>
      <c r="EW140" s="172"/>
      <c r="EX140" s="171"/>
      <c r="EY140" s="161"/>
      <c r="EZ140" s="161"/>
      <c r="FA140" s="161"/>
      <c r="FB140" s="161"/>
      <c r="FC140" s="161"/>
      <c r="FD140" s="161"/>
      <c r="FE140" s="161"/>
      <c r="FF140" s="161"/>
      <c r="FG140" s="161"/>
      <c r="FH140" s="161"/>
    </row>
    <row r="141" spans="40:164">
      <c r="BH141" s="7"/>
      <c r="BI141" s="33"/>
      <c r="BJ141" s="33"/>
      <c r="BK141" s="33"/>
      <c r="BL141" s="33"/>
      <c r="BM141" s="33"/>
      <c r="BN141" s="33"/>
      <c r="BO141" s="8"/>
      <c r="BP141" s="160"/>
      <c r="BQ141" s="136"/>
      <c r="BR141" s="20"/>
      <c r="BS141" s="20"/>
      <c r="BT141" s="8"/>
      <c r="BU141" s="8"/>
      <c r="BV141" s="8"/>
      <c r="BW141" s="160"/>
      <c r="BX141" s="136"/>
      <c r="BY141" s="20"/>
      <c r="BZ141" s="20"/>
      <c r="CA141" s="20"/>
      <c r="CB141" s="20"/>
      <c r="CC141" s="20"/>
      <c r="CD141" s="20"/>
      <c r="CE141" s="20"/>
      <c r="CF141" s="20"/>
      <c r="CG141" s="20"/>
      <c r="CH141" s="20"/>
      <c r="DA141" s="161"/>
      <c r="DB141" s="162"/>
      <c r="DC141" s="163"/>
      <c r="DD141" s="163"/>
      <c r="DE141" s="162"/>
      <c r="DF141" s="162"/>
      <c r="DG141" s="162"/>
      <c r="DH141" s="164"/>
      <c r="DI141" s="164"/>
      <c r="DJ141" s="164"/>
      <c r="DK141" s="165"/>
      <c r="DL141" s="165"/>
      <c r="DM141" s="166"/>
      <c r="DN141" s="161"/>
      <c r="DO141" s="161"/>
      <c r="DP141" s="161"/>
      <c r="DQ141" s="161"/>
      <c r="DR141" s="161"/>
      <c r="DS141" s="161"/>
      <c r="DT141" s="161"/>
      <c r="DU141" s="161"/>
      <c r="DV141" s="162"/>
      <c r="DW141" s="168"/>
      <c r="DX141" s="168"/>
      <c r="DY141" s="168"/>
      <c r="DZ141" s="168"/>
      <c r="EA141" s="168"/>
      <c r="EB141" s="168"/>
      <c r="EC141" s="168"/>
      <c r="ED141" s="169"/>
      <c r="EE141" s="169"/>
      <c r="EF141" s="165"/>
      <c r="EG141" s="170"/>
      <c r="EH141" s="174"/>
      <c r="EI141" s="174"/>
      <c r="EJ141" s="174"/>
      <c r="EK141" s="174"/>
      <c r="EL141" s="174"/>
      <c r="EM141" s="174"/>
      <c r="EN141" s="174"/>
      <c r="EO141" s="164"/>
      <c r="EP141" s="172"/>
      <c r="EQ141" s="171"/>
      <c r="ER141" s="161"/>
      <c r="ES141" s="161"/>
      <c r="ET141" s="164"/>
      <c r="EU141" s="164"/>
      <c r="EV141" s="164"/>
      <c r="EW141" s="172"/>
      <c r="EX141" s="171"/>
      <c r="EY141" s="161"/>
      <c r="EZ141" s="161"/>
      <c r="FA141" s="161"/>
      <c r="FB141" s="161"/>
      <c r="FC141" s="161"/>
      <c r="FD141" s="161"/>
      <c r="FE141" s="161"/>
      <c r="FF141" s="161"/>
      <c r="FG141" s="161"/>
      <c r="FH141" s="161"/>
    </row>
    <row r="142" spans="40:164">
      <c r="BH142" s="7"/>
      <c r="BI142" s="33"/>
      <c r="BJ142" s="33"/>
      <c r="BK142" s="33"/>
      <c r="BL142" s="33"/>
      <c r="BM142" s="33"/>
      <c r="BN142" s="33"/>
      <c r="BO142" s="8"/>
      <c r="BP142" s="160"/>
      <c r="BQ142" s="136"/>
      <c r="BR142" s="20"/>
      <c r="BS142" s="20"/>
      <c r="BT142" s="8"/>
      <c r="BU142" s="8"/>
      <c r="BV142" s="8"/>
      <c r="BW142" s="160"/>
      <c r="BX142" s="136"/>
      <c r="BY142" s="20"/>
      <c r="BZ142" s="20"/>
      <c r="CA142" s="20"/>
      <c r="CB142" s="20"/>
      <c r="CC142" s="20"/>
      <c r="CD142" s="20"/>
      <c r="CE142" s="20"/>
      <c r="CF142" s="20"/>
      <c r="CG142" s="20"/>
      <c r="CH142" s="20"/>
      <c r="DA142" s="161"/>
      <c r="DB142" s="162"/>
      <c r="DC142" s="163"/>
      <c r="DD142" s="163"/>
      <c r="DE142" s="162"/>
      <c r="DF142" s="162"/>
      <c r="DG142" s="162"/>
      <c r="DH142" s="164"/>
      <c r="DI142" s="164"/>
      <c r="DJ142" s="164"/>
      <c r="DK142" s="165"/>
      <c r="DL142" s="165"/>
      <c r="DM142" s="166"/>
      <c r="DN142" s="161"/>
      <c r="DO142" s="161"/>
      <c r="DP142" s="161"/>
      <c r="DQ142" s="161"/>
      <c r="DR142" s="161"/>
      <c r="DS142" s="161"/>
      <c r="DT142" s="161"/>
      <c r="DU142" s="161"/>
      <c r="DV142" s="162"/>
      <c r="DW142" s="168"/>
      <c r="DX142" s="168"/>
      <c r="DY142" s="168"/>
      <c r="DZ142" s="168"/>
      <c r="EA142" s="168"/>
      <c r="EB142" s="168"/>
      <c r="EC142" s="168"/>
      <c r="ED142" s="169"/>
      <c r="EE142" s="169"/>
      <c r="EF142" s="165"/>
      <c r="EG142" s="170"/>
      <c r="EH142" s="174"/>
      <c r="EI142" s="174"/>
      <c r="EJ142" s="174"/>
      <c r="EK142" s="174"/>
      <c r="EL142" s="174"/>
      <c r="EM142" s="174"/>
      <c r="EN142" s="174"/>
      <c r="EO142" s="164"/>
      <c r="EP142" s="172"/>
      <c r="EQ142" s="171"/>
      <c r="ER142" s="161"/>
      <c r="ES142" s="161"/>
      <c r="ET142" s="164"/>
      <c r="EU142" s="164"/>
      <c r="EV142" s="164"/>
      <c r="EW142" s="172"/>
      <c r="EX142" s="171"/>
      <c r="EY142" s="161"/>
      <c r="EZ142" s="161"/>
      <c r="FA142" s="161"/>
      <c r="FB142" s="161"/>
      <c r="FC142" s="161"/>
      <c r="FD142" s="161"/>
      <c r="FE142" s="161"/>
      <c r="FF142" s="161"/>
      <c r="FG142" s="161"/>
      <c r="FH142" s="161"/>
    </row>
    <row r="143" spans="40:164">
      <c r="BH143" s="7"/>
      <c r="BI143" s="33"/>
      <c r="BJ143" s="33"/>
      <c r="BK143" s="33"/>
      <c r="BL143" s="33"/>
      <c r="BM143" s="33"/>
      <c r="BN143" s="33"/>
      <c r="BO143" s="8"/>
      <c r="BP143" s="160"/>
      <c r="BQ143" s="136"/>
      <c r="BR143" s="20"/>
      <c r="BS143" s="20"/>
      <c r="BT143" s="8"/>
      <c r="BU143" s="8"/>
      <c r="BV143" s="8"/>
      <c r="BW143" s="160"/>
      <c r="BX143" s="136"/>
      <c r="BY143" s="20"/>
      <c r="BZ143" s="20"/>
      <c r="CA143" s="20"/>
      <c r="CB143" s="20"/>
      <c r="CC143" s="20"/>
      <c r="CD143" s="20"/>
      <c r="CE143" s="20"/>
      <c r="CF143" s="20"/>
      <c r="CG143" s="20"/>
      <c r="CH143" s="20"/>
      <c r="DA143" s="161"/>
      <c r="DB143" s="162"/>
      <c r="DC143" s="163"/>
      <c r="DD143" s="163"/>
      <c r="DE143" s="162"/>
      <c r="DF143" s="162"/>
      <c r="DG143" s="162"/>
      <c r="DH143" s="164"/>
      <c r="DI143" s="164"/>
      <c r="DJ143" s="164"/>
      <c r="DK143" s="165"/>
      <c r="DL143" s="165"/>
      <c r="DM143" s="166"/>
      <c r="DN143" s="161"/>
      <c r="DO143" s="161"/>
      <c r="DP143" s="161"/>
      <c r="DQ143" s="161"/>
      <c r="DR143" s="161"/>
      <c r="DS143" s="161"/>
      <c r="DT143" s="161"/>
      <c r="DU143" s="161"/>
      <c r="DV143" s="162"/>
      <c r="DW143" s="168"/>
      <c r="DX143" s="168"/>
      <c r="DY143" s="168"/>
      <c r="DZ143" s="168"/>
      <c r="EA143" s="168"/>
      <c r="EB143" s="168"/>
      <c r="EC143" s="168"/>
      <c r="ED143" s="169"/>
      <c r="EE143" s="169"/>
      <c r="EF143" s="165"/>
      <c r="EG143" s="170"/>
      <c r="EH143" s="174"/>
      <c r="EI143" s="174"/>
      <c r="EJ143" s="174"/>
      <c r="EK143" s="174"/>
      <c r="EL143" s="174"/>
      <c r="EM143" s="174"/>
      <c r="EN143" s="174"/>
      <c r="EO143" s="164"/>
      <c r="EP143" s="172"/>
      <c r="EQ143" s="171"/>
      <c r="ER143" s="161"/>
      <c r="ES143" s="161"/>
      <c r="ET143" s="164"/>
      <c r="EU143" s="164"/>
      <c r="EV143" s="164"/>
      <c r="EW143" s="172"/>
      <c r="EX143" s="171"/>
      <c r="EY143" s="161"/>
      <c r="EZ143" s="161"/>
      <c r="FA143" s="161"/>
      <c r="FB143" s="161"/>
      <c r="FC143" s="161"/>
      <c r="FD143" s="161"/>
      <c r="FE143" s="161"/>
      <c r="FF143" s="161"/>
      <c r="FG143" s="161"/>
      <c r="FH143" s="161"/>
    </row>
    <row r="144" spans="40:164">
      <c r="BH144" s="7"/>
      <c r="BI144" s="33"/>
      <c r="BJ144" s="33"/>
      <c r="BK144" s="33"/>
      <c r="BL144" s="33"/>
      <c r="BM144" s="33"/>
      <c r="BN144" s="33"/>
      <c r="BO144" s="8"/>
      <c r="BP144" s="160"/>
      <c r="BQ144" s="136"/>
      <c r="BR144" s="20"/>
      <c r="BS144" s="20"/>
      <c r="BT144" s="8"/>
      <c r="BU144" s="8"/>
      <c r="BV144" s="8"/>
      <c r="BW144" s="160"/>
      <c r="BX144" s="136"/>
      <c r="BY144" s="20"/>
      <c r="BZ144" s="20"/>
      <c r="CA144" s="20"/>
      <c r="CB144" s="20"/>
      <c r="CC144" s="20"/>
      <c r="CD144" s="20"/>
      <c r="CE144" s="20"/>
      <c r="CF144" s="20"/>
      <c r="CG144" s="20"/>
      <c r="CH144" s="20"/>
      <c r="DA144" s="161"/>
      <c r="DB144" s="162"/>
      <c r="DC144" s="163"/>
      <c r="DD144" s="163"/>
      <c r="DE144" s="162"/>
      <c r="DF144" s="162"/>
      <c r="DG144" s="162"/>
      <c r="DH144" s="164"/>
      <c r="DI144" s="164"/>
      <c r="DJ144" s="164"/>
      <c r="DK144" s="165"/>
      <c r="DL144" s="165"/>
      <c r="DM144" s="166"/>
      <c r="DN144" s="161"/>
      <c r="DO144" s="161"/>
      <c r="DP144" s="161"/>
      <c r="DQ144" s="161"/>
      <c r="DR144" s="161"/>
      <c r="DS144" s="161"/>
      <c r="DT144" s="161"/>
      <c r="DU144" s="161"/>
      <c r="DV144" s="162"/>
      <c r="DW144" s="168"/>
      <c r="DX144" s="168"/>
      <c r="DY144" s="168"/>
      <c r="DZ144" s="168"/>
      <c r="EA144" s="168"/>
      <c r="EB144" s="168"/>
      <c r="EC144" s="168"/>
      <c r="ED144" s="169"/>
      <c r="EE144" s="169"/>
      <c r="EF144" s="165"/>
      <c r="EG144" s="170"/>
      <c r="EH144" s="174"/>
      <c r="EI144" s="174"/>
      <c r="EJ144" s="174"/>
      <c r="EK144" s="174"/>
      <c r="EL144" s="174"/>
      <c r="EM144" s="174"/>
      <c r="EN144" s="174"/>
      <c r="EO144" s="164"/>
      <c r="EP144" s="172"/>
      <c r="EQ144" s="171"/>
      <c r="ER144" s="161"/>
      <c r="ES144" s="161"/>
      <c r="ET144" s="164"/>
      <c r="EU144" s="164"/>
      <c r="EV144" s="164"/>
      <c r="EW144" s="172"/>
      <c r="EX144" s="171"/>
      <c r="EY144" s="161"/>
      <c r="EZ144" s="161"/>
      <c r="FA144" s="161"/>
      <c r="FB144" s="161"/>
      <c r="FC144" s="161"/>
      <c r="FD144" s="161"/>
      <c r="FE144" s="161"/>
      <c r="FF144" s="161"/>
      <c r="FG144" s="161"/>
      <c r="FH144" s="161"/>
    </row>
    <row r="145" spans="60:164">
      <c r="BH145" s="7"/>
      <c r="BI145" s="33"/>
      <c r="BJ145" s="33"/>
      <c r="BK145" s="33"/>
      <c r="BL145" s="33"/>
      <c r="BM145" s="33"/>
      <c r="BN145" s="33"/>
      <c r="BO145" s="8"/>
      <c r="BP145" s="160"/>
      <c r="BQ145" s="136"/>
      <c r="BR145" s="20"/>
      <c r="BS145" s="20"/>
      <c r="BT145" s="8"/>
      <c r="BU145" s="8"/>
      <c r="BV145" s="8"/>
      <c r="BW145" s="160"/>
      <c r="BX145" s="136"/>
      <c r="BY145" s="20"/>
      <c r="BZ145" s="20"/>
      <c r="CA145" s="20"/>
      <c r="CB145" s="20"/>
      <c r="CC145" s="20"/>
      <c r="CD145" s="20"/>
      <c r="CE145" s="20"/>
      <c r="CF145" s="20"/>
      <c r="CG145" s="20"/>
      <c r="CH145" s="20"/>
      <c r="DA145" s="161"/>
      <c r="DB145" s="162"/>
      <c r="DC145" s="163"/>
      <c r="DD145" s="163"/>
      <c r="DE145" s="162"/>
      <c r="DF145" s="162"/>
      <c r="DG145" s="162"/>
      <c r="DH145" s="164"/>
      <c r="DI145" s="164"/>
      <c r="DJ145" s="164"/>
      <c r="DK145" s="165"/>
      <c r="DL145" s="165"/>
      <c r="DM145" s="166"/>
      <c r="DN145" s="161"/>
      <c r="DO145" s="161"/>
      <c r="DP145" s="161"/>
      <c r="DQ145" s="161"/>
      <c r="DR145" s="161"/>
      <c r="DS145" s="161"/>
      <c r="DT145" s="161"/>
      <c r="DU145" s="161"/>
      <c r="DV145" s="162"/>
      <c r="DW145" s="168"/>
      <c r="DX145" s="168"/>
      <c r="DY145" s="168"/>
      <c r="DZ145" s="168"/>
      <c r="EA145" s="168"/>
      <c r="EB145" s="168"/>
      <c r="EC145" s="168"/>
      <c r="ED145" s="169"/>
      <c r="EE145" s="169"/>
      <c r="EF145" s="165"/>
      <c r="EG145" s="170"/>
      <c r="EH145" s="174"/>
      <c r="EI145" s="174"/>
      <c r="EJ145" s="174"/>
      <c r="EK145" s="174"/>
      <c r="EL145" s="174"/>
      <c r="EM145" s="174"/>
      <c r="EN145" s="174"/>
      <c r="EO145" s="164"/>
      <c r="EP145" s="172"/>
      <c r="EQ145" s="171"/>
      <c r="ER145" s="161"/>
      <c r="ES145" s="161"/>
      <c r="ET145" s="164"/>
      <c r="EU145" s="164"/>
      <c r="EV145" s="164"/>
      <c r="EW145" s="172"/>
      <c r="EX145" s="171"/>
      <c r="EY145" s="161"/>
      <c r="EZ145" s="161"/>
      <c r="FA145" s="161"/>
      <c r="FB145" s="161"/>
      <c r="FC145" s="161"/>
      <c r="FD145" s="161"/>
      <c r="FE145" s="161"/>
      <c r="FF145" s="161"/>
      <c r="FG145" s="161"/>
      <c r="FH145" s="161"/>
    </row>
    <row r="146" spans="60:164">
      <c r="BH146" s="7"/>
      <c r="BI146" s="33"/>
      <c r="BJ146" s="33"/>
      <c r="BK146" s="33"/>
      <c r="BL146" s="33"/>
      <c r="BM146" s="33"/>
      <c r="BN146" s="33"/>
      <c r="BO146" s="8"/>
      <c r="BP146" s="160"/>
      <c r="BQ146" s="136"/>
      <c r="BR146" s="20"/>
      <c r="BS146" s="20"/>
      <c r="BT146" s="8"/>
      <c r="BU146" s="8"/>
      <c r="BV146" s="8"/>
      <c r="BW146" s="160"/>
      <c r="BX146" s="136"/>
      <c r="BY146" s="20"/>
      <c r="BZ146" s="20"/>
      <c r="CA146" s="20"/>
      <c r="CB146" s="20"/>
      <c r="CC146" s="20"/>
      <c r="CD146" s="20"/>
      <c r="CE146" s="20"/>
      <c r="CF146" s="20"/>
      <c r="CG146" s="20"/>
      <c r="CH146" s="20"/>
      <c r="DA146" s="161"/>
      <c r="DB146" s="162"/>
      <c r="DC146" s="163"/>
      <c r="DD146" s="163"/>
      <c r="DE146" s="162"/>
      <c r="DF146" s="162"/>
      <c r="DG146" s="162"/>
      <c r="DH146" s="164"/>
      <c r="DI146" s="164"/>
      <c r="DJ146" s="164"/>
      <c r="DK146" s="165"/>
      <c r="DL146" s="165"/>
      <c r="DM146" s="166"/>
      <c r="DN146" s="161"/>
      <c r="DO146" s="161"/>
      <c r="DP146" s="161"/>
      <c r="DQ146" s="161"/>
      <c r="DR146" s="161"/>
      <c r="DS146" s="161"/>
      <c r="DT146" s="161"/>
      <c r="DU146" s="161"/>
      <c r="DV146" s="162"/>
      <c r="DW146" s="168"/>
      <c r="DX146" s="168"/>
      <c r="DY146" s="168"/>
      <c r="DZ146" s="168"/>
      <c r="EA146" s="168"/>
      <c r="EB146" s="168"/>
      <c r="EC146" s="168"/>
      <c r="ED146" s="169"/>
      <c r="EE146" s="169"/>
      <c r="EF146" s="165"/>
      <c r="EG146" s="170"/>
      <c r="EH146" s="174"/>
      <c r="EI146" s="174"/>
      <c r="EJ146" s="174"/>
      <c r="EK146" s="174"/>
      <c r="EL146" s="174"/>
      <c r="EM146" s="174"/>
      <c r="EN146" s="174"/>
      <c r="EO146" s="164"/>
      <c r="EP146" s="172"/>
      <c r="EQ146" s="171"/>
      <c r="ER146" s="161"/>
      <c r="ES146" s="161"/>
      <c r="ET146" s="164"/>
      <c r="EU146" s="164"/>
      <c r="EV146" s="164"/>
      <c r="EW146" s="172"/>
      <c r="EX146" s="171"/>
      <c r="EY146" s="161"/>
      <c r="EZ146" s="161"/>
      <c r="FA146" s="161"/>
      <c r="FB146" s="161"/>
      <c r="FC146" s="161"/>
      <c r="FD146" s="161"/>
      <c r="FE146" s="161"/>
      <c r="FF146" s="161"/>
      <c r="FG146" s="161"/>
      <c r="FH146" s="161"/>
    </row>
    <row r="147" spans="60:164">
      <c r="BH147" s="7"/>
      <c r="BI147" s="33"/>
      <c r="BJ147" s="33"/>
      <c r="BK147" s="33"/>
      <c r="BL147" s="33"/>
      <c r="BM147" s="33"/>
      <c r="BN147" s="33"/>
      <c r="BO147" s="8"/>
      <c r="BP147" s="160"/>
      <c r="BQ147" s="136"/>
      <c r="BR147" s="20"/>
      <c r="BS147" s="20"/>
      <c r="BT147" s="8"/>
      <c r="BU147" s="8"/>
      <c r="BV147" s="8"/>
      <c r="BW147" s="160"/>
      <c r="BX147" s="136"/>
      <c r="BY147" s="20"/>
      <c r="BZ147" s="20"/>
      <c r="CA147" s="20"/>
      <c r="CB147" s="20"/>
      <c r="CC147" s="20"/>
      <c r="CD147" s="20"/>
      <c r="CE147" s="20"/>
      <c r="CF147" s="20"/>
      <c r="CG147" s="20"/>
      <c r="CH147" s="20"/>
      <c r="DA147" s="161"/>
      <c r="DB147" s="162"/>
      <c r="DC147" s="163"/>
      <c r="DD147" s="163"/>
      <c r="DE147" s="162"/>
      <c r="DF147" s="162"/>
      <c r="DG147" s="162"/>
      <c r="DH147" s="164"/>
      <c r="DI147" s="164"/>
      <c r="DJ147" s="164"/>
      <c r="DK147" s="165"/>
      <c r="DL147" s="165"/>
      <c r="DM147" s="166"/>
      <c r="DN147" s="161"/>
      <c r="DO147" s="161"/>
      <c r="DP147" s="161"/>
      <c r="DQ147" s="161"/>
      <c r="DR147" s="161"/>
      <c r="DS147" s="161"/>
      <c r="DT147" s="161"/>
      <c r="DU147" s="161"/>
      <c r="DV147" s="162"/>
      <c r="DW147" s="168"/>
      <c r="DX147" s="168"/>
      <c r="DY147" s="168"/>
      <c r="DZ147" s="168"/>
      <c r="EA147" s="168"/>
      <c r="EB147" s="168"/>
      <c r="EC147" s="168"/>
      <c r="ED147" s="169"/>
      <c r="EE147" s="169"/>
      <c r="EF147" s="165"/>
      <c r="EG147" s="170"/>
      <c r="EH147" s="174"/>
      <c r="EI147" s="174"/>
      <c r="EJ147" s="174"/>
      <c r="EK147" s="174"/>
      <c r="EL147" s="174"/>
      <c r="EM147" s="174"/>
      <c r="EN147" s="174"/>
      <c r="EO147" s="164"/>
      <c r="EP147" s="172"/>
      <c r="EQ147" s="171"/>
      <c r="ER147" s="161"/>
      <c r="ES147" s="161"/>
      <c r="ET147" s="164"/>
      <c r="EU147" s="164"/>
      <c r="EV147" s="164"/>
      <c r="EW147" s="172"/>
      <c r="EX147" s="171"/>
      <c r="EY147" s="161"/>
      <c r="EZ147" s="161"/>
      <c r="FA147" s="161"/>
      <c r="FB147" s="161"/>
      <c r="FC147" s="161"/>
      <c r="FD147" s="161"/>
      <c r="FE147" s="161"/>
      <c r="FF147" s="161"/>
      <c r="FG147" s="161"/>
      <c r="FH147" s="161"/>
    </row>
    <row r="148" spans="60:164">
      <c r="BH148" s="7"/>
      <c r="BI148" s="33"/>
      <c r="BJ148" s="33"/>
      <c r="BK148" s="33"/>
      <c r="BL148" s="33"/>
      <c r="BM148" s="33"/>
      <c r="BN148" s="33"/>
      <c r="BO148" s="8"/>
      <c r="BP148" s="160"/>
      <c r="BQ148" s="136"/>
      <c r="BR148" s="20"/>
      <c r="BS148" s="20"/>
      <c r="BT148" s="8"/>
      <c r="BU148" s="8"/>
      <c r="BV148" s="8"/>
      <c r="BW148" s="160"/>
      <c r="BX148" s="136"/>
      <c r="BY148" s="20"/>
      <c r="BZ148" s="20"/>
      <c r="CA148" s="20"/>
      <c r="CB148" s="20"/>
      <c r="CC148" s="20"/>
      <c r="CD148" s="20"/>
      <c r="CE148" s="20"/>
      <c r="CF148" s="20"/>
      <c r="CG148" s="20"/>
      <c r="CH148" s="20"/>
      <c r="DA148" s="161"/>
      <c r="DB148" s="162"/>
      <c r="DC148" s="163"/>
      <c r="DD148" s="163"/>
      <c r="DE148" s="162"/>
      <c r="DF148" s="162"/>
      <c r="DG148" s="162"/>
      <c r="DH148" s="164"/>
      <c r="DI148" s="164"/>
      <c r="DJ148" s="164"/>
      <c r="DK148" s="165"/>
      <c r="DL148" s="165"/>
      <c r="DM148" s="166"/>
      <c r="DN148" s="161"/>
      <c r="DO148" s="161"/>
      <c r="DP148" s="161"/>
      <c r="DQ148" s="161"/>
      <c r="DR148" s="161"/>
      <c r="DS148" s="161"/>
      <c r="DT148" s="161"/>
      <c r="DU148" s="161"/>
      <c r="DV148" s="162"/>
      <c r="DW148" s="168"/>
      <c r="DX148" s="168"/>
      <c r="DY148" s="168"/>
      <c r="DZ148" s="168"/>
      <c r="EA148" s="168"/>
      <c r="EB148" s="168"/>
      <c r="EC148" s="168"/>
      <c r="ED148" s="169"/>
      <c r="EE148" s="169"/>
      <c r="EF148" s="165"/>
      <c r="EG148" s="170"/>
      <c r="EH148" s="174"/>
      <c r="EI148" s="174"/>
      <c r="EJ148" s="174"/>
      <c r="EK148" s="174"/>
      <c r="EL148" s="174"/>
      <c r="EM148" s="174"/>
      <c r="EN148" s="174"/>
      <c r="EO148" s="164"/>
      <c r="EP148" s="172"/>
      <c r="EQ148" s="171"/>
      <c r="ER148" s="161"/>
      <c r="ES148" s="161"/>
      <c r="ET148" s="164"/>
      <c r="EU148" s="164"/>
      <c r="EV148" s="164"/>
      <c r="EW148" s="172"/>
      <c r="EX148" s="171"/>
      <c r="EY148" s="161"/>
      <c r="EZ148" s="161"/>
      <c r="FA148" s="161"/>
      <c r="FB148" s="161"/>
      <c r="FC148" s="161"/>
      <c r="FD148" s="161"/>
      <c r="FE148" s="161"/>
      <c r="FF148" s="161"/>
      <c r="FG148" s="161"/>
      <c r="FH148" s="161"/>
    </row>
    <row r="149" spans="60:164">
      <c r="BH149" s="7"/>
      <c r="BI149" s="33"/>
      <c r="BJ149" s="33"/>
      <c r="BK149" s="33"/>
      <c r="BL149" s="33"/>
      <c r="BM149" s="33"/>
      <c r="BN149" s="33"/>
      <c r="BO149" s="8"/>
      <c r="BP149" s="160"/>
      <c r="BQ149" s="136"/>
      <c r="BR149" s="20"/>
      <c r="BS149" s="20"/>
      <c r="BT149" s="8"/>
      <c r="BU149" s="8"/>
      <c r="BV149" s="8"/>
      <c r="BW149" s="160"/>
      <c r="BX149" s="136"/>
      <c r="BY149" s="20"/>
      <c r="BZ149" s="20"/>
      <c r="CA149" s="20"/>
      <c r="CB149" s="20"/>
      <c r="CC149" s="20"/>
      <c r="CD149" s="20"/>
      <c r="CE149" s="20"/>
      <c r="CF149" s="20"/>
      <c r="CG149" s="20"/>
      <c r="CH149" s="20"/>
      <c r="DA149" s="161"/>
      <c r="DB149" s="162"/>
      <c r="DC149" s="163"/>
      <c r="DD149" s="163"/>
      <c r="DE149" s="162"/>
      <c r="DF149" s="162"/>
      <c r="DG149" s="162"/>
      <c r="DH149" s="164"/>
      <c r="DI149" s="164"/>
      <c r="DJ149" s="164"/>
      <c r="DK149" s="165"/>
      <c r="DL149" s="165"/>
      <c r="DM149" s="166"/>
      <c r="DN149" s="161"/>
      <c r="DO149" s="161"/>
      <c r="DP149" s="161"/>
      <c r="DQ149" s="161"/>
      <c r="DR149" s="161"/>
      <c r="DS149" s="161"/>
      <c r="DT149" s="161"/>
      <c r="DU149" s="161"/>
      <c r="DV149" s="162"/>
      <c r="DW149" s="168"/>
      <c r="DX149" s="168"/>
      <c r="DY149" s="168"/>
      <c r="DZ149" s="168"/>
      <c r="EA149" s="168"/>
      <c r="EB149" s="168"/>
      <c r="EC149" s="168"/>
      <c r="ED149" s="169"/>
      <c r="EE149" s="169"/>
      <c r="EF149" s="165"/>
      <c r="EG149" s="170"/>
      <c r="EH149" s="174"/>
      <c r="EI149" s="174"/>
      <c r="EJ149" s="174"/>
      <c r="EK149" s="174"/>
      <c r="EL149" s="174"/>
      <c r="EM149" s="174"/>
      <c r="EN149" s="174"/>
      <c r="EO149" s="164"/>
      <c r="EP149" s="172"/>
      <c r="EQ149" s="171"/>
      <c r="ER149" s="161"/>
      <c r="ES149" s="161"/>
      <c r="ET149" s="164"/>
      <c r="EU149" s="164"/>
      <c r="EV149" s="164"/>
      <c r="EW149" s="172"/>
      <c r="EX149" s="171"/>
      <c r="EY149" s="161"/>
      <c r="EZ149" s="161"/>
      <c r="FA149" s="161"/>
      <c r="FB149" s="161"/>
      <c r="FC149" s="161"/>
      <c r="FD149" s="161"/>
      <c r="FE149" s="161"/>
      <c r="FF149" s="161"/>
      <c r="FG149" s="161"/>
      <c r="FH149" s="161"/>
    </row>
    <row r="150" spans="60:164">
      <c r="BH150" s="7"/>
      <c r="BI150" s="33"/>
      <c r="BJ150" s="33"/>
      <c r="BK150" s="33"/>
      <c r="BL150" s="33"/>
      <c r="BM150" s="33"/>
      <c r="BN150" s="33"/>
      <c r="BO150" s="8"/>
      <c r="BP150" s="160"/>
      <c r="BQ150" s="136"/>
      <c r="BR150" s="20"/>
      <c r="BS150" s="20"/>
      <c r="BT150" s="8"/>
      <c r="BU150" s="8"/>
      <c r="BV150" s="8"/>
      <c r="BW150" s="160"/>
      <c r="BX150" s="136"/>
      <c r="BY150" s="20"/>
      <c r="BZ150" s="20"/>
      <c r="CA150" s="20"/>
      <c r="CB150" s="20"/>
      <c r="CC150" s="20"/>
      <c r="CD150" s="20"/>
      <c r="CE150" s="20"/>
      <c r="CF150" s="20"/>
      <c r="CG150" s="20"/>
      <c r="CH150" s="20"/>
      <c r="DA150" s="161"/>
      <c r="DB150" s="162"/>
      <c r="DC150" s="163"/>
      <c r="DD150" s="163"/>
      <c r="DE150" s="162"/>
      <c r="DF150" s="162"/>
      <c r="DG150" s="162"/>
      <c r="DH150" s="164"/>
      <c r="DI150" s="164"/>
      <c r="DJ150" s="164"/>
      <c r="DK150" s="165"/>
      <c r="DL150" s="165"/>
      <c r="DM150" s="166"/>
      <c r="DN150" s="161"/>
      <c r="DO150" s="161"/>
      <c r="DP150" s="161"/>
      <c r="DQ150" s="161"/>
      <c r="DR150" s="161"/>
      <c r="DS150" s="161"/>
      <c r="DT150" s="161"/>
      <c r="DU150" s="161"/>
      <c r="DV150" s="162"/>
      <c r="DW150" s="168"/>
      <c r="DX150" s="168"/>
      <c r="DY150" s="168"/>
      <c r="DZ150" s="168"/>
      <c r="EA150" s="168"/>
      <c r="EB150" s="168"/>
      <c r="EC150" s="168"/>
      <c r="ED150" s="169"/>
      <c r="EE150" s="169"/>
      <c r="EF150" s="165"/>
      <c r="EG150" s="170"/>
      <c r="EH150" s="174"/>
      <c r="EI150" s="174"/>
      <c r="EJ150" s="174"/>
      <c r="EK150" s="174"/>
      <c r="EL150" s="174"/>
      <c r="EM150" s="174"/>
      <c r="EN150" s="174"/>
      <c r="EO150" s="164"/>
      <c r="EP150" s="172"/>
      <c r="EQ150" s="171"/>
      <c r="ER150" s="161"/>
      <c r="ES150" s="161"/>
      <c r="ET150" s="164"/>
      <c r="EU150" s="164"/>
      <c r="EV150" s="164"/>
      <c r="EW150" s="172"/>
      <c r="EX150" s="171"/>
      <c r="EY150" s="161"/>
      <c r="EZ150" s="161"/>
      <c r="FA150" s="161"/>
      <c r="FB150" s="161"/>
      <c r="FC150" s="161"/>
      <c r="FD150" s="161"/>
      <c r="FE150" s="161"/>
      <c r="FF150" s="161"/>
      <c r="FG150" s="161"/>
      <c r="FH150" s="161"/>
    </row>
    <row r="151" spans="60:164">
      <c r="BH151" s="7"/>
      <c r="BI151" s="33"/>
      <c r="BJ151" s="33"/>
      <c r="BK151" s="33"/>
      <c r="BL151" s="33"/>
      <c r="BM151" s="33"/>
      <c r="BN151" s="33"/>
      <c r="BO151" s="8"/>
      <c r="BP151" s="160"/>
      <c r="BQ151" s="136"/>
      <c r="BR151" s="20"/>
      <c r="BS151" s="20"/>
      <c r="BT151" s="8"/>
      <c r="BU151" s="8"/>
      <c r="BV151" s="8"/>
      <c r="BW151" s="160"/>
      <c r="BX151" s="136"/>
      <c r="BY151" s="20"/>
      <c r="BZ151" s="20"/>
      <c r="CA151" s="20"/>
      <c r="CB151" s="20"/>
      <c r="CC151" s="20"/>
      <c r="CD151" s="20"/>
      <c r="CE151" s="20"/>
      <c r="CF151" s="20"/>
      <c r="CG151" s="20"/>
      <c r="CH151" s="20"/>
      <c r="DA151" s="161"/>
      <c r="DB151" s="162"/>
      <c r="DC151" s="163"/>
      <c r="DD151" s="163"/>
      <c r="DE151" s="162"/>
      <c r="DF151" s="162"/>
      <c r="DG151" s="162"/>
      <c r="DH151" s="164"/>
      <c r="DI151" s="164"/>
      <c r="DJ151" s="164"/>
      <c r="DK151" s="165"/>
      <c r="DL151" s="165"/>
      <c r="DM151" s="166"/>
      <c r="DN151" s="161"/>
      <c r="DO151" s="161"/>
      <c r="DP151" s="161"/>
      <c r="DQ151" s="161"/>
      <c r="DR151" s="161"/>
      <c r="DS151" s="161"/>
      <c r="DT151" s="161"/>
      <c r="DU151" s="161"/>
      <c r="DV151" s="162"/>
      <c r="DW151" s="168"/>
      <c r="DX151" s="168"/>
      <c r="DY151" s="168"/>
      <c r="DZ151" s="168"/>
      <c r="EA151" s="168"/>
      <c r="EB151" s="168"/>
      <c r="EC151" s="168"/>
      <c r="ED151" s="169"/>
      <c r="EE151" s="169"/>
      <c r="EF151" s="165"/>
      <c r="EG151" s="170"/>
      <c r="EH151" s="174"/>
      <c r="EI151" s="174"/>
      <c r="EJ151" s="174"/>
      <c r="EK151" s="174"/>
      <c r="EL151" s="174"/>
      <c r="EM151" s="174"/>
      <c r="EN151" s="174"/>
      <c r="EO151" s="164"/>
      <c r="EP151" s="172"/>
      <c r="EQ151" s="171"/>
      <c r="ER151" s="161"/>
      <c r="ES151" s="161"/>
      <c r="ET151" s="164"/>
      <c r="EU151" s="164"/>
      <c r="EV151" s="164"/>
      <c r="EW151" s="172"/>
      <c r="EX151" s="171"/>
      <c r="EY151" s="161"/>
      <c r="EZ151" s="161"/>
      <c r="FA151" s="161"/>
      <c r="FB151" s="161"/>
      <c r="FC151" s="161"/>
      <c r="FD151" s="161"/>
      <c r="FE151" s="161"/>
      <c r="FF151" s="161"/>
      <c r="FG151" s="161"/>
      <c r="FH151" s="161"/>
    </row>
    <row r="152" spans="60:164">
      <c r="BH152" s="7"/>
      <c r="BI152" s="33"/>
      <c r="BJ152" s="33"/>
      <c r="BK152" s="33"/>
      <c r="BL152" s="33"/>
      <c r="BM152" s="33"/>
      <c r="BN152" s="33"/>
      <c r="BO152" s="8"/>
      <c r="BP152" s="160"/>
      <c r="BQ152" s="136"/>
      <c r="BR152" s="20"/>
      <c r="BS152" s="20"/>
      <c r="BT152" s="8"/>
      <c r="BU152" s="8"/>
      <c r="BV152" s="8"/>
      <c r="BW152" s="160"/>
      <c r="BX152" s="136"/>
      <c r="BY152" s="20"/>
      <c r="BZ152" s="20"/>
      <c r="CA152" s="20"/>
      <c r="CB152" s="20"/>
      <c r="CC152" s="20"/>
      <c r="CD152" s="20"/>
      <c r="CE152" s="20"/>
      <c r="CF152" s="20"/>
      <c r="CG152" s="20"/>
      <c r="CH152" s="20"/>
      <c r="DA152" s="161"/>
      <c r="DB152" s="162"/>
      <c r="DC152" s="163"/>
      <c r="DD152" s="163"/>
      <c r="DE152" s="162"/>
      <c r="DF152" s="162"/>
      <c r="DG152" s="162"/>
      <c r="DH152" s="164"/>
      <c r="DI152" s="164"/>
      <c r="DJ152" s="164"/>
      <c r="DK152" s="165"/>
      <c r="DL152" s="165"/>
      <c r="DM152" s="166"/>
      <c r="DN152" s="161"/>
      <c r="DO152" s="161"/>
      <c r="DP152" s="161"/>
      <c r="DQ152" s="161"/>
      <c r="DR152" s="161"/>
      <c r="DS152" s="161"/>
      <c r="DT152" s="161"/>
      <c r="DU152" s="161"/>
      <c r="DV152" s="162"/>
      <c r="DW152" s="168"/>
      <c r="DX152" s="168"/>
      <c r="DY152" s="168"/>
      <c r="DZ152" s="168"/>
      <c r="EA152" s="168"/>
      <c r="EB152" s="168"/>
      <c r="EC152" s="168"/>
      <c r="ED152" s="169"/>
      <c r="EE152" s="169"/>
      <c r="EF152" s="165"/>
      <c r="EG152" s="170"/>
      <c r="EH152" s="174"/>
      <c r="EI152" s="174"/>
      <c r="EJ152" s="174"/>
      <c r="EK152" s="174"/>
      <c r="EL152" s="174"/>
      <c r="EM152" s="174"/>
      <c r="EN152" s="174"/>
      <c r="EO152" s="164"/>
      <c r="EP152" s="172"/>
      <c r="EQ152" s="171"/>
      <c r="ER152" s="161"/>
      <c r="ES152" s="161"/>
      <c r="ET152" s="164"/>
      <c r="EU152" s="164"/>
      <c r="EV152" s="164"/>
      <c r="EW152" s="172"/>
      <c r="EX152" s="171"/>
      <c r="EY152" s="161"/>
      <c r="EZ152" s="161"/>
      <c r="FA152" s="161"/>
      <c r="FB152" s="161"/>
      <c r="FC152" s="161"/>
      <c r="FD152" s="161"/>
      <c r="FE152" s="161"/>
      <c r="FF152" s="161"/>
      <c r="FG152" s="161"/>
      <c r="FH152" s="161"/>
    </row>
    <row r="153" spans="60:164">
      <c r="BH153" s="7"/>
      <c r="BI153" s="33"/>
      <c r="BJ153" s="33"/>
      <c r="BK153" s="33"/>
      <c r="BL153" s="33"/>
      <c r="BM153" s="33"/>
      <c r="BN153" s="33"/>
      <c r="BO153" s="8"/>
      <c r="BP153" s="160"/>
      <c r="BQ153" s="136"/>
      <c r="BR153" s="20"/>
      <c r="BS153" s="20"/>
      <c r="BT153" s="8"/>
      <c r="BU153" s="8"/>
      <c r="BV153" s="8"/>
      <c r="BW153" s="160"/>
      <c r="BX153" s="136"/>
      <c r="BY153" s="20"/>
      <c r="BZ153" s="20"/>
      <c r="CA153" s="20"/>
      <c r="CB153" s="20"/>
      <c r="CC153" s="20"/>
      <c r="CD153" s="20"/>
      <c r="CE153" s="20"/>
      <c r="CF153" s="20"/>
      <c r="CG153" s="20"/>
      <c r="CH153" s="20"/>
      <c r="DA153" s="161"/>
      <c r="DB153" s="162"/>
      <c r="DC153" s="163"/>
      <c r="DD153" s="163"/>
      <c r="DE153" s="162"/>
      <c r="DF153" s="162"/>
      <c r="DG153" s="162"/>
      <c r="DH153" s="164"/>
      <c r="DI153" s="164"/>
      <c r="DJ153" s="164"/>
      <c r="DK153" s="165"/>
      <c r="DL153" s="165"/>
      <c r="DM153" s="166"/>
      <c r="DN153" s="161"/>
      <c r="DO153" s="161"/>
      <c r="DP153" s="161"/>
      <c r="DQ153" s="161"/>
      <c r="DR153" s="161"/>
      <c r="DS153" s="161"/>
      <c r="DT153" s="161"/>
      <c r="DU153" s="161"/>
      <c r="DV153" s="162"/>
      <c r="DW153" s="168"/>
      <c r="DX153" s="168"/>
      <c r="DY153" s="168"/>
      <c r="DZ153" s="168"/>
      <c r="EA153" s="168"/>
      <c r="EB153" s="168"/>
      <c r="EC153" s="168"/>
      <c r="ED153" s="169"/>
      <c r="EE153" s="169"/>
      <c r="EF153" s="165"/>
      <c r="EG153" s="170"/>
      <c r="EH153" s="174"/>
      <c r="EI153" s="174"/>
      <c r="EJ153" s="174"/>
      <c r="EK153" s="174"/>
      <c r="EL153" s="174"/>
      <c r="EM153" s="174"/>
      <c r="EN153" s="174"/>
      <c r="EO153" s="164"/>
      <c r="EP153" s="172"/>
      <c r="EQ153" s="171"/>
      <c r="ER153" s="161"/>
      <c r="ES153" s="161"/>
      <c r="ET153" s="164"/>
      <c r="EU153" s="164"/>
      <c r="EV153" s="164"/>
      <c r="EW153" s="172"/>
      <c r="EX153" s="171"/>
      <c r="EY153" s="161"/>
      <c r="EZ153" s="161"/>
      <c r="FA153" s="161"/>
      <c r="FB153" s="161"/>
      <c r="FC153" s="161"/>
      <c r="FD153" s="161"/>
      <c r="FE153" s="161"/>
      <c r="FF153" s="161"/>
      <c r="FG153" s="161"/>
      <c r="FH153" s="161"/>
    </row>
    <row r="154" spans="60:164">
      <c r="BH154" s="7"/>
      <c r="BI154" s="33"/>
      <c r="BJ154" s="33"/>
      <c r="BK154" s="33"/>
      <c r="BL154" s="33"/>
      <c r="BM154" s="33"/>
      <c r="BN154" s="33"/>
      <c r="BO154" s="8"/>
      <c r="BP154" s="160"/>
      <c r="BQ154" s="136"/>
      <c r="BR154" s="20"/>
      <c r="BS154" s="20"/>
      <c r="BT154" s="8"/>
      <c r="BU154" s="8"/>
      <c r="BV154" s="8"/>
      <c r="BW154" s="160"/>
      <c r="BX154" s="136"/>
      <c r="BY154" s="20"/>
      <c r="BZ154" s="20"/>
      <c r="CA154" s="20"/>
      <c r="CB154" s="20"/>
      <c r="CC154" s="20"/>
      <c r="CD154" s="20"/>
      <c r="CE154" s="20"/>
      <c r="CF154" s="20"/>
      <c r="CG154" s="20"/>
      <c r="CH154" s="20"/>
      <c r="DA154" s="161"/>
      <c r="DB154" s="162"/>
      <c r="DC154" s="163"/>
      <c r="DD154" s="163"/>
      <c r="DE154" s="162"/>
      <c r="DF154" s="162"/>
      <c r="DG154" s="162"/>
      <c r="DH154" s="164"/>
      <c r="DI154" s="164"/>
      <c r="DJ154" s="164"/>
      <c r="DK154" s="165"/>
      <c r="DL154" s="165"/>
      <c r="DM154" s="166"/>
      <c r="DN154" s="161"/>
      <c r="DO154" s="161"/>
      <c r="DP154" s="161"/>
      <c r="DQ154" s="161"/>
      <c r="DR154" s="161"/>
      <c r="DS154" s="161"/>
      <c r="DT154" s="161"/>
      <c r="DU154" s="161"/>
      <c r="DV154" s="162"/>
      <c r="DW154" s="168"/>
      <c r="DX154" s="168"/>
      <c r="DY154" s="168"/>
      <c r="DZ154" s="168"/>
      <c r="EA154" s="168"/>
      <c r="EB154" s="168"/>
      <c r="EC154" s="168"/>
      <c r="ED154" s="169"/>
      <c r="EE154" s="169"/>
      <c r="EF154" s="165"/>
      <c r="EG154" s="170"/>
      <c r="EH154" s="174"/>
      <c r="EI154" s="174"/>
      <c r="EJ154" s="174"/>
      <c r="EK154" s="174"/>
      <c r="EL154" s="174"/>
      <c r="EM154" s="174"/>
      <c r="EN154" s="174"/>
      <c r="EO154" s="164"/>
      <c r="EP154" s="172"/>
      <c r="EQ154" s="171"/>
      <c r="ER154" s="161"/>
      <c r="ES154" s="161"/>
      <c r="ET154" s="164"/>
      <c r="EU154" s="164"/>
      <c r="EV154" s="164"/>
      <c r="EW154" s="172"/>
      <c r="EX154" s="171"/>
      <c r="EY154" s="161"/>
      <c r="EZ154" s="161"/>
      <c r="FA154" s="161"/>
      <c r="FB154" s="161"/>
      <c r="FC154" s="161"/>
      <c r="FD154" s="161"/>
      <c r="FE154" s="161"/>
      <c r="FF154" s="161"/>
      <c r="FG154" s="161"/>
      <c r="FH154" s="161"/>
    </row>
    <row r="155" spans="60:164">
      <c r="BH155" s="7"/>
      <c r="BI155" s="33"/>
      <c r="BJ155" s="33"/>
      <c r="BK155" s="33"/>
      <c r="BL155" s="33"/>
      <c r="BM155" s="33"/>
      <c r="BN155" s="33"/>
      <c r="BO155" s="8"/>
      <c r="BP155" s="160"/>
      <c r="BQ155" s="136"/>
      <c r="BR155" s="20"/>
      <c r="BS155" s="20"/>
      <c r="BT155" s="8"/>
      <c r="BU155" s="8"/>
      <c r="BV155" s="8"/>
      <c r="BW155" s="160"/>
      <c r="BX155" s="136"/>
      <c r="BY155" s="20"/>
      <c r="BZ155" s="20"/>
      <c r="CA155" s="20"/>
      <c r="CB155" s="20"/>
      <c r="CC155" s="20"/>
      <c r="CD155" s="20"/>
      <c r="CE155" s="20"/>
      <c r="CF155" s="20"/>
      <c r="CG155" s="20"/>
      <c r="CH155" s="20"/>
      <c r="DA155" s="161"/>
      <c r="DB155" s="162"/>
      <c r="DC155" s="163"/>
      <c r="DD155" s="163"/>
      <c r="DE155" s="162"/>
      <c r="DF155" s="162"/>
      <c r="DG155" s="162"/>
      <c r="DH155" s="164"/>
      <c r="DI155" s="164"/>
      <c r="DJ155" s="164"/>
      <c r="DK155" s="165"/>
      <c r="DL155" s="165"/>
      <c r="DM155" s="166"/>
      <c r="DN155" s="161"/>
      <c r="DO155" s="161"/>
      <c r="DP155" s="161"/>
      <c r="DQ155" s="161"/>
      <c r="DR155" s="161"/>
      <c r="DS155" s="161"/>
      <c r="DT155" s="161"/>
      <c r="DU155" s="161"/>
      <c r="DV155" s="162"/>
      <c r="DW155" s="168"/>
      <c r="DX155" s="168"/>
      <c r="DY155" s="168"/>
      <c r="DZ155" s="168"/>
      <c r="EA155" s="168"/>
      <c r="EB155" s="168"/>
      <c r="EC155" s="168"/>
      <c r="ED155" s="169"/>
      <c r="EE155" s="169"/>
      <c r="EF155" s="165"/>
      <c r="EG155" s="170"/>
      <c r="EH155" s="174"/>
      <c r="EI155" s="174"/>
      <c r="EJ155" s="174"/>
      <c r="EK155" s="174"/>
      <c r="EL155" s="174"/>
      <c r="EM155" s="174"/>
      <c r="EN155" s="174"/>
      <c r="EO155" s="164"/>
      <c r="EP155" s="172"/>
      <c r="EQ155" s="171"/>
      <c r="ER155" s="161"/>
      <c r="ES155" s="161"/>
      <c r="ET155" s="164"/>
      <c r="EU155" s="164"/>
      <c r="EV155" s="164"/>
      <c r="EW155" s="172"/>
      <c r="EX155" s="171"/>
      <c r="EY155" s="161"/>
      <c r="EZ155" s="161"/>
      <c r="FA155" s="161"/>
      <c r="FB155" s="161"/>
      <c r="FC155" s="161"/>
      <c r="FD155" s="161"/>
      <c r="FE155" s="161"/>
      <c r="FF155" s="161"/>
      <c r="FG155" s="161"/>
      <c r="FH155" s="161"/>
    </row>
    <row r="156" spans="60:164">
      <c r="BH156" s="7"/>
      <c r="BI156" s="33"/>
      <c r="BJ156" s="33"/>
      <c r="BK156" s="33"/>
      <c r="BL156" s="33"/>
      <c r="BM156" s="33"/>
      <c r="BN156" s="33"/>
      <c r="BO156" s="8"/>
      <c r="BP156" s="160"/>
      <c r="BQ156" s="136"/>
      <c r="BR156" s="20"/>
      <c r="BS156" s="20"/>
      <c r="BT156" s="8"/>
      <c r="BU156" s="8"/>
      <c r="BV156" s="8"/>
      <c r="BW156" s="160"/>
      <c r="BX156" s="136"/>
      <c r="BY156" s="20"/>
      <c r="BZ156" s="20"/>
      <c r="CA156" s="20"/>
      <c r="CB156" s="20"/>
      <c r="CC156" s="20"/>
      <c r="CD156" s="20"/>
      <c r="CE156" s="20"/>
      <c r="CF156" s="20"/>
      <c r="CG156" s="20"/>
      <c r="CH156" s="20"/>
      <c r="DA156" s="161"/>
      <c r="DB156" s="162"/>
      <c r="DC156" s="163"/>
      <c r="DD156" s="163"/>
      <c r="DE156" s="162"/>
      <c r="DF156" s="162"/>
      <c r="DG156" s="162"/>
      <c r="DH156" s="164"/>
      <c r="DI156" s="164"/>
      <c r="DJ156" s="164"/>
      <c r="DK156" s="165"/>
      <c r="DL156" s="165"/>
      <c r="DM156" s="166"/>
      <c r="DN156" s="161"/>
      <c r="DO156" s="161"/>
      <c r="DP156" s="161"/>
      <c r="DQ156" s="161"/>
      <c r="DR156" s="161"/>
      <c r="DS156" s="161"/>
      <c r="DT156" s="161"/>
      <c r="DU156" s="161"/>
      <c r="DV156" s="162"/>
      <c r="DW156" s="168"/>
      <c r="DX156" s="168"/>
      <c r="DY156" s="168"/>
      <c r="DZ156" s="168"/>
      <c r="EA156" s="168"/>
      <c r="EB156" s="168"/>
      <c r="EC156" s="168"/>
      <c r="ED156" s="169"/>
      <c r="EE156" s="169"/>
      <c r="EF156" s="165"/>
      <c r="EG156" s="170"/>
      <c r="EH156" s="174"/>
      <c r="EI156" s="174"/>
      <c r="EJ156" s="174"/>
      <c r="EK156" s="174"/>
      <c r="EL156" s="174"/>
      <c r="EM156" s="174"/>
      <c r="EN156" s="174"/>
      <c r="EO156" s="164"/>
      <c r="EP156" s="172"/>
      <c r="EQ156" s="171"/>
      <c r="ER156" s="161"/>
      <c r="ES156" s="161"/>
      <c r="ET156" s="164"/>
      <c r="EU156" s="164"/>
      <c r="EV156" s="164"/>
      <c r="EW156" s="172"/>
      <c r="EX156" s="171"/>
      <c r="EY156" s="161"/>
      <c r="EZ156" s="161"/>
      <c r="FA156" s="161"/>
      <c r="FB156" s="161"/>
      <c r="FC156" s="161"/>
      <c r="FD156" s="161"/>
      <c r="FE156" s="161"/>
      <c r="FF156" s="161"/>
      <c r="FG156" s="161"/>
      <c r="FH156" s="161"/>
    </row>
    <row r="157" spans="60:164">
      <c r="BH157" s="7"/>
      <c r="BI157" s="33"/>
      <c r="BJ157" s="33"/>
      <c r="BK157" s="33"/>
      <c r="BL157" s="33"/>
      <c r="BM157" s="33"/>
      <c r="BN157" s="33"/>
      <c r="BO157" s="8"/>
      <c r="BP157" s="160"/>
      <c r="BQ157" s="136"/>
      <c r="BR157" s="20"/>
      <c r="BS157" s="20"/>
      <c r="BT157" s="8"/>
      <c r="BU157" s="8"/>
      <c r="BV157" s="8"/>
      <c r="BW157" s="160"/>
      <c r="BX157" s="136"/>
      <c r="BY157" s="20"/>
      <c r="BZ157" s="20"/>
      <c r="CA157" s="20"/>
      <c r="CB157" s="20"/>
      <c r="CC157" s="20"/>
      <c r="CD157" s="20"/>
      <c r="CE157" s="20"/>
      <c r="CF157" s="20"/>
      <c r="CG157" s="20"/>
      <c r="CH157" s="20"/>
      <c r="DA157" s="161"/>
      <c r="DB157" s="162"/>
      <c r="DC157" s="163"/>
      <c r="DD157" s="163"/>
      <c r="DE157" s="162"/>
      <c r="DF157" s="162"/>
      <c r="DG157" s="162"/>
      <c r="DH157" s="164"/>
      <c r="DI157" s="164"/>
      <c r="DJ157" s="164"/>
      <c r="DK157" s="165"/>
      <c r="DL157" s="165"/>
      <c r="DM157" s="166"/>
      <c r="DN157" s="161"/>
      <c r="DO157" s="161"/>
      <c r="DP157" s="161"/>
      <c r="DQ157" s="161"/>
      <c r="DR157" s="161"/>
      <c r="DS157" s="161"/>
      <c r="DT157" s="161"/>
      <c r="DU157" s="161"/>
      <c r="DV157" s="162"/>
      <c r="DW157" s="168"/>
      <c r="DX157" s="168"/>
      <c r="DY157" s="168"/>
      <c r="DZ157" s="168"/>
      <c r="EA157" s="168"/>
      <c r="EB157" s="168"/>
      <c r="EC157" s="168"/>
      <c r="ED157" s="169"/>
      <c r="EE157" s="169"/>
      <c r="EF157" s="165"/>
      <c r="EG157" s="170"/>
      <c r="EH157" s="174"/>
      <c r="EI157" s="174"/>
      <c r="EJ157" s="174"/>
      <c r="EK157" s="174"/>
      <c r="EL157" s="174"/>
      <c r="EM157" s="174"/>
      <c r="EN157" s="174"/>
      <c r="EO157" s="164"/>
      <c r="EP157" s="172"/>
      <c r="EQ157" s="171"/>
      <c r="ER157" s="161"/>
      <c r="ES157" s="161"/>
      <c r="ET157" s="164"/>
      <c r="EU157" s="164"/>
      <c r="EV157" s="164"/>
      <c r="EW157" s="172"/>
      <c r="EX157" s="171"/>
      <c r="EY157" s="161"/>
      <c r="EZ157" s="161"/>
      <c r="FA157" s="161"/>
      <c r="FB157" s="161"/>
      <c r="FC157" s="161"/>
      <c r="FD157" s="161"/>
      <c r="FE157" s="161"/>
      <c r="FF157" s="161"/>
      <c r="FG157" s="161"/>
      <c r="FH157" s="161"/>
    </row>
    <row r="158" spans="60:164">
      <c r="BH158" s="7"/>
      <c r="BI158" s="33"/>
      <c r="BJ158" s="33"/>
      <c r="BK158" s="33"/>
      <c r="BL158" s="33"/>
      <c r="BM158" s="33"/>
      <c r="BN158" s="33"/>
      <c r="BO158" s="8"/>
      <c r="BP158" s="160"/>
      <c r="BQ158" s="136"/>
      <c r="BR158" s="20"/>
      <c r="BS158" s="20"/>
      <c r="BT158" s="8"/>
      <c r="BU158" s="8"/>
      <c r="BV158" s="8"/>
      <c r="BW158" s="160"/>
      <c r="BX158" s="136"/>
      <c r="BY158" s="20"/>
      <c r="BZ158" s="20"/>
      <c r="CA158" s="20"/>
      <c r="CB158" s="20"/>
      <c r="CC158" s="20"/>
      <c r="CD158" s="20"/>
      <c r="CE158" s="20"/>
      <c r="CF158" s="20"/>
      <c r="CG158" s="20"/>
      <c r="CH158" s="20"/>
      <c r="DA158" s="161"/>
      <c r="DB158" s="162"/>
      <c r="DC158" s="163"/>
      <c r="DD158" s="163"/>
      <c r="DE158" s="162"/>
      <c r="DF158" s="162"/>
      <c r="DG158" s="162"/>
      <c r="DH158" s="164"/>
      <c r="DI158" s="164"/>
      <c r="DJ158" s="164"/>
      <c r="DK158" s="165"/>
      <c r="DL158" s="165"/>
      <c r="DM158" s="166"/>
      <c r="DN158" s="161"/>
      <c r="DO158" s="161"/>
      <c r="DP158" s="161"/>
      <c r="DQ158" s="161"/>
      <c r="DR158" s="161"/>
      <c r="DS158" s="161"/>
      <c r="DT158" s="161"/>
      <c r="DU158" s="161"/>
      <c r="DV158" s="162"/>
      <c r="DW158" s="168"/>
      <c r="DX158" s="168"/>
      <c r="DY158" s="168"/>
      <c r="DZ158" s="168"/>
      <c r="EA158" s="168"/>
      <c r="EB158" s="168"/>
      <c r="EC158" s="168"/>
      <c r="ED158" s="169"/>
      <c r="EE158" s="169"/>
      <c r="EF158" s="165"/>
      <c r="EG158" s="170"/>
      <c r="EH158" s="174"/>
      <c r="EI158" s="174"/>
      <c r="EJ158" s="174"/>
      <c r="EK158" s="174"/>
      <c r="EL158" s="174"/>
      <c r="EM158" s="174"/>
      <c r="EN158" s="174"/>
      <c r="EO158" s="164"/>
      <c r="EP158" s="172"/>
      <c r="EQ158" s="171"/>
      <c r="ER158" s="161"/>
      <c r="ES158" s="161"/>
      <c r="ET158" s="164"/>
      <c r="EU158" s="164"/>
      <c r="EV158" s="164"/>
      <c r="EW158" s="172"/>
      <c r="EX158" s="171"/>
      <c r="EY158" s="161"/>
      <c r="EZ158" s="161"/>
      <c r="FA158" s="161"/>
      <c r="FB158" s="161"/>
      <c r="FC158" s="161"/>
      <c r="FD158" s="161"/>
      <c r="FE158" s="161"/>
      <c r="FF158" s="161"/>
      <c r="FG158" s="161"/>
      <c r="FH158" s="161"/>
    </row>
    <row r="159" spans="60:164">
      <c r="BH159" s="7"/>
      <c r="BI159" s="33"/>
      <c r="BJ159" s="33"/>
      <c r="BK159" s="33"/>
      <c r="BL159" s="33"/>
      <c r="BM159" s="33"/>
      <c r="BN159" s="33"/>
      <c r="BO159" s="8"/>
      <c r="BP159" s="160"/>
      <c r="BQ159" s="136"/>
      <c r="BR159" s="20"/>
      <c r="BS159" s="20"/>
      <c r="BT159" s="8"/>
      <c r="BU159" s="8"/>
      <c r="BV159" s="8"/>
      <c r="BW159" s="160"/>
      <c r="BX159" s="136"/>
      <c r="BY159" s="20"/>
      <c r="BZ159" s="20"/>
      <c r="CA159" s="20"/>
      <c r="CB159" s="20"/>
      <c r="CC159" s="20"/>
      <c r="CD159" s="20"/>
      <c r="CE159" s="20"/>
      <c r="CF159" s="20"/>
      <c r="CG159" s="20"/>
      <c r="CH159" s="20"/>
      <c r="DA159" s="161"/>
      <c r="DB159" s="162"/>
      <c r="DC159" s="163"/>
      <c r="DD159" s="163"/>
      <c r="DE159" s="162"/>
      <c r="DF159" s="162"/>
      <c r="DG159" s="162"/>
      <c r="DH159" s="164"/>
      <c r="DI159" s="164"/>
      <c r="DJ159" s="164"/>
      <c r="DK159" s="165"/>
      <c r="DL159" s="165"/>
      <c r="DM159" s="166"/>
      <c r="DN159" s="161"/>
      <c r="DO159" s="161"/>
      <c r="DP159" s="161"/>
      <c r="DQ159" s="161"/>
      <c r="DR159" s="161"/>
      <c r="DS159" s="161"/>
      <c r="DT159" s="161"/>
      <c r="DU159" s="161"/>
      <c r="DV159" s="162"/>
      <c r="DW159" s="168"/>
      <c r="DX159" s="168"/>
      <c r="DY159" s="168"/>
      <c r="DZ159" s="168"/>
      <c r="EA159" s="168"/>
      <c r="EB159" s="168"/>
      <c r="EC159" s="168"/>
      <c r="ED159" s="169"/>
      <c r="EE159" s="169"/>
      <c r="EF159" s="165"/>
      <c r="EG159" s="170"/>
      <c r="EH159" s="174"/>
      <c r="EI159" s="174"/>
      <c r="EJ159" s="174"/>
      <c r="EK159" s="174"/>
      <c r="EL159" s="174"/>
      <c r="EM159" s="174"/>
      <c r="EN159" s="174"/>
      <c r="EO159" s="164"/>
      <c r="EP159" s="172"/>
      <c r="EQ159" s="171"/>
      <c r="ER159" s="161"/>
      <c r="ES159" s="161"/>
      <c r="ET159" s="164"/>
      <c r="EU159" s="164"/>
      <c r="EV159" s="164"/>
      <c r="EW159" s="172"/>
      <c r="EX159" s="171"/>
      <c r="EY159" s="161"/>
      <c r="EZ159" s="161"/>
      <c r="FA159" s="161"/>
      <c r="FB159" s="161"/>
      <c r="FC159" s="161"/>
      <c r="FD159" s="161"/>
      <c r="FE159" s="161"/>
      <c r="FF159" s="161"/>
      <c r="FG159" s="161"/>
      <c r="FH159" s="161"/>
    </row>
    <row r="160" spans="60:164">
      <c r="BH160" s="7"/>
      <c r="BI160" s="33"/>
      <c r="BJ160" s="33"/>
      <c r="BK160" s="33"/>
      <c r="BL160" s="33"/>
      <c r="BM160" s="33"/>
      <c r="BN160" s="33"/>
      <c r="BO160" s="8"/>
      <c r="BP160" s="160"/>
      <c r="BQ160" s="136"/>
      <c r="BR160" s="20"/>
      <c r="BS160" s="20"/>
      <c r="BT160" s="8"/>
      <c r="BU160" s="8"/>
      <c r="BV160" s="8"/>
      <c r="BW160" s="160"/>
      <c r="BX160" s="136"/>
      <c r="BY160" s="20"/>
      <c r="BZ160" s="20"/>
      <c r="CA160" s="20"/>
      <c r="CB160" s="20"/>
      <c r="CC160" s="20"/>
      <c r="CD160" s="20"/>
      <c r="CE160" s="20"/>
      <c r="CF160" s="20"/>
      <c r="CG160" s="20"/>
      <c r="CH160" s="20"/>
      <c r="DA160" s="161"/>
      <c r="DB160" s="162"/>
      <c r="DC160" s="163"/>
      <c r="DD160" s="163"/>
      <c r="DE160" s="162"/>
      <c r="DF160" s="162"/>
      <c r="DG160" s="162"/>
      <c r="DH160" s="164"/>
      <c r="DI160" s="164"/>
      <c r="DJ160" s="164"/>
      <c r="DK160" s="165"/>
      <c r="DL160" s="165"/>
      <c r="DM160" s="166"/>
      <c r="DN160" s="161"/>
      <c r="DO160" s="161"/>
      <c r="DP160" s="161"/>
      <c r="DQ160" s="161"/>
      <c r="DR160" s="161"/>
      <c r="DS160" s="161"/>
      <c r="DT160" s="161"/>
      <c r="DU160" s="161"/>
      <c r="DV160" s="162"/>
      <c r="DW160" s="168"/>
      <c r="DX160" s="168"/>
      <c r="DY160" s="168"/>
      <c r="DZ160" s="168"/>
      <c r="EA160" s="168"/>
      <c r="EB160" s="168"/>
      <c r="EC160" s="168"/>
      <c r="ED160" s="169"/>
      <c r="EE160" s="169"/>
      <c r="EF160" s="165"/>
      <c r="EG160" s="170"/>
      <c r="EH160" s="174"/>
      <c r="EI160" s="174"/>
      <c r="EJ160" s="174"/>
      <c r="EK160" s="174"/>
      <c r="EL160" s="174"/>
      <c r="EM160" s="174"/>
      <c r="EN160" s="174"/>
      <c r="EO160" s="164"/>
      <c r="EP160" s="172"/>
      <c r="EQ160" s="171"/>
      <c r="ER160" s="161"/>
      <c r="ES160" s="161"/>
      <c r="ET160" s="164"/>
      <c r="EU160" s="164"/>
      <c r="EV160" s="164"/>
      <c r="EW160" s="172"/>
      <c r="EX160" s="171"/>
      <c r="EY160" s="161"/>
      <c r="EZ160" s="161"/>
      <c r="FA160" s="161"/>
      <c r="FB160" s="161"/>
      <c r="FC160" s="161"/>
      <c r="FD160" s="161"/>
      <c r="FE160" s="161"/>
      <c r="FF160" s="161"/>
      <c r="FG160" s="161"/>
      <c r="FH160" s="161"/>
    </row>
    <row r="161" spans="60:164">
      <c r="BH161" s="7"/>
      <c r="BI161" s="33"/>
      <c r="BJ161" s="33"/>
      <c r="BK161" s="33"/>
      <c r="BL161" s="33"/>
      <c r="BM161" s="33"/>
      <c r="BN161" s="33"/>
      <c r="BO161" s="8"/>
      <c r="BP161" s="160"/>
      <c r="BQ161" s="136"/>
      <c r="BR161" s="20"/>
      <c r="BS161" s="20"/>
      <c r="BT161" s="8"/>
      <c r="BU161" s="8"/>
      <c r="BV161" s="8"/>
      <c r="BW161" s="160"/>
      <c r="BX161" s="136"/>
      <c r="BY161" s="20"/>
      <c r="BZ161" s="20"/>
      <c r="CA161" s="20"/>
      <c r="CB161" s="20"/>
      <c r="CC161" s="20"/>
      <c r="CD161" s="20"/>
      <c r="CE161" s="20"/>
      <c r="CF161" s="20"/>
      <c r="CG161" s="20"/>
      <c r="CH161" s="20"/>
      <c r="DA161" s="161"/>
      <c r="DB161" s="162"/>
      <c r="DC161" s="163"/>
      <c r="DD161" s="163"/>
      <c r="DE161" s="162"/>
      <c r="DF161" s="162"/>
      <c r="DG161" s="162"/>
      <c r="DH161" s="164"/>
      <c r="DI161" s="164"/>
      <c r="DJ161" s="164"/>
      <c r="DK161" s="165"/>
      <c r="DL161" s="165"/>
      <c r="DM161" s="166"/>
      <c r="DN161" s="161"/>
      <c r="DO161" s="161"/>
      <c r="DP161" s="161"/>
      <c r="DQ161" s="161"/>
      <c r="DR161" s="161"/>
      <c r="DS161" s="161"/>
      <c r="DT161" s="161"/>
      <c r="DU161" s="161"/>
      <c r="DV161" s="162"/>
      <c r="DW161" s="168"/>
      <c r="DX161" s="168"/>
      <c r="DY161" s="168"/>
      <c r="DZ161" s="168"/>
      <c r="EA161" s="168"/>
      <c r="EB161" s="168"/>
      <c r="EC161" s="168"/>
      <c r="ED161" s="169"/>
      <c r="EE161" s="169"/>
      <c r="EF161" s="165"/>
      <c r="EG161" s="170"/>
      <c r="EH161" s="174"/>
      <c r="EI161" s="174"/>
      <c r="EJ161" s="174"/>
      <c r="EK161" s="174"/>
      <c r="EL161" s="174"/>
      <c r="EM161" s="174"/>
      <c r="EN161" s="174"/>
      <c r="EO161" s="164"/>
      <c r="EP161" s="172"/>
      <c r="EQ161" s="171"/>
      <c r="ER161" s="161"/>
      <c r="ES161" s="161"/>
      <c r="ET161" s="164"/>
      <c r="EU161" s="164"/>
      <c r="EV161" s="164"/>
      <c r="EW161" s="172"/>
      <c r="EX161" s="171"/>
      <c r="EY161" s="161"/>
      <c r="EZ161" s="161"/>
      <c r="FA161" s="161"/>
      <c r="FB161" s="161"/>
      <c r="FC161" s="161"/>
      <c r="FD161" s="161"/>
      <c r="FE161" s="161"/>
      <c r="FF161" s="161"/>
      <c r="FG161" s="161"/>
      <c r="FH161" s="161"/>
    </row>
    <row r="162" spans="60:164">
      <c r="BH162" s="7"/>
      <c r="BI162" s="33"/>
      <c r="BJ162" s="33"/>
      <c r="BK162" s="33"/>
      <c r="BL162" s="33"/>
      <c r="BM162" s="33"/>
      <c r="BN162" s="33"/>
      <c r="BO162" s="8"/>
      <c r="BP162" s="160"/>
      <c r="BQ162" s="136"/>
      <c r="BR162" s="20"/>
      <c r="BS162" s="20"/>
      <c r="BT162" s="8"/>
      <c r="BU162" s="8"/>
      <c r="BV162" s="8"/>
      <c r="BW162" s="160"/>
      <c r="BX162" s="136"/>
      <c r="BY162" s="20"/>
      <c r="BZ162" s="20"/>
      <c r="CA162" s="20"/>
      <c r="CB162" s="20"/>
      <c r="CC162" s="20"/>
      <c r="CD162" s="20"/>
      <c r="CE162" s="20"/>
      <c r="CF162" s="20"/>
      <c r="CG162" s="20"/>
      <c r="CH162" s="20"/>
      <c r="DA162" s="161"/>
      <c r="DB162" s="162"/>
      <c r="DC162" s="163"/>
      <c r="DD162" s="163"/>
      <c r="DE162" s="162"/>
      <c r="DF162" s="162"/>
      <c r="DG162" s="162"/>
      <c r="DH162" s="164"/>
      <c r="DI162" s="164"/>
      <c r="DJ162" s="164"/>
      <c r="DK162" s="165"/>
      <c r="DL162" s="165"/>
      <c r="DM162" s="166"/>
      <c r="DN162" s="161"/>
      <c r="DO162" s="161"/>
      <c r="DP162" s="161"/>
      <c r="DQ162" s="161"/>
      <c r="DR162" s="161"/>
      <c r="DS162" s="161"/>
      <c r="DT162" s="161"/>
      <c r="DU162" s="161"/>
      <c r="DV162" s="162"/>
      <c r="DW162" s="168"/>
      <c r="DX162" s="168"/>
      <c r="DY162" s="168"/>
      <c r="DZ162" s="168"/>
      <c r="EA162" s="168"/>
      <c r="EB162" s="168"/>
      <c r="EC162" s="168"/>
      <c r="ED162" s="169"/>
      <c r="EE162" s="169"/>
      <c r="EF162" s="165"/>
      <c r="EG162" s="170"/>
      <c r="EH162" s="174"/>
      <c r="EI162" s="174"/>
      <c r="EJ162" s="174"/>
      <c r="EK162" s="174"/>
      <c r="EL162" s="174"/>
      <c r="EM162" s="174"/>
      <c r="EN162" s="174"/>
      <c r="EO162" s="164"/>
      <c r="EP162" s="172"/>
      <c r="EQ162" s="171"/>
      <c r="ER162" s="161"/>
      <c r="ES162" s="161"/>
      <c r="ET162" s="164"/>
      <c r="EU162" s="164"/>
      <c r="EV162" s="164"/>
      <c r="EW162" s="172"/>
      <c r="EX162" s="171"/>
      <c r="EY162" s="161"/>
      <c r="EZ162" s="161"/>
      <c r="FA162" s="161"/>
      <c r="FB162" s="161"/>
      <c r="FC162" s="161"/>
      <c r="FD162" s="161"/>
      <c r="FE162" s="161"/>
      <c r="FF162" s="161"/>
      <c r="FG162" s="161"/>
      <c r="FH162" s="161"/>
    </row>
    <row r="163" spans="60:164">
      <c r="BH163" s="7"/>
      <c r="BI163" s="33"/>
      <c r="BJ163" s="33"/>
      <c r="BK163" s="33"/>
      <c r="BL163" s="33"/>
      <c r="BM163" s="33"/>
      <c r="BN163" s="33"/>
      <c r="BO163" s="8"/>
      <c r="BP163" s="160"/>
      <c r="BQ163" s="136"/>
      <c r="BR163" s="20"/>
      <c r="BS163" s="20"/>
      <c r="BT163" s="8"/>
      <c r="BU163" s="8"/>
      <c r="BV163" s="8"/>
      <c r="BW163" s="160"/>
      <c r="BX163" s="136"/>
      <c r="BY163" s="20"/>
      <c r="BZ163" s="20"/>
      <c r="CA163" s="20"/>
      <c r="CB163" s="20"/>
      <c r="CC163" s="20"/>
      <c r="CD163" s="20"/>
      <c r="CE163" s="20"/>
      <c r="CF163" s="20"/>
      <c r="CG163" s="20"/>
      <c r="CH163" s="20"/>
      <c r="DA163" s="161"/>
      <c r="DB163" s="162"/>
      <c r="DC163" s="163"/>
      <c r="DD163" s="163"/>
      <c r="DE163" s="162"/>
      <c r="DF163" s="162"/>
      <c r="DG163" s="162"/>
      <c r="DH163" s="164"/>
      <c r="DI163" s="164"/>
      <c r="DJ163" s="164"/>
      <c r="DK163" s="165"/>
      <c r="DL163" s="165"/>
      <c r="DM163" s="166"/>
      <c r="DN163" s="161"/>
      <c r="DO163" s="161"/>
      <c r="DP163" s="161"/>
      <c r="DQ163" s="161"/>
      <c r="DR163" s="161"/>
      <c r="DS163" s="161"/>
      <c r="DT163" s="161"/>
      <c r="DU163" s="161"/>
      <c r="DV163" s="162"/>
      <c r="DW163" s="168"/>
      <c r="DX163" s="168"/>
      <c r="DY163" s="168"/>
      <c r="DZ163" s="168"/>
      <c r="EA163" s="168"/>
      <c r="EB163" s="168"/>
      <c r="EC163" s="168"/>
      <c r="ED163" s="169"/>
      <c r="EE163" s="169"/>
      <c r="EF163" s="165"/>
      <c r="EG163" s="170"/>
      <c r="EH163" s="174"/>
      <c r="EI163" s="174"/>
      <c r="EJ163" s="174"/>
      <c r="EK163" s="174"/>
      <c r="EL163" s="174"/>
      <c r="EM163" s="174"/>
      <c r="EN163" s="174"/>
      <c r="EO163" s="164"/>
      <c r="EP163" s="172"/>
      <c r="EQ163" s="171"/>
      <c r="ER163" s="161"/>
      <c r="ES163" s="161"/>
      <c r="ET163" s="164"/>
      <c r="EU163" s="164"/>
      <c r="EV163" s="164"/>
      <c r="EW163" s="172"/>
      <c r="EX163" s="171"/>
      <c r="EY163" s="161"/>
      <c r="EZ163" s="161"/>
      <c r="FA163" s="161"/>
      <c r="FB163" s="161"/>
      <c r="FC163" s="161"/>
      <c r="FD163" s="161"/>
      <c r="FE163" s="161"/>
      <c r="FF163" s="161"/>
      <c r="FG163" s="161"/>
      <c r="FH163" s="161"/>
    </row>
    <row r="164" spans="60:164">
      <c r="BH164" s="7"/>
      <c r="BI164" s="33"/>
      <c r="BJ164" s="33"/>
      <c r="BK164" s="33"/>
      <c r="BL164" s="33"/>
      <c r="BM164" s="33"/>
      <c r="BN164" s="33"/>
      <c r="BO164" s="8"/>
      <c r="BP164" s="160"/>
      <c r="BQ164" s="136"/>
      <c r="BR164" s="20"/>
      <c r="BS164" s="20"/>
      <c r="BT164" s="8"/>
      <c r="BU164" s="8"/>
      <c r="BV164" s="8"/>
      <c r="BW164" s="160"/>
      <c r="BX164" s="136"/>
      <c r="BY164" s="20"/>
      <c r="BZ164" s="20"/>
      <c r="CA164" s="20"/>
      <c r="CB164" s="20"/>
      <c r="CC164" s="20"/>
      <c r="CD164" s="20"/>
      <c r="CE164" s="20"/>
      <c r="CF164" s="20"/>
      <c r="CG164" s="20"/>
      <c r="CH164" s="20"/>
      <c r="DA164" s="161"/>
      <c r="DB164" s="162"/>
      <c r="DC164" s="163"/>
      <c r="DD164" s="163"/>
      <c r="DE164" s="162"/>
      <c r="DF164" s="162"/>
      <c r="DG164" s="162"/>
      <c r="DH164" s="164"/>
      <c r="DI164" s="164"/>
      <c r="DJ164" s="164"/>
      <c r="DK164" s="165"/>
      <c r="DL164" s="165"/>
      <c r="DM164" s="166"/>
      <c r="DN164" s="161"/>
      <c r="DO164" s="161"/>
      <c r="DP164" s="161"/>
      <c r="DQ164" s="161"/>
      <c r="DR164" s="161"/>
      <c r="DS164" s="161"/>
      <c r="DT164" s="161"/>
      <c r="DU164" s="161"/>
      <c r="DV164" s="162"/>
      <c r="DW164" s="168"/>
      <c r="DX164" s="168"/>
      <c r="DY164" s="168"/>
      <c r="DZ164" s="168"/>
      <c r="EA164" s="168"/>
      <c r="EB164" s="168"/>
      <c r="EC164" s="168"/>
      <c r="ED164" s="169"/>
      <c r="EE164" s="169"/>
      <c r="EF164" s="165"/>
      <c r="EG164" s="170"/>
      <c r="EH164" s="174"/>
      <c r="EI164" s="174"/>
      <c r="EJ164" s="174"/>
      <c r="EK164" s="174"/>
      <c r="EL164" s="174"/>
      <c r="EM164" s="174"/>
      <c r="EN164" s="174"/>
      <c r="EO164" s="164"/>
      <c r="EP164" s="172"/>
      <c r="EQ164" s="171"/>
      <c r="ER164" s="161"/>
      <c r="ES164" s="161"/>
      <c r="ET164" s="164"/>
      <c r="EU164" s="164"/>
      <c r="EV164" s="164"/>
      <c r="EW164" s="172"/>
      <c r="EX164" s="171"/>
      <c r="EY164" s="161"/>
      <c r="EZ164" s="161"/>
      <c r="FA164" s="161"/>
      <c r="FB164" s="161"/>
      <c r="FC164" s="161"/>
      <c r="FD164" s="161"/>
      <c r="FE164" s="161"/>
      <c r="FF164" s="161"/>
      <c r="FG164" s="161"/>
      <c r="FH164" s="161"/>
    </row>
    <row r="165" spans="60:164">
      <c r="BH165" s="7"/>
      <c r="BI165" s="33"/>
      <c r="BJ165" s="33"/>
      <c r="BK165" s="33"/>
      <c r="BL165" s="33"/>
      <c r="BM165" s="33"/>
      <c r="BN165" s="33"/>
      <c r="BO165" s="8"/>
      <c r="BP165" s="160"/>
      <c r="BQ165" s="136"/>
      <c r="BR165" s="20"/>
      <c r="BS165" s="20"/>
      <c r="BT165" s="8"/>
      <c r="BU165" s="8"/>
      <c r="BV165" s="8"/>
      <c r="BW165" s="160"/>
      <c r="BX165" s="136"/>
      <c r="BY165" s="20"/>
      <c r="BZ165" s="20"/>
      <c r="CA165" s="20"/>
      <c r="CB165" s="20"/>
      <c r="CC165" s="20"/>
      <c r="CD165" s="20"/>
      <c r="CE165" s="20"/>
      <c r="CF165" s="20"/>
      <c r="CG165" s="20"/>
      <c r="CH165" s="20"/>
      <c r="DA165" s="161"/>
      <c r="DB165" s="162"/>
      <c r="DC165" s="163"/>
      <c r="DD165" s="163"/>
      <c r="DE165" s="162"/>
      <c r="DF165" s="162"/>
      <c r="DG165" s="162"/>
      <c r="DH165" s="164"/>
      <c r="DI165" s="164"/>
      <c r="DJ165" s="164"/>
      <c r="DK165" s="165"/>
      <c r="DL165" s="165"/>
      <c r="DM165" s="166"/>
      <c r="DN165" s="161"/>
      <c r="DO165" s="161"/>
      <c r="DP165" s="161"/>
      <c r="DQ165" s="161"/>
      <c r="DR165" s="161"/>
      <c r="DS165" s="161"/>
      <c r="DT165" s="161"/>
      <c r="DU165" s="161"/>
      <c r="DV165" s="162"/>
      <c r="DW165" s="168"/>
      <c r="DX165" s="168"/>
      <c r="DY165" s="168"/>
      <c r="DZ165" s="168"/>
      <c r="EA165" s="168"/>
      <c r="EB165" s="168"/>
      <c r="EC165" s="168"/>
      <c r="ED165" s="169"/>
      <c r="EE165" s="169"/>
      <c r="EF165" s="165"/>
      <c r="EG165" s="170"/>
      <c r="EH165" s="174"/>
      <c r="EI165" s="174"/>
      <c r="EJ165" s="174"/>
      <c r="EK165" s="174"/>
      <c r="EL165" s="174"/>
      <c r="EM165" s="174"/>
      <c r="EN165" s="174"/>
      <c r="EO165" s="164"/>
      <c r="EP165" s="172"/>
      <c r="EQ165" s="171"/>
      <c r="ER165" s="161"/>
      <c r="ES165" s="161"/>
      <c r="ET165" s="164"/>
      <c r="EU165" s="164"/>
      <c r="EV165" s="164"/>
      <c r="EW165" s="172"/>
      <c r="EX165" s="171"/>
      <c r="EY165" s="161"/>
      <c r="EZ165" s="161"/>
      <c r="FA165" s="161"/>
      <c r="FB165" s="161"/>
      <c r="FC165" s="161"/>
      <c r="FD165" s="161"/>
      <c r="FE165" s="161"/>
      <c r="FF165" s="161"/>
      <c r="FG165" s="161"/>
      <c r="FH165" s="161"/>
    </row>
    <row r="166" spans="60:164">
      <c r="BH166" s="7"/>
      <c r="BI166" s="33"/>
      <c r="BJ166" s="33"/>
      <c r="BK166" s="33"/>
      <c r="BL166" s="33"/>
      <c r="BM166" s="33"/>
      <c r="BN166" s="33"/>
      <c r="BO166" s="8"/>
      <c r="BP166" s="160"/>
      <c r="BQ166" s="136"/>
      <c r="BR166" s="20"/>
      <c r="BS166" s="20"/>
      <c r="BT166" s="8"/>
      <c r="BU166" s="8"/>
      <c r="BV166" s="8"/>
      <c r="BW166" s="160"/>
      <c r="BX166" s="136"/>
      <c r="BY166" s="20"/>
      <c r="BZ166" s="20"/>
      <c r="CA166" s="20"/>
      <c r="CB166" s="20"/>
      <c r="CC166" s="20"/>
      <c r="CD166" s="20"/>
      <c r="CE166" s="20"/>
      <c r="CF166" s="20"/>
      <c r="CG166" s="20"/>
      <c r="CH166" s="20"/>
      <c r="DA166" s="161"/>
      <c r="DB166" s="162"/>
      <c r="DC166" s="163"/>
      <c r="DD166" s="163"/>
      <c r="DE166" s="162"/>
      <c r="DF166" s="162"/>
      <c r="DG166" s="162"/>
      <c r="DH166" s="164"/>
      <c r="DI166" s="164"/>
      <c r="DJ166" s="164"/>
      <c r="DK166" s="165"/>
      <c r="DL166" s="165"/>
      <c r="DM166" s="166"/>
      <c r="DN166" s="161"/>
      <c r="DO166" s="161"/>
      <c r="DP166" s="161"/>
      <c r="DQ166" s="161"/>
      <c r="DR166" s="161"/>
      <c r="DS166" s="161"/>
      <c r="DT166" s="161"/>
      <c r="DU166" s="161"/>
      <c r="DV166" s="162"/>
      <c r="DW166" s="168"/>
      <c r="DX166" s="168"/>
      <c r="DY166" s="168"/>
      <c r="DZ166" s="168"/>
      <c r="EA166" s="168"/>
      <c r="EB166" s="168"/>
      <c r="EC166" s="168"/>
      <c r="ED166" s="169"/>
      <c r="EE166" s="169"/>
      <c r="EF166" s="165"/>
      <c r="EG166" s="170"/>
      <c r="EH166" s="174"/>
      <c r="EI166" s="174"/>
      <c r="EJ166" s="174"/>
      <c r="EK166" s="174"/>
      <c r="EL166" s="174"/>
      <c r="EM166" s="174"/>
      <c r="EN166" s="174"/>
      <c r="EO166" s="164"/>
      <c r="EP166" s="172"/>
      <c r="EQ166" s="171"/>
      <c r="ER166" s="161"/>
      <c r="ES166" s="161"/>
      <c r="ET166" s="164"/>
      <c r="EU166" s="164"/>
      <c r="EV166" s="164"/>
      <c r="EW166" s="172"/>
      <c r="EX166" s="171"/>
      <c r="EY166" s="161"/>
      <c r="EZ166" s="161"/>
      <c r="FA166" s="161"/>
      <c r="FB166" s="161"/>
      <c r="FC166" s="161"/>
      <c r="FD166" s="161"/>
      <c r="FE166" s="161"/>
      <c r="FF166" s="161"/>
      <c r="FG166" s="161"/>
      <c r="FH166" s="161"/>
    </row>
    <row r="167" spans="60:164">
      <c r="BH167" s="7"/>
      <c r="BI167" s="33"/>
      <c r="BJ167" s="33"/>
      <c r="BK167" s="33"/>
      <c r="BL167" s="33"/>
      <c r="BM167" s="33"/>
      <c r="BN167" s="33"/>
      <c r="BO167" s="8"/>
      <c r="BP167" s="160"/>
      <c r="BQ167" s="136"/>
      <c r="BR167" s="20"/>
      <c r="BS167" s="20"/>
      <c r="BT167" s="8"/>
      <c r="BU167" s="8"/>
      <c r="BV167" s="8"/>
      <c r="BW167" s="160"/>
      <c r="BX167" s="136"/>
      <c r="BY167" s="20"/>
      <c r="BZ167" s="20"/>
      <c r="CA167" s="20"/>
      <c r="CB167" s="20"/>
      <c r="CC167" s="20"/>
      <c r="CD167" s="20"/>
      <c r="CE167" s="20"/>
      <c r="CF167" s="20"/>
      <c r="CG167" s="20"/>
      <c r="CH167" s="20"/>
      <c r="DA167" s="161"/>
      <c r="DB167" s="162"/>
      <c r="DC167" s="163"/>
      <c r="DD167" s="163"/>
      <c r="DE167" s="162"/>
      <c r="DF167" s="162"/>
      <c r="DG167" s="162"/>
      <c r="DH167" s="164"/>
      <c r="DI167" s="164"/>
      <c r="DJ167" s="164"/>
      <c r="DK167" s="165"/>
      <c r="DL167" s="165"/>
      <c r="DM167" s="166"/>
      <c r="DN167" s="161"/>
      <c r="DO167" s="161"/>
      <c r="DP167" s="161"/>
      <c r="DQ167" s="161"/>
      <c r="DR167" s="161"/>
      <c r="DS167" s="161"/>
      <c r="DT167" s="161"/>
      <c r="DU167" s="161"/>
      <c r="DV167" s="162"/>
      <c r="DW167" s="168"/>
      <c r="DX167" s="168"/>
      <c r="DY167" s="168"/>
      <c r="DZ167" s="168"/>
      <c r="EA167" s="168"/>
      <c r="EB167" s="168"/>
      <c r="EC167" s="168"/>
      <c r="ED167" s="169"/>
      <c r="EE167" s="169"/>
      <c r="EF167" s="165"/>
      <c r="EG167" s="170"/>
      <c r="EH167" s="174"/>
      <c r="EI167" s="174"/>
      <c r="EJ167" s="174"/>
      <c r="EK167" s="174"/>
      <c r="EL167" s="174"/>
      <c r="EM167" s="174"/>
      <c r="EN167" s="174"/>
      <c r="EO167" s="164"/>
      <c r="EP167" s="172"/>
      <c r="EQ167" s="171"/>
      <c r="ER167" s="161"/>
      <c r="ES167" s="161"/>
      <c r="ET167" s="164"/>
      <c r="EU167" s="164"/>
      <c r="EV167" s="164"/>
      <c r="EW167" s="172"/>
      <c r="EX167" s="171"/>
      <c r="EY167" s="161"/>
      <c r="EZ167" s="161"/>
      <c r="FA167" s="161"/>
      <c r="FB167" s="161"/>
      <c r="FC167" s="161"/>
      <c r="FD167" s="161"/>
      <c r="FE167" s="161"/>
      <c r="FF167" s="161"/>
      <c r="FG167" s="161"/>
      <c r="FH167" s="161"/>
    </row>
    <row r="168" spans="60:164">
      <c r="BH168" s="7"/>
      <c r="BI168" s="33"/>
      <c r="BJ168" s="33"/>
      <c r="BK168" s="33"/>
      <c r="BL168" s="33"/>
      <c r="BM168" s="33"/>
      <c r="BN168" s="33"/>
      <c r="BO168" s="8"/>
      <c r="BP168" s="160"/>
      <c r="BQ168" s="136"/>
      <c r="BR168" s="20"/>
      <c r="BS168" s="20"/>
      <c r="BT168" s="8"/>
      <c r="BU168" s="8"/>
      <c r="BV168" s="8"/>
      <c r="BW168" s="160"/>
      <c r="BX168" s="136"/>
      <c r="BY168" s="20"/>
      <c r="BZ168" s="20"/>
      <c r="CA168" s="20"/>
      <c r="CB168" s="20"/>
      <c r="CC168" s="20"/>
      <c r="CD168" s="20"/>
      <c r="CE168" s="20"/>
      <c r="CF168" s="20"/>
      <c r="CG168" s="20"/>
      <c r="CH168" s="20"/>
      <c r="DA168" s="161"/>
      <c r="DB168" s="162"/>
      <c r="DC168" s="163"/>
      <c r="DD168" s="163"/>
      <c r="DE168" s="162"/>
      <c r="DF168" s="162"/>
      <c r="DG168" s="162"/>
      <c r="DH168" s="164"/>
      <c r="DI168" s="164"/>
      <c r="DJ168" s="164"/>
      <c r="DK168" s="165"/>
      <c r="DL168" s="165"/>
      <c r="DM168" s="166"/>
      <c r="DN168" s="161"/>
      <c r="DO168" s="161"/>
      <c r="DP168" s="161"/>
      <c r="DQ168" s="161"/>
      <c r="DR168" s="161"/>
      <c r="DS168" s="161"/>
      <c r="DT168" s="161"/>
      <c r="DU168" s="161"/>
      <c r="DV168" s="162"/>
      <c r="DW168" s="168"/>
      <c r="DX168" s="168"/>
      <c r="DY168" s="168"/>
      <c r="DZ168" s="168"/>
      <c r="EA168" s="168"/>
      <c r="EB168" s="168"/>
      <c r="EC168" s="168"/>
      <c r="ED168" s="169"/>
      <c r="EE168" s="169"/>
      <c r="EF168" s="165"/>
      <c r="EG168" s="170"/>
      <c r="EH168" s="174"/>
      <c r="EI168" s="174"/>
      <c r="EJ168" s="174"/>
      <c r="EK168" s="174"/>
      <c r="EL168" s="174"/>
      <c r="EM168" s="174"/>
      <c r="EN168" s="174"/>
      <c r="EO168" s="164"/>
      <c r="EP168" s="172"/>
      <c r="EQ168" s="171"/>
      <c r="ER168" s="161"/>
      <c r="ES168" s="161"/>
      <c r="ET168" s="164"/>
      <c r="EU168" s="164"/>
      <c r="EV168" s="164"/>
      <c r="EW168" s="172"/>
      <c r="EX168" s="171"/>
      <c r="EY168" s="161"/>
      <c r="EZ168" s="161"/>
      <c r="FA168" s="161"/>
      <c r="FB168" s="161"/>
      <c r="FC168" s="161"/>
      <c r="FD168" s="161"/>
      <c r="FE168" s="161"/>
      <c r="FF168" s="161"/>
      <c r="FG168" s="161"/>
      <c r="FH168" s="161"/>
    </row>
    <row r="169" spans="60:164">
      <c r="BH169" s="7"/>
      <c r="BI169" s="33"/>
      <c r="BJ169" s="33"/>
      <c r="BK169" s="33"/>
      <c r="BL169" s="33"/>
      <c r="BM169" s="33"/>
      <c r="BN169" s="33"/>
      <c r="BO169" s="8"/>
      <c r="BP169" s="160"/>
      <c r="BQ169" s="136"/>
      <c r="BR169" s="20"/>
      <c r="BS169" s="20"/>
      <c r="BT169" s="8"/>
      <c r="BU169" s="8"/>
      <c r="BV169" s="8"/>
      <c r="BW169" s="160"/>
      <c r="BX169" s="136"/>
      <c r="BY169" s="20"/>
      <c r="BZ169" s="20"/>
      <c r="CA169" s="20"/>
      <c r="CB169" s="20"/>
      <c r="CC169" s="20"/>
      <c r="CD169" s="20"/>
      <c r="CE169" s="20"/>
      <c r="CF169" s="20"/>
      <c r="CG169" s="20"/>
      <c r="CH169" s="20"/>
      <c r="DA169" s="161"/>
      <c r="DB169" s="162"/>
      <c r="DC169" s="163"/>
      <c r="DD169" s="163"/>
      <c r="DE169" s="162"/>
      <c r="DF169" s="162"/>
      <c r="DG169" s="162"/>
      <c r="DH169" s="164"/>
      <c r="DI169" s="164"/>
      <c r="DJ169" s="164"/>
      <c r="DK169" s="165"/>
      <c r="DL169" s="165"/>
      <c r="DM169" s="166"/>
      <c r="DN169" s="161"/>
      <c r="DO169" s="161"/>
      <c r="DP169" s="161"/>
      <c r="DQ169" s="161"/>
      <c r="DR169" s="161"/>
      <c r="DS169" s="161"/>
      <c r="DT169" s="161"/>
      <c r="DU169" s="161"/>
      <c r="DV169" s="162"/>
      <c r="DW169" s="168"/>
      <c r="DX169" s="168"/>
      <c r="DY169" s="168"/>
      <c r="DZ169" s="168"/>
      <c r="EA169" s="168"/>
      <c r="EB169" s="168"/>
      <c r="EC169" s="168"/>
      <c r="ED169" s="169"/>
      <c r="EE169" s="169"/>
      <c r="EF169" s="165"/>
      <c r="EG169" s="170"/>
      <c r="EH169" s="174"/>
      <c r="EI169" s="174"/>
      <c r="EJ169" s="174"/>
      <c r="EK169" s="174"/>
      <c r="EL169" s="174"/>
      <c r="EM169" s="174"/>
      <c r="EN169" s="174"/>
      <c r="EO169" s="164"/>
      <c r="EP169" s="172"/>
      <c r="EQ169" s="171"/>
      <c r="ER169" s="161"/>
      <c r="ES169" s="161"/>
      <c r="ET169" s="164"/>
      <c r="EU169" s="164"/>
      <c r="EV169" s="164"/>
      <c r="EW169" s="172"/>
      <c r="EX169" s="171"/>
      <c r="EY169" s="161"/>
      <c r="EZ169" s="161"/>
      <c r="FA169" s="161"/>
      <c r="FB169" s="161"/>
      <c r="FC169" s="161"/>
      <c r="FD169" s="161"/>
      <c r="FE169" s="161"/>
      <c r="FF169" s="161"/>
      <c r="FG169" s="161"/>
      <c r="FH169" s="161"/>
    </row>
    <row r="170" spans="60:164">
      <c r="BH170" s="7"/>
      <c r="BI170" s="33"/>
      <c r="BJ170" s="33"/>
      <c r="BK170" s="33"/>
      <c r="BL170" s="33"/>
      <c r="BM170" s="33"/>
      <c r="BN170" s="33"/>
      <c r="BO170" s="8"/>
      <c r="BP170" s="160"/>
      <c r="BQ170" s="136"/>
      <c r="BR170" s="20"/>
      <c r="BS170" s="20"/>
      <c r="BT170" s="8"/>
      <c r="BU170" s="8"/>
      <c r="BV170" s="8"/>
      <c r="BW170" s="160"/>
      <c r="BX170" s="136"/>
      <c r="BY170" s="20"/>
      <c r="BZ170" s="20"/>
      <c r="CA170" s="20"/>
      <c r="CB170" s="20"/>
      <c r="CC170" s="20"/>
      <c r="CD170" s="20"/>
      <c r="CE170" s="20"/>
      <c r="CF170" s="20"/>
      <c r="CG170" s="20"/>
      <c r="CH170" s="20"/>
      <c r="DA170" s="161"/>
      <c r="DB170" s="162"/>
      <c r="DC170" s="163"/>
      <c r="DD170" s="163"/>
      <c r="DE170" s="162"/>
      <c r="DF170" s="162"/>
      <c r="DG170" s="162"/>
      <c r="DH170" s="164"/>
      <c r="DI170" s="164"/>
      <c r="DJ170" s="164"/>
      <c r="DK170" s="165"/>
      <c r="DL170" s="165"/>
      <c r="DM170" s="166"/>
      <c r="DN170" s="161"/>
      <c r="DO170" s="161"/>
      <c r="DP170" s="161"/>
      <c r="DQ170" s="161"/>
      <c r="DR170" s="161"/>
      <c r="DS170" s="161"/>
      <c r="DT170" s="161"/>
      <c r="DU170" s="161"/>
      <c r="DV170" s="162"/>
      <c r="DW170" s="168"/>
      <c r="DX170" s="168"/>
      <c r="DY170" s="168"/>
      <c r="DZ170" s="168"/>
      <c r="EA170" s="168"/>
      <c r="EB170" s="168"/>
      <c r="EC170" s="168"/>
      <c r="ED170" s="169"/>
      <c r="EE170" s="169"/>
      <c r="EF170" s="165"/>
      <c r="EG170" s="170"/>
      <c r="EH170" s="174"/>
      <c r="EI170" s="174"/>
      <c r="EJ170" s="174"/>
      <c r="EK170" s="174"/>
      <c r="EL170" s="174"/>
      <c r="EM170" s="174"/>
      <c r="EN170" s="174"/>
      <c r="EO170" s="164"/>
      <c r="EP170" s="172"/>
      <c r="EQ170" s="171"/>
      <c r="ER170" s="161"/>
      <c r="ES170" s="161"/>
      <c r="ET170" s="164"/>
      <c r="EU170" s="164"/>
      <c r="EV170" s="164"/>
      <c r="EW170" s="172"/>
      <c r="EX170" s="171"/>
      <c r="EY170" s="161"/>
      <c r="EZ170" s="161"/>
      <c r="FA170" s="161"/>
      <c r="FB170" s="161"/>
      <c r="FC170" s="161"/>
      <c r="FD170" s="161"/>
      <c r="FE170" s="161"/>
      <c r="FF170" s="161"/>
      <c r="FG170" s="161"/>
      <c r="FH170" s="161"/>
    </row>
    <row r="171" spans="60:164">
      <c r="BH171" s="7"/>
      <c r="BI171" s="33"/>
      <c r="BJ171" s="33"/>
      <c r="BK171" s="33"/>
      <c r="BL171" s="33"/>
      <c r="BM171" s="33"/>
      <c r="BN171" s="33"/>
      <c r="BO171" s="8"/>
      <c r="BP171" s="160"/>
      <c r="BQ171" s="136"/>
      <c r="BR171" s="20"/>
      <c r="BS171" s="20"/>
      <c r="BT171" s="8"/>
      <c r="BU171" s="8"/>
      <c r="BV171" s="8"/>
      <c r="BW171" s="160"/>
      <c r="BX171" s="136"/>
      <c r="BY171" s="20"/>
      <c r="BZ171" s="20"/>
      <c r="CA171" s="20"/>
      <c r="CB171" s="20"/>
      <c r="CC171" s="20"/>
      <c r="CD171" s="20"/>
      <c r="CE171" s="20"/>
      <c r="CF171" s="20"/>
      <c r="CG171" s="20"/>
      <c r="CH171" s="20"/>
      <c r="DA171" s="161"/>
      <c r="DB171" s="162"/>
      <c r="DC171" s="163"/>
      <c r="DD171" s="163"/>
      <c r="DE171" s="162"/>
      <c r="DF171" s="162"/>
      <c r="DG171" s="162"/>
      <c r="DH171" s="164"/>
      <c r="DI171" s="164"/>
      <c r="DJ171" s="164"/>
      <c r="DK171" s="165"/>
      <c r="DL171" s="165"/>
      <c r="DM171" s="166"/>
      <c r="DN171" s="161"/>
      <c r="DO171" s="161"/>
      <c r="DP171" s="161"/>
      <c r="DQ171" s="161"/>
      <c r="DR171" s="161"/>
      <c r="DS171" s="161"/>
      <c r="DT171" s="161"/>
      <c r="DU171" s="161"/>
      <c r="DV171" s="162"/>
      <c r="DW171" s="168"/>
      <c r="DX171" s="168"/>
      <c r="DY171" s="168"/>
      <c r="DZ171" s="168"/>
      <c r="EA171" s="168"/>
      <c r="EB171" s="168"/>
      <c r="EC171" s="168"/>
      <c r="ED171" s="169"/>
      <c r="EE171" s="169"/>
      <c r="EF171" s="165"/>
      <c r="EG171" s="170"/>
      <c r="EH171" s="174"/>
      <c r="EI171" s="174"/>
      <c r="EJ171" s="174"/>
      <c r="EK171" s="174"/>
      <c r="EL171" s="174"/>
      <c r="EM171" s="174"/>
      <c r="EN171" s="174"/>
      <c r="EO171" s="164"/>
      <c r="EP171" s="172"/>
      <c r="EQ171" s="171"/>
      <c r="ER171" s="161"/>
      <c r="ES171" s="161"/>
      <c r="ET171" s="164"/>
      <c r="EU171" s="164"/>
      <c r="EV171" s="164"/>
      <c r="EW171" s="172"/>
      <c r="EX171" s="171"/>
      <c r="EY171" s="161"/>
      <c r="EZ171" s="161"/>
      <c r="FA171" s="161"/>
      <c r="FB171" s="161"/>
      <c r="FC171" s="161"/>
      <c r="FD171" s="161"/>
      <c r="FE171" s="161"/>
      <c r="FF171" s="161"/>
      <c r="FG171" s="161"/>
      <c r="FH171" s="161"/>
    </row>
    <row r="172" spans="60:164">
      <c r="BH172" s="7"/>
      <c r="BI172" s="33"/>
      <c r="BJ172" s="33"/>
      <c r="BK172" s="33"/>
      <c r="BL172" s="33"/>
      <c r="BM172" s="33"/>
      <c r="BN172" s="33"/>
      <c r="BO172" s="8"/>
      <c r="BP172" s="160"/>
      <c r="BQ172" s="136"/>
      <c r="BR172" s="20"/>
      <c r="BS172" s="20"/>
      <c r="BT172" s="8"/>
      <c r="BU172" s="8"/>
      <c r="BV172" s="8"/>
      <c r="BW172" s="160"/>
      <c r="BX172" s="136"/>
      <c r="BY172" s="20"/>
      <c r="BZ172" s="20"/>
      <c r="CA172" s="20"/>
      <c r="CB172" s="20"/>
      <c r="CC172" s="20"/>
      <c r="CD172" s="20"/>
      <c r="CE172" s="20"/>
      <c r="CF172" s="20"/>
      <c r="CG172" s="20"/>
      <c r="CH172" s="20"/>
      <c r="DA172" s="161"/>
      <c r="DB172" s="162"/>
      <c r="DC172" s="163"/>
      <c r="DD172" s="163"/>
      <c r="DE172" s="162"/>
      <c r="DF172" s="162"/>
      <c r="DG172" s="162"/>
      <c r="DH172" s="164"/>
      <c r="DI172" s="164"/>
      <c r="DJ172" s="164"/>
      <c r="DK172" s="165"/>
      <c r="DL172" s="165"/>
      <c r="DM172" s="166"/>
      <c r="DN172" s="161"/>
      <c r="DO172" s="161"/>
      <c r="DP172" s="161"/>
      <c r="DQ172" s="161"/>
      <c r="DR172" s="161"/>
      <c r="DS172" s="161"/>
      <c r="DT172" s="161"/>
      <c r="DU172" s="161"/>
      <c r="DV172" s="162"/>
      <c r="DW172" s="168"/>
      <c r="DX172" s="168"/>
      <c r="DY172" s="168"/>
      <c r="DZ172" s="168"/>
      <c r="EA172" s="168"/>
      <c r="EB172" s="168"/>
      <c r="EC172" s="168"/>
      <c r="ED172" s="169"/>
      <c r="EE172" s="169"/>
      <c r="EF172" s="165"/>
      <c r="EG172" s="170"/>
      <c r="EH172" s="174"/>
      <c r="EI172" s="174"/>
      <c r="EJ172" s="174"/>
      <c r="EK172" s="174"/>
      <c r="EL172" s="174"/>
      <c r="EM172" s="174"/>
      <c r="EN172" s="174"/>
      <c r="EO172" s="164"/>
      <c r="EP172" s="172"/>
      <c r="EQ172" s="171"/>
      <c r="ER172" s="161"/>
      <c r="ES172" s="161"/>
      <c r="ET172" s="164"/>
      <c r="EU172" s="164"/>
      <c r="EV172" s="164"/>
      <c r="EW172" s="172"/>
      <c r="EX172" s="171"/>
      <c r="EY172" s="161"/>
      <c r="EZ172" s="161"/>
      <c r="FA172" s="161"/>
      <c r="FB172" s="161"/>
      <c r="FC172" s="161"/>
      <c r="FD172" s="161"/>
      <c r="FE172" s="161"/>
      <c r="FF172" s="161"/>
      <c r="FG172" s="161"/>
      <c r="FH172" s="161"/>
    </row>
    <row r="173" spans="60:164">
      <c r="BH173" s="7"/>
      <c r="BI173" s="33"/>
      <c r="BJ173" s="33"/>
      <c r="BK173" s="33"/>
      <c r="BL173" s="33"/>
      <c r="BM173" s="33"/>
      <c r="BN173" s="33"/>
      <c r="BO173" s="8"/>
      <c r="BP173" s="160"/>
      <c r="BQ173" s="136"/>
      <c r="BR173" s="20"/>
      <c r="BS173" s="20"/>
      <c r="BT173" s="8"/>
      <c r="BU173" s="8"/>
      <c r="BV173" s="8"/>
      <c r="BW173" s="160"/>
      <c r="BX173" s="136"/>
      <c r="BY173" s="20"/>
      <c r="BZ173" s="20"/>
      <c r="CA173" s="20"/>
      <c r="CB173" s="20"/>
      <c r="CC173" s="20"/>
      <c r="CD173" s="20"/>
      <c r="CE173" s="20"/>
      <c r="CF173" s="20"/>
      <c r="CG173" s="20"/>
      <c r="CH173" s="20"/>
      <c r="DA173" s="161"/>
      <c r="DB173" s="162"/>
      <c r="DC173" s="163"/>
      <c r="DD173" s="163"/>
      <c r="DE173" s="162"/>
      <c r="DF173" s="162"/>
      <c r="DG173" s="162"/>
      <c r="DH173" s="164"/>
      <c r="DI173" s="164"/>
      <c r="DJ173" s="164"/>
      <c r="DK173" s="165"/>
      <c r="DL173" s="165"/>
      <c r="DM173" s="166"/>
      <c r="DN173" s="161"/>
      <c r="DO173" s="161"/>
      <c r="DP173" s="161"/>
      <c r="DQ173" s="161"/>
      <c r="DR173" s="161"/>
      <c r="DS173" s="161"/>
      <c r="DT173" s="161"/>
      <c r="DU173" s="161"/>
      <c r="DV173" s="162"/>
      <c r="DW173" s="168"/>
      <c r="DX173" s="168"/>
      <c r="DY173" s="168"/>
      <c r="DZ173" s="168"/>
      <c r="EA173" s="168"/>
      <c r="EB173" s="168"/>
      <c r="EC173" s="168"/>
      <c r="ED173" s="169"/>
      <c r="EE173" s="169"/>
      <c r="EF173" s="165"/>
      <c r="EG173" s="170"/>
      <c r="EH173" s="174"/>
      <c r="EI173" s="174"/>
      <c r="EJ173" s="174"/>
      <c r="EK173" s="174"/>
      <c r="EL173" s="174"/>
      <c r="EM173" s="174"/>
      <c r="EN173" s="174"/>
      <c r="EO173" s="164"/>
      <c r="EP173" s="172"/>
      <c r="EQ173" s="171"/>
      <c r="ER173" s="161"/>
      <c r="ES173" s="161"/>
      <c r="ET173" s="164"/>
      <c r="EU173" s="164"/>
      <c r="EV173" s="164"/>
      <c r="EW173" s="172"/>
      <c r="EX173" s="171"/>
      <c r="EY173" s="161"/>
      <c r="EZ173" s="161"/>
      <c r="FA173" s="161"/>
      <c r="FB173" s="161"/>
      <c r="FC173" s="161"/>
      <c r="FD173" s="161"/>
      <c r="FE173" s="161"/>
      <c r="FF173" s="161"/>
      <c r="FG173" s="161"/>
      <c r="FH173" s="161"/>
    </row>
    <row r="174" spans="60:164">
      <c r="BH174" s="7"/>
      <c r="BI174" s="33"/>
      <c r="BJ174" s="33"/>
      <c r="BK174" s="33"/>
      <c r="BL174" s="33"/>
      <c r="BM174" s="33"/>
      <c r="BN174" s="33"/>
      <c r="BO174" s="8"/>
      <c r="BP174" s="160"/>
      <c r="BQ174" s="136"/>
      <c r="BR174" s="20"/>
      <c r="BS174" s="20"/>
      <c r="BT174" s="8"/>
      <c r="BU174" s="8"/>
      <c r="BV174" s="8"/>
      <c r="BW174" s="160"/>
      <c r="BX174" s="136"/>
      <c r="BY174" s="20"/>
      <c r="BZ174" s="20"/>
      <c r="CA174" s="20"/>
      <c r="CB174" s="20"/>
      <c r="CC174" s="20"/>
      <c r="CD174" s="20"/>
      <c r="CE174" s="20"/>
      <c r="CF174" s="20"/>
      <c r="CG174" s="20"/>
      <c r="CH174" s="20"/>
      <c r="DA174" s="161"/>
      <c r="DB174" s="162"/>
      <c r="DC174" s="163"/>
      <c r="DD174" s="163"/>
      <c r="DE174" s="162"/>
      <c r="DF174" s="162"/>
      <c r="DG174" s="162"/>
      <c r="DH174" s="164"/>
      <c r="DI174" s="164"/>
      <c r="DJ174" s="164"/>
      <c r="DK174" s="165"/>
      <c r="DL174" s="165"/>
      <c r="DM174" s="166"/>
      <c r="DN174" s="161"/>
      <c r="DO174" s="161"/>
      <c r="DP174" s="161"/>
      <c r="DQ174" s="161"/>
      <c r="DR174" s="161"/>
      <c r="DS174" s="161"/>
      <c r="DT174" s="161"/>
      <c r="DU174" s="161"/>
      <c r="DV174" s="162"/>
      <c r="DW174" s="168"/>
      <c r="DX174" s="168"/>
      <c r="DY174" s="168"/>
      <c r="DZ174" s="168"/>
      <c r="EA174" s="168"/>
      <c r="EB174" s="168"/>
      <c r="EC174" s="168"/>
      <c r="ED174" s="169"/>
      <c r="EE174" s="169"/>
      <c r="EF174" s="165"/>
      <c r="EG174" s="170"/>
      <c r="EH174" s="174"/>
      <c r="EI174" s="174"/>
      <c r="EJ174" s="174"/>
      <c r="EK174" s="174"/>
      <c r="EL174" s="174"/>
      <c r="EM174" s="174"/>
      <c r="EN174" s="174"/>
      <c r="EO174" s="164"/>
      <c r="EP174" s="172"/>
      <c r="EQ174" s="171"/>
      <c r="ER174" s="161"/>
      <c r="ES174" s="161"/>
      <c r="ET174" s="164"/>
      <c r="EU174" s="164"/>
      <c r="EV174" s="164"/>
      <c r="EW174" s="172"/>
      <c r="EX174" s="171"/>
      <c r="EY174" s="161"/>
      <c r="EZ174" s="161"/>
      <c r="FA174" s="161"/>
      <c r="FB174" s="161"/>
      <c r="FC174" s="161"/>
      <c r="FD174" s="161"/>
      <c r="FE174" s="161"/>
      <c r="FF174" s="161"/>
      <c r="FG174" s="161"/>
      <c r="FH174" s="161"/>
    </row>
    <row r="175" spans="60:164">
      <c r="BH175" s="7"/>
      <c r="BI175" s="33"/>
      <c r="BJ175" s="33"/>
      <c r="BK175" s="33"/>
      <c r="BL175" s="33"/>
      <c r="BM175" s="33"/>
      <c r="BN175" s="33"/>
      <c r="BO175" s="8"/>
      <c r="BP175" s="160"/>
      <c r="BQ175" s="136"/>
      <c r="BR175" s="20"/>
      <c r="BS175" s="20"/>
      <c r="BT175" s="8"/>
      <c r="BU175" s="8"/>
      <c r="BV175" s="8"/>
      <c r="BW175" s="160"/>
      <c r="BX175" s="136"/>
      <c r="BY175" s="20"/>
      <c r="BZ175" s="20"/>
      <c r="CA175" s="20"/>
      <c r="CB175" s="20"/>
      <c r="CC175" s="20"/>
      <c r="CD175" s="20"/>
      <c r="CE175" s="20"/>
      <c r="CF175" s="20"/>
      <c r="CG175" s="20"/>
      <c r="CH175" s="20"/>
      <c r="DA175" s="161"/>
      <c r="DB175" s="162"/>
      <c r="DC175" s="163"/>
      <c r="DD175" s="163"/>
      <c r="DE175" s="162"/>
      <c r="DF175" s="162"/>
      <c r="DG175" s="162"/>
      <c r="DH175" s="164"/>
      <c r="DI175" s="164"/>
      <c r="DJ175" s="164"/>
      <c r="DK175" s="165"/>
      <c r="DL175" s="165"/>
      <c r="DM175" s="166"/>
      <c r="DN175" s="161"/>
      <c r="DO175" s="161"/>
      <c r="DP175" s="161"/>
      <c r="DQ175" s="161"/>
      <c r="DR175" s="161"/>
      <c r="DS175" s="161"/>
      <c r="DT175" s="161"/>
      <c r="DU175" s="161"/>
      <c r="DV175" s="162"/>
      <c r="DW175" s="168"/>
      <c r="DX175" s="168"/>
      <c r="DY175" s="168"/>
      <c r="DZ175" s="168"/>
      <c r="EA175" s="168"/>
      <c r="EB175" s="168"/>
      <c r="EC175" s="168"/>
      <c r="ED175" s="169"/>
      <c r="EE175" s="169"/>
      <c r="EF175" s="165"/>
      <c r="EG175" s="170"/>
      <c r="EH175" s="174"/>
      <c r="EI175" s="174"/>
      <c r="EJ175" s="174"/>
      <c r="EK175" s="174"/>
      <c r="EL175" s="174"/>
      <c r="EM175" s="174"/>
      <c r="EN175" s="174"/>
      <c r="EO175" s="164"/>
      <c r="EP175" s="172"/>
      <c r="EQ175" s="171"/>
      <c r="ER175" s="161"/>
      <c r="ES175" s="161"/>
      <c r="ET175" s="164"/>
      <c r="EU175" s="164"/>
      <c r="EV175" s="164"/>
      <c r="EW175" s="172"/>
      <c r="EX175" s="171"/>
      <c r="EY175" s="161"/>
      <c r="EZ175" s="161"/>
      <c r="FA175" s="161"/>
      <c r="FB175" s="161"/>
      <c r="FC175" s="161"/>
      <c r="FD175" s="161"/>
      <c r="FE175" s="161"/>
      <c r="FF175" s="161"/>
      <c r="FG175" s="161"/>
      <c r="FH175" s="161"/>
    </row>
    <row r="176" spans="60:164">
      <c r="BH176" s="7"/>
      <c r="BI176" s="33"/>
      <c r="BJ176" s="33"/>
      <c r="BK176" s="33"/>
      <c r="BL176" s="33"/>
      <c r="BM176" s="33"/>
      <c r="BN176" s="33"/>
      <c r="BO176" s="8"/>
      <c r="BP176" s="160"/>
      <c r="BQ176" s="136"/>
      <c r="BR176" s="20"/>
      <c r="BS176" s="20"/>
      <c r="BT176" s="8"/>
      <c r="BU176" s="8"/>
      <c r="BV176" s="8"/>
      <c r="BW176" s="160"/>
      <c r="BX176" s="136"/>
      <c r="BY176" s="20"/>
      <c r="BZ176" s="20"/>
      <c r="CA176" s="20"/>
      <c r="CB176" s="20"/>
      <c r="CC176" s="20"/>
      <c r="CD176" s="20"/>
      <c r="CE176" s="20"/>
      <c r="CF176" s="20"/>
      <c r="CG176" s="20"/>
      <c r="CH176" s="20"/>
      <c r="DA176" s="161"/>
      <c r="DB176" s="162"/>
      <c r="DC176" s="163"/>
      <c r="DD176" s="163"/>
      <c r="DE176" s="162"/>
      <c r="DF176" s="162"/>
      <c r="DG176" s="162"/>
      <c r="DH176" s="164"/>
      <c r="DI176" s="164"/>
      <c r="DJ176" s="164"/>
      <c r="DK176" s="165"/>
      <c r="DL176" s="165"/>
      <c r="DM176" s="166"/>
      <c r="DN176" s="161"/>
      <c r="DO176" s="161"/>
      <c r="DP176" s="161"/>
      <c r="DQ176" s="161"/>
      <c r="DR176" s="161"/>
      <c r="DS176" s="161"/>
      <c r="DT176" s="161"/>
      <c r="DU176" s="161"/>
      <c r="DV176" s="162"/>
      <c r="DW176" s="168"/>
      <c r="DX176" s="168"/>
      <c r="DY176" s="168"/>
      <c r="DZ176" s="168"/>
      <c r="EA176" s="168"/>
      <c r="EB176" s="168"/>
      <c r="EC176" s="168"/>
      <c r="ED176" s="169"/>
      <c r="EE176" s="169"/>
      <c r="EF176" s="165"/>
      <c r="EG176" s="170"/>
      <c r="EH176" s="174"/>
      <c r="EI176" s="174"/>
      <c r="EJ176" s="174"/>
      <c r="EK176" s="174"/>
      <c r="EL176" s="174"/>
      <c r="EM176" s="174"/>
      <c r="EN176" s="174"/>
      <c r="EO176" s="164"/>
      <c r="EP176" s="172"/>
      <c r="EQ176" s="171"/>
      <c r="ER176" s="161"/>
      <c r="ES176" s="161"/>
      <c r="ET176" s="164"/>
      <c r="EU176" s="164"/>
      <c r="EV176" s="164"/>
      <c r="EW176" s="172"/>
      <c r="EX176" s="171"/>
      <c r="EY176" s="161"/>
      <c r="EZ176" s="161"/>
      <c r="FA176" s="161"/>
      <c r="FB176" s="161"/>
      <c r="FC176" s="161"/>
      <c r="FD176" s="161"/>
      <c r="FE176" s="161"/>
      <c r="FF176" s="161"/>
      <c r="FG176" s="161"/>
      <c r="FH176" s="161"/>
    </row>
    <row r="177" spans="60:164">
      <c r="BH177" s="7"/>
      <c r="BI177" s="33"/>
      <c r="BJ177" s="33"/>
      <c r="BK177" s="33"/>
      <c r="BL177" s="33"/>
      <c r="BM177" s="33"/>
      <c r="BN177" s="33"/>
      <c r="BO177" s="8"/>
      <c r="BP177" s="160"/>
      <c r="BQ177" s="136"/>
      <c r="BR177" s="20"/>
      <c r="BS177" s="20"/>
      <c r="BT177" s="8"/>
      <c r="BU177" s="8"/>
      <c r="BV177" s="8"/>
      <c r="BW177" s="160"/>
      <c r="BX177" s="136"/>
      <c r="BY177" s="20"/>
      <c r="BZ177" s="20"/>
      <c r="CA177" s="20"/>
      <c r="CB177" s="20"/>
      <c r="CC177" s="20"/>
      <c r="CD177" s="20"/>
      <c r="CE177" s="20"/>
      <c r="CF177" s="20"/>
      <c r="CG177" s="20"/>
      <c r="CH177" s="20"/>
      <c r="DA177" s="161"/>
      <c r="DB177" s="162"/>
      <c r="DC177" s="163"/>
      <c r="DD177" s="163"/>
      <c r="DE177" s="162"/>
      <c r="DF177" s="162"/>
      <c r="DG177" s="162"/>
      <c r="DH177" s="164"/>
      <c r="DI177" s="164"/>
      <c r="DJ177" s="164"/>
      <c r="DK177" s="165"/>
      <c r="DL177" s="165"/>
      <c r="DM177" s="166"/>
      <c r="DN177" s="161"/>
      <c r="DO177" s="161"/>
      <c r="DP177" s="161"/>
      <c r="DQ177" s="161"/>
      <c r="DR177" s="161"/>
      <c r="DS177" s="161"/>
      <c r="DT177" s="161"/>
      <c r="DU177" s="161"/>
      <c r="DV177" s="162"/>
      <c r="DW177" s="168"/>
      <c r="DX177" s="168"/>
      <c r="DY177" s="168"/>
      <c r="DZ177" s="168"/>
      <c r="EA177" s="168"/>
      <c r="EB177" s="168"/>
      <c r="EC177" s="168"/>
      <c r="ED177" s="169"/>
      <c r="EE177" s="169"/>
      <c r="EF177" s="165"/>
      <c r="EG177" s="170"/>
      <c r="EH177" s="174"/>
      <c r="EI177" s="174"/>
      <c r="EJ177" s="174"/>
      <c r="EK177" s="174"/>
      <c r="EL177" s="174"/>
      <c r="EM177" s="174"/>
      <c r="EN177" s="174"/>
      <c r="EO177" s="164"/>
      <c r="EP177" s="172"/>
      <c r="EQ177" s="171"/>
      <c r="ER177" s="161"/>
      <c r="ES177" s="161"/>
      <c r="ET177" s="164"/>
      <c r="EU177" s="164"/>
      <c r="EV177" s="164"/>
      <c r="EW177" s="172"/>
      <c r="EX177" s="171"/>
      <c r="EY177" s="161"/>
      <c r="EZ177" s="161"/>
      <c r="FA177" s="161"/>
      <c r="FB177" s="161"/>
      <c r="FC177" s="161"/>
      <c r="FD177" s="161"/>
      <c r="FE177" s="161"/>
      <c r="FF177" s="161"/>
      <c r="FG177" s="161"/>
      <c r="FH177" s="161"/>
    </row>
    <row r="178" spans="60:164">
      <c r="BH178" s="7"/>
      <c r="BI178" s="33"/>
      <c r="BJ178" s="33"/>
      <c r="BK178" s="33"/>
      <c r="BL178" s="33"/>
      <c r="BM178" s="33"/>
      <c r="BN178" s="33"/>
      <c r="BO178" s="8"/>
      <c r="BP178" s="160"/>
      <c r="BQ178" s="136"/>
      <c r="BR178" s="20"/>
      <c r="BS178" s="20"/>
      <c r="BT178" s="8"/>
      <c r="BU178" s="8"/>
      <c r="BV178" s="8"/>
      <c r="BW178" s="160"/>
      <c r="BX178" s="136"/>
      <c r="BY178" s="20"/>
      <c r="BZ178" s="20"/>
      <c r="CA178" s="20"/>
      <c r="CB178" s="20"/>
      <c r="CC178" s="20"/>
      <c r="CD178" s="20"/>
      <c r="CE178" s="20"/>
      <c r="CF178" s="20"/>
      <c r="CG178" s="20"/>
      <c r="CH178" s="20"/>
      <c r="DA178" s="161"/>
      <c r="DB178" s="162"/>
      <c r="DC178" s="163"/>
      <c r="DD178" s="163"/>
      <c r="DE178" s="162"/>
      <c r="DF178" s="162"/>
      <c r="DG178" s="162"/>
      <c r="DH178" s="164"/>
      <c r="DI178" s="164"/>
      <c r="DJ178" s="164"/>
      <c r="DK178" s="165"/>
      <c r="DL178" s="165"/>
      <c r="DM178" s="166"/>
      <c r="DN178" s="161"/>
      <c r="DO178" s="161"/>
      <c r="DP178" s="161"/>
      <c r="DQ178" s="161"/>
      <c r="DR178" s="161"/>
      <c r="DS178" s="161"/>
      <c r="DT178" s="161"/>
      <c r="DU178" s="161"/>
      <c r="DV178" s="162"/>
      <c r="DW178" s="168"/>
      <c r="DX178" s="168"/>
      <c r="DY178" s="168"/>
      <c r="DZ178" s="168"/>
      <c r="EA178" s="168"/>
      <c r="EB178" s="168"/>
      <c r="EC178" s="168"/>
      <c r="ED178" s="169"/>
      <c r="EE178" s="169"/>
      <c r="EF178" s="165"/>
      <c r="EG178" s="170"/>
      <c r="EH178" s="174"/>
      <c r="EI178" s="174"/>
      <c r="EJ178" s="174"/>
      <c r="EK178" s="174"/>
      <c r="EL178" s="174"/>
      <c r="EM178" s="174"/>
      <c r="EN178" s="174"/>
      <c r="EO178" s="164"/>
      <c r="EP178" s="172"/>
      <c r="EQ178" s="171"/>
      <c r="ER178" s="161"/>
      <c r="ES178" s="161"/>
      <c r="ET178" s="164"/>
      <c r="EU178" s="164"/>
      <c r="EV178" s="164"/>
      <c r="EW178" s="172"/>
      <c r="EX178" s="171"/>
      <c r="EY178" s="161"/>
      <c r="EZ178" s="161"/>
      <c r="FA178" s="161"/>
      <c r="FB178" s="161"/>
      <c r="FC178" s="161"/>
      <c r="FD178" s="161"/>
      <c r="FE178" s="161"/>
      <c r="FF178" s="161"/>
      <c r="FG178" s="161"/>
      <c r="FH178" s="161"/>
    </row>
    <row r="179" spans="60:164">
      <c r="BH179" s="7"/>
      <c r="BI179" s="33"/>
      <c r="BJ179" s="33"/>
      <c r="BK179" s="33"/>
      <c r="BL179" s="33"/>
      <c r="BM179" s="33"/>
      <c r="BN179" s="33"/>
      <c r="BO179" s="8"/>
      <c r="BP179" s="160"/>
      <c r="BQ179" s="136"/>
      <c r="BR179" s="20"/>
      <c r="BS179" s="20"/>
      <c r="BT179" s="8"/>
      <c r="BU179" s="8"/>
      <c r="BV179" s="8"/>
      <c r="BW179" s="160"/>
      <c r="BX179" s="136"/>
      <c r="BY179" s="20"/>
      <c r="BZ179" s="20"/>
      <c r="CA179" s="20"/>
      <c r="CB179" s="20"/>
      <c r="CC179" s="20"/>
      <c r="CD179" s="20"/>
      <c r="CE179" s="20"/>
      <c r="CF179" s="20"/>
      <c r="CG179" s="20"/>
      <c r="CH179" s="20"/>
      <c r="DA179" s="161"/>
      <c r="DB179" s="162"/>
      <c r="DC179" s="163"/>
      <c r="DD179" s="163"/>
      <c r="DE179" s="162"/>
      <c r="DF179" s="162"/>
      <c r="DG179" s="162"/>
      <c r="DH179" s="164"/>
      <c r="DI179" s="164"/>
      <c r="DJ179" s="164"/>
      <c r="DK179" s="165"/>
      <c r="DL179" s="165"/>
      <c r="DM179" s="166"/>
      <c r="DN179" s="161"/>
      <c r="DO179" s="161"/>
      <c r="DP179" s="161"/>
      <c r="DQ179" s="161"/>
      <c r="DR179" s="161"/>
      <c r="DS179" s="161"/>
      <c r="DT179" s="161"/>
      <c r="DU179" s="161"/>
      <c r="DV179" s="162"/>
      <c r="DW179" s="168"/>
      <c r="DX179" s="168"/>
      <c r="DY179" s="168"/>
      <c r="DZ179" s="168"/>
      <c r="EA179" s="168"/>
      <c r="EB179" s="168"/>
      <c r="EC179" s="168"/>
      <c r="ED179" s="169"/>
      <c r="EE179" s="169"/>
      <c r="EF179" s="165"/>
      <c r="EG179" s="170"/>
      <c r="EH179" s="174"/>
      <c r="EI179" s="174"/>
      <c r="EJ179" s="174"/>
      <c r="EK179" s="174"/>
      <c r="EL179" s="174"/>
      <c r="EM179" s="174"/>
      <c r="EN179" s="174"/>
      <c r="EO179" s="164"/>
      <c r="EP179" s="172"/>
      <c r="EQ179" s="171"/>
      <c r="ER179" s="161"/>
      <c r="ES179" s="161"/>
      <c r="ET179" s="164"/>
      <c r="EU179" s="164"/>
      <c r="EV179" s="164"/>
      <c r="EW179" s="172"/>
      <c r="EX179" s="171"/>
      <c r="EY179" s="161"/>
      <c r="EZ179" s="161"/>
      <c r="FA179" s="161"/>
      <c r="FB179" s="161"/>
      <c r="FC179" s="161"/>
      <c r="FD179" s="161"/>
      <c r="FE179" s="161"/>
      <c r="FF179" s="161"/>
      <c r="FG179" s="161"/>
      <c r="FH179" s="161"/>
    </row>
    <row r="180" spans="60:164">
      <c r="BH180" s="7"/>
      <c r="BI180" s="33"/>
      <c r="BJ180" s="33"/>
      <c r="BK180" s="33"/>
      <c r="BL180" s="33"/>
      <c r="BM180" s="33"/>
      <c r="BN180" s="33"/>
      <c r="BO180" s="8"/>
      <c r="BP180" s="160"/>
      <c r="BQ180" s="136"/>
      <c r="BR180" s="20"/>
      <c r="BS180" s="20"/>
      <c r="BT180" s="8"/>
      <c r="BU180" s="8"/>
      <c r="BV180" s="8"/>
      <c r="BW180" s="160"/>
      <c r="BX180" s="136"/>
      <c r="BY180" s="20"/>
      <c r="BZ180" s="20"/>
      <c r="CA180" s="20"/>
      <c r="CB180" s="20"/>
      <c r="CC180" s="20"/>
      <c r="CD180" s="20"/>
      <c r="CE180" s="20"/>
      <c r="CF180" s="20"/>
      <c r="CG180" s="20"/>
      <c r="CH180" s="20"/>
      <c r="DA180" s="161"/>
      <c r="DB180" s="162"/>
      <c r="DC180" s="163"/>
      <c r="DD180" s="163"/>
      <c r="DE180" s="162"/>
      <c r="DF180" s="162"/>
      <c r="DG180" s="162"/>
      <c r="DH180" s="164"/>
      <c r="DI180" s="164"/>
      <c r="DJ180" s="164"/>
      <c r="DK180" s="165"/>
      <c r="DL180" s="165"/>
      <c r="DM180" s="166"/>
      <c r="DN180" s="161"/>
      <c r="DO180" s="161"/>
      <c r="DP180" s="161"/>
      <c r="DQ180" s="161"/>
      <c r="DR180" s="161"/>
      <c r="DS180" s="161"/>
      <c r="DT180" s="161"/>
      <c r="DU180" s="161"/>
      <c r="DV180" s="162"/>
      <c r="DW180" s="168"/>
      <c r="DX180" s="168"/>
      <c r="DY180" s="168"/>
      <c r="DZ180" s="168"/>
      <c r="EA180" s="168"/>
      <c r="EB180" s="168"/>
      <c r="EC180" s="168"/>
      <c r="ED180" s="169"/>
      <c r="EE180" s="169"/>
      <c r="EF180" s="165"/>
      <c r="EG180" s="170"/>
      <c r="EH180" s="174"/>
      <c r="EI180" s="174"/>
      <c r="EJ180" s="174"/>
      <c r="EK180" s="174"/>
      <c r="EL180" s="174"/>
      <c r="EM180" s="174"/>
      <c r="EN180" s="174"/>
      <c r="EO180" s="164"/>
      <c r="EP180" s="172"/>
      <c r="EQ180" s="171"/>
      <c r="ER180" s="161"/>
      <c r="ES180" s="161"/>
      <c r="ET180" s="164"/>
      <c r="EU180" s="164"/>
      <c r="EV180" s="164"/>
      <c r="EW180" s="172"/>
      <c r="EX180" s="171"/>
      <c r="EY180" s="161"/>
      <c r="EZ180" s="161"/>
      <c r="FA180" s="161"/>
      <c r="FB180" s="161"/>
      <c r="FC180" s="161"/>
      <c r="FD180" s="161"/>
      <c r="FE180" s="161"/>
      <c r="FF180" s="161"/>
      <c r="FG180" s="161"/>
      <c r="FH180" s="161"/>
    </row>
    <row r="181" spans="60:164">
      <c r="BH181" s="7"/>
      <c r="BI181" s="33"/>
      <c r="BJ181" s="33"/>
      <c r="BK181" s="33"/>
      <c r="BL181" s="33"/>
      <c r="BM181" s="33"/>
      <c r="BN181" s="33"/>
      <c r="BO181" s="8"/>
      <c r="BP181" s="160"/>
      <c r="BQ181" s="136"/>
      <c r="BR181" s="20"/>
      <c r="BS181" s="20"/>
      <c r="BT181" s="8"/>
      <c r="BU181" s="8"/>
      <c r="BV181" s="8"/>
      <c r="BW181" s="160"/>
      <c r="BX181" s="136"/>
      <c r="BY181" s="20"/>
      <c r="BZ181" s="20"/>
      <c r="CA181" s="20"/>
      <c r="CB181" s="20"/>
      <c r="CC181" s="20"/>
      <c r="CD181" s="20"/>
      <c r="CE181" s="20"/>
      <c r="CF181" s="20"/>
      <c r="CG181" s="20"/>
      <c r="CH181" s="20"/>
      <c r="DA181" s="161"/>
      <c r="DB181" s="162"/>
      <c r="DC181" s="163"/>
      <c r="DD181" s="163"/>
      <c r="DE181" s="162"/>
      <c r="DF181" s="162"/>
      <c r="DG181" s="162"/>
      <c r="DH181" s="164"/>
      <c r="DI181" s="164"/>
      <c r="DJ181" s="164"/>
      <c r="DK181" s="165"/>
      <c r="DL181" s="165"/>
      <c r="DM181" s="166"/>
      <c r="DN181" s="161"/>
      <c r="DO181" s="161"/>
      <c r="DP181" s="161"/>
      <c r="DQ181" s="161"/>
      <c r="DR181" s="161"/>
      <c r="DS181" s="161"/>
      <c r="DT181" s="161"/>
      <c r="DU181" s="161"/>
      <c r="DV181" s="162"/>
      <c r="DW181" s="168"/>
      <c r="DX181" s="168"/>
      <c r="DY181" s="168"/>
      <c r="DZ181" s="168"/>
      <c r="EA181" s="168"/>
      <c r="EB181" s="168"/>
      <c r="EC181" s="168"/>
      <c r="ED181" s="169"/>
      <c r="EE181" s="169"/>
      <c r="EF181" s="165"/>
      <c r="EG181" s="170"/>
      <c r="EH181" s="174"/>
      <c r="EI181" s="174"/>
      <c r="EJ181" s="174"/>
      <c r="EK181" s="174"/>
      <c r="EL181" s="174"/>
      <c r="EM181" s="174"/>
      <c r="EN181" s="174"/>
      <c r="EO181" s="164"/>
      <c r="EP181" s="172"/>
      <c r="EQ181" s="171"/>
      <c r="ER181" s="161"/>
      <c r="ES181" s="161"/>
      <c r="ET181" s="164"/>
      <c r="EU181" s="164"/>
      <c r="EV181" s="164"/>
      <c r="EW181" s="172"/>
      <c r="EX181" s="171"/>
      <c r="EY181" s="161"/>
      <c r="EZ181" s="161"/>
      <c r="FA181" s="161"/>
      <c r="FB181" s="161"/>
      <c r="FC181" s="161"/>
      <c r="FD181" s="161"/>
      <c r="FE181" s="161"/>
      <c r="FF181" s="161"/>
      <c r="FG181" s="161"/>
      <c r="FH181" s="161"/>
    </row>
    <row r="182" spans="60:164">
      <c r="BH182" s="7"/>
      <c r="BI182" s="33"/>
      <c r="BJ182" s="33"/>
      <c r="BK182" s="33"/>
      <c r="BL182" s="33"/>
      <c r="BM182" s="33"/>
      <c r="BN182" s="33"/>
      <c r="BO182" s="8"/>
      <c r="BP182" s="160"/>
      <c r="BQ182" s="136"/>
      <c r="BR182" s="20"/>
      <c r="BS182" s="20"/>
      <c r="BT182" s="8"/>
      <c r="BU182" s="8"/>
      <c r="BV182" s="8"/>
      <c r="BW182" s="160"/>
      <c r="BX182" s="136"/>
      <c r="BY182" s="20"/>
      <c r="BZ182" s="20"/>
      <c r="CA182" s="20"/>
      <c r="CB182" s="20"/>
      <c r="CC182" s="20"/>
      <c r="CD182" s="20"/>
      <c r="CE182" s="20"/>
      <c r="CF182" s="20"/>
      <c r="CG182" s="20"/>
      <c r="CH182" s="20"/>
      <c r="DA182" s="161"/>
      <c r="DB182" s="162"/>
      <c r="DC182" s="163"/>
      <c r="DD182" s="163"/>
      <c r="DE182" s="162"/>
      <c r="DF182" s="162"/>
      <c r="DG182" s="162"/>
      <c r="DH182" s="164"/>
      <c r="DI182" s="164"/>
      <c r="DJ182" s="164"/>
      <c r="DK182" s="165"/>
      <c r="DL182" s="165"/>
      <c r="DM182" s="166"/>
      <c r="DN182" s="161"/>
      <c r="DO182" s="161"/>
      <c r="DP182" s="161"/>
      <c r="DQ182" s="161"/>
      <c r="DR182" s="161"/>
      <c r="DS182" s="161"/>
      <c r="DT182" s="161"/>
      <c r="DU182" s="161"/>
      <c r="DV182" s="162"/>
      <c r="DW182" s="168"/>
      <c r="DX182" s="168"/>
      <c r="DY182" s="168"/>
      <c r="DZ182" s="168"/>
      <c r="EA182" s="168"/>
      <c r="EB182" s="168"/>
      <c r="EC182" s="168"/>
      <c r="ED182" s="169"/>
      <c r="EE182" s="169"/>
      <c r="EF182" s="165"/>
      <c r="EG182" s="170"/>
      <c r="EH182" s="174"/>
      <c r="EI182" s="174"/>
      <c r="EJ182" s="174"/>
      <c r="EK182" s="174"/>
      <c r="EL182" s="174"/>
      <c r="EM182" s="174"/>
      <c r="EN182" s="174"/>
      <c r="EO182" s="164"/>
      <c r="EP182" s="172"/>
      <c r="EQ182" s="171"/>
      <c r="ER182" s="161"/>
      <c r="ES182" s="161"/>
      <c r="ET182" s="164"/>
      <c r="EU182" s="164"/>
      <c r="EV182" s="164"/>
      <c r="EW182" s="172"/>
      <c r="EX182" s="171"/>
      <c r="EY182" s="161"/>
      <c r="EZ182" s="161"/>
      <c r="FA182" s="161"/>
      <c r="FB182" s="161"/>
      <c r="FC182" s="161"/>
      <c r="FD182" s="161"/>
      <c r="FE182" s="161"/>
      <c r="FF182" s="161"/>
      <c r="FG182" s="161"/>
      <c r="FH182" s="161"/>
    </row>
    <row r="183" spans="60:164">
      <c r="BH183" s="7"/>
      <c r="BI183" s="33"/>
      <c r="BJ183" s="33"/>
      <c r="BK183" s="33"/>
      <c r="BL183" s="33"/>
      <c r="BM183" s="33"/>
      <c r="BN183" s="33"/>
      <c r="BO183" s="8"/>
      <c r="BP183" s="160"/>
      <c r="BQ183" s="136"/>
      <c r="BR183" s="20"/>
      <c r="BS183" s="20"/>
      <c r="BT183" s="8"/>
      <c r="BU183" s="8"/>
      <c r="BV183" s="8"/>
      <c r="BW183" s="160"/>
      <c r="BX183" s="136"/>
      <c r="BY183" s="20"/>
      <c r="BZ183" s="20"/>
      <c r="CA183" s="20"/>
      <c r="CB183" s="20"/>
      <c r="CC183" s="20"/>
      <c r="CD183" s="20"/>
      <c r="CE183" s="20"/>
      <c r="CF183" s="20"/>
      <c r="CG183" s="20"/>
      <c r="CH183" s="20"/>
      <c r="DA183" s="161"/>
      <c r="DB183" s="162"/>
      <c r="DC183" s="163"/>
      <c r="DD183" s="163"/>
      <c r="DE183" s="162"/>
      <c r="DF183" s="162"/>
      <c r="DG183" s="162"/>
      <c r="DH183" s="164"/>
      <c r="DI183" s="164"/>
      <c r="DJ183" s="164"/>
      <c r="DK183" s="165"/>
      <c r="DL183" s="165"/>
      <c r="DM183" s="166"/>
      <c r="DN183" s="161"/>
      <c r="DO183" s="161"/>
      <c r="DP183" s="161"/>
      <c r="DQ183" s="161"/>
      <c r="DR183" s="161"/>
      <c r="DS183" s="161"/>
      <c r="DT183" s="161"/>
      <c r="DU183" s="161"/>
      <c r="DV183" s="162"/>
      <c r="DW183" s="168"/>
      <c r="DX183" s="168"/>
      <c r="DY183" s="168"/>
      <c r="DZ183" s="168"/>
      <c r="EA183" s="168"/>
      <c r="EB183" s="168"/>
      <c r="EC183" s="168"/>
      <c r="ED183" s="169"/>
      <c r="EE183" s="169"/>
      <c r="EF183" s="165"/>
      <c r="EG183" s="170"/>
      <c r="EH183" s="174"/>
      <c r="EI183" s="174"/>
      <c r="EJ183" s="174"/>
      <c r="EK183" s="174"/>
      <c r="EL183" s="174"/>
      <c r="EM183" s="174"/>
      <c r="EN183" s="174"/>
      <c r="EO183" s="164"/>
      <c r="EP183" s="172"/>
      <c r="EQ183" s="171"/>
      <c r="ER183" s="161"/>
      <c r="ES183" s="161"/>
      <c r="ET183" s="164"/>
      <c r="EU183" s="164"/>
      <c r="EV183" s="164"/>
      <c r="EW183" s="172"/>
      <c r="EX183" s="171"/>
      <c r="EY183" s="161"/>
      <c r="EZ183" s="161"/>
      <c r="FA183" s="161"/>
      <c r="FB183" s="161"/>
      <c r="FC183" s="161"/>
      <c r="FD183" s="161"/>
      <c r="FE183" s="161"/>
      <c r="FF183" s="161"/>
      <c r="FG183" s="161"/>
      <c r="FH183" s="161"/>
    </row>
    <row r="184" spans="60:164">
      <c r="BH184" s="7"/>
      <c r="BI184" s="33"/>
      <c r="BJ184" s="33"/>
      <c r="BK184" s="33"/>
      <c r="BL184" s="33"/>
      <c r="BM184" s="33"/>
      <c r="BN184" s="33"/>
      <c r="BO184" s="8"/>
      <c r="BP184" s="160"/>
      <c r="BQ184" s="136"/>
      <c r="BR184" s="20"/>
      <c r="BS184" s="20"/>
      <c r="BT184" s="8"/>
      <c r="BU184" s="8"/>
      <c r="BV184" s="8"/>
      <c r="BW184" s="160"/>
      <c r="BX184" s="136"/>
      <c r="BY184" s="20"/>
      <c r="BZ184" s="20"/>
      <c r="CA184" s="20"/>
      <c r="CB184" s="20"/>
      <c r="CC184" s="20"/>
      <c r="CD184" s="20"/>
      <c r="CE184" s="20"/>
      <c r="CF184" s="20"/>
      <c r="CG184" s="20"/>
      <c r="CH184" s="20"/>
      <c r="DA184" s="161"/>
      <c r="DB184" s="162"/>
      <c r="DC184" s="163"/>
      <c r="DD184" s="163"/>
      <c r="DE184" s="162"/>
      <c r="DF184" s="162"/>
      <c r="DG184" s="162"/>
      <c r="DH184" s="164"/>
      <c r="DI184" s="164"/>
      <c r="DJ184" s="164"/>
      <c r="DK184" s="165"/>
      <c r="DL184" s="165"/>
      <c r="DM184" s="166"/>
      <c r="DN184" s="161"/>
      <c r="DO184" s="161"/>
      <c r="DP184" s="161"/>
      <c r="DQ184" s="161"/>
      <c r="DR184" s="161"/>
      <c r="DS184" s="161"/>
      <c r="DT184" s="161"/>
      <c r="DU184" s="161"/>
      <c r="DV184" s="162"/>
      <c r="DW184" s="168"/>
      <c r="DX184" s="168"/>
      <c r="DY184" s="168"/>
      <c r="DZ184" s="168"/>
      <c r="EA184" s="168"/>
      <c r="EB184" s="168"/>
      <c r="EC184" s="168"/>
      <c r="ED184" s="169"/>
      <c r="EE184" s="169"/>
      <c r="EF184" s="165"/>
      <c r="EG184" s="170"/>
      <c r="EH184" s="174"/>
      <c r="EI184" s="174"/>
      <c r="EJ184" s="174"/>
      <c r="EK184" s="174"/>
      <c r="EL184" s="174"/>
      <c r="EM184" s="174"/>
      <c r="EN184" s="174"/>
      <c r="EO184" s="164"/>
      <c r="EP184" s="172"/>
      <c r="EQ184" s="171"/>
      <c r="ER184" s="161"/>
      <c r="ES184" s="161"/>
      <c r="ET184" s="164"/>
      <c r="EU184" s="164"/>
      <c r="EV184" s="164"/>
      <c r="EW184" s="172"/>
      <c r="EX184" s="171"/>
      <c r="EY184" s="161"/>
      <c r="EZ184" s="161"/>
      <c r="FA184" s="161"/>
      <c r="FB184" s="161"/>
      <c r="FC184" s="161"/>
      <c r="FD184" s="161"/>
      <c r="FE184" s="161"/>
      <c r="FF184" s="161"/>
      <c r="FG184" s="161"/>
      <c r="FH184" s="161"/>
    </row>
    <row r="185" spans="60:164">
      <c r="BH185" s="7"/>
      <c r="BI185" s="33"/>
      <c r="BJ185" s="33"/>
      <c r="BK185" s="33"/>
      <c r="BL185" s="33"/>
      <c r="BM185" s="33"/>
      <c r="BN185" s="33"/>
      <c r="BO185" s="8"/>
      <c r="BP185" s="160"/>
      <c r="BQ185" s="136"/>
      <c r="BR185" s="20"/>
      <c r="BS185" s="20"/>
      <c r="BT185" s="8"/>
      <c r="BU185" s="8"/>
      <c r="BV185" s="8"/>
      <c r="BW185" s="160"/>
      <c r="BX185" s="136"/>
      <c r="BY185" s="20"/>
      <c r="BZ185" s="20"/>
      <c r="CA185" s="20"/>
      <c r="CB185" s="20"/>
      <c r="CC185" s="20"/>
      <c r="CD185" s="20"/>
      <c r="CE185" s="20"/>
      <c r="CF185" s="20"/>
      <c r="CG185" s="20"/>
      <c r="CH185" s="20"/>
      <c r="DA185" s="161"/>
      <c r="DB185" s="162"/>
      <c r="DC185" s="163"/>
      <c r="DD185" s="163"/>
      <c r="DE185" s="162"/>
      <c r="DF185" s="162"/>
      <c r="DG185" s="162"/>
      <c r="DH185" s="164"/>
      <c r="DI185" s="164"/>
      <c r="DJ185" s="164"/>
      <c r="DK185" s="165"/>
      <c r="DL185" s="165"/>
      <c r="DM185" s="166"/>
      <c r="DN185" s="161"/>
      <c r="DO185" s="161"/>
      <c r="DP185" s="161"/>
      <c r="DQ185" s="161"/>
      <c r="DR185" s="161"/>
      <c r="DS185" s="161"/>
      <c r="DT185" s="161"/>
      <c r="DU185" s="161"/>
      <c r="DV185" s="162"/>
      <c r="DW185" s="168"/>
      <c r="DX185" s="168"/>
      <c r="DY185" s="168"/>
      <c r="DZ185" s="168"/>
      <c r="EA185" s="168"/>
      <c r="EB185" s="168"/>
      <c r="EC185" s="168"/>
      <c r="ED185" s="169"/>
      <c r="EE185" s="169"/>
      <c r="EF185" s="165"/>
      <c r="EG185" s="170"/>
      <c r="EH185" s="174"/>
      <c r="EI185" s="174"/>
      <c r="EJ185" s="174"/>
      <c r="EK185" s="174"/>
      <c r="EL185" s="174"/>
      <c r="EM185" s="174"/>
      <c r="EN185" s="174"/>
      <c r="EO185" s="164"/>
      <c r="EP185" s="172"/>
      <c r="EQ185" s="171"/>
      <c r="ER185" s="161"/>
      <c r="ES185" s="161"/>
      <c r="ET185" s="164"/>
      <c r="EU185" s="164"/>
      <c r="EV185" s="164"/>
      <c r="EW185" s="172"/>
      <c r="EX185" s="171"/>
      <c r="EY185" s="161"/>
      <c r="EZ185" s="161"/>
      <c r="FA185" s="161"/>
      <c r="FB185" s="161"/>
      <c r="FC185" s="161"/>
      <c r="FD185" s="161"/>
      <c r="FE185" s="161"/>
      <c r="FF185" s="161"/>
      <c r="FG185" s="161"/>
      <c r="FH185" s="161"/>
    </row>
    <row r="186" spans="60:164">
      <c r="BH186" s="7"/>
      <c r="BI186" s="33"/>
      <c r="BJ186" s="33"/>
      <c r="BK186" s="33"/>
      <c r="BL186" s="33"/>
      <c r="BM186" s="33"/>
      <c r="BN186" s="33"/>
      <c r="BO186" s="8"/>
      <c r="BP186" s="160"/>
      <c r="BQ186" s="136"/>
      <c r="BR186" s="20"/>
      <c r="BS186" s="20"/>
      <c r="BT186" s="8"/>
      <c r="BU186" s="8"/>
      <c r="BV186" s="8"/>
      <c r="BW186" s="160"/>
      <c r="BX186" s="136"/>
      <c r="BY186" s="20"/>
      <c r="BZ186" s="20"/>
      <c r="CA186" s="20"/>
      <c r="CB186" s="20"/>
      <c r="CC186" s="20"/>
      <c r="CD186" s="20"/>
      <c r="CE186" s="20"/>
      <c r="CF186" s="20"/>
      <c r="CG186" s="20"/>
      <c r="CH186" s="20"/>
      <c r="DA186" s="161"/>
      <c r="DB186" s="162"/>
      <c r="DC186" s="163"/>
      <c r="DD186" s="163"/>
      <c r="DE186" s="162"/>
      <c r="DF186" s="162"/>
      <c r="DG186" s="162"/>
      <c r="DH186" s="164"/>
      <c r="DI186" s="164"/>
      <c r="DJ186" s="164"/>
      <c r="DK186" s="165"/>
      <c r="DL186" s="165"/>
      <c r="DM186" s="166"/>
      <c r="DN186" s="161"/>
      <c r="DO186" s="161"/>
      <c r="DP186" s="161"/>
      <c r="DQ186" s="161"/>
      <c r="DR186" s="161"/>
      <c r="DS186" s="161"/>
      <c r="DT186" s="161"/>
      <c r="DU186" s="161"/>
      <c r="DV186" s="162"/>
      <c r="DW186" s="168"/>
      <c r="DX186" s="168"/>
      <c r="DY186" s="168"/>
      <c r="DZ186" s="168"/>
      <c r="EA186" s="168"/>
      <c r="EB186" s="168"/>
      <c r="EC186" s="168"/>
      <c r="ED186" s="169"/>
      <c r="EE186" s="169"/>
      <c r="EF186" s="165"/>
      <c r="EG186" s="170"/>
      <c r="EH186" s="174"/>
      <c r="EI186" s="174"/>
      <c r="EJ186" s="174"/>
      <c r="EK186" s="174"/>
      <c r="EL186" s="174"/>
      <c r="EM186" s="174"/>
      <c r="EN186" s="174"/>
      <c r="EO186" s="164"/>
      <c r="EP186" s="172"/>
      <c r="EQ186" s="171"/>
      <c r="ER186" s="161"/>
      <c r="ES186" s="161"/>
      <c r="ET186" s="164"/>
      <c r="EU186" s="164"/>
      <c r="EV186" s="164"/>
      <c r="EW186" s="172"/>
      <c r="EX186" s="171"/>
      <c r="EY186" s="161"/>
      <c r="EZ186" s="161"/>
      <c r="FA186" s="161"/>
      <c r="FB186" s="161"/>
      <c r="FC186" s="161"/>
      <c r="FD186" s="161"/>
      <c r="FE186" s="161"/>
      <c r="FF186" s="161"/>
      <c r="FG186" s="161"/>
      <c r="FH186" s="161"/>
    </row>
    <row r="187" spans="60:164">
      <c r="BH187" s="7"/>
      <c r="BI187" s="33"/>
      <c r="BJ187" s="33"/>
      <c r="BK187" s="33"/>
      <c r="BL187" s="33"/>
      <c r="BM187" s="33"/>
      <c r="BN187" s="33"/>
      <c r="BO187" s="8"/>
      <c r="BP187" s="160"/>
      <c r="BQ187" s="136"/>
      <c r="BR187" s="20"/>
      <c r="BS187" s="20"/>
      <c r="BT187" s="8"/>
      <c r="BU187" s="8"/>
      <c r="BV187" s="8"/>
      <c r="BW187" s="160"/>
      <c r="BX187" s="136"/>
      <c r="BY187" s="20"/>
      <c r="BZ187" s="20"/>
      <c r="CA187" s="20"/>
      <c r="CB187" s="20"/>
      <c r="CC187" s="20"/>
      <c r="CD187" s="20"/>
      <c r="CE187" s="20"/>
      <c r="CF187" s="20"/>
      <c r="CG187" s="20"/>
      <c r="CH187" s="20"/>
      <c r="DA187" s="161"/>
      <c r="DB187" s="162"/>
      <c r="DC187" s="163"/>
      <c r="DD187" s="163"/>
      <c r="DE187" s="162"/>
      <c r="DF187" s="162"/>
      <c r="DG187" s="162"/>
      <c r="DH187" s="164"/>
      <c r="DI187" s="164"/>
      <c r="DJ187" s="164"/>
      <c r="DK187" s="165"/>
      <c r="DL187" s="165"/>
      <c r="DM187" s="166"/>
      <c r="DN187" s="161"/>
      <c r="DO187" s="161"/>
      <c r="DP187" s="161"/>
      <c r="DQ187" s="161"/>
      <c r="DR187" s="161"/>
      <c r="DS187" s="161"/>
      <c r="DT187" s="161"/>
      <c r="DU187" s="161"/>
      <c r="DV187" s="162"/>
      <c r="DW187" s="168"/>
      <c r="DX187" s="168"/>
      <c r="DY187" s="168"/>
      <c r="DZ187" s="168"/>
      <c r="EA187" s="168"/>
      <c r="EB187" s="168"/>
      <c r="EC187" s="168"/>
      <c r="ED187" s="169"/>
      <c r="EE187" s="169"/>
      <c r="EF187" s="165"/>
      <c r="EG187" s="170"/>
      <c r="EH187" s="174"/>
      <c r="EI187" s="174"/>
      <c r="EJ187" s="174"/>
      <c r="EK187" s="174"/>
      <c r="EL187" s="174"/>
      <c r="EM187" s="174"/>
      <c r="EN187" s="174"/>
      <c r="EO187" s="164"/>
      <c r="EP187" s="172"/>
      <c r="EQ187" s="171"/>
      <c r="ER187" s="161"/>
      <c r="ES187" s="161"/>
      <c r="ET187" s="164"/>
      <c r="EU187" s="164"/>
      <c r="EV187" s="164"/>
      <c r="EW187" s="172"/>
      <c r="EX187" s="171"/>
      <c r="EY187" s="161"/>
      <c r="EZ187" s="161"/>
      <c r="FA187" s="161"/>
      <c r="FB187" s="161"/>
      <c r="FC187" s="161"/>
      <c r="FD187" s="161"/>
      <c r="FE187" s="161"/>
      <c r="FF187" s="161"/>
      <c r="FG187" s="161"/>
      <c r="FH187" s="161"/>
    </row>
    <row r="188" spans="60:164">
      <c r="BH188" s="7"/>
      <c r="BI188" s="33"/>
      <c r="BJ188" s="33"/>
      <c r="BK188" s="33"/>
      <c r="BL188" s="33"/>
      <c r="BM188" s="33"/>
      <c r="BN188" s="33"/>
      <c r="BO188" s="8"/>
      <c r="BP188" s="160"/>
      <c r="BQ188" s="136"/>
      <c r="BR188" s="20"/>
      <c r="BS188" s="20"/>
      <c r="BT188" s="8"/>
      <c r="BU188" s="8"/>
      <c r="BV188" s="8"/>
      <c r="BW188" s="160"/>
      <c r="BX188" s="136"/>
      <c r="BY188" s="20"/>
      <c r="BZ188" s="20"/>
      <c r="CA188" s="20"/>
      <c r="CB188" s="20"/>
      <c r="CC188" s="20"/>
      <c r="CD188" s="20"/>
      <c r="CE188" s="20"/>
      <c r="CF188" s="20"/>
      <c r="CG188" s="20"/>
      <c r="CH188" s="20"/>
      <c r="DA188" s="161"/>
      <c r="DB188" s="162"/>
      <c r="DC188" s="163"/>
      <c r="DD188" s="163"/>
      <c r="DE188" s="162"/>
      <c r="DF188" s="162"/>
      <c r="DG188" s="162"/>
      <c r="DH188" s="164"/>
      <c r="DI188" s="164"/>
      <c r="DJ188" s="164"/>
      <c r="DK188" s="165"/>
      <c r="DL188" s="165"/>
      <c r="DM188" s="166"/>
      <c r="DN188" s="161"/>
      <c r="DO188" s="161"/>
      <c r="DP188" s="161"/>
      <c r="DQ188" s="161"/>
      <c r="DR188" s="161"/>
      <c r="DS188" s="161"/>
      <c r="DT188" s="161"/>
      <c r="DU188" s="161"/>
      <c r="DV188" s="162"/>
      <c r="DW188" s="168"/>
      <c r="DX188" s="168"/>
      <c r="DY188" s="168"/>
      <c r="DZ188" s="168"/>
      <c r="EA188" s="168"/>
      <c r="EB188" s="168"/>
      <c r="EC188" s="168"/>
      <c r="ED188" s="169"/>
      <c r="EE188" s="169"/>
      <c r="EF188" s="165"/>
      <c r="EG188" s="170"/>
      <c r="EH188" s="174"/>
      <c r="EI188" s="174"/>
      <c r="EJ188" s="174"/>
      <c r="EK188" s="174"/>
      <c r="EL188" s="174"/>
      <c r="EM188" s="174"/>
      <c r="EN188" s="174"/>
      <c r="EO188" s="164"/>
      <c r="EP188" s="172"/>
      <c r="EQ188" s="171"/>
      <c r="ER188" s="161"/>
      <c r="ES188" s="161"/>
      <c r="ET188" s="164"/>
      <c r="EU188" s="164"/>
      <c r="EV188" s="164"/>
      <c r="EW188" s="172"/>
      <c r="EX188" s="171"/>
      <c r="EY188" s="161"/>
      <c r="EZ188" s="161"/>
      <c r="FA188" s="161"/>
      <c r="FB188" s="161"/>
      <c r="FC188" s="161"/>
      <c r="FD188" s="161"/>
      <c r="FE188" s="161"/>
      <c r="FF188" s="161"/>
      <c r="FG188" s="161"/>
      <c r="FH188" s="161"/>
    </row>
    <row r="189" spans="60:164">
      <c r="BH189" s="7"/>
      <c r="BI189" s="33"/>
      <c r="BJ189" s="33"/>
      <c r="BK189" s="33"/>
      <c r="BL189" s="33"/>
      <c r="BM189" s="33"/>
      <c r="BN189" s="33"/>
      <c r="BO189" s="8"/>
      <c r="BP189" s="160"/>
      <c r="BQ189" s="136"/>
      <c r="BR189" s="20"/>
      <c r="BS189" s="20"/>
      <c r="BT189" s="8"/>
      <c r="BU189" s="8"/>
      <c r="BV189" s="8"/>
      <c r="BW189" s="160"/>
      <c r="BX189" s="136"/>
      <c r="BY189" s="20"/>
      <c r="BZ189" s="20"/>
      <c r="CA189" s="20"/>
      <c r="CB189" s="20"/>
      <c r="CC189" s="20"/>
      <c r="CD189" s="20"/>
      <c r="CE189" s="20"/>
      <c r="CF189" s="20"/>
      <c r="CG189" s="20"/>
      <c r="CH189" s="20"/>
      <c r="DA189" s="161"/>
      <c r="DB189" s="162"/>
      <c r="DC189" s="163"/>
      <c r="DD189" s="163"/>
      <c r="DE189" s="162"/>
      <c r="DF189" s="162"/>
      <c r="DG189" s="162"/>
      <c r="DH189" s="164"/>
      <c r="DI189" s="164"/>
      <c r="DJ189" s="164"/>
      <c r="DK189" s="165"/>
      <c r="DL189" s="165"/>
      <c r="DM189" s="166"/>
      <c r="DN189" s="161"/>
      <c r="DO189" s="161"/>
      <c r="DP189" s="161"/>
      <c r="DQ189" s="161"/>
      <c r="DR189" s="161"/>
      <c r="DS189" s="161"/>
      <c r="DT189" s="161"/>
      <c r="DU189" s="161"/>
      <c r="DV189" s="162"/>
      <c r="DW189" s="168"/>
      <c r="DX189" s="168"/>
      <c r="DY189" s="168"/>
      <c r="DZ189" s="168"/>
      <c r="EA189" s="168"/>
      <c r="EB189" s="168"/>
      <c r="EC189" s="168"/>
      <c r="ED189" s="169"/>
      <c r="EE189" s="169"/>
      <c r="EF189" s="165"/>
      <c r="EG189" s="170"/>
      <c r="EH189" s="174"/>
      <c r="EI189" s="174"/>
      <c r="EJ189" s="174"/>
      <c r="EK189" s="174"/>
      <c r="EL189" s="174"/>
      <c r="EM189" s="174"/>
      <c r="EN189" s="174"/>
      <c r="EO189" s="164"/>
      <c r="EP189" s="172"/>
      <c r="EQ189" s="171"/>
      <c r="ER189" s="161"/>
      <c r="ES189" s="161"/>
      <c r="ET189" s="164"/>
      <c r="EU189" s="164"/>
      <c r="EV189" s="164"/>
      <c r="EW189" s="172"/>
      <c r="EX189" s="171"/>
      <c r="EY189" s="161"/>
      <c r="EZ189" s="161"/>
      <c r="FA189" s="161"/>
      <c r="FB189" s="161"/>
      <c r="FC189" s="161"/>
      <c r="FD189" s="161"/>
      <c r="FE189" s="161"/>
      <c r="FF189" s="161"/>
      <c r="FG189" s="161"/>
      <c r="FH189" s="161"/>
    </row>
    <row r="190" spans="60:164">
      <c r="BH190" s="7"/>
      <c r="BI190" s="33"/>
      <c r="BJ190" s="33"/>
      <c r="BK190" s="33"/>
      <c r="BL190" s="33"/>
      <c r="BM190" s="33"/>
      <c r="BN190" s="33"/>
      <c r="BO190" s="8"/>
      <c r="BP190" s="160"/>
      <c r="BQ190" s="136"/>
      <c r="BR190" s="20"/>
      <c r="BS190" s="20"/>
      <c r="BT190" s="8"/>
      <c r="BU190" s="8"/>
      <c r="BV190" s="8"/>
      <c r="BW190" s="160"/>
      <c r="BX190" s="136"/>
      <c r="BY190" s="20"/>
      <c r="BZ190" s="20"/>
      <c r="CA190" s="20"/>
      <c r="CB190" s="20"/>
      <c r="CC190" s="20"/>
      <c r="CD190" s="20"/>
      <c r="CE190" s="20"/>
      <c r="CF190" s="20"/>
      <c r="CG190" s="20"/>
      <c r="CH190" s="20"/>
      <c r="DA190" s="161"/>
      <c r="DB190" s="162"/>
      <c r="DC190" s="163"/>
      <c r="DD190" s="163"/>
      <c r="DE190" s="162"/>
      <c r="DF190" s="162"/>
      <c r="DG190" s="162"/>
      <c r="DH190" s="164"/>
      <c r="DI190" s="164"/>
      <c r="DJ190" s="164"/>
      <c r="DK190" s="165"/>
      <c r="DL190" s="165"/>
      <c r="DM190" s="166"/>
      <c r="DN190" s="161"/>
      <c r="DO190" s="161"/>
      <c r="DP190" s="161"/>
      <c r="DQ190" s="161"/>
      <c r="DR190" s="161"/>
      <c r="DS190" s="161"/>
      <c r="DT190" s="161"/>
      <c r="DU190" s="161"/>
      <c r="DV190" s="162"/>
      <c r="DW190" s="168"/>
      <c r="DX190" s="168"/>
      <c r="DY190" s="168"/>
      <c r="DZ190" s="168"/>
      <c r="EA190" s="168"/>
      <c r="EB190" s="168"/>
      <c r="EC190" s="168"/>
      <c r="ED190" s="169"/>
      <c r="EE190" s="169"/>
      <c r="EF190" s="165"/>
      <c r="EG190" s="170"/>
      <c r="EH190" s="174"/>
      <c r="EI190" s="174"/>
      <c r="EJ190" s="174"/>
      <c r="EK190" s="174"/>
      <c r="EL190" s="174"/>
      <c r="EM190" s="174"/>
      <c r="EN190" s="174"/>
      <c r="EO190" s="164"/>
      <c r="EP190" s="172"/>
      <c r="EQ190" s="171"/>
      <c r="ER190" s="161"/>
      <c r="ES190" s="161"/>
      <c r="ET190" s="164"/>
      <c r="EU190" s="164"/>
      <c r="EV190" s="164"/>
      <c r="EW190" s="172"/>
      <c r="EX190" s="171"/>
      <c r="EY190" s="161"/>
      <c r="EZ190" s="161"/>
      <c r="FA190" s="161"/>
      <c r="FB190" s="161"/>
      <c r="FC190" s="161"/>
      <c r="FD190" s="161"/>
      <c r="FE190" s="161"/>
      <c r="FF190" s="161"/>
      <c r="FG190" s="161"/>
      <c r="FH190" s="161"/>
    </row>
    <row r="191" spans="60:164">
      <c r="BH191" s="7"/>
      <c r="BI191" s="33"/>
      <c r="BJ191" s="33"/>
      <c r="BK191" s="33"/>
      <c r="BL191" s="33"/>
      <c r="BM191" s="33"/>
      <c r="BN191" s="33"/>
      <c r="BO191" s="8"/>
      <c r="BP191" s="160"/>
      <c r="BQ191" s="136"/>
      <c r="BR191" s="20"/>
      <c r="BS191" s="20"/>
      <c r="BT191" s="8"/>
      <c r="BU191" s="8"/>
      <c r="BV191" s="8"/>
      <c r="BW191" s="160"/>
      <c r="BX191" s="136"/>
      <c r="BY191" s="20"/>
      <c r="BZ191" s="20"/>
      <c r="CA191" s="20"/>
      <c r="CB191" s="20"/>
      <c r="CC191" s="20"/>
      <c r="CD191" s="20"/>
      <c r="CE191" s="20"/>
      <c r="CF191" s="20"/>
      <c r="CG191" s="20"/>
      <c r="CH191" s="20"/>
      <c r="DA191" s="161"/>
      <c r="DB191" s="162"/>
      <c r="DC191" s="163"/>
      <c r="DD191" s="163"/>
      <c r="DE191" s="162"/>
      <c r="DF191" s="162"/>
      <c r="DG191" s="162"/>
      <c r="DH191" s="164"/>
      <c r="DI191" s="164"/>
      <c r="DJ191" s="164"/>
      <c r="DK191" s="165"/>
      <c r="DL191" s="165"/>
      <c r="DM191" s="166"/>
      <c r="DN191" s="161"/>
      <c r="DO191" s="161"/>
      <c r="DP191" s="161"/>
      <c r="DQ191" s="161"/>
      <c r="DR191" s="161"/>
      <c r="DS191" s="161"/>
      <c r="DT191" s="161"/>
      <c r="DU191" s="161"/>
      <c r="DV191" s="162"/>
      <c r="DW191" s="168"/>
      <c r="DX191" s="168"/>
      <c r="DY191" s="168"/>
      <c r="DZ191" s="168"/>
      <c r="EA191" s="168"/>
      <c r="EB191" s="168"/>
      <c r="EC191" s="168"/>
      <c r="ED191" s="169"/>
      <c r="EE191" s="169"/>
      <c r="EF191" s="165"/>
      <c r="EG191" s="170"/>
      <c r="EH191" s="174"/>
      <c r="EI191" s="174"/>
      <c r="EJ191" s="174"/>
      <c r="EK191" s="174"/>
      <c r="EL191" s="174"/>
      <c r="EM191" s="174"/>
      <c r="EN191" s="174"/>
      <c r="EO191" s="164"/>
      <c r="EP191" s="172"/>
      <c r="EQ191" s="171"/>
      <c r="ER191" s="161"/>
      <c r="ES191" s="161"/>
      <c r="ET191" s="164"/>
      <c r="EU191" s="164"/>
      <c r="EV191" s="164"/>
      <c r="EW191" s="172"/>
      <c r="EX191" s="171"/>
      <c r="EY191" s="161"/>
      <c r="EZ191" s="161"/>
      <c r="FA191" s="161"/>
      <c r="FB191" s="161"/>
      <c r="FC191" s="161"/>
      <c r="FD191" s="161"/>
      <c r="FE191" s="161"/>
      <c r="FF191" s="161"/>
      <c r="FG191" s="161"/>
      <c r="FH191" s="161"/>
    </row>
    <row r="192" spans="60:164">
      <c r="BH192" s="7"/>
      <c r="BI192" s="33"/>
      <c r="BJ192" s="33"/>
      <c r="BK192" s="33"/>
      <c r="BL192" s="33"/>
      <c r="BM192" s="33"/>
      <c r="BN192" s="33"/>
      <c r="BO192" s="8"/>
      <c r="BP192" s="160"/>
      <c r="BQ192" s="136"/>
      <c r="BR192" s="20"/>
      <c r="BS192" s="20"/>
      <c r="BT192" s="8"/>
      <c r="BU192" s="8"/>
      <c r="BV192" s="8"/>
      <c r="BW192" s="160"/>
      <c r="BX192" s="136"/>
      <c r="BY192" s="20"/>
      <c r="BZ192" s="20"/>
      <c r="CA192" s="20"/>
      <c r="CB192" s="20"/>
      <c r="CC192" s="20"/>
      <c r="CD192" s="20"/>
      <c r="CE192" s="20"/>
      <c r="CF192" s="20"/>
      <c r="CG192" s="20"/>
      <c r="CH192" s="20"/>
      <c r="DA192" s="161"/>
      <c r="DB192" s="162"/>
      <c r="DC192" s="163"/>
      <c r="DD192" s="163"/>
      <c r="DE192" s="162"/>
      <c r="DF192" s="162"/>
      <c r="DG192" s="162"/>
      <c r="DH192" s="164"/>
      <c r="DI192" s="164"/>
      <c r="DJ192" s="164"/>
      <c r="DK192" s="165"/>
      <c r="DL192" s="165"/>
      <c r="DM192" s="166"/>
      <c r="DN192" s="161"/>
      <c r="DO192" s="161"/>
      <c r="DP192" s="161"/>
      <c r="DQ192" s="161"/>
      <c r="DR192" s="161"/>
      <c r="DS192" s="161"/>
      <c r="DT192" s="161"/>
      <c r="DU192" s="161"/>
      <c r="DV192" s="162"/>
      <c r="DW192" s="168"/>
      <c r="DX192" s="168"/>
      <c r="DY192" s="168"/>
      <c r="DZ192" s="168"/>
      <c r="EA192" s="168"/>
      <c r="EB192" s="168"/>
      <c r="EC192" s="168"/>
      <c r="ED192" s="169"/>
      <c r="EE192" s="169"/>
      <c r="EF192" s="165"/>
      <c r="EG192" s="170"/>
      <c r="EH192" s="174"/>
      <c r="EI192" s="174"/>
      <c r="EJ192" s="174"/>
      <c r="EK192" s="174"/>
      <c r="EL192" s="174"/>
      <c r="EM192" s="174"/>
      <c r="EN192" s="174"/>
      <c r="EO192" s="164"/>
      <c r="EP192" s="172"/>
      <c r="EQ192" s="171"/>
      <c r="ER192" s="161"/>
      <c r="ES192" s="161"/>
      <c r="ET192" s="164"/>
      <c r="EU192" s="164"/>
      <c r="EV192" s="164"/>
      <c r="EW192" s="172"/>
      <c r="EX192" s="171"/>
      <c r="EY192" s="161"/>
      <c r="EZ192" s="161"/>
      <c r="FA192" s="161"/>
      <c r="FB192" s="161"/>
      <c r="FC192" s="161"/>
      <c r="FD192" s="161"/>
      <c r="FE192" s="161"/>
      <c r="FF192" s="161"/>
      <c r="FG192" s="161"/>
      <c r="FH192" s="161"/>
    </row>
    <row r="193" spans="60:164">
      <c r="BH193" s="7"/>
      <c r="BI193" s="33"/>
      <c r="BJ193" s="33"/>
      <c r="BK193" s="33"/>
      <c r="BL193" s="33"/>
      <c r="BM193" s="33"/>
      <c r="BN193" s="33"/>
      <c r="BO193" s="8"/>
      <c r="BP193" s="160"/>
      <c r="BQ193" s="136"/>
      <c r="BR193" s="20"/>
      <c r="BS193" s="20"/>
      <c r="BT193" s="8"/>
      <c r="BU193" s="8"/>
      <c r="BV193" s="8"/>
      <c r="BW193" s="160"/>
      <c r="BX193" s="136"/>
      <c r="BY193" s="20"/>
      <c r="BZ193" s="20"/>
      <c r="CA193" s="20"/>
      <c r="CB193" s="20"/>
      <c r="CC193" s="20"/>
      <c r="CD193" s="20"/>
      <c r="CE193" s="20"/>
      <c r="CF193" s="20"/>
      <c r="CG193" s="20"/>
      <c r="CH193" s="20"/>
      <c r="DA193" s="161"/>
      <c r="DB193" s="162"/>
      <c r="DC193" s="163"/>
      <c r="DD193" s="163"/>
      <c r="DE193" s="162"/>
      <c r="DF193" s="162"/>
      <c r="DG193" s="162"/>
      <c r="DH193" s="164"/>
      <c r="DI193" s="164"/>
      <c r="DJ193" s="164"/>
      <c r="DK193" s="165"/>
      <c r="DL193" s="165"/>
      <c r="DM193" s="166"/>
      <c r="DN193" s="161"/>
      <c r="DO193" s="161"/>
      <c r="DP193" s="161"/>
      <c r="DQ193" s="161"/>
      <c r="DR193" s="161"/>
      <c r="DS193" s="161"/>
      <c r="DT193" s="161"/>
      <c r="DU193" s="161"/>
      <c r="DV193" s="162"/>
      <c r="DW193" s="168"/>
      <c r="DX193" s="168"/>
      <c r="DY193" s="168"/>
      <c r="DZ193" s="168"/>
      <c r="EA193" s="168"/>
      <c r="EB193" s="168"/>
      <c r="EC193" s="168"/>
      <c r="ED193" s="169"/>
      <c r="EE193" s="169"/>
      <c r="EF193" s="165"/>
      <c r="EG193" s="170"/>
      <c r="EH193" s="174"/>
      <c r="EI193" s="174"/>
      <c r="EJ193" s="174"/>
      <c r="EK193" s="174"/>
      <c r="EL193" s="174"/>
      <c r="EM193" s="174"/>
      <c r="EN193" s="174"/>
      <c r="EO193" s="164"/>
      <c r="EP193" s="172"/>
      <c r="EQ193" s="171"/>
      <c r="ER193" s="161"/>
      <c r="ES193" s="161"/>
      <c r="ET193" s="164"/>
      <c r="EU193" s="164"/>
      <c r="EV193" s="164"/>
      <c r="EW193" s="172"/>
      <c r="EX193" s="171"/>
      <c r="EY193" s="161"/>
      <c r="EZ193" s="161"/>
      <c r="FA193" s="161"/>
      <c r="FB193" s="161"/>
      <c r="FC193" s="161"/>
      <c r="FD193" s="161"/>
      <c r="FE193" s="161"/>
      <c r="FF193" s="161"/>
      <c r="FG193" s="161"/>
      <c r="FH193" s="161"/>
    </row>
    <row r="194" spans="60:164">
      <c r="BH194" s="7"/>
      <c r="BI194" s="33"/>
      <c r="BJ194" s="33"/>
      <c r="BK194" s="33"/>
      <c r="BL194" s="33"/>
      <c r="BM194" s="33"/>
      <c r="BN194" s="33"/>
      <c r="BO194" s="8"/>
      <c r="BP194" s="160"/>
      <c r="BQ194" s="136"/>
      <c r="BR194" s="20"/>
      <c r="BS194" s="20"/>
      <c r="BT194" s="8"/>
      <c r="BU194" s="8"/>
      <c r="BV194" s="8"/>
      <c r="BW194" s="160"/>
      <c r="BX194" s="136"/>
      <c r="BY194" s="20"/>
      <c r="BZ194" s="20"/>
      <c r="CA194" s="20"/>
      <c r="CB194" s="20"/>
      <c r="CC194" s="20"/>
      <c r="CD194" s="20"/>
      <c r="CE194" s="20"/>
      <c r="CF194" s="20"/>
      <c r="CG194" s="20"/>
      <c r="CH194" s="20"/>
      <c r="DA194" s="161"/>
      <c r="DB194" s="162"/>
      <c r="DC194" s="163"/>
      <c r="DD194" s="163"/>
      <c r="DE194" s="162"/>
      <c r="DF194" s="162"/>
      <c r="DG194" s="162"/>
      <c r="DH194" s="164"/>
      <c r="DI194" s="164"/>
      <c r="DJ194" s="164"/>
      <c r="DK194" s="165"/>
      <c r="DL194" s="165"/>
      <c r="DM194" s="166"/>
      <c r="DN194" s="161"/>
      <c r="DO194" s="161"/>
      <c r="DP194" s="161"/>
      <c r="DQ194" s="161"/>
      <c r="DR194" s="161"/>
      <c r="DS194" s="161"/>
      <c r="DT194" s="161"/>
      <c r="DU194" s="161"/>
      <c r="DV194" s="162"/>
      <c r="DW194" s="168"/>
      <c r="DX194" s="168"/>
      <c r="DY194" s="168"/>
      <c r="DZ194" s="168"/>
      <c r="EA194" s="168"/>
      <c r="EB194" s="168"/>
      <c r="EC194" s="168"/>
      <c r="ED194" s="169"/>
      <c r="EE194" s="169"/>
      <c r="EF194" s="165"/>
      <c r="EG194" s="170"/>
      <c r="EH194" s="174"/>
      <c r="EI194" s="174"/>
      <c r="EJ194" s="174"/>
      <c r="EK194" s="174"/>
      <c r="EL194" s="174"/>
      <c r="EM194" s="174"/>
      <c r="EN194" s="174"/>
      <c r="EO194" s="164"/>
      <c r="EP194" s="172"/>
      <c r="EQ194" s="171"/>
      <c r="ER194" s="161"/>
      <c r="ES194" s="161"/>
      <c r="ET194" s="164"/>
      <c r="EU194" s="164"/>
      <c r="EV194" s="164"/>
      <c r="EW194" s="172"/>
      <c r="EX194" s="171"/>
      <c r="EY194" s="161"/>
      <c r="EZ194" s="161"/>
      <c r="FA194" s="161"/>
      <c r="FB194" s="161"/>
      <c r="FC194" s="161"/>
      <c r="FD194" s="161"/>
      <c r="FE194" s="161"/>
      <c r="FF194" s="161"/>
      <c r="FG194" s="161"/>
      <c r="FH194" s="161"/>
    </row>
    <row r="195" spans="60:164">
      <c r="BH195" s="7"/>
      <c r="BI195" s="33"/>
      <c r="BJ195" s="33"/>
      <c r="BK195" s="33"/>
      <c r="BL195" s="33"/>
      <c r="BM195" s="33"/>
      <c r="BN195" s="33"/>
      <c r="BO195" s="8"/>
      <c r="BP195" s="160"/>
      <c r="BQ195" s="136"/>
      <c r="BR195" s="20"/>
      <c r="BS195" s="20"/>
      <c r="BT195" s="8"/>
      <c r="BU195" s="8"/>
      <c r="BV195" s="8"/>
      <c r="BW195" s="160"/>
      <c r="BX195" s="136"/>
      <c r="BY195" s="20"/>
      <c r="BZ195" s="20"/>
      <c r="CA195" s="20"/>
      <c r="CB195" s="20"/>
      <c r="CC195" s="20"/>
      <c r="CD195" s="20"/>
      <c r="CE195" s="20"/>
      <c r="CF195" s="20"/>
      <c r="CG195" s="20"/>
      <c r="CH195" s="20"/>
      <c r="DA195" s="161"/>
      <c r="DB195" s="162"/>
      <c r="DC195" s="163"/>
      <c r="DD195" s="163"/>
      <c r="DE195" s="162"/>
      <c r="DF195" s="162"/>
      <c r="DG195" s="162"/>
      <c r="DH195" s="164"/>
      <c r="DI195" s="164"/>
      <c r="DJ195" s="164"/>
      <c r="DK195" s="165"/>
      <c r="DL195" s="165"/>
      <c r="DM195" s="166"/>
      <c r="DN195" s="161"/>
      <c r="DO195" s="161"/>
      <c r="DP195" s="161"/>
      <c r="DQ195" s="161"/>
      <c r="DR195" s="161"/>
      <c r="DS195" s="161"/>
      <c r="DT195" s="161"/>
      <c r="DU195" s="161"/>
      <c r="DV195" s="162"/>
      <c r="DW195" s="168"/>
      <c r="DX195" s="168"/>
      <c r="DY195" s="168"/>
      <c r="DZ195" s="168"/>
      <c r="EA195" s="168"/>
      <c r="EB195" s="168"/>
      <c r="EC195" s="168"/>
      <c r="ED195" s="169"/>
      <c r="EE195" s="169"/>
      <c r="EF195" s="165"/>
      <c r="EG195" s="170"/>
      <c r="EH195" s="174"/>
      <c r="EI195" s="174"/>
      <c r="EJ195" s="174"/>
      <c r="EK195" s="174"/>
      <c r="EL195" s="174"/>
      <c r="EM195" s="174"/>
      <c r="EN195" s="174"/>
      <c r="EO195" s="164"/>
      <c r="EP195" s="172"/>
      <c r="EQ195" s="171"/>
      <c r="ER195" s="161"/>
      <c r="ES195" s="161"/>
      <c r="ET195" s="164"/>
      <c r="EU195" s="164"/>
      <c r="EV195" s="164"/>
      <c r="EW195" s="172"/>
      <c r="EX195" s="171"/>
      <c r="EY195" s="161"/>
      <c r="EZ195" s="161"/>
      <c r="FA195" s="161"/>
      <c r="FB195" s="161"/>
      <c r="FC195" s="161"/>
      <c r="FD195" s="161"/>
      <c r="FE195" s="161"/>
      <c r="FF195" s="161"/>
      <c r="FG195" s="161"/>
      <c r="FH195" s="161"/>
    </row>
    <row r="196" spans="60:164">
      <c r="BH196" s="7"/>
      <c r="BI196" s="33"/>
      <c r="BJ196" s="33"/>
      <c r="BK196" s="33"/>
      <c r="BL196" s="33"/>
      <c r="BM196" s="33"/>
      <c r="BN196" s="33"/>
      <c r="BO196" s="8"/>
      <c r="BP196" s="160"/>
      <c r="BQ196" s="136"/>
      <c r="BR196" s="20"/>
      <c r="BS196" s="20"/>
      <c r="BT196" s="8"/>
      <c r="BU196" s="8"/>
      <c r="BV196" s="8"/>
      <c r="BW196" s="160"/>
      <c r="BX196" s="136"/>
      <c r="BY196" s="20"/>
      <c r="BZ196" s="20"/>
      <c r="CA196" s="20"/>
      <c r="CB196" s="20"/>
      <c r="CC196" s="20"/>
      <c r="CD196" s="20"/>
      <c r="CE196" s="20"/>
      <c r="CF196" s="20"/>
      <c r="CG196" s="20"/>
      <c r="CH196" s="20"/>
      <c r="DA196" s="161"/>
      <c r="DB196" s="162"/>
      <c r="DC196" s="163"/>
      <c r="DD196" s="163"/>
      <c r="DE196" s="162"/>
      <c r="DF196" s="162"/>
      <c r="DG196" s="162"/>
      <c r="DH196" s="164"/>
      <c r="DI196" s="164"/>
      <c r="DJ196" s="164"/>
      <c r="DK196" s="165"/>
      <c r="DL196" s="165"/>
      <c r="DM196" s="166"/>
      <c r="DN196" s="161"/>
      <c r="DO196" s="161"/>
      <c r="DP196" s="161"/>
      <c r="DQ196" s="161"/>
      <c r="DR196" s="161"/>
      <c r="DS196" s="161"/>
      <c r="DT196" s="161"/>
      <c r="DU196" s="161"/>
      <c r="DV196" s="162"/>
      <c r="DW196" s="168"/>
      <c r="DX196" s="168"/>
      <c r="DY196" s="168"/>
      <c r="DZ196" s="168"/>
      <c r="EA196" s="168"/>
      <c r="EB196" s="168"/>
      <c r="EC196" s="168"/>
      <c r="ED196" s="169"/>
      <c r="EE196" s="169"/>
      <c r="EF196" s="165"/>
      <c r="EG196" s="170"/>
      <c r="EH196" s="174"/>
      <c r="EI196" s="174"/>
      <c r="EJ196" s="174"/>
      <c r="EK196" s="174"/>
      <c r="EL196" s="174"/>
      <c r="EM196" s="174"/>
      <c r="EN196" s="174"/>
      <c r="EO196" s="164"/>
      <c r="EP196" s="172"/>
      <c r="EQ196" s="171"/>
      <c r="ER196" s="161"/>
      <c r="ES196" s="161"/>
      <c r="ET196" s="164"/>
      <c r="EU196" s="164"/>
      <c r="EV196" s="164"/>
      <c r="EW196" s="172"/>
      <c r="EX196" s="171"/>
      <c r="EY196" s="161"/>
      <c r="EZ196" s="161"/>
      <c r="FA196" s="161"/>
      <c r="FB196" s="161"/>
      <c r="FC196" s="161"/>
      <c r="FD196" s="161"/>
      <c r="FE196" s="161"/>
      <c r="FF196" s="161"/>
      <c r="FG196" s="161"/>
      <c r="FH196" s="161"/>
    </row>
    <row r="197" spans="60:164">
      <c r="BH197" s="7"/>
      <c r="BI197" s="33"/>
      <c r="BJ197" s="33"/>
      <c r="BK197" s="33"/>
      <c r="BL197" s="33"/>
      <c r="BM197" s="33"/>
      <c r="BN197" s="33"/>
      <c r="BO197" s="8"/>
      <c r="BP197" s="160"/>
      <c r="BQ197" s="136"/>
      <c r="BR197" s="20"/>
      <c r="BS197" s="20"/>
      <c r="BT197" s="8"/>
      <c r="BU197" s="8"/>
      <c r="BV197" s="8"/>
      <c r="BW197" s="160"/>
      <c r="BX197" s="136"/>
      <c r="BY197" s="20"/>
      <c r="BZ197" s="20"/>
      <c r="CA197" s="20"/>
      <c r="CB197" s="20"/>
      <c r="CC197" s="20"/>
      <c r="CD197" s="20"/>
      <c r="CE197" s="20"/>
      <c r="CF197" s="20"/>
      <c r="CG197" s="20"/>
      <c r="CH197" s="20"/>
      <c r="DA197" s="161"/>
      <c r="DB197" s="162"/>
      <c r="DC197" s="163"/>
      <c r="DD197" s="163"/>
      <c r="DE197" s="162"/>
      <c r="DF197" s="162"/>
      <c r="DG197" s="162"/>
      <c r="DH197" s="164"/>
      <c r="DI197" s="164"/>
      <c r="DJ197" s="164"/>
      <c r="DK197" s="165"/>
      <c r="DL197" s="165"/>
      <c r="DM197" s="166"/>
      <c r="DN197" s="161"/>
      <c r="DO197" s="161"/>
      <c r="DP197" s="161"/>
      <c r="DQ197" s="161"/>
      <c r="DR197" s="161"/>
      <c r="DS197" s="161"/>
      <c r="DT197" s="161"/>
      <c r="DU197" s="161"/>
      <c r="DV197" s="162"/>
      <c r="DW197" s="168"/>
      <c r="DX197" s="168"/>
      <c r="DY197" s="168"/>
      <c r="DZ197" s="168"/>
      <c r="EA197" s="168"/>
      <c r="EB197" s="168"/>
      <c r="EC197" s="168"/>
      <c r="ED197" s="169"/>
      <c r="EE197" s="169"/>
      <c r="EF197" s="165"/>
      <c r="EG197" s="170"/>
      <c r="EH197" s="174"/>
      <c r="EI197" s="174"/>
      <c r="EJ197" s="174"/>
      <c r="EK197" s="174"/>
      <c r="EL197" s="174"/>
      <c r="EM197" s="174"/>
      <c r="EN197" s="174"/>
      <c r="EO197" s="164"/>
      <c r="EP197" s="172"/>
      <c r="EQ197" s="171"/>
      <c r="ER197" s="161"/>
      <c r="ES197" s="161"/>
      <c r="ET197" s="164"/>
      <c r="EU197" s="164"/>
      <c r="EV197" s="164"/>
      <c r="EW197" s="172"/>
      <c r="EX197" s="171"/>
      <c r="EY197" s="161"/>
      <c r="EZ197" s="161"/>
      <c r="FA197" s="161"/>
      <c r="FB197" s="161"/>
      <c r="FC197" s="161"/>
      <c r="FD197" s="161"/>
      <c r="FE197" s="161"/>
      <c r="FF197" s="161"/>
      <c r="FG197" s="161"/>
      <c r="FH197" s="161"/>
    </row>
    <row r="198" spans="60:164">
      <c r="BH198" s="7"/>
      <c r="BI198" s="33"/>
      <c r="BJ198" s="33"/>
      <c r="BK198" s="33"/>
      <c r="BL198" s="33"/>
      <c r="BM198" s="33"/>
      <c r="BN198" s="33"/>
      <c r="BO198" s="8"/>
      <c r="BP198" s="160"/>
      <c r="BQ198" s="136"/>
      <c r="BR198" s="20"/>
      <c r="BS198" s="20"/>
      <c r="BT198" s="8"/>
      <c r="BU198" s="8"/>
      <c r="BV198" s="8"/>
      <c r="BW198" s="160"/>
      <c r="BX198" s="136"/>
      <c r="BY198" s="20"/>
      <c r="BZ198" s="20"/>
      <c r="CA198" s="20"/>
      <c r="CB198" s="20"/>
      <c r="CC198" s="20"/>
      <c r="CD198" s="20"/>
      <c r="CE198" s="20"/>
      <c r="CF198" s="20"/>
      <c r="CG198" s="20"/>
      <c r="CH198" s="20"/>
      <c r="DA198" s="161"/>
      <c r="DB198" s="162"/>
      <c r="DC198" s="163"/>
      <c r="DD198" s="163"/>
      <c r="DE198" s="162"/>
      <c r="DF198" s="162"/>
      <c r="DG198" s="162"/>
      <c r="DH198" s="164"/>
      <c r="DI198" s="164"/>
      <c r="DJ198" s="164"/>
      <c r="DK198" s="165"/>
      <c r="DL198" s="165"/>
      <c r="DM198" s="166"/>
      <c r="DN198" s="161"/>
      <c r="DO198" s="161"/>
      <c r="DP198" s="161"/>
      <c r="DQ198" s="161"/>
      <c r="DR198" s="161"/>
      <c r="DS198" s="161"/>
      <c r="DT198" s="161"/>
      <c r="DU198" s="161"/>
      <c r="DV198" s="162"/>
      <c r="DW198" s="168"/>
      <c r="DX198" s="168"/>
      <c r="DY198" s="168"/>
      <c r="DZ198" s="168"/>
      <c r="EA198" s="168"/>
      <c r="EB198" s="168"/>
      <c r="EC198" s="168"/>
      <c r="ED198" s="169"/>
      <c r="EE198" s="169"/>
      <c r="EF198" s="165"/>
      <c r="EG198" s="170"/>
      <c r="EH198" s="174"/>
      <c r="EI198" s="174"/>
      <c r="EJ198" s="174"/>
      <c r="EK198" s="174"/>
      <c r="EL198" s="174"/>
      <c r="EM198" s="174"/>
      <c r="EN198" s="174"/>
      <c r="EO198" s="164"/>
      <c r="EP198" s="172"/>
      <c r="EQ198" s="171"/>
      <c r="ER198" s="161"/>
      <c r="ES198" s="161"/>
      <c r="ET198" s="164"/>
      <c r="EU198" s="164"/>
      <c r="EV198" s="164"/>
      <c r="EW198" s="172"/>
      <c r="EX198" s="171"/>
      <c r="EY198" s="161"/>
      <c r="EZ198" s="161"/>
      <c r="FA198" s="161"/>
      <c r="FB198" s="161"/>
      <c r="FC198" s="161"/>
      <c r="FD198" s="161"/>
      <c r="FE198" s="161"/>
      <c r="FF198" s="161"/>
      <c r="FG198" s="161"/>
      <c r="FH198" s="161"/>
    </row>
    <row r="199" spans="60:164">
      <c r="BH199" s="7"/>
    </row>
    <row r="200" spans="60:164">
      <c r="BH200" s="7"/>
    </row>
    <row r="201" spans="60:164">
      <c r="BH201" s="7"/>
    </row>
    <row r="202" spans="60:164">
      <c r="BH202" s="7"/>
    </row>
    <row r="203" spans="60:164">
      <c r="BH203" s="7"/>
    </row>
    <row r="204" spans="60:164">
      <c r="BH204" s="7"/>
    </row>
    <row r="205" spans="60:164">
      <c r="BH205" s="7"/>
    </row>
    <row r="206" spans="60:164">
      <c r="BH206" s="7"/>
    </row>
    <row r="207" spans="60:164">
      <c r="BH207" s="7"/>
    </row>
    <row r="208" spans="60:164">
      <c r="BH208" s="7"/>
    </row>
    <row r="209" spans="60:60">
      <c r="BH209" s="7"/>
    </row>
    <row r="210" spans="60:60">
      <c r="BH210" s="7"/>
    </row>
    <row r="211" spans="60:60">
      <c r="BH211" s="7"/>
    </row>
    <row r="212" spans="60:60">
      <c r="BH212" s="7"/>
    </row>
    <row r="213" spans="60:60">
      <c r="BH213" s="7"/>
    </row>
    <row r="214" spans="60:60">
      <c r="BH214" s="7"/>
    </row>
    <row r="215" spans="60:60">
      <c r="BH215" s="7"/>
    </row>
    <row r="216" spans="60:60">
      <c r="BH216" s="7"/>
    </row>
    <row r="217" spans="60:60">
      <c r="BH217" s="7"/>
    </row>
    <row r="218" spans="60:60">
      <c r="BH218" s="7"/>
    </row>
    <row r="219" spans="60:60">
      <c r="BH219" s="7"/>
    </row>
    <row r="220" spans="60:60">
      <c r="BH220" s="7"/>
    </row>
    <row r="221" spans="60:60">
      <c r="BH221" s="7"/>
    </row>
    <row r="222" spans="60:60">
      <c r="BH222" s="7"/>
    </row>
    <row r="223" spans="60:60">
      <c r="BH223" s="7"/>
    </row>
    <row r="224" spans="60:60">
      <c r="BH224" s="7"/>
    </row>
    <row r="225" spans="60:60">
      <c r="BH225" s="7"/>
    </row>
    <row r="226" spans="60:60">
      <c r="BH226" s="7"/>
    </row>
    <row r="227" spans="60:60">
      <c r="BH227" s="7"/>
    </row>
    <row r="228" spans="60:60">
      <c r="BH228" s="7"/>
    </row>
    <row r="229" spans="60:60">
      <c r="BH229" s="7"/>
    </row>
    <row r="230" spans="60:60">
      <c r="BH230" s="7"/>
    </row>
    <row r="231" spans="60:60">
      <c r="BH231" s="7"/>
    </row>
    <row r="232" spans="60:60">
      <c r="BH232" s="7"/>
    </row>
    <row r="233" spans="60:60">
      <c r="BH233" s="7"/>
    </row>
    <row r="234" spans="60:60">
      <c r="BH234" s="7"/>
    </row>
    <row r="235" spans="60:60">
      <c r="BH235" s="7"/>
    </row>
    <row r="236" spans="60:60">
      <c r="BH236" s="7"/>
    </row>
    <row r="237" spans="60:60">
      <c r="BH237" s="7"/>
    </row>
    <row r="238" spans="60:60">
      <c r="BH238" s="7"/>
    </row>
    <row r="239" spans="60:60">
      <c r="BH239" s="7"/>
    </row>
    <row r="240" spans="60:60">
      <c r="BH240" s="7"/>
    </row>
    <row r="241" spans="60:60">
      <c r="BH241" s="7"/>
    </row>
    <row r="242" spans="60:60">
      <c r="BH242" s="7"/>
    </row>
    <row r="243" spans="60:60">
      <c r="BH243" s="7"/>
    </row>
    <row r="244" spans="60:60">
      <c r="BH244" s="7"/>
    </row>
    <row r="245" spans="60:60">
      <c r="BH245" s="7"/>
    </row>
    <row r="246" spans="60:60">
      <c r="BH246" s="7"/>
    </row>
    <row r="247" spans="60:60">
      <c r="BH247" s="7"/>
    </row>
    <row r="248" spans="60:60">
      <c r="BH248" s="7"/>
    </row>
    <row r="249" spans="60:60">
      <c r="BH249" s="7"/>
    </row>
    <row r="250" spans="60:60">
      <c r="BH250" s="7"/>
    </row>
    <row r="251" spans="60:60">
      <c r="BH251" s="7"/>
    </row>
    <row r="252" spans="60:60">
      <c r="BH252" s="7"/>
    </row>
    <row r="253" spans="60:60">
      <c r="BH253" s="7"/>
    </row>
    <row r="254" spans="60:60">
      <c r="BH254" s="7"/>
    </row>
    <row r="255" spans="60:60">
      <c r="BH255" s="7"/>
    </row>
    <row r="256" spans="60:60">
      <c r="BH256" s="7"/>
    </row>
    <row r="257" spans="60:60">
      <c r="BH257" s="7"/>
    </row>
    <row r="258" spans="60:60">
      <c r="BH258" s="7"/>
    </row>
    <row r="259" spans="60:60">
      <c r="BH259" s="7"/>
    </row>
    <row r="260" spans="60:60">
      <c r="BH260" s="7"/>
    </row>
    <row r="261" spans="60:60">
      <c r="BH261" s="7"/>
    </row>
    <row r="262" spans="60:60">
      <c r="BH262" s="7"/>
    </row>
    <row r="263" spans="60:60">
      <c r="BH263" s="7"/>
    </row>
    <row r="264" spans="60:60">
      <c r="BH264" s="7"/>
    </row>
    <row r="265" spans="60:60">
      <c r="BH265" s="7"/>
    </row>
    <row r="266" spans="60:60">
      <c r="BH266" s="7"/>
    </row>
    <row r="267" spans="60:60">
      <c r="BH267" s="7"/>
    </row>
    <row r="268" spans="60:60">
      <c r="BH268" s="7"/>
    </row>
    <row r="269" spans="60:60">
      <c r="BH269" s="7"/>
    </row>
    <row r="270" spans="60:60">
      <c r="BH270" s="7"/>
    </row>
    <row r="271" spans="60:60">
      <c r="BH271" s="7"/>
    </row>
    <row r="272" spans="60:60">
      <c r="BH272" s="7"/>
    </row>
    <row r="273" spans="60:60">
      <c r="BH273" s="7"/>
    </row>
    <row r="274" spans="60:60">
      <c r="BH274" s="7"/>
    </row>
    <row r="275" spans="60:60">
      <c r="BH275" s="7"/>
    </row>
    <row r="276" spans="60:60">
      <c r="BH276" s="7"/>
    </row>
    <row r="277" spans="60:60">
      <c r="BH277" s="7"/>
    </row>
    <row r="278" spans="60:60">
      <c r="BH278" s="7"/>
    </row>
    <row r="279" spans="60:60">
      <c r="BH279" s="7"/>
    </row>
    <row r="280" spans="60:60">
      <c r="BH280" s="7"/>
    </row>
    <row r="281" spans="60:60">
      <c r="BH281" s="7"/>
    </row>
    <row r="282" spans="60:60">
      <c r="BH282" s="7"/>
    </row>
    <row r="283" spans="60:60">
      <c r="BH283" s="7"/>
    </row>
    <row r="284" spans="60:60">
      <c r="BH284" s="7"/>
    </row>
    <row r="285" spans="60:60">
      <c r="BH285" s="7"/>
    </row>
    <row r="286" spans="60:60">
      <c r="BH286" s="7"/>
    </row>
    <row r="287" spans="60:60">
      <c r="BH287" s="7"/>
    </row>
    <row r="288" spans="60:60">
      <c r="BH288" s="7"/>
    </row>
    <row r="289" spans="60:60">
      <c r="BH289" s="7"/>
    </row>
    <row r="290" spans="60:60">
      <c r="BH290" s="7"/>
    </row>
    <row r="291" spans="60:60">
      <c r="BH291" s="7"/>
    </row>
    <row r="292" spans="60:60">
      <c r="BH292" s="7"/>
    </row>
    <row r="293" spans="60:60">
      <c r="BH293" s="7"/>
    </row>
    <row r="294" spans="60:60">
      <c r="BH294" s="7"/>
    </row>
    <row r="295" spans="60:60">
      <c r="BH295" s="7"/>
    </row>
    <row r="296" spans="60:60">
      <c r="BH296" s="7"/>
    </row>
    <row r="297" spans="60:60">
      <c r="BH297" s="7"/>
    </row>
    <row r="298" spans="60:60">
      <c r="BH298" s="7"/>
    </row>
    <row r="299" spans="60:60">
      <c r="BH299" s="7"/>
    </row>
    <row r="300" spans="60:60">
      <c r="BH300" s="7"/>
    </row>
    <row r="301" spans="60:60">
      <c r="BH301" s="7"/>
    </row>
    <row r="302" spans="60:60">
      <c r="BH302" s="7"/>
    </row>
    <row r="303" spans="60:60">
      <c r="BH303" s="7"/>
    </row>
    <row r="304" spans="60:60">
      <c r="BH304" s="7"/>
    </row>
    <row r="305" spans="60:60">
      <c r="BH305" s="7"/>
    </row>
    <row r="306" spans="60:60">
      <c r="BH306" s="7"/>
    </row>
    <row r="307" spans="60:60">
      <c r="BH307" s="7"/>
    </row>
    <row r="308" spans="60:60">
      <c r="BH308" s="7"/>
    </row>
    <row r="309" spans="60:60">
      <c r="BH309" s="7"/>
    </row>
    <row r="310" spans="60:60">
      <c r="BH310" s="7"/>
    </row>
    <row r="311" spans="60:60">
      <c r="BH311" s="7"/>
    </row>
    <row r="312" spans="60:60">
      <c r="BH312" s="7"/>
    </row>
    <row r="313" spans="60:60">
      <c r="BH313" s="7"/>
    </row>
    <row r="314" spans="60:60">
      <c r="BH314" s="7"/>
    </row>
    <row r="315" spans="60:60">
      <c r="BH315" s="7"/>
    </row>
    <row r="316" spans="60:60">
      <c r="BH316" s="7"/>
    </row>
    <row r="317" spans="60:60">
      <c r="BH317" s="7"/>
    </row>
    <row r="318" spans="60:60">
      <c r="BH318" s="7"/>
    </row>
    <row r="319" spans="60:60">
      <c r="BH319" s="7"/>
    </row>
    <row r="320" spans="60:60">
      <c r="BH320" s="7"/>
    </row>
    <row r="321" spans="60:60">
      <c r="BH321" s="7"/>
    </row>
    <row r="322" spans="60:60">
      <c r="BH322" s="7"/>
    </row>
    <row r="323" spans="60:60">
      <c r="BH323" s="7"/>
    </row>
    <row r="324" spans="60:60">
      <c r="BH324" s="7"/>
    </row>
    <row r="325" spans="60:60">
      <c r="BH325" s="7"/>
    </row>
    <row r="326" spans="60:60">
      <c r="BH326" s="7"/>
    </row>
    <row r="327" spans="60:60">
      <c r="BH327" s="7"/>
    </row>
    <row r="328" spans="60:60">
      <c r="BH328" s="7"/>
    </row>
    <row r="329" spans="60:60">
      <c r="BH329" s="7"/>
    </row>
    <row r="330" spans="60:60">
      <c r="BH330" s="7"/>
    </row>
    <row r="331" spans="60:60">
      <c r="BH331" s="7"/>
    </row>
    <row r="332" spans="60:60">
      <c r="BH332" s="7"/>
    </row>
    <row r="333" spans="60:60">
      <c r="BH333" s="7"/>
    </row>
    <row r="334" spans="60:60">
      <c r="BH334" s="7"/>
    </row>
    <row r="335" spans="60:60">
      <c r="BH335" s="7"/>
    </row>
    <row r="336" spans="60:60">
      <c r="BH336" s="7"/>
    </row>
    <row r="337" spans="60:60">
      <c r="BH337" s="7"/>
    </row>
    <row r="338" spans="60:60">
      <c r="BH338" s="7"/>
    </row>
    <row r="339" spans="60:60">
      <c r="BH339" s="7"/>
    </row>
    <row r="340" spans="60:60">
      <c r="BH340" s="7"/>
    </row>
    <row r="341" spans="60:60">
      <c r="BH341" s="7"/>
    </row>
    <row r="342" spans="60:60">
      <c r="BH342" s="7"/>
    </row>
    <row r="343" spans="60:60">
      <c r="BH343" s="7"/>
    </row>
    <row r="344" spans="60:60">
      <c r="BH344" s="7"/>
    </row>
    <row r="345" spans="60:60">
      <c r="BH345" s="7"/>
    </row>
    <row r="346" spans="60:60">
      <c r="BH346" s="7"/>
    </row>
    <row r="347" spans="60:60">
      <c r="BH347" s="7"/>
    </row>
    <row r="348" spans="60:60">
      <c r="BH348" s="7"/>
    </row>
    <row r="349" spans="60:60">
      <c r="BH349" s="7"/>
    </row>
    <row r="350" spans="60:60">
      <c r="BH350" s="7"/>
    </row>
    <row r="351" spans="60:60">
      <c r="BH351" s="7"/>
    </row>
    <row r="352" spans="60:60">
      <c r="BH352" s="7"/>
    </row>
    <row r="353" spans="60:60">
      <c r="BH353" s="7"/>
    </row>
    <row r="354" spans="60:60">
      <c r="BH354" s="7"/>
    </row>
    <row r="355" spans="60:60">
      <c r="BH355" s="7"/>
    </row>
    <row r="356" spans="60:60">
      <c r="BH356" s="7"/>
    </row>
    <row r="357" spans="60:60">
      <c r="BH357" s="7"/>
    </row>
    <row r="358" spans="60:60">
      <c r="BH358" s="7"/>
    </row>
    <row r="359" spans="60:60">
      <c r="BH359" s="7"/>
    </row>
    <row r="360" spans="60:60">
      <c r="BH360" s="7"/>
    </row>
    <row r="361" spans="60:60">
      <c r="BH361" s="7"/>
    </row>
    <row r="362" spans="60:60">
      <c r="BH362" s="7"/>
    </row>
    <row r="363" spans="60:60">
      <c r="BH363" s="7"/>
    </row>
    <row r="364" spans="60:60">
      <c r="BH364" s="7"/>
    </row>
    <row r="365" spans="60:60">
      <c r="BH365" s="7"/>
    </row>
    <row r="366" spans="60:60">
      <c r="BH366" s="7"/>
    </row>
    <row r="367" spans="60:60">
      <c r="BH367" s="7"/>
    </row>
    <row r="368" spans="60:60">
      <c r="BH368" s="7"/>
    </row>
    <row r="369" spans="60:60">
      <c r="BH369" s="7"/>
    </row>
    <row r="370" spans="60:60">
      <c r="BH370" s="7"/>
    </row>
    <row r="371" spans="60:60">
      <c r="BH371" s="7"/>
    </row>
    <row r="372" spans="60:60">
      <c r="BH372" s="7"/>
    </row>
    <row r="373" spans="60:60">
      <c r="BH373" s="7"/>
    </row>
    <row r="374" spans="60:60">
      <c r="BH374" s="7"/>
    </row>
    <row r="375" spans="60:60">
      <c r="BH375" s="7"/>
    </row>
    <row r="376" spans="60:60">
      <c r="BH376" s="7"/>
    </row>
    <row r="377" spans="60:60">
      <c r="BH377" s="7"/>
    </row>
    <row r="378" spans="60:60">
      <c r="BH378" s="7"/>
    </row>
    <row r="379" spans="60:60">
      <c r="BH379" s="7"/>
    </row>
    <row r="380" spans="60:60">
      <c r="BH380" s="7"/>
    </row>
    <row r="381" spans="60:60">
      <c r="BH381" s="7"/>
    </row>
    <row r="382" spans="60:60">
      <c r="BH382" s="7"/>
    </row>
    <row r="383" spans="60:60">
      <c r="BH383" s="7"/>
    </row>
    <row r="384" spans="60:60">
      <c r="BH384" s="7"/>
    </row>
    <row r="385" spans="60:60">
      <c r="BH385" s="7"/>
    </row>
    <row r="386" spans="60:60">
      <c r="BH386" s="7"/>
    </row>
    <row r="387" spans="60:60">
      <c r="BH387" s="7"/>
    </row>
    <row r="388" spans="60:60">
      <c r="BH388" s="7"/>
    </row>
    <row r="389" spans="60:60">
      <c r="BH389" s="7"/>
    </row>
    <row r="390" spans="60:60">
      <c r="BH390" s="7"/>
    </row>
    <row r="391" spans="60:60">
      <c r="BH391" s="7"/>
    </row>
    <row r="392" spans="60:60">
      <c r="BH392" s="7"/>
    </row>
    <row r="393" spans="60:60">
      <c r="BH393" s="7"/>
    </row>
    <row r="394" spans="60:60">
      <c r="BH394" s="7"/>
    </row>
    <row r="395" spans="60:60">
      <c r="BH395" s="7"/>
    </row>
    <row r="396" spans="60:60">
      <c r="BH396" s="7"/>
    </row>
    <row r="397" spans="60:60">
      <c r="BH397" s="7"/>
    </row>
    <row r="398" spans="60:60">
      <c r="BH398" s="7"/>
    </row>
    <row r="399" spans="60:60">
      <c r="BH399" s="7"/>
    </row>
    <row r="400" spans="60:60">
      <c r="BH400" s="7"/>
    </row>
    <row r="401" spans="60:60">
      <c r="BH401" s="7"/>
    </row>
    <row r="402" spans="60:60">
      <c r="BH402" s="7"/>
    </row>
    <row r="403" spans="60:60">
      <c r="BH403" s="7"/>
    </row>
    <row r="404" spans="60:60">
      <c r="BH404" s="7"/>
    </row>
    <row r="405" spans="60:60">
      <c r="BH405" s="7"/>
    </row>
    <row r="406" spans="60:60">
      <c r="BH406" s="7"/>
    </row>
    <row r="407" spans="60:60">
      <c r="BH407" s="7"/>
    </row>
    <row r="408" spans="60:60">
      <c r="BH408" s="7"/>
    </row>
    <row r="409" spans="60:60">
      <c r="BH409" s="7"/>
    </row>
    <row r="410" spans="60:60">
      <c r="BH410" s="7"/>
    </row>
    <row r="411" spans="60:60">
      <c r="BH411" s="7"/>
    </row>
    <row r="412" spans="60:60">
      <c r="BH412" s="7"/>
    </row>
    <row r="413" spans="60:60">
      <c r="BH413" s="7"/>
    </row>
    <row r="414" spans="60:60">
      <c r="BH414" s="7"/>
    </row>
    <row r="415" spans="60:60">
      <c r="BH415" s="7"/>
    </row>
    <row r="416" spans="60:60">
      <c r="BH416" s="7"/>
    </row>
    <row r="417" spans="60:60">
      <c r="BH417" s="7"/>
    </row>
    <row r="418" spans="60:60">
      <c r="BH418" s="7"/>
    </row>
    <row r="419" spans="60:60">
      <c r="BH419" s="7"/>
    </row>
    <row r="420" spans="60:60">
      <c r="BH420" s="7"/>
    </row>
    <row r="421" spans="60:60">
      <c r="BH421" s="7"/>
    </row>
    <row r="422" spans="60:60">
      <c r="BH422" s="7"/>
    </row>
    <row r="423" spans="60:60">
      <c r="BH423" s="7"/>
    </row>
    <row r="424" spans="60:60">
      <c r="BH424" s="7"/>
    </row>
    <row r="425" spans="60:60">
      <c r="BH425" s="7"/>
    </row>
    <row r="426" spans="60:60">
      <c r="BH426" s="7"/>
    </row>
    <row r="427" spans="60:60">
      <c r="BH427" s="7"/>
    </row>
    <row r="428" spans="60:60">
      <c r="BH428" s="7"/>
    </row>
    <row r="429" spans="60:60">
      <c r="BH429" s="7"/>
    </row>
    <row r="430" spans="60:60">
      <c r="BH430" s="7"/>
    </row>
    <row r="431" spans="60:60">
      <c r="BH431" s="7"/>
    </row>
    <row r="432" spans="60:60">
      <c r="BH432" s="7"/>
    </row>
    <row r="433" spans="60:60">
      <c r="BH433" s="7"/>
    </row>
    <row r="434" spans="60:60">
      <c r="BH434" s="7"/>
    </row>
    <row r="435" spans="60:60">
      <c r="BH435" s="7"/>
    </row>
    <row r="436" spans="60:60">
      <c r="BH436" s="7"/>
    </row>
    <row r="437" spans="60:60">
      <c r="BH437" s="7"/>
    </row>
    <row r="438" spans="60:60">
      <c r="BH438" s="7"/>
    </row>
    <row r="439" spans="60:60">
      <c r="BH439" s="7"/>
    </row>
    <row r="440" spans="60:60">
      <c r="BH440" s="7"/>
    </row>
    <row r="441" spans="60:60">
      <c r="BH441" s="7"/>
    </row>
    <row r="442" spans="60:60">
      <c r="BH442" s="7"/>
    </row>
    <row r="443" spans="60:60">
      <c r="BH443" s="7"/>
    </row>
    <row r="444" spans="60:60">
      <c r="BH444" s="7"/>
    </row>
    <row r="445" spans="60:60">
      <c r="BH445" s="7"/>
    </row>
  </sheetData>
  <mergeCells count="121">
    <mergeCell ref="EX21:EX22"/>
    <mergeCell ref="EY21:EY22"/>
    <mergeCell ref="EZ21:EZ22"/>
    <mergeCell ref="FA21:FA22"/>
    <mergeCell ref="DA19:EB20"/>
    <mergeCell ref="EC19:EH20"/>
    <mergeCell ref="EI19:EL20"/>
    <mergeCell ref="EM19:ER20"/>
    <mergeCell ref="EO21:EO22"/>
    <mergeCell ref="EQ21:EQ22"/>
    <mergeCell ref="EV21:EV22"/>
    <mergeCell ref="FD21:FF21"/>
    <mergeCell ref="BS19:BY20"/>
    <mergeCell ref="ES19:EY20"/>
    <mergeCell ref="EI21:EI22"/>
    <mergeCell ref="EJ21:EJ22"/>
    <mergeCell ref="EK21:EK22"/>
    <mergeCell ref="EL21:EL22"/>
    <mergeCell ref="EM21:EM22"/>
    <mergeCell ref="DA21:DA22"/>
    <mergeCell ref="DB21:DB22"/>
    <mergeCell ref="DV21:DV22"/>
    <mergeCell ref="EG21:EG22"/>
    <mergeCell ref="EH21:EH22"/>
    <mergeCell ref="CD21:CF21"/>
    <mergeCell ref="CC21:CC22"/>
    <mergeCell ref="CG21:CH21"/>
    <mergeCell ref="EU21:EU22"/>
    <mergeCell ref="DA11:FH11"/>
    <mergeCell ref="DA12:FH12"/>
    <mergeCell ref="DD14:DE14"/>
    <mergeCell ref="DH14:DI14"/>
    <mergeCell ref="DD15:DE15"/>
    <mergeCell ref="DH15:DI15"/>
    <mergeCell ref="DH16:DI16"/>
    <mergeCell ref="DH17:DI17"/>
    <mergeCell ref="DJ18:DK18"/>
    <mergeCell ref="AH14:AI14"/>
    <mergeCell ref="AD15:AE15"/>
    <mergeCell ref="AH15:AI15"/>
    <mergeCell ref="FB21:FB22"/>
    <mergeCell ref="FC21:FC22"/>
    <mergeCell ref="FG21:FH21"/>
    <mergeCell ref="EZ19:FB20"/>
    <mergeCell ref="FC19:FH20"/>
    <mergeCell ref="CC19:CH20"/>
    <mergeCell ref="EN21:EN22"/>
    <mergeCell ref="ER21:ER22"/>
    <mergeCell ref="ES21:ES22"/>
    <mergeCell ref="ET21:ET22"/>
    <mergeCell ref="BI21:BI22"/>
    <mergeCell ref="BJ21:BJ22"/>
    <mergeCell ref="BM21:BM22"/>
    <mergeCell ref="BN21:BN22"/>
    <mergeCell ref="BV21:BV22"/>
    <mergeCell ref="BZ19:CB20"/>
    <mergeCell ref="CB21:CB22"/>
    <mergeCell ref="BO21:BO22"/>
    <mergeCell ref="BQ21:BQ22"/>
    <mergeCell ref="BR21:BR22"/>
    <mergeCell ref="BI19:BL20"/>
    <mergeCell ref="B11:J12"/>
    <mergeCell ref="AA11:CH11"/>
    <mergeCell ref="AA12:CH12"/>
    <mergeCell ref="K11:N12"/>
    <mergeCell ref="B13:D13"/>
    <mergeCell ref="B71:N71"/>
    <mergeCell ref="B68:N68"/>
    <mergeCell ref="P37:Q38"/>
    <mergeCell ref="B25:C25"/>
    <mergeCell ref="D25:E25"/>
    <mergeCell ref="F25:G25"/>
    <mergeCell ref="F26:F27"/>
    <mergeCell ref="B34:D34"/>
    <mergeCell ref="G30:G31"/>
    <mergeCell ref="H25:N25"/>
    <mergeCell ref="D30:D31"/>
    <mergeCell ref="G26:G27"/>
    <mergeCell ref="BC19:BH20"/>
    <mergeCell ref="BM19:BR20"/>
    <mergeCell ref="AJ18:AK18"/>
    <mergeCell ref="AH17:AI17"/>
    <mergeCell ref="AH16:AI16"/>
    <mergeCell ref="AA19:BB20"/>
    <mergeCell ref="AD14:AE14"/>
    <mergeCell ref="B74:N74"/>
    <mergeCell ref="B75:F75"/>
    <mergeCell ref="G75:H75"/>
    <mergeCell ref="I75:I76"/>
    <mergeCell ref="J75:J76"/>
    <mergeCell ref="K75:N77"/>
    <mergeCell ref="CA21:CA22"/>
    <mergeCell ref="BT21:BT22"/>
    <mergeCell ref="BX21:BX22"/>
    <mergeCell ref="BY21:BY22"/>
    <mergeCell ref="BS21:BS22"/>
    <mergeCell ref="BU21:BU22"/>
    <mergeCell ref="BK21:BK22"/>
    <mergeCell ref="BL21:BL22"/>
    <mergeCell ref="BH21:BH22"/>
    <mergeCell ref="BG21:BG22"/>
    <mergeCell ref="AB21:AB22"/>
    <mergeCell ref="AV21:AV22"/>
    <mergeCell ref="BZ21:BZ22"/>
    <mergeCell ref="I89:N89"/>
    <mergeCell ref="I90:N90"/>
    <mergeCell ref="L95:N95"/>
    <mergeCell ref="L96:M96"/>
    <mergeCell ref="L97:M97"/>
    <mergeCell ref="L98:M98"/>
    <mergeCell ref="I99:M99"/>
    <mergeCell ref="I100:M100"/>
    <mergeCell ref="I79:N79"/>
    <mergeCell ref="I80:N80"/>
    <mergeCell ref="I84:J84"/>
    <mergeCell ref="L84:M84"/>
    <mergeCell ref="I85:J85"/>
    <mergeCell ref="L85:M85"/>
    <mergeCell ref="I86:M86"/>
    <mergeCell ref="I87:M87"/>
    <mergeCell ref="I88:M88"/>
  </mergeCells>
  <phoneticPr fontId="54" type="noConversion"/>
  <conditionalFormatting sqref="N41">
    <cfRule type="containsText" dxfId="20" priority="62" operator="containsText" text="Check">
      <formula>NOT(ISERROR(SEARCH("Check",N41)))</formula>
    </cfRule>
    <cfRule type="containsText" dxfId="19" priority="63" operator="containsText" text="OK">
      <formula>NOT(ISERROR(SEARCH("OK",N41)))</formula>
    </cfRule>
  </conditionalFormatting>
  <conditionalFormatting sqref="BG138:BG999989 EG52:EG76">
    <cfRule type="cellIs" dxfId="18" priority="56" operator="greaterThan">
      <formula>1</formula>
    </cfRule>
  </conditionalFormatting>
  <conditionalFormatting sqref="CB23:CB14156 BY23:BY14156 CH23:CH14156 BM23:BN137 CF23:CF14156 BJ23:BK137 BR23:BS14156 BH23:BH445 ER52:ES76 FB23:FB76 FF23:FF76 EY23:EY76 FH23:FH76">
    <cfRule type="containsText" dxfId="17" priority="50" operator="containsText" text="Check">
      <formula>NOT(ISERROR(SEARCH("Check",BH23)))</formula>
    </cfRule>
    <cfRule type="cellIs" dxfId="16" priority="51" operator="equal">
      <formula>"OK"</formula>
    </cfRule>
  </conditionalFormatting>
  <conditionalFormatting sqref="N47">
    <cfRule type="containsText" dxfId="15" priority="20" operator="containsText" text="Check">
      <formula>NOT(ISERROR(SEARCH("Check",N47)))</formula>
    </cfRule>
    <cfRule type="containsText" dxfId="14" priority="21" operator="containsText" text="OK">
      <formula>NOT(ISERROR(SEARCH("OK",N47)))</formula>
    </cfRule>
  </conditionalFormatting>
  <conditionalFormatting sqref="N52">
    <cfRule type="containsText" dxfId="13" priority="18" operator="containsText" text="Check">
      <formula>NOT(ISERROR(SEARCH("Check",N52)))</formula>
    </cfRule>
    <cfRule type="containsText" dxfId="12" priority="19" operator="containsText" text="OK">
      <formula>NOT(ISERROR(SEARCH("OK",N52)))</formula>
    </cfRule>
  </conditionalFormatting>
  <conditionalFormatting sqref="N54">
    <cfRule type="containsText" dxfId="11" priority="14" operator="containsText" text="Check">
      <formula>NOT(ISERROR(SEARCH("Check",N54)))</formula>
    </cfRule>
    <cfRule type="containsText" dxfId="10" priority="15" operator="containsText" text="OK">
      <formula>NOT(ISERROR(SEARCH("OK",N54)))</formula>
    </cfRule>
  </conditionalFormatting>
  <conditionalFormatting sqref="N56:N57">
    <cfRule type="containsText" dxfId="9" priority="12" operator="containsText" text="Check">
      <formula>NOT(ISERROR(SEARCH("Check",N56)))</formula>
    </cfRule>
    <cfRule type="containsText" dxfId="8" priority="13" operator="containsText" text="OK">
      <formula>NOT(ISERROR(SEARCH("OK",N56)))</formula>
    </cfRule>
  </conditionalFormatting>
  <conditionalFormatting sqref="F59 F66:F67">
    <cfRule type="containsText" dxfId="7" priority="11" operator="containsText" text="OK">
      <formula>NOT(ISERROR(SEARCH("OK",F59)))</formula>
    </cfRule>
  </conditionalFormatting>
  <conditionalFormatting sqref="EG78:EG999989">
    <cfRule type="cellIs" dxfId="6" priority="7" operator="greaterThan">
      <formula>1</formula>
    </cfRule>
  </conditionalFormatting>
  <conditionalFormatting sqref="ER78:ES14156 FB78:FB14156 FF78:FF14156 FH78:FH14156 EY78:EY14156 EM23:EN51">
    <cfRule type="containsText" dxfId="5" priority="5" operator="containsText" text="Check">
      <formula>NOT(ISERROR(SEARCH("Check",EM23)))</formula>
    </cfRule>
    <cfRule type="cellIs" dxfId="4" priority="6" operator="equal">
      <formula>"OK"</formula>
    </cfRule>
  </conditionalFormatting>
  <conditionalFormatting sqref="EH23:EH51 EJ23:EK51 ER23:ES51">
    <cfRule type="containsText" dxfId="3" priority="3" operator="containsText" text="Check">
      <formula>NOT(ISERROR(SEARCH("Check",EH23)))</formula>
    </cfRule>
    <cfRule type="cellIs" dxfId="2" priority="4" operator="equal">
      <formula>"OK"</formula>
    </cfRule>
  </conditionalFormatting>
  <conditionalFormatting sqref="N64:N65">
    <cfRule type="containsText" dxfId="1" priority="1" operator="containsText" text="Check">
      <formula>NOT(ISERROR(SEARCH("Check",N64)))</formula>
    </cfRule>
    <cfRule type="containsText" dxfId="0" priority="2" operator="containsText" text="OK">
      <formula>NOT(ISERROR(SEARCH("OK",N64)))</formula>
    </cfRule>
  </conditionalFormatting>
  <pageMargins left="0.59055118110236227" right="0.31496062992125984" top="0.59055118110236227" bottom="0.59055118110236227" header="0.31496062992125984" footer="0.31496062992125984"/>
  <pageSetup orientation="portrait" r:id="rId1"/>
  <ignoredErrors>
    <ignoredError sqref="H77" formula="1"/>
  </ignoredErrors>
  <drawing r:id="rId2"/>
  <legacyDrawing r:id="rId3"/>
  <picture r:id="rId4"/>
  <mc:AlternateContent xmlns:mc="http://schemas.openxmlformats.org/markup-compatibility/2006">
    <mc:Choice Requires="x14">
      <controls>
        <mc:AlternateContent xmlns:mc="http://schemas.openxmlformats.org/markup-compatibility/2006">
          <mc:Choice Requires="x14">
            <control shapeId="2051" r:id="rId5" name="Button 3">
              <controlPr defaultSize="0" print="0" autoFill="0" autoPict="0" macro="[0]!HideTable">
                <anchor moveWithCells="1" sizeWithCells="1">
                  <from>
                    <xdr:col>1</xdr:col>
                    <xdr:colOff>38100</xdr:colOff>
                    <xdr:row>0</xdr:row>
                    <xdr:rowOff>0</xdr:rowOff>
                  </from>
                  <to>
                    <xdr:col>3</xdr:col>
                    <xdr:colOff>247650</xdr:colOff>
                    <xdr:row>9</xdr:row>
                    <xdr:rowOff>285750</xdr:rowOff>
                  </to>
                </anchor>
              </controlPr>
            </control>
          </mc:Choice>
        </mc:AlternateContent>
        <mc:AlternateContent xmlns:mc="http://schemas.openxmlformats.org/markup-compatibility/2006">
          <mc:Choice Requires="x14">
            <control shapeId="2052" r:id="rId6" name="Button 4">
              <controlPr defaultSize="0" print="0" autoFill="0" autoPict="0" macro="[0]!UnHideTable">
                <anchor moveWithCells="1" sizeWithCells="1">
                  <from>
                    <xdr:col>4</xdr:col>
                    <xdr:colOff>38100</xdr:colOff>
                    <xdr:row>0</xdr:row>
                    <xdr:rowOff>0</xdr:rowOff>
                  </from>
                  <to>
                    <xdr:col>6</xdr:col>
                    <xdr:colOff>390525</xdr:colOff>
                    <xdr:row>9</xdr:row>
                    <xdr:rowOff>285750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100-000000000000}">
          <x14:formula1>
            <xm:f>Data!$C$20:$C$38</xm:f>
          </x14:formula1>
          <xm:sqref>D25:E25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Data</vt:lpstr>
      <vt:lpstr>Cal</vt:lpstr>
      <vt:lpstr>Cal!Print_Area</vt:lpstr>
      <vt:lpstr>Data!Print_Area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Ven Nguyen</dc:creator>
  <cp:lastModifiedBy>toan huynh vu minh</cp:lastModifiedBy>
  <cp:lastPrinted>2024-02-17T11:01:09Z</cp:lastPrinted>
  <dcterms:created xsi:type="dcterms:W3CDTF">2023-12-24T09:13:35Z</dcterms:created>
  <dcterms:modified xsi:type="dcterms:W3CDTF">2025-08-08T02:11:57Z</dcterms:modified>
</cp:coreProperties>
</file>