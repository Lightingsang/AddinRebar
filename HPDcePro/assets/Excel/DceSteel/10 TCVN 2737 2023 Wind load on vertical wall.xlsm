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Dce Pro\Excel\"/>
    </mc:Choice>
  </mc:AlternateContent>
  <xr:revisionPtr revIDLastSave="0" documentId="13_ncr:1_{A595A71B-4C4F-4A34-BC64-D3A122442AB5}" xr6:coauthVersionLast="47" xr6:coauthVersionMax="47" xr10:uidLastSave="{00000000-0000-0000-0000-000000000000}"/>
  <bookViews>
    <workbookView xWindow="-28920" yWindow="-120" windowWidth="29040" windowHeight="15720" tabRatio="934" xr2:uid="{00000000-000D-0000-FFFF-FFFF00000000}"/>
  </bookViews>
  <sheets>
    <sheet name="TCVN" sheetId="147" r:id="rId1"/>
    <sheet name="GustFactor" sheetId="148" r:id="rId2"/>
  </sheets>
  <functionGroups builtInGroupCount="19"/>
  <definedNames>
    <definedName name="_Fill" hidden="1">#REF!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_xleta.MODE" hidden="1" xlm="1">#NAME?</definedName>
    <definedName name="Bang8_10">GustFactor!$B$52:$L$54</definedName>
    <definedName name="h" hidden="1">{"'Sheet1'!$L$16"}</definedName>
    <definedName name="HTML_CodePage" hidden="1">950</definedName>
    <definedName name="HTML_Control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Title" hidden="1">"00Q3961-SUM"</definedName>
    <definedName name="huy" hidden="1">{"'Sheet1'!$L$16"}</definedName>
    <definedName name="_xlnm.Print_Area" localSheetId="1">GustFactor!$B$1:$N$47</definedName>
    <definedName name="_xlnm.Print_Area" localSheetId="0">TCVN!$B$1:$AB$118</definedName>
    <definedName name="wrn.chi._.tiÆt." hidden="1">{#N/A,#N/A,FALSE,"Chi tiÆt"}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147" l="1"/>
  <c r="AG42" i="147"/>
  <c r="AG41" i="147"/>
  <c r="AF42" i="147"/>
  <c r="AF39" i="147"/>
  <c r="AF41" i="147"/>
  <c r="G42" i="147" s="1"/>
  <c r="AF38" i="147"/>
  <c r="G39" i="147" s="1"/>
  <c r="C108" i="147"/>
  <c r="O115" i="147"/>
  <c r="E115" i="147"/>
  <c r="O111" i="147"/>
  <c r="E111" i="147"/>
  <c r="AE12" i="147"/>
  <c r="L54" i="148"/>
  <c r="J54" i="148"/>
  <c r="L53" i="148"/>
  <c r="J53" i="148"/>
  <c r="L52" i="148"/>
  <c r="J52" i="148"/>
  <c r="K36" i="148"/>
  <c r="E36" i="148"/>
  <c r="K30" i="148"/>
  <c r="K43" i="148" s="1"/>
  <c r="K46" i="148" s="1"/>
  <c r="K29" i="148"/>
  <c r="B28" i="148"/>
  <c r="H24" i="148"/>
  <c r="H21" i="148"/>
  <c r="H20" i="148"/>
  <c r="H19" i="148"/>
  <c r="H18" i="148"/>
  <c r="H23" i="148" s="1"/>
  <c r="H17" i="148"/>
  <c r="H22" i="148" s="1"/>
  <c r="H16" i="148"/>
  <c r="H15" i="148"/>
  <c r="H14" i="148"/>
  <c r="H13" i="148"/>
  <c r="H12" i="148"/>
  <c r="H25" i="148" s="1"/>
  <c r="H10" i="148"/>
  <c r="H11" i="148" s="1"/>
  <c r="E7" i="148"/>
  <c r="AG31" i="147" a="1"/>
  <c r="AF31" i="147" a="1"/>
  <c r="N28" i="147" a="1"/>
  <c r="N29" i="147" a="1"/>
  <c r="R28" i="147" a="1"/>
  <c r="R29" i="147" a="1"/>
  <c r="L28" i="147" a="1"/>
  <c r="L29" i="147" a="1"/>
  <c r="P29" i="147" a="1"/>
  <c r="P28" i="147" a="1"/>
  <c r="P28" i="147" l="1"/>
  <c r="P29" i="147"/>
  <c r="R28" i="147"/>
  <c r="R29" i="147"/>
  <c r="L29" i="147"/>
  <c r="N28" i="147"/>
  <c r="L28" i="147"/>
  <c r="AF31" i="147"/>
  <c r="AG31" i="147"/>
  <c r="N29" i="147"/>
  <c r="K40" i="148"/>
  <c r="K39" i="148" s="1"/>
  <c r="E40" i="148"/>
  <c r="E39" i="148" s="1"/>
  <c r="E37" i="148"/>
  <c r="K37" i="148"/>
  <c r="K41" i="148"/>
  <c r="K44" i="148" s="1"/>
  <c r="E41" i="148"/>
  <c r="E44" i="148" s="1"/>
  <c r="E42" i="148"/>
  <c r="E45" i="148" s="1"/>
  <c r="E43" i="148"/>
  <c r="E46" i="148" s="1"/>
  <c r="K42" i="148"/>
  <c r="K45" i="148" s="1"/>
  <c r="E38" i="148" l="1"/>
  <c r="E33" i="148" s="1"/>
  <c r="K38" i="148"/>
  <c r="K33" i="148" s="1"/>
  <c r="C97" i="147" l="1"/>
  <c r="C87" i="147"/>
  <c r="R105" i="147"/>
  <c r="J105" i="147"/>
  <c r="E105" i="147"/>
  <c r="R95" i="147"/>
  <c r="J95" i="147"/>
  <c r="E95" i="147"/>
  <c r="C77" i="147"/>
  <c r="R85" i="147"/>
  <c r="J85" i="147"/>
  <c r="E85" i="147"/>
  <c r="C41" i="147"/>
  <c r="C38" i="147"/>
  <c r="I42" i="147"/>
  <c r="O56" i="147"/>
  <c r="E56" i="147"/>
  <c r="O45" i="147"/>
  <c r="W50" i="147"/>
  <c r="U61" i="147"/>
  <c r="M61" i="147"/>
  <c r="I60" i="147"/>
  <c r="U60" i="147"/>
  <c r="O49" i="147"/>
  <c r="K49" i="147"/>
  <c r="E45" i="147"/>
  <c r="C65" i="147"/>
  <c r="C64" i="147"/>
  <c r="C63" i="147"/>
  <c r="C62" i="147"/>
  <c r="C61" i="147"/>
  <c r="C60" i="147"/>
  <c r="C57" i="147"/>
  <c r="C56" i="147"/>
  <c r="M49" i="147" l="1"/>
  <c r="E49" i="147"/>
  <c r="G49" i="147"/>
  <c r="I49" i="147"/>
  <c r="K60" i="147"/>
  <c r="G61" i="147"/>
  <c r="I61" i="147"/>
  <c r="M60" i="147"/>
  <c r="E60" i="147"/>
  <c r="K61" i="147"/>
  <c r="E61" i="147"/>
  <c r="G60" i="147"/>
  <c r="W60" i="147"/>
  <c r="Q61" i="147"/>
  <c r="S61" i="147"/>
  <c r="O60" i="147"/>
  <c r="O61" i="147"/>
  <c r="W61" i="147"/>
  <c r="Q60" i="147"/>
  <c r="S60" i="147"/>
  <c r="Q49" i="147"/>
  <c r="U49" i="147"/>
  <c r="W49" i="147"/>
  <c r="Q50" i="147"/>
  <c r="S49" i="147"/>
  <c r="S50" i="147"/>
  <c r="U50" i="147"/>
  <c r="O50" i="147"/>
  <c r="I39" i="147"/>
  <c r="AF12" i="147" l="1"/>
  <c r="C27" i="147" l="1"/>
  <c r="J13" i="147"/>
  <c r="I13" i="147"/>
  <c r="J16" i="147"/>
  <c r="J29" i="147" l="1"/>
  <c r="J28" i="147"/>
  <c r="R75" i="147"/>
  <c r="J75" i="147"/>
  <c r="E75" i="147"/>
  <c r="C67" i="147"/>
  <c r="C54" i="147"/>
  <c r="C114" i="147" s="1"/>
  <c r="C118" i="147" s="1"/>
  <c r="C52" i="147"/>
  <c r="C50" i="147"/>
  <c r="C53" i="147"/>
  <c r="C113" i="147" s="1"/>
  <c r="C117" i="147" s="1"/>
  <c r="C51" i="147"/>
  <c r="C49" i="147"/>
  <c r="N24" i="147"/>
  <c r="G50" i="147" l="1"/>
  <c r="I50" i="147"/>
  <c r="K50" i="147"/>
  <c r="M50" i="147"/>
  <c r="E50" i="147"/>
  <c r="C46" i="147" l="1"/>
  <c r="C44" i="147"/>
  <c r="C37" i="147"/>
  <c r="C28" i="147"/>
  <c r="G22" i="147"/>
  <c r="C22" i="147"/>
  <c r="C21" i="147"/>
  <c r="C19" i="147"/>
  <c r="C18" i="147"/>
  <c r="C16" i="147"/>
  <c r="G15" i="147"/>
  <c r="C15" i="147"/>
  <c r="C14" i="147"/>
  <c r="J11" i="147"/>
  <c r="I11" i="147"/>
  <c r="C29" i="147"/>
  <c r="J12" i="147"/>
  <c r="I12" i="147"/>
  <c r="S42" i="147" l="1"/>
  <c r="O42" i="147"/>
  <c r="S39" i="147"/>
  <c r="Q39" i="147"/>
  <c r="O39" i="147"/>
  <c r="Z38" i="147" s="1"/>
  <c r="N23" i="147"/>
  <c r="J24" i="147"/>
  <c r="J23" i="147"/>
  <c r="E23" i="147"/>
  <c r="E24" i="147" s="1"/>
  <c r="K39" i="147" a="1"/>
  <c r="K42" i="147" a="1"/>
  <c r="K42" i="147" l="1"/>
  <c r="M42" i="147" s="1"/>
  <c r="K39" i="147"/>
  <c r="M39" i="147" s="1"/>
  <c r="U39" i="147"/>
  <c r="Q42" i="147"/>
  <c r="U42" i="147" s="1"/>
  <c r="Z41" i="147"/>
  <c r="W39" i="147"/>
  <c r="W42" i="147"/>
  <c r="M58" i="147" a="1"/>
  <c r="K58" i="147" a="1"/>
  <c r="M47" i="147" a="1"/>
  <c r="K47" i="147" a="1"/>
  <c r="AE50" i="147" l="1"/>
  <c r="AE51" i="147"/>
  <c r="AG50" i="147"/>
  <c r="AH50" i="147"/>
  <c r="AE52" i="147"/>
  <c r="AE58" i="147"/>
  <c r="AE57" i="147"/>
  <c r="AH57" i="147"/>
  <c r="AG57" i="147"/>
  <c r="AE59" i="147"/>
  <c r="M58" i="147"/>
  <c r="W58" i="147" s="1"/>
  <c r="W59" i="147" s="1"/>
  <c r="K58" i="147"/>
  <c r="U58" i="147" s="1"/>
  <c r="U59" i="147" s="1"/>
  <c r="M47" i="147"/>
  <c r="W47" i="147" s="1"/>
  <c r="W48" i="147" s="1"/>
  <c r="K47" i="147"/>
  <c r="U47" i="147" s="1"/>
  <c r="U48" i="147" s="1"/>
  <c r="AK24" i="147"/>
  <c r="AK25" i="147"/>
  <c r="E63" i="147"/>
  <c r="I59" i="147"/>
  <c r="O63" i="147"/>
  <c r="M62" i="147"/>
  <c r="G59" i="147"/>
  <c r="W62" i="147"/>
  <c r="K62" i="147"/>
  <c r="E59" i="147"/>
  <c r="U62" i="147"/>
  <c r="S59" i="147"/>
  <c r="I62" i="147"/>
  <c r="S62" i="147"/>
  <c r="Q59" i="147"/>
  <c r="Q63" i="147"/>
  <c r="M63" i="147"/>
  <c r="G62" i="147"/>
  <c r="W63" i="147"/>
  <c r="Q62" i="147"/>
  <c r="O59" i="147"/>
  <c r="E62" i="147"/>
  <c r="U63" i="147"/>
  <c r="O62" i="147"/>
  <c r="G63" i="147"/>
  <c r="K63" i="147"/>
  <c r="I63" i="147"/>
  <c r="S63" i="147"/>
  <c r="O52" i="147"/>
  <c r="Q48" i="147"/>
  <c r="M51" i="147"/>
  <c r="O48" i="147"/>
  <c r="K51" i="147"/>
  <c r="U52" i="147"/>
  <c r="I52" i="147"/>
  <c r="E52" i="147"/>
  <c r="W51" i="147"/>
  <c r="Q52" i="147"/>
  <c r="U51" i="147"/>
  <c r="I51" i="147"/>
  <c r="M48" i="147"/>
  <c r="Q51" i="147"/>
  <c r="K52" i="147"/>
  <c r="O51" i="147"/>
  <c r="S51" i="147"/>
  <c r="M52" i="147"/>
  <c r="G51" i="147"/>
  <c r="E51" i="147"/>
  <c r="G48" i="147"/>
  <c r="S48" i="147"/>
  <c r="W52" i="147"/>
  <c r="I48" i="147"/>
  <c r="S52" i="147"/>
  <c r="G52" i="147"/>
  <c r="E48" i="147"/>
  <c r="Z42" i="147"/>
  <c r="Z39" i="147"/>
  <c r="AO25" i="147" a="1"/>
  <c r="AP25" i="147" a="1"/>
  <c r="AP24" i="147" a="1"/>
  <c r="AO24" i="147" a="1"/>
  <c r="S53" i="147" l="1"/>
  <c r="X81" i="147" s="1"/>
  <c r="I53" i="147"/>
  <c r="X71" i="147" s="1"/>
  <c r="U68" i="147" s="1"/>
  <c r="U78" i="147" s="1"/>
  <c r="Q54" i="147"/>
  <c r="U82" i="147" s="1"/>
  <c r="G54" i="147"/>
  <c r="U72" i="147" s="1"/>
  <c r="G53" i="147"/>
  <c r="U71" i="147" s="1"/>
  <c r="I54" i="147"/>
  <c r="X72" i="147" s="1"/>
  <c r="Q53" i="147"/>
  <c r="U81" i="147" s="1"/>
  <c r="S54" i="147"/>
  <c r="X82" i="147" s="1"/>
  <c r="U54" i="147"/>
  <c r="S65" i="147"/>
  <c r="X102" i="147" s="1"/>
  <c r="S64" i="147"/>
  <c r="X101" i="147" s="1"/>
  <c r="I65" i="147"/>
  <c r="X92" i="147" s="1"/>
  <c r="I64" i="147"/>
  <c r="X91" i="147" s="1"/>
  <c r="U88" i="147" s="1"/>
  <c r="U98" i="147" s="1"/>
  <c r="Q65" i="147"/>
  <c r="U102" i="147" s="1"/>
  <c r="Q64" i="147"/>
  <c r="U101" i="147" s="1"/>
  <c r="G65" i="147"/>
  <c r="U92" i="147" s="1"/>
  <c r="G64" i="147"/>
  <c r="U91" i="147" s="1"/>
  <c r="R88" i="147" s="1"/>
  <c r="U64" i="147"/>
  <c r="U65" i="147"/>
  <c r="K48" i="147"/>
  <c r="K53" i="147" s="1"/>
  <c r="O54" i="147"/>
  <c r="O53" i="147"/>
  <c r="E65" i="147"/>
  <c r="W65" i="147"/>
  <c r="AP25" i="147"/>
  <c r="AO25" i="147"/>
  <c r="AO24" i="147"/>
  <c r="AP24" i="147"/>
  <c r="O65" i="147"/>
  <c r="M54" i="147"/>
  <c r="M53" i="147"/>
  <c r="O64" i="147"/>
  <c r="W64" i="147"/>
  <c r="E53" i="147"/>
  <c r="E54" i="147"/>
  <c r="E64" i="147"/>
  <c r="U53" i="147"/>
  <c r="W53" i="147"/>
  <c r="W54" i="147"/>
  <c r="M59" i="147"/>
  <c r="K59" i="147"/>
  <c r="K65" i="147" s="1"/>
  <c r="R98" i="147" l="1"/>
  <c r="R68" i="147"/>
  <c r="R78" i="147" s="1"/>
  <c r="I117" i="147"/>
  <c r="S114" i="147"/>
  <c r="K54" i="147"/>
  <c r="E71" i="147"/>
  <c r="E102" i="147"/>
  <c r="U118" i="147"/>
  <c r="R81" i="147"/>
  <c r="O113" i="147"/>
  <c r="J102" i="147"/>
  <c r="W118" i="147"/>
  <c r="G118" i="147"/>
  <c r="R92" i="147"/>
  <c r="E118" i="147"/>
  <c r="J101" i="147"/>
  <c r="W117" i="147"/>
  <c r="R101" i="147"/>
  <c r="O117" i="147"/>
  <c r="Q113" i="147"/>
  <c r="R82" i="147"/>
  <c r="O114" i="147"/>
  <c r="R91" i="147"/>
  <c r="E117" i="147"/>
  <c r="E81" i="147"/>
  <c r="U113" i="147"/>
  <c r="S117" i="147"/>
  <c r="Q118" i="147"/>
  <c r="I118" i="147"/>
  <c r="G117" i="147"/>
  <c r="Q114" i="147"/>
  <c r="S118" i="147"/>
  <c r="Q117" i="147"/>
  <c r="S113" i="147"/>
  <c r="R102" i="147"/>
  <c r="O118" i="147"/>
  <c r="J82" i="147"/>
  <c r="W114" i="147"/>
  <c r="E82" i="147"/>
  <c r="U114" i="147"/>
  <c r="E101" i="147"/>
  <c r="U117" i="147"/>
  <c r="J81" i="147"/>
  <c r="W113" i="147"/>
  <c r="J72" i="147"/>
  <c r="M114" i="147"/>
  <c r="I114" i="147"/>
  <c r="G114" i="147"/>
  <c r="E72" i="147"/>
  <c r="K114" i="147"/>
  <c r="R72" i="147"/>
  <c r="E114" i="147"/>
  <c r="R71" i="147"/>
  <c r="E113" i="147"/>
  <c r="I113" i="147"/>
  <c r="K113" i="147"/>
  <c r="J71" i="147"/>
  <c r="M113" i="147"/>
  <c r="G113" i="147"/>
  <c r="M65" i="147"/>
  <c r="M64" i="147"/>
  <c r="K64" i="147"/>
  <c r="J91" i="147" l="1"/>
  <c r="M117" i="147"/>
  <c r="J92" i="147"/>
  <c r="M118" i="147"/>
  <c r="E91" i="147"/>
  <c r="K117" i="147"/>
  <c r="E92" i="147"/>
  <c r="K118" i="14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<sst xmlns="http://schemas.openxmlformats.org/spreadsheetml/2006/main" count="476" uniqueCount="297">
  <si>
    <t>C</t>
  </si>
  <si>
    <t>B</t>
  </si>
  <si>
    <t>II</t>
  </si>
  <si>
    <t>III</t>
  </si>
  <si>
    <t>IV</t>
  </si>
  <si>
    <t>D</t>
  </si>
  <si>
    <t>I</t>
  </si>
  <si>
    <t>Project's code:</t>
  </si>
  <si>
    <t>Rev. No.</t>
  </si>
  <si>
    <t>Project:</t>
  </si>
  <si>
    <t>Date:</t>
  </si>
  <si>
    <t>The owner:</t>
  </si>
  <si>
    <t>V</t>
  </si>
  <si>
    <t>Zone</t>
  </si>
  <si>
    <t>W3s,20</t>
  </si>
  <si>
    <t>A</t>
  </si>
  <si>
    <t xml:space="preserve">Terrain </t>
  </si>
  <si>
    <t>zg</t>
  </si>
  <si>
    <t>zmin</t>
  </si>
  <si>
    <t>a</t>
  </si>
  <si>
    <t>k(ze)max</t>
  </si>
  <si>
    <t>®</t>
  </si>
  <si>
    <t>E</t>
  </si>
  <si>
    <t>h/d</t>
  </si>
  <si>
    <t>Wind X</t>
  </si>
  <si>
    <t>Wind Y</t>
  </si>
  <si>
    <r>
      <t>Bảng F.4 Hệ số c</t>
    </r>
    <r>
      <rPr>
        <vertAlign val="subscript"/>
        <sz val="10"/>
        <color rgb="FF0000FF"/>
        <rFont val="Arial"/>
        <family val="2"/>
      </rPr>
      <t>e</t>
    </r>
    <r>
      <rPr>
        <sz val="10"/>
        <color rgb="FF0000FF"/>
        <rFont val="Arial"/>
        <family val="2"/>
      </rPr>
      <t xml:space="preserve"> cho tường thẳng đứng</t>
    </r>
  </si>
  <si>
    <r>
      <t xml:space="preserve">d </t>
    </r>
    <r>
      <rPr>
        <sz val="10"/>
        <rFont val="Calibri"/>
        <family val="2"/>
      </rPr>
      <t>≤</t>
    </r>
    <r>
      <rPr>
        <sz val="10"/>
        <rFont val="Arial"/>
        <family val="2"/>
      </rPr>
      <t xml:space="preserve"> e &lt; 5d</t>
    </r>
  </si>
  <si>
    <t>BUILDING (STRUCTURE) DATA</t>
  </si>
  <si>
    <t>SITE DATA</t>
  </si>
  <si>
    <t>Structure:</t>
  </si>
  <si>
    <t>Vertical walls</t>
  </si>
  <si>
    <t>Site terrain type:</t>
  </si>
  <si>
    <t>Structural type:</t>
  </si>
  <si>
    <t>Zone E</t>
  </si>
  <si>
    <t>Zone A</t>
  </si>
  <si>
    <t>WINDWARD WALL</t>
  </si>
  <si>
    <t>LEEWARD WALL</t>
  </si>
  <si>
    <r>
      <t>W</t>
    </r>
    <r>
      <rPr>
        <vertAlign val="subscript"/>
        <sz val="11"/>
        <rFont val="Calibri"/>
        <family val="2"/>
        <scheme val="minor"/>
      </rPr>
      <t>3s,20</t>
    </r>
    <r>
      <rPr>
        <sz val="11"/>
        <rFont val="Calibri"/>
        <family val="2"/>
        <scheme val="minor"/>
      </rPr>
      <t xml:space="preserve"> =</t>
    </r>
  </si>
  <si>
    <r>
      <t>W</t>
    </r>
    <r>
      <rPr>
        <vertAlign val="subscript"/>
        <sz val="11"/>
        <rFont val="Calibri"/>
        <family val="2"/>
        <scheme val="minor"/>
      </rPr>
      <t>3s,10</t>
    </r>
    <r>
      <rPr>
        <sz val="11"/>
        <rFont val="Calibri"/>
        <family val="2"/>
        <scheme val="minor"/>
      </rPr>
      <t xml:space="preserve"> =</t>
    </r>
  </si>
  <si>
    <r>
      <t>z</t>
    </r>
    <r>
      <rPr>
        <vertAlign val="subscript"/>
        <sz val="11"/>
        <rFont val="Calibri"/>
        <family val="2"/>
        <scheme val="minor"/>
      </rPr>
      <t>min</t>
    </r>
    <r>
      <rPr>
        <sz val="11"/>
        <rFont val="Calibri"/>
        <family val="2"/>
        <scheme val="minor"/>
      </rPr>
      <t xml:space="preserve"> =</t>
    </r>
  </si>
  <si>
    <r>
      <t>z</t>
    </r>
    <r>
      <rPr>
        <vertAlign val="subscript"/>
        <sz val="11"/>
        <rFont val="Calibri"/>
        <family val="2"/>
        <scheme val="minor"/>
      </rPr>
      <t>g</t>
    </r>
    <r>
      <rPr>
        <sz val="11"/>
        <rFont val="Calibri"/>
        <family val="2"/>
        <scheme val="minor"/>
      </rPr>
      <t xml:space="preserve"> =</t>
    </r>
  </si>
  <si>
    <r>
      <rPr>
        <sz val="11"/>
        <rFont val="Symbol"/>
        <family val="1"/>
        <charset val="2"/>
      </rPr>
      <t>a</t>
    </r>
    <r>
      <rPr>
        <sz val="11"/>
        <rFont val="Calibri"/>
        <family val="2"/>
        <scheme val="minor"/>
      </rPr>
      <t xml:space="preserve"> =</t>
    </r>
  </si>
  <si>
    <r>
      <t>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),max =</t>
    </r>
  </si>
  <si>
    <r>
      <t xml:space="preserve">h </t>
    </r>
    <r>
      <rPr>
        <sz val="10"/>
        <rFont val="Calibri"/>
        <family val="2"/>
      </rPr>
      <t>≤</t>
    </r>
    <r>
      <rPr>
        <sz val="10"/>
        <rFont val="Arial"/>
        <family val="2"/>
      </rPr>
      <t xml:space="preserve"> b</t>
    </r>
  </si>
  <si>
    <r>
      <t xml:space="preserve">b &lt; h </t>
    </r>
    <r>
      <rPr>
        <sz val="10"/>
        <rFont val="Calibri"/>
        <family val="2"/>
      </rPr>
      <t>≤</t>
    </r>
    <r>
      <rPr>
        <sz val="10"/>
        <rFont val="Arial"/>
        <family val="2"/>
      </rPr>
      <t xml:space="preserve"> 2b</t>
    </r>
  </si>
  <si>
    <r>
      <t xml:space="preserve">h </t>
    </r>
    <r>
      <rPr>
        <sz val="10"/>
        <rFont val="Calibri"/>
        <family val="2"/>
      </rPr>
      <t>&gt; 2b</t>
    </r>
  </si>
  <si>
    <t>e &lt; d</t>
  </si>
  <si>
    <r>
      <t xml:space="preserve">e </t>
    </r>
    <r>
      <rPr>
        <sz val="10"/>
        <rFont val="Arial"/>
        <family val="2"/>
      </rPr>
      <t>≥ 5d</t>
    </r>
  </si>
  <si>
    <t>Case 1</t>
  </si>
  <si>
    <t>Case 2</t>
  </si>
  <si>
    <t>b (m)</t>
  </si>
  <si>
    <t>d (m)</t>
  </si>
  <si>
    <t>h (m)</t>
  </si>
  <si>
    <t>Vùng</t>
  </si>
  <si>
    <t>EN</t>
  </si>
  <si>
    <t>VN</t>
  </si>
  <si>
    <t>Kết cấu</t>
  </si>
  <si>
    <t>Tường thẳng đứng</t>
  </si>
  <si>
    <t>Building height h [m] =</t>
  </si>
  <si>
    <t>Chiều cao nhà h [m] =</t>
  </si>
  <si>
    <t>Gust Effect factor Gf =</t>
  </si>
  <si>
    <t>Hệ số hiệu ứng giật Gf =</t>
  </si>
  <si>
    <t>DỮ LIỆU CÔNG TRÌNH</t>
  </si>
  <si>
    <t>Dạng địa hình</t>
  </si>
  <si>
    <t>HỆ SỐ</t>
  </si>
  <si>
    <t>Internal pressure coefficient</t>
  </si>
  <si>
    <t>Hệ số khí động áp lực bên trong</t>
  </si>
  <si>
    <r>
      <t>c</t>
    </r>
    <r>
      <rPr>
        <vertAlign val="subscript"/>
        <sz val="11"/>
        <color theme="1"/>
        <rFont val="Calibri"/>
        <family val="2"/>
        <scheme val="minor"/>
      </rPr>
      <t>pi</t>
    </r>
    <r>
      <rPr>
        <sz val="11"/>
        <color theme="1"/>
        <rFont val="Calibri"/>
        <family val="2"/>
        <scheme val="minor"/>
      </rPr>
      <t xml:space="preserve"> -</t>
    </r>
  </si>
  <si>
    <t>Trường hợp 1</t>
  </si>
  <si>
    <t>Trường hợp 2</t>
  </si>
  <si>
    <t>CALCULATION WIND PRESSURES, DIRECTION Y</t>
  </si>
  <si>
    <t>TÍNH TOÁN ÁP LỰC GIÓ THEO PHƯƠNG Y</t>
  </si>
  <si>
    <t>CALCULATIONS: WIND PRESSURES FOR VERTICAL WALLS</t>
  </si>
  <si>
    <t>TÍNH TOÁN ÁP LỰC GIÓ CHO TƯỜNG THẲNG ĐỨNG</t>
  </si>
  <si>
    <t>Reference height</t>
  </si>
  <si>
    <t>Chiều cao tham chiếu</t>
  </si>
  <si>
    <t>(Mục 10.2.2)</t>
  </si>
  <si>
    <t>(Section 10.2.2)</t>
  </si>
  <si>
    <t>Steel building</t>
  </si>
  <si>
    <t>Mã dự án</t>
  </si>
  <si>
    <t>Dự án</t>
  </si>
  <si>
    <t>Chủ đầu tư</t>
  </si>
  <si>
    <t>Hạng mục</t>
  </si>
  <si>
    <t>Design</t>
  </si>
  <si>
    <t>Hiệu chỉnh</t>
  </si>
  <si>
    <t>Ngày</t>
  </si>
  <si>
    <t>Thiết kế</t>
  </si>
  <si>
    <t>Design code:</t>
  </si>
  <si>
    <t>Tiêu chuẩn thiết kế:</t>
  </si>
  <si>
    <t>TCVN 2737:2023 Loads and Action - Design standard</t>
  </si>
  <si>
    <t>TCVN 2737:2023 Tải trọng và tác động - Tiêu chuẩn thiết kế</t>
  </si>
  <si>
    <t>Hệ số theo địa hình</t>
  </si>
  <si>
    <t>EN&amp;VN</t>
  </si>
  <si>
    <t>BUILDING (STRUCTURE) DATA / DỮ LIỆU CÔNG TRÌNH</t>
  </si>
  <si>
    <t>Structure / Kết cấu:</t>
  </si>
  <si>
    <t>Loại kết cấu:</t>
  </si>
  <si>
    <t>Building height / Chiều cao nhà h [m] =</t>
  </si>
  <si>
    <t>Gust Effect factor / Hệ số hiệu ứng giật Gf =</t>
  </si>
  <si>
    <t>Zone / Vùng</t>
  </si>
  <si>
    <t>Site terrain type / Dạng địa hình:</t>
  </si>
  <si>
    <t>FACTOR / HỆ SỐ</t>
  </si>
  <si>
    <t>Case 1 / TH1</t>
  </si>
  <si>
    <t>Case 2 / TH2</t>
  </si>
  <si>
    <t>CALCULATION WIND PRESSURES, DIRECTION Y / TÍNH TOÁN ÁP LỰC GIÓ THEO PHƯƠNG Y</t>
  </si>
  <si>
    <t>Item:</t>
  </si>
  <si>
    <t>Terrain factor</t>
  </si>
  <si>
    <t>FACTOR</t>
  </si>
  <si>
    <t xml:space="preserve">SITE DATA / SỐ LIỆU GIÓ THEO VÙNG </t>
  </si>
  <si>
    <t>SỐ LIỆU GIÓ THEO VÙNG</t>
  </si>
  <si>
    <t>Check</t>
  </si>
  <si>
    <t>Kiểm tra</t>
  </si>
  <si>
    <t>HẠNG MỤC</t>
  </si>
  <si>
    <t>NHÀ XƯỞNG</t>
  </si>
  <si>
    <t>TÍNH TOÁN TẢI TRỌNG GIÓ TÁC DỤNG LÊN TƯỜNG THẲNG ĐỨNG</t>
  </si>
  <si>
    <t>Reference height / Chiều cao tham chiếu</t>
  </si>
  <si>
    <t>Terrain factor / Hệ số theo địa hình</t>
  </si>
  <si>
    <t>TH1</t>
  </si>
  <si>
    <t>TH2</t>
  </si>
  <si>
    <t>MẶT ĐÓN GIÓ</t>
  </si>
  <si>
    <t>WINDWARD WALL / MẶT ĐÓN GIÓ</t>
  </si>
  <si>
    <t>MẶT KHUẤT GIÓ</t>
  </si>
  <si>
    <t>LEEWARD WALL / MẶT KHUẤT GIÓ</t>
  </si>
  <si>
    <t>SIDE WALL / MẶT BÊN</t>
  </si>
  <si>
    <t>MẶT BÊN</t>
  </si>
  <si>
    <t>SIDE WALL</t>
  </si>
  <si>
    <t>Vùng A</t>
  </si>
  <si>
    <t>Vùng B</t>
  </si>
  <si>
    <t>Vùng C</t>
  </si>
  <si>
    <t>Vùng D</t>
  </si>
  <si>
    <t>Vùng E</t>
  </si>
  <si>
    <t>Zone B</t>
  </si>
  <si>
    <t>Zone C</t>
  </si>
  <si>
    <t>Zone D</t>
  </si>
  <si>
    <t>CALCULATION WIND PRESSURES / TÍNH TOÁN ÁP LỰC GIÓ</t>
  </si>
  <si>
    <t>TÍNH TOÁN ÁP LỰC GIÓ</t>
  </si>
  <si>
    <t>CALCULATION WIND PRESSURES</t>
  </si>
  <si>
    <r>
      <t>c</t>
    </r>
    <r>
      <rPr>
        <vertAlign val="subscript"/>
        <sz val="11"/>
        <color theme="1"/>
        <rFont val="Calibri"/>
        <family val="2"/>
        <scheme val="minor"/>
      </rPr>
      <t>pe</t>
    </r>
  </si>
  <si>
    <r>
      <t>c</t>
    </r>
    <r>
      <rPr>
        <vertAlign val="subscript"/>
        <sz val="11"/>
        <color theme="1"/>
        <rFont val="Calibri"/>
        <family val="2"/>
        <scheme val="minor"/>
      </rPr>
      <t>pi</t>
    </r>
  </si>
  <si>
    <r>
      <t>w</t>
    </r>
    <r>
      <rPr>
        <vertAlign val="subscript"/>
        <sz val="11"/>
        <color theme="1"/>
        <rFont val="Calibri"/>
        <family val="2"/>
        <scheme val="minor"/>
      </rPr>
      <t>i</t>
    </r>
  </si>
  <si>
    <r>
      <t>w</t>
    </r>
    <r>
      <rPr>
        <vertAlign val="subscript"/>
        <sz val="11"/>
        <color theme="1"/>
        <rFont val="Calibri"/>
        <family val="2"/>
        <scheme val="minor"/>
      </rPr>
      <t>k</t>
    </r>
  </si>
  <si>
    <t>Gió X</t>
  </si>
  <si>
    <t>Gió Y</t>
  </si>
  <si>
    <t>RC building</t>
  </si>
  <si>
    <t>/ Nhà BTCT</t>
  </si>
  <si>
    <t>/ Nhà thép</t>
  </si>
  <si>
    <t>Wind X / Gió X</t>
  </si>
  <si>
    <t>Wind Y / Gió Y</t>
  </si>
  <si>
    <t>CALCULATIONS: WIND PRESSURES FOR VERTICAL WALLS / TÍNH TOÁN ÁP LỰC GIÓ CHO TƯỜNG THẲNG ĐỨNG</t>
  </si>
  <si>
    <t>Open ratio for each wind direction</t>
  </si>
  <si>
    <t>Độ hở của tường chắn</t>
  </si>
  <si>
    <t>Hệ số áp lực trong (phụ lục F12)</t>
  </si>
  <si>
    <r>
      <t>w</t>
    </r>
    <r>
      <rPr>
        <vertAlign val="subscript"/>
        <sz val="11"/>
        <color theme="1"/>
        <rFont val="Calibri"/>
        <family val="2"/>
        <scheme val="minor"/>
      </rPr>
      <t>e</t>
    </r>
  </si>
  <si>
    <t>z (m)</t>
  </si>
  <si>
    <r>
      <t>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 xml:space="preserve"> (m)</t>
    </r>
  </si>
  <si>
    <r>
      <t>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 (m)</t>
    </r>
  </si>
  <si>
    <t>e (m)</t>
  </si>
  <si>
    <r>
      <t>G</t>
    </r>
    <r>
      <rPr>
        <vertAlign val="subscript"/>
        <sz val="11"/>
        <rFont val="Calibri"/>
        <family val="2"/>
        <scheme val="minor"/>
      </rPr>
      <t>f</t>
    </r>
  </si>
  <si>
    <t>Open ratio  / Độ hở của tường chắn</t>
  </si>
  <si>
    <t>Wx+</t>
  </si>
  <si>
    <t>Wx-</t>
  </si>
  <si>
    <t>Wy+</t>
  </si>
  <si>
    <t>Wy-</t>
  </si>
  <si>
    <t>m</t>
  </si>
  <si>
    <t>Load</t>
  </si>
  <si>
    <r>
      <t>W</t>
    </r>
    <r>
      <rPr>
        <vertAlign val="subscript"/>
        <sz val="11"/>
        <rFont val="Calibri"/>
        <family val="2"/>
        <scheme val="minor"/>
      </rPr>
      <t>k</t>
    </r>
    <r>
      <rPr>
        <sz val="11"/>
        <rFont val="Calibri"/>
        <family val="2"/>
        <scheme val="minor"/>
      </rPr>
      <t xml:space="preserve"> = W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 xml:space="preserve"> - W</t>
    </r>
    <r>
      <rPr>
        <vertAlign val="subscript"/>
        <sz val="11"/>
        <rFont val="Calibri"/>
        <family val="2"/>
        <scheme val="minor"/>
      </rPr>
      <t>i</t>
    </r>
  </si>
  <si>
    <r>
      <t>W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 xml:space="preserve"> = W</t>
    </r>
    <r>
      <rPr>
        <vertAlign val="subscript"/>
        <sz val="11"/>
        <rFont val="Calibri"/>
        <family val="2"/>
        <scheme val="minor"/>
      </rPr>
      <t>3s,10</t>
    </r>
    <r>
      <rPr>
        <sz val="11"/>
        <rFont val="Calibri"/>
        <family val="2"/>
        <scheme val="minor"/>
      </rPr>
      <t xml:space="preserve"> . 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).c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.G</t>
    </r>
    <r>
      <rPr>
        <vertAlign val="subscript"/>
        <sz val="11"/>
        <rFont val="Calibri"/>
        <family val="2"/>
        <scheme val="minor"/>
      </rPr>
      <t>f</t>
    </r>
  </si>
  <si>
    <r>
      <t>W</t>
    </r>
    <r>
      <rPr>
        <vertAlign val="subscript"/>
        <sz val="11"/>
        <rFont val="Calibri"/>
        <family val="2"/>
        <scheme val="minor"/>
      </rPr>
      <t>i</t>
    </r>
    <r>
      <rPr>
        <sz val="11"/>
        <rFont val="Calibri"/>
        <family val="2"/>
        <scheme val="minor"/>
      </rPr>
      <t xml:space="preserve"> = W</t>
    </r>
    <r>
      <rPr>
        <vertAlign val="subscript"/>
        <sz val="11"/>
        <rFont val="Calibri"/>
        <family val="2"/>
        <scheme val="minor"/>
      </rPr>
      <t>3s,10</t>
    </r>
    <r>
      <rPr>
        <sz val="11"/>
        <rFont val="Calibri"/>
        <family val="2"/>
        <scheme val="minor"/>
      </rPr>
      <t xml:space="preserve"> . 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).c</t>
    </r>
    <r>
      <rPr>
        <vertAlign val="subscript"/>
        <sz val="11"/>
        <rFont val="Calibri"/>
        <family val="2"/>
        <scheme val="minor"/>
      </rPr>
      <t>i</t>
    </r>
    <r>
      <rPr>
        <sz val="11"/>
        <rFont val="Calibri"/>
        <family val="2"/>
        <scheme val="minor"/>
      </rPr>
      <t>.G</t>
    </r>
    <r>
      <rPr>
        <vertAlign val="subscript"/>
        <sz val="11"/>
        <rFont val="Calibri"/>
        <family val="2"/>
        <scheme val="minor"/>
      </rPr>
      <t>f</t>
    </r>
  </si>
  <si>
    <t>DIRECTION X + / PHƯƠNG X +</t>
  </si>
  <si>
    <t>PHƯƠNG X +</t>
  </si>
  <si>
    <t>DIRECTION X +</t>
  </si>
  <si>
    <t>DIRECTION Y + / PHƯƠNG Y +</t>
  </si>
  <si>
    <t>PHƯƠNG Y +</t>
  </si>
  <si>
    <t>DIRECTION Y +</t>
  </si>
  <si>
    <t>DIRECTION X - / PHƯƠNG X -</t>
  </si>
  <si>
    <t>DIRECTION Y - / PHƯƠNG Y -</t>
  </si>
  <si>
    <t>PHƯƠNG X -</t>
  </si>
  <si>
    <t>PHƯƠNG Y -</t>
  </si>
  <si>
    <t>DIRECTION X -</t>
  </si>
  <si>
    <t>DIRECTION Y -</t>
  </si>
  <si>
    <r>
      <t>kN/m</t>
    </r>
    <r>
      <rPr>
        <vertAlign val="superscript"/>
        <sz val="11"/>
        <rFont val="Calibri"/>
        <family val="2"/>
        <scheme val="minor"/>
      </rPr>
      <t>2</t>
    </r>
  </si>
  <si>
    <t>DIRECTION X / PHƯƠNG X</t>
  </si>
  <si>
    <t>DIRECTION Y / PHƯƠNG Y</t>
  </si>
  <si>
    <t>PHƯƠNG X</t>
  </si>
  <si>
    <t>PHƯƠNG Y</t>
  </si>
  <si>
    <t>DIRECTION X</t>
  </si>
  <si>
    <t>DIRECTION Y</t>
  </si>
  <si>
    <t>SƠ ĐỒ PHÂN CHIA VÙNG ÁP LỰC GIÓ (GIÓ X+)</t>
  </si>
  <si>
    <t>DIAGRAM: ZONES OF DUOPITCH ROOF (WIND X+)</t>
  </si>
  <si>
    <t>DIAGRAM: ZONES OF DUOPITCH ROOF (WIND Y+) / SƠ ĐỒ PHÂN CHIA VÙNG ÁP LỰC GIÓ (GIÓ Y+)</t>
  </si>
  <si>
    <t>SƠ ĐỒ PHÂN CHIA VÙNG ÁP LỰC GIÓ (GIÓ Y+)</t>
  </si>
  <si>
    <t>DIAGRAM: ZONES OF DUOPITCH ROOF (WIND Y+)</t>
  </si>
  <si>
    <t>DIAGRAM: ZONES OF DUOPITCH ROOF (WIND X-) / SƠ ĐỒ PHÂN CHIA VÙNG ÁP LỰC GIÓ (GIÓ X-)</t>
  </si>
  <si>
    <t>DIAGRAM: ZONES OF DUOPITCH ROOF (WIND Y-) / SƠ ĐỒ PHÂN CHIA VÙNG ÁP LỰC GIÓ (GIÓ Y-)</t>
  </si>
  <si>
    <t>SƠ ĐỒ PHÂN CHIA VÙNG ÁP LỰC GIÓ (GIÓ X-)</t>
  </si>
  <si>
    <t>SƠ ĐỒ PHÂN CHIA VÙNG ÁP LỰC GIÓ (GIÓ Y-)</t>
  </si>
  <si>
    <t>DIAGRAM: ZONES OF DUOPITCH ROOF (WIND X-)</t>
  </si>
  <si>
    <t>DIAGRAM: ZONES OF DUOPITCH ROOF (WIND Y-)</t>
  </si>
  <si>
    <t>DIAGRAM: ZONES OF DUOPITCH ROOF (WIND X+) / SƠ ĐỒ PHÂN CHIA VÙNG ÁP LỰC GIÓ (GIÓ X+)</t>
  </si>
  <si>
    <t>ÁP LỰC GIÓ TÁC DỤNG LÊN BỀ MẶT:</t>
  </si>
  <si>
    <t>WIND PRESSURE ACTING ON THE SURFACES</t>
  </si>
  <si>
    <t>TÍNH TOÁN HỆ SỐ HIỆU ỨNG GIẬT Gf</t>
  </si>
  <si>
    <t>1. Dữ liệu tính toán</t>
  </si>
  <si>
    <t>Chiều cao nhà từ mặt đất (m)</t>
  </si>
  <si>
    <t>Chiều cao lan can tầng mái:</t>
  </si>
  <si>
    <t>Vùng áp lực gió:</t>
  </si>
  <si>
    <t>Dạng địa hình:</t>
  </si>
  <si>
    <t>Kết cấu thép</t>
  </si>
  <si>
    <t>Hệ số độ tin cậy:</t>
  </si>
  <si>
    <t>TCVN 2737-2023 - 10.1.6</t>
  </si>
  <si>
    <r>
      <t>Áp lực gió trung bình W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(kN/m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</si>
  <si>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QCVN 02</t>
  </si>
  <si>
    <r>
      <t>Áp lực gió 3s, chu kỳ lặp 10 năm W</t>
    </r>
    <r>
      <rPr>
        <vertAlign val="subscript"/>
        <sz val="10"/>
        <rFont val="Arial"/>
        <family val="2"/>
      </rPr>
      <t>3s,10</t>
    </r>
    <r>
      <rPr>
        <sz val="10"/>
        <rFont val="Arial"/>
        <family val="2"/>
      </rPr>
      <t xml:space="preserve"> (kN/m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</si>
  <si>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TCVN 2737-2023 - 10.2.2</t>
  </si>
  <si>
    <t>Vận tốc gió 3s, CKL 50 năm V3s,50 (m/s)</t>
  </si>
  <si>
    <r>
      <t>Giá trị z</t>
    </r>
    <r>
      <rPr>
        <vertAlign val="subscript"/>
        <sz val="10"/>
        <rFont val="Arial"/>
        <family val="2"/>
      </rPr>
      <t xml:space="preserve">min </t>
    </r>
    <r>
      <rPr>
        <sz val="10"/>
        <rFont val="Arial"/>
        <family val="2"/>
      </rPr>
      <t>(m)</t>
    </r>
  </si>
  <si>
    <t>TCVN 2737-2023 - 10.2.5 - Bảng 8</t>
  </si>
  <si>
    <r>
      <t>Giá trị z</t>
    </r>
    <r>
      <rPr>
        <vertAlign val="subscript"/>
        <sz val="10"/>
        <rFont val="Arial"/>
        <family val="2"/>
      </rPr>
      <t xml:space="preserve">g </t>
    </r>
    <r>
      <rPr>
        <sz val="10"/>
        <rFont val="Arial"/>
        <family val="2"/>
      </rPr>
      <t>(m)</t>
    </r>
  </si>
  <si>
    <t>Giá trị α</t>
  </si>
  <si>
    <r>
      <t>Giá trị max k(z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>)</t>
    </r>
  </si>
  <si>
    <r>
      <t>Hệ số phụ thuộc vào các dạng địa hình khác nhau C</t>
    </r>
    <r>
      <rPr>
        <vertAlign val="subscript"/>
        <sz val="10"/>
        <rFont val="Arial"/>
        <family val="2"/>
      </rPr>
      <t>r</t>
    </r>
  </si>
  <si>
    <t>TCVN 2737-2023 - 10.2.7.3 - Bảng 10</t>
  </si>
  <si>
    <t>Hệ số phụ thuộc vào các dạng địa hình khác nhau  ℓ</t>
  </si>
  <si>
    <t>Hệ số phụ thuộc vào các dạng địa hình khác nhau  ꑾ</t>
  </si>
  <si>
    <t>Hệ số phụ thuộc vào các dạng địa hình khác nhau   b͆</t>
  </si>
  <si>
    <t>Hệ số phụ thuộc vào các dạng địa hình khác nhau  ᾱ</t>
  </si>
  <si>
    <r>
      <t>Độ rối I(z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 =</t>
    </r>
  </si>
  <si>
    <t>TCVN 2737-2023 - 10.2.7.3 - (14)</t>
  </si>
  <si>
    <r>
      <t>Thang nguyên kích thước xoáy L(z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 =</t>
    </r>
  </si>
  <si>
    <t>TCVN 2737-2023 - 10.2.7.3 - (17)</t>
  </si>
  <si>
    <t>Độ cản β =</t>
  </si>
  <si>
    <t>TCVN 2737-2023 - 10.2.7.3 - (18)</t>
  </si>
  <si>
    <r>
      <t>Vận tốc gió TB 1h, CKL 50 năm V(Zs)</t>
    </r>
    <r>
      <rPr>
        <vertAlign val="subscript"/>
        <sz val="10"/>
        <rFont val="Arial"/>
        <family val="2"/>
      </rPr>
      <t>3600s,50</t>
    </r>
    <r>
      <rPr>
        <sz val="10"/>
        <rFont val="Arial"/>
        <family val="2"/>
      </rPr>
      <t xml:space="preserve"> (m/s)</t>
    </r>
  </si>
  <si>
    <t>TCVN 2737-2023 - 10.2.7.3 - (21)</t>
  </si>
  <si>
    <t>Gió phương X</t>
  </si>
  <si>
    <t>Gió phương Y</t>
  </si>
  <si>
    <t>Diễn giải</t>
  </si>
  <si>
    <t>Chu kỳ dao động (s)</t>
  </si>
  <si>
    <t>Bề rộng mặt đón gió TB (B)</t>
  </si>
  <si>
    <t>Chiều dài công trình (D)</t>
  </si>
  <si>
    <t>2. Kết quả</t>
  </si>
  <si>
    <r>
      <t>Hệ số hiệu ứng giật G</t>
    </r>
    <r>
      <rPr>
        <vertAlign val="subscript"/>
        <sz val="10"/>
        <rFont val="Arial"/>
        <family val="2"/>
      </rPr>
      <t xml:space="preserve">f </t>
    </r>
    <r>
      <rPr>
        <sz val="10"/>
        <rFont val="Arial"/>
        <family val="2"/>
      </rPr>
      <t>:</t>
    </r>
  </si>
  <si>
    <t>10.2.7.3 - (13)</t>
  </si>
  <si>
    <t>3. Phụ lục tính toán</t>
  </si>
  <si>
    <t>Hệ số đỉnh gR</t>
  </si>
  <si>
    <t>10.2.7.3 - (15)</t>
  </si>
  <si>
    <t>hệ số phản ứng nền kết cấu Q:</t>
  </si>
  <si>
    <t>hệ số phản ứng nền của kết cấu Q:</t>
  </si>
  <si>
    <t>10.2.7.3 - (16)</t>
  </si>
  <si>
    <t>Hệ số phản ứng cộng hưởng R</t>
  </si>
  <si>
    <t>10.2.7.3 - (18)</t>
  </si>
  <si>
    <t>Rn =</t>
  </si>
  <si>
    <t>10.2.7.3 - (19)</t>
  </si>
  <si>
    <t>N1 =</t>
  </si>
  <si>
    <t>10.2.7.3 - (20)</t>
  </si>
  <si>
    <r>
      <t>HS hàm dẫn suất khí động ƞ</t>
    </r>
    <r>
      <rPr>
        <vertAlign val="subscript"/>
        <sz val="10"/>
        <rFont val="Arial"/>
        <family val="2"/>
      </rPr>
      <t>h</t>
    </r>
    <r>
      <rPr>
        <sz val="10"/>
        <rFont val="Arial"/>
        <family val="2"/>
      </rPr>
      <t xml:space="preserve"> =</t>
    </r>
  </si>
  <si>
    <t>10.2.7.3 - (24)</t>
  </si>
  <si>
    <r>
      <t>HS hàm dẫn suất khí động ƞ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 xml:space="preserve"> =</t>
    </r>
  </si>
  <si>
    <r>
      <t>HS hàm dẫn suất khí động ƞ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</si>
  <si>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Hàm số dẫn suất khí động Rh =</t>
  </si>
  <si>
    <t>Hàm số dẫn suất khí động Rb =</t>
  </si>
  <si>
    <t>Hàm số dẫn suất khí động Rd =</t>
  </si>
  <si>
    <t>BẢNG 8</t>
  </si>
  <si>
    <t>BẢNG 10</t>
  </si>
  <si>
    <t xml:space="preserve">Dạng
địa hình </t>
  </si>
  <si>
    <t xml:space="preserve">Mô tả dạng địa hình </t>
  </si>
  <si>
    <r>
      <t xml:space="preserve">Giá trị </t>
    </r>
    <r>
      <rPr>
        <i/>
        <sz val="11"/>
        <color rgb="FF000000"/>
        <rFont val="Arial-BoldItalicMT"/>
      </rPr>
      <t>z</t>
    </r>
    <r>
      <rPr>
        <i/>
        <vertAlign val="subscript"/>
        <sz val="11"/>
        <color rgb="FF000000"/>
        <rFont val="Arial-BoldItalicMT"/>
      </rPr>
      <t>g</t>
    </r>
    <r>
      <rPr>
        <sz val="11"/>
        <color rgb="FF000000"/>
        <rFont val="Arial-BoldMT"/>
      </rPr>
      <t xml:space="preserve">, </t>
    </r>
    <r>
      <rPr>
        <sz val="11"/>
        <color rgb="FF000000"/>
        <rFont val="ArialMT"/>
      </rPr>
      <t xml:space="preserve">m </t>
    </r>
  </si>
  <si>
    <r>
      <rPr>
        <sz val="11"/>
        <color rgb="FF000000"/>
        <rFont val="Arial-BoldMT"/>
      </rPr>
      <t>Giá trị Z</t>
    </r>
    <r>
      <rPr>
        <sz val="7"/>
        <color rgb="FF000000"/>
        <rFont val="Arial-BoldMT"/>
      </rPr>
      <t>min</t>
    </r>
    <r>
      <rPr>
        <sz val="11"/>
        <color rgb="FF000000"/>
        <rFont val="Arial-BoldMT"/>
      </rPr>
      <t xml:space="preserve">, </t>
    </r>
    <r>
      <rPr>
        <sz val="11"/>
        <color rgb="FF000000"/>
        <rFont val="ArialMT"/>
      </rPr>
      <t xml:space="preserve">m </t>
    </r>
  </si>
  <si>
    <r>
      <t xml:space="preserve">Giá trị </t>
    </r>
    <r>
      <rPr>
        <sz val="11"/>
        <color rgb="FF000000"/>
        <rFont val="Symbol"/>
        <family val="1"/>
        <charset val="2"/>
      </rPr>
      <t>a</t>
    </r>
  </si>
  <si>
    <t>Max k(ze)</t>
  </si>
  <si>
    <t>cr</t>
  </si>
  <si>
    <t>l,m</t>
  </si>
  <si>
    <t>Trống trải, không có hoặc có rất ít vật cản cao không quá 1,5 m (bờ biển thoáng, mặt sông, hồ lớn, đồng muối, cánh đồng không có cây cao...), xem Hình D.1, Phụ lục D.</t>
  </si>
  <si>
    <t>Tương đối trống trải, có một số vật cản thưa thớt cao không quá 10 m (vùng ngoại ô ít nhà, thị trấn, làng mạc, rừng thưa hoặc rừng non, vùng trồng cây thưa…), xem Hình D.2, Phụ lục D.</t>
  </si>
  <si>
    <t>Bị che chắn mạnh, có nhiều vật cản sát nhau cao từ 10 m trở lên (trong thành phố, vùng rừng rậm...), xem Hình D.3, Phụ lục D.</t>
  </si>
  <si>
    <t>WIND PRESSURE  / ÁP LỰC GIÓ:</t>
  </si>
  <si>
    <r>
      <t>q</t>
    </r>
    <r>
      <rPr>
        <vertAlign val="subscript"/>
        <sz val="11"/>
        <color theme="1"/>
        <rFont val="Calibri"/>
        <family val="2"/>
        <scheme val="minor"/>
      </rPr>
      <t>k</t>
    </r>
  </si>
  <si>
    <t>TÍNH TOÁN TẢI PHÂN BỐ TÁC DỤNG LÊN CỘT</t>
  </si>
  <si>
    <t>Tải trọng gió tác dụng lên công trình được xem xét gồm 2 thành phần</t>
  </si>
  <si>
    <t>- Áp lực pháp tuyến We tác dụng vào mặt ngoài của công trình hoặc cấu kiện</t>
  </si>
  <si>
    <t>- Áp lực pháp tuyến Wi tác dụng vào mặt trong của công trình có tường bao che không kín, tường có lỗ cửa tự mở hoặc mở thường xuyên</t>
  </si>
  <si>
    <t>ÁP LỰC GIÓ (Mục 10.2)</t>
  </si>
  <si>
    <t>Mục other trong tool dùng để format màu sắc in ấn</t>
  </si>
  <si>
    <t>Phương
X</t>
  </si>
  <si>
    <t>Phương
Y</t>
  </si>
  <si>
    <t>Đơn giản</t>
  </si>
  <si>
    <t>Tính toán</t>
  </si>
  <si>
    <t>Công thức tính toán sơ bộ theo phụ lục</t>
  </si>
  <si>
    <t>Công thức tính toán theo sheet bên cạnh</t>
  </si>
  <si>
    <t>Lựa chọn giá trị phương thức</t>
  </si>
  <si>
    <t>Building length / Chiều dài nhà, Ly [m] =</t>
  </si>
  <si>
    <t>Building length / Chiều dài nhà, Lx [m] =</t>
  </si>
  <si>
    <t>Chiều dài nhà, Ly [m] =</t>
  </si>
  <si>
    <t>Chiều dài nhà, Lx [m] =</t>
  </si>
  <si>
    <t>Building length, Ly [m] =</t>
  </si>
  <si>
    <t>Building length, Lx [m] =</t>
  </si>
  <si>
    <r>
      <t>Mục "</t>
    </r>
    <r>
      <rPr>
        <b/>
        <u/>
        <sz val="18"/>
        <rFont val="Arial"/>
        <family val="2"/>
      </rPr>
      <t>Bề rộng truyền tải cột</t>
    </r>
    <r>
      <rPr>
        <sz val="18"/>
        <rFont val="Arial"/>
        <family val="2"/>
      </rPr>
      <t>" để đối chiếu với kết quả gán gió lên cột của tool. Có thể in ấn hoặc ẩn đi tùy mỗi người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</si>
</sst>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&quot;$&quot;#,##0\ ;\(&quot;$&quot;#,##0\)"/>
    <numFmt numFmtId="166" formatCode="0.0%"/>
    <numFmt numFmtId="167" formatCode="0.0"/>
  </numFmts>
  <fonts count="8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  <font>
      <sz val="10"/>
      <name val="Symbol"/>
      <family val="1"/>
      <charset val="2"/>
    </font>
    <font>
      <sz val="10"/>
      <color indexed="12"/>
      <name val="Symbol"/>
      <family val="1"/>
      <charset val="2"/>
    </font>
    <font>
      <sz val="10"/>
      <color indexed="12"/>
      <name val="Arial"/>
      <family val="2"/>
    </font>
    <font>
      <sz val="10"/>
      <color indexed="24"/>
      <name val="Aria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b/>
      <i/>
      <sz val="11"/>
      <color indexed="8"/>
      <name val="Arial"/>
      <family val="2"/>
    </font>
    <font>
      <sz val="10"/>
      <color rgb="FF0000FF"/>
      <name val="Arial"/>
      <family val="2"/>
    </font>
    <font>
      <vertAlign val="subscript"/>
      <sz val="10"/>
      <color rgb="FF0000FF"/>
      <name val="Arial"/>
      <family val="2"/>
    </font>
    <font>
      <sz val="10"/>
      <name val="Arial"/>
      <family val="1"/>
      <charset val="2"/>
    </font>
    <font>
      <sz val="10"/>
      <name val="Calibri"/>
      <family val="2"/>
    </font>
    <font>
      <sz val="10"/>
      <name val="Arial CE"/>
      <charset val="238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name val="Arial CE"/>
      <charset val="238"/>
    </font>
    <font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bscript"/>
      <sz val="11"/>
      <name val="Calibri"/>
      <family val="2"/>
      <scheme val="minor"/>
    </font>
    <font>
      <sz val="11"/>
      <name val="Symbol"/>
      <family val="1"/>
      <charset val="2"/>
    </font>
    <font>
      <sz val="11"/>
      <name val="Calibri"/>
      <family val="1"/>
      <charset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2"/>
      <color rgb="FF0000FF"/>
      <name val="Arial"/>
      <family val="2"/>
    </font>
    <font>
      <i/>
      <u/>
      <sz val="11"/>
      <name val="Calibri"/>
      <family val="2"/>
      <scheme val="minor"/>
    </font>
    <font>
      <u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FF"/>
      <name val="Calibri"/>
      <family val="2"/>
      <scheme val="minor"/>
    </font>
    <font>
      <sz val="11"/>
      <color rgb="FF0000CC"/>
      <name val="Calibri"/>
      <family val="2"/>
      <scheme val="minor"/>
    </font>
    <font>
      <b/>
      <sz val="10"/>
      <name val="Arial"/>
      <family val="2"/>
    </font>
    <font>
      <vertAlign val="superscript"/>
      <sz val="11"/>
      <name val="Calibri"/>
      <family val="2"/>
      <scheme val="minor"/>
    </font>
    <font>
      <i/>
      <sz val="12"/>
      <name val="Arial"/>
      <family val="2"/>
    </font>
    <font>
      <b/>
      <sz val="14"/>
      <color theme="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b/>
      <sz val="11"/>
      <name val="Arial"/>
      <family val="2"/>
    </font>
    <font>
      <b/>
      <sz val="10"/>
      <color indexed="12"/>
      <name val="Arial"/>
      <family val="2"/>
    </font>
    <font>
      <b/>
      <sz val="10"/>
      <color rgb="FF0000FF"/>
      <name val="Arial"/>
      <family val="2"/>
    </font>
    <font>
      <vertAlign val="subscript"/>
      <sz val="10"/>
      <name val="Arial"/>
      <family val="2"/>
    </font>
    <font>
      <vertAlign val="superscript"/>
      <sz val="10"/>
      <name val="Arial"/>
      <family val="2"/>
    </font>
    <font>
      <b/>
      <sz val="10"/>
      <color rgb="FF0000CC"/>
      <name val="Arial"/>
      <family val="2"/>
    </font>
    <font>
      <sz val="11"/>
      <color rgb="FF006100"/>
      <name val="Calibri"/>
      <family val="2"/>
      <scheme val="minor"/>
    </font>
    <font>
      <sz val="13"/>
      <color theme="1"/>
      <name val="Arial"/>
      <family val="2"/>
    </font>
    <font>
      <sz val="11"/>
      <color rgb="FF000000"/>
      <name val="Arial-BoldMT"/>
    </font>
    <font>
      <i/>
      <sz val="11"/>
      <color rgb="FF000000"/>
      <name val="Arial-BoldItalicMT"/>
    </font>
    <font>
      <i/>
      <vertAlign val="subscript"/>
      <sz val="11"/>
      <color rgb="FF000000"/>
      <name val="Arial-BoldItalicMT"/>
    </font>
    <font>
      <sz val="11"/>
      <color rgb="FF000000"/>
      <name val="ArialMT"/>
    </font>
    <font>
      <sz val="11"/>
      <color rgb="FF000000"/>
      <name val="Arial-BoldItalicMT"/>
    </font>
    <font>
      <sz val="7"/>
      <color rgb="FF000000"/>
      <name val="Arial-BoldMT"/>
    </font>
    <font>
      <sz val="11"/>
      <color rgb="FF000000"/>
      <name val="Symbol"/>
      <family val="1"/>
      <charset val="2"/>
    </font>
    <font>
      <i/>
      <sz val="11"/>
      <color rgb="FF000000"/>
      <name val="Arial-ItalicMT"/>
    </font>
    <font>
      <sz val="11"/>
      <color theme="1"/>
      <name val="Calibri"/>
      <family val="2"/>
    </font>
    <font>
      <b/>
      <sz val="14"/>
      <color rgb="FFFFFFFF"/>
      <name val="Arial"/>
      <family val="2"/>
    </font>
    <font>
      <b/>
      <sz val="14"/>
      <color rgb="FF0070C0"/>
      <name val="Arial"/>
      <family val="2"/>
    </font>
    <font>
      <b/>
      <sz val="10"/>
      <color rgb="FF0070C0"/>
      <name val="Arial"/>
      <family val="2"/>
    </font>
    <font>
      <b/>
      <sz val="11"/>
      <color rgb="FF0070C0"/>
      <name val="Calibri"/>
      <family val="2"/>
      <scheme val="minor"/>
    </font>
    <font>
      <sz val="16"/>
      <color rgb="FFC00000"/>
      <name val="Arial"/>
      <family val="2"/>
    </font>
    <font>
      <sz val="18"/>
      <name val="Arial"/>
      <family val="2"/>
    </font>
    <font>
      <b/>
      <u/>
      <sz val="18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4472C4"/>
        <bgColor indexed="64"/>
      </patternFill>
    </fill>
    <fill>
      <patternFill patternType="solid">
        <fgColor rgb="FFD9E1F2"/>
        <bgColor indexed="64"/>
      </patternFill>
    </fill>
    <fill>
      <patternFill patternType="lightUp">
        <fgColor rgb="FF969696"/>
        <bgColor theme="0"/>
      </patternFill>
    </fill>
    <fill>
      <patternFill patternType="solid">
        <fgColor rgb="FFFFFFFF"/>
        <bgColor indexed="64"/>
      </patternFill>
    </fill>
  </fills>
  <borders count="4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1">
    <xf numFmtId="0" fontId="0" fillId="0" borderId="0"/>
    <xf numFmtId="0" fontId="16" fillId="2" borderId="0" applyNumberFormat="0" applyBorder="0" applyAlignment="0" applyProtection="0"/>
    <xf numFmtId="0" fontId="16" fillId="3" borderId="0" applyNumberFormat="0" applyBorder="0" applyAlignment="0" applyProtection="0"/>
    <xf numFmtId="0" fontId="16" fillId="4" borderId="0" applyNumberFormat="0" applyBorder="0" applyAlignment="0" applyProtection="0"/>
    <xf numFmtId="0" fontId="16" fillId="5" borderId="0" applyNumberFormat="0" applyBorder="0" applyAlignment="0" applyProtection="0"/>
    <xf numFmtId="0" fontId="16" fillId="6" borderId="0" applyNumberFormat="0" applyBorder="0" applyAlignment="0" applyProtection="0"/>
    <xf numFmtId="0" fontId="16" fillId="7" borderId="0" applyNumberFormat="0" applyBorder="0" applyAlignment="0" applyProtection="0"/>
    <xf numFmtId="0" fontId="16" fillId="8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5" borderId="0" applyNumberFormat="0" applyBorder="0" applyAlignment="0" applyProtection="0"/>
    <xf numFmtId="0" fontId="16" fillId="8" borderId="0" applyNumberFormat="0" applyBorder="0" applyAlignment="0" applyProtection="0"/>
    <xf numFmtId="0" fontId="16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3" fontId="13" fillId="0" borderId="0" applyFont="0" applyFill="0" applyBorder="0" applyAlignment="0" applyProtection="0"/>
    <xf numFmtId="165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2" fontId="13" fillId="0" borderId="0" applyFont="0" applyFill="0" applyBorder="0" applyAlignment="0" applyProtection="0"/>
    <xf numFmtId="0" fontId="22" fillId="4" borderId="0" applyNumberFormat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3" fillId="0" borderId="3" applyNumberFormat="0" applyFill="0" applyAlignment="0" applyProtection="0"/>
    <xf numFmtId="0" fontId="23" fillId="0" borderId="0" applyNumberFormat="0" applyFill="0" applyBorder="0" applyAlignment="0" applyProtection="0"/>
    <xf numFmtId="0" fontId="24" fillId="7" borderId="1" applyNumberFormat="0" applyAlignment="0" applyProtection="0"/>
    <xf numFmtId="0" fontId="25" fillId="0" borderId="4" applyNumberFormat="0" applyFill="0" applyAlignment="0" applyProtection="0"/>
    <xf numFmtId="0" fontId="26" fillId="22" borderId="0" applyNumberFormat="0" applyBorder="0" applyAlignment="0" applyProtection="0"/>
    <xf numFmtId="0" fontId="7" fillId="0" borderId="0"/>
    <xf numFmtId="0" fontId="9" fillId="23" borderId="5" applyNumberFormat="0" applyFont="0" applyAlignment="0" applyProtection="0"/>
    <xf numFmtId="0" fontId="27" fillId="20" borderId="6" applyNumberFormat="0" applyAlignment="0" applyProtection="0"/>
    <xf numFmtId="49" fontId="30" fillId="0" borderId="0">
      <alignment horizontal="left" vertical="center"/>
    </xf>
    <xf numFmtId="0" fontId="28" fillId="0" borderId="0" applyNumberFormat="0" applyFill="0" applyBorder="0" applyAlignment="0" applyProtection="0"/>
    <xf numFmtId="0" fontId="13" fillId="0" borderId="7" applyNumberFormat="0" applyFont="0" applyFill="0" applyAlignment="0" applyProtection="0"/>
    <xf numFmtId="0" fontId="29" fillId="0" borderId="0" applyNumberFormat="0" applyFill="0" applyBorder="0" applyAlignment="0" applyProtection="0"/>
    <xf numFmtId="0" fontId="64" fillId="31" borderId="0" applyNumberFormat="0" applyBorder="0" applyAlignment="0" applyProtection="0"/>
    <xf numFmtId="0" fontId="7" fillId="0" borderId="0"/>
    <xf numFmtId="0" fontId="74" fillId="0" borderId="0"/>
  </cellStyleXfs>
  <cellXfs count="366">
    <xf numFmtId="0" fontId="0" fillId="0" borderId="0" xfId="0"/>
    <xf numFmtId="0" fontId="0" fillId="24" borderId="0" xfId="0" applyFill="1" applyProtection="1">
      <protection hidden="1"/>
    </xf>
    <xf numFmtId="0" fontId="35" fillId="25" borderId="0" xfId="0" applyFont="1" applyFill="1" applyProtection="1">
      <protection hidden="1"/>
    </xf>
    <xf numFmtId="0" fontId="0" fillId="25" borderId="0" xfId="0" applyFill="1" applyProtection="1">
      <protection hidden="1"/>
    </xf>
    <xf numFmtId="0" fontId="0" fillId="27" borderId="0" xfId="0" applyFill="1" applyProtection="1">
      <protection hidden="1"/>
    </xf>
    <xf numFmtId="0" fontId="0" fillId="0" borderId="0" xfId="0" applyProtection="1">
      <protection hidden="1"/>
    </xf>
    <xf numFmtId="0" fontId="8" fillId="24" borderId="25" xfId="0" applyFont="1" applyFill="1" applyBorder="1" applyAlignment="1">
      <alignment horizontal="center" vertical="center"/>
    </xf>
    <xf numFmtId="0" fontId="11" fillId="24" borderId="25" xfId="0" applyFont="1" applyFill="1" applyBorder="1" applyAlignment="1">
      <alignment horizontal="center" vertical="center"/>
    </xf>
    <xf numFmtId="0" fontId="12" fillId="24" borderId="25" xfId="0" applyFont="1" applyFill="1" applyBorder="1" applyAlignment="1">
      <alignment horizontal="center" vertical="center"/>
    </xf>
    <xf numFmtId="0" fontId="0" fillId="24" borderId="25" xfId="0" applyFill="1" applyBorder="1" applyAlignment="1">
      <alignment horizontal="center" vertical="center"/>
    </xf>
    <xf numFmtId="0" fontId="37" fillId="0" borderId="8" xfId="0" applyFont="1" applyBorder="1" applyAlignment="1" applyProtection="1">
      <alignment vertical="center"/>
      <protection hidden="1"/>
    </xf>
    <xf numFmtId="0" fontId="7" fillId="0" borderId="25" xfId="0" applyFont="1" applyBorder="1" applyAlignment="1">
      <alignment horizontal="center" vertical="center"/>
    </xf>
    <xf numFmtId="0" fontId="36" fillId="0" borderId="0" xfId="0" applyFont="1" applyAlignment="1">
      <alignment vertical="center"/>
    </xf>
    <xf numFmtId="2" fontId="37" fillId="0" borderId="0" xfId="0" applyNumberFormat="1" applyFont="1" applyProtection="1">
      <protection hidden="1"/>
    </xf>
    <xf numFmtId="0" fontId="0" fillId="24" borderId="8" xfId="0" applyFill="1" applyBorder="1" applyProtection="1">
      <protection hidden="1"/>
    </xf>
    <xf numFmtId="0" fontId="7" fillId="24" borderId="26" xfId="0" applyFont="1" applyFill="1" applyBorder="1" applyAlignment="1">
      <alignment horizontal="center" vertical="center"/>
    </xf>
    <xf numFmtId="0" fontId="7" fillId="24" borderId="26" xfId="0" quotePrefix="1" applyFont="1" applyFill="1" applyBorder="1" applyAlignment="1">
      <alignment horizontal="center" vertical="center"/>
    </xf>
    <xf numFmtId="2" fontId="7" fillId="24" borderId="26" xfId="0" applyNumberFormat="1" applyFont="1" applyFill="1" applyBorder="1" applyAlignment="1">
      <alignment horizontal="center" vertical="center"/>
    </xf>
    <xf numFmtId="0" fontId="33" fillId="24" borderId="26" xfId="0" applyFont="1" applyFill="1" applyBorder="1" applyAlignment="1">
      <alignment horizontal="center"/>
    </xf>
    <xf numFmtId="0" fontId="7" fillId="0" borderId="26" xfId="0" applyFont="1" applyBorder="1" applyAlignment="1">
      <alignment horizontal="center" vertical="center"/>
    </xf>
    <xf numFmtId="0" fontId="7" fillId="0" borderId="0" xfId="0" applyFont="1"/>
    <xf numFmtId="0" fontId="35" fillId="0" borderId="0" xfId="0" applyFont="1" applyAlignment="1">
      <alignment vertical="center"/>
    </xf>
    <xf numFmtId="0" fontId="38" fillId="0" borderId="0" xfId="0" applyFont="1" applyAlignment="1" applyProtection="1">
      <alignment vertical="center"/>
      <protection hidden="1"/>
    </xf>
    <xf numFmtId="0" fontId="37" fillId="0" borderId="0" xfId="0" applyFont="1" applyProtection="1">
      <protection hidden="1"/>
    </xf>
    <xf numFmtId="0" fontId="0" fillId="0" borderId="0" xfId="0" applyAlignment="1">
      <alignment horizontal="center" vertical="center"/>
    </xf>
    <xf numFmtId="0" fontId="0" fillId="0" borderId="26" xfId="0" applyBorder="1"/>
    <xf numFmtId="0" fontId="0" fillId="0" borderId="26" xfId="0" applyBorder="1" applyAlignment="1">
      <alignment horizontal="center" vertical="center"/>
    </xf>
    <xf numFmtId="0" fontId="7" fillId="0" borderId="26" xfId="0" applyFont="1" applyBorder="1"/>
    <xf numFmtId="0" fontId="0" fillId="24" borderId="0" xfId="0" applyFill="1" applyAlignment="1">
      <alignment horizontal="left" vertical="center"/>
    </xf>
    <xf numFmtId="0" fontId="37" fillId="0" borderId="9" xfId="0" applyFont="1" applyBorder="1" applyAlignment="1" applyProtection="1">
      <alignment vertical="center"/>
      <protection hidden="1"/>
    </xf>
    <xf numFmtId="0" fontId="0" fillId="0" borderId="8" xfId="0" applyBorder="1" applyProtection="1">
      <protection hidden="1"/>
    </xf>
    <xf numFmtId="0" fontId="7" fillId="0" borderId="0" xfId="0" applyFont="1" applyAlignment="1">
      <alignment horizontal="center" vertical="center"/>
    </xf>
    <xf numFmtId="0" fontId="37" fillId="0" borderId="9" xfId="0" applyFont="1" applyBorder="1" applyAlignment="1">
      <alignment horizontal="center" vertical="center"/>
    </xf>
    <xf numFmtId="0" fontId="39" fillId="0" borderId="8" xfId="0" applyFont="1" applyBorder="1" applyAlignment="1" applyProtection="1">
      <alignment vertical="center"/>
      <protection hidden="1"/>
    </xf>
    <xf numFmtId="0" fontId="36" fillId="0" borderId="9" xfId="0" applyFont="1" applyBorder="1" applyAlignment="1">
      <alignment vertical="center"/>
    </xf>
    <xf numFmtId="0" fontId="7" fillId="29" borderId="0" xfId="41" applyFill="1"/>
    <xf numFmtId="9" fontId="7" fillId="0" borderId="26" xfId="41" applyNumberFormat="1" applyBorder="1" applyAlignment="1">
      <alignment horizontal="center" vertical="center"/>
    </xf>
    <xf numFmtId="0" fontId="7" fillId="0" borderId="26" xfId="41" applyBorder="1" applyAlignment="1">
      <alignment horizontal="center" vertical="center"/>
    </xf>
    <xf numFmtId="0" fontId="7" fillId="24" borderId="26" xfId="41" applyFill="1" applyBorder="1"/>
    <xf numFmtId="0" fontId="37" fillId="0" borderId="8" xfId="0" applyFont="1" applyBorder="1" applyProtection="1">
      <protection hidden="1"/>
    </xf>
    <xf numFmtId="2" fontId="0" fillId="0" borderId="26" xfId="0" applyNumberFormat="1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0" fontId="0" fillId="24" borderId="11" xfId="0" applyFill="1" applyBorder="1" applyProtection="1">
      <protection hidden="1"/>
    </xf>
    <xf numFmtId="0" fontId="37" fillId="24" borderId="9" xfId="0" applyFont="1" applyFill="1" applyBorder="1" applyAlignment="1">
      <alignment horizontal="center" vertical="center"/>
    </xf>
    <xf numFmtId="0" fontId="0" fillId="24" borderId="9" xfId="0" applyFill="1" applyBorder="1" applyProtection="1">
      <protection hidden="1"/>
    </xf>
    <xf numFmtId="0" fontId="0" fillId="24" borderId="12" xfId="0" applyFill="1" applyBorder="1" applyProtection="1">
      <protection hidden="1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0" xfId="0" applyAlignment="1">
      <alignment vertical="center"/>
    </xf>
    <xf numFmtId="0" fontId="0" fillId="0" borderId="35" xfId="0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33" xfId="0" applyBorder="1" applyAlignment="1">
      <alignment vertical="center"/>
    </xf>
    <xf numFmtId="0" fontId="7" fillId="24" borderId="0" xfId="0" applyFont="1" applyFill="1" applyAlignment="1">
      <alignment vertical="center"/>
    </xf>
    <xf numFmtId="0" fontId="7" fillId="30" borderId="0" xfId="0" applyFont="1" applyFill="1" applyAlignment="1">
      <alignment vertical="center"/>
    </xf>
    <xf numFmtId="0" fontId="54" fillId="30" borderId="0" xfId="0" applyFont="1" applyFill="1" applyAlignment="1">
      <alignment vertical="center" wrapText="1"/>
    </xf>
    <xf numFmtId="0" fontId="56" fillId="30" borderId="0" xfId="0" applyFont="1" applyFill="1" applyAlignment="1">
      <alignment horizontal="center" vertical="center"/>
    </xf>
    <xf numFmtId="0" fontId="56" fillId="24" borderId="0" xfId="0" applyFont="1" applyFill="1" applyAlignment="1">
      <alignment horizontal="center" vertical="center"/>
    </xf>
    <xf numFmtId="0" fontId="58" fillId="24" borderId="0" xfId="0" applyFont="1" applyFill="1" applyAlignment="1">
      <alignment horizontal="center" vertical="center"/>
    </xf>
    <xf numFmtId="0" fontId="7" fillId="24" borderId="0" xfId="0" applyFont="1" applyFill="1" applyAlignment="1">
      <alignment horizontal="left" vertical="center" indent="1"/>
    </xf>
    <xf numFmtId="2" fontId="59" fillId="24" borderId="0" xfId="0" applyNumberFormat="1" applyFont="1" applyFill="1" applyAlignment="1">
      <alignment horizontal="left" vertical="center"/>
    </xf>
    <xf numFmtId="0" fontId="7" fillId="24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2" fontId="59" fillId="24" borderId="0" xfId="0" applyNumberFormat="1" applyFont="1" applyFill="1" applyAlignment="1" applyProtection="1">
      <alignment horizontal="left" vertical="center"/>
      <protection locked="0"/>
    </xf>
    <xf numFmtId="2" fontId="7" fillId="24" borderId="0" xfId="0" applyNumberFormat="1" applyFont="1" applyFill="1" applyAlignment="1" applyProtection="1">
      <alignment horizontal="left" vertical="center"/>
      <protection locked="0"/>
    </xf>
    <xf numFmtId="0" fontId="8" fillId="24" borderId="0" xfId="0" applyFont="1" applyFill="1" applyAlignment="1">
      <alignment horizontal="left" vertical="center"/>
    </xf>
    <xf numFmtId="0" fontId="60" fillId="24" borderId="0" xfId="0" applyFont="1" applyFill="1" applyAlignment="1">
      <alignment horizontal="left" vertical="center"/>
    </xf>
    <xf numFmtId="2" fontId="8" fillId="24" borderId="0" xfId="0" applyNumberFormat="1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left" vertical="center" indent="1"/>
    </xf>
    <xf numFmtId="0" fontId="60" fillId="24" borderId="0" xfId="0" applyFont="1" applyFill="1" applyAlignment="1" applyProtection="1">
      <alignment horizontal="left" vertical="center"/>
      <protection locked="0"/>
    </xf>
    <xf numFmtId="0" fontId="0" fillId="30" borderId="0" xfId="0" applyFill="1" applyAlignment="1">
      <alignment horizontal="left" vertical="center"/>
    </xf>
    <xf numFmtId="164" fontId="7" fillId="24" borderId="0" xfId="0" applyNumberFormat="1" applyFont="1" applyFill="1" applyAlignment="1" applyProtection="1">
      <alignment horizontal="right" vertical="center"/>
      <protection locked="0"/>
    </xf>
    <xf numFmtId="164" fontId="7" fillId="24" borderId="0" xfId="0" applyNumberFormat="1" applyFont="1" applyFill="1" applyAlignment="1" applyProtection="1">
      <alignment horizontal="right" vertical="center"/>
      <protection hidden="1"/>
    </xf>
    <xf numFmtId="2" fontId="7" fillId="24" borderId="0" xfId="0" applyNumberFormat="1" applyFont="1" applyFill="1" applyAlignment="1" applyProtection="1">
      <alignment horizontal="right" vertical="center"/>
      <protection hidden="1"/>
    </xf>
    <xf numFmtId="0" fontId="7" fillId="24" borderId="0" xfId="0" applyFont="1" applyFill="1" applyAlignment="1">
      <alignment horizontal="right" vertical="center"/>
    </xf>
    <xf numFmtId="0" fontId="7" fillId="30" borderId="0" xfId="0" applyFont="1" applyFill="1" applyAlignment="1">
      <alignment horizontal="right" vertical="center"/>
    </xf>
    <xf numFmtId="0" fontId="7" fillId="24" borderId="0" xfId="0" applyFont="1" applyFill="1" applyAlignment="1">
      <alignment horizontal="center" vertical="center"/>
    </xf>
    <xf numFmtId="164" fontId="63" fillId="24" borderId="0" xfId="0" applyNumberFormat="1" applyFont="1" applyFill="1" applyAlignment="1">
      <alignment horizontal="right" vertical="center"/>
    </xf>
    <xf numFmtId="167" fontId="59" fillId="24" borderId="0" xfId="0" applyNumberFormat="1" applyFont="1" applyFill="1" applyAlignment="1">
      <alignment horizontal="right" vertical="center"/>
    </xf>
    <xf numFmtId="164" fontId="7" fillId="24" borderId="0" xfId="0" applyNumberFormat="1" applyFont="1" applyFill="1" applyAlignment="1">
      <alignment horizontal="right" vertical="center"/>
    </xf>
    <xf numFmtId="164" fontId="64" fillId="31" borderId="0" xfId="48" applyNumberFormat="1" applyBorder="1" applyAlignment="1" applyProtection="1">
      <alignment horizontal="right" vertical="center"/>
      <protection hidden="1"/>
    </xf>
    <xf numFmtId="0" fontId="7" fillId="30" borderId="0" xfId="0" applyFont="1" applyFill="1" applyAlignment="1">
      <alignment horizontal="left" vertical="center"/>
    </xf>
    <xf numFmtId="0" fontId="65" fillId="30" borderId="0" xfId="0" applyFont="1" applyFill="1" applyAlignment="1">
      <alignment vertical="center"/>
    </xf>
    <xf numFmtId="167" fontId="7" fillId="24" borderId="0" xfId="0" applyNumberFormat="1" applyFont="1" applyFill="1" applyAlignment="1">
      <alignment vertical="center"/>
    </xf>
    <xf numFmtId="0" fontId="66" fillId="0" borderId="26" xfId="49" applyFont="1" applyBorder="1" applyAlignment="1">
      <alignment horizontal="center" vertical="center"/>
    </xf>
    <xf numFmtId="0" fontId="70" fillId="0" borderId="26" xfId="49" applyFont="1" applyBorder="1" applyAlignment="1">
      <alignment horizontal="center" vertical="center"/>
    </xf>
    <xf numFmtId="0" fontId="73" fillId="0" borderId="26" xfId="49" applyFont="1" applyBorder="1" applyAlignment="1">
      <alignment horizontal="center" vertical="center"/>
    </xf>
    <xf numFmtId="0" fontId="7" fillId="0" borderId="26" xfId="49" applyBorder="1" applyAlignment="1">
      <alignment horizontal="center" vertical="center"/>
    </xf>
    <xf numFmtId="0" fontId="69" fillId="0" borderId="26" xfId="49" applyFont="1" applyBorder="1" applyAlignment="1">
      <alignment horizontal="center" vertical="center"/>
    </xf>
    <xf numFmtId="0" fontId="69" fillId="0" borderId="26" xfId="49" applyFont="1" applyBorder="1" applyAlignment="1">
      <alignment horizontal="left" vertical="center"/>
    </xf>
    <xf numFmtId="2" fontId="69" fillId="0" borderId="26" xfId="49" applyNumberFormat="1" applyFont="1" applyBorder="1" applyAlignment="1">
      <alignment horizontal="center" vertical="center"/>
    </xf>
    <xf numFmtId="0" fontId="74" fillId="0" borderId="0" xfId="50"/>
    <xf numFmtId="0" fontId="39" fillId="0" borderId="0" xfId="0" applyFont="1" applyAlignment="1" applyProtection="1">
      <alignment vertical="center"/>
      <protection hidden="1"/>
    </xf>
    <xf numFmtId="0" fontId="37" fillId="0" borderId="0" xfId="0" applyFont="1" applyAlignment="1" applyProtection="1">
      <alignment vertical="center"/>
      <protection hidden="1"/>
    </xf>
    <xf numFmtId="0" fontId="47" fillId="0" borderId="0" xfId="0" applyFont="1" applyAlignment="1" applyProtection="1">
      <alignment horizontal="right" vertical="center"/>
      <protection hidden="1"/>
    </xf>
    <xf numFmtId="0" fontId="48" fillId="0" borderId="0" xfId="0" applyFont="1" applyAlignment="1" applyProtection="1">
      <alignment horizontal="right" vertical="center"/>
      <protection hidden="1"/>
    </xf>
    <xf numFmtId="2" fontId="37" fillId="24" borderId="0" xfId="0" applyNumberFormat="1" applyFont="1" applyFill="1" applyAlignment="1" applyProtection="1">
      <alignment vertical="center"/>
      <protection hidden="1"/>
    </xf>
    <xf numFmtId="0" fontId="37" fillId="0" borderId="0" xfId="0" applyFont="1" applyAlignment="1" applyProtection="1">
      <alignment horizontal="center" vertical="center"/>
      <protection hidden="1"/>
    </xf>
    <xf numFmtId="0" fontId="37" fillId="0" borderId="0" xfId="0" applyFont="1" applyAlignment="1" applyProtection="1">
      <alignment horizontal="right" vertical="center"/>
      <protection hidden="1"/>
    </xf>
    <xf numFmtId="2" fontId="37" fillId="0" borderId="0" xfId="0" applyNumberFormat="1" applyFont="1" applyAlignment="1" applyProtection="1">
      <alignment horizontal="center" vertical="center"/>
      <protection hidden="1"/>
    </xf>
    <xf numFmtId="0" fontId="37" fillId="0" borderId="0" xfId="0" applyFont="1" applyAlignment="1" applyProtection="1">
      <alignment horizontal="center"/>
      <protection hidden="1"/>
    </xf>
    <xf numFmtId="2" fontId="37" fillId="0" borderId="0" xfId="0" applyNumberFormat="1" applyFont="1" applyAlignment="1" applyProtection="1">
      <alignment horizontal="center"/>
      <protection hidden="1"/>
    </xf>
    <xf numFmtId="0" fontId="37" fillId="0" borderId="0" xfId="0" applyFont="1" applyAlignment="1" applyProtection="1">
      <alignment horizontal="right"/>
      <protection hidden="1"/>
    </xf>
    <xf numFmtId="0" fontId="37" fillId="0" borderId="0" xfId="0" applyFont="1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7" fillId="0" borderId="0" xfId="0" applyFont="1" applyAlignment="1" applyProtection="1">
      <alignment horizontal="right" vertical="center"/>
      <protection hidden="1"/>
    </xf>
    <xf numFmtId="2" fontId="0" fillId="0" borderId="0" xfId="0" applyNumberFormat="1" applyAlignment="1" applyProtection="1">
      <alignment horizontal="center" vertical="center"/>
      <protection hidden="1"/>
    </xf>
    <xf numFmtId="0" fontId="7" fillId="0" borderId="0" xfId="0" applyFont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7" fillId="0" borderId="0" xfId="0" applyFont="1" applyAlignment="1" applyProtection="1">
      <alignment horizontal="right"/>
      <protection hidden="1"/>
    </xf>
    <xf numFmtId="0" fontId="10" fillId="0" borderId="0" xfId="0" applyFont="1" applyProtection="1">
      <protection hidden="1"/>
    </xf>
    <xf numFmtId="0" fontId="36" fillId="24" borderId="0" xfId="0" applyFont="1" applyFill="1" applyAlignment="1">
      <alignment vertical="center" wrapText="1"/>
    </xf>
    <xf numFmtId="0" fontId="0" fillId="24" borderId="35" xfId="0" applyFill="1" applyBorder="1" applyProtection="1">
      <protection hidden="1"/>
    </xf>
    <xf numFmtId="0" fontId="0" fillId="24" borderId="39" xfId="0" applyFill="1" applyBorder="1" applyProtection="1">
      <protection hidden="1"/>
    </xf>
    <xf numFmtId="0" fontId="0" fillId="24" borderId="33" xfId="0" applyFill="1" applyBorder="1" applyProtection="1">
      <protection hidden="1"/>
    </xf>
    <xf numFmtId="0" fontId="0" fillId="24" borderId="8" xfId="0" applyFill="1" applyBorder="1" applyAlignment="1" applyProtection="1">
      <alignment horizontal="left" indent="1"/>
      <protection hidden="1"/>
    </xf>
    <xf numFmtId="0" fontId="6" fillId="24" borderId="0" xfId="0" applyFont="1" applyFill="1" applyAlignment="1">
      <alignment horizontal="right" vertical="center"/>
    </xf>
    <xf numFmtId="9" fontId="7" fillId="0" borderId="0" xfId="41" applyNumberFormat="1" applyAlignment="1">
      <alignment horizontal="center" vertical="center"/>
    </xf>
    <xf numFmtId="0" fontId="0" fillId="24" borderId="16" xfId="0" applyFill="1" applyBorder="1" applyProtection="1">
      <protection hidden="1"/>
    </xf>
    <xf numFmtId="0" fontId="37" fillId="24" borderId="13" xfId="0" applyFont="1" applyFill="1" applyBorder="1" applyAlignment="1" applyProtection="1">
      <alignment vertical="center"/>
      <protection hidden="1"/>
    </xf>
    <xf numFmtId="0" fontId="37" fillId="24" borderId="14" xfId="0" applyFont="1" applyFill="1" applyBorder="1" applyAlignment="1" applyProtection="1">
      <alignment vertical="center"/>
      <protection hidden="1"/>
    </xf>
    <xf numFmtId="0" fontId="37" fillId="24" borderId="15" xfId="0" applyFont="1" applyFill="1" applyBorder="1" applyAlignment="1" applyProtection="1">
      <alignment vertical="center"/>
      <protection hidden="1"/>
    </xf>
    <xf numFmtId="0" fontId="37" fillId="24" borderId="8" xfId="0" applyFont="1" applyFill="1" applyBorder="1" applyAlignment="1" applyProtection="1">
      <alignment vertical="center"/>
      <protection hidden="1"/>
    </xf>
    <xf numFmtId="0" fontId="37" fillId="24" borderId="0" xfId="0" applyFont="1" applyFill="1" applyAlignment="1" applyProtection="1">
      <alignment vertical="center"/>
      <protection hidden="1"/>
    </xf>
    <xf numFmtId="0" fontId="37" fillId="24" borderId="9" xfId="0" applyFont="1" applyFill="1" applyBorder="1" applyAlignment="1" applyProtection="1">
      <alignment vertical="center"/>
      <protection hidden="1"/>
    </xf>
    <xf numFmtId="0" fontId="36" fillId="24" borderId="0" xfId="0" applyFont="1" applyFill="1" applyAlignment="1" applyProtection="1">
      <alignment vertical="center"/>
      <protection hidden="1"/>
    </xf>
    <xf numFmtId="0" fontId="37" fillId="24" borderId="10" xfId="0" applyFont="1" applyFill="1" applyBorder="1" applyAlignment="1" applyProtection="1">
      <alignment vertical="center"/>
      <protection hidden="1"/>
    </xf>
    <xf numFmtId="0" fontId="37" fillId="24" borderId="11" xfId="0" applyFont="1" applyFill="1" applyBorder="1" applyAlignment="1" applyProtection="1">
      <alignment vertical="center"/>
      <protection hidden="1"/>
    </xf>
    <xf numFmtId="0" fontId="37" fillId="24" borderId="12" xfId="0" applyFont="1" applyFill="1" applyBorder="1" applyAlignment="1" applyProtection="1">
      <alignment vertical="center"/>
      <protection hidden="1"/>
    </xf>
    <xf numFmtId="0" fontId="37" fillId="35" borderId="39" xfId="0" applyFont="1" applyFill="1" applyBorder="1" applyAlignment="1" applyProtection="1">
      <alignment vertical="center"/>
      <protection locked="0"/>
    </xf>
    <xf numFmtId="0" fontId="44" fillId="35" borderId="39" xfId="0" applyFont="1" applyFill="1" applyBorder="1" applyAlignment="1" applyProtection="1">
      <alignment vertical="center"/>
      <protection locked="0"/>
    </xf>
    <xf numFmtId="0" fontId="44" fillId="35" borderId="33" xfId="0" applyFont="1" applyFill="1" applyBorder="1" applyAlignment="1" applyProtection="1">
      <alignment vertical="center"/>
      <protection locked="0"/>
    </xf>
    <xf numFmtId="0" fontId="5" fillId="35" borderId="0" xfId="0" applyFont="1" applyFill="1" applyAlignment="1">
      <alignment horizontal="right" vertical="center"/>
    </xf>
    <xf numFmtId="0" fontId="5" fillId="35" borderId="11" xfId="0" applyFont="1" applyFill="1" applyBorder="1" applyAlignment="1">
      <alignment horizontal="right" vertical="center"/>
    </xf>
    <xf numFmtId="0" fontId="37" fillId="35" borderId="8" xfId="0" applyFont="1" applyFill="1" applyBorder="1" applyAlignment="1">
      <alignment vertical="center" shrinkToFit="1"/>
    </xf>
    <xf numFmtId="0" fontId="37" fillId="35" borderId="0" xfId="0" applyFont="1" applyFill="1" applyAlignment="1">
      <alignment horizontal="right" vertical="center"/>
    </xf>
    <xf numFmtId="0" fontId="37" fillId="35" borderId="0" xfId="0" applyFont="1" applyFill="1" applyAlignment="1">
      <alignment horizontal="right" vertical="center" shrinkToFit="1"/>
    </xf>
    <xf numFmtId="2" fontId="37" fillId="35" borderId="9" xfId="0" applyNumberFormat="1" applyFont="1" applyFill="1" applyBorder="1" applyAlignment="1" applyProtection="1">
      <alignment vertical="center"/>
      <protection hidden="1"/>
    </xf>
    <xf numFmtId="0" fontId="37" fillId="35" borderId="10" xfId="0" applyFont="1" applyFill="1" applyBorder="1" applyAlignment="1">
      <alignment vertical="center" shrinkToFit="1"/>
    </xf>
    <xf numFmtId="0" fontId="37" fillId="35" borderId="10" xfId="0" applyFont="1" applyFill="1" applyBorder="1" applyAlignment="1">
      <alignment horizontal="right" vertical="center"/>
    </xf>
    <xf numFmtId="0" fontId="37" fillId="35" borderId="11" xfId="0" applyFont="1" applyFill="1" applyBorder="1" applyAlignment="1">
      <alignment horizontal="right" vertical="center" shrinkToFit="1"/>
    </xf>
    <xf numFmtId="2" fontId="37" fillId="35" borderId="12" xfId="0" applyNumberFormat="1" applyFont="1" applyFill="1" applyBorder="1" applyAlignment="1" applyProtection="1">
      <alignment vertical="center"/>
      <protection hidden="1"/>
    </xf>
    <xf numFmtId="0" fontId="36" fillId="35" borderId="39" xfId="0" applyFont="1" applyFill="1" applyBorder="1" applyAlignment="1">
      <alignment vertical="center"/>
    </xf>
    <xf numFmtId="0" fontId="37" fillId="35" borderId="8" xfId="0" applyFont="1" applyFill="1" applyBorder="1" applyAlignment="1">
      <alignment vertical="center"/>
    </xf>
    <xf numFmtId="0" fontId="37" fillId="35" borderId="0" xfId="0" applyFont="1" applyFill="1" applyAlignment="1">
      <alignment vertical="center"/>
    </xf>
    <xf numFmtId="0" fontId="5" fillId="35" borderId="8" xfId="0" applyFont="1" applyFill="1" applyBorder="1" applyAlignment="1">
      <alignment vertical="center"/>
    </xf>
    <xf numFmtId="0" fontId="5" fillId="35" borderId="0" xfId="0" applyFont="1" applyFill="1" applyAlignment="1">
      <alignment vertical="center"/>
    </xf>
    <xf numFmtId="0" fontId="2" fillId="35" borderId="8" xfId="0" applyFont="1" applyFill="1" applyBorder="1" applyAlignment="1">
      <alignment vertical="center"/>
    </xf>
    <xf numFmtId="0" fontId="2" fillId="35" borderId="0" xfId="0" applyFont="1" applyFill="1" applyAlignment="1">
      <alignment vertical="center"/>
    </xf>
    <xf numFmtId="0" fontId="37" fillId="35" borderId="0" xfId="41" applyFont="1" applyFill="1" applyProtection="1">
      <protection hidden="1"/>
    </xf>
    <xf numFmtId="0" fontId="2" fillId="35" borderId="9" xfId="0" applyFont="1" applyFill="1" applyBorder="1" applyAlignment="1">
      <alignment vertical="center"/>
    </xf>
    <xf numFmtId="0" fontId="2" fillId="35" borderId="8" xfId="0" quotePrefix="1" applyFont="1" applyFill="1" applyBorder="1" applyAlignment="1">
      <alignment horizontal="left" vertical="center" indent="1"/>
    </xf>
    <xf numFmtId="0" fontId="2" fillId="35" borderId="0" xfId="0" quotePrefix="1" applyFont="1" applyFill="1" applyAlignment="1">
      <alignment vertical="center"/>
    </xf>
    <xf numFmtId="0" fontId="2" fillId="35" borderId="9" xfId="0" quotePrefix="1" applyFont="1" applyFill="1" applyBorder="1" applyAlignment="1">
      <alignment vertical="center"/>
    </xf>
    <xf numFmtId="0" fontId="37" fillId="35" borderId="11" xfId="41" applyFont="1" applyFill="1" applyBorder="1" applyProtection="1">
      <protection hidden="1"/>
    </xf>
    <xf numFmtId="0" fontId="37" fillId="35" borderId="12" xfId="41" applyFont="1" applyFill="1" applyBorder="1" applyProtection="1">
      <protection hidden="1"/>
    </xf>
    <xf numFmtId="0" fontId="42" fillId="35" borderId="16" xfId="0" applyFont="1" applyFill="1" applyBorder="1" applyAlignment="1" applyProtection="1">
      <alignment horizontal="center" vertical="center"/>
      <protection hidden="1"/>
    </xf>
    <xf numFmtId="2" fontId="37" fillId="35" borderId="26" xfId="0" applyNumberFormat="1" applyFont="1" applyFill="1" applyBorder="1" applyAlignment="1" applyProtection="1">
      <alignment horizontal="center" vertical="center"/>
      <protection hidden="1"/>
    </xf>
    <xf numFmtId="0" fontId="5" fillId="35" borderId="20" xfId="0" applyFont="1" applyFill="1" applyBorder="1" applyAlignment="1">
      <alignment horizontal="center" vertical="center"/>
    </xf>
    <xf numFmtId="0" fontId="5" fillId="35" borderId="21" xfId="0" applyFont="1" applyFill="1" applyBorder="1" applyAlignment="1">
      <alignment horizontal="right" vertical="center" indent="1"/>
    </xf>
    <xf numFmtId="0" fontId="5" fillId="35" borderId="30" xfId="0" applyFont="1" applyFill="1" applyBorder="1" applyAlignment="1">
      <alignment horizontal="center" vertical="center"/>
    </xf>
    <xf numFmtId="0" fontId="5" fillId="35" borderId="31" xfId="0" applyFont="1" applyFill="1" applyBorder="1" applyAlignment="1">
      <alignment horizontal="right" vertical="center" indent="1"/>
    </xf>
    <xf numFmtId="0" fontId="5" fillId="35" borderId="10" xfId="0" applyFont="1" applyFill="1" applyBorder="1" applyAlignment="1">
      <alignment horizontal="center" vertical="center"/>
    </xf>
    <xf numFmtId="0" fontId="5" fillId="35" borderId="11" xfId="0" applyFont="1" applyFill="1" applyBorder="1" applyAlignment="1">
      <alignment horizontal="right" vertical="center" indent="1"/>
    </xf>
    <xf numFmtId="0" fontId="39" fillId="35" borderId="10" xfId="0" applyFont="1" applyFill="1" applyBorder="1" applyProtection="1">
      <protection hidden="1"/>
    </xf>
    <xf numFmtId="0" fontId="39" fillId="35" borderId="11" xfId="0" applyFont="1" applyFill="1" applyBorder="1" applyProtection="1">
      <protection hidden="1"/>
    </xf>
    <xf numFmtId="0" fontId="39" fillId="35" borderId="12" xfId="0" applyFont="1" applyFill="1" applyBorder="1" applyProtection="1">
      <protection hidden="1"/>
    </xf>
    <xf numFmtId="0" fontId="37" fillId="35" borderId="29" xfId="0" applyFont="1" applyFill="1" applyBorder="1" applyAlignment="1" applyProtection="1">
      <alignment wrapText="1"/>
      <protection hidden="1"/>
    </xf>
    <xf numFmtId="0" fontId="37" fillId="35" borderId="27" xfId="0" applyFont="1" applyFill="1" applyBorder="1" applyAlignment="1" applyProtection="1">
      <alignment wrapText="1"/>
      <protection hidden="1"/>
    </xf>
    <xf numFmtId="0" fontId="37" fillId="35" borderId="28" xfId="0" applyFont="1" applyFill="1" applyBorder="1" applyAlignment="1" applyProtection="1">
      <alignment wrapText="1"/>
      <protection hidden="1"/>
    </xf>
    <xf numFmtId="0" fontId="37" fillId="35" borderId="8" xfId="0" applyFont="1" applyFill="1" applyBorder="1" applyAlignment="1" applyProtection="1">
      <alignment wrapText="1"/>
      <protection hidden="1"/>
    </xf>
    <xf numFmtId="0" fontId="37" fillId="35" borderId="0" xfId="0" applyFont="1" applyFill="1" applyAlignment="1" applyProtection="1">
      <alignment wrapText="1"/>
      <protection hidden="1"/>
    </xf>
    <xf numFmtId="0" fontId="37" fillId="35" borderId="9" xfId="0" applyFont="1" applyFill="1" applyBorder="1" applyAlignment="1" applyProtection="1">
      <alignment wrapText="1"/>
      <protection hidden="1"/>
    </xf>
    <xf numFmtId="0" fontId="3" fillId="35" borderId="21" xfId="0" applyFont="1" applyFill="1" applyBorder="1" applyAlignment="1">
      <alignment horizontal="right" vertical="center" indent="1"/>
    </xf>
    <xf numFmtId="0" fontId="3" fillId="35" borderId="11" xfId="0" applyFont="1" applyFill="1" applyBorder="1" applyAlignment="1">
      <alignment horizontal="right" vertical="center" indent="1"/>
    </xf>
    <xf numFmtId="0" fontId="0" fillId="0" borderId="26" xfId="0" applyBorder="1" applyAlignment="1">
      <alignment horizontal="center"/>
    </xf>
    <xf numFmtId="0" fontId="80" fillId="0" borderId="35" xfId="0" applyFont="1" applyBorder="1" applyAlignment="1">
      <alignment horizontal="left" vertical="center" wrapText="1"/>
    </xf>
    <xf numFmtId="0" fontId="80" fillId="0" borderId="39" xfId="0" applyFont="1" applyBorder="1" applyAlignment="1">
      <alignment horizontal="left" vertical="center" wrapText="1"/>
    </xf>
    <xf numFmtId="0" fontId="80" fillId="0" borderId="33" xfId="0" applyFont="1" applyBorder="1" applyAlignment="1">
      <alignment horizontal="left" vertical="center" wrapText="1"/>
    </xf>
    <xf numFmtId="0" fontId="80" fillId="0" borderId="8" xfId="0" applyFont="1" applyBorder="1" applyAlignment="1">
      <alignment horizontal="left" vertical="center" wrapText="1"/>
    </xf>
    <xf numFmtId="0" fontId="80" fillId="0" borderId="0" xfId="0" applyFont="1" applyAlignment="1">
      <alignment horizontal="left" vertical="center" wrapText="1"/>
    </xf>
    <xf numFmtId="0" fontId="80" fillId="0" borderId="9" xfId="0" applyFont="1" applyBorder="1" applyAlignment="1">
      <alignment horizontal="left" vertical="center" wrapText="1"/>
    </xf>
    <xf numFmtId="0" fontId="80" fillId="0" borderId="10" xfId="0" applyFont="1" applyBorder="1" applyAlignment="1">
      <alignment horizontal="left" vertical="center" wrapText="1"/>
    </xf>
    <xf numFmtId="0" fontId="80" fillId="0" borderId="11" xfId="0" applyFont="1" applyBorder="1" applyAlignment="1">
      <alignment horizontal="left" vertical="center" wrapText="1"/>
    </xf>
    <xf numFmtId="0" fontId="80" fillId="0" borderId="12" xfId="0" applyFont="1" applyBorder="1" applyAlignment="1">
      <alignment horizontal="left" vertical="center" wrapText="1"/>
    </xf>
    <xf numFmtId="0" fontId="79" fillId="0" borderId="0" xfId="0" applyFont="1" applyAlignment="1">
      <alignment horizontal="center" vertical="center" wrapText="1"/>
    </xf>
    <xf numFmtId="0" fontId="37" fillId="34" borderId="0" xfId="0" applyFont="1" applyFill="1" applyAlignment="1" applyProtection="1">
      <alignment horizontal="center" vertical="center"/>
      <protection hidden="1"/>
    </xf>
    <xf numFmtId="0" fontId="37" fillId="34" borderId="34" xfId="0" applyFont="1" applyFill="1" applyBorder="1" applyAlignment="1" applyProtection="1">
      <alignment horizontal="center" vertical="center"/>
      <protection hidden="1"/>
    </xf>
    <xf numFmtId="0" fontId="36" fillId="24" borderId="0" xfId="0" applyFont="1" applyFill="1" applyAlignment="1" applyProtection="1">
      <alignment horizontal="center" vertical="center" wrapText="1"/>
      <protection hidden="1"/>
    </xf>
    <xf numFmtId="0" fontId="36" fillId="24" borderId="11" xfId="0" applyFont="1" applyFill="1" applyBorder="1" applyAlignment="1" applyProtection="1">
      <alignment horizontal="center" vertical="center" wrapText="1"/>
      <protection hidden="1"/>
    </xf>
    <xf numFmtId="0" fontId="36" fillId="24" borderId="0" xfId="0" applyFont="1" applyFill="1" applyAlignment="1" applyProtection="1">
      <alignment horizontal="center" vertical="center"/>
      <protection hidden="1"/>
    </xf>
    <xf numFmtId="0" fontId="36" fillId="24" borderId="11" xfId="0" applyFont="1" applyFill="1" applyBorder="1" applyAlignment="1" applyProtection="1">
      <alignment horizontal="center" vertical="center"/>
      <protection hidden="1"/>
    </xf>
    <xf numFmtId="0" fontId="49" fillId="35" borderId="8" xfId="0" applyFont="1" applyFill="1" applyBorder="1" applyAlignment="1" applyProtection="1">
      <alignment horizontal="center"/>
      <protection hidden="1"/>
    </xf>
    <xf numFmtId="0" fontId="49" fillId="35" borderId="0" xfId="0" applyFont="1" applyFill="1" applyAlignment="1" applyProtection="1">
      <alignment horizontal="center"/>
      <protection hidden="1"/>
    </xf>
    <xf numFmtId="0" fontId="49" fillId="35" borderId="9" xfId="0" applyFont="1" applyFill="1" applyBorder="1" applyAlignment="1" applyProtection="1">
      <alignment horizontal="center"/>
      <protection hidden="1"/>
    </xf>
    <xf numFmtId="0" fontId="49" fillId="35" borderId="8" xfId="0" applyFont="1" applyFill="1" applyBorder="1" applyAlignment="1" applyProtection="1">
      <alignment horizontal="center" wrapText="1"/>
      <protection hidden="1"/>
    </xf>
    <xf numFmtId="0" fontId="49" fillId="35" borderId="0" xfId="0" applyFont="1" applyFill="1" applyAlignment="1" applyProtection="1">
      <alignment horizontal="center" wrapText="1"/>
      <protection hidden="1"/>
    </xf>
    <xf numFmtId="0" fontId="49" fillId="35" borderId="9" xfId="0" applyFont="1" applyFill="1" applyBorder="1" applyAlignment="1" applyProtection="1">
      <alignment horizontal="center" wrapText="1"/>
      <protection hidden="1"/>
    </xf>
    <xf numFmtId="0" fontId="78" fillId="33" borderId="16" xfId="0" applyFont="1" applyFill="1" applyBorder="1" applyAlignment="1">
      <alignment horizontal="center" vertical="center"/>
    </xf>
    <xf numFmtId="0" fontId="78" fillId="33" borderId="17" xfId="0" applyFont="1" applyFill="1" applyBorder="1" applyAlignment="1">
      <alignment horizontal="center" vertical="center"/>
    </xf>
    <xf numFmtId="0" fontId="78" fillId="33" borderId="18" xfId="0" applyFont="1" applyFill="1" applyBorder="1" applyAlignment="1">
      <alignment horizontal="center" vertical="center"/>
    </xf>
    <xf numFmtId="2" fontId="37" fillId="24" borderId="9" xfId="0" applyNumberFormat="1" applyFont="1" applyFill="1" applyBorder="1" applyAlignment="1" applyProtection="1">
      <alignment horizontal="center" vertical="center" textRotation="90" shrinkToFit="1"/>
      <protection hidden="1"/>
    </xf>
    <xf numFmtId="0" fontId="37" fillId="35" borderId="35" xfId="0" applyFont="1" applyFill="1" applyBorder="1" applyAlignment="1" applyProtection="1">
      <alignment horizontal="center"/>
      <protection hidden="1"/>
    </xf>
    <xf numFmtId="0" fontId="37" fillId="35" borderId="39" xfId="0" applyFont="1" applyFill="1" applyBorder="1" applyAlignment="1" applyProtection="1">
      <alignment horizontal="center"/>
      <protection hidden="1"/>
    </xf>
    <xf numFmtId="0" fontId="37" fillId="35" borderId="33" xfId="0" applyFont="1" applyFill="1" applyBorder="1" applyAlignment="1" applyProtection="1">
      <alignment horizontal="center"/>
      <protection hidden="1"/>
    </xf>
    <xf numFmtId="2" fontId="37" fillId="24" borderId="0" xfId="0" applyNumberFormat="1" applyFont="1" applyFill="1" applyAlignment="1" applyProtection="1">
      <alignment horizontal="right" vertical="center" textRotation="90"/>
      <protection hidden="1"/>
    </xf>
    <xf numFmtId="0" fontId="37" fillId="35" borderId="8" xfId="0" applyFont="1" applyFill="1" applyBorder="1" applyAlignment="1" applyProtection="1">
      <alignment horizontal="center" vertical="top"/>
      <protection hidden="1"/>
    </xf>
    <xf numFmtId="0" fontId="37" fillId="35" borderId="0" xfId="0" applyFont="1" applyFill="1" applyAlignment="1" applyProtection="1">
      <alignment horizontal="center" vertical="top"/>
      <protection hidden="1"/>
    </xf>
    <xf numFmtId="0" fontId="37" fillId="35" borderId="9" xfId="0" applyFont="1" applyFill="1" applyBorder="1" applyAlignment="1" applyProtection="1">
      <alignment horizontal="center" vertical="top"/>
      <protection hidden="1"/>
    </xf>
    <xf numFmtId="0" fontId="37" fillId="35" borderId="8" xfId="0" applyFont="1" applyFill="1" applyBorder="1" applyAlignment="1" applyProtection="1">
      <alignment horizontal="center" wrapText="1"/>
      <protection hidden="1"/>
    </xf>
    <xf numFmtId="0" fontId="37" fillId="35" borderId="0" xfId="0" applyFont="1" applyFill="1" applyAlignment="1" applyProtection="1">
      <alignment horizontal="center" wrapText="1"/>
      <protection hidden="1"/>
    </xf>
    <xf numFmtId="0" fontId="37" fillId="35" borderId="9" xfId="0" applyFont="1" applyFill="1" applyBorder="1" applyAlignment="1" applyProtection="1">
      <alignment horizontal="center" wrapText="1"/>
      <protection hidden="1"/>
    </xf>
    <xf numFmtId="0" fontId="50" fillId="35" borderId="8" xfId="0" applyFont="1" applyFill="1" applyBorder="1" applyAlignment="1" applyProtection="1">
      <alignment horizontal="center" vertical="top"/>
      <protection hidden="1"/>
    </xf>
    <xf numFmtId="0" fontId="50" fillId="35" borderId="0" xfId="0" applyFont="1" applyFill="1" applyAlignment="1" applyProtection="1">
      <alignment horizontal="center" vertical="top"/>
      <protection hidden="1"/>
    </xf>
    <xf numFmtId="0" fontId="50" fillId="35" borderId="9" xfId="0" applyFont="1" applyFill="1" applyBorder="1" applyAlignment="1" applyProtection="1">
      <alignment horizontal="center" vertical="top"/>
      <protection hidden="1"/>
    </xf>
    <xf numFmtId="0" fontId="50" fillId="35" borderId="8" xfId="0" applyFont="1" applyFill="1" applyBorder="1" applyAlignment="1" applyProtection="1">
      <alignment horizontal="center" wrapText="1"/>
      <protection hidden="1"/>
    </xf>
    <xf numFmtId="0" fontId="50" fillId="35" borderId="0" xfId="0" applyFont="1" applyFill="1" applyAlignment="1" applyProtection="1">
      <alignment horizontal="center" wrapText="1"/>
      <protection hidden="1"/>
    </xf>
    <xf numFmtId="0" fontId="50" fillId="35" borderId="9" xfId="0" applyFont="1" applyFill="1" applyBorder="1" applyAlignment="1" applyProtection="1">
      <alignment horizontal="center" wrapText="1"/>
      <protection hidden="1"/>
    </xf>
    <xf numFmtId="2" fontId="37" fillId="35" borderId="0" xfId="0" applyNumberFormat="1" applyFont="1" applyFill="1" applyAlignment="1" applyProtection="1">
      <alignment horizontal="center" vertical="center"/>
      <protection locked="0"/>
    </xf>
    <xf numFmtId="2" fontId="37" fillId="35" borderId="11" xfId="0" applyNumberFormat="1" applyFont="1" applyFill="1" applyBorder="1" applyAlignment="1" applyProtection="1">
      <alignment horizontal="center" vertical="center"/>
      <protection locked="0"/>
    </xf>
    <xf numFmtId="2" fontId="37" fillId="35" borderId="21" xfId="0" applyNumberFormat="1" applyFont="1" applyFill="1" applyBorder="1" applyAlignment="1">
      <alignment horizontal="center" vertical="center" shrinkToFit="1"/>
    </xf>
    <xf numFmtId="2" fontId="37" fillId="35" borderId="22" xfId="0" applyNumberFormat="1" applyFont="1" applyFill="1" applyBorder="1" applyAlignment="1">
      <alignment horizontal="center" vertical="center" shrinkToFit="1"/>
    </xf>
    <xf numFmtId="0" fontId="5" fillId="35" borderId="30" xfId="0" applyFont="1" applyFill="1" applyBorder="1" applyAlignment="1">
      <alignment horizontal="right" indent="1"/>
    </xf>
    <xf numFmtId="0" fontId="5" fillId="35" borderId="31" xfId="0" applyFont="1" applyFill="1" applyBorder="1" applyAlignment="1">
      <alignment horizontal="right" indent="1"/>
    </xf>
    <xf numFmtId="2" fontId="37" fillId="35" borderId="30" xfId="0" applyNumberFormat="1" applyFont="1" applyFill="1" applyBorder="1" applyAlignment="1">
      <alignment horizontal="center" vertical="center" shrinkToFit="1"/>
    </xf>
    <xf numFmtId="2" fontId="37" fillId="35" borderId="31" xfId="0" applyNumberFormat="1" applyFont="1" applyFill="1" applyBorder="1" applyAlignment="1">
      <alignment horizontal="center" vertical="center" shrinkToFit="1"/>
    </xf>
    <xf numFmtId="2" fontId="37" fillId="35" borderId="32" xfId="0" applyNumberFormat="1" applyFont="1" applyFill="1" applyBorder="1" applyAlignment="1">
      <alignment horizontal="center" vertical="center" shrinkToFit="1"/>
    </xf>
    <xf numFmtId="2" fontId="45" fillId="35" borderId="26" xfId="0" applyNumberFormat="1" applyFont="1" applyFill="1" applyBorder="1" applyAlignment="1" applyProtection="1">
      <alignment horizontal="center" vertical="center"/>
      <protection hidden="1"/>
    </xf>
    <xf numFmtId="0" fontId="45" fillId="35" borderId="26" xfId="0" applyFont="1" applyFill="1" applyBorder="1" applyAlignment="1" applyProtection="1">
      <alignment horizontal="center" vertical="center"/>
      <protection hidden="1"/>
    </xf>
    <xf numFmtId="0" fontId="37" fillId="35" borderId="26" xfId="0" applyFont="1" applyFill="1" applyBorder="1" applyAlignment="1" applyProtection="1">
      <alignment horizontal="center" vertical="center"/>
      <protection hidden="1"/>
    </xf>
    <xf numFmtId="2" fontId="49" fillId="35" borderId="10" xfId="0" applyNumberFormat="1" applyFont="1" applyFill="1" applyBorder="1" applyAlignment="1">
      <alignment horizontal="center" vertical="center" shrinkToFit="1"/>
    </xf>
    <xf numFmtId="2" fontId="49" fillId="35" borderId="11" xfId="0" applyNumberFormat="1" applyFont="1" applyFill="1" applyBorder="1" applyAlignment="1">
      <alignment horizontal="center" vertical="center" shrinkToFit="1"/>
    </xf>
    <xf numFmtId="2" fontId="37" fillId="35" borderId="20" xfId="0" applyNumberFormat="1" applyFont="1" applyFill="1" applyBorder="1" applyAlignment="1">
      <alignment horizontal="center" vertical="center" shrinkToFit="1"/>
    </xf>
    <xf numFmtId="0" fontId="37" fillId="35" borderId="0" xfId="0" applyFont="1" applyFill="1" applyAlignment="1">
      <alignment horizontal="left" vertical="center" shrinkToFit="1"/>
    </xf>
    <xf numFmtId="0" fontId="37" fillId="35" borderId="11" xfId="0" applyFont="1" applyFill="1" applyBorder="1" applyAlignment="1">
      <alignment horizontal="left" vertical="center" shrinkToFit="1"/>
    </xf>
    <xf numFmtId="2" fontId="50" fillId="35" borderId="21" xfId="0" applyNumberFormat="1" applyFont="1" applyFill="1" applyBorder="1" applyAlignment="1">
      <alignment horizontal="center" vertical="center" shrinkToFit="1"/>
    </xf>
    <xf numFmtId="0" fontId="37" fillId="35" borderId="17" xfId="0" applyFont="1" applyFill="1" applyBorder="1" applyAlignment="1" applyProtection="1">
      <alignment horizontal="center"/>
      <protection hidden="1"/>
    </xf>
    <xf numFmtId="0" fontId="37" fillId="35" borderId="18" xfId="0" applyFont="1" applyFill="1" applyBorder="1" applyAlignment="1" applyProtection="1">
      <alignment horizontal="center"/>
      <protection hidden="1"/>
    </xf>
    <xf numFmtId="0" fontId="5" fillId="35" borderId="19" xfId="0" applyFont="1" applyFill="1" applyBorder="1" applyAlignment="1">
      <alignment horizontal="center" vertical="center"/>
    </xf>
    <xf numFmtId="0" fontId="5" fillId="35" borderId="24" xfId="0" applyFont="1" applyFill="1" applyBorder="1" applyAlignment="1">
      <alignment horizontal="center" vertical="center"/>
    </xf>
    <xf numFmtId="2" fontId="37" fillId="35" borderId="16" xfId="0" applyNumberFormat="1" applyFont="1" applyFill="1" applyBorder="1" applyAlignment="1" applyProtection="1">
      <alignment horizontal="center" vertical="center"/>
      <protection hidden="1"/>
    </xf>
    <xf numFmtId="2" fontId="37" fillId="35" borderId="18" xfId="0" applyNumberFormat="1" applyFont="1" applyFill="1" applyBorder="1" applyAlignment="1" applyProtection="1">
      <alignment horizontal="center" vertical="center"/>
      <protection hidden="1"/>
    </xf>
    <xf numFmtId="0" fontId="37" fillId="35" borderId="26" xfId="0" applyFont="1" applyFill="1" applyBorder="1" applyAlignment="1" applyProtection="1">
      <alignment horizontal="center"/>
      <protection hidden="1"/>
    </xf>
    <xf numFmtId="0" fontId="5" fillId="35" borderId="23" xfId="0" applyFont="1" applyFill="1" applyBorder="1" applyAlignment="1">
      <alignment horizontal="center" vertical="center"/>
    </xf>
    <xf numFmtId="2" fontId="37" fillId="35" borderId="12" xfId="0" applyNumberFormat="1" applyFont="1" applyFill="1" applyBorder="1" applyAlignment="1" applyProtection="1">
      <alignment horizontal="center" vertical="center"/>
      <protection locked="0"/>
    </xf>
    <xf numFmtId="166" fontId="51" fillId="35" borderId="0" xfId="41" applyNumberFormat="1" applyFont="1" applyFill="1" applyAlignment="1">
      <alignment horizontal="center" vertical="center"/>
    </xf>
    <xf numFmtId="166" fontId="51" fillId="35" borderId="9" xfId="41" applyNumberFormat="1" applyFont="1" applyFill="1" applyBorder="1" applyAlignment="1">
      <alignment horizontal="center" vertical="center"/>
    </xf>
    <xf numFmtId="2" fontId="37" fillId="35" borderId="9" xfId="0" applyNumberFormat="1" applyFont="1" applyFill="1" applyBorder="1" applyAlignment="1" applyProtection="1">
      <alignment horizontal="center" vertical="center"/>
      <protection locked="0"/>
    </xf>
    <xf numFmtId="2" fontId="37" fillId="35" borderId="16" xfId="0" applyNumberFormat="1" applyFont="1" applyFill="1" applyBorder="1" applyAlignment="1" applyProtection="1">
      <alignment horizontal="center"/>
      <protection hidden="1"/>
    </xf>
    <xf numFmtId="2" fontId="37" fillId="35" borderId="18" xfId="0" applyNumberFormat="1" applyFont="1" applyFill="1" applyBorder="1" applyAlignment="1" applyProtection="1">
      <alignment horizontal="center"/>
      <protection hidden="1"/>
    </xf>
    <xf numFmtId="0" fontId="4" fillId="35" borderId="19" xfId="0" applyFont="1" applyFill="1" applyBorder="1" applyAlignment="1">
      <alignment horizontal="center" vertical="center"/>
    </xf>
    <xf numFmtId="2" fontId="49" fillId="35" borderId="12" xfId="0" applyNumberFormat="1" applyFont="1" applyFill="1" applyBorder="1" applyAlignment="1">
      <alignment horizontal="center" vertical="center" shrinkToFit="1"/>
    </xf>
    <xf numFmtId="2" fontId="50" fillId="35" borderId="20" xfId="0" applyNumberFormat="1" applyFont="1" applyFill="1" applyBorder="1" applyAlignment="1">
      <alignment horizontal="center" vertical="center" shrinkToFit="1"/>
    </xf>
    <xf numFmtId="2" fontId="50" fillId="35" borderId="22" xfId="0" applyNumberFormat="1" applyFont="1" applyFill="1" applyBorder="1" applyAlignment="1">
      <alignment horizontal="center" vertical="center" shrinkToFit="1"/>
    </xf>
    <xf numFmtId="0" fontId="5" fillId="35" borderId="0" xfId="0" applyFont="1" applyFill="1" applyAlignment="1">
      <alignment horizontal="center" vertical="center"/>
    </xf>
    <xf numFmtId="0" fontId="5" fillId="35" borderId="11" xfId="0" applyFont="1" applyFill="1" applyBorder="1" applyAlignment="1">
      <alignment horizontal="center" vertical="center"/>
    </xf>
    <xf numFmtId="2" fontId="37" fillId="35" borderId="37" xfId="0" applyNumberFormat="1" applyFont="1" applyFill="1" applyBorder="1" applyAlignment="1" applyProtection="1">
      <alignment horizontal="center" vertical="center"/>
      <protection locked="0"/>
    </xf>
    <xf numFmtId="0" fontId="37" fillId="35" borderId="16" xfId="0" applyFont="1" applyFill="1" applyBorder="1" applyAlignment="1" applyProtection="1">
      <alignment horizontal="center"/>
      <protection hidden="1"/>
    </xf>
    <xf numFmtId="0" fontId="36" fillId="35" borderId="16" xfId="0" applyFont="1" applyFill="1" applyBorder="1" applyAlignment="1">
      <alignment horizontal="center" vertical="center" wrapText="1"/>
    </xf>
    <xf numFmtId="0" fontId="36" fillId="35" borderId="17" xfId="0" applyFont="1" applyFill="1" applyBorder="1" applyAlignment="1">
      <alignment horizontal="center" vertical="center" wrapText="1"/>
    </xf>
    <xf numFmtId="0" fontId="36" fillId="35" borderId="18" xfId="0" applyFont="1" applyFill="1" applyBorder="1" applyAlignment="1">
      <alignment horizontal="center" vertical="center" wrapText="1"/>
    </xf>
    <xf numFmtId="0" fontId="2" fillId="35" borderId="8" xfId="0" quotePrefix="1" applyFont="1" applyFill="1" applyBorder="1" applyAlignment="1">
      <alignment horizontal="left" vertical="center" wrapText="1" indent="1"/>
    </xf>
    <xf numFmtId="0" fontId="2" fillId="35" borderId="0" xfId="0" quotePrefix="1" applyFont="1" applyFill="1" applyAlignment="1">
      <alignment horizontal="left" vertical="center" wrapText="1" indent="1"/>
    </xf>
    <xf numFmtId="0" fontId="2" fillId="35" borderId="10" xfId="0" quotePrefix="1" applyFont="1" applyFill="1" applyBorder="1" applyAlignment="1">
      <alignment horizontal="left" vertical="center" wrapText="1" indent="1"/>
    </xf>
    <xf numFmtId="0" fontId="2" fillId="35" borderId="11" xfId="0" quotePrefix="1" applyFont="1" applyFill="1" applyBorder="1" applyAlignment="1">
      <alignment horizontal="left" vertical="center" wrapText="1" indent="1"/>
    </xf>
    <xf numFmtId="0" fontId="36" fillId="35" borderId="16" xfId="41" applyFont="1" applyFill="1" applyBorder="1" applyAlignment="1" applyProtection="1">
      <alignment horizontal="center" vertical="center"/>
      <protection hidden="1"/>
    </xf>
    <xf numFmtId="0" fontId="36" fillId="35" borderId="17" xfId="41" applyFont="1" applyFill="1" applyBorder="1" applyAlignment="1" applyProtection="1">
      <alignment horizontal="center" vertical="center"/>
      <protection hidden="1"/>
    </xf>
    <xf numFmtId="0" fontId="36" fillId="35" borderId="18" xfId="41" applyFont="1" applyFill="1" applyBorder="1" applyAlignment="1" applyProtection="1">
      <alignment horizontal="center" vertical="center"/>
      <protection hidden="1"/>
    </xf>
    <xf numFmtId="0" fontId="0" fillId="0" borderId="26" xfId="0" applyBorder="1" applyAlignment="1">
      <alignment horizontal="center"/>
    </xf>
    <xf numFmtId="0" fontId="5" fillId="35" borderId="20" xfId="0" applyFont="1" applyFill="1" applyBorder="1" applyAlignment="1">
      <alignment horizontal="right" indent="1"/>
    </xf>
    <xf numFmtId="0" fontId="5" fillId="35" borderId="21" xfId="0" applyFont="1" applyFill="1" applyBorder="1" applyAlignment="1">
      <alignment horizontal="right" indent="1"/>
    </xf>
    <xf numFmtId="2" fontId="45" fillId="35" borderId="0" xfId="0" applyNumberFormat="1" applyFont="1" applyFill="1" applyAlignment="1" applyProtection="1">
      <alignment horizontal="center" vertical="center"/>
      <protection locked="0"/>
    </xf>
    <xf numFmtId="2" fontId="45" fillId="35" borderId="9" xfId="0" applyNumberFormat="1" applyFont="1" applyFill="1" applyBorder="1" applyAlignment="1" applyProtection="1">
      <alignment horizontal="center" vertical="center"/>
      <protection locked="0"/>
    </xf>
    <xf numFmtId="0" fontId="31" fillId="24" borderId="26" xfId="0" applyFont="1" applyFill="1" applyBorder="1" applyAlignment="1">
      <alignment horizontal="center"/>
    </xf>
    <xf numFmtId="0" fontId="7" fillId="24" borderId="26" xfId="0" applyFont="1" applyFill="1" applyBorder="1" applyAlignment="1">
      <alignment horizontal="center" vertical="center"/>
    </xf>
    <xf numFmtId="2" fontId="37" fillId="35" borderId="26" xfId="0" applyNumberFormat="1" applyFont="1" applyFill="1" applyBorder="1" applyAlignment="1" applyProtection="1">
      <alignment horizontal="center" vertical="center"/>
      <protection hidden="1"/>
    </xf>
    <xf numFmtId="2" fontId="37" fillId="35" borderId="26" xfId="0" applyNumberFormat="1" applyFont="1" applyFill="1" applyBorder="1" applyAlignment="1" applyProtection="1">
      <alignment horizontal="center"/>
      <protection hidden="1"/>
    </xf>
    <xf numFmtId="0" fontId="77" fillId="33" borderId="35" xfId="0" applyFont="1" applyFill="1" applyBorder="1" applyAlignment="1" applyProtection="1">
      <alignment horizontal="center"/>
      <protection hidden="1"/>
    </xf>
    <xf numFmtId="0" fontId="77" fillId="33" borderId="39" xfId="0" applyFont="1" applyFill="1" applyBorder="1" applyAlignment="1" applyProtection="1">
      <alignment horizontal="center"/>
      <protection hidden="1"/>
    </xf>
    <xf numFmtId="0" fontId="77" fillId="33" borderId="18" xfId="0" applyFont="1" applyFill="1" applyBorder="1" applyAlignment="1" applyProtection="1">
      <alignment horizontal="center"/>
      <protection hidden="1"/>
    </xf>
    <xf numFmtId="0" fontId="5" fillId="35" borderId="10" xfId="0" applyFont="1" applyFill="1" applyBorder="1" applyAlignment="1">
      <alignment horizontal="right" vertical="center"/>
    </xf>
    <xf numFmtId="0" fontId="5" fillId="35" borderId="11" xfId="0" applyFont="1" applyFill="1" applyBorder="1" applyAlignment="1">
      <alignment horizontal="right" vertical="center"/>
    </xf>
    <xf numFmtId="2" fontId="45" fillId="35" borderId="11" xfId="0" applyNumberFormat="1" applyFont="1" applyFill="1" applyBorder="1" applyAlignment="1" applyProtection="1">
      <alignment horizontal="center" vertical="center"/>
      <protection locked="0"/>
    </xf>
    <xf numFmtId="2" fontId="45" fillId="35" borderId="12" xfId="0" applyNumberFormat="1" applyFont="1" applyFill="1" applyBorder="1" applyAlignment="1" applyProtection="1">
      <alignment horizontal="center" vertical="center"/>
      <protection locked="0"/>
    </xf>
    <xf numFmtId="2" fontId="37" fillId="35" borderId="11" xfId="0" applyNumberFormat="1" applyFont="1" applyFill="1" applyBorder="1" applyAlignment="1">
      <alignment horizontal="center" vertical="center" shrinkToFit="1"/>
    </xf>
    <xf numFmtId="0" fontId="37" fillId="35" borderId="0" xfId="0" applyFont="1" applyFill="1" applyAlignment="1">
      <alignment horizontal="center" vertical="center" shrinkToFit="1"/>
    </xf>
    <xf numFmtId="0" fontId="37" fillId="35" borderId="39" xfId="0" applyFont="1" applyFill="1" applyBorder="1" applyAlignment="1">
      <alignment horizontal="right" vertical="center"/>
    </xf>
    <xf numFmtId="2" fontId="51" fillId="35" borderId="39" xfId="0" applyNumberFormat="1" applyFont="1" applyFill="1" applyBorder="1" applyAlignment="1">
      <alignment horizontal="center" vertical="center"/>
    </xf>
    <xf numFmtId="0" fontId="43" fillId="35" borderId="0" xfId="0" applyFont="1" applyFill="1" applyAlignment="1">
      <alignment horizontal="right" vertical="center" shrinkToFit="1"/>
    </xf>
    <xf numFmtId="0" fontId="37" fillId="35" borderId="11" xfId="0" applyFont="1" applyFill="1" applyBorder="1" applyAlignment="1">
      <alignment horizontal="center" vertical="center" shrinkToFit="1"/>
    </xf>
    <xf numFmtId="0" fontId="37" fillId="35" borderId="16" xfId="0" applyFont="1" applyFill="1" applyBorder="1" applyAlignment="1" applyProtection="1">
      <alignment horizontal="center" vertical="center"/>
      <protection hidden="1"/>
    </xf>
    <xf numFmtId="0" fontId="37" fillId="35" borderId="18" xfId="0" applyFont="1" applyFill="1" applyBorder="1" applyAlignment="1" applyProtection="1">
      <alignment horizontal="center" vertical="center"/>
      <protection hidden="1"/>
    </xf>
    <xf numFmtId="0" fontId="46" fillId="26" borderId="0" xfId="0" applyFont="1" applyFill="1" applyAlignment="1">
      <alignment horizontal="center" vertical="center"/>
    </xf>
    <xf numFmtId="0" fontId="6" fillId="24" borderId="0" xfId="0" applyFont="1" applyFill="1" applyAlignment="1">
      <alignment horizontal="right" vertical="center"/>
    </xf>
    <xf numFmtId="0" fontId="36" fillId="35" borderId="35" xfId="0" applyFont="1" applyFill="1" applyBorder="1" applyAlignment="1">
      <alignment horizontal="center" vertical="center"/>
    </xf>
    <xf numFmtId="0" fontId="36" fillId="35" borderId="39" xfId="0" applyFont="1" applyFill="1" applyBorder="1" applyAlignment="1">
      <alignment horizontal="center" vertical="center"/>
    </xf>
    <xf numFmtId="0" fontId="36" fillId="35" borderId="33" xfId="0" applyFont="1" applyFill="1" applyBorder="1" applyAlignment="1">
      <alignment horizontal="center" vertical="center"/>
    </xf>
    <xf numFmtId="164" fontId="45" fillId="0" borderId="39" xfId="0" applyNumberFormat="1" applyFont="1" applyBorder="1" applyAlignment="1" applyProtection="1">
      <alignment horizontal="center" vertical="center"/>
      <protection locked="0"/>
    </xf>
    <xf numFmtId="166" fontId="51" fillId="35" borderId="37" xfId="41" applyNumberFormat="1" applyFont="1" applyFill="1" applyBorder="1" applyAlignment="1">
      <alignment horizontal="center" vertical="center"/>
    </xf>
    <xf numFmtId="0" fontId="5" fillId="35" borderId="8" xfId="0" applyFont="1" applyFill="1" applyBorder="1" applyAlignment="1">
      <alignment horizontal="right" vertical="center"/>
    </xf>
    <xf numFmtId="0" fontId="5" fillId="35" borderId="0" xfId="0" applyFont="1" applyFill="1" applyAlignment="1">
      <alignment horizontal="right" vertical="center"/>
    </xf>
    <xf numFmtId="0" fontId="76" fillId="33" borderId="18" xfId="44" applyNumberFormat="1" applyFont="1" applyFill="1" applyBorder="1" applyAlignment="1">
      <alignment horizontal="center" vertical="center" wrapText="1"/>
    </xf>
    <xf numFmtId="0" fontId="76" fillId="33" borderId="26" xfId="44" applyNumberFormat="1" applyFont="1" applyFill="1" applyBorder="1" applyAlignment="1">
      <alignment horizontal="center" vertical="center" wrapText="1"/>
    </xf>
    <xf numFmtId="0" fontId="76" fillId="33" borderId="16" xfId="44" applyNumberFormat="1" applyFont="1" applyFill="1" applyBorder="1" applyAlignment="1">
      <alignment horizontal="center" vertical="center" wrapText="1"/>
    </xf>
    <xf numFmtId="0" fontId="75" fillId="32" borderId="26" xfId="44" applyNumberFormat="1" applyFont="1" applyFill="1" applyBorder="1" applyAlignment="1">
      <alignment horizontal="center" vertical="center"/>
    </xf>
    <xf numFmtId="0" fontId="75" fillId="32" borderId="16" xfId="44" applyNumberFormat="1" applyFont="1" applyFill="1" applyBorder="1" applyAlignment="1">
      <alignment horizontal="center" vertical="center"/>
    </xf>
    <xf numFmtId="0" fontId="5" fillId="0" borderId="35" xfId="0" applyFont="1" applyBorder="1" applyAlignment="1">
      <alignment horizontal="right" vertical="center"/>
    </xf>
    <xf numFmtId="0" fontId="5" fillId="0" borderId="39" xfId="0" applyFont="1" applyBorder="1" applyAlignment="1">
      <alignment horizontal="right" vertical="center"/>
    </xf>
    <xf numFmtId="2" fontId="37" fillId="35" borderId="38" xfId="0" applyNumberFormat="1" applyFont="1" applyFill="1" applyBorder="1" applyAlignment="1" applyProtection="1">
      <alignment horizontal="center" vertical="center"/>
      <protection locked="0"/>
    </xf>
    <xf numFmtId="0" fontId="5" fillId="35" borderId="10" xfId="0" applyFont="1" applyFill="1" applyBorder="1" applyAlignment="1">
      <alignment horizontal="left" vertical="center"/>
    </xf>
    <xf numFmtId="0" fontId="5" fillId="35" borderId="11" xfId="0" applyFont="1" applyFill="1" applyBorder="1" applyAlignment="1">
      <alignment horizontal="left" vertical="center"/>
    </xf>
    <xf numFmtId="0" fontId="45" fillId="35" borderId="0" xfId="0" applyFont="1" applyFill="1" applyAlignment="1" applyProtection="1">
      <alignment horizontal="left" vertical="center"/>
      <protection locked="0"/>
    </xf>
    <xf numFmtId="0" fontId="37" fillId="35" borderId="0" xfId="0" applyFont="1" applyFill="1" applyAlignment="1" applyProtection="1">
      <alignment horizontal="left" vertical="center"/>
      <protection locked="0"/>
    </xf>
    <xf numFmtId="0" fontId="37" fillId="35" borderId="9" xfId="0" applyFont="1" applyFill="1" applyBorder="1" applyAlignment="1" applyProtection="1">
      <alignment horizontal="left" vertical="center"/>
      <protection locked="0"/>
    </xf>
    <xf numFmtId="0" fontId="37" fillId="35" borderId="36" xfId="0" applyFont="1" applyFill="1" applyBorder="1" applyAlignment="1">
      <alignment horizontal="center" vertical="center"/>
    </xf>
    <xf numFmtId="0" fontId="37" fillId="35" borderId="39" xfId="0" applyFont="1" applyFill="1" applyBorder="1" applyAlignment="1">
      <alignment horizontal="center" vertical="center"/>
    </xf>
    <xf numFmtId="0" fontId="37" fillId="35" borderId="33" xfId="0" applyFont="1" applyFill="1" applyBorder="1" applyAlignment="1">
      <alignment horizontal="center" vertical="center"/>
    </xf>
    <xf numFmtId="0" fontId="42" fillId="35" borderId="0" xfId="0" applyFont="1" applyFill="1" applyAlignment="1">
      <alignment horizontal="center" vertical="center"/>
    </xf>
    <xf numFmtId="0" fontId="37" fillId="35" borderId="0" xfId="0" applyFont="1" applyFill="1" applyAlignment="1">
      <alignment horizontal="center" vertical="center"/>
    </xf>
    <xf numFmtId="0" fontId="37" fillId="35" borderId="8" xfId="0" applyFont="1" applyFill="1" applyBorder="1" applyAlignment="1">
      <alignment horizontal="right" vertical="center" indent="1"/>
    </xf>
    <xf numFmtId="0" fontId="37" fillId="35" borderId="0" xfId="0" applyFont="1" applyFill="1" applyAlignment="1">
      <alignment horizontal="right" vertical="center" indent="1"/>
    </xf>
    <xf numFmtId="0" fontId="36" fillId="35" borderId="16" xfId="0" applyFont="1" applyFill="1" applyBorder="1" applyAlignment="1">
      <alignment horizontal="center" vertical="center"/>
    </xf>
    <xf numFmtId="0" fontId="36" fillId="35" borderId="17" xfId="0" applyFont="1" applyFill="1" applyBorder="1" applyAlignment="1">
      <alignment horizontal="center" vertical="center"/>
    </xf>
    <xf numFmtId="0" fontId="36" fillId="35" borderId="18" xfId="0" applyFont="1" applyFill="1" applyBorder="1" applyAlignment="1">
      <alignment horizontal="center" vertical="center"/>
    </xf>
    <xf numFmtId="0" fontId="37" fillId="35" borderId="35" xfId="0" applyFont="1" applyFill="1" applyBorder="1" applyAlignment="1">
      <alignment horizontal="right" vertical="center" indent="1"/>
    </xf>
    <xf numFmtId="0" fontId="37" fillId="35" borderId="39" xfId="0" applyFont="1" applyFill="1" applyBorder="1" applyAlignment="1">
      <alignment horizontal="right" vertical="center" indent="1"/>
    </xf>
    <xf numFmtId="0" fontId="51" fillId="35" borderId="39" xfId="0" applyFont="1" applyFill="1" applyBorder="1" applyAlignment="1">
      <alignment horizontal="center" vertical="center"/>
    </xf>
    <xf numFmtId="0" fontId="51" fillId="35" borderId="33" xfId="0" applyFont="1" applyFill="1" applyBorder="1" applyAlignment="1">
      <alignment horizontal="center" vertical="center"/>
    </xf>
    <xf numFmtId="0" fontId="37" fillId="35" borderId="35" xfId="0" applyFont="1" applyFill="1" applyBorder="1" applyAlignment="1">
      <alignment horizontal="right" vertical="center"/>
    </xf>
    <xf numFmtId="0" fontId="52" fillId="0" borderId="26" xfId="41" applyFont="1" applyBorder="1" applyAlignment="1">
      <alignment horizontal="center" vertical="center"/>
    </xf>
    <xf numFmtId="0" fontId="36" fillId="35" borderId="35" xfId="0" applyFont="1" applyFill="1" applyBorder="1" applyAlignment="1" applyProtection="1">
      <alignment horizontal="center" vertical="center" wrapText="1"/>
      <protection hidden="1"/>
    </xf>
    <xf numFmtId="0" fontId="36" fillId="35" borderId="39" xfId="0" applyFont="1" applyFill="1" applyBorder="1" applyAlignment="1" applyProtection="1">
      <alignment horizontal="center" vertical="center" wrapText="1"/>
      <protection hidden="1"/>
    </xf>
    <xf numFmtId="0" fontId="36" fillId="35" borderId="33" xfId="0" applyFont="1" applyFill="1" applyBorder="1" applyAlignment="1" applyProtection="1">
      <alignment horizontal="center" vertical="center" wrapText="1"/>
      <protection hidden="1"/>
    </xf>
    <xf numFmtId="0" fontId="36" fillId="35" borderId="10" xfId="0" applyFont="1" applyFill="1" applyBorder="1" applyAlignment="1" applyProtection="1">
      <alignment horizontal="center" vertical="center" wrapText="1"/>
      <protection hidden="1"/>
    </xf>
    <xf numFmtId="0" fontId="36" fillId="35" borderId="11" xfId="0" applyFont="1" applyFill="1" applyBorder="1" applyAlignment="1" applyProtection="1">
      <alignment horizontal="center" vertical="center" wrapText="1"/>
      <protection hidden="1"/>
    </xf>
    <xf numFmtId="0" fontId="36" fillId="35" borderId="12" xfId="0" applyFont="1" applyFill="1" applyBorder="1" applyAlignment="1" applyProtection="1">
      <alignment horizontal="center" vertical="center" wrapText="1"/>
      <protection hidden="1"/>
    </xf>
    <xf numFmtId="0" fontId="36" fillId="35" borderId="26" xfId="0" applyFont="1" applyFill="1" applyBorder="1" applyAlignment="1" applyProtection="1">
      <alignment horizontal="center" vertical="center" wrapText="1"/>
      <protection hidden="1"/>
    </xf>
    <xf numFmtId="0" fontId="0" fillId="0" borderId="26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2" fontId="49" fillId="26" borderId="12" xfId="0" applyNumberFormat="1" applyFont="1" applyFill="1" applyBorder="1" applyAlignment="1">
      <alignment horizontal="center" vertical="center" shrinkToFit="1"/>
    </xf>
    <xf numFmtId="2" fontId="50" fillId="26" borderId="22" xfId="0" applyNumberFormat="1" applyFont="1" applyFill="1" applyBorder="1" applyAlignment="1">
      <alignment horizontal="center" vertical="center" shrinkToFit="1"/>
    </xf>
    <xf numFmtId="0" fontId="5" fillId="26" borderId="24" xfId="0" applyFont="1" applyFill="1" applyBorder="1" applyAlignment="1">
      <alignment horizontal="center" vertical="center"/>
    </xf>
    <xf numFmtId="0" fontId="3" fillId="35" borderId="23" xfId="0" applyFont="1" applyFill="1" applyBorder="1" applyAlignment="1">
      <alignment horizontal="center" vertical="center"/>
    </xf>
    <xf numFmtId="0" fontId="7" fillId="0" borderId="26" xfId="0" applyFont="1" applyBorder="1" applyAlignment="1">
      <alignment horizontal="left"/>
    </xf>
    <xf numFmtId="0" fontId="0" fillId="0" borderId="26" xfId="0" applyBorder="1" applyAlignment="1">
      <alignment horizontal="left"/>
    </xf>
    <xf numFmtId="0" fontId="7" fillId="0" borderId="26" xfId="0" applyFont="1" applyBorder="1" applyAlignment="1">
      <alignment horizontal="center" vertical="center"/>
    </xf>
    <xf numFmtId="0" fontId="31" fillId="0" borderId="26" xfId="0" applyFont="1" applyBorder="1" applyAlignment="1">
      <alignment horizontal="left" vertical="center"/>
    </xf>
    <xf numFmtId="0" fontId="36" fillId="26" borderId="18" xfId="0" applyFont="1" applyFill="1" applyBorder="1" applyAlignment="1">
      <alignment horizontal="center" vertical="center" wrapText="1"/>
    </xf>
    <xf numFmtId="0" fontId="24" fillId="24" borderId="1" xfId="38" applyFill="1" applyAlignment="1" applyProtection="1">
      <alignment horizontal="center"/>
      <protection hidden="1"/>
    </xf>
    <xf numFmtId="0" fontId="7" fillId="24" borderId="0" xfId="0" applyFont="1" applyFill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7" fillId="24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55" fillId="28" borderId="0" xfId="0" applyFont="1" applyFill="1" applyAlignment="1">
      <alignment horizontal="center" vertical="center"/>
    </xf>
    <xf numFmtId="0" fontId="57" fillId="24" borderId="0" xfId="0" applyFont="1" applyFill="1" applyAlignment="1">
      <alignment horizontal="left" vertical="center" indent="1"/>
    </xf>
    <xf numFmtId="0" fontId="59" fillId="24" borderId="0" xfId="0" applyFont="1" applyFill="1" applyAlignment="1" applyProtection="1">
      <alignment horizontal="left" vertical="center"/>
      <protection locked="0"/>
    </xf>
    <xf numFmtId="0" fontId="52" fillId="0" borderId="0" xfId="0" applyFont="1" applyAlignment="1">
      <alignment horizontal="left" vertical="center"/>
    </xf>
    <xf numFmtId="0" fontId="46" fillId="30" borderId="0" xfId="0" applyFont="1" applyFill="1" applyAlignment="1">
      <alignment horizontal="center" vertical="center"/>
    </xf>
    <xf numFmtId="0" fontId="7" fillId="24" borderId="0" xfId="0" applyFont="1" applyFill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37" fillId="24" borderId="17" xfId="0" applyFont="1" applyFill="1" applyBorder="1" applyAlignment="1" applyProtection="1">
      <alignment horizontal="center" vertical="center"/>
      <protection hidden="1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</cellXfs>
  <cellStyles count="51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0" xfId="28" xr:uid="{00000000-0005-0000-0000-00001B000000}"/>
    <cellStyle name="Currency0" xfId="29" xr:uid="{00000000-0005-0000-0000-00001C000000}"/>
    <cellStyle name="Date" xfId="30" xr:uid="{00000000-0005-0000-0000-00001D000000}"/>
    <cellStyle name="Explanatory Text" xfId="31" builtinId="53" customBuiltin="1"/>
    <cellStyle name="Fixed" xfId="32" xr:uid="{00000000-0005-0000-0000-00001F000000}"/>
    <cellStyle name="Good" xfId="33" builtinId="26" customBuiltin="1"/>
    <cellStyle name="Good 2" xfId="48" xr:uid="{F10208AA-E2F5-456E-B75A-825CCAF6CFD4}"/>
    <cellStyle name="Heading 1" xfId="34" builtinId="16" customBuiltin="1"/>
    <cellStyle name="Heading 2" xfId="35" builtinId="17" customBuiltin="1"/>
    <cellStyle name="Heading 3" xfId="36" builtinId="18" customBuiltin="1"/>
    <cellStyle name="Heading 4" xfId="37" builtinId="19" customBuiltin="1"/>
    <cellStyle name="Input" xfId="38" builtinId="20" customBuiltin="1"/>
    <cellStyle name="Linked Cell" xfId="39" builtinId="24" customBuiltin="1"/>
    <cellStyle name="Neutral" xfId="40" builtinId="28" customBuiltin="1"/>
    <cellStyle name="Normal" xfId="0" builtinId="0"/>
    <cellStyle name="Normal 2" xfId="41" xr:uid="{00000000-0005-0000-0000-000029000000}"/>
    <cellStyle name="Normal 7" xfId="49" xr:uid="{5D344CC6-8F0A-406D-8C10-28EAE1EDE2CA}"/>
    <cellStyle name="Normal 8" xfId="50" xr:uid="{D0DC6DC3-599B-4BA8-B04F-36EB18BC71C6}"/>
    <cellStyle name="Note" xfId="42" builtinId="10" customBuiltin="1"/>
    <cellStyle name="Output" xfId="43" builtinId="21" customBuiltin="1"/>
    <cellStyle name="Tieu de phu" xfId="44" xr:uid="{00000000-0005-0000-0000-00002C000000}"/>
    <cellStyle name="Title" xfId="45" builtinId="15" customBuiltin="1"/>
    <cellStyle name="Total" xfId="46" builtinId="25" customBuiltin="1"/>
    <cellStyle name="Warning Text" xfId="47" builtinId="11" customBuiltin="1"/>
  </cellStyles>
  <dxfs count="0"/>
  <tableStyles count="0" defaultTableStyle="TableStyleMedium9" defaultPivotStyle="PivotStyleLight16"/>
  <colors>
    <mruColors>
      <color rgb="FF0000FF"/>
      <color rgb="FFFFFFCC"/>
      <color rgb="FFFF00FF"/>
      <color rgb="FFF4FD81"/>
      <color rgb="FFEFF78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74621</xdr:colOff>
      <xdr:row>38</xdr:row>
      <xdr:rowOff>47515</xdr:rowOff>
    </xdr:from>
    <xdr:to>
      <xdr:col>50</xdr:col>
      <xdr:colOff>686686</xdr:colOff>
      <xdr:row>75</xdr:row>
      <xdr:rowOff>125489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09D1A81-E60B-05CD-A5A8-2251FF3B2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0446" y="7057915"/>
          <a:ext cx="6098465" cy="8536174"/>
        </a:xfrm>
        <a:prstGeom prst="rect">
          <a:avLst/>
        </a:prstGeom>
      </xdr:spPr>
    </xdr:pic>
    <xdr:clientData/>
  </xdr:twoCellAnchor>
  <xdr:twoCellAnchor editAs="oneCell">
    <xdr:from>
      <xdr:col>35</xdr:col>
      <xdr:colOff>390525</xdr:colOff>
      <xdr:row>48</xdr:row>
      <xdr:rowOff>192323</xdr:rowOff>
    </xdr:from>
    <xdr:to>
      <xdr:col>41</xdr:col>
      <xdr:colOff>3354</xdr:colOff>
      <xdr:row>71</xdr:row>
      <xdr:rowOff>92595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240B2EE-AC74-9796-15E9-3B0C954E44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58750" y="9488723"/>
          <a:ext cx="3270429" cy="51580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340179</xdr:colOff>
      <xdr:row>77</xdr:row>
      <xdr:rowOff>0</xdr:rowOff>
    </xdr:from>
    <xdr:to>
      <xdr:col>39</xdr:col>
      <xdr:colOff>475315</xdr:colOff>
      <xdr:row>97</xdr:row>
      <xdr:rowOff>208965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B69E5CE-A16A-EBC7-862F-2E4D8DA28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776858" y="13784035"/>
          <a:ext cx="4421387" cy="4840657"/>
        </a:xfrm>
        <a:prstGeom prst="rect">
          <a:avLst/>
        </a:prstGeom>
      </xdr:spPr>
    </xdr:pic>
    <xdr:clientData/>
  </xdr:twoCellAnchor>
  <xdr:twoCellAnchor>
    <xdr:from>
      <xdr:col>2</xdr:col>
      <xdr:colOff>182217</xdr:colOff>
      <xdr:row>70</xdr:row>
      <xdr:rowOff>33131</xdr:rowOff>
    </xdr:from>
    <xdr:to>
      <xdr:col>3</xdr:col>
      <xdr:colOff>99391</xdr:colOff>
      <xdr:row>71</xdr:row>
      <xdr:rowOff>41413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6AAFEC5A-3846-0AA6-9D63-F16C37BEBC34}"/>
            </a:ext>
          </a:extLst>
        </xdr:cNvPr>
        <xdr:cNvSpPr/>
      </xdr:nvSpPr>
      <xdr:spPr bwMode="auto">
        <a:xfrm>
          <a:off x="488674" y="11645348"/>
          <a:ext cx="347869" cy="198782"/>
        </a:xfrm>
        <a:prstGeom prst="rightArrow">
          <a:avLst/>
        </a:prstGeom>
        <a:solidFill>
          <a:sysClr val="window" lastClr="FFFFFF"/>
        </a:solidFill>
        <a:ln>
          <a:solidFill>
            <a:srgbClr val="0000FF"/>
          </a:solidFill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>
            <a:ln>
              <a:noFill/>
            </a:ln>
          </a:endParaRPr>
        </a:p>
      </xdr:txBody>
    </xdr:sp>
    <xdr:clientData/>
  </xdr:twoCellAnchor>
  <xdr:twoCellAnchor>
    <xdr:from>
      <xdr:col>2</xdr:col>
      <xdr:colOff>157366</xdr:colOff>
      <xdr:row>80</xdr:row>
      <xdr:rowOff>57978</xdr:rowOff>
    </xdr:from>
    <xdr:to>
      <xdr:col>3</xdr:col>
      <xdr:colOff>74540</xdr:colOff>
      <xdr:row>81</xdr:row>
      <xdr:rowOff>66260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9D5651C2-FC30-445B-9786-0CA69A17BA19}"/>
            </a:ext>
          </a:extLst>
        </xdr:cNvPr>
        <xdr:cNvSpPr/>
      </xdr:nvSpPr>
      <xdr:spPr bwMode="auto">
        <a:xfrm rot="10800000">
          <a:off x="463823" y="13575195"/>
          <a:ext cx="347869" cy="198782"/>
        </a:xfrm>
        <a:prstGeom prst="rightArrow">
          <a:avLst/>
        </a:prstGeom>
        <a:solidFill>
          <a:schemeClr val="bg1"/>
        </a:solidFill>
        <a:ln>
          <a:solidFill>
            <a:srgbClr val="0000FF"/>
          </a:solidFill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>
            <a:ln>
              <a:noFill/>
            </a:ln>
          </a:endParaRPr>
        </a:p>
      </xdr:txBody>
    </xdr:sp>
    <xdr:clientData/>
  </xdr:twoCellAnchor>
  <xdr:twoCellAnchor>
    <xdr:from>
      <xdr:col>2</xdr:col>
      <xdr:colOff>256763</xdr:colOff>
      <xdr:row>89</xdr:row>
      <xdr:rowOff>165652</xdr:rowOff>
    </xdr:from>
    <xdr:to>
      <xdr:col>3</xdr:col>
      <xdr:colOff>24850</xdr:colOff>
      <xdr:row>91</xdr:row>
      <xdr:rowOff>132521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07DF1386-11D2-422B-BB01-095D46A29E3C}"/>
            </a:ext>
          </a:extLst>
        </xdr:cNvPr>
        <xdr:cNvSpPr/>
      </xdr:nvSpPr>
      <xdr:spPr bwMode="auto">
        <a:xfrm rot="16200000">
          <a:off x="488676" y="15471913"/>
          <a:ext cx="347869" cy="198782"/>
        </a:xfrm>
        <a:prstGeom prst="rightArrow">
          <a:avLst/>
        </a:prstGeom>
        <a:solidFill>
          <a:schemeClr val="bg1"/>
        </a:solidFill>
        <a:ln>
          <a:solidFill>
            <a:srgbClr val="0000FF"/>
          </a:solidFill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>
            <a:ln>
              <a:noFill/>
            </a:ln>
          </a:endParaRPr>
        </a:p>
      </xdr:txBody>
    </xdr:sp>
    <xdr:clientData/>
  </xdr:twoCellAnchor>
  <xdr:twoCellAnchor>
    <xdr:from>
      <xdr:col>2</xdr:col>
      <xdr:colOff>256762</xdr:colOff>
      <xdr:row>99</xdr:row>
      <xdr:rowOff>124239</xdr:rowOff>
    </xdr:from>
    <xdr:to>
      <xdr:col>3</xdr:col>
      <xdr:colOff>24849</xdr:colOff>
      <xdr:row>101</xdr:row>
      <xdr:rowOff>91108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CB3F35E1-4BA4-4829-A55A-5785DD271CEF}"/>
            </a:ext>
          </a:extLst>
        </xdr:cNvPr>
        <xdr:cNvSpPr/>
      </xdr:nvSpPr>
      <xdr:spPr bwMode="auto">
        <a:xfrm rot="5400000">
          <a:off x="488675" y="17335500"/>
          <a:ext cx="347869" cy="198782"/>
        </a:xfrm>
        <a:prstGeom prst="rightArrow">
          <a:avLst/>
        </a:prstGeom>
        <a:solidFill>
          <a:schemeClr val="bg1"/>
        </a:solidFill>
        <a:ln>
          <a:solidFill>
            <a:srgbClr val="0000FF"/>
          </a:solidFill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139564</xdr:colOff>
      <xdr:row>12</xdr:row>
      <xdr:rowOff>148588</xdr:rowOff>
    </xdr:from>
    <xdr:to>
      <xdr:col>24</xdr:col>
      <xdr:colOff>240196</xdr:colOff>
      <xdr:row>23</xdr:row>
      <xdr:rowOff>198782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20608C44-2C4C-455F-C472-D0722CC4FF43}"/>
            </a:ext>
          </a:extLst>
        </xdr:cNvPr>
        <xdr:cNvGrpSpPr/>
      </xdr:nvGrpSpPr>
      <xdr:grpSpPr>
        <a:xfrm>
          <a:off x="5083039" y="1215388"/>
          <a:ext cx="2691432" cy="2564794"/>
          <a:chOff x="4986130" y="1162476"/>
          <a:chExt cx="2807805" cy="2095638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42CD9350-30D8-8440-4820-F82DA2A843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986130" y="1162476"/>
            <a:ext cx="2807805" cy="2095638"/>
          </a:xfrm>
          <a:prstGeom prst="rect">
            <a:avLst/>
          </a:prstGeom>
        </xdr:spPr>
      </xdr:pic>
      <xdr:sp macro="" textlink="AE12">
        <xdr:nvSpPr>
          <xdr:cNvPr id="12" name="TextBox 11">
            <a:extLst>
              <a:ext uri="{FF2B5EF4-FFF2-40B4-BE49-F238E27FC236}">
                <a16:creationId xmlns:a16="http://schemas.microsoft.com/office/drawing/2014/main" id="{15444C6D-EF0F-52F1-D631-650CF36A62EB}"/>
              </a:ext>
            </a:extLst>
          </xdr:cNvPr>
          <xdr:cNvSpPr txBox="1"/>
        </xdr:nvSpPr>
        <xdr:spPr>
          <a:xfrm>
            <a:off x="6220238" y="2915479"/>
            <a:ext cx="635212" cy="2033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56D6986C-A073-4649-993D-6336BB1A9CC6}" type="TxLink">
              <a:rPr lang="en-US" sz="1000" b="0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Lx = 50</a:t>
            </a:fld>
            <a:endParaRPr lang="en-US" sz="1100"/>
          </a:p>
        </xdr:txBody>
      </xdr:sp>
      <xdr:sp macro="" textlink="AF12">
        <xdr:nvSpPr>
          <xdr:cNvPr id="13" name="TextBox 12">
            <a:extLst>
              <a:ext uri="{FF2B5EF4-FFF2-40B4-BE49-F238E27FC236}">
                <a16:creationId xmlns:a16="http://schemas.microsoft.com/office/drawing/2014/main" id="{D5CBBF02-01E0-4186-A382-3318F8E30F0B}"/>
              </a:ext>
            </a:extLst>
          </xdr:cNvPr>
          <xdr:cNvSpPr txBox="1"/>
        </xdr:nvSpPr>
        <xdr:spPr>
          <a:xfrm rot="16200000">
            <a:off x="7257060" y="1841643"/>
            <a:ext cx="497507" cy="2596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4C9AE006-8AA1-4E4A-B272-E1B78AAE6008}" type="TxLink">
              <a:rPr lang="en-US" sz="1000" b="0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Ly = 10</a:t>
            </a:fld>
            <a:endParaRPr lang="en-US" sz="1100"/>
          </a:p>
        </xdr:txBody>
      </xdr:sp>
    </xdr:grpSp>
    <xdr:clientData/>
  </xdr:twoCellAnchor>
  <xdr:twoCellAnchor>
    <xdr:from>
      <xdr:col>30</xdr:col>
      <xdr:colOff>323021</xdr:colOff>
      <xdr:row>7</xdr:row>
      <xdr:rowOff>107674</xdr:rowOff>
    </xdr:from>
    <xdr:to>
      <xdr:col>32</xdr:col>
      <xdr:colOff>240194</xdr:colOff>
      <xdr:row>9</xdr:row>
      <xdr:rowOff>124239</xdr:rowOff>
    </xdr:to>
    <xdr:sp macro="[0]!InTMRaPDF" textlink="">
      <xdr:nvSpPr>
        <xdr:cNvPr id="11" name="Rectangle 10">
          <a:extLst>
            <a:ext uri="{FF2B5EF4-FFF2-40B4-BE49-F238E27FC236}">
              <a16:creationId xmlns:a16="http://schemas.microsoft.com/office/drawing/2014/main" id="{9ECA1DF3-8165-40E2-8A6B-08A95A994803}"/>
            </a:ext>
          </a:extLst>
        </xdr:cNvPr>
        <xdr:cNvSpPr/>
      </xdr:nvSpPr>
      <xdr:spPr>
        <a:xfrm>
          <a:off x="9732064" y="107674"/>
          <a:ext cx="1143000" cy="405848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rgbClr val="C00000"/>
              </a:solidFill>
            </a:rPr>
            <a:t>IN PDF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44870</xdr:colOff>
      <xdr:row>50</xdr:row>
      <xdr:rowOff>19050</xdr:rowOff>
    </xdr:from>
    <xdr:ext cx="202819" cy="209550"/>
    <xdr:pic>
      <xdr:nvPicPr>
        <xdr:cNvPr id="2" name="Picture 1">
          <a:extLst>
            <a:ext uri="{FF2B5EF4-FFF2-40B4-BE49-F238E27FC236}">
              <a16:creationId xmlns:a16="http://schemas.microsoft.com/office/drawing/2014/main" id="{04411B95-2878-4E57-9D9F-3D49530AD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21620" y="8886825"/>
          <a:ext cx="202819" cy="20955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50</xdr:row>
      <xdr:rowOff>16357</xdr:rowOff>
    </xdr:from>
    <xdr:ext cx="171450" cy="193193"/>
    <xdr:pic>
      <xdr:nvPicPr>
        <xdr:cNvPr id="3" name="Picture 2">
          <a:extLst>
            <a:ext uri="{FF2B5EF4-FFF2-40B4-BE49-F238E27FC236}">
              <a16:creationId xmlns:a16="http://schemas.microsoft.com/office/drawing/2014/main" id="{7B42500C-2005-49D7-A808-7E29E719B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10150" y="8884132"/>
          <a:ext cx="171450" cy="193193"/>
        </a:xfrm>
        <a:prstGeom prst="rect">
          <a:avLst/>
        </a:prstGeom>
      </xdr:spPr>
    </xdr:pic>
    <xdr:clientData/>
  </xdr:oneCellAnchor>
  <xdr:oneCellAnchor>
    <xdr:from>
      <xdr:col>11</xdr:col>
      <xdr:colOff>57150</xdr:colOff>
      <xdr:row>50</xdr:row>
      <xdr:rowOff>41098</xdr:rowOff>
    </xdr:from>
    <xdr:ext cx="219075" cy="158927"/>
    <xdr:pic>
      <xdr:nvPicPr>
        <xdr:cNvPr id="4" name="Picture 3">
          <a:extLst>
            <a:ext uri="{FF2B5EF4-FFF2-40B4-BE49-F238E27FC236}">
              <a16:creationId xmlns:a16="http://schemas.microsoft.com/office/drawing/2014/main" id="{755A4C9D-49FC-4DB2-B2A2-80D200489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76875" y="8908873"/>
          <a:ext cx="219075" cy="158927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4BCC7-F011-43B5-8EB9-36F096D49821}">
  <sheetPr codeName="Sheet1">
    <tabColor rgb="FF0000FF"/>
    <pageSetUpPr fitToPage="1"/>
  </sheetPr>
  <dimension ref="A1:BA129"/>
  <sheetViews>
    <sheetView showGridLines="0" tabSelected="1" view="pageBreakPreview" topLeftCell="C8" zoomScaleNormal="115" zoomScaleSheetLayoutView="100" workbookViewId="0">
      <selection activeCell="AI30" sqref="AI30"/>
    </sheetView>
  </sheetViews>
  <sheetFormatPr defaultRowHeight="12.75"/>
  <cols>
    <col min="1" max="1" width="2.5703125" style="4" customWidth="1"/>
    <col min="2" max="2" width="2" style="4" customWidth="1"/>
    <col min="3" max="3" width="6.42578125" style="4" customWidth="1"/>
    <col min="4" max="27" width="4.85546875" style="4" customWidth="1"/>
    <col min="28" max="28" width="2" style="4" customWidth="1"/>
    <col min="29" max="29" width="2.5703125" style="4" customWidth="1"/>
    <col min="50" max="50" width="9.140625" style="24"/>
    <col min="51" max="52" width="42.42578125" customWidth="1"/>
    <col min="53" max="53" width="85.5703125" bestFit="1" customWidth="1"/>
  </cols>
  <sheetData>
    <row r="1" spans="1:53" hidden="1"/>
    <row r="2" spans="1:53" hidden="1"/>
    <row r="3" spans="1:53" hidden="1"/>
    <row r="4" spans="1:53" hidden="1"/>
    <row r="5" spans="1:53" hidden="1"/>
    <row r="6" spans="1:53" hidden="1">
      <c r="A6" s="2"/>
    </row>
    <row r="7" spans="1:53" ht="15.75" hidden="1" customHeight="1">
      <c r="A7" s="2"/>
    </row>
    <row r="8" spans="1:53" ht="15.75" customHeight="1">
      <c r="A8" s="2"/>
      <c r="B8" s="21"/>
      <c r="C8" s="305" t="s">
        <v>114</v>
      </c>
      <c r="D8" s="305"/>
      <c r="E8" s="305"/>
      <c r="F8" s="305"/>
      <c r="G8" s="305"/>
      <c r="H8" s="305"/>
      <c r="I8" s="305"/>
      <c r="J8" s="305"/>
      <c r="K8" s="305"/>
      <c r="L8" s="305"/>
      <c r="M8" s="305"/>
      <c r="N8" s="305"/>
      <c r="O8" s="305"/>
      <c r="P8" s="305"/>
      <c r="Q8" s="305"/>
      <c r="R8" s="305"/>
      <c r="S8" s="305"/>
      <c r="T8" s="305"/>
      <c r="U8" s="306"/>
      <c r="V8" s="302" t="s">
        <v>112</v>
      </c>
      <c r="W8" s="303"/>
      <c r="X8" s="304"/>
      <c r="Y8" s="302" t="s">
        <v>113</v>
      </c>
      <c r="Z8" s="303"/>
      <c r="AA8" s="303"/>
      <c r="AB8" s="13"/>
      <c r="AH8" s="186" t="s">
        <v>282</v>
      </c>
      <c r="AI8" s="186"/>
      <c r="AJ8" s="186"/>
      <c r="AK8" s="186"/>
      <c r="AL8" s="186"/>
      <c r="AX8" s="26"/>
      <c r="AY8" s="19" t="s">
        <v>93</v>
      </c>
      <c r="AZ8" s="26" t="s">
        <v>56</v>
      </c>
      <c r="BA8" s="19" t="s">
        <v>55</v>
      </c>
    </row>
    <row r="9" spans="1:53" ht="15" customHeight="1">
      <c r="A9" s="2"/>
      <c r="B9" s="21"/>
      <c r="C9" s="305"/>
      <c r="D9" s="305"/>
      <c r="E9" s="305"/>
      <c r="F9" s="305"/>
      <c r="G9" s="305"/>
      <c r="H9" s="305"/>
      <c r="I9" s="305"/>
      <c r="J9" s="305"/>
      <c r="K9" s="305"/>
      <c r="L9" s="305"/>
      <c r="M9" s="305"/>
      <c r="N9" s="305"/>
      <c r="O9" s="305"/>
      <c r="P9" s="305"/>
      <c r="Q9" s="305"/>
      <c r="R9" s="305"/>
      <c r="S9" s="305"/>
      <c r="T9" s="305"/>
      <c r="U9" s="306"/>
      <c r="V9" s="302"/>
      <c r="W9" s="303"/>
      <c r="X9" s="304"/>
      <c r="Y9" s="302"/>
      <c r="Z9" s="303"/>
      <c r="AA9" s="303"/>
      <c r="AB9" s="13"/>
      <c r="AD9" s="293" t="s">
        <v>93</v>
      </c>
      <c r="AH9" s="186"/>
      <c r="AI9" s="186"/>
      <c r="AJ9" s="186"/>
      <c r="AK9" s="186"/>
      <c r="AL9" s="186"/>
      <c r="AX9" s="26">
        <v>1</v>
      </c>
      <c r="AY9" s="27" t="s">
        <v>94</v>
      </c>
      <c r="AZ9" s="27" t="s">
        <v>63</v>
      </c>
      <c r="BA9" s="27" t="s">
        <v>28</v>
      </c>
    </row>
    <row r="10" spans="1:53" ht="17.25" customHeight="1">
      <c r="A10" s="2"/>
      <c r="B10" s="22"/>
      <c r="C10" s="305"/>
      <c r="D10" s="305"/>
      <c r="E10" s="305"/>
      <c r="F10" s="305"/>
      <c r="G10" s="305"/>
      <c r="H10" s="305"/>
      <c r="I10" s="305"/>
      <c r="J10" s="305"/>
      <c r="K10" s="305"/>
      <c r="L10" s="305"/>
      <c r="M10" s="305"/>
      <c r="N10" s="305"/>
      <c r="O10" s="305"/>
      <c r="P10" s="305"/>
      <c r="Q10" s="305"/>
      <c r="R10" s="305"/>
      <c r="S10" s="305"/>
      <c r="T10" s="305"/>
      <c r="U10" s="306"/>
      <c r="V10" s="302"/>
      <c r="W10" s="303"/>
      <c r="X10" s="304"/>
      <c r="Y10" s="302"/>
      <c r="Z10" s="303"/>
      <c r="AA10" s="303"/>
      <c r="AB10" s="13"/>
      <c r="AD10" s="293"/>
      <c r="AH10" s="186"/>
      <c r="AI10" s="186"/>
      <c r="AJ10" s="186"/>
      <c r="AK10" s="186"/>
      <c r="AL10" s="186"/>
      <c r="AX10" s="26">
        <v>2</v>
      </c>
      <c r="AY10" s="27" t="s">
        <v>95</v>
      </c>
      <c r="AZ10" s="27" t="s">
        <v>57</v>
      </c>
      <c r="BA10" s="27" t="s">
        <v>30</v>
      </c>
    </row>
    <row r="11" spans="1:53" ht="18" customHeight="1">
      <c r="A11" s="2"/>
      <c r="B11" s="23"/>
      <c r="C11" s="33"/>
      <c r="D11" s="92"/>
      <c r="E11" s="92"/>
      <c r="F11" s="92"/>
      <c r="G11" s="93"/>
      <c r="H11" s="93"/>
      <c r="I11" s="94" t="str">
        <f>VLOOKUP(31,$AX$9:$BA$69,1+MATCH($AD$9,$AY$8:$BA$8,0),FALSE)</f>
        <v>Design code:</v>
      </c>
      <c r="J11" s="93" t="str">
        <f>VLOOKUP(32,$AX$9:$BA$69,1+MATCH($AD$9,$AY$8:$BA$8,0),FALSE)</f>
        <v>TCVN 2737:2023 Loads and Action - Design standard</v>
      </c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  <c r="AA11" s="29"/>
      <c r="AB11" s="13"/>
      <c r="AH11" s="186"/>
      <c r="AI11" s="186"/>
      <c r="AJ11" s="186"/>
      <c r="AK11" s="186"/>
      <c r="AL11" s="186"/>
      <c r="AX11" s="26">
        <v>3</v>
      </c>
      <c r="AY11" s="25" t="s">
        <v>31</v>
      </c>
      <c r="AZ11" s="27" t="s">
        <v>58</v>
      </c>
      <c r="BA11" s="25" t="s">
        <v>31</v>
      </c>
    </row>
    <row r="12" spans="1:53" ht="18" customHeight="1">
      <c r="A12" s="3"/>
      <c r="B12" s="23"/>
      <c r="C12" s="10"/>
      <c r="D12" s="93"/>
      <c r="E12" s="93"/>
      <c r="F12" s="93"/>
      <c r="G12" s="93"/>
      <c r="H12" s="93"/>
      <c r="I12" s="95" t="str">
        <f>IF(AD9=AY8,AZ45,"")</f>
        <v>Tiêu chuẩn thiết kế:</v>
      </c>
      <c r="J12" s="93" t="str">
        <f>IF(AD9=AY8,AZ46,"")</f>
        <v>TCVN 2737:2023 Tải trọng và tác động - Tiêu chuẩn thiết kế</v>
      </c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  <c r="AA12" s="29"/>
      <c r="AB12" s="13"/>
      <c r="AE12" t="str">
        <f>"Lx = " &amp;ROUND(M17,2)</f>
        <v>Lx = 50</v>
      </c>
      <c r="AF12" t="str">
        <f>"Ly = " &amp;ROUND(M18,2)</f>
        <v>Ly = 10</v>
      </c>
      <c r="AX12" s="26">
        <v>4</v>
      </c>
      <c r="AY12" s="27" t="s">
        <v>33</v>
      </c>
      <c r="AZ12" s="27" t="s">
        <v>96</v>
      </c>
      <c r="BA12" s="27" t="s">
        <v>33</v>
      </c>
    </row>
    <row r="13" spans="1:53" ht="18" customHeight="1">
      <c r="A13" s="3"/>
      <c r="B13" s="23"/>
      <c r="C13" s="10"/>
      <c r="D13" s="93"/>
      <c r="E13" s="93"/>
      <c r="F13" s="93"/>
      <c r="G13" s="93"/>
      <c r="H13" s="93"/>
      <c r="I13" s="95" t="str">
        <f>IF(AD10=AY9,AZ46,"")</f>
        <v/>
      </c>
      <c r="J13" s="93" t="str">
        <f>IF(AD10=AY9,AZ47,"")</f>
        <v/>
      </c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  <c r="AA13" s="29"/>
      <c r="AB13" s="13"/>
      <c r="AE13" s="6" t="s">
        <v>16</v>
      </c>
      <c r="AF13" s="6" t="s">
        <v>17</v>
      </c>
      <c r="AG13" s="6" t="s">
        <v>18</v>
      </c>
      <c r="AH13" s="7" t="s">
        <v>19</v>
      </c>
      <c r="AI13" s="6" t="s">
        <v>20</v>
      </c>
      <c r="AX13" s="26">
        <v>5</v>
      </c>
      <c r="AY13" s="27" t="s">
        <v>290</v>
      </c>
      <c r="AZ13" s="27" t="s">
        <v>292</v>
      </c>
      <c r="BA13" s="27" t="s">
        <v>294</v>
      </c>
    </row>
    <row r="14" spans="1:53" ht="18" customHeight="1">
      <c r="A14" s="3"/>
      <c r="B14" s="23"/>
      <c r="C14" s="295" t="str">
        <f>VLOOKUP(1,$AX$9:$BA$69,1+MATCH($AD$9,$AY$8:$BA$8,0),FALSE)</f>
        <v>BUILDING (STRUCTURE) DATA / DỮ LIỆU CÔNG TRÌNH</v>
      </c>
      <c r="D14" s="296"/>
      <c r="E14" s="296"/>
      <c r="F14" s="296"/>
      <c r="G14" s="296"/>
      <c r="H14" s="296"/>
      <c r="I14" s="296"/>
      <c r="J14" s="296"/>
      <c r="K14" s="296"/>
      <c r="L14" s="296"/>
      <c r="M14" s="296"/>
      <c r="N14" s="297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  <c r="AA14" s="29"/>
      <c r="AB14" s="13"/>
      <c r="AE14" s="6" t="s">
        <v>15</v>
      </c>
      <c r="AF14" s="8">
        <v>213.36</v>
      </c>
      <c r="AG14" s="8">
        <v>2.13</v>
      </c>
      <c r="AH14" s="8">
        <v>11.5</v>
      </c>
      <c r="AI14" s="8">
        <v>1.99</v>
      </c>
      <c r="AX14" s="26">
        <v>6</v>
      </c>
      <c r="AY14" s="27" t="s">
        <v>291</v>
      </c>
      <c r="AZ14" s="27" t="s">
        <v>293</v>
      </c>
      <c r="BA14" s="27" t="s">
        <v>295</v>
      </c>
    </row>
    <row r="15" spans="1:53" ht="18" customHeight="1">
      <c r="A15" s="3"/>
      <c r="B15" s="23"/>
      <c r="C15" s="325" t="str">
        <f>VLOOKUP(2,$AX$9:$BA$69,1+MATCH($AD$9,$AY$8:$BA$8,0),FALSE)</f>
        <v>Structure / Kết cấu:</v>
      </c>
      <c r="D15" s="326"/>
      <c r="E15" s="326"/>
      <c r="F15" s="326"/>
      <c r="G15" s="130" t="str">
        <f>VLOOKUP(3,$AX$9:$BA$69,1+MATCH($AD$9,$AY$8:$BA$8,0),FALSE)</f>
        <v>Vertical walls</v>
      </c>
      <c r="H15" s="131"/>
      <c r="I15" s="131"/>
      <c r="J15" s="131"/>
      <c r="K15" s="131"/>
      <c r="L15" s="131"/>
      <c r="M15" s="131"/>
      <c r="N15" s="132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29"/>
      <c r="AB15" s="13"/>
      <c r="AE15" s="6" t="s">
        <v>1</v>
      </c>
      <c r="AF15" s="8">
        <v>274.32</v>
      </c>
      <c r="AG15" s="8">
        <v>4.57</v>
      </c>
      <c r="AH15" s="8">
        <v>9.5</v>
      </c>
      <c r="AI15" s="8">
        <v>1.97</v>
      </c>
      <c r="AX15" s="26">
        <v>7</v>
      </c>
      <c r="AY15" s="27" t="s">
        <v>97</v>
      </c>
      <c r="AZ15" s="27" t="s">
        <v>60</v>
      </c>
      <c r="BA15" s="27" t="s">
        <v>59</v>
      </c>
    </row>
    <row r="16" spans="1:53" ht="18" customHeight="1">
      <c r="A16" s="3"/>
      <c r="B16" s="23"/>
      <c r="C16" s="320" t="str">
        <f>VLOOKUP(4,$AX$9:$BA$69,1+MATCH($AD$9,$AY$8:$BA$8,0),FALSE)</f>
        <v>Structural type:</v>
      </c>
      <c r="D16" s="321"/>
      <c r="E16" s="321"/>
      <c r="F16" s="321"/>
      <c r="G16" s="312" t="s">
        <v>79</v>
      </c>
      <c r="H16" s="312"/>
      <c r="I16" s="312"/>
      <c r="J16" s="313" t="str">
        <f>IF(AD9&lt;&gt;"EN",VLOOKUP(G16,$AE$24:$AF$25,2,FALSE),"")</f>
        <v>/ Nhà thép</v>
      </c>
      <c r="K16" s="313"/>
      <c r="L16" s="313"/>
      <c r="M16" s="313"/>
      <c r="N16" s="314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  <c r="AA16" s="29"/>
      <c r="AB16" s="13"/>
      <c r="AE16" s="6" t="s">
        <v>0</v>
      </c>
      <c r="AF16" s="8">
        <v>365.76</v>
      </c>
      <c r="AG16" s="8">
        <v>9.14</v>
      </c>
      <c r="AH16" s="8">
        <v>7</v>
      </c>
      <c r="AI16" s="8">
        <v>1.98</v>
      </c>
      <c r="AX16" s="26">
        <v>8</v>
      </c>
      <c r="AY16" s="27" t="s">
        <v>98</v>
      </c>
      <c r="AZ16" s="27" t="s">
        <v>62</v>
      </c>
      <c r="BA16" s="27" t="s">
        <v>61</v>
      </c>
    </row>
    <row r="17" spans="1:53" ht="18" customHeight="1">
      <c r="A17" s="3"/>
      <c r="B17" s="23"/>
      <c r="C17" s="300" t="str">
        <f>VLOOKUP(6,$AX$9:$BA$69,1+MATCH($AD$9,$AY$8:$BA$8,0),FALSE)</f>
        <v>Building length / Chiều dài nhà, Lx [m] =</v>
      </c>
      <c r="D17" s="301"/>
      <c r="E17" s="301"/>
      <c r="F17" s="301"/>
      <c r="G17" s="301"/>
      <c r="H17" s="301"/>
      <c r="I17" s="301"/>
      <c r="J17" s="301"/>
      <c r="K17" s="301"/>
      <c r="L17" s="301"/>
      <c r="M17" s="272">
        <v>50</v>
      </c>
      <c r="N17" s="27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  <c r="AA17" s="29"/>
      <c r="AB17" s="13"/>
      <c r="AE17" s="6" t="s">
        <v>13</v>
      </c>
      <c r="AF17" s="6" t="s">
        <v>14</v>
      </c>
      <c r="AX17" s="26">
        <v>9</v>
      </c>
      <c r="AY17" s="27" t="s">
        <v>108</v>
      </c>
      <c r="AZ17" s="27" t="s">
        <v>109</v>
      </c>
      <c r="BA17" s="27" t="s">
        <v>29</v>
      </c>
    </row>
    <row r="18" spans="1:53" ht="18" customHeight="1">
      <c r="A18" s="3"/>
      <c r="B18" s="23"/>
      <c r="C18" s="300" t="str">
        <f>VLOOKUP(5,$AX$9:$BA$69,1+MATCH($AD$9,$AY$8:$BA$8,0),FALSE)</f>
        <v>Building length / Chiều dài nhà, Ly [m] =</v>
      </c>
      <c r="D18" s="301"/>
      <c r="E18" s="301"/>
      <c r="F18" s="301"/>
      <c r="G18" s="301"/>
      <c r="H18" s="301"/>
      <c r="I18" s="301"/>
      <c r="J18" s="301"/>
      <c r="K18" s="301"/>
      <c r="L18" s="301"/>
      <c r="M18" s="272">
        <v>10</v>
      </c>
      <c r="N18" s="27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  <c r="AA18" s="29"/>
      <c r="AB18" s="13"/>
      <c r="AE18" s="9" t="s">
        <v>6</v>
      </c>
      <c r="AF18" s="9">
        <v>0.65</v>
      </c>
      <c r="AK18" s="274" t="s">
        <v>26</v>
      </c>
      <c r="AL18" s="274"/>
      <c r="AM18" s="274"/>
      <c r="AN18" s="274"/>
      <c r="AO18" s="274"/>
      <c r="AP18" s="274"/>
      <c r="AX18" s="26">
        <v>10</v>
      </c>
      <c r="AY18" s="27" t="s">
        <v>99</v>
      </c>
      <c r="AZ18" s="27" t="s">
        <v>54</v>
      </c>
      <c r="BA18" s="27" t="s">
        <v>13</v>
      </c>
    </row>
    <row r="19" spans="1:53" ht="18" customHeight="1">
      <c r="A19" s="3"/>
      <c r="B19" s="23"/>
      <c r="C19" s="281" t="str">
        <f>VLOOKUP(7,$AX$9:$BA$69,1+MATCH($AD$9,$AY$8:$BA$8,0),FALSE)</f>
        <v>Building height / Chiều cao nhà h [m] =</v>
      </c>
      <c r="D19" s="282"/>
      <c r="E19" s="282"/>
      <c r="F19" s="282"/>
      <c r="G19" s="282"/>
      <c r="H19" s="282"/>
      <c r="I19" s="282"/>
      <c r="J19" s="282"/>
      <c r="K19" s="282"/>
      <c r="L19" s="282"/>
      <c r="M19" s="283">
        <v>10</v>
      </c>
      <c r="N19" s="284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  <c r="AA19" s="29"/>
      <c r="AB19" s="13"/>
      <c r="AE19" s="9" t="s">
        <v>2</v>
      </c>
      <c r="AF19" s="9">
        <v>0.95</v>
      </c>
      <c r="AK19" s="275" t="s">
        <v>23</v>
      </c>
      <c r="AL19" s="275" t="s">
        <v>54</v>
      </c>
      <c r="AM19" s="275"/>
      <c r="AN19" s="275"/>
      <c r="AO19" s="275"/>
      <c r="AP19" s="275"/>
      <c r="AX19" s="26">
        <v>11</v>
      </c>
      <c r="AY19" s="27" t="s">
        <v>100</v>
      </c>
      <c r="AZ19" s="27" t="s">
        <v>64</v>
      </c>
      <c r="BA19" s="27" t="s">
        <v>32</v>
      </c>
    </row>
    <row r="20" spans="1:53" ht="18" customHeight="1">
      <c r="A20" s="3"/>
      <c r="B20" s="23"/>
      <c r="C20" s="307"/>
      <c r="D20" s="308"/>
      <c r="E20" s="308"/>
      <c r="F20" s="308"/>
      <c r="G20" s="308"/>
      <c r="H20" s="308"/>
      <c r="I20" s="308"/>
      <c r="J20" s="308"/>
      <c r="K20" s="308"/>
      <c r="L20" s="308"/>
      <c r="M20" s="298"/>
      <c r="N20" s="298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  <c r="AA20" s="29"/>
      <c r="AB20" s="13"/>
      <c r="AE20" s="9" t="s">
        <v>3</v>
      </c>
      <c r="AF20" s="9">
        <v>1.25</v>
      </c>
      <c r="AK20" s="275"/>
      <c r="AL20" s="15" t="s">
        <v>15</v>
      </c>
      <c r="AM20" s="15" t="s">
        <v>1</v>
      </c>
      <c r="AN20" s="15" t="s">
        <v>0</v>
      </c>
      <c r="AO20" s="16" t="s">
        <v>5</v>
      </c>
      <c r="AP20" s="17" t="s">
        <v>22</v>
      </c>
      <c r="AX20" s="26">
        <v>12</v>
      </c>
      <c r="AY20" s="27" t="s">
        <v>101</v>
      </c>
      <c r="AZ20" s="27" t="s">
        <v>65</v>
      </c>
      <c r="BA20" s="27" t="s">
        <v>107</v>
      </c>
    </row>
    <row r="21" spans="1:53" ht="18" customHeight="1">
      <c r="A21" s="3"/>
      <c r="B21" s="23"/>
      <c r="C21" s="322" t="str">
        <f>VLOOKUP(9,$AX$9:$BA$69,1+MATCH($AD$9,$AY$8:$BA$8,0),FALSE)</f>
        <v xml:space="preserve">SITE DATA / SỐ LIỆU GIÓ THEO VÙNG </v>
      </c>
      <c r="D21" s="323"/>
      <c r="E21" s="323"/>
      <c r="F21" s="323"/>
      <c r="G21" s="323"/>
      <c r="H21" s="323"/>
      <c r="I21" s="323"/>
      <c r="J21" s="323"/>
      <c r="K21" s="323"/>
      <c r="L21" s="323"/>
      <c r="M21" s="323"/>
      <c r="N21" s="324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  <c r="AA21" s="34"/>
      <c r="AB21" s="13"/>
      <c r="AE21" s="9" t="s">
        <v>4</v>
      </c>
      <c r="AF21" s="9">
        <v>1.55</v>
      </c>
      <c r="AK21" s="18">
        <v>0.25</v>
      </c>
      <c r="AL21" s="15">
        <v>-1.2</v>
      </c>
      <c r="AM21" s="15">
        <v>-0.8</v>
      </c>
      <c r="AN21" s="15">
        <v>-0.5</v>
      </c>
      <c r="AO21" s="16">
        <v>0.7</v>
      </c>
      <c r="AP21" s="17">
        <v>-0.3</v>
      </c>
      <c r="AX21" s="26">
        <v>13</v>
      </c>
      <c r="AY21" s="25" t="s">
        <v>66</v>
      </c>
      <c r="AZ21" s="27" t="s">
        <v>67</v>
      </c>
      <c r="BA21" s="25" t="s">
        <v>66</v>
      </c>
    </row>
    <row r="22" spans="1:53" ht="18" customHeight="1">
      <c r="A22" s="3"/>
      <c r="B22" s="23"/>
      <c r="C22" s="329" t="str">
        <f>VLOOKUP(10,$AX$9:$BA$69,1+MATCH($AD$9,$AY$8:$BA$8,0),FALSE)</f>
        <v>Zone / Vùng</v>
      </c>
      <c r="D22" s="287"/>
      <c r="E22" s="288" t="s">
        <v>4</v>
      </c>
      <c r="F22" s="288"/>
      <c r="G22" s="287" t="str">
        <f>VLOOKUP(11,$AX$9:$BA$69,1+MATCH($AD$9,$AY$8:$BA$8,0),FALSE)</f>
        <v>Site terrain type / Dạng địa hình:</v>
      </c>
      <c r="H22" s="287"/>
      <c r="I22" s="287"/>
      <c r="J22" s="287"/>
      <c r="K22" s="287"/>
      <c r="L22" s="287"/>
      <c r="M22" s="327" t="s">
        <v>1</v>
      </c>
      <c r="N22" s="328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  <c r="AA22" s="34"/>
      <c r="AB22" s="13"/>
      <c r="AE22" s="9" t="s">
        <v>12</v>
      </c>
      <c r="AF22" s="9">
        <v>1.85</v>
      </c>
      <c r="AK22" s="15">
        <v>1</v>
      </c>
      <c r="AL22" s="15">
        <v>-1.2</v>
      </c>
      <c r="AM22" s="15">
        <v>-0.8</v>
      </c>
      <c r="AN22" s="15">
        <v>-0.5</v>
      </c>
      <c r="AO22" s="16">
        <v>0.8</v>
      </c>
      <c r="AP22" s="17">
        <v>-0.5</v>
      </c>
      <c r="AX22" s="26">
        <v>14</v>
      </c>
      <c r="AY22" s="27" t="s">
        <v>102</v>
      </c>
      <c r="AZ22" s="27" t="s">
        <v>69</v>
      </c>
      <c r="BA22" s="27" t="s">
        <v>49</v>
      </c>
    </row>
    <row r="23" spans="1:53" ht="18" customHeight="1">
      <c r="A23" s="3"/>
      <c r="B23" s="23"/>
      <c r="C23" s="135"/>
      <c r="D23" s="136" t="s">
        <v>38</v>
      </c>
      <c r="E23" s="286">
        <f>VLOOKUP(E22,$AE$18:$AF$22,2,FALSE)</f>
        <v>1.55</v>
      </c>
      <c r="F23" s="286"/>
      <c r="G23" s="234" t="s">
        <v>180</v>
      </c>
      <c r="H23" s="234"/>
      <c r="I23" s="137" t="s">
        <v>41</v>
      </c>
      <c r="J23" s="286">
        <f>VLOOKUP(M22,$AE$14:$AI$16,2,FALSE)</f>
        <v>274.32</v>
      </c>
      <c r="K23" s="286"/>
      <c r="L23" s="289" t="s">
        <v>42</v>
      </c>
      <c r="M23" s="289"/>
      <c r="N23" s="138">
        <f>VLOOKUP(M22,$AE$14:$AI$16,4,FALSE)</f>
        <v>9.5</v>
      </c>
      <c r="O23" s="93"/>
      <c r="P23" s="93"/>
      <c r="Q23" s="93"/>
      <c r="R23" s="93"/>
      <c r="S23" s="93"/>
      <c r="T23" s="93"/>
      <c r="U23" s="93"/>
      <c r="V23" s="93"/>
      <c r="W23" s="93"/>
      <c r="X23" s="93"/>
      <c r="Y23" s="93"/>
      <c r="Z23" s="93"/>
      <c r="AA23" s="34"/>
      <c r="AB23" s="13"/>
      <c r="AK23" s="15">
        <v>5</v>
      </c>
      <c r="AL23" s="15">
        <v>-1.2</v>
      </c>
      <c r="AM23" s="15">
        <v>-0.8</v>
      </c>
      <c r="AN23" s="15">
        <v>-0.5</v>
      </c>
      <c r="AO23" s="16">
        <v>0.8</v>
      </c>
      <c r="AP23" s="17">
        <v>-0.7</v>
      </c>
      <c r="AX23" s="26">
        <v>15</v>
      </c>
      <c r="AY23" s="27" t="s">
        <v>103</v>
      </c>
      <c r="AZ23" s="27" t="s">
        <v>70</v>
      </c>
      <c r="BA23" s="27" t="s">
        <v>50</v>
      </c>
    </row>
    <row r="24" spans="1:53" ht="18" customHeight="1">
      <c r="A24" s="3"/>
      <c r="B24" s="23"/>
      <c r="C24" s="139"/>
      <c r="D24" s="140" t="s">
        <v>39</v>
      </c>
      <c r="E24" s="285">
        <f>0.852*E23</f>
        <v>1.3206</v>
      </c>
      <c r="F24" s="285"/>
      <c r="G24" s="235" t="s">
        <v>180</v>
      </c>
      <c r="H24" s="235"/>
      <c r="I24" s="141" t="s">
        <v>40</v>
      </c>
      <c r="J24" s="290">
        <f>VLOOKUP(M22,$AE$14:$AI$16,3,FALSE)</f>
        <v>4.57</v>
      </c>
      <c r="K24" s="290"/>
      <c r="L24" s="290" t="s">
        <v>43</v>
      </c>
      <c r="M24" s="290"/>
      <c r="N24" s="142">
        <f>VLOOKUP(M22,$AE$14:$AI$16,5,FALSE)</f>
        <v>1.97</v>
      </c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  <c r="AA24" s="34"/>
      <c r="AB24" s="13"/>
      <c r="AE24" s="35" t="s">
        <v>143</v>
      </c>
      <c r="AF24" s="35" t="s">
        <v>144</v>
      </c>
      <c r="AK24" s="40">
        <f>U39</f>
        <v>0.2</v>
      </c>
      <c r="AL24" s="50"/>
      <c r="AM24" s="51"/>
      <c r="AN24" s="52"/>
      <c r="AO24" s="41" cm="1">
        <f t="array" ref="AO24">noisuy1chieu(AK24,$AK$21:$AK$23,$AO$21:$AO$23)</f>
        <v>0.7</v>
      </c>
      <c r="AP24" s="41" cm="1">
        <f t="array" ref="AP24">noisuy1chieu(AK24,$AK$21:$AK$23,$AP$21:$AP$23)</f>
        <v>-0.3</v>
      </c>
      <c r="AX24" s="26">
        <v>16</v>
      </c>
      <c r="AY24" s="27" t="s">
        <v>134</v>
      </c>
      <c r="AZ24" s="27" t="s">
        <v>135</v>
      </c>
      <c r="BA24" s="27" t="s">
        <v>136</v>
      </c>
    </row>
    <row r="25" spans="1:53" ht="18" customHeight="1">
      <c r="A25" s="3"/>
      <c r="B25" s="23"/>
      <c r="C25" s="14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93"/>
      <c r="P25" s="5"/>
      <c r="Q25" s="5"/>
      <c r="R25" s="5"/>
      <c r="S25" s="5"/>
      <c r="T25" s="5"/>
      <c r="U25" s="93"/>
      <c r="V25" s="93"/>
      <c r="W25" s="93"/>
      <c r="X25" s="93"/>
      <c r="Y25" s="93"/>
      <c r="Z25" s="93"/>
      <c r="AA25" s="29"/>
      <c r="AB25" s="13"/>
      <c r="AE25" s="35" t="s">
        <v>79</v>
      </c>
      <c r="AF25" s="35" t="s">
        <v>145</v>
      </c>
      <c r="AK25" s="40">
        <f>U42</f>
        <v>1</v>
      </c>
      <c r="AL25" s="46"/>
      <c r="AM25" s="47"/>
      <c r="AN25" s="48"/>
      <c r="AO25" s="41" cm="1">
        <f t="array" ref="AO25">noisuy1chieu(AK25,$AK$21:$AK$23,$AO$21:$AO$23)</f>
        <v>0.80000001192092896</v>
      </c>
      <c r="AP25" s="41" cm="1">
        <f t="array" ref="AP25">noisuy1chieu(AK25,$AK$21:$AK$23,$AP$21:$AP$23)</f>
        <v>-0.5</v>
      </c>
      <c r="AX25" s="26"/>
      <c r="AY25" s="27"/>
      <c r="AZ25" s="27"/>
      <c r="BA25" s="27"/>
    </row>
    <row r="26" spans="1:53" ht="18" customHeight="1">
      <c r="A26" s="3"/>
      <c r="B26" s="23"/>
      <c r="C26" s="295"/>
      <c r="D26" s="296"/>
      <c r="E26" s="296"/>
      <c r="F26" s="296"/>
      <c r="G26" s="296"/>
      <c r="H26" s="296"/>
      <c r="I26" s="143"/>
      <c r="J26" s="316" t="s">
        <v>164</v>
      </c>
      <c r="K26" s="316"/>
      <c r="L26" s="315" t="s">
        <v>159</v>
      </c>
      <c r="M26" s="316"/>
      <c r="N26" s="316" t="s">
        <v>160</v>
      </c>
      <c r="O26" s="316"/>
      <c r="P26" s="316" t="s">
        <v>161</v>
      </c>
      <c r="Q26" s="316"/>
      <c r="R26" s="316" t="s">
        <v>162</v>
      </c>
      <c r="S26" s="317"/>
      <c r="T26" s="1"/>
      <c r="U26" s="117"/>
      <c r="V26" s="117"/>
      <c r="W26" s="117"/>
      <c r="X26" s="117"/>
      <c r="Y26" s="117"/>
      <c r="Z26" s="117"/>
      <c r="AA26" s="34"/>
      <c r="AB26" s="13"/>
      <c r="AL26" s="49"/>
      <c r="AM26" s="49"/>
      <c r="AN26" s="49"/>
      <c r="AX26" s="26">
        <v>17</v>
      </c>
      <c r="AY26" s="27" t="s">
        <v>104</v>
      </c>
      <c r="AZ26" s="27" t="s">
        <v>72</v>
      </c>
      <c r="BA26" s="27" t="s">
        <v>71</v>
      </c>
    </row>
    <row r="27" spans="1:53" ht="18" customHeight="1">
      <c r="A27" s="3"/>
      <c r="B27" s="23"/>
      <c r="C27" s="144" t="str">
        <f>VLOOKUP(50,$AX$9:$BA$69,1+MATCH($AD$9,$AY$8:$BA$8,0),FALSE)</f>
        <v>Open ratio  / Độ hở của tường chắn</v>
      </c>
      <c r="D27" s="145"/>
      <c r="E27" s="145"/>
      <c r="F27" s="145"/>
      <c r="G27" s="145"/>
      <c r="H27" s="145"/>
      <c r="I27" s="145"/>
      <c r="J27" s="318" t="s">
        <v>163</v>
      </c>
      <c r="K27" s="319"/>
      <c r="L27" s="299">
        <v>0.05</v>
      </c>
      <c r="M27" s="246"/>
      <c r="N27" s="246">
        <v>0.05</v>
      </c>
      <c r="O27" s="246"/>
      <c r="P27" s="246">
        <v>0.05</v>
      </c>
      <c r="Q27" s="246"/>
      <c r="R27" s="246">
        <v>0.05</v>
      </c>
      <c r="S27" s="247"/>
      <c r="T27" s="1"/>
      <c r="U27" s="117"/>
      <c r="V27" s="117"/>
      <c r="W27" s="117"/>
      <c r="X27" s="117"/>
      <c r="Y27" s="117"/>
      <c r="Z27" s="117"/>
      <c r="AA27" s="34"/>
      <c r="AB27" s="13"/>
      <c r="AE27" s="28"/>
      <c r="AF27" s="20"/>
      <c r="AX27" s="26">
        <v>18</v>
      </c>
      <c r="AY27" s="27" t="s">
        <v>148</v>
      </c>
      <c r="AZ27" s="27" t="s">
        <v>74</v>
      </c>
      <c r="BA27" s="27" t="s">
        <v>73</v>
      </c>
    </row>
    <row r="28" spans="1:53" ht="18" customHeight="1">
      <c r="A28" s="3"/>
      <c r="B28" s="23"/>
      <c r="C28" s="146" t="str">
        <f>VLOOKUP(13,$AX$9:$BA$69,1+MATCH($AD$9,$AY$8:$BA$8,0),FALSE)</f>
        <v>Internal pressure coefficient</v>
      </c>
      <c r="D28" s="147"/>
      <c r="E28" s="147"/>
      <c r="F28" s="147"/>
      <c r="G28" s="147"/>
      <c r="H28" s="147"/>
      <c r="I28" s="133" t="s">
        <v>68</v>
      </c>
      <c r="J28" s="255" t="str">
        <f>VLOOKUP(33,$AX$9:$BA$69,1+MATCH($AD$9,$AY$8:$BA$8,0),FALSE)</f>
        <v>Case 1</v>
      </c>
      <c r="K28" s="255"/>
      <c r="L28" s="257" cm="1">
        <f t="array" ref="L28">_xll.DCECi(L27,1)</f>
        <v>0.2</v>
      </c>
      <c r="M28" s="219"/>
      <c r="N28" s="219" cm="1">
        <f t="array" ref="N28">_xll.DCECi(N27,1)</f>
        <v>0.2</v>
      </c>
      <c r="O28" s="219"/>
      <c r="P28" s="219" cm="1">
        <f t="array" ref="P28">_xll.DCECi(P27,1)</f>
        <v>0.2</v>
      </c>
      <c r="Q28" s="219"/>
      <c r="R28" s="219" cm="1">
        <f t="array" ref="R28">_xll.DCECi(R27,1)</f>
        <v>0.2</v>
      </c>
      <c r="S28" s="248"/>
      <c r="T28" s="1"/>
      <c r="U28" s="117"/>
      <c r="V28" s="117"/>
      <c r="W28" s="117"/>
      <c r="X28" s="117"/>
      <c r="Y28" s="117"/>
      <c r="Z28" s="117"/>
      <c r="AA28" s="34"/>
      <c r="AB28" s="13"/>
      <c r="AE28" s="330" t="s">
        <v>151</v>
      </c>
      <c r="AF28" s="330"/>
      <c r="AG28" s="330"/>
      <c r="AX28" s="26">
        <v>19</v>
      </c>
      <c r="AY28" s="27" t="s">
        <v>115</v>
      </c>
      <c r="AZ28" s="27" t="s">
        <v>76</v>
      </c>
      <c r="BA28" s="27" t="s">
        <v>75</v>
      </c>
    </row>
    <row r="29" spans="1:53" ht="18" customHeight="1">
      <c r="A29" s="3"/>
      <c r="B29" s="23"/>
      <c r="C29" s="310" t="str">
        <f>IF(AD9=AY8,AZ21,"")</f>
        <v>Hệ số khí động áp lực bên trong</v>
      </c>
      <c r="D29" s="311"/>
      <c r="E29" s="311"/>
      <c r="F29" s="311"/>
      <c r="G29" s="311"/>
      <c r="H29" s="311"/>
      <c r="I29" s="134" t="s">
        <v>68</v>
      </c>
      <c r="J29" s="256" t="str">
        <f>VLOOKUP(34,$AX$9:$BA$69,1+MATCH($AD$9,$AY$8:$BA$8,0),FALSE)</f>
        <v>Case 2</v>
      </c>
      <c r="K29" s="256"/>
      <c r="L29" s="309" cm="1">
        <f t="array" ref="L29">_xll.DCECi(L27,2)</f>
        <v>-0.2</v>
      </c>
      <c r="M29" s="220"/>
      <c r="N29" s="220" cm="1">
        <f t="array" ref="N29">_xll.DCECi(N27,2)</f>
        <v>-0.2</v>
      </c>
      <c r="O29" s="220"/>
      <c r="P29" s="220" cm="1">
        <f t="array" ref="P29">_xll.DCECi(P27,2)</f>
        <v>-0.2</v>
      </c>
      <c r="Q29" s="220"/>
      <c r="R29" s="220" cm="1">
        <f t="array" ref="R29">_xll.DCECi(R27,2)</f>
        <v>-0.2</v>
      </c>
      <c r="S29" s="245"/>
      <c r="T29" s="1"/>
      <c r="U29" s="117"/>
      <c r="V29" s="117"/>
      <c r="W29" s="117"/>
      <c r="X29" s="117"/>
      <c r="Y29" s="117"/>
      <c r="Z29" s="117"/>
      <c r="AA29" s="34"/>
      <c r="AB29" s="13"/>
      <c r="AE29" s="36">
        <v>0.05</v>
      </c>
      <c r="AF29" s="37">
        <v>0.2</v>
      </c>
      <c r="AG29" s="37">
        <v>-0.2</v>
      </c>
      <c r="AX29" s="26">
        <v>20</v>
      </c>
      <c r="AY29" s="27" t="s">
        <v>116</v>
      </c>
      <c r="AZ29" s="27" t="s">
        <v>92</v>
      </c>
      <c r="BA29" s="27" t="s">
        <v>106</v>
      </c>
    </row>
    <row r="30" spans="1:53" ht="18" customHeight="1">
      <c r="A30" s="3"/>
      <c r="B30" s="23"/>
      <c r="C30" s="14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93"/>
      <c r="P30" s="294"/>
      <c r="Q30" s="294"/>
      <c r="R30" s="294"/>
      <c r="S30" s="294"/>
      <c r="T30" s="294"/>
      <c r="U30" s="294"/>
      <c r="V30" s="294"/>
      <c r="W30" s="294"/>
      <c r="X30" s="294"/>
      <c r="Y30" s="294"/>
      <c r="Z30" s="96"/>
      <c r="AA30" s="34"/>
      <c r="AB30" s="13"/>
      <c r="AE30" s="36">
        <v>0.3</v>
      </c>
      <c r="AF30" s="37">
        <v>0.8</v>
      </c>
      <c r="AG30" s="37">
        <v>-0.5</v>
      </c>
      <c r="AX30" s="26">
        <v>21</v>
      </c>
      <c r="AY30" s="27" t="s">
        <v>78</v>
      </c>
      <c r="AZ30" s="27" t="s">
        <v>77</v>
      </c>
      <c r="BA30" s="27" t="s">
        <v>78</v>
      </c>
    </row>
    <row r="31" spans="1:53" ht="18" customHeight="1">
      <c r="A31" s="3"/>
      <c r="B31" s="23"/>
      <c r="C31" s="266" t="s">
        <v>281</v>
      </c>
      <c r="D31" s="267"/>
      <c r="E31" s="267"/>
      <c r="F31" s="267"/>
      <c r="G31" s="267"/>
      <c r="H31" s="267"/>
      <c r="I31" s="267"/>
      <c r="J31" s="267"/>
      <c r="K31" s="267"/>
      <c r="L31" s="267"/>
      <c r="M31" s="267"/>
      <c r="N31" s="267"/>
      <c r="O31" s="267"/>
      <c r="P31" s="267"/>
      <c r="Q31" s="267"/>
      <c r="R31" s="267"/>
      <c r="S31" s="267"/>
      <c r="T31" s="267"/>
      <c r="U31" s="267"/>
      <c r="V31" s="268"/>
      <c r="W31" s="117"/>
      <c r="X31" s="117"/>
      <c r="Y31" s="117"/>
      <c r="Z31" s="117"/>
      <c r="AA31" s="34"/>
      <c r="AB31" s="13"/>
      <c r="AE31" s="36">
        <v>0.2</v>
      </c>
      <c r="AF31" s="26" cm="1">
        <f t="array" ref="AF31">noisuy1chieu($AE$31,$AE$29:$AE$30,AF29:AF30)</f>
        <v>0.56000000238418579</v>
      </c>
      <c r="AG31" s="26" cm="1">
        <f t="array" ref="AG31">noisuy1chieu($AE$31,$AE$29:$AE$30,AG29:AG30)</f>
        <v>-0.37999999523162842</v>
      </c>
      <c r="AX31" s="26"/>
      <c r="AY31" s="27"/>
      <c r="AZ31" s="27"/>
      <c r="BA31" s="27"/>
    </row>
    <row r="32" spans="1:53" ht="18" customHeight="1">
      <c r="A32" s="3"/>
      <c r="B32" s="23"/>
      <c r="C32" s="148" t="s">
        <v>278</v>
      </c>
      <c r="D32" s="149"/>
      <c r="E32" s="149"/>
      <c r="F32" s="149"/>
      <c r="G32" s="149"/>
      <c r="H32" s="149"/>
      <c r="I32" s="149"/>
      <c r="J32" s="149"/>
      <c r="K32" s="149"/>
      <c r="L32" s="149"/>
      <c r="M32" s="149"/>
      <c r="N32" s="149"/>
      <c r="O32" s="149"/>
      <c r="P32" s="149"/>
      <c r="Q32" s="149"/>
      <c r="R32" s="150" t="s">
        <v>165</v>
      </c>
      <c r="S32" s="150"/>
      <c r="T32" s="149"/>
      <c r="U32" s="149"/>
      <c r="V32" s="151"/>
      <c r="W32" s="117"/>
      <c r="X32" s="117"/>
      <c r="Y32" s="117"/>
      <c r="Z32" s="117"/>
      <c r="AA32" s="34"/>
      <c r="AB32" s="13"/>
      <c r="AE32" s="118"/>
      <c r="AF32" s="24"/>
      <c r="AG32" s="24"/>
      <c r="AX32" s="26"/>
      <c r="AY32" s="27"/>
      <c r="AZ32" s="27"/>
      <c r="BA32" s="27"/>
    </row>
    <row r="33" spans="1:53" ht="18" customHeight="1">
      <c r="A33" s="3"/>
      <c r="B33" s="23"/>
      <c r="C33" s="152" t="s">
        <v>279</v>
      </c>
      <c r="D33" s="153"/>
      <c r="E33" s="153"/>
      <c r="F33" s="153"/>
      <c r="G33" s="153"/>
      <c r="H33" s="153"/>
      <c r="I33" s="153"/>
      <c r="J33" s="153"/>
      <c r="K33" s="153"/>
      <c r="L33" s="153"/>
      <c r="M33" s="153"/>
      <c r="N33" s="153"/>
      <c r="O33" s="153"/>
      <c r="P33" s="153"/>
      <c r="Q33" s="153"/>
      <c r="R33" s="150" t="s">
        <v>166</v>
      </c>
      <c r="S33" s="150"/>
      <c r="T33" s="153"/>
      <c r="U33" s="153"/>
      <c r="V33" s="154"/>
      <c r="W33" s="117"/>
      <c r="X33" s="117"/>
      <c r="Y33" s="117"/>
      <c r="Z33" s="117"/>
      <c r="AA33" s="34"/>
      <c r="AB33" s="13"/>
      <c r="AE33" s="118"/>
      <c r="AF33" s="24"/>
      <c r="AG33" s="24"/>
      <c r="AX33" s="26"/>
      <c r="AY33" s="27"/>
      <c r="AZ33" s="27"/>
      <c r="BA33" s="27"/>
    </row>
    <row r="34" spans="1:53" ht="18" customHeight="1">
      <c r="A34" s="3"/>
      <c r="B34" s="23"/>
      <c r="C34" s="262" t="s">
        <v>280</v>
      </c>
      <c r="D34" s="263"/>
      <c r="E34" s="263"/>
      <c r="F34" s="263"/>
      <c r="G34" s="263"/>
      <c r="H34" s="263"/>
      <c r="I34" s="263"/>
      <c r="J34" s="263"/>
      <c r="K34" s="263"/>
      <c r="L34" s="263"/>
      <c r="M34" s="263"/>
      <c r="N34" s="263"/>
      <c r="O34" s="263"/>
      <c r="P34" s="263"/>
      <c r="Q34" s="153"/>
      <c r="R34" s="150" t="s">
        <v>167</v>
      </c>
      <c r="S34" s="150"/>
      <c r="T34" s="153"/>
      <c r="U34" s="153"/>
      <c r="V34" s="154"/>
      <c r="W34" s="117"/>
      <c r="X34" s="117"/>
      <c r="Y34" s="117"/>
      <c r="Z34" s="117"/>
      <c r="AA34" s="34"/>
      <c r="AB34" s="13"/>
      <c r="AE34" s="118"/>
      <c r="AF34" s="24"/>
      <c r="AG34" s="24"/>
      <c r="AX34" s="26"/>
      <c r="AY34" s="27"/>
      <c r="AZ34" s="27"/>
      <c r="BA34" s="27"/>
    </row>
    <row r="35" spans="1:53" ht="18" customHeight="1">
      <c r="A35" s="3"/>
      <c r="B35" s="23"/>
      <c r="C35" s="264"/>
      <c r="D35" s="265"/>
      <c r="E35" s="265"/>
      <c r="F35" s="265"/>
      <c r="G35" s="265"/>
      <c r="H35" s="265"/>
      <c r="I35" s="265"/>
      <c r="J35" s="265"/>
      <c r="K35" s="265"/>
      <c r="L35" s="265"/>
      <c r="M35" s="265"/>
      <c r="N35" s="265"/>
      <c r="O35" s="265"/>
      <c r="P35" s="265"/>
      <c r="Q35" s="155"/>
      <c r="R35" s="155"/>
      <c r="S35" s="155"/>
      <c r="T35" s="155"/>
      <c r="U35" s="155"/>
      <c r="V35" s="156"/>
      <c r="W35" s="117"/>
      <c r="X35" s="117"/>
      <c r="Y35" s="117"/>
      <c r="Z35" s="117"/>
      <c r="AA35" s="34"/>
      <c r="AB35" s="13"/>
      <c r="AX35" s="26"/>
      <c r="AY35" s="27"/>
      <c r="AZ35" s="27"/>
      <c r="BA35" s="27"/>
    </row>
    <row r="36" spans="1:53" ht="18" customHeight="1">
      <c r="A36" s="3"/>
      <c r="B36" s="23"/>
      <c r="C36" s="14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93"/>
      <c r="P36" s="117"/>
      <c r="Q36" s="117"/>
      <c r="R36" s="117"/>
      <c r="S36" s="117"/>
      <c r="T36" s="117"/>
      <c r="U36" s="117"/>
      <c r="V36" s="117"/>
      <c r="W36" s="117"/>
      <c r="X36" s="117"/>
      <c r="Y36" s="117"/>
      <c r="Z36" s="96"/>
      <c r="AA36" s="34"/>
      <c r="AB36" s="13"/>
      <c r="AX36" s="26"/>
      <c r="AY36" s="27"/>
      <c r="AZ36" s="27"/>
      <c r="BA36" s="27"/>
    </row>
    <row r="37" spans="1:53" ht="18" customHeight="1">
      <c r="A37" s="3"/>
      <c r="B37" s="23"/>
      <c r="C37" s="278" t="str">
        <f>VLOOKUP(16,$AX$9:$BA$69,1+MATCH($AD$9,$AY$8:$BA$8,0),FALSE)</f>
        <v>CALCULATION WIND PRESSURES / TÍNH TOÁN ÁP LỰC GIÓ</v>
      </c>
      <c r="D37" s="279"/>
      <c r="E37" s="279"/>
      <c r="F37" s="279"/>
      <c r="G37" s="279"/>
      <c r="H37" s="279"/>
      <c r="I37" s="279"/>
      <c r="J37" s="279"/>
      <c r="K37" s="279"/>
      <c r="L37" s="279"/>
      <c r="M37" s="279"/>
      <c r="N37" s="279"/>
      <c r="O37" s="279"/>
      <c r="P37" s="279"/>
      <c r="Q37" s="279"/>
      <c r="R37" s="279"/>
      <c r="S37" s="279"/>
      <c r="T37" s="279"/>
      <c r="U37" s="279"/>
      <c r="V37" s="279"/>
      <c r="W37" s="279"/>
      <c r="X37" s="279"/>
      <c r="Y37" s="279"/>
      <c r="Z37" s="279"/>
      <c r="AA37" s="280"/>
      <c r="AB37" s="13"/>
      <c r="AD37" s="346" t="s">
        <v>289</v>
      </c>
      <c r="AE37" s="346"/>
      <c r="AF37" s="346"/>
      <c r="AG37" s="347" t="s">
        <v>287</v>
      </c>
      <c r="AH37" s="347"/>
      <c r="AI37" s="347"/>
      <c r="AJ37" s="347"/>
      <c r="AX37" s="26">
        <v>22</v>
      </c>
      <c r="AY37" s="27" t="s">
        <v>7</v>
      </c>
      <c r="AZ37" s="27" t="s">
        <v>80</v>
      </c>
      <c r="BA37" s="27" t="s">
        <v>7</v>
      </c>
    </row>
    <row r="38" spans="1:53" ht="18" customHeight="1">
      <c r="A38" s="3"/>
      <c r="B38" s="23"/>
      <c r="C38" s="331" t="str">
        <f>VLOOKUP(53,$AX$9:$BA$69,1+MATCH($AD$9,$AY$8:$BA$8,0),FALSE)</f>
        <v>DIRECTION X / PHƯƠNG X</v>
      </c>
      <c r="D38" s="332"/>
      <c r="E38" s="332"/>
      <c r="F38" s="333"/>
      <c r="G38" s="230" t="s">
        <v>157</v>
      </c>
      <c r="H38" s="230"/>
      <c r="I38" s="230" t="s">
        <v>153</v>
      </c>
      <c r="J38" s="230"/>
      <c r="K38" s="291" t="s">
        <v>154</v>
      </c>
      <c r="L38" s="292"/>
      <c r="M38" s="291" t="s">
        <v>155</v>
      </c>
      <c r="N38" s="292"/>
      <c r="O38" s="291" t="s">
        <v>51</v>
      </c>
      <c r="P38" s="292"/>
      <c r="Q38" s="291" t="s">
        <v>52</v>
      </c>
      <c r="R38" s="292"/>
      <c r="S38" s="258" t="s">
        <v>53</v>
      </c>
      <c r="T38" s="238"/>
      <c r="U38" s="258" t="s">
        <v>23</v>
      </c>
      <c r="V38" s="238"/>
      <c r="W38" s="230" t="s">
        <v>156</v>
      </c>
      <c r="X38" s="230"/>
      <c r="Y38" s="157" t="s">
        <v>21</v>
      </c>
      <c r="Z38" s="237" t="str">
        <f>IF(M19&lt;=O39,AD45,IF(M19&lt;=(2*O39),AD46,AD47))</f>
        <v>h ≤ b</v>
      </c>
      <c r="AA38" s="238"/>
      <c r="AB38" s="13"/>
      <c r="AD38" s="338" t="s">
        <v>283</v>
      </c>
      <c r="AE38" s="25" t="s">
        <v>285</v>
      </c>
      <c r="AF38" s="158">
        <f>IF(G16="RC building",0.85+M19/2840,0.85+M19/1010)</f>
        <v>0.85990099009900989</v>
      </c>
      <c r="AG38" s="27" t="s">
        <v>287</v>
      </c>
      <c r="AH38" s="25"/>
      <c r="AI38" s="25"/>
      <c r="AJ38" s="25"/>
      <c r="AX38" s="26">
        <v>23</v>
      </c>
      <c r="AY38" s="27" t="s">
        <v>9</v>
      </c>
      <c r="AZ38" s="27" t="s">
        <v>81</v>
      </c>
      <c r="BA38" s="27" t="s">
        <v>9</v>
      </c>
    </row>
    <row r="39" spans="1:53" ht="18" customHeight="1">
      <c r="A39" s="3"/>
      <c r="B39" s="23"/>
      <c r="C39" s="334"/>
      <c r="D39" s="335"/>
      <c r="E39" s="335"/>
      <c r="F39" s="336"/>
      <c r="G39" s="228">
        <f>IF(AG37=AG38,AF38,AF39)</f>
        <v>0.85990099009900989</v>
      </c>
      <c r="H39" s="229"/>
      <c r="I39" s="228">
        <f>M19</f>
        <v>10</v>
      </c>
      <c r="J39" s="229"/>
      <c r="K39" s="241" cm="1">
        <f t="array" ref="K39">ze(I39,O39,S39,M22)</f>
        <v>10</v>
      </c>
      <c r="L39" s="242"/>
      <c r="M39" s="241">
        <f>MIN(2.01*(K39/J23)^(2/N23),N24)</f>
        <v>1.0009330064908715</v>
      </c>
      <c r="N39" s="242"/>
      <c r="O39" s="241">
        <f>M18</f>
        <v>10</v>
      </c>
      <c r="P39" s="242"/>
      <c r="Q39" s="241">
        <f>M17</f>
        <v>50</v>
      </c>
      <c r="R39" s="242"/>
      <c r="S39" s="249">
        <f>M19</f>
        <v>10</v>
      </c>
      <c r="T39" s="250"/>
      <c r="U39" s="249">
        <f>S39/Q39</f>
        <v>0.2</v>
      </c>
      <c r="V39" s="250"/>
      <c r="W39" s="243">
        <f>MIN(O39,2*S39)</f>
        <v>10</v>
      </c>
      <c r="X39" s="243"/>
      <c r="Y39" s="157" t="s">
        <v>21</v>
      </c>
      <c r="Z39" s="237" t="str">
        <f>IF(W39&lt;Q39,$AE$45,IF(W39&lt;(5*Q39),AE46,AE47))</f>
        <v>e &lt; d</v>
      </c>
      <c r="AA39" s="238"/>
      <c r="AB39" s="13"/>
      <c r="AD39" s="339"/>
      <c r="AE39" s="25" t="s">
        <v>286</v>
      </c>
      <c r="AF39" s="158">
        <f>GustFactor!E33</f>
        <v>0.9438934308721264</v>
      </c>
      <c r="AG39" s="27" t="s">
        <v>288</v>
      </c>
      <c r="AH39" s="25"/>
      <c r="AI39" s="25"/>
      <c r="AJ39" s="25"/>
      <c r="AX39" s="26">
        <v>24</v>
      </c>
      <c r="AY39" s="27" t="s">
        <v>11</v>
      </c>
      <c r="AZ39" s="27" t="s">
        <v>82</v>
      </c>
      <c r="BA39" s="27" t="s">
        <v>11</v>
      </c>
    </row>
    <row r="40" spans="1:53" ht="18" customHeight="1">
      <c r="A40" s="3"/>
      <c r="B40" s="23"/>
      <c r="C40" s="39"/>
      <c r="D40" s="23"/>
      <c r="E40" s="97"/>
      <c r="F40" s="98"/>
      <c r="G40" s="99"/>
      <c r="H40" s="97"/>
      <c r="I40" s="100"/>
      <c r="J40" s="101"/>
      <c r="K40" s="100"/>
      <c r="L40" s="102"/>
      <c r="M40" s="23"/>
      <c r="N40" s="23"/>
      <c r="O40" s="23"/>
      <c r="P40" s="23"/>
      <c r="Q40" s="23"/>
      <c r="R40" s="23"/>
      <c r="S40" s="23"/>
      <c r="T40" s="23"/>
      <c r="U40" s="23"/>
      <c r="V40" s="103"/>
      <c r="W40" s="103"/>
      <c r="X40" s="103"/>
      <c r="Y40" s="103"/>
      <c r="Z40" s="103"/>
      <c r="AA40" s="32"/>
      <c r="AB40" s="13"/>
      <c r="AX40" s="26">
        <v>25</v>
      </c>
      <c r="AY40" s="27" t="s">
        <v>105</v>
      </c>
      <c r="AZ40" s="27" t="s">
        <v>83</v>
      </c>
      <c r="BA40" s="27" t="s">
        <v>105</v>
      </c>
    </row>
    <row r="41" spans="1:53" ht="18" customHeight="1">
      <c r="A41" s="3"/>
      <c r="B41" s="23"/>
      <c r="C41" s="337" t="str">
        <f>VLOOKUP(54,$AX$9:$BA$69,1+MATCH($AD$9,$AY$8:$BA$8,0),FALSE)</f>
        <v>DIRECTION Y / PHƯƠNG Y</v>
      </c>
      <c r="D41" s="337"/>
      <c r="E41" s="337"/>
      <c r="F41" s="337"/>
      <c r="G41" s="230" t="s">
        <v>157</v>
      </c>
      <c r="H41" s="230"/>
      <c r="I41" s="230" t="s">
        <v>153</v>
      </c>
      <c r="J41" s="230"/>
      <c r="K41" s="230" t="s">
        <v>154</v>
      </c>
      <c r="L41" s="230"/>
      <c r="M41" s="230" t="s">
        <v>155</v>
      </c>
      <c r="N41" s="230"/>
      <c r="O41" s="230" t="s">
        <v>51</v>
      </c>
      <c r="P41" s="230"/>
      <c r="Q41" s="230" t="s">
        <v>52</v>
      </c>
      <c r="R41" s="230"/>
      <c r="S41" s="243" t="s">
        <v>53</v>
      </c>
      <c r="T41" s="243"/>
      <c r="U41" s="243" t="s">
        <v>23</v>
      </c>
      <c r="V41" s="243"/>
      <c r="W41" s="230" t="s">
        <v>156</v>
      </c>
      <c r="X41" s="230"/>
      <c r="Y41" s="157" t="s">
        <v>21</v>
      </c>
      <c r="Z41" s="237" t="str">
        <f>IF(S42&lt;=O42,AD45,IF(S42&lt;=(2*O42),AD46,AD47))</f>
        <v>h ≤ b</v>
      </c>
      <c r="AA41" s="238"/>
      <c r="AB41" s="13"/>
      <c r="AD41" s="338" t="s">
        <v>284</v>
      </c>
      <c r="AE41" s="25" t="s">
        <v>285</v>
      </c>
      <c r="AF41" s="158">
        <f>IF(G16="RC building",0.85+M19/2840,0.85+M19/1010)</f>
        <v>0.85990099009900989</v>
      </c>
      <c r="AG41" s="344" t="str">
        <f>AG38</f>
        <v>Công thức tính toán sơ bộ theo phụ lục</v>
      </c>
      <c r="AH41" s="345"/>
      <c r="AI41" s="345"/>
      <c r="AJ41" s="345"/>
      <c r="AX41" s="26">
        <v>26</v>
      </c>
      <c r="AY41" s="27" t="s">
        <v>8</v>
      </c>
      <c r="AZ41" s="27" t="s">
        <v>85</v>
      </c>
      <c r="BA41" s="27" t="s">
        <v>8</v>
      </c>
    </row>
    <row r="42" spans="1:53" ht="18" customHeight="1">
      <c r="A42" s="3"/>
      <c r="B42" s="23"/>
      <c r="C42" s="337"/>
      <c r="D42" s="337"/>
      <c r="E42" s="337"/>
      <c r="F42" s="337"/>
      <c r="G42" s="228">
        <f>IF(AG37=AG38,AF41,AF42)</f>
        <v>0.85990099009900989</v>
      </c>
      <c r="H42" s="229"/>
      <c r="I42" s="228">
        <f>M19</f>
        <v>10</v>
      </c>
      <c r="J42" s="229"/>
      <c r="K42" s="241" cm="1">
        <f t="array" ref="K42">ze(I42,O42,S42,M22)</f>
        <v>10</v>
      </c>
      <c r="L42" s="242"/>
      <c r="M42" s="241">
        <f>MIN(2.01*(K42/J23)^(2/N23),N24)</f>
        <v>1.0009330064908715</v>
      </c>
      <c r="N42" s="242"/>
      <c r="O42" s="276">
        <f>M17</f>
        <v>50</v>
      </c>
      <c r="P42" s="230"/>
      <c r="Q42" s="276">
        <f>M18</f>
        <v>10</v>
      </c>
      <c r="R42" s="230"/>
      <c r="S42" s="277">
        <f>M19</f>
        <v>10</v>
      </c>
      <c r="T42" s="243"/>
      <c r="U42" s="277">
        <f>S42/Q42</f>
        <v>1</v>
      </c>
      <c r="V42" s="277"/>
      <c r="W42" s="243">
        <f>MIN(O42,2*S42)</f>
        <v>20</v>
      </c>
      <c r="X42" s="243"/>
      <c r="Y42" s="157" t="s">
        <v>21</v>
      </c>
      <c r="Z42" s="237" t="str">
        <f>IF(W42&lt;Q42,$AE$45,IF(W42&lt;(5*Q42),AE46,AE47))</f>
        <v>d ≤ e &lt; 5d</v>
      </c>
      <c r="AA42" s="238"/>
      <c r="AB42" s="13"/>
      <c r="AD42" s="339"/>
      <c r="AE42" s="25" t="s">
        <v>286</v>
      </c>
      <c r="AF42" s="158">
        <f>GustFactor!K33</f>
        <v>0.88580526599160792</v>
      </c>
      <c r="AG42" s="344" t="str">
        <f>AG39</f>
        <v>Công thức tính toán theo sheet bên cạnh</v>
      </c>
      <c r="AH42" s="345"/>
      <c r="AI42" s="345"/>
      <c r="AJ42" s="345"/>
      <c r="AX42" s="26">
        <v>27</v>
      </c>
      <c r="AY42" s="27" t="s">
        <v>10</v>
      </c>
      <c r="AZ42" s="27" t="s">
        <v>86</v>
      </c>
      <c r="BA42" s="27" t="s">
        <v>10</v>
      </c>
    </row>
    <row r="43" spans="1:53" ht="18" customHeight="1">
      <c r="A43" s="3"/>
      <c r="B43" s="23"/>
      <c r="C43" s="30"/>
      <c r="D43" s="5"/>
      <c r="E43" s="104"/>
      <c r="F43" s="105"/>
      <c r="G43" s="106"/>
      <c r="H43" s="104"/>
      <c r="I43" s="107"/>
      <c r="J43" s="108"/>
      <c r="K43" s="109"/>
      <c r="L43" s="110"/>
      <c r="M43" s="5"/>
      <c r="N43" s="5"/>
      <c r="O43" s="5"/>
      <c r="P43" s="5"/>
      <c r="Q43" s="111"/>
      <c r="R43" s="5"/>
      <c r="S43" s="5"/>
      <c r="T43" s="5"/>
      <c r="U43" s="5"/>
      <c r="V43" s="103"/>
      <c r="W43" s="103"/>
      <c r="X43" s="103"/>
      <c r="Y43" s="103"/>
      <c r="Z43" s="103"/>
      <c r="AA43" s="32"/>
      <c r="AB43" s="13"/>
      <c r="AX43" s="26">
        <v>28</v>
      </c>
      <c r="AY43" s="27" t="s">
        <v>84</v>
      </c>
      <c r="AZ43" s="27" t="s">
        <v>87</v>
      </c>
      <c r="BA43" s="27" t="s">
        <v>84</v>
      </c>
    </row>
    <row r="44" spans="1:53" ht="18" customHeight="1">
      <c r="A44" s="3"/>
      <c r="B44" s="23"/>
      <c r="C44" s="259" t="str">
        <f>VLOOKUP(18,$AX$9:$BA$69,1+MATCH($AD$9,$AY$8:$BA$8,0),FALSE)</f>
        <v>CALCULATIONS: WIND PRESSURES FOR VERTICAL WALLS / TÍNH TOÁN ÁP LỰC GIÓ CHO TƯỜNG THẲNG ĐỨNG</v>
      </c>
      <c r="D44" s="260"/>
      <c r="E44" s="260"/>
      <c r="F44" s="260"/>
      <c r="G44" s="260"/>
      <c r="H44" s="260"/>
      <c r="I44" s="260"/>
      <c r="J44" s="260"/>
      <c r="K44" s="260"/>
      <c r="L44" s="260"/>
      <c r="M44" s="260"/>
      <c r="N44" s="260"/>
      <c r="O44" s="260"/>
      <c r="P44" s="260"/>
      <c r="Q44" s="260"/>
      <c r="R44" s="260"/>
      <c r="S44" s="260"/>
      <c r="T44" s="260"/>
      <c r="U44" s="260"/>
      <c r="V44" s="260"/>
      <c r="W44" s="260"/>
      <c r="X44" s="261"/>
      <c r="Y44" s="112"/>
      <c r="Z44" s="112"/>
      <c r="AA44" s="43"/>
      <c r="AB44" s="13"/>
      <c r="AX44" s="26">
        <v>29</v>
      </c>
      <c r="AY44" s="27" t="s">
        <v>110</v>
      </c>
      <c r="AZ44" s="27" t="s">
        <v>111</v>
      </c>
      <c r="BA44" s="27" t="s">
        <v>110</v>
      </c>
    </row>
    <row r="45" spans="1:53" ht="18" customHeight="1">
      <c r="A45" s="3"/>
      <c r="B45" s="23"/>
      <c r="C45" s="259"/>
      <c r="D45" s="260"/>
      <c r="E45" s="259" t="str">
        <f>VLOOKUP(48,$AX$9:$BA$69,1+MATCH($AD$9,$AY$8:$BA$8,0),FALSE)</f>
        <v>DIRECTION X + / PHƯƠNG X +</v>
      </c>
      <c r="F45" s="260"/>
      <c r="G45" s="260"/>
      <c r="H45" s="260"/>
      <c r="I45" s="260"/>
      <c r="J45" s="260"/>
      <c r="K45" s="260"/>
      <c r="L45" s="260"/>
      <c r="M45" s="260"/>
      <c r="N45" s="261"/>
      <c r="O45" s="259" t="str">
        <f>VLOOKUP(51,$AX$9:$BA$69,1+MATCH($AD$9,$AY$8:$BA$8,0),FALSE)</f>
        <v>DIRECTION X - / PHƯƠNG X -</v>
      </c>
      <c r="P45" s="260"/>
      <c r="Q45" s="260"/>
      <c r="R45" s="260"/>
      <c r="S45" s="260"/>
      <c r="T45" s="260"/>
      <c r="U45" s="260"/>
      <c r="V45" s="260"/>
      <c r="W45" s="260"/>
      <c r="X45" s="261"/>
      <c r="Y45" s="112"/>
      <c r="Z45" s="112"/>
      <c r="AA45" s="43"/>
      <c r="AB45" s="13"/>
      <c r="AD45" s="11" t="s">
        <v>44</v>
      </c>
      <c r="AE45" s="11" t="s">
        <v>47</v>
      </c>
      <c r="AX45" s="26">
        <v>31</v>
      </c>
      <c r="AY45" s="27" t="s">
        <v>88</v>
      </c>
      <c r="AZ45" s="27" t="s">
        <v>89</v>
      </c>
      <c r="BA45" s="27" t="s">
        <v>88</v>
      </c>
    </row>
    <row r="46" spans="1:53" ht="18" customHeight="1">
      <c r="A46" s="3"/>
      <c r="B46" s="23"/>
      <c r="C46" s="244" t="str">
        <f>VLOOKUP(10,$AX$9:$BA$69,1+MATCH($AD$9,$AY$8:$BA$8,0),FALSE)</f>
        <v>Zone / Vùng</v>
      </c>
      <c r="D46" s="239"/>
      <c r="E46" s="244" t="s">
        <v>15</v>
      </c>
      <c r="F46" s="239"/>
      <c r="G46" s="239" t="s">
        <v>1</v>
      </c>
      <c r="H46" s="239"/>
      <c r="I46" s="239" t="s">
        <v>0</v>
      </c>
      <c r="J46" s="239"/>
      <c r="K46" s="251" t="s">
        <v>5</v>
      </c>
      <c r="L46" s="239"/>
      <c r="M46" s="239" t="s">
        <v>22</v>
      </c>
      <c r="N46" s="240"/>
      <c r="O46" s="244" t="s">
        <v>15</v>
      </c>
      <c r="P46" s="239"/>
      <c r="Q46" s="239" t="s">
        <v>1</v>
      </c>
      <c r="R46" s="239"/>
      <c r="S46" s="239" t="s">
        <v>0</v>
      </c>
      <c r="T46" s="239"/>
      <c r="U46" s="251" t="s">
        <v>5</v>
      </c>
      <c r="V46" s="239"/>
      <c r="W46" s="239" t="s">
        <v>22</v>
      </c>
      <c r="X46" s="240"/>
      <c r="Y46" s="1"/>
      <c r="Z46" s="1"/>
      <c r="AA46" s="43"/>
      <c r="AB46" s="13"/>
      <c r="AD46" s="11" t="s">
        <v>45</v>
      </c>
      <c r="AE46" s="11" t="s">
        <v>27</v>
      </c>
      <c r="AX46" s="26">
        <v>32</v>
      </c>
      <c r="AY46" s="27" t="s">
        <v>90</v>
      </c>
      <c r="AZ46" s="27" t="s">
        <v>91</v>
      </c>
      <c r="BA46" s="27" t="s">
        <v>90</v>
      </c>
    </row>
    <row r="47" spans="1:53" ht="18" customHeight="1">
      <c r="A47" s="3"/>
      <c r="B47" s="23"/>
      <c r="C47" s="270" t="s">
        <v>137</v>
      </c>
      <c r="D47" s="271"/>
      <c r="E47" s="233">
        <v>-1.2</v>
      </c>
      <c r="F47" s="221"/>
      <c r="G47" s="221">
        <v>-0.8</v>
      </c>
      <c r="H47" s="221"/>
      <c r="I47" s="221">
        <v>-0.5</v>
      </c>
      <c r="J47" s="221"/>
      <c r="K47" s="221" cm="1">
        <f t="array" ref="K47">_xll.DCECe(U39,"D")</f>
        <v>0.7</v>
      </c>
      <c r="L47" s="221"/>
      <c r="M47" s="221" cm="1">
        <f t="array" ref="M47">_xll.DCECe(U39,"E")</f>
        <v>-0.3</v>
      </c>
      <c r="N47" s="222"/>
      <c r="O47" s="233">
        <v>-1.2</v>
      </c>
      <c r="P47" s="221"/>
      <c r="Q47" s="221">
        <v>-0.8</v>
      </c>
      <c r="R47" s="221"/>
      <c r="S47" s="221">
        <v>-0.5</v>
      </c>
      <c r="T47" s="221"/>
      <c r="U47" s="221">
        <f>K47</f>
        <v>0.7</v>
      </c>
      <c r="V47" s="221"/>
      <c r="W47" s="221">
        <f>M47</f>
        <v>-0.3</v>
      </c>
      <c r="X47" s="222"/>
      <c r="Y47" s="1"/>
      <c r="Z47" s="1"/>
      <c r="AA47" s="43"/>
      <c r="AB47" s="13"/>
      <c r="AD47" s="11" t="s">
        <v>46</v>
      </c>
      <c r="AE47" s="11" t="s">
        <v>48</v>
      </c>
      <c r="AX47" s="26">
        <v>33</v>
      </c>
      <c r="AY47" s="27" t="s">
        <v>49</v>
      </c>
      <c r="AZ47" s="27" t="s">
        <v>117</v>
      </c>
      <c r="BA47" s="27" t="s">
        <v>49</v>
      </c>
    </row>
    <row r="48" spans="1:53" ht="18" customHeight="1">
      <c r="A48" s="3"/>
      <c r="B48" s="23"/>
      <c r="C48" s="223" t="s">
        <v>152</v>
      </c>
      <c r="D48" s="224"/>
      <c r="E48" s="225">
        <f>$E$24*$M$39*E47*$G$39</f>
        <v>-1.3639737071179572</v>
      </c>
      <c r="F48" s="226"/>
      <c r="G48" s="226">
        <f>$E$24*$M$39*G47*$G$39</f>
        <v>-0.90931580474530471</v>
      </c>
      <c r="H48" s="226"/>
      <c r="I48" s="226">
        <f>$E$24*$M$39*I47*$G$39</f>
        <v>-0.56832237796581542</v>
      </c>
      <c r="J48" s="226"/>
      <c r="K48" s="226">
        <f>$E$24*$M$39*K47*$G$39</f>
        <v>0.79565132915214154</v>
      </c>
      <c r="L48" s="226"/>
      <c r="M48" s="226">
        <f>$E$24*$M$39*M47*$G$39</f>
        <v>-0.34099342677948929</v>
      </c>
      <c r="N48" s="227"/>
      <c r="O48" s="225">
        <f>$E$24*$M$39*O47*$G$39</f>
        <v>-1.3639737071179572</v>
      </c>
      <c r="P48" s="226"/>
      <c r="Q48" s="226">
        <f>$E$24*$M$39*Q47*$G$39</f>
        <v>-0.90931580474530471</v>
      </c>
      <c r="R48" s="226"/>
      <c r="S48" s="226">
        <f>$E$24*$M$39*S47*$G$39</f>
        <v>-0.56832237796581542</v>
      </c>
      <c r="T48" s="226"/>
      <c r="U48" s="226">
        <f>$E$24*$M$39*U47*$G$39</f>
        <v>0.79565132915214154</v>
      </c>
      <c r="V48" s="226"/>
      <c r="W48" s="226">
        <f>$E$24*$M$39*W47*$G$39</f>
        <v>-0.34099342677948929</v>
      </c>
      <c r="X48" s="227"/>
      <c r="Y48" s="1"/>
      <c r="Z48" s="1"/>
      <c r="AA48" s="43"/>
      <c r="AB48" s="13"/>
      <c r="AD48" s="31"/>
      <c r="AE48" s="31"/>
      <c r="AX48" s="26">
        <v>34</v>
      </c>
      <c r="AY48" s="27" t="s">
        <v>50</v>
      </c>
      <c r="AZ48" s="27" t="s">
        <v>118</v>
      </c>
      <c r="BA48" s="27" t="s">
        <v>50</v>
      </c>
    </row>
    <row r="49" spans="1:53" ht="18" customHeight="1">
      <c r="A49" s="3"/>
      <c r="B49" s="23"/>
      <c r="C49" s="159" t="str">
        <f>VLOOKUP(33,$AX$9:$BA$69,1+MATCH($AD$9,$AY$8:$BA$8,0),FALSE)</f>
        <v>Case 1</v>
      </c>
      <c r="D49" s="160" t="s">
        <v>138</v>
      </c>
      <c r="E49" s="233">
        <f>$L$28</f>
        <v>0.2</v>
      </c>
      <c r="F49" s="221"/>
      <c r="G49" s="221">
        <f t="shared" ref="G49" si="0">$L$28</f>
        <v>0.2</v>
      </c>
      <c r="H49" s="221"/>
      <c r="I49" s="221">
        <f t="shared" ref="I49" si="1">$L$28</f>
        <v>0.2</v>
      </c>
      <c r="J49" s="221"/>
      <c r="K49" s="221">
        <f t="shared" ref="K49" si="2">$L$28</f>
        <v>0.2</v>
      </c>
      <c r="L49" s="221"/>
      <c r="M49" s="221">
        <f t="shared" ref="M49" si="3">$L$28</f>
        <v>0.2</v>
      </c>
      <c r="N49" s="222"/>
      <c r="O49" s="233">
        <f>$N$28</f>
        <v>0.2</v>
      </c>
      <c r="P49" s="221"/>
      <c r="Q49" s="221">
        <f t="shared" ref="Q49" si="4">$N$28</f>
        <v>0.2</v>
      </c>
      <c r="R49" s="221"/>
      <c r="S49" s="221">
        <f t="shared" ref="S49" si="5">$N$28</f>
        <v>0.2</v>
      </c>
      <c r="T49" s="221"/>
      <c r="U49" s="221">
        <f t="shared" ref="U49" si="6">$N$28</f>
        <v>0.2</v>
      </c>
      <c r="V49" s="221"/>
      <c r="W49" s="221">
        <f t="shared" ref="W49" si="7">$N$28</f>
        <v>0.2</v>
      </c>
      <c r="X49" s="222"/>
      <c r="Y49" s="1"/>
      <c r="Z49" s="1"/>
      <c r="AA49" s="43"/>
      <c r="AB49" s="13"/>
      <c r="AD49" s="269" t="s">
        <v>141</v>
      </c>
      <c r="AE49" s="269"/>
      <c r="AF49" s="176" t="s">
        <v>126</v>
      </c>
      <c r="AG49" s="176" t="s">
        <v>127</v>
      </c>
      <c r="AH49" s="176" t="s">
        <v>128</v>
      </c>
      <c r="AX49" s="26">
        <v>35</v>
      </c>
      <c r="AY49" s="27" t="s">
        <v>198</v>
      </c>
      <c r="AZ49" s="27" t="s">
        <v>187</v>
      </c>
      <c r="BA49" s="27" t="s">
        <v>188</v>
      </c>
    </row>
    <row r="50" spans="1:53" ht="18" customHeight="1">
      <c r="A50" s="3"/>
      <c r="B50" s="23"/>
      <c r="C50" s="161" t="str">
        <f>VLOOKUP(34,$AX$9:$BA$69,1+MATCH($AD$9,$AY$8:$BA$8,0),FALSE)</f>
        <v>Case 2</v>
      </c>
      <c r="D50" s="162" t="s">
        <v>138</v>
      </c>
      <c r="E50" s="225">
        <f>$L$29</f>
        <v>-0.2</v>
      </c>
      <c r="F50" s="226"/>
      <c r="G50" s="226">
        <f>$L$29</f>
        <v>-0.2</v>
      </c>
      <c r="H50" s="226"/>
      <c r="I50" s="226">
        <f>$L$29</f>
        <v>-0.2</v>
      </c>
      <c r="J50" s="226"/>
      <c r="K50" s="226">
        <f>$L$29</f>
        <v>-0.2</v>
      </c>
      <c r="L50" s="226"/>
      <c r="M50" s="226">
        <f>$L$29</f>
        <v>-0.2</v>
      </c>
      <c r="N50" s="227"/>
      <c r="O50" s="225">
        <f>$N$29</f>
        <v>-0.2</v>
      </c>
      <c r="P50" s="226"/>
      <c r="Q50" s="226">
        <f t="shared" ref="Q50" si="8">$N$29</f>
        <v>-0.2</v>
      </c>
      <c r="R50" s="226"/>
      <c r="S50" s="226">
        <f t="shared" ref="S50" si="9">$N$29</f>
        <v>-0.2</v>
      </c>
      <c r="T50" s="226"/>
      <c r="U50" s="226">
        <f t="shared" ref="U50" si="10">$N$29</f>
        <v>-0.2</v>
      </c>
      <c r="V50" s="226"/>
      <c r="W50" s="226">
        <f t="shared" ref="W50" si="11">$N$29</f>
        <v>-0.2</v>
      </c>
      <c r="X50" s="227"/>
      <c r="Y50" s="1"/>
      <c r="Z50" s="1"/>
      <c r="AA50" s="43"/>
      <c r="AB50" s="13"/>
      <c r="AD50" s="19" t="s">
        <v>47</v>
      </c>
      <c r="AE50" s="25" t="b">
        <f>IF(W39&lt;Q39,TRUE,FALSE)</f>
        <v>1</v>
      </c>
      <c r="AF50" s="363" t="b">
        <v>1</v>
      </c>
      <c r="AG50" s="363" t="b">
        <f>IF(W39&lt;5*Q39,TRUE,"-")</f>
        <v>1</v>
      </c>
      <c r="AH50" s="363" t="b">
        <f>IF(W39&lt;Q39,TRUE,"-")</f>
        <v>1</v>
      </c>
      <c r="AX50" s="26">
        <v>36</v>
      </c>
      <c r="AY50" s="27" t="s">
        <v>189</v>
      </c>
      <c r="AZ50" s="27" t="s">
        <v>190</v>
      </c>
      <c r="BA50" s="27" t="s">
        <v>191</v>
      </c>
    </row>
    <row r="51" spans="1:53" ht="18" customHeight="1">
      <c r="A51" s="3"/>
      <c r="B51" s="23"/>
      <c r="C51" s="159" t="str">
        <f>VLOOKUP(33,$AX$9:$BA$69,1+MATCH($AD$9,$AY$8:$BA$8,0),FALSE)</f>
        <v>Case 1</v>
      </c>
      <c r="D51" s="160" t="s">
        <v>139</v>
      </c>
      <c r="E51" s="233">
        <f>$E$24*$M$39*E49*$G$39</f>
        <v>0.22732895118632618</v>
      </c>
      <c r="F51" s="221"/>
      <c r="G51" s="221">
        <f>$E$24*$M$39*G49*$G$39</f>
        <v>0.22732895118632618</v>
      </c>
      <c r="H51" s="221"/>
      <c r="I51" s="221">
        <f>$E$24*$M$39*I49*$G$39</f>
        <v>0.22732895118632618</v>
      </c>
      <c r="J51" s="221"/>
      <c r="K51" s="221">
        <f>$E$24*$M$39*K49*$G$39</f>
        <v>0.22732895118632618</v>
      </c>
      <c r="L51" s="221"/>
      <c r="M51" s="221">
        <f>$E$24*$M$39*M49*$G$39</f>
        <v>0.22732895118632618</v>
      </c>
      <c r="N51" s="222"/>
      <c r="O51" s="233">
        <f>$E$24*$M$39*O49*$G$39</f>
        <v>0.22732895118632618</v>
      </c>
      <c r="P51" s="221"/>
      <c r="Q51" s="221">
        <f>$E$24*$M$39*Q49*$G$39</f>
        <v>0.22732895118632618</v>
      </c>
      <c r="R51" s="221"/>
      <c r="S51" s="221">
        <f>$E$24*$M$39*S49*$G$39</f>
        <v>0.22732895118632618</v>
      </c>
      <c r="T51" s="221"/>
      <c r="U51" s="221">
        <f>$E$24*$M$39*U49*$G$39</f>
        <v>0.22732895118632618</v>
      </c>
      <c r="V51" s="221"/>
      <c r="W51" s="221">
        <f>$E$24*$M$39*W49*$G$39</f>
        <v>0.22732895118632618</v>
      </c>
      <c r="X51" s="222"/>
      <c r="Y51" s="1"/>
      <c r="Z51" s="1"/>
      <c r="AA51" s="43"/>
      <c r="AB51" s="13"/>
      <c r="AD51" s="19" t="s">
        <v>27</v>
      </c>
      <c r="AE51" s="25" t="b">
        <f>IF(AND(W39&gt;=Q39,W39&lt;5*Q39),TRUE,FALSE)</f>
        <v>0</v>
      </c>
      <c r="AF51" s="364"/>
      <c r="AG51" s="364"/>
      <c r="AH51" s="364"/>
      <c r="AX51" s="26">
        <v>37</v>
      </c>
      <c r="AY51" s="27" t="s">
        <v>120</v>
      </c>
      <c r="AZ51" s="27" t="s">
        <v>119</v>
      </c>
      <c r="BA51" s="27" t="s">
        <v>36</v>
      </c>
    </row>
    <row r="52" spans="1:53" ht="18" customHeight="1">
      <c r="A52" s="3"/>
      <c r="B52" s="23"/>
      <c r="C52" s="161" t="str">
        <f>VLOOKUP(34,$AX$9:$BA$69,1+MATCH($AD$9,$AY$8:$BA$8,0),FALSE)</f>
        <v>Case 2</v>
      </c>
      <c r="D52" s="162" t="s">
        <v>139</v>
      </c>
      <c r="E52" s="225">
        <f>$E$24*$M$39*E50*$G$39</f>
        <v>-0.22732895118632618</v>
      </c>
      <c r="F52" s="226"/>
      <c r="G52" s="226">
        <f>$E$24*$M$39*G50*$G$39</f>
        <v>-0.22732895118632618</v>
      </c>
      <c r="H52" s="226"/>
      <c r="I52" s="226">
        <f>$E$24*$M$39*I50*$G$39</f>
        <v>-0.22732895118632618</v>
      </c>
      <c r="J52" s="226"/>
      <c r="K52" s="226">
        <f>$E$24*$M$39*K50*$G$39</f>
        <v>-0.22732895118632618</v>
      </c>
      <c r="L52" s="226"/>
      <c r="M52" s="226">
        <f>$E$24*$M$39*M50*$G$39</f>
        <v>-0.22732895118632618</v>
      </c>
      <c r="N52" s="227"/>
      <c r="O52" s="225">
        <f>$E$24*$M$39*O50*$G$39</f>
        <v>-0.22732895118632618</v>
      </c>
      <c r="P52" s="226"/>
      <c r="Q52" s="226">
        <f>$E$24*$M$39*Q50*$G$39</f>
        <v>-0.22732895118632618</v>
      </c>
      <c r="R52" s="226"/>
      <c r="S52" s="226">
        <f>$E$24*$M$39*S50*$G$39</f>
        <v>-0.22732895118632618</v>
      </c>
      <c r="T52" s="226"/>
      <c r="U52" s="226">
        <f>$E$24*$M$39*U50*$G$39</f>
        <v>-0.22732895118632618</v>
      </c>
      <c r="V52" s="226"/>
      <c r="W52" s="226">
        <f>$E$24*$M$39*W50*$G$39</f>
        <v>-0.22732895118632618</v>
      </c>
      <c r="X52" s="227"/>
      <c r="Y52" s="1"/>
      <c r="Z52" s="1"/>
      <c r="AA52" s="43"/>
      <c r="AB52" s="13"/>
      <c r="AD52" s="19" t="s">
        <v>48</v>
      </c>
      <c r="AE52" s="25" t="b">
        <f>IF(W39&gt;=5*Q39,TRUE,FALSE)</f>
        <v>0</v>
      </c>
      <c r="AF52" s="365"/>
      <c r="AG52" s="365"/>
      <c r="AH52" s="365"/>
      <c r="AX52" s="26">
        <v>38</v>
      </c>
      <c r="AY52" s="27" t="s">
        <v>122</v>
      </c>
      <c r="AZ52" s="27" t="s">
        <v>121</v>
      </c>
      <c r="BA52" s="27" t="s">
        <v>37</v>
      </c>
    </row>
    <row r="53" spans="1:53" ht="18" customHeight="1">
      <c r="A53" s="3"/>
      <c r="B53" s="23"/>
      <c r="C53" s="159" t="str">
        <f>VLOOKUP(33,$AX$9:$BA$69,1+MATCH($AD$9,$AY$8:$BA$8,0),FALSE)</f>
        <v>Case 1</v>
      </c>
      <c r="D53" s="160" t="s">
        <v>140</v>
      </c>
      <c r="E53" s="253">
        <f>MIN(E48-E51,0)</f>
        <v>-1.5913026583042833</v>
      </c>
      <c r="F53" s="236"/>
      <c r="G53" s="236">
        <f>IF(AG50=TRUE,MIN(G48-G51,0),"-")</f>
        <v>-1.1366447559316308</v>
      </c>
      <c r="H53" s="236"/>
      <c r="I53" s="236">
        <f>IF(AH50=TRUE,MIN(I48-I51,0),"-")</f>
        <v>-0.79565132915214165</v>
      </c>
      <c r="J53" s="236"/>
      <c r="K53" s="236">
        <f>IF(L27=1,0,MAX(K48-K51,0))</f>
        <v>0.56832237796581531</v>
      </c>
      <c r="L53" s="236"/>
      <c r="M53" s="236">
        <f>MIN(M48-M51,0)</f>
        <v>-0.56832237796581553</v>
      </c>
      <c r="N53" s="254"/>
      <c r="O53" s="253">
        <f>MIN(O48-O51,0)</f>
        <v>-1.5913026583042833</v>
      </c>
      <c r="P53" s="236"/>
      <c r="Q53" s="236">
        <f>IF(AG50=TRUE,MIN(Q48-Q51,0),"-")</f>
        <v>-1.1366447559316308</v>
      </c>
      <c r="R53" s="236"/>
      <c r="S53" s="236">
        <f>IF(AH50=TRUE,MIN(S48-S51,0),"-")</f>
        <v>-0.79565132915214165</v>
      </c>
      <c r="T53" s="236"/>
      <c r="U53" s="236">
        <f>MAX(U48-U51,0)</f>
        <v>0.56832237796581531</v>
      </c>
      <c r="V53" s="236"/>
      <c r="W53" s="236">
        <f>MIN(W48-W51,0)</f>
        <v>-0.56832237796581553</v>
      </c>
      <c r="X53" s="254"/>
      <c r="Y53" s="1"/>
      <c r="Z53" s="1"/>
      <c r="AA53" s="44"/>
      <c r="AB53" s="13"/>
      <c r="AX53" s="26">
        <v>39</v>
      </c>
      <c r="AY53" s="27" t="s">
        <v>123</v>
      </c>
      <c r="AZ53" s="27" t="s">
        <v>124</v>
      </c>
      <c r="BA53" s="27" t="s">
        <v>125</v>
      </c>
    </row>
    <row r="54" spans="1:53" ht="18" customHeight="1">
      <c r="A54" s="3"/>
      <c r="B54" s="23"/>
      <c r="C54" s="163" t="str">
        <f>VLOOKUP(34,$AX$9:$BA$69,1+MATCH($AD$9,$AY$8:$BA$8,0),FALSE)</f>
        <v>Case 2</v>
      </c>
      <c r="D54" s="164" t="s">
        <v>140</v>
      </c>
      <c r="E54" s="231">
        <f>MIN(E48-E52,0)</f>
        <v>-1.1366447559316311</v>
      </c>
      <c r="F54" s="232"/>
      <c r="G54" s="232">
        <f>IF(AG50=TRUE,MIN(G48-G52,0),"-")</f>
        <v>-0.68198685355897859</v>
      </c>
      <c r="H54" s="232"/>
      <c r="I54" s="232">
        <f>IF(AH50=TRUE,MIN(I48-I52,0),"-")</f>
        <v>-0.34099342677948924</v>
      </c>
      <c r="J54" s="232"/>
      <c r="K54" s="232">
        <f>IF(L27=1,0,MAX(K48-K52,0))</f>
        <v>1.0229802803384678</v>
      </c>
      <c r="L54" s="232"/>
      <c r="M54" s="232">
        <f t="shared" ref="M54" si="12">MIN(M48-M52,0)</f>
        <v>-0.11366447559316312</v>
      </c>
      <c r="N54" s="252"/>
      <c r="O54" s="231">
        <f>MIN(O48-O52,0)</f>
        <v>-1.1366447559316311</v>
      </c>
      <c r="P54" s="232"/>
      <c r="Q54" s="232">
        <f>IF(AG50=TRUE,MIN(Q48-Q52,0),"-")</f>
        <v>-0.68198685355897859</v>
      </c>
      <c r="R54" s="232"/>
      <c r="S54" s="232">
        <f>IF(AH50=TRUE,MIN(S48-S52,0),"-")</f>
        <v>-0.34099342677948924</v>
      </c>
      <c r="T54" s="232"/>
      <c r="U54" s="232">
        <f>IF(N27=1,0,MAX(U48-U52,0))</f>
        <v>1.0229802803384678</v>
      </c>
      <c r="V54" s="232"/>
      <c r="W54" s="232">
        <f t="shared" ref="W54" si="13">MIN(W48-W52,0)</f>
        <v>-0.11366447559316312</v>
      </c>
      <c r="X54" s="252"/>
      <c r="Y54" s="1"/>
      <c r="Z54" s="1"/>
      <c r="AA54" s="44"/>
      <c r="AB54" s="13"/>
      <c r="AX54" s="26">
        <v>40</v>
      </c>
      <c r="AY54" s="27" t="s">
        <v>126</v>
      </c>
      <c r="AZ54" s="27" t="s">
        <v>126</v>
      </c>
      <c r="BA54" s="27" t="s">
        <v>35</v>
      </c>
    </row>
    <row r="55" spans="1:53" ht="18" customHeight="1">
      <c r="A55" s="3"/>
      <c r="B55" s="23"/>
      <c r="C55" s="119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44"/>
      <c r="AB55" s="13"/>
      <c r="AX55" s="26"/>
      <c r="AY55" s="27"/>
      <c r="AZ55" s="27"/>
      <c r="BA55" s="27"/>
    </row>
    <row r="56" spans="1:53" ht="18" customHeight="1">
      <c r="A56" s="3"/>
      <c r="B56" s="23"/>
      <c r="C56" s="259" t="str">
        <f>IF(AD19=AY18,AZ43,"")</f>
        <v/>
      </c>
      <c r="D56" s="260"/>
      <c r="E56" s="259" t="str">
        <f>VLOOKUP(49,$AX$9:$BA$69,1+MATCH($AD$9,$AY$8:$BA$8,0),FALSE)</f>
        <v>DIRECTION Y + / PHƯƠNG Y +</v>
      </c>
      <c r="F56" s="260"/>
      <c r="G56" s="260"/>
      <c r="H56" s="260"/>
      <c r="I56" s="260"/>
      <c r="J56" s="260"/>
      <c r="K56" s="260"/>
      <c r="L56" s="260"/>
      <c r="M56" s="260"/>
      <c r="N56" s="261"/>
      <c r="O56" s="259" t="str">
        <f>VLOOKUP(52,$AX$9:$BA$69,1+MATCH($AD$9,$AY$8:$BA$8,0),FALSE)</f>
        <v>DIRECTION Y - / PHƯƠNG Y -</v>
      </c>
      <c r="P56" s="260"/>
      <c r="Q56" s="260"/>
      <c r="R56" s="260"/>
      <c r="S56" s="260"/>
      <c r="T56" s="260"/>
      <c r="U56" s="260"/>
      <c r="V56" s="260"/>
      <c r="W56" s="260"/>
      <c r="X56" s="261"/>
      <c r="Y56" s="1"/>
      <c r="Z56" s="1"/>
      <c r="AA56" s="44"/>
      <c r="AB56" s="13"/>
      <c r="AD56" s="269" t="s">
        <v>142</v>
      </c>
      <c r="AE56" s="269"/>
      <c r="AF56" s="176" t="s">
        <v>126</v>
      </c>
      <c r="AG56" s="176" t="s">
        <v>127</v>
      </c>
      <c r="AH56" s="176" t="s">
        <v>128</v>
      </c>
      <c r="AX56" s="26">
        <v>41</v>
      </c>
      <c r="AY56" s="27" t="s">
        <v>131</v>
      </c>
      <c r="AZ56" s="27" t="s">
        <v>127</v>
      </c>
      <c r="BA56" s="27" t="s">
        <v>131</v>
      </c>
    </row>
    <row r="57" spans="1:53" ht="18" customHeight="1">
      <c r="A57" s="3"/>
      <c r="B57" s="23"/>
      <c r="C57" s="244" t="str">
        <f>VLOOKUP(10,$AX$9:$BA$69,1+MATCH($AD$9,$AY$8:$BA$8,0),FALSE)</f>
        <v>Zone / Vùng</v>
      </c>
      <c r="D57" s="239"/>
      <c r="E57" s="244" t="s">
        <v>15</v>
      </c>
      <c r="F57" s="239"/>
      <c r="G57" s="239" t="s">
        <v>1</v>
      </c>
      <c r="H57" s="239"/>
      <c r="I57" s="239" t="s">
        <v>0</v>
      </c>
      <c r="J57" s="239"/>
      <c r="K57" s="251" t="s">
        <v>5</v>
      </c>
      <c r="L57" s="251"/>
      <c r="M57" s="239" t="s">
        <v>22</v>
      </c>
      <c r="N57" s="240"/>
      <c r="O57" s="244" t="s">
        <v>15</v>
      </c>
      <c r="P57" s="239"/>
      <c r="Q57" s="239" t="s">
        <v>1</v>
      </c>
      <c r="R57" s="239"/>
      <c r="S57" s="239" t="s">
        <v>0</v>
      </c>
      <c r="T57" s="239"/>
      <c r="U57" s="251" t="s">
        <v>5</v>
      </c>
      <c r="V57" s="251"/>
      <c r="W57" s="239" t="s">
        <v>22</v>
      </c>
      <c r="X57" s="240"/>
      <c r="Y57" s="1"/>
      <c r="Z57" s="1"/>
      <c r="AA57" s="44"/>
      <c r="AB57" s="13"/>
      <c r="AD57" s="19" t="s">
        <v>47</v>
      </c>
      <c r="AE57" s="25" t="b">
        <f>IF(W42&lt;Q42,TRUE,FALSE)</f>
        <v>0</v>
      </c>
      <c r="AF57" s="363" t="b">
        <v>1</v>
      </c>
      <c r="AG57" s="363" t="b">
        <f>IF(W42&lt;5*Q42,TRUE,"-")</f>
        <v>1</v>
      </c>
      <c r="AH57" s="363" t="str">
        <f>IF(W42&lt;Q42,TRUE,"-")</f>
        <v>-</v>
      </c>
      <c r="AX57" s="26">
        <v>42</v>
      </c>
      <c r="AY57" s="27" t="s">
        <v>132</v>
      </c>
      <c r="AZ57" s="27" t="s">
        <v>128</v>
      </c>
      <c r="BA57" s="27" t="s">
        <v>132</v>
      </c>
    </row>
    <row r="58" spans="1:53" ht="18" customHeight="1">
      <c r="A58" s="3"/>
      <c r="B58" s="23"/>
      <c r="C58" s="270" t="s">
        <v>137</v>
      </c>
      <c r="D58" s="271"/>
      <c r="E58" s="233">
        <v>-1.2</v>
      </c>
      <c r="F58" s="221"/>
      <c r="G58" s="221">
        <v>-0.8</v>
      </c>
      <c r="H58" s="221"/>
      <c r="I58" s="221">
        <v>-0.5</v>
      </c>
      <c r="J58" s="221"/>
      <c r="K58" s="221" cm="1">
        <f t="array" ref="K58">_xll.DCECe(U42,"D")</f>
        <v>0.79999999999999993</v>
      </c>
      <c r="L58" s="221"/>
      <c r="M58" s="221" cm="1">
        <f t="array" ref="M58">_xll.DCECe(U42,"E")</f>
        <v>-0.5</v>
      </c>
      <c r="N58" s="222"/>
      <c r="O58" s="233">
        <v>-1.2</v>
      </c>
      <c r="P58" s="221"/>
      <c r="Q58" s="221">
        <v>-0.8</v>
      </c>
      <c r="R58" s="221"/>
      <c r="S58" s="221">
        <v>-0.5</v>
      </c>
      <c r="T58" s="221"/>
      <c r="U58" s="221">
        <f>K58</f>
        <v>0.79999999999999993</v>
      </c>
      <c r="V58" s="221"/>
      <c r="W58" s="221">
        <f>M58</f>
        <v>-0.5</v>
      </c>
      <c r="X58" s="222"/>
      <c r="Y58" s="1"/>
      <c r="Z58" s="1"/>
      <c r="AA58" s="44"/>
      <c r="AB58" s="13"/>
      <c r="AD58" s="19" t="s">
        <v>27</v>
      </c>
      <c r="AE58" s="25" t="b">
        <f>IF(AND(W42&gt;=Q42,W42&lt;5*Q42),TRUE,FALSE)</f>
        <v>1</v>
      </c>
      <c r="AF58" s="364"/>
      <c r="AG58" s="364"/>
      <c r="AH58" s="364"/>
      <c r="AX58" s="26">
        <v>43</v>
      </c>
      <c r="AY58" s="27" t="s">
        <v>133</v>
      </c>
      <c r="AZ58" s="27" t="s">
        <v>129</v>
      </c>
      <c r="BA58" s="27" t="s">
        <v>133</v>
      </c>
    </row>
    <row r="59" spans="1:53" ht="18" customHeight="1">
      <c r="A59" s="3"/>
      <c r="B59" s="23"/>
      <c r="C59" s="223" t="s">
        <v>152</v>
      </c>
      <c r="D59" s="224"/>
      <c r="E59" s="225">
        <f>$E$24*$M$42*E58*$G$42</f>
        <v>-1.3639737071179572</v>
      </c>
      <c r="F59" s="226"/>
      <c r="G59" s="226">
        <f>$E$24*$M$42*G58*$G$42</f>
        <v>-0.90931580474530471</v>
      </c>
      <c r="H59" s="226"/>
      <c r="I59" s="226">
        <f>$E$24*$M$42*I58*$G$42</f>
        <v>-0.56832237796581542</v>
      </c>
      <c r="J59" s="226"/>
      <c r="K59" s="226">
        <f>$E$24*$M$42*K58*$G$42</f>
        <v>0.90931580474530471</v>
      </c>
      <c r="L59" s="226"/>
      <c r="M59" s="226">
        <f>$E$24*$M$42*M58*$G$42</f>
        <v>-0.56832237796581542</v>
      </c>
      <c r="N59" s="227"/>
      <c r="O59" s="225">
        <f>$E$24*$M$42*O58*$G$42</f>
        <v>-1.3639737071179572</v>
      </c>
      <c r="P59" s="226"/>
      <c r="Q59" s="226">
        <f>$E$24*$M$42*Q58*$G$42</f>
        <v>-0.90931580474530471</v>
      </c>
      <c r="R59" s="226"/>
      <c r="S59" s="226">
        <f>$E$24*$M$42*S58*$G$42</f>
        <v>-0.56832237796581542</v>
      </c>
      <c r="T59" s="226"/>
      <c r="U59" s="226">
        <f>$E$24*$M$42*U58*$G$42</f>
        <v>0.90931580474530471</v>
      </c>
      <c r="V59" s="226"/>
      <c r="W59" s="226">
        <f>$E$24*$M$42*W58*$G$42</f>
        <v>-0.56832237796581542</v>
      </c>
      <c r="X59" s="227"/>
      <c r="Y59" s="1"/>
      <c r="Z59" s="1"/>
      <c r="AA59" s="44"/>
      <c r="AB59" s="13"/>
      <c r="AD59" s="19" t="s">
        <v>48</v>
      </c>
      <c r="AE59" s="25" t="b">
        <f>IF(W42&gt;=5*Q42,TRUE,FALSE)</f>
        <v>0</v>
      </c>
      <c r="AF59" s="365"/>
      <c r="AG59" s="365"/>
      <c r="AH59" s="365"/>
      <c r="AX59" s="26">
        <v>44</v>
      </c>
      <c r="AY59" s="27" t="s">
        <v>130</v>
      </c>
      <c r="AZ59" s="27" t="s">
        <v>130</v>
      </c>
      <c r="BA59" s="27" t="s">
        <v>34</v>
      </c>
    </row>
    <row r="60" spans="1:53" ht="18" customHeight="1">
      <c r="A60" s="3"/>
      <c r="B60" s="23"/>
      <c r="C60" s="159" t="str">
        <f>VLOOKUP(33,$AX$9:$BA$69,1+MATCH($AD$9,$AY$8:$BA$8,0),FALSE)</f>
        <v>Case 1</v>
      </c>
      <c r="D60" s="160" t="s">
        <v>138</v>
      </c>
      <c r="E60" s="233">
        <f>$P$28</f>
        <v>0.2</v>
      </c>
      <c r="F60" s="221"/>
      <c r="G60" s="221">
        <f>$P$28</f>
        <v>0.2</v>
      </c>
      <c r="H60" s="221"/>
      <c r="I60" s="221">
        <f>$P$28</f>
        <v>0.2</v>
      </c>
      <c r="J60" s="221"/>
      <c r="K60" s="221">
        <f>$P$28</f>
        <v>0.2</v>
      </c>
      <c r="L60" s="221"/>
      <c r="M60" s="221">
        <f>$P$28</f>
        <v>0.2</v>
      </c>
      <c r="N60" s="222"/>
      <c r="O60" s="233">
        <f>$R$28</f>
        <v>0.2</v>
      </c>
      <c r="P60" s="221"/>
      <c r="Q60" s="221">
        <f>$R$28</f>
        <v>0.2</v>
      </c>
      <c r="R60" s="221"/>
      <c r="S60" s="221">
        <f>$R$28</f>
        <v>0.2</v>
      </c>
      <c r="T60" s="221"/>
      <c r="U60" s="221">
        <f>$R$28</f>
        <v>0.2</v>
      </c>
      <c r="V60" s="221"/>
      <c r="W60" s="221">
        <f>$R$28</f>
        <v>0.2</v>
      </c>
      <c r="X60" s="222"/>
      <c r="Y60" s="1"/>
      <c r="Z60" s="1"/>
      <c r="AA60" s="44"/>
      <c r="AB60" s="13"/>
      <c r="AX60" s="26">
        <v>45</v>
      </c>
      <c r="AY60" s="27" t="s">
        <v>275</v>
      </c>
      <c r="AZ60" s="27" t="s">
        <v>199</v>
      </c>
      <c r="BA60" s="27" t="s">
        <v>200</v>
      </c>
    </row>
    <row r="61" spans="1:53" ht="18" customHeight="1">
      <c r="A61" s="3"/>
      <c r="B61" s="23"/>
      <c r="C61" s="161" t="str">
        <f>VLOOKUP(34,$AX$9:$BA$69,1+MATCH($AD$9,$AY$8:$BA$8,0),FALSE)</f>
        <v>Case 2</v>
      </c>
      <c r="D61" s="162" t="s">
        <v>138</v>
      </c>
      <c r="E61" s="225">
        <f>$P$29</f>
        <v>-0.2</v>
      </c>
      <c r="F61" s="226"/>
      <c r="G61" s="226">
        <f>$P$29</f>
        <v>-0.2</v>
      </c>
      <c r="H61" s="226"/>
      <c r="I61" s="226">
        <f>$P$29</f>
        <v>-0.2</v>
      </c>
      <c r="J61" s="226"/>
      <c r="K61" s="226">
        <f>$P$29</f>
        <v>-0.2</v>
      </c>
      <c r="L61" s="226"/>
      <c r="M61" s="226">
        <f>$P$29</f>
        <v>-0.2</v>
      </c>
      <c r="N61" s="227"/>
      <c r="O61" s="225">
        <f>$R$29</f>
        <v>-0.2</v>
      </c>
      <c r="P61" s="226"/>
      <c r="Q61" s="226">
        <f>$R$29</f>
        <v>-0.2</v>
      </c>
      <c r="R61" s="226"/>
      <c r="S61" s="226">
        <f>$R$29</f>
        <v>-0.2</v>
      </c>
      <c r="T61" s="226"/>
      <c r="U61" s="226">
        <f>$R$29</f>
        <v>-0.2</v>
      </c>
      <c r="V61" s="226"/>
      <c r="W61" s="226">
        <f>$R$29</f>
        <v>-0.2</v>
      </c>
      <c r="X61" s="227"/>
      <c r="Y61" s="1"/>
      <c r="Z61" s="1"/>
      <c r="AA61" s="44"/>
      <c r="AB61" s="13"/>
      <c r="AD61" s="12"/>
      <c r="AE61" s="12"/>
      <c r="AX61" s="26">
        <v>46</v>
      </c>
      <c r="AY61" s="27" t="s">
        <v>146</v>
      </c>
      <c r="AZ61" s="27" t="s">
        <v>141</v>
      </c>
      <c r="BA61" s="27" t="s">
        <v>24</v>
      </c>
    </row>
    <row r="62" spans="1:53" ht="18" customHeight="1">
      <c r="A62" s="3"/>
      <c r="B62" s="23"/>
      <c r="C62" s="159" t="str">
        <f>VLOOKUP(33,$AX$9:$BA$69,1+MATCH($AD$9,$AY$8:$BA$8,0),FALSE)</f>
        <v>Case 1</v>
      </c>
      <c r="D62" s="160" t="s">
        <v>139</v>
      </c>
      <c r="E62" s="233">
        <f>$E$24*$M$42*E60*$G$42</f>
        <v>0.22732895118632618</v>
      </c>
      <c r="F62" s="221"/>
      <c r="G62" s="221">
        <f>$E$24*$M$42*G60*$G$42</f>
        <v>0.22732895118632618</v>
      </c>
      <c r="H62" s="221"/>
      <c r="I62" s="221">
        <f>$E$24*$M$42*I60*$G$42</f>
        <v>0.22732895118632618</v>
      </c>
      <c r="J62" s="221"/>
      <c r="K62" s="221">
        <f>$E$24*$M$42*K60*$G$42</f>
        <v>0.22732895118632618</v>
      </c>
      <c r="L62" s="221"/>
      <c r="M62" s="221">
        <f>$E$24*$M$42*M60*$G$42</f>
        <v>0.22732895118632618</v>
      </c>
      <c r="N62" s="222"/>
      <c r="O62" s="233">
        <f>$E$24*$M$42*O60*$G$42</f>
        <v>0.22732895118632618</v>
      </c>
      <c r="P62" s="221"/>
      <c r="Q62" s="221">
        <f>$E$24*$M$42*Q60*$G$42</f>
        <v>0.22732895118632618</v>
      </c>
      <c r="R62" s="221"/>
      <c r="S62" s="221">
        <f>$E$24*$M$42*S60*$G$42</f>
        <v>0.22732895118632618</v>
      </c>
      <c r="T62" s="221"/>
      <c r="U62" s="221">
        <f>$E$24*$M$42*U60*$G$42</f>
        <v>0.22732895118632618</v>
      </c>
      <c r="V62" s="221"/>
      <c r="W62" s="221">
        <f>$E$24*$M$42*W60*$G$42</f>
        <v>0.22732895118632618</v>
      </c>
      <c r="X62" s="222"/>
      <c r="Y62" s="1"/>
      <c r="Z62" s="1"/>
      <c r="AA62" s="44"/>
      <c r="AB62" s="13"/>
      <c r="AD62" s="12"/>
      <c r="AE62" s="12"/>
      <c r="AX62" s="26">
        <v>47</v>
      </c>
      <c r="AY62" s="27" t="s">
        <v>147</v>
      </c>
      <c r="AZ62" s="27" t="s">
        <v>142</v>
      </c>
      <c r="BA62" s="27" t="s">
        <v>25</v>
      </c>
    </row>
    <row r="63" spans="1:53" ht="18" customHeight="1">
      <c r="A63" s="3"/>
      <c r="B63" s="23"/>
      <c r="C63" s="161" t="str">
        <f>VLOOKUP(34,$AX$9:$BA$69,1+MATCH($AD$9,$AY$8:$BA$8,0),FALSE)</f>
        <v>Case 2</v>
      </c>
      <c r="D63" s="162" t="s">
        <v>139</v>
      </c>
      <c r="E63" s="225">
        <f>$E$24*$M$42*E61*$G$42</f>
        <v>-0.22732895118632618</v>
      </c>
      <c r="F63" s="226"/>
      <c r="G63" s="226">
        <f>$E$24*$M$42*G61*$G$42</f>
        <v>-0.22732895118632618</v>
      </c>
      <c r="H63" s="226"/>
      <c r="I63" s="226">
        <f>$E$24*$M$42*I61*$G$42</f>
        <v>-0.22732895118632618</v>
      </c>
      <c r="J63" s="226"/>
      <c r="K63" s="226">
        <f>$E$24*$M$42*K61*$G$42</f>
        <v>-0.22732895118632618</v>
      </c>
      <c r="L63" s="226"/>
      <c r="M63" s="226">
        <f>$E$24*$M$42*M61*$G$42</f>
        <v>-0.22732895118632618</v>
      </c>
      <c r="N63" s="227"/>
      <c r="O63" s="225">
        <f>$E$24*$M$42*O61*$G$42</f>
        <v>-0.22732895118632618</v>
      </c>
      <c r="P63" s="226"/>
      <c r="Q63" s="226">
        <f>$E$24*$M$42*Q61*$G$42</f>
        <v>-0.22732895118632618</v>
      </c>
      <c r="R63" s="226"/>
      <c r="S63" s="226">
        <f>$E$24*$M$42*S61*$G$42</f>
        <v>-0.22732895118632618</v>
      </c>
      <c r="T63" s="226"/>
      <c r="U63" s="226">
        <f>$E$24*$M$42*U61*$G$42</f>
        <v>-0.22732895118632618</v>
      </c>
      <c r="V63" s="226"/>
      <c r="W63" s="226">
        <f>$E$24*$M$42*W61*$G$42</f>
        <v>-0.22732895118632618</v>
      </c>
      <c r="X63" s="227"/>
      <c r="Y63" s="1"/>
      <c r="Z63" s="1"/>
      <c r="AA63" s="44"/>
      <c r="AB63" s="13"/>
      <c r="AD63" s="12"/>
      <c r="AE63" s="12"/>
      <c r="AX63" s="26">
        <v>48</v>
      </c>
      <c r="AY63" s="27" t="s">
        <v>168</v>
      </c>
      <c r="AZ63" s="27" t="s">
        <v>169</v>
      </c>
      <c r="BA63" s="27" t="s">
        <v>170</v>
      </c>
    </row>
    <row r="64" spans="1:53" ht="18" customHeight="1">
      <c r="A64" s="3"/>
      <c r="B64" s="23"/>
      <c r="C64" s="159" t="str">
        <f>VLOOKUP(33,$AX$9:$BA$69,1+MATCH($AD$9,$AY$8:$BA$8,0),FALSE)</f>
        <v>Case 1</v>
      </c>
      <c r="D64" s="160" t="s">
        <v>140</v>
      </c>
      <c r="E64" s="253">
        <f>MIN(E59-E62,0)</f>
        <v>-1.5913026583042833</v>
      </c>
      <c r="F64" s="236"/>
      <c r="G64" s="236">
        <f>IF(AG57=TRUE,MIN(G59-G62,0),"-")</f>
        <v>-1.1366447559316308</v>
      </c>
      <c r="H64" s="236"/>
      <c r="I64" s="236" t="str">
        <f>IF(AH57=TRUE,MIN(I59-I62,0),"-")</f>
        <v>-</v>
      </c>
      <c r="J64" s="236"/>
      <c r="K64" s="236">
        <f>MAX(K59-K62,0)</f>
        <v>0.68198685355897859</v>
      </c>
      <c r="L64" s="236"/>
      <c r="M64" s="236">
        <f>MIN(M59-M62,0)</f>
        <v>-0.79565132915214165</v>
      </c>
      <c r="N64" s="254"/>
      <c r="O64" s="253">
        <f>MIN(O59-O62,0)</f>
        <v>-1.5913026583042833</v>
      </c>
      <c r="P64" s="236"/>
      <c r="Q64" s="236">
        <f>IF(AG57=TRUE,MIN(Q59-Q62,0),"-")</f>
        <v>-1.1366447559316308</v>
      </c>
      <c r="R64" s="236"/>
      <c r="S64" s="236" t="str">
        <f>IF(AH57=TRUE,MIN(S59-S62,0),"-")</f>
        <v>-</v>
      </c>
      <c r="T64" s="236"/>
      <c r="U64" s="236">
        <f>IF(R27=1,0,MAX(U59-U62,0))</f>
        <v>0.68198685355897859</v>
      </c>
      <c r="V64" s="236"/>
      <c r="W64" s="236">
        <f>MIN(W59-W62,0)</f>
        <v>-0.79565132915214165</v>
      </c>
      <c r="X64" s="254"/>
      <c r="Y64" s="1"/>
      <c r="Z64" s="1"/>
      <c r="AA64" s="44"/>
      <c r="AB64" s="13"/>
      <c r="AD64" s="12"/>
      <c r="AE64" s="12"/>
      <c r="AX64" s="26">
        <v>49</v>
      </c>
      <c r="AY64" s="27" t="s">
        <v>171</v>
      </c>
      <c r="AZ64" s="27" t="s">
        <v>172</v>
      </c>
      <c r="BA64" s="27" t="s">
        <v>173</v>
      </c>
    </row>
    <row r="65" spans="1:53" ht="18" customHeight="1">
      <c r="A65" s="3"/>
      <c r="B65" s="23"/>
      <c r="C65" s="163" t="str">
        <f>VLOOKUP(34,$AX$9:$BA$69,1+MATCH($AD$9,$AY$8:$BA$8,0),FALSE)</f>
        <v>Case 2</v>
      </c>
      <c r="D65" s="164" t="s">
        <v>140</v>
      </c>
      <c r="E65" s="231">
        <f>MIN(E59-E63,0)</f>
        <v>-1.1366447559316311</v>
      </c>
      <c r="F65" s="232"/>
      <c r="G65" s="232">
        <f>IF(AG57=TRUE,MIN(G59-G63,0),"-")</f>
        <v>-0.68198685355897859</v>
      </c>
      <c r="H65" s="232"/>
      <c r="I65" s="232" t="str">
        <f>IF(AH57=TRUE,MIN(I59-I63,0),"-")</f>
        <v>-</v>
      </c>
      <c r="J65" s="232"/>
      <c r="K65" s="232">
        <f>IF(P27=1,0,MAX(K59-K63,0))</f>
        <v>1.1366447559316308</v>
      </c>
      <c r="L65" s="232"/>
      <c r="M65" s="232">
        <f t="shared" ref="M65" si="14">MIN(M59-M63,0)</f>
        <v>-0.34099342677948924</v>
      </c>
      <c r="N65" s="252"/>
      <c r="O65" s="231">
        <f>MIN(O59-O63,0)</f>
        <v>-1.1366447559316311</v>
      </c>
      <c r="P65" s="232"/>
      <c r="Q65" s="232">
        <f>IF(AG57=TRUE,MIN(Q59-Q63,0),"-")</f>
        <v>-0.68198685355897859</v>
      </c>
      <c r="R65" s="232"/>
      <c r="S65" s="232" t="str">
        <f>IF(AH57=TRUE,MIN(S59-S63,0),"-")</f>
        <v>-</v>
      </c>
      <c r="T65" s="232"/>
      <c r="U65" s="232">
        <f>IF(R27=1,0,MAX(U59-U63,0))</f>
        <v>1.1366447559316308</v>
      </c>
      <c r="V65" s="232"/>
      <c r="W65" s="232">
        <f t="shared" ref="W65" si="15">MIN(W59-W63,0)</f>
        <v>-0.34099342677948924</v>
      </c>
      <c r="X65" s="252"/>
      <c r="Y65" s="42"/>
      <c r="Z65" s="42"/>
      <c r="AA65" s="45"/>
      <c r="AB65" s="13"/>
      <c r="AD65" s="12"/>
      <c r="AE65" s="12"/>
      <c r="AX65" s="26">
        <v>50</v>
      </c>
      <c r="AY65" s="38" t="s">
        <v>158</v>
      </c>
      <c r="AZ65" s="38" t="s">
        <v>150</v>
      </c>
      <c r="BA65" s="38" t="s">
        <v>149</v>
      </c>
    </row>
    <row r="66" spans="1:53" ht="18" customHeight="1">
      <c r="A66" s="3"/>
      <c r="B66" s="23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13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X66" s="26">
        <v>51</v>
      </c>
      <c r="AY66" s="27" t="s">
        <v>174</v>
      </c>
      <c r="AZ66" s="27" t="s">
        <v>176</v>
      </c>
      <c r="BA66" s="27" t="s">
        <v>178</v>
      </c>
    </row>
    <row r="67" spans="1:53" ht="18" customHeight="1">
      <c r="A67" s="3"/>
      <c r="B67" s="23"/>
      <c r="C67" s="199" t="str">
        <f>VLOOKUP(35,$AX$9:$BA$69,1+MATCH($AD$9,$AY$8:$BA$8,0),FALSE)</f>
        <v>DIAGRAM: ZONES OF DUOPITCH ROOF (WIND X+) / SƠ ĐỒ PHÂN CHIA VÙNG ÁP LỰC GIÓ (GIÓ X+)</v>
      </c>
      <c r="D67" s="200"/>
      <c r="E67" s="200"/>
      <c r="F67" s="200"/>
      <c r="G67" s="200"/>
      <c r="H67" s="200"/>
      <c r="I67" s="200"/>
      <c r="J67" s="200"/>
      <c r="K67" s="200"/>
      <c r="L67" s="200"/>
      <c r="M67" s="200"/>
      <c r="N67" s="200"/>
      <c r="O67" s="200"/>
      <c r="P67" s="200"/>
      <c r="Q67" s="200"/>
      <c r="R67" s="200"/>
      <c r="S67" s="200"/>
      <c r="T67" s="200"/>
      <c r="U67" s="200"/>
      <c r="V67" s="200"/>
      <c r="W67" s="200"/>
      <c r="X67" s="200"/>
      <c r="Y67" s="200"/>
      <c r="Z67" s="200"/>
      <c r="AA67" s="201"/>
      <c r="AB67" s="13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X67" s="26">
        <v>52</v>
      </c>
      <c r="AY67" s="27" t="s">
        <v>175</v>
      </c>
      <c r="AZ67" s="27" t="s">
        <v>177</v>
      </c>
      <c r="BA67" s="27" t="s">
        <v>179</v>
      </c>
    </row>
    <row r="68" spans="1:53" ht="18" customHeight="1">
      <c r="A68" s="3"/>
      <c r="B68" s="23"/>
      <c r="C68" s="120"/>
      <c r="D68" s="121"/>
      <c r="E68" s="121"/>
      <c r="F68" s="121"/>
      <c r="G68" s="121"/>
      <c r="H68" s="121"/>
      <c r="I68" s="121"/>
      <c r="J68" s="121"/>
      <c r="K68" s="121"/>
      <c r="L68" s="121"/>
      <c r="M68" s="121"/>
      <c r="N68" s="121"/>
      <c r="O68" s="121"/>
      <c r="P68" s="121"/>
      <c r="Q68" s="121"/>
      <c r="R68" s="362" t="str">
        <f>IF(U71="-","","e/5 = "&amp;W39/5&amp;" (m)")</f>
        <v>e/5 = 2 (m)</v>
      </c>
      <c r="S68" s="362"/>
      <c r="T68" s="362"/>
      <c r="U68" s="362" t="str">
        <f>IF(X71="-","","4e/5 = "&amp;W39*4/5&amp;" (m)")</f>
        <v>4e/5 = 8 (m)</v>
      </c>
      <c r="V68" s="362"/>
      <c r="W68" s="362"/>
      <c r="X68" s="121"/>
      <c r="Y68" s="121"/>
      <c r="Z68" s="121"/>
      <c r="AA68" s="122"/>
      <c r="AB68" s="13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X68" s="26">
        <v>53</v>
      </c>
      <c r="AY68" s="27" t="s">
        <v>181</v>
      </c>
      <c r="AZ68" s="27" t="s">
        <v>183</v>
      </c>
      <c r="BA68" s="27" t="s">
        <v>185</v>
      </c>
    </row>
    <row r="69" spans="1:53" ht="18" customHeight="1">
      <c r="A69" s="3"/>
      <c r="B69" s="23"/>
      <c r="C69" s="123"/>
      <c r="D69" s="202"/>
      <c r="E69" s="203"/>
      <c r="F69" s="204"/>
      <c r="G69" s="204"/>
      <c r="H69" s="205"/>
      <c r="I69" s="124"/>
      <c r="J69" s="203"/>
      <c r="K69" s="204"/>
      <c r="L69" s="204"/>
      <c r="M69" s="205"/>
      <c r="N69" s="124"/>
      <c r="O69" s="124"/>
      <c r="P69" s="124"/>
      <c r="Q69" s="206"/>
      <c r="R69" s="168"/>
      <c r="S69" s="169"/>
      <c r="T69" s="170"/>
      <c r="U69" s="168"/>
      <c r="V69" s="169"/>
      <c r="W69" s="170"/>
      <c r="X69" s="168"/>
      <c r="Y69" s="169"/>
      <c r="Z69" s="170"/>
      <c r="AA69" s="125"/>
      <c r="AB69" s="13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X69" s="26">
        <v>54</v>
      </c>
      <c r="AY69" s="27" t="s">
        <v>182</v>
      </c>
      <c r="AZ69" s="27" t="s">
        <v>184</v>
      </c>
      <c r="BA69" s="27" t="s">
        <v>186</v>
      </c>
    </row>
    <row r="70" spans="1:53" ht="18" customHeight="1">
      <c r="A70" s="3"/>
      <c r="B70" s="23"/>
      <c r="C70" s="123"/>
      <c r="D70" s="202"/>
      <c r="E70" s="207" t="s">
        <v>129</v>
      </c>
      <c r="F70" s="208"/>
      <c r="G70" s="208"/>
      <c r="H70" s="209"/>
      <c r="I70" s="124"/>
      <c r="J70" s="207" t="s">
        <v>130</v>
      </c>
      <c r="K70" s="208"/>
      <c r="L70" s="208"/>
      <c r="M70" s="209"/>
      <c r="N70" s="124"/>
      <c r="O70" s="124"/>
      <c r="P70" s="124"/>
      <c r="Q70" s="206"/>
      <c r="R70" s="210" t="s">
        <v>126</v>
      </c>
      <c r="S70" s="211"/>
      <c r="T70" s="212"/>
      <c r="U70" s="210" t="s">
        <v>127</v>
      </c>
      <c r="V70" s="211"/>
      <c r="W70" s="212"/>
      <c r="X70" s="210" t="s">
        <v>128</v>
      </c>
      <c r="Y70" s="211"/>
      <c r="Z70" s="212"/>
      <c r="AA70" s="125"/>
      <c r="AB70" s="13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X70" s="26">
        <v>55</v>
      </c>
      <c r="AY70" s="27" t="s">
        <v>192</v>
      </c>
      <c r="AZ70" s="27" t="s">
        <v>194</v>
      </c>
      <c r="BA70" s="27" t="s">
        <v>196</v>
      </c>
    </row>
    <row r="71" spans="1:53" ht="18" customHeight="1">
      <c r="A71" s="3"/>
      <c r="B71" s="23"/>
      <c r="C71" s="123"/>
      <c r="D71" s="202"/>
      <c r="E71" s="213" t="str">
        <f>ROUND(K53,2)&amp;" kN/m2"</f>
        <v>0.57 kN/m2</v>
      </c>
      <c r="F71" s="214"/>
      <c r="G71" s="214"/>
      <c r="H71" s="215"/>
      <c r="I71" s="124"/>
      <c r="J71" s="213" t="str">
        <f>ROUND(M53,2)&amp;" kN/m2"</f>
        <v>-0.57 kN/m2</v>
      </c>
      <c r="K71" s="214"/>
      <c r="L71" s="214"/>
      <c r="M71" s="215"/>
      <c r="N71" s="124"/>
      <c r="O71" s="124"/>
      <c r="P71" s="124"/>
      <c r="Q71" s="206"/>
      <c r="R71" s="216" t="str">
        <f>ROUND(E53,2)&amp;" kN/m2"</f>
        <v>-1.59 kN/m2</v>
      </c>
      <c r="S71" s="217"/>
      <c r="T71" s="218"/>
      <c r="U71" s="216" t="str">
        <f>IFERROR(ROUND(G53,2)&amp;" kN/m2","-")</f>
        <v>-1.14 kN/m2</v>
      </c>
      <c r="V71" s="217"/>
      <c r="W71" s="218"/>
      <c r="X71" s="216" t="str">
        <f>IFERROR(ROUND(I53,2)&amp;" kN/m2","-")</f>
        <v>-0.8 kN/m2</v>
      </c>
      <c r="Y71" s="217"/>
      <c r="Z71" s="218"/>
      <c r="AA71" s="125"/>
      <c r="AB71" s="13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X71" s="26">
        <v>56</v>
      </c>
      <c r="AY71" s="27" t="s">
        <v>193</v>
      </c>
      <c r="AZ71" s="27" t="s">
        <v>195</v>
      </c>
      <c r="BA71" s="27" t="s">
        <v>197</v>
      </c>
    </row>
    <row r="72" spans="1:53" ht="18" customHeight="1">
      <c r="A72" s="3"/>
      <c r="B72" s="23"/>
      <c r="C72" s="123"/>
      <c r="D72" s="202"/>
      <c r="E72" s="193" t="str">
        <f>ROUND(K54,2)&amp;" kN/m2"</f>
        <v>1.02 kN/m2</v>
      </c>
      <c r="F72" s="194"/>
      <c r="G72" s="194"/>
      <c r="H72" s="195"/>
      <c r="I72" s="124"/>
      <c r="J72" s="193" t="str">
        <f>ROUND(M54,2)&amp;" kN/m2"</f>
        <v>-0.11 kN/m2</v>
      </c>
      <c r="K72" s="194"/>
      <c r="L72" s="194"/>
      <c r="M72" s="195"/>
      <c r="N72" s="124"/>
      <c r="O72" s="124"/>
      <c r="P72" s="124"/>
      <c r="Q72" s="206"/>
      <c r="R72" s="196" t="str">
        <f>ROUND(E54,2)&amp;" kN/m2"</f>
        <v>-1.14 kN/m2</v>
      </c>
      <c r="S72" s="197"/>
      <c r="T72" s="198"/>
      <c r="U72" s="196" t="str">
        <f>IFERROR(ROUND(G54,2)&amp;" kN/m2","-")</f>
        <v>-0.68 kN/m2</v>
      </c>
      <c r="V72" s="197"/>
      <c r="W72" s="198"/>
      <c r="X72" s="196" t="str">
        <f>IFERROR(ROUND(I54,2)&amp;" kN/m2","-")</f>
        <v>-0.34 kN/m2</v>
      </c>
      <c r="Y72" s="197"/>
      <c r="Z72" s="198"/>
      <c r="AA72" s="125"/>
      <c r="AB72" s="13"/>
      <c r="AX72" s="26"/>
      <c r="AY72" s="25"/>
      <c r="AZ72" s="25"/>
      <c r="BA72" s="25"/>
    </row>
    <row r="73" spans="1:53" ht="18" customHeight="1">
      <c r="A73" s="3"/>
      <c r="B73" s="23"/>
      <c r="C73" s="123"/>
      <c r="D73" s="202"/>
      <c r="E73" s="165"/>
      <c r="F73" s="166"/>
      <c r="G73" s="166"/>
      <c r="H73" s="167"/>
      <c r="I73" s="124"/>
      <c r="J73" s="165"/>
      <c r="K73" s="166"/>
      <c r="L73" s="166"/>
      <c r="M73" s="167"/>
      <c r="N73" s="124"/>
      <c r="O73" s="124"/>
      <c r="P73" s="124"/>
      <c r="Q73" s="206"/>
      <c r="R73" s="171"/>
      <c r="S73" s="172"/>
      <c r="T73" s="173"/>
      <c r="U73" s="171"/>
      <c r="V73" s="172"/>
      <c r="W73" s="173"/>
      <c r="X73" s="171"/>
      <c r="Y73" s="172"/>
      <c r="Z73" s="173"/>
      <c r="AA73" s="125"/>
      <c r="AB73" s="13"/>
      <c r="AX73" s="26"/>
      <c r="AY73" s="25"/>
      <c r="AZ73" s="25"/>
      <c r="BA73" s="25"/>
    </row>
    <row r="74" spans="1:53" ht="18" customHeight="1">
      <c r="A74" s="3"/>
      <c r="B74" s="23"/>
      <c r="C74" s="123"/>
      <c r="D74" s="124"/>
      <c r="E74" s="187"/>
      <c r="F74" s="187"/>
      <c r="G74" s="187"/>
      <c r="H74" s="187"/>
      <c r="I74" s="126"/>
      <c r="J74" s="187"/>
      <c r="K74" s="187"/>
      <c r="L74" s="187"/>
      <c r="M74" s="187"/>
      <c r="N74" s="124"/>
      <c r="O74" s="124"/>
      <c r="P74" s="124"/>
      <c r="Q74" s="124"/>
      <c r="R74" s="188"/>
      <c r="S74" s="188"/>
      <c r="T74" s="188"/>
      <c r="U74" s="188"/>
      <c r="V74" s="188"/>
      <c r="W74" s="188"/>
      <c r="X74" s="188"/>
      <c r="Y74" s="188"/>
      <c r="Z74" s="188"/>
      <c r="AA74" s="125"/>
      <c r="AB74" s="13"/>
    </row>
    <row r="75" spans="1:53" ht="18" customHeight="1">
      <c r="A75" s="3"/>
      <c r="B75" s="23"/>
      <c r="C75" s="123"/>
      <c r="D75" s="124"/>
      <c r="E75" s="189" t="str">
        <f>VLOOKUP(37,$AX$9:$BA$69,1+MATCH($AD$9,$AY$8:$BA$8,0),FALSE)</f>
        <v>WINDWARD WALL / MẶT ĐÓN GIÓ</v>
      </c>
      <c r="F75" s="189"/>
      <c r="G75" s="189"/>
      <c r="H75" s="189"/>
      <c r="I75" s="126"/>
      <c r="J75" s="189" t="str">
        <f>VLOOKUP(38,$AX$9:$BA$69,1+MATCH($AD$9,$AY$8:$BA$8,0),FALSE)</f>
        <v>LEEWARD WALL / MẶT KHUẤT GIÓ</v>
      </c>
      <c r="K75" s="189"/>
      <c r="L75" s="189"/>
      <c r="M75" s="189"/>
      <c r="N75" s="124"/>
      <c r="O75" s="124"/>
      <c r="P75" s="124"/>
      <c r="Q75" s="124"/>
      <c r="R75" s="191" t="str">
        <f>VLOOKUP(39,$AX$9:$BA$69,1+MATCH($AD$9,$AY$8:$BA$8,0),FALSE)</f>
        <v>SIDE WALL / MẶT BÊN</v>
      </c>
      <c r="S75" s="191"/>
      <c r="T75" s="191"/>
      <c r="U75" s="191"/>
      <c r="V75" s="191"/>
      <c r="W75" s="191"/>
      <c r="X75" s="191"/>
      <c r="Y75" s="191"/>
      <c r="Z75" s="191"/>
      <c r="AA75" s="125"/>
      <c r="AB75" s="13"/>
    </row>
    <row r="76" spans="1:53" ht="18" customHeight="1">
      <c r="A76" s="3"/>
      <c r="B76" s="23"/>
      <c r="C76" s="127"/>
      <c r="D76" s="128"/>
      <c r="E76" s="190"/>
      <c r="F76" s="190"/>
      <c r="G76" s="190"/>
      <c r="H76" s="190"/>
      <c r="I76" s="128"/>
      <c r="J76" s="190"/>
      <c r="K76" s="190"/>
      <c r="L76" s="190"/>
      <c r="M76" s="190"/>
      <c r="N76" s="128"/>
      <c r="O76" s="128"/>
      <c r="P76" s="128"/>
      <c r="Q76" s="128"/>
      <c r="R76" s="192"/>
      <c r="S76" s="192"/>
      <c r="T76" s="192"/>
      <c r="U76" s="192"/>
      <c r="V76" s="192"/>
      <c r="W76" s="192"/>
      <c r="X76" s="192"/>
      <c r="Y76" s="192"/>
      <c r="Z76" s="192"/>
      <c r="AA76" s="129"/>
      <c r="AB76" s="13"/>
    </row>
    <row r="77" spans="1:53" ht="18" customHeight="1">
      <c r="A77" s="3"/>
      <c r="B77" s="23"/>
      <c r="C77" s="199" t="str">
        <f>VLOOKUP(55,$AX$9:$BA$73,1+MATCH($AD$9,$AY$8:$BA$8,0),FALSE)</f>
        <v>DIAGRAM: ZONES OF DUOPITCH ROOF (WIND X-) / SƠ ĐỒ PHÂN CHIA VÙNG ÁP LỰC GIÓ (GIÓ X-)</v>
      </c>
      <c r="D77" s="200"/>
      <c r="E77" s="200"/>
      <c r="F77" s="200"/>
      <c r="G77" s="200"/>
      <c r="H77" s="200"/>
      <c r="I77" s="200"/>
      <c r="J77" s="200"/>
      <c r="K77" s="200"/>
      <c r="L77" s="200"/>
      <c r="M77" s="200"/>
      <c r="N77" s="200"/>
      <c r="O77" s="200"/>
      <c r="P77" s="200"/>
      <c r="Q77" s="200"/>
      <c r="R77" s="200"/>
      <c r="S77" s="200"/>
      <c r="T77" s="200"/>
      <c r="U77" s="200"/>
      <c r="V77" s="200"/>
      <c r="W77" s="200"/>
      <c r="X77" s="200"/>
      <c r="Y77" s="200"/>
      <c r="Z77" s="200"/>
      <c r="AA77" s="201"/>
      <c r="AB77" s="13"/>
    </row>
    <row r="78" spans="1:53" ht="18" customHeight="1">
      <c r="B78" s="1"/>
      <c r="C78" s="120"/>
      <c r="D78" s="121"/>
      <c r="E78" s="121"/>
      <c r="F78" s="121"/>
      <c r="G78" s="121"/>
      <c r="H78" s="121"/>
      <c r="I78" s="121"/>
      <c r="J78" s="121"/>
      <c r="K78" s="121"/>
      <c r="L78" s="121"/>
      <c r="M78" s="121"/>
      <c r="N78" s="121"/>
      <c r="O78" s="121"/>
      <c r="P78" s="121"/>
      <c r="Q78" s="121"/>
      <c r="R78" s="362" t="str">
        <f>R68</f>
        <v>e/5 = 2 (m)</v>
      </c>
      <c r="S78" s="362"/>
      <c r="T78" s="362"/>
      <c r="U78" s="362" t="str">
        <f>U68</f>
        <v>4e/5 = 8 (m)</v>
      </c>
      <c r="V78" s="362"/>
      <c r="W78" s="362"/>
      <c r="X78" s="121"/>
      <c r="Y78" s="121"/>
      <c r="Z78" s="121"/>
      <c r="AA78" s="122"/>
      <c r="AB78" s="1"/>
    </row>
    <row r="79" spans="1:53" ht="18" customHeight="1">
      <c r="B79" s="1"/>
      <c r="C79" s="123"/>
      <c r="D79" s="202"/>
      <c r="E79" s="203"/>
      <c r="F79" s="204"/>
      <c r="G79" s="204"/>
      <c r="H79" s="205"/>
      <c r="I79" s="124"/>
      <c r="J79" s="203"/>
      <c r="K79" s="204"/>
      <c r="L79" s="204"/>
      <c r="M79" s="205"/>
      <c r="N79" s="124"/>
      <c r="O79" s="124"/>
      <c r="P79" s="124"/>
      <c r="Q79" s="206"/>
      <c r="R79" s="168"/>
      <c r="S79" s="169"/>
      <c r="T79" s="170"/>
      <c r="U79" s="168"/>
      <c r="V79" s="169"/>
      <c r="W79" s="170"/>
      <c r="X79" s="168"/>
      <c r="Y79" s="169"/>
      <c r="Z79" s="170"/>
      <c r="AA79" s="125"/>
      <c r="AB79" s="1"/>
    </row>
    <row r="80" spans="1:53" ht="18" customHeight="1">
      <c r="B80" s="1"/>
      <c r="C80" s="123"/>
      <c r="D80" s="202"/>
      <c r="E80" s="207" t="s">
        <v>129</v>
      </c>
      <c r="F80" s="208"/>
      <c r="G80" s="208"/>
      <c r="H80" s="209"/>
      <c r="I80" s="124"/>
      <c r="J80" s="207" t="s">
        <v>130</v>
      </c>
      <c r="K80" s="208"/>
      <c r="L80" s="208"/>
      <c r="M80" s="209"/>
      <c r="N80" s="124"/>
      <c r="O80" s="124"/>
      <c r="P80" s="124"/>
      <c r="Q80" s="206"/>
      <c r="R80" s="210" t="s">
        <v>126</v>
      </c>
      <c r="S80" s="211"/>
      <c r="T80" s="212"/>
      <c r="U80" s="210" t="s">
        <v>127</v>
      </c>
      <c r="V80" s="211"/>
      <c r="W80" s="212"/>
      <c r="X80" s="210" t="s">
        <v>128</v>
      </c>
      <c r="Y80" s="211"/>
      <c r="Z80" s="212"/>
      <c r="AA80" s="125"/>
      <c r="AB80" s="1"/>
    </row>
    <row r="81" spans="2:28" ht="18" customHeight="1">
      <c r="B81" s="1"/>
      <c r="C81" s="123"/>
      <c r="D81" s="202"/>
      <c r="E81" s="213" t="str">
        <f>ROUND(U53,2)&amp;" kN/m2"</f>
        <v>0.57 kN/m2</v>
      </c>
      <c r="F81" s="214"/>
      <c r="G81" s="214"/>
      <c r="H81" s="215"/>
      <c r="I81" s="124"/>
      <c r="J81" s="213" t="str">
        <f>ROUND(W53,2)&amp;" kN/m2"</f>
        <v>-0.57 kN/m2</v>
      </c>
      <c r="K81" s="214"/>
      <c r="L81" s="214"/>
      <c r="M81" s="215"/>
      <c r="N81" s="124"/>
      <c r="O81" s="124"/>
      <c r="P81" s="124"/>
      <c r="Q81" s="206"/>
      <c r="R81" s="216" t="str">
        <f>ROUND(O53,2)&amp;" kN/m2"</f>
        <v>-1.59 kN/m2</v>
      </c>
      <c r="S81" s="217"/>
      <c r="T81" s="218"/>
      <c r="U81" s="216" t="str">
        <f>IFERROR(ROUND(Q53,2)&amp;" kN/m2","-")</f>
        <v>-1.14 kN/m2</v>
      </c>
      <c r="V81" s="217"/>
      <c r="W81" s="218"/>
      <c r="X81" s="216" t="str">
        <f>IFERROR(ROUND(S53,2)&amp;" kN/m2","-")</f>
        <v>-0.8 kN/m2</v>
      </c>
      <c r="Y81" s="217"/>
      <c r="Z81" s="218"/>
      <c r="AA81" s="125"/>
      <c r="AB81" s="1"/>
    </row>
    <row r="82" spans="2:28" ht="18" customHeight="1">
      <c r="B82" s="1"/>
      <c r="C82" s="123"/>
      <c r="D82" s="202"/>
      <c r="E82" s="193" t="str">
        <f>ROUND(U54,2)&amp;" kN/m2"</f>
        <v>1.02 kN/m2</v>
      </c>
      <c r="F82" s="194"/>
      <c r="G82" s="194"/>
      <c r="H82" s="195"/>
      <c r="I82" s="124"/>
      <c r="J82" s="193" t="str">
        <f>ROUND(W54,2)&amp;" kN/m2"</f>
        <v>-0.11 kN/m2</v>
      </c>
      <c r="K82" s="194"/>
      <c r="L82" s="194"/>
      <c r="M82" s="195"/>
      <c r="N82" s="124"/>
      <c r="O82" s="124"/>
      <c r="P82" s="124"/>
      <c r="Q82" s="206"/>
      <c r="R82" s="196" t="str">
        <f>ROUND(O54,2)&amp;" kN/m2"</f>
        <v>-1.14 kN/m2</v>
      </c>
      <c r="S82" s="197"/>
      <c r="T82" s="198"/>
      <c r="U82" s="196" t="str">
        <f>IFERROR(ROUND(Q54,2)&amp;" kN/m2","-")</f>
        <v>-0.68 kN/m2</v>
      </c>
      <c r="V82" s="197"/>
      <c r="W82" s="198"/>
      <c r="X82" s="196" t="str">
        <f>IFERROR(ROUND(S54,2)&amp;" kN/m2","-")</f>
        <v>-0.34 kN/m2</v>
      </c>
      <c r="Y82" s="197"/>
      <c r="Z82" s="198"/>
      <c r="AA82" s="125"/>
      <c r="AB82" s="1"/>
    </row>
    <row r="83" spans="2:28" ht="18" customHeight="1">
      <c r="B83" s="1"/>
      <c r="C83" s="123"/>
      <c r="D83" s="202"/>
      <c r="E83" s="165"/>
      <c r="F83" s="166"/>
      <c r="G83" s="166"/>
      <c r="H83" s="167"/>
      <c r="I83" s="124"/>
      <c r="J83" s="165"/>
      <c r="K83" s="166"/>
      <c r="L83" s="166"/>
      <c r="M83" s="167"/>
      <c r="N83" s="124"/>
      <c r="O83" s="124"/>
      <c r="P83" s="124"/>
      <c r="Q83" s="206"/>
      <c r="R83" s="171"/>
      <c r="S83" s="172"/>
      <c r="T83" s="173"/>
      <c r="U83" s="171"/>
      <c r="V83" s="172"/>
      <c r="W83" s="173"/>
      <c r="X83" s="171"/>
      <c r="Y83" s="172"/>
      <c r="Z83" s="173"/>
      <c r="AA83" s="125"/>
      <c r="AB83" s="1"/>
    </row>
    <row r="84" spans="2:28" ht="18" customHeight="1">
      <c r="B84" s="1"/>
      <c r="C84" s="123"/>
      <c r="D84" s="124"/>
      <c r="E84" s="187"/>
      <c r="F84" s="187"/>
      <c r="G84" s="187"/>
      <c r="H84" s="187"/>
      <c r="I84" s="126"/>
      <c r="J84" s="187"/>
      <c r="K84" s="187"/>
      <c r="L84" s="187"/>
      <c r="M84" s="187"/>
      <c r="N84" s="124"/>
      <c r="O84" s="124"/>
      <c r="P84" s="124"/>
      <c r="Q84" s="124"/>
      <c r="R84" s="188"/>
      <c r="S84" s="188"/>
      <c r="T84" s="188"/>
      <c r="U84" s="188"/>
      <c r="V84" s="188"/>
      <c r="W84" s="188"/>
      <c r="X84" s="188"/>
      <c r="Y84" s="188"/>
      <c r="Z84" s="188"/>
      <c r="AA84" s="125"/>
      <c r="AB84" s="1"/>
    </row>
    <row r="85" spans="2:28" ht="18" customHeight="1">
      <c r="B85" s="1"/>
      <c r="C85" s="123"/>
      <c r="D85" s="124"/>
      <c r="E85" s="189" t="str">
        <f>VLOOKUP(37,$AX$9:$BA$69,1+MATCH($AD$9,$AY$8:$BA$8,0),FALSE)</f>
        <v>WINDWARD WALL / MẶT ĐÓN GIÓ</v>
      </c>
      <c r="F85" s="189"/>
      <c r="G85" s="189"/>
      <c r="H85" s="189"/>
      <c r="I85" s="126"/>
      <c r="J85" s="189" t="str">
        <f>VLOOKUP(38,$AX$9:$BA$69,1+MATCH($AD$9,$AY$8:$BA$8,0),FALSE)</f>
        <v>LEEWARD WALL / MẶT KHUẤT GIÓ</v>
      </c>
      <c r="K85" s="189"/>
      <c r="L85" s="189"/>
      <c r="M85" s="189"/>
      <c r="N85" s="124"/>
      <c r="O85" s="124"/>
      <c r="P85" s="124"/>
      <c r="Q85" s="124"/>
      <c r="R85" s="191" t="str">
        <f>VLOOKUP(39,$AX$9:$BA$69,1+MATCH($AD$9,$AY$8:$BA$8,0),FALSE)</f>
        <v>SIDE WALL / MẶT BÊN</v>
      </c>
      <c r="S85" s="191"/>
      <c r="T85" s="191"/>
      <c r="U85" s="191"/>
      <c r="V85" s="191"/>
      <c r="W85" s="191"/>
      <c r="X85" s="191"/>
      <c r="Y85" s="191"/>
      <c r="Z85" s="191"/>
      <c r="AA85" s="125"/>
      <c r="AB85" s="1"/>
    </row>
    <row r="86" spans="2:28" ht="18" customHeight="1">
      <c r="B86" s="1"/>
      <c r="C86" s="127"/>
      <c r="D86" s="128"/>
      <c r="E86" s="190"/>
      <c r="F86" s="190"/>
      <c r="G86" s="190"/>
      <c r="H86" s="190"/>
      <c r="I86" s="128"/>
      <c r="J86" s="190"/>
      <c r="K86" s="190"/>
      <c r="L86" s="190"/>
      <c r="M86" s="190"/>
      <c r="N86" s="128"/>
      <c r="O86" s="128"/>
      <c r="P86" s="128"/>
      <c r="Q86" s="128"/>
      <c r="R86" s="192"/>
      <c r="S86" s="192"/>
      <c r="T86" s="192"/>
      <c r="U86" s="192"/>
      <c r="V86" s="192"/>
      <c r="W86" s="192"/>
      <c r="X86" s="192"/>
      <c r="Y86" s="192"/>
      <c r="Z86" s="192"/>
      <c r="AA86" s="129"/>
      <c r="AB86" s="1"/>
    </row>
    <row r="87" spans="2:28" ht="18" customHeight="1">
      <c r="B87" s="1"/>
      <c r="C87" s="199" t="str">
        <f>VLOOKUP(36,$AX$9:$BA$69,1+MATCH($AD$9,$AY$8:$BA$8,0),FALSE)</f>
        <v>DIAGRAM: ZONES OF DUOPITCH ROOF (WIND Y+) / SƠ ĐỒ PHÂN CHIA VÙNG ÁP LỰC GIÓ (GIÓ Y+)</v>
      </c>
      <c r="D87" s="200"/>
      <c r="E87" s="200"/>
      <c r="F87" s="200"/>
      <c r="G87" s="200"/>
      <c r="H87" s="200"/>
      <c r="I87" s="200"/>
      <c r="J87" s="200"/>
      <c r="K87" s="200"/>
      <c r="L87" s="200"/>
      <c r="M87" s="200"/>
      <c r="N87" s="200"/>
      <c r="O87" s="200"/>
      <c r="P87" s="200"/>
      <c r="Q87" s="200"/>
      <c r="R87" s="200"/>
      <c r="S87" s="200"/>
      <c r="T87" s="200"/>
      <c r="U87" s="200"/>
      <c r="V87" s="200"/>
      <c r="W87" s="200"/>
      <c r="X87" s="200"/>
      <c r="Y87" s="200"/>
      <c r="Z87" s="200"/>
      <c r="AA87" s="201"/>
      <c r="AB87" s="1"/>
    </row>
    <row r="88" spans="2:28" ht="18" customHeight="1">
      <c r="B88" s="1"/>
      <c r="C88" s="120"/>
      <c r="D88" s="121"/>
      <c r="E88" s="121"/>
      <c r="F88" s="121"/>
      <c r="G88" s="121"/>
      <c r="H88" s="121"/>
      <c r="I88" s="121"/>
      <c r="J88" s="121"/>
      <c r="K88" s="121"/>
      <c r="L88" s="121"/>
      <c r="M88" s="121"/>
      <c r="N88" s="121"/>
      <c r="O88" s="121"/>
      <c r="P88" s="121"/>
      <c r="Q88" s="121"/>
      <c r="R88" s="362" t="str">
        <f>IF(U91="-","","e/5 = "&amp;W42/5&amp;" (m)")</f>
        <v>e/5 = 4 (m)</v>
      </c>
      <c r="S88" s="362"/>
      <c r="T88" s="362"/>
      <c r="U88" s="362" t="str">
        <f>IF(X91="-","","4e/5 = "&amp;W42*4/5&amp;" (m)")</f>
        <v/>
      </c>
      <c r="V88" s="362"/>
      <c r="W88" s="362"/>
      <c r="X88" s="121"/>
      <c r="Y88" s="121"/>
      <c r="Z88" s="121"/>
      <c r="AA88" s="122"/>
      <c r="AB88" s="1"/>
    </row>
    <row r="89" spans="2:28" ht="18" customHeight="1">
      <c r="B89" s="1"/>
      <c r="C89" s="123"/>
      <c r="D89" s="202"/>
      <c r="E89" s="203"/>
      <c r="F89" s="204"/>
      <c r="G89" s="204"/>
      <c r="H89" s="205"/>
      <c r="I89" s="124"/>
      <c r="J89" s="203"/>
      <c r="K89" s="204"/>
      <c r="L89" s="204"/>
      <c r="M89" s="205"/>
      <c r="N89" s="124"/>
      <c r="O89" s="124"/>
      <c r="P89" s="124"/>
      <c r="Q89" s="206"/>
      <c r="R89" s="168"/>
      <c r="S89" s="169"/>
      <c r="T89" s="170"/>
      <c r="U89" s="168"/>
      <c r="V89" s="169"/>
      <c r="W89" s="170"/>
      <c r="X89" s="168"/>
      <c r="Y89" s="169"/>
      <c r="Z89" s="170"/>
      <c r="AA89" s="125"/>
      <c r="AB89" s="1"/>
    </row>
    <row r="90" spans="2:28" ht="18" customHeight="1">
      <c r="B90" s="1"/>
      <c r="C90" s="123"/>
      <c r="D90" s="202"/>
      <c r="E90" s="207" t="s">
        <v>129</v>
      </c>
      <c r="F90" s="208"/>
      <c r="G90" s="208"/>
      <c r="H90" s="209"/>
      <c r="I90" s="124"/>
      <c r="J90" s="207" t="s">
        <v>130</v>
      </c>
      <c r="K90" s="208"/>
      <c r="L90" s="208"/>
      <c r="M90" s="209"/>
      <c r="N90" s="124"/>
      <c r="O90" s="124"/>
      <c r="P90" s="124"/>
      <c r="Q90" s="206"/>
      <c r="R90" s="210" t="s">
        <v>126</v>
      </c>
      <c r="S90" s="211"/>
      <c r="T90" s="212"/>
      <c r="U90" s="210" t="s">
        <v>127</v>
      </c>
      <c r="V90" s="211"/>
      <c r="W90" s="212"/>
      <c r="X90" s="210" t="s">
        <v>128</v>
      </c>
      <c r="Y90" s="211"/>
      <c r="Z90" s="212"/>
      <c r="AA90" s="125"/>
      <c r="AB90" s="1"/>
    </row>
    <row r="91" spans="2:28" ht="18" customHeight="1">
      <c r="B91" s="1"/>
      <c r="C91" s="123"/>
      <c r="D91" s="202"/>
      <c r="E91" s="213" t="str">
        <f>ROUND(K64,2)&amp;" kN/m2"</f>
        <v>0.68 kN/m2</v>
      </c>
      <c r="F91" s="214"/>
      <c r="G91" s="214"/>
      <c r="H91" s="215"/>
      <c r="I91" s="124"/>
      <c r="J91" s="213" t="str">
        <f>ROUND(M64,2)&amp;" kN/m2"</f>
        <v>-0.8 kN/m2</v>
      </c>
      <c r="K91" s="214"/>
      <c r="L91" s="214"/>
      <c r="M91" s="215"/>
      <c r="N91" s="124"/>
      <c r="O91" s="124"/>
      <c r="P91" s="124"/>
      <c r="Q91" s="206"/>
      <c r="R91" s="216" t="str">
        <f>ROUND(E64,2)&amp;" kN/m2"</f>
        <v>-1.59 kN/m2</v>
      </c>
      <c r="S91" s="217"/>
      <c r="T91" s="218"/>
      <c r="U91" s="216" t="str">
        <f>IFERROR(ROUND(G64,2)&amp;" kN/m2","-")</f>
        <v>-1.14 kN/m2</v>
      </c>
      <c r="V91" s="217"/>
      <c r="W91" s="218"/>
      <c r="X91" s="216" t="str">
        <f>IFERROR(ROUND(I64,2)&amp;" kN/m2","-")</f>
        <v>-</v>
      </c>
      <c r="Y91" s="217"/>
      <c r="Z91" s="218"/>
      <c r="AA91" s="125"/>
      <c r="AB91" s="1"/>
    </row>
    <row r="92" spans="2:28" ht="18" customHeight="1">
      <c r="B92" s="1"/>
      <c r="C92" s="123"/>
      <c r="D92" s="202"/>
      <c r="E92" s="193" t="str">
        <f>ROUND(K65,2)&amp;" kN/m2"</f>
        <v>1.14 kN/m2</v>
      </c>
      <c r="F92" s="194"/>
      <c r="G92" s="194"/>
      <c r="H92" s="195"/>
      <c r="I92" s="124"/>
      <c r="J92" s="193" t="str">
        <f>ROUND(M65,2)&amp;" kN/m2"</f>
        <v>-0.34 kN/m2</v>
      </c>
      <c r="K92" s="194"/>
      <c r="L92" s="194"/>
      <c r="M92" s="195"/>
      <c r="N92" s="124"/>
      <c r="O92" s="124"/>
      <c r="P92" s="124"/>
      <c r="Q92" s="206"/>
      <c r="R92" s="196" t="str">
        <f>ROUND(E65,2)&amp;" kN/m2"</f>
        <v>-1.14 kN/m2</v>
      </c>
      <c r="S92" s="197"/>
      <c r="T92" s="198"/>
      <c r="U92" s="196" t="str">
        <f>IFERROR(ROUND(G65,2)&amp;" kN/m2","-")</f>
        <v>-0.68 kN/m2</v>
      </c>
      <c r="V92" s="197"/>
      <c r="W92" s="198"/>
      <c r="X92" s="196" t="str">
        <f>IFERROR(ROUND(I65,2)&amp;" kN/m2","-")</f>
        <v>-</v>
      </c>
      <c r="Y92" s="197"/>
      <c r="Z92" s="198"/>
      <c r="AA92" s="125"/>
      <c r="AB92" s="1"/>
    </row>
    <row r="93" spans="2:28" ht="18" customHeight="1">
      <c r="B93" s="1"/>
      <c r="C93" s="123"/>
      <c r="D93" s="202"/>
      <c r="E93" s="165"/>
      <c r="F93" s="166"/>
      <c r="G93" s="166"/>
      <c r="H93" s="167"/>
      <c r="I93" s="124"/>
      <c r="J93" s="165"/>
      <c r="K93" s="166"/>
      <c r="L93" s="166"/>
      <c r="M93" s="167"/>
      <c r="N93" s="124"/>
      <c r="O93" s="124"/>
      <c r="P93" s="124"/>
      <c r="Q93" s="206"/>
      <c r="R93" s="171"/>
      <c r="S93" s="172"/>
      <c r="T93" s="173"/>
      <c r="U93" s="171"/>
      <c r="V93" s="172"/>
      <c r="W93" s="173"/>
      <c r="X93" s="171"/>
      <c r="Y93" s="172"/>
      <c r="Z93" s="173"/>
      <c r="AA93" s="125"/>
      <c r="AB93" s="1"/>
    </row>
    <row r="94" spans="2:28" ht="18" customHeight="1">
      <c r="B94" s="1"/>
      <c r="C94" s="123"/>
      <c r="D94" s="124"/>
      <c r="E94" s="187"/>
      <c r="F94" s="187"/>
      <c r="G94" s="187"/>
      <c r="H94" s="187"/>
      <c r="I94" s="126"/>
      <c r="J94" s="187"/>
      <c r="K94" s="187"/>
      <c r="L94" s="187"/>
      <c r="M94" s="187"/>
      <c r="N94" s="124"/>
      <c r="O94" s="124"/>
      <c r="P94" s="124"/>
      <c r="Q94" s="124"/>
      <c r="R94" s="188"/>
      <c r="S94" s="188"/>
      <c r="T94" s="188"/>
      <c r="U94" s="188"/>
      <c r="V94" s="188"/>
      <c r="W94" s="188"/>
      <c r="X94" s="188"/>
      <c r="Y94" s="188"/>
      <c r="Z94" s="188"/>
      <c r="AA94" s="125"/>
      <c r="AB94" s="1"/>
    </row>
    <row r="95" spans="2:28" ht="18" customHeight="1">
      <c r="B95" s="1"/>
      <c r="C95" s="123"/>
      <c r="D95" s="124"/>
      <c r="E95" s="189" t="str">
        <f>VLOOKUP(37,$AX$9:$BA$69,1+MATCH($AD$9,$AY$8:$BA$8,0),FALSE)</f>
        <v>WINDWARD WALL / MẶT ĐÓN GIÓ</v>
      </c>
      <c r="F95" s="189"/>
      <c r="G95" s="189"/>
      <c r="H95" s="189"/>
      <c r="I95" s="126"/>
      <c r="J95" s="189" t="str">
        <f>VLOOKUP(38,$AX$9:$BA$69,1+MATCH($AD$9,$AY$8:$BA$8,0),FALSE)</f>
        <v>LEEWARD WALL / MẶT KHUẤT GIÓ</v>
      </c>
      <c r="K95" s="189"/>
      <c r="L95" s="189"/>
      <c r="M95" s="189"/>
      <c r="N95" s="124"/>
      <c r="O95" s="124"/>
      <c r="P95" s="124"/>
      <c r="Q95" s="124"/>
      <c r="R95" s="191" t="str">
        <f>VLOOKUP(39,$AX$9:$BA$69,1+MATCH($AD$9,$AY$8:$BA$8,0),FALSE)</f>
        <v>SIDE WALL / MẶT BÊN</v>
      </c>
      <c r="S95" s="191"/>
      <c r="T95" s="191"/>
      <c r="U95" s="191"/>
      <c r="V95" s="191"/>
      <c r="W95" s="191"/>
      <c r="X95" s="191"/>
      <c r="Y95" s="191"/>
      <c r="Z95" s="191"/>
      <c r="AA95" s="125"/>
      <c r="AB95" s="1"/>
    </row>
    <row r="96" spans="2:28" ht="18" customHeight="1">
      <c r="B96" s="1"/>
      <c r="C96" s="127"/>
      <c r="D96" s="128"/>
      <c r="E96" s="190"/>
      <c r="F96" s="190"/>
      <c r="G96" s="190"/>
      <c r="H96" s="190"/>
      <c r="I96" s="128"/>
      <c r="J96" s="190"/>
      <c r="K96" s="190"/>
      <c r="L96" s="190"/>
      <c r="M96" s="190"/>
      <c r="N96" s="128"/>
      <c r="O96" s="128"/>
      <c r="P96" s="128"/>
      <c r="Q96" s="128"/>
      <c r="R96" s="192"/>
      <c r="S96" s="192"/>
      <c r="T96" s="192"/>
      <c r="U96" s="192"/>
      <c r="V96" s="192"/>
      <c r="W96" s="192"/>
      <c r="X96" s="192"/>
      <c r="Y96" s="192"/>
      <c r="Z96" s="192"/>
      <c r="AA96" s="129"/>
      <c r="AB96" s="1"/>
    </row>
    <row r="97" spans="2:36" ht="18" customHeight="1">
      <c r="B97" s="1"/>
      <c r="C97" s="199" t="str">
        <f>VLOOKUP(56,$AX$9:$BA$73,1+MATCH($AD$9,$AY$8:$BA$8,0),FALSE)</f>
        <v>DIAGRAM: ZONES OF DUOPITCH ROOF (WIND Y-) / SƠ ĐỒ PHÂN CHIA VÙNG ÁP LỰC GIÓ (GIÓ Y-)</v>
      </c>
      <c r="D97" s="200"/>
      <c r="E97" s="200"/>
      <c r="F97" s="200"/>
      <c r="G97" s="200"/>
      <c r="H97" s="200"/>
      <c r="I97" s="200"/>
      <c r="J97" s="200"/>
      <c r="K97" s="200"/>
      <c r="L97" s="200"/>
      <c r="M97" s="200"/>
      <c r="N97" s="200"/>
      <c r="O97" s="200"/>
      <c r="P97" s="200"/>
      <c r="Q97" s="200"/>
      <c r="R97" s="200"/>
      <c r="S97" s="200"/>
      <c r="T97" s="200"/>
      <c r="U97" s="200"/>
      <c r="V97" s="200"/>
      <c r="W97" s="200"/>
      <c r="X97" s="200"/>
      <c r="Y97" s="200"/>
      <c r="Z97" s="200"/>
      <c r="AA97" s="201"/>
      <c r="AB97" s="1"/>
    </row>
    <row r="98" spans="2:36" ht="18" customHeight="1">
      <c r="B98" s="1"/>
      <c r="C98" s="120"/>
      <c r="D98" s="121"/>
      <c r="E98" s="121"/>
      <c r="F98" s="121"/>
      <c r="G98" s="121"/>
      <c r="H98" s="121"/>
      <c r="I98" s="121"/>
      <c r="J98" s="121"/>
      <c r="K98" s="121"/>
      <c r="L98" s="121"/>
      <c r="M98" s="121"/>
      <c r="N98" s="121"/>
      <c r="O98" s="121"/>
      <c r="P98" s="121"/>
      <c r="Q98" s="121"/>
      <c r="R98" s="362" t="str">
        <f>R88</f>
        <v>e/5 = 4 (m)</v>
      </c>
      <c r="S98" s="362"/>
      <c r="T98" s="362"/>
      <c r="U98" s="362" t="str">
        <f>U88</f>
        <v/>
      </c>
      <c r="V98" s="362"/>
      <c r="W98" s="362"/>
      <c r="X98" s="121"/>
      <c r="Y98" s="121"/>
      <c r="Z98" s="121"/>
      <c r="AA98" s="122"/>
      <c r="AB98" s="1"/>
    </row>
    <row r="99" spans="2:36" ht="18" customHeight="1">
      <c r="B99" s="1"/>
      <c r="C99" s="123"/>
      <c r="D99" s="202"/>
      <c r="E99" s="203"/>
      <c r="F99" s="204"/>
      <c r="G99" s="204"/>
      <c r="H99" s="205"/>
      <c r="I99" s="124"/>
      <c r="J99" s="203"/>
      <c r="K99" s="204"/>
      <c r="L99" s="204"/>
      <c r="M99" s="205"/>
      <c r="N99" s="124"/>
      <c r="O99" s="124"/>
      <c r="P99" s="124"/>
      <c r="Q99" s="206"/>
      <c r="R99" s="168"/>
      <c r="S99" s="169"/>
      <c r="T99" s="170"/>
      <c r="U99" s="168"/>
      <c r="V99" s="169"/>
      <c r="W99" s="170"/>
      <c r="X99" s="168"/>
      <c r="Y99" s="169"/>
      <c r="Z99" s="170"/>
      <c r="AA99" s="125"/>
      <c r="AB99" s="1"/>
    </row>
    <row r="100" spans="2:36" ht="18" customHeight="1">
      <c r="B100" s="1"/>
      <c r="C100" s="123"/>
      <c r="D100" s="202"/>
      <c r="E100" s="207" t="s">
        <v>129</v>
      </c>
      <c r="F100" s="208"/>
      <c r="G100" s="208"/>
      <c r="H100" s="209"/>
      <c r="I100" s="124"/>
      <c r="J100" s="207" t="s">
        <v>130</v>
      </c>
      <c r="K100" s="208"/>
      <c r="L100" s="208"/>
      <c r="M100" s="209"/>
      <c r="N100" s="124"/>
      <c r="O100" s="124"/>
      <c r="P100" s="124"/>
      <c r="Q100" s="206"/>
      <c r="R100" s="210" t="s">
        <v>126</v>
      </c>
      <c r="S100" s="211"/>
      <c r="T100" s="212"/>
      <c r="U100" s="210" t="s">
        <v>127</v>
      </c>
      <c r="V100" s="211"/>
      <c r="W100" s="212"/>
      <c r="X100" s="210" t="s">
        <v>128</v>
      </c>
      <c r="Y100" s="211"/>
      <c r="Z100" s="212"/>
      <c r="AA100" s="125"/>
      <c r="AB100" s="1"/>
    </row>
    <row r="101" spans="2:36" ht="18" customHeight="1">
      <c r="B101" s="1"/>
      <c r="C101" s="123"/>
      <c r="D101" s="202"/>
      <c r="E101" s="213" t="str">
        <f>ROUND(U64,2)&amp;" kN/m2"</f>
        <v>0.68 kN/m2</v>
      </c>
      <c r="F101" s="214"/>
      <c r="G101" s="214"/>
      <c r="H101" s="215"/>
      <c r="I101" s="124"/>
      <c r="J101" s="213" t="str">
        <f>ROUND(W64,2)&amp;" kN/m2"</f>
        <v>-0.8 kN/m2</v>
      </c>
      <c r="K101" s="214"/>
      <c r="L101" s="214"/>
      <c r="M101" s="215"/>
      <c r="N101" s="124"/>
      <c r="O101" s="124"/>
      <c r="P101" s="124"/>
      <c r="Q101" s="206"/>
      <c r="R101" s="216" t="str">
        <f>ROUND(O64,2)&amp;" kN/m2"</f>
        <v>-1.59 kN/m2</v>
      </c>
      <c r="S101" s="217"/>
      <c r="T101" s="218"/>
      <c r="U101" s="216" t="str">
        <f>IFERROR(ROUND(Q64,2)&amp;" kN/m2","-")</f>
        <v>-1.14 kN/m2</v>
      </c>
      <c r="V101" s="217"/>
      <c r="W101" s="218"/>
      <c r="X101" s="216" t="str">
        <f>IFERROR(ROUND(S64,2)&amp;" kN/m2","-")</f>
        <v>-</v>
      </c>
      <c r="Y101" s="217"/>
      <c r="Z101" s="218"/>
      <c r="AA101" s="125"/>
      <c r="AB101" s="1"/>
    </row>
    <row r="102" spans="2:36" ht="18" customHeight="1">
      <c r="B102" s="1"/>
      <c r="C102" s="123"/>
      <c r="D102" s="202"/>
      <c r="E102" s="193" t="str">
        <f>ROUND(U65,2)&amp;" kN/m2"</f>
        <v>1.14 kN/m2</v>
      </c>
      <c r="F102" s="194"/>
      <c r="G102" s="194"/>
      <c r="H102" s="195"/>
      <c r="I102" s="124"/>
      <c r="J102" s="193" t="str">
        <f>ROUND(W65,2)&amp;" kN/m2"</f>
        <v>-0.34 kN/m2</v>
      </c>
      <c r="K102" s="194"/>
      <c r="L102" s="194"/>
      <c r="M102" s="195"/>
      <c r="N102" s="124"/>
      <c r="O102" s="124"/>
      <c r="P102" s="124"/>
      <c r="Q102" s="206"/>
      <c r="R102" s="196" t="str">
        <f>ROUND(O65,2)&amp;" kN/m2"</f>
        <v>-1.14 kN/m2</v>
      </c>
      <c r="S102" s="197"/>
      <c r="T102" s="198"/>
      <c r="U102" s="196" t="str">
        <f>IFERROR(ROUND(Q65,2)&amp;" kN/m2","-")</f>
        <v>-0.68 kN/m2</v>
      </c>
      <c r="V102" s="197"/>
      <c r="W102" s="198"/>
      <c r="X102" s="196" t="str">
        <f>IFERROR(ROUND(S65,2)&amp;" kN/m2","-")</f>
        <v>-</v>
      </c>
      <c r="Y102" s="197"/>
      <c r="Z102" s="198"/>
      <c r="AA102" s="125"/>
      <c r="AB102" s="1"/>
    </row>
    <row r="103" spans="2:36" ht="18" customHeight="1">
      <c r="B103" s="1"/>
      <c r="C103" s="123"/>
      <c r="D103" s="202"/>
      <c r="E103" s="165"/>
      <c r="F103" s="166"/>
      <c r="G103" s="166"/>
      <c r="H103" s="167"/>
      <c r="I103" s="124"/>
      <c r="J103" s="165"/>
      <c r="K103" s="166"/>
      <c r="L103" s="166"/>
      <c r="M103" s="167"/>
      <c r="N103" s="124"/>
      <c r="O103" s="124"/>
      <c r="P103" s="124"/>
      <c r="Q103" s="206"/>
      <c r="R103" s="171"/>
      <c r="S103" s="172"/>
      <c r="T103" s="173"/>
      <c r="U103" s="171"/>
      <c r="V103" s="172"/>
      <c r="W103" s="173"/>
      <c r="X103" s="171"/>
      <c r="Y103" s="172"/>
      <c r="Z103" s="173"/>
      <c r="AA103" s="125"/>
      <c r="AB103" s="1"/>
    </row>
    <row r="104" spans="2:36" ht="18" customHeight="1">
      <c r="B104" s="1"/>
      <c r="C104" s="123"/>
      <c r="D104" s="124"/>
      <c r="E104" s="187"/>
      <c r="F104" s="187"/>
      <c r="G104" s="187"/>
      <c r="H104" s="187"/>
      <c r="I104" s="126"/>
      <c r="J104" s="187"/>
      <c r="K104" s="187"/>
      <c r="L104" s="187"/>
      <c r="M104" s="187"/>
      <c r="N104" s="124"/>
      <c r="O104" s="124"/>
      <c r="P104" s="124"/>
      <c r="Q104" s="124"/>
      <c r="R104" s="188"/>
      <c r="S104" s="188"/>
      <c r="T104" s="188"/>
      <c r="U104" s="188"/>
      <c r="V104" s="188"/>
      <c r="W104" s="188"/>
      <c r="X104" s="188"/>
      <c r="Y104" s="188"/>
      <c r="Z104" s="188"/>
      <c r="AA104" s="125"/>
      <c r="AB104" s="1"/>
    </row>
    <row r="105" spans="2:36" ht="18" customHeight="1">
      <c r="B105" s="1"/>
      <c r="C105" s="123"/>
      <c r="D105" s="124"/>
      <c r="E105" s="189" t="str">
        <f>VLOOKUP(37,$AX$9:$BA$69,1+MATCH($AD$9,$AY$8:$BA$8,0),FALSE)</f>
        <v>WINDWARD WALL / MẶT ĐÓN GIÓ</v>
      </c>
      <c r="F105" s="189"/>
      <c r="G105" s="189"/>
      <c r="H105" s="189"/>
      <c r="I105" s="126"/>
      <c r="J105" s="189" t="str">
        <f>VLOOKUP(38,$AX$9:$BA$69,1+MATCH($AD$9,$AY$8:$BA$8,0),FALSE)</f>
        <v>LEEWARD WALL / MẶT KHUẤT GIÓ</v>
      </c>
      <c r="K105" s="189"/>
      <c r="L105" s="189"/>
      <c r="M105" s="189"/>
      <c r="N105" s="124"/>
      <c r="O105" s="124"/>
      <c r="P105" s="124"/>
      <c r="Q105" s="124"/>
      <c r="R105" s="191" t="str">
        <f>VLOOKUP(39,$AX$9:$BA$69,1+MATCH($AD$9,$AY$8:$BA$8,0),FALSE)</f>
        <v>SIDE WALL / MẶT BÊN</v>
      </c>
      <c r="S105" s="191"/>
      <c r="T105" s="191"/>
      <c r="U105" s="191"/>
      <c r="V105" s="191"/>
      <c r="W105" s="191"/>
      <c r="X105" s="191"/>
      <c r="Y105" s="191"/>
      <c r="Z105" s="191"/>
      <c r="AA105" s="125"/>
      <c r="AB105" s="1"/>
    </row>
    <row r="106" spans="2:36" ht="18" customHeight="1">
      <c r="B106" s="1"/>
      <c r="C106" s="127"/>
      <c r="D106" s="128"/>
      <c r="E106" s="190"/>
      <c r="F106" s="190"/>
      <c r="G106" s="190"/>
      <c r="H106" s="190"/>
      <c r="I106" s="128"/>
      <c r="J106" s="190"/>
      <c r="K106" s="190"/>
      <c r="L106" s="190"/>
      <c r="M106" s="190"/>
      <c r="N106" s="128"/>
      <c r="O106" s="128"/>
      <c r="P106" s="128"/>
      <c r="Q106" s="128"/>
      <c r="R106" s="192"/>
      <c r="S106" s="192"/>
      <c r="T106" s="192"/>
      <c r="U106" s="192"/>
      <c r="V106" s="192"/>
      <c r="W106" s="192"/>
      <c r="X106" s="192"/>
      <c r="Y106" s="192"/>
      <c r="Z106" s="192"/>
      <c r="AA106" s="129"/>
      <c r="AB106" s="1"/>
    </row>
    <row r="107" spans="2:36" ht="18" customHeight="1">
      <c r="B107" s="1"/>
      <c r="C107" s="113"/>
      <c r="D107" s="114"/>
      <c r="E107" s="114"/>
      <c r="F107" s="114"/>
      <c r="G107" s="114"/>
      <c r="H107" s="114"/>
      <c r="I107" s="114"/>
      <c r="J107" s="114"/>
      <c r="K107" s="114"/>
      <c r="L107" s="114"/>
      <c r="M107" s="114"/>
      <c r="N107" s="114"/>
      <c r="O107" s="114"/>
      <c r="P107" s="114"/>
      <c r="Q107" s="114"/>
      <c r="R107" s="114"/>
      <c r="S107" s="114"/>
      <c r="T107" s="114"/>
      <c r="U107" s="114"/>
      <c r="V107" s="114"/>
      <c r="W107" s="114"/>
      <c r="X107" s="114"/>
      <c r="Y107" s="114"/>
      <c r="Z107" s="114"/>
      <c r="AA107" s="115"/>
      <c r="AB107" s="1"/>
      <c r="AD107" s="177" t="s">
        <v>296</v>
      </c>
      <c r="AE107" s="178"/>
      <c r="AF107" s="178"/>
      <c r="AG107" s="178"/>
      <c r="AH107" s="178"/>
      <c r="AI107" s="178"/>
      <c r="AJ107" s="179"/>
    </row>
    <row r="108" spans="2:36" ht="18" customHeight="1">
      <c r="B108" s="1"/>
      <c r="C108" s="116" t="str">
        <f>"- Bề rộng truyền tải của cột:"</f>
        <v>- Bề rộng truyền tải của cột:</v>
      </c>
      <c r="D108" s="1"/>
      <c r="E108" s="1"/>
      <c r="F108" s="1"/>
      <c r="G108" s="1"/>
      <c r="H108" s="1"/>
      <c r="I108" s="1"/>
      <c r="J108" s="349">
        <v>7</v>
      </c>
      <c r="K108" s="349"/>
      <c r="L108" s="1" t="s">
        <v>163</v>
      </c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44"/>
      <c r="AB108" s="1"/>
      <c r="AD108" s="180"/>
      <c r="AE108" s="181"/>
      <c r="AF108" s="181"/>
      <c r="AG108" s="181"/>
      <c r="AH108" s="181"/>
      <c r="AI108" s="181"/>
      <c r="AJ108" s="182"/>
    </row>
    <row r="109" spans="2:36" ht="18" customHeight="1">
      <c r="B109" s="1"/>
      <c r="C109" s="14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44"/>
      <c r="AB109" s="1"/>
      <c r="AD109" s="180"/>
      <c r="AE109" s="181"/>
      <c r="AF109" s="181"/>
      <c r="AG109" s="181"/>
      <c r="AH109" s="181"/>
      <c r="AI109" s="181"/>
      <c r="AJ109" s="182"/>
    </row>
    <row r="110" spans="2:36" ht="18" customHeight="1">
      <c r="B110" s="1"/>
      <c r="C110" s="259" t="s">
        <v>277</v>
      </c>
      <c r="D110" s="260"/>
      <c r="E110" s="260"/>
      <c r="F110" s="260"/>
      <c r="G110" s="260"/>
      <c r="H110" s="260"/>
      <c r="I110" s="260"/>
      <c r="J110" s="260"/>
      <c r="K110" s="260"/>
      <c r="L110" s="260"/>
      <c r="M110" s="260"/>
      <c r="N110" s="260"/>
      <c r="O110" s="260"/>
      <c r="P110" s="260"/>
      <c r="Q110" s="260"/>
      <c r="R110" s="260"/>
      <c r="S110" s="260"/>
      <c r="T110" s="260"/>
      <c r="U110" s="260"/>
      <c r="V110" s="260"/>
      <c r="W110" s="260"/>
      <c r="X110" s="348"/>
      <c r="Y110" s="1"/>
      <c r="Z110" s="1"/>
      <c r="AA110" s="44"/>
      <c r="AB110" s="1"/>
      <c r="AD110" s="180"/>
      <c r="AE110" s="181"/>
      <c r="AF110" s="181"/>
      <c r="AG110" s="181"/>
      <c r="AH110" s="181"/>
      <c r="AI110" s="181"/>
      <c r="AJ110" s="182"/>
    </row>
    <row r="111" spans="2:36" ht="18" customHeight="1">
      <c r="B111" s="1"/>
      <c r="C111" s="259"/>
      <c r="D111" s="260"/>
      <c r="E111" s="259" t="str">
        <f>VLOOKUP(48,$AX$9:$BA$69,1+MATCH($AD$9,$AY$8:$BA$8,0),FALSE)</f>
        <v>DIRECTION X + / PHƯƠNG X +</v>
      </c>
      <c r="F111" s="260"/>
      <c r="G111" s="260"/>
      <c r="H111" s="260"/>
      <c r="I111" s="260"/>
      <c r="J111" s="260"/>
      <c r="K111" s="260"/>
      <c r="L111" s="260"/>
      <c r="M111" s="260"/>
      <c r="N111" s="261"/>
      <c r="O111" s="259" t="str">
        <f>VLOOKUP(51,$AX$9:$BA$69,1+MATCH($AD$9,$AY$8:$BA$8,0),FALSE)</f>
        <v>DIRECTION X - / PHƯƠNG X -</v>
      </c>
      <c r="P111" s="260"/>
      <c r="Q111" s="260"/>
      <c r="R111" s="260"/>
      <c r="S111" s="260"/>
      <c r="T111" s="260"/>
      <c r="U111" s="260"/>
      <c r="V111" s="260"/>
      <c r="W111" s="260"/>
      <c r="X111" s="348"/>
      <c r="Y111" s="1"/>
      <c r="Z111" s="1"/>
      <c r="AA111" s="44"/>
      <c r="AB111" s="1"/>
      <c r="AD111" s="180"/>
      <c r="AE111" s="181"/>
      <c r="AF111" s="181"/>
      <c r="AG111" s="181"/>
      <c r="AH111" s="181"/>
      <c r="AI111" s="181"/>
      <c r="AJ111" s="182"/>
    </row>
    <row r="112" spans="2:36" ht="18" customHeight="1">
      <c r="B112" s="1"/>
      <c r="C112" s="343" t="s">
        <v>54</v>
      </c>
      <c r="D112" s="239"/>
      <c r="E112" s="244" t="s">
        <v>15</v>
      </c>
      <c r="F112" s="239"/>
      <c r="G112" s="239" t="s">
        <v>1</v>
      </c>
      <c r="H112" s="239"/>
      <c r="I112" s="239" t="s">
        <v>0</v>
      </c>
      <c r="J112" s="239"/>
      <c r="K112" s="251" t="s">
        <v>5</v>
      </c>
      <c r="L112" s="239"/>
      <c r="M112" s="239" t="s">
        <v>22</v>
      </c>
      <c r="N112" s="240"/>
      <c r="O112" s="244" t="s">
        <v>15</v>
      </c>
      <c r="P112" s="239"/>
      <c r="Q112" s="239" t="s">
        <v>1</v>
      </c>
      <c r="R112" s="239"/>
      <c r="S112" s="239" t="s">
        <v>0</v>
      </c>
      <c r="T112" s="239"/>
      <c r="U112" s="251" t="s">
        <v>5</v>
      </c>
      <c r="V112" s="239"/>
      <c r="W112" s="239" t="s">
        <v>22</v>
      </c>
      <c r="X112" s="342"/>
      <c r="Y112" s="1"/>
      <c r="Z112" s="1"/>
      <c r="AA112" s="44"/>
      <c r="AB112" s="1"/>
      <c r="AD112" s="180"/>
      <c r="AE112" s="181"/>
      <c r="AF112" s="181"/>
      <c r="AG112" s="181"/>
      <c r="AH112" s="181"/>
      <c r="AI112" s="181"/>
      <c r="AJ112" s="182"/>
    </row>
    <row r="113" spans="2:36" ht="18" customHeight="1">
      <c r="B113" s="1"/>
      <c r="C113" s="159" t="str">
        <f>C53</f>
        <v>Case 1</v>
      </c>
      <c r="D113" s="174" t="s">
        <v>276</v>
      </c>
      <c r="E113" s="253">
        <f>IFERROR($J$108*E53,"-")</f>
        <v>-11.139118608129984</v>
      </c>
      <c r="F113" s="236"/>
      <c r="G113" s="236">
        <f t="shared" ref="G113" si="16">IFERROR($J$108*G53,"-")</f>
        <v>-7.9565132915214161</v>
      </c>
      <c r="H113" s="236"/>
      <c r="I113" s="236">
        <f t="shared" ref="I113" si="17">IFERROR($J$108*I53,"-")</f>
        <v>-5.5695593040649918</v>
      </c>
      <c r="J113" s="236"/>
      <c r="K113" s="236">
        <f t="shared" ref="K113" si="18">IFERROR($J$108*K53,"-")</f>
        <v>3.9782566457607071</v>
      </c>
      <c r="L113" s="236"/>
      <c r="M113" s="236">
        <f t="shared" ref="M113" si="19">IFERROR($J$108*M53,"-")</f>
        <v>-3.9782566457607089</v>
      </c>
      <c r="N113" s="254"/>
      <c r="O113" s="253">
        <f t="shared" ref="O113" si="20">IFERROR($J$108*O53,"-")</f>
        <v>-11.139118608129984</v>
      </c>
      <c r="P113" s="236"/>
      <c r="Q113" s="236">
        <f t="shared" ref="Q113" si="21">IFERROR($J$108*Q53,"-")</f>
        <v>-7.9565132915214161</v>
      </c>
      <c r="R113" s="236"/>
      <c r="S113" s="236">
        <f t="shared" ref="S113" si="22">IFERROR($J$108*S53,"-")</f>
        <v>-5.5695593040649918</v>
      </c>
      <c r="T113" s="236"/>
      <c r="U113" s="236">
        <f t="shared" ref="U113" si="23">IFERROR($J$108*U53,"-")</f>
        <v>3.9782566457607071</v>
      </c>
      <c r="V113" s="236"/>
      <c r="W113" s="236">
        <f t="shared" ref="W113" si="24">IFERROR($J$108*W53,"-")</f>
        <v>-3.9782566457607089</v>
      </c>
      <c r="X113" s="341"/>
      <c r="Y113" s="1"/>
      <c r="Z113" s="1"/>
      <c r="AA113" s="44"/>
      <c r="AB113" s="1"/>
      <c r="AD113" s="180"/>
      <c r="AE113" s="181"/>
      <c r="AF113" s="181"/>
      <c r="AG113" s="181"/>
      <c r="AH113" s="181"/>
      <c r="AI113" s="181"/>
      <c r="AJ113" s="182"/>
    </row>
    <row r="114" spans="2:36" ht="18" customHeight="1">
      <c r="B114" s="1"/>
      <c r="C114" s="163" t="str">
        <f>C54</f>
        <v>Case 2</v>
      </c>
      <c r="D114" s="175" t="s">
        <v>276</v>
      </c>
      <c r="E114" s="231">
        <f t="shared" ref="E114" si="25">IFERROR($J$108*E54,"-")</f>
        <v>-7.9565132915214178</v>
      </c>
      <c r="F114" s="232"/>
      <c r="G114" s="232">
        <f t="shared" ref="G114" si="26">IFERROR($J$108*G54,"-")</f>
        <v>-4.7739079749128503</v>
      </c>
      <c r="H114" s="232"/>
      <c r="I114" s="232">
        <f t="shared" ref="I114" si="27">IFERROR($J$108*I54,"-")</f>
        <v>-2.3869539874564247</v>
      </c>
      <c r="J114" s="232"/>
      <c r="K114" s="232">
        <f t="shared" ref="K114" si="28">IFERROR($J$108*K54,"-")</f>
        <v>7.1608619623692746</v>
      </c>
      <c r="L114" s="232"/>
      <c r="M114" s="232">
        <f t="shared" ref="M114" si="29">IFERROR($J$108*M54,"-")</f>
        <v>-0.79565132915214187</v>
      </c>
      <c r="N114" s="252"/>
      <c r="O114" s="231">
        <f t="shared" ref="O114" si="30">IFERROR($J$108*O54,"-")</f>
        <v>-7.9565132915214178</v>
      </c>
      <c r="P114" s="232"/>
      <c r="Q114" s="232">
        <f t="shared" ref="Q114" si="31">IFERROR($J$108*Q54,"-")</f>
        <v>-4.7739079749128503</v>
      </c>
      <c r="R114" s="232"/>
      <c r="S114" s="232">
        <f t="shared" ref="S114" si="32">IFERROR($J$108*S54,"-")</f>
        <v>-2.3869539874564247</v>
      </c>
      <c r="T114" s="232"/>
      <c r="U114" s="232">
        <f t="shared" ref="U114" si="33">IFERROR($J$108*U54,"-")</f>
        <v>7.1608619623692746</v>
      </c>
      <c r="V114" s="232"/>
      <c r="W114" s="232">
        <f t="shared" ref="W114" si="34">IFERROR($J$108*W54,"-")</f>
        <v>-0.79565132915214187</v>
      </c>
      <c r="X114" s="340"/>
      <c r="Y114" s="1"/>
      <c r="Z114" s="1"/>
      <c r="AA114" s="44"/>
      <c r="AB114" s="1"/>
      <c r="AD114" s="180"/>
      <c r="AE114" s="181"/>
      <c r="AF114" s="181"/>
      <c r="AG114" s="181"/>
      <c r="AH114" s="181"/>
      <c r="AI114" s="181"/>
      <c r="AJ114" s="182"/>
    </row>
    <row r="115" spans="2:36" ht="18" customHeight="1">
      <c r="B115" s="1"/>
      <c r="C115" s="259"/>
      <c r="D115" s="260"/>
      <c r="E115" s="259" t="str">
        <f>VLOOKUP(49,$AX$9:$BA$69,1+MATCH($AD$9,$AY$8:$BA$8,0),FALSE)</f>
        <v>DIRECTION Y + / PHƯƠNG Y +</v>
      </c>
      <c r="F115" s="260"/>
      <c r="G115" s="260"/>
      <c r="H115" s="260"/>
      <c r="I115" s="260"/>
      <c r="J115" s="260"/>
      <c r="K115" s="260"/>
      <c r="L115" s="260"/>
      <c r="M115" s="260"/>
      <c r="N115" s="261"/>
      <c r="O115" s="259" t="str">
        <f>VLOOKUP(52,$AX$9:$BA$69,1+MATCH($AD$9,$AY$8:$BA$8,0),FALSE)</f>
        <v>DIRECTION Y - / PHƯƠNG Y -</v>
      </c>
      <c r="P115" s="260"/>
      <c r="Q115" s="260"/>
      <c r="R115" s="260"/>
      <c r="S115" s="260"/>
      <c r="T115" s="260"/>
      <c r="U115" s="260"/>
      <c r="V115" s="260"/>
      <c r="W115" s="260"/>
      <c r="X115" s="348"/>
      <c r="Y115" s="1"/>
      <c r="Z115" s="1"/>
      <c r="AA115" s="44"/>
      <c r="AB115" s="1"/>
      <c r="AD115" s="180"/>
      <c r="AE115" s="181"/>
      <c r="AF115" s="181"/>
      <c r="AG115" s="181"/>
      <c r="AH115" s="181"/>
      <c r="AI115" s="181"/>
      <c r="AJ115" s="182"/>
    </row>
    <row r="116" spans="2:36" ht="18" customHeight="1">
      <c r="B116" s="1"/>
      <c r="C116" s="343" t="s">
        <v>54</v>
      </c>
      <c r="D116" s="239"/>
      <c r="E116" s="244" t="s">
        <v>15</v>
      </c>
      <c r="F116" s="239"/>
      <c r="G116" s="239" t="s">
        <v>1</v>
      </c>
      <c r="H116" s="239"/>
      <c r="I116" s="239" t="s">
        <v>0</v>
      </c>
      <c r="J116" s="239"/>
      <c r="K116" s="251" t="s">
        <v>5</v>
      </c>
      <c r="L116" s="239"/>
      <c r="M116" s="239" t="s">
        <v>22</v>
      </c>
      <c r="N116" s="240"/>
      <c r="O116" s="244" t="s">
        <v>15</v>
      </c>
      <c r="P116" s="239"/>
      <c r="Q116" s="239" t="s">
        <v>1</v>
      </c>
      <c r="R116" s="239"/>
      <c r="S116" s="239" t="s">
        <v>0</v>
      </c>
      <c r="T116" s="239"/>
      <c r="U116" s="251" t="s">
        <v>5</v>
      </c>
      <c r="V116" s="239"/>
      <c r="W116" s="239" t="s">
        <v>22</v>
      </c>
      <c r="X116" s="342"/>
      <c r="Y116" s="1"/>
      <c r="Z116" s="1"/>
      <c r="AA116" s="44"/>
      <c r="AB116" s="1"/>
      <c r="AD116" s="180"/>
      <c r="AE116" s="181"/>
      <c r="AF116" s="181"/>
      <c r="AG116" s="181"/>
      <c r="AH116" s="181"/>
      <c r="AI116" s="181"/>
      <c r="AJ116" s="182"/>
    </row>
    <row r="117" spans="2:36" ht="18" customHeight="1">
      <c r="B117" s="1"/>
      <c r="C117" s="159" t="str">
        <f>C113</f>
        <v>Case 1</v>
      </c>
      <c r="D117" s="174" t="s">
        <v>276</v>
      </c>
      <c r="E117" s="253">
        <f>IFERROR($J$108*E64,"-")</f>
        <v>-11.139118608129984</v>
      </c>
      <c r="F117" s="236"/>
      <c r="G117" s="236">
        <f t="shared" ref="G117" si="35">IFERROR($J$108*G64,"-")</f>
        <v>-7.9565132915214161</v>
      </c>
      <c r="H117" s="236"/>
      <c r="I117" s="236" t="str">
        <f t="shared" ref="I117" si="36">IFERROR($J$108*I64,"-")</f>
        <v>-</v>
      </c>
      <c r="J117" s="236"/>
      <c r="K117" s="236">
        <f t="shared" ref="K117" si="37">IFERROR($J$108*K64,"-")</f>
        <v>4.7739079749128503</v>
      </c>
      <c r="L117" s="236"/>
      <c r="M117" s="236">
        <f t="shared" ref="M117" si="38">IFERROR($J$108*M64,"-")</f>
        <v>-5.5695593040649918</v>
      </c>
      <c r="N117" s="254"/>
      <c r="O117" s="253">
        <f t="shared" ref="O117" si="39">IFERROR($J$108*O64,"-")</f>
        <v>-11.139118608129984</v>
      </c>
      <c r="P117" s="236"/>
      <c r="Q117" s="236">
        <f t="shared" ref="Q117" si="40">IFERROR($J$108*Q64,"-")</f>
        <v>-7.9565132915214161</v>
      </c>
      <c r="R117" s="236"/>
      <c r="S117" s="236" t="str">
        <f t="shared" ref="S117" si="41">IFERROR($J$108*S64,"-")</f>
        <v>-</v>
      </c>
      <c r="T117" s="236"/>
      <c r="U117" s="236">
        <f t="shared" ref="U117" si="42">IFERROR($J$108*U64,"-")</f>
        <v>4.7739079749128503</v>
      </c>
      <c r="V117" s="236"/>
      <c r="W117" s="236">
        <f t="shared" ref="W117" si="43">IFERROR($J$108*W64,"-")</f>
        <v>-5.5695593040649918</v>
      </c>
      <c r="X117" s="341"/>
      <c r="Y117" s="1"/>
      <c r="Z117" s="1"/>
      <c r="AA117" s="44"/>
      <c r="AB117" s="1"/>
      <c r="AD117" s="180"/>
      <c r="AE117" s="181"/>
      <c r="AF117" s="181"/>
      <c r="AG117" s="181"/>
      <c r="AH117" s="181"/>
      <c r="AI117" s="181"/>
      <c r="AJ117" s="182"/>
    </row>
    <row r="118" spans="2:36" ht="18" customHeight="1">
      <c r="B118" s="1"/>
      <c r="C118" s="163" t="str">
        <f>C114</f>
        <v>Case 2</v>
      </c>
      <c r="D118" s="175" t="s">
        <v>276</v>
      </c>
      <c r="E118" s="231">
        <f t="shared" ref="E118" si="44">IFERROR($J$108*E65,"-")</f>
        <v>-7.9565132915214178</v>
      </c>
      <c r="F118" s="232"/>
      <c r="G118" s="232">
        <f t="shared" ref="G118" si="45">IFERROR($J$108*G65,"-")</f>
        <v>-4.7739079749128503</v>
      </c>
      <c r="H118" s="232"/>
      <c r="I118" s="232" t="str">
        <f t="shared" ref="I118" si="46">IFERROR($J$108*I65,"-")</f>
        <v>-</v>
      </c>
      <c r="J118" s="232"/>
      <c r="K118" s="232">
        <f t="shared" ref="K118" si="47">IFERROR($J$108*K65,"-")</f>
        <v>7.9565132915214161</v>
      </c>
      <c r="L118" s="232"/>
      <c r="M118" s="232">
        <f t="shared" ref="M118" si="48">IFERROR($J$108*M65,"-")</f>
        <v>-2.3869539874564247</v>
      </c>
      <c r="N118" s="252"/>
      <c r="O118" s="231">
        <f t="shared" ref="O118" si="49">IFERROR($J$108*O65,"-")</f>
        <v>-7.9565132915214178</v>
      </c>
      <c r="P118" s="232"/>
      <c r="Q118" s="232">
        <f t="shared" ref="Q118" si="50">IFERROR($J$108*Q65,"-")</f>
        <v>-4.7739079749128503</v>
      </c>
      <c r="R118" s="232"/>
      <c r="S118" s="232" t="str">
        <f t="shared" ref="S118" si="51">IFERROR($J$108*S65,"-")</f>
        <v>-</v>
      </c>
      <c r="T118" s="232"/>
      <c r="U118" s="232">
        <f t="shared" ref="U118" si="52">IFERROR($J$108*U65,"-")</f>
        <v>7.9565132915214161</v>
      </c>
      <c r="V118" s="232"/>
      <c r="W118" s="232">
        <f t="shared" ref="W118" si="53">IFERROR($J$108*W65,"-")</f>
        <v>-2.3869539874564247</v>
      </c>
      <c r="X118" s="340"/>
      <c r="Y118" s="42"/>
      <c r="Z118" s="42"/>
      <c r="AA118" s="45"/>
      <c r="AB118" s="1"/>
      <c r="AD118" s="183"/>
      <c r="AE118" s="184"/>
      <c r="AF118" s="184"/>
      <c r="AG118" s="184"/>
      <c r="AH118" s="184"/>
      <c r="AI118" s="184"/>
      <c r="AJ118" s="185"/>
    </row>
    <row r="119" spans="2:36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</row>
    <row r="120" spans="2:36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</row>
    <row r="121" spans="2:36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</row>
    <row r="122" spans="2:36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</row>
    <row r="123" spans="2:36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</row>
    <row r="124" spans="2:36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</row>
    <row r="125" spans="2:36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</row>
    <row r="126" spans="2:36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</row>
    <row r="127" spans="2:36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</row>
    <row r="128" spans="2:36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</row>
    <row r="129" spans="2:28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</row>
  </sheetData>
  <mergeCells count="501">
    <mergeCell ref="AD49:AE49"/>
    <mergeCell ref="R68:T68"/>
    <mergeCell ref="R78:T78"/>
    <mergeCell ref="AH50:AH52"/>
    <mergeCell ref="AG50:AG52"/>
    <mergeCell ref="AF50:AF52"/>
    <mergeCell ref="AD56:AE56"/>
    <mergeCell ref="AF57:AF59"/>
    <mergeCell ref="AG57:AG59"/>
    <mergeCell ref="AH57:AH59"/>
    <mergeCell ref="U68:W68"/>
    <mergeCell ref="U78:W78"/>
    <mergeCell ref="AD41:AD42"/>
    <mergeCell ref="AG41:AJ41"/>
    <mergeCell ref="AG42:AJ42"/>
    <mergeCell ref="AD37:AF37"/>
    <mergeCell ref="AG37:AJ37"/>
    <mergeCell ref="C115:D115"/>
    <mergeCell ref="E115:N115"/>
    <mergeCell ref="O115:X115"/>
    <mergeCell ref="J108:K108"/>
    <mergeCell ref="C110:X110"/>
    <mergeCell ref="C111:D111"/>
    <mergeCell ref="E111:N111"/>
    <mergeCell ref="O111:X111"/>
    <mergeCell ref="C112:D112"/>
    <mergeCell ref="E112:F112"/>
    <mergeCell ref="G112:H112"/>
    <mergeCell ref="I112:J112"/>
    <mergeCell ref="K112:L112"/>
    <mergeCell ref="M112:N112"/>
    <mergeCell ref="O112:P112"/>
    <mergeCell ref="Q112:R112"/>
    <mergeCell ref="S112:T112"/>
    <mergeCell ref="U112:V112"/>
    <mergeCell ref="W112:X112"/>
    <mergeCell ref="C116:D116"/>
    <mergeCell ref="E116:F116"/>
    <mergeCell ref="G116:H116"/>
    <mergeCell ref="I116:J116"/>
    <mergeCell ref="K116:L116"/>
    <mergeCell ref="M116:N116"/>
    <mergeCell ref="O116:P116"/>
    <mergeCell ref="Q116:R116"/>
    <mergeCell ref="S116:T116"/>
    <mergeCell ref="U114:V114"/>
    <mergeCell ref="W114:X114"/>
    <mergeCell ref="E113:F113"/>
    <mergeCell ref="G113:H113"/>
    <mergeCell ref="I113:J113"/>
    <mergeCell ref="K113:L113"/>
    <mergeCell ref="M113:N113"/>
    <mergeCell ref="O113:P113"/>
    <mergeCell ref="Q113:R113"/>
    <mergeCell ref="S113:T113"/>
    <mergeCell ref="U113:V113"/>
    <mergeCell ref="W113:X113"/>
    <mergeCell ref="E114:F114"/>
    <mergeCell ref="G114:H114"/>
    <mergeCell ref="I114:J114"/>
    <mergeCell ref="K114:L114"/>
    <mergeCell ref="M114:N114"/>
    <mergeCell ref="O114:P114"/>
    <mergeCell ref="Q114:R114"/>
    <mergeCell ref="S64:T64"/>
    <mergeCell ref="Q117:R117"/>
    <mergeCell ref="S117:T117"/>
    <mergeCell ref="U117:V117"/>
    <mergeCell ref="W118:X118"/>
    <mergeCell ref="U118:V118"/>
    <mergeCell ref="E118:F118"/>
    <mergeCell ref="G118:H118"/>
    <mergeCell ref="I118:J118"/>
    <mergeCell ref="K118:L118"/>
    <mergeCell ref="M118:N118"/>
    <mergeCell ref="O118:P118"/>
    <mergeCell ref="Q118:R118"/>
    <mergeCell ref="S118:T118"/>
    <mergeCell ref="W117:X117"/>
    <mergeCell ref="E117:F117"/>
    <mergeCell ref="G117:H117"/>
    <mergeCell ref="I117:J117"/>
    <mergeCell ref="K117:L117"/>
    <mergeCell ref="M117:N117"/>
    <mergeCell ref="O117:P117"/>
    <mergeCell ref="U116:V116"/>
    <mergeCell ref="W116:X116"/>
    <mergeCell ref="S114:T114"/>
    <mergeCell ref="AD38:AD39"/>
    <mergeCell ref="E60:F60"/>
    <mergeCell ref="G60:H60"/>
    <mergeCell ref="I60:J60"/>
    <mergeCell ref="K60:L60"/>
    <mergeCell ref="M64:N64"/>
    <mergeCell ref="O54:P54"/>
    <mergeCell ref="Q54:R54"/>
    <mergeCell ref="S54:T54"/>
    <mergeCell ref="U54:V54"/>
    <mergeCell ref="M62:N62"/>
    <mergeCell ref="K63:L63"/>
    <mergeCell ref="M63:N63"/>
    <mergeCell ref="O63:P63"/>
    <mergeCell ref="Q63:R63"/>
    <mergeCell ref="E62:F62"/>
    <mergeCell ref="G62:H62"/>
    <mergeCell ref="I62:J62"/>
    <mergeCell ref="K62:L62"/>
    <mergeCell ref="E61:F61"/>
    <mergeCell ref="G61:H61"/>
    <mergeCell ref="I61:J61"/>
    <mergeCell ref="K61:L61"/>
    <mergeCell ref="Q62:R62"/>
    <mergeCell ref="C18:L18"/>
    <mergeCell ref="AE28:AG28"/>
    <mergeCell ref="M48:N48"/>
    <mergeCell ref="O39:P39"/>
    <mergeCell ref="Q38:R38"/>
    <mergeCell ref="Q39:R39"/>
    <mergeCell ref="S38:T38"/>
    <mergeCell ref="S39:T39"/>
    <mergeCell ref="C44:X44"/>
    <mergeCell ref="C38:F39"/>
    <mergeCell ref="C41:F42"/>
    <mergeCell ref="E48:F48"/>
    <mergeCell ref="G48:H48"/>
    <mergeCell ref="G47:H47"/>
    <mergeCell ref="E47:F47"/>
    <mergeCell ref="M47:N47"/>
    <mergeCell ref="K47:L47"/>
    <mergeCell ref="I46:J46"/>
    <mergeCell ref="Z38:AA38"/>
    <mergeCell ref="Z39:AA39"/>
    <mergeCell ref="I48:J48"/>
    <mergeCell ref="I47:J47"/>
    <mergeCell ref="O47:P47"/>
    <mergeCell ref="Q47:R47"/>
    <mergeCell ref="C17:L17"/>
    <mergeCell ref="C47:D47"/>
    <mergeCell ref="V8:X10"/>
    <mergeCell ref="Y8:AA10"/>
    <mergeCell ref="C8:U10"/>
    <mergeCell ref="C20:L20"/>
    <mergeCell ref="L29:M29"/>
    <mergeCell ref="C29:H29"/>
    <mergeCell ref="G16:I16"/>
    <mergeCell ref="J16:N16"/>
    <mergeCell ref="J23:K23"/>
    <mergeCell ref="J24:K24"/>
    <mergeCell ref="L26:M26"/>
    <mergeCell ref="N26:O26"/>
    <mergeCell ref="R26:S26"/>
    <mergeCell ref="P26:Q26"/>
    <mergeCell ref="C26:H26"/>
    <mergeCell ref="J27:K27"/>
    <mergeCell ref="J26:K26"/>
    <mergeCell ref="C16:F16"/>
    <mergeCell ref="C21:N21"/>
    <mergeCell ref="C15:F15"/>
    <mergeCell ref="M22:N22"/>
    <mergeCell ref="C22:D22"/>
    <mergeCell ref="M38:N38"/>
    <mergeCell ref="M18:N18"/>
    <mergeCell ref="AD9:AD10"/>
    <mergeCell ref="P30:Y30"/>
    <mergeCell ref="M53:N53"/>
    <mergeCell ref="M49:N49"/>
    <mergeCell ref="M50:N50"/>
    <mergeCell ref="E51:F51"/>
    <mergeCell ref="G51:H51"/>
    <mergeCell ref="I51:J51"/>
    <mergeCell ref="K53:L53"/>
    <mergeCell ref="K50:L50"/>
    <mergeCell ref="C14:N14"/>
    <mergeCell ref="K38:L38"/>
    <mergeCell ref="M39:N39"/>
    <mergeCell ref="O38:P38"/>
    <mergeCell ref="M20:N20"/>
    <mergeCell ref="I39:J39"/>
    <mergeCell ref="G50:H50"/>
    <mergeCell ref="I50:J50"/>
    <mergeCell ref="K49:L49"/>
    <mergeCell ref="L27:M27"/>
    <mergeCell ref="C45:D45"/>
    <mergeCell ref="C46:D46"/>
    <mergeCell ref="X91:Z91"/>
    <mergeCell ref="M17:N17"/>
    <mergeCell ref="AK18:AP18"/>
    <mergeCell ref="AL19:AP19"/>
    <mergeCell ref="O41:P41"/>
    <mergeCell ref="Q41:R41"/>
    <mergeCell ref="S41:T41"/>
    <mergeCell ref="U41:V41"/>
    <mergeCell ref="AK19:AK20"/>
    <mergeCell ref="O42:P42"/>
    <mergeCell ref="Q42:R42"/>
    <mergeCell ref="S42:T42"/>
    <mergeCell ref="U42:V42"/>
    <mergeCell ref="C37:AA37"/>
    <mergeCell ref="I38:J38"/>
    <mergeCell ref="C19:L19"/>
    <mergeCell ref="M19:N19"/>
    <mergeCell ref="E24:F24"/>
    <mergeCell ref="E23:F23"/>
    <mergeCell ref="G22:L22"/>
    <mergeCell ref="E22:F22"/>
    <mergeCell ref="L23:M23"/>
    <mergeCell ref="L24:M24"/>
    <mergeCell ref="K39:L39"/>
    <mergeCell ref="O64:P64"/>
    <mergeCell ref="G38:H38"/>
    <mergeCell ref="E90:H90"/>
    <mergeCell ref="J90:M90"/>
    <mergeCell ref="R90:T90"/>
    <mergeCell ref="U90:W90"/>
    <mergeCell ref="X90:Z90"/>
    <mergeCell ref="E84:H84"/>
    <mergeCell ref="J84:M84"/>
    <mergeCell ref="R84:T84"/>
    <mergeCell ref="U84:W84"/>
    <mergeCell ref="X84:Z84"/>
    <mergeCell ref="E85:H86"/>
    <mergeCell ref="J85:M86"/>
    <mergeCell ref="R85:Z86"/>
    <mergeCell ref="C87:AA87"/>
    <mergeCell ref="D89:D93"/>
    <mergeCell ref="Q89:Q93"/>
    <mergeCell ref="E89:H89"/>
    <mergeCell ref="J89:M89"/>
    <mergeCell ref="E91:H91"/>
    <mergeCell ref="J91:M91"/>
    <mergeCell ref="R91:T91"/>
    <mergeCell ref="U91:W91"/>
    <mergeCell ref="O65:P65"/>
    <mergeCell ref="Q65:R65"/>
    <mergeCell ref="R72:T72"/>
    <mergeCell ref="E69:H69"/>
    <mergeCell ref="E70:H70"/>
    <mergeCell ref="E71:H71"/>
    <mergeCell ref="E72:H72"/>
    <mergeCell ref="J79:M79"/>
    <mergeCell ref="Q79:Q83"/>
    <mergeCell ref="E80:H80"/>
    <mergeCell ref="I65:J65"/>
    <mergeCell ref="K65:L65"/>
    <mergeCell ref="M65:N65"/>
    <mergeCell ref="I64:J64"/>
    <mergeCell ref="K64:L64"/>
    <mergeCell ref="E92:H92"/>
    <mergeCell ref="J69:M69"/>
    <mergeCell ref="J70:M70"/>
    <mergeCell ref="J71:M71"/>
    <mergeCell ref="J72:M72"/>
    <mergeCell ref="C58:D58"/>
    <mergeCell ref="E58:F58"/>
    <mergeCell ref="G58:H58"/>
    <mergeCell ref="I58:J58"/>
    <mergeCell ref="C48:D48"/>
    <mergeCell ref="O49:P49"/>
    <mergeCell ref="Q49:R49"/>
    <mergeCell ref="C56:D56"/>
    <mergeCell ref="E56:N56"/>
    <mergeCell ref="C57:D57"/>
    <mergeCell ref="O50:P50"/>
    <mergeCell ref="Q50:R50"/>
    <mergeCell ref="O52:P52"/>
    <mergeCell ref="E57:F57"/>
    <mergeCell ref="O51:P51"/>
    <mergeCell ref="Q51:R51"/>
    <mergeCell ref="M51:N51"/>
    <mergeCell ref="I52:J52"/>
    <mergeCell ref="G57:H57"/>
    <mergeCell ref="I57:J57"/>
    <mergeCell ref="K57:L57"/>
    <mergeCell ref="M57:N57"/>
    <mergeCell ref="O53:P53"/>
    <mergeCell ref="Q53:R53"/>
    <mergeCell ref="C67:AA67"/>
    <mergeCell ref="W65:X65"/>
    <mergeCell ref="W61:X61"/>
    <mergeCell ref="U65:V65"/>
    <mergeCell ref="U61:V61"/>
    <mergeCell ref="E63:F63"/>
    <mergeCell ref="G63:H63"/>
    <mergeCell ref="E65:F65"/>
    <mergeCell ref="G65:H65"/>
    <mergeCell ref="E64:F64"/>
    <mergeCell ref="G64:H64"/>
    <mergeCell ref="W63:X63"/>
    <mergeCell ref="U64:V64"/>
    <mergeCell ref="W64:X64"/>
    <mergeCell ref="U63:V63"/>
    <mergeCell ref="M61:N61"/>
    <mergeCell ref="S65:T65"/>
    <mergeCell ref="Q64:R64"/>
    <mergeCell ref="S63:T63"/>
    <mergeCell ref="S62:T62"/>
    <mergeCell ref="S61:T61"/>
    <mergeCell ref="I63:J63"/>
    <mergeCell ref="J28:K28"/>
    <mergeCell ref="J29:K29"/>
    <mergeCell ref="L28:M28"/>
    <mergeCell ref="U38:V38"/>
    <mergeCell ref="O57:P57"/>
    <mergeCell ref="Q57:R57"/>
    <mergeCell ref="O58:P58"/>
    <mergeCell ref="Q58:R58"/>
    <mergeCell ref="M60:N60"/>
    <mergeCell ref="S58:T58"/>
    <mergeCell ref="U58:V58"/>
    <mergeCell ref="S57:T57"/>
    <mergeCell ref="U57:V57"/>
    <mergeCell ref="K46:L46"/>
    <mergeCell ref="O56:X56"/>
    <mergeCell ref="S49:T49"/>
    <mergeCell ref="U49:V49"/>
    <mergeCell ref="C34:P35"/>
    <mergeCell ref="C31:V31"/>
    <mergeCell ref="Q59:R59"/>
    <mergeCell ref="E45:N45"/>
    <mergeCell ref="O45:X45"/>
    <mergeCell ref="E46:F46"/>
    <mergeCell ref="G46:H46"/>
    <mergeCell ref="Q61:R61"/>
    <mergeCell ref="O62:P62"/>
    <mergeCell ref="O48:P48"/>
    <mergeCell ref="Q48:R48"/>
    <mergeCell ref="W62:X62"/>
    <mergeCell ref="W57:X57"/>
    <mergeCell ref="U60:V60"/>
    <mergeCell ref="U62:V62"/>
    <mergeCell ref="S50:T50"/>
    <mergeCell ref="U50:V50"/>
    <mergeCell ref="W53:X53"/>
    <mergeCell ref="W54:X54"/>
    <mergeCell ref="S51:T51"/>
    <mergeCell ref="U51:V51"/>
    <mergeCell ref="W51:X51"/>
    <mergeCell ref="S53:T53"/>
    <mergeCell ref="S59:T59"/>
    <mergeCell ref="U59:V59"/>
    <mergeCell ref="W59:X59"/>
    <mergeCell ref="O59:P59"/>
    <mergeCell ref="W52:X52"/>
    <mergeCell ref="Q52:R52"/>
    <mergeCell ref="Q60:R60"/>
    <mergeCell ref="E53:F53"/>
    <mergeCell ref="G53:H53"/>
    <mergeCell ref="E52:F52"/>
    <mergeCell ref="K52:L52"/>
    <mergeCell ref="M52:N52"/>
    <mergeCell ref="K51:L51"/>
    <mergeCell ref="E50:F50"/>
    <mergeCell ref="G52:H52"/>
    <mergeCell ref="O61:P61"/>
    <mergeCell ref="W41:X41"/>
    <mergeCell ref="W42:X42"/>
    <mergeCell ref="W60:X60"/>
    <mergeCell ref="S60:T60"/>
    <mergeCell ref="S48:T48"/>
    <mergeCell ref="U48:V48"/>
    <mergeCell ref="W48:X48"/>
    <mergeCell ref="W58:X58"/>
    <mergeCell ref="S46:T46"/>
    <mergeCell ref="U46:V46"/>
    <mergeCell ref="W46:X46"/>
    <mergeCell ref="S47:T47"/>
    <mergeCell ref="U47:V47"/>
    <mergeCell ref="W47:X47"/>
    <mergeCell ref="W49:X49"/>
    <mergeCell ref="U53:V53"/>
    <mergeCell ref="W50:X50"/>
    <mergeCell ref="S52:T52"/>
    <mergeCell ref="O60:P60"/>
    <mergeCell ref="G23:H23"/>
    <mergeCell ref="G24:H24"/>
    <mergeCell ref="P29:Q29"/>
    <mergeCell ref="I53:J53"/>
    <mergeCell ref="Z41:AA41"/>
    <mergeCell ref="Z42:AA42"/>
    <mergeCell ref="I41:J41"/>
    <mergeCell ref="M46:N46"/>
    <mergeCell ref="K42:L42"/>
    <mergeCell ref="M42:N42"/>
    <mergeCell ref="W39:X39"/>
    <mergeCell ref="O46:P46"/>
    <mergeCell ref="Q46:R46"/>
    <mergeCell ref="R29:S29"/>
    <mergeCell ref="P27:Q27"/>
    <mergeCell ref="P28:Q28"/>
    <mergeCell ref="K48:L48"/>
    <mergeCell ref="R27:S27"/>
    <mergeCell ref="R28:S28"/>
    <mergeCell ref="U39:V39"/>
    <mergeCell ref="W38:X38"/>
    <mergeCell ref="U52:V52"/>
    <mergeCell ref="N27:O27"/>
    <mergeCell ref="N28:O28"/>
    <mergeCell ref="N29:O29"/>
    <mergeCell ref="K58:L58"/>
    <mergeCell ref="M58:N58"/>
    <mergeCell ref="C59:D59"/>
    <mergeCell ref="E59:F59"/>
    <mergeCell ref="G59:H59"/>
    <mergeCell ref="I59:J59"/>
    <mergeCell ref="K59:L59"/>
    <mergeCell ref="M59:N59"/>
    <mergeCell ref="G39:H39"/>
    <mergeCell ref="G41:H41"/>
    <mergeCell ref="G42:H42"/>
    <mergeCell ref="K41:L41"/>
    <mergeCell ref="M41:N41"/>
    <mergeCell ref="I42:J42"/>
    <mergeCell ref="E54:F54"/>
    <mergeCell ref="G54:H54"/>
    <mergeCell ref="I54:J54"/>
    <mergeCell ref="K54:L54"/>
    <mergeCell ref="E49:F49"/>
    <mergeCell ref="G49:H49"/>
    <mergeCell ref="I49:J49"/>
    <mergeCell ref="M54:N54"/>
    <mergeCell ref="U70:W70"/>
    <mergeCell ref="U71:W71"/>
    <mergeCell ref="U72:W72"/>
    <mergeCell ref="X70:Z70"/>
    <mergeCell ref="X71:Z71"/>
    <mergeCell ref="X72:Z72"/>
    <mergeCell ref="C77:AA77"/>
    <mergeCell ref="E75:H76"/>
    <mergeCell ref="J75:M76"/>
    <mergeCell ref="R75:Z76"/>
    <mergeCell ref="E74:H74"/>
    <mergeCell ref="J74:M74"/>
    <mergeCell ref="R74:T74"/>
    <mergeCell ref="U74:W74"/>
    <mergeCell ref="X74:Z74"/>
    <mergeCell ref="D69:D73"/>
    <mergeCell ref="R71:T71"/>
    <mergeCell ref="R70:T70"/>
    <mergeCell ref="Q69:Q73"/>
    <mergeCell ref="X80:Z80"/>
    <mergeCell ref="E81:H81"/>
    <mergeCell ref="J81:M81"/>
    <mergeCell ref="R81:T81"/>
    <mergeCell ref="U81:W81"/>
    <mergeCell ref="X81:Z81"/>
    <mergeCell ref="E82:H82"/>
    <mergeCell ref="J82:M82"/>
    <mergeCell ref="R82:T82"/>
    <mergeCell ref="U82:W82"/>
    <mergeCell ref="X82:Z82"/>
    <mergeCell ref="J80:M80"/>
    <mergeCell ref="R80:T80"/>
    <mergeCell ref="X100:Z100"/>
    <mergeCell ref="E101:H101"/>
    <mergeCell ref="J101:M101"/>
    <mergeCell ref="R101:T101"/>
    <mergeCell ref="U101:W101"/>
    <mergeCell ref="X101:Z101"/>
    <mergeCell ref="E102:H102"/>
    <mergeCell ref="J102:M102"/>
    <mergeCell ref="R102:T102"/>
    <mergeCell ref="U102:W102"/>
    <mergeCell ref="X102:Z102"/>
    <mergeCell ref="E79:H79"/>
    <mergeCell ref="D99:D103"/>
    <mergeCell ref="E99:H99"/>
    <mergeCell ref="J99:M99"/>
    <mergeCell ref="Q99:Q103"/>
    <mergeCell ref="E100:H100"/>
    <mergeCell ref="J100:M100"/>
    <mergeCell ref="R100:T100"/>
    <mergeCell ref="U100:W100"/>
    <mergeCell ref="U80:W80"/>
    <mergeCell ref="R88:T88"/>
    <mergeCell ref="R98:T98"/>
    <mergeCell ref="U88:W88"/>
    <mergeCell ref="U98:W98"/>
    <mergeCell ref="AD107:AJ118"/>
    <mergeCell ref="AH8:AL11"/>
    <mergeCell ref="E104:H104"/>
    <mergeCell ref="J104:M104"/>
    <mergeCell ref="R104:T104"/>
    <mergeCell ref="U104:W104"/>
    <mergeCell ref="X104:Z104"/>
    <mergeCell ref="E105:H106"/>
    <mergeCell ref="J105:M106"/>
    <mergeCell ref="R105:Z106"/>
    <mergeCell ref="J92:M92"/>
    <mergeCell ref="R92:T92"/>
    <mergeCell ref="U92:W92"/>
    <mergeCell ref="X92:Z92"/>
    <mergeCell ref="E94:H94"/>
    <mergeCell ref="J94:M94"/>
    <mergeCell ref="R94:T94"/>
    <mergeCell ref="U94:W94"/>
    <mergeCell ref="X94:Z94"/>
    <mergeCell ref="E95:H96"/>
    <mergeCell ref="J95:M96"/>
    <mergeCell ref="R95:Z96"/>
    <mergeCell ref="C97:AA97"/>
    <mergeCell ref="D79:D83"/>
  </mergeCells>
  <dataValidations count="6">
    <dataValidation type="list" allowBlank="1" showInputMessage="1" showErrorMessage="1" sqref="M22:N22" xr:uid="{A0B1D0CC-42E5-471C-880E-54ED85559BED}">
      <formula1>"A,B,C"</formula1>
    </dataValidation>
    <dataValidation type="list" allowBlank="1" showInputMessage="1" showErrorMessage="1" sqref="E22:F22" xr:uid="{E6D22617-4686-4D4D-A44B-5F937DE0230B}">
      <formula1>"I,II,III,IV,V"</formula1>
    </dataValidation>
    <dataValidation allowBlank="1" showInputMessage="1" showErrorMessage="1" prompt="Nhà bê tông: Gf = 0.85 + h/2840_x000a_Nhà thép: Gf = 0.85+h/1010" sqref="M20:N20" xr:uid="{A5346859-1A73-4465-92BB-CE8F02145D7F}"/>
    <dataValidation type="list" allowBlank="1" showInputMessage="1" showErrorMessage="1" sqref="AD9:AD10" xr:uid="{4840520E-AF05-4642-8A3A-22A847F54626}">
      <formula1>$AY$8:$BA$8</formula1>
    </dataValidation>
    <dataValidation type="list" allowBlank="1" showInputMessage="1" showErrorMessage="1" sqref="G16" xr:uid="{D503429C-EB03-448C-8AF2-E073E2267121}">
      <formula1>$AE$24:$AE$25</formula1>
    </dataValidation>
    <dataValidation type="list" allowBlank="1" showInputMessage="1" showErrorMessage="1" sqref="AG37:AJ37" xr:uid="{12FA130A-BC5A-4FB6-BD69-8832D3EA2D48}">
      <formula1>$AG$38:$AG$39</formula1>
    </dataValidation>
  </dataValidations>
  <pageMargins left="0.7" right="0.7" top="0.75" bottom="0.75" header="0.3" footer="0.3"/>
  <pageSetup paperSize="194" scale="70" fitToHeight="0" orientation="portrait" r:id="rId1"/>
  <rowBreaks count="1" manualBreakCount="1">
    <brk id="66" min="1" max="27" man="1"/>
  </rowBreaks>
  <ignoredErrors>
    <ignoredError sqref="G15 J16 L28:M29 N28:O29 P28:P29 R28:R29" unlockedFormula="1"/>
    <ignoredError sqref="C50:C53 C61:C64 U53:U54 K64:L64 U64:V64 V72:W72 K53:K54 U65:V65 K65:L65 G53:G54 V71:W71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47A70-9E13-4DBE-9147-18A3E265671C}">
  <sheetPr codeName="Sheet2">
    <tabColor rgb="FF0000FF"/>
  </sheetPr>
  <dimension ref="A1:AA61"/>
  <sheetViews>
    <sheetView showGridLines="0" view="pageBreakPreview" topLeftCell="A6" zoomScaleNormal="100" zoomScaleSheetLayoutView="100" workbookViewId="0">
      <selection activeCell="Q48" sqref="Q48"/>
    </sheetView>
  </sheetViews>
  <sheetFormatPr defaultRowHeight="12.75"/>
  <cols>
    <col min="1" max="1" width="3" style="54" customWidth="1"/>
    <col min="2" max="2" width="11.85546875" style="53" customWidth="1"/>
    <col min="3" max="3" width="7.5703125" style="53" customWidth="1"/>
    <col min="4" max="4" width="7.7109375" style="53" customWidth="1"/>
    <col min="5" max="5" width="7.5703125" style="53" bestFit="1" customWidth="1"/>
    <col min="6" max="6" width="5.28515625" style="53" customWidth="1"/>
    <col min="7" max="7" width="7.28515625" style="53" bestFit="1" customWidth="1"/>
    <col min="8" max="8" width="8.5703125" style="53" bestFit="1" customWidth="1"/>
    <col min="9" max="9" width="8.28515625" style="53" customWidth="1"/>
    <col min="10" max="10" width="6.5703125" style="53" bestFit="1" customWidth="1"/>
    <col min="11" max="11" width="7.5703125" style="53" bestFit="1" customWidth="1"/>
    <col min="12" max="12" width="7.28515625" style="53" bestFit="1" customWidth="1"/>
    <col min="13" max="13" width="6.85546875" style="53" customWidth="1"/>
    <col min="14" max="14" width="8.85546875" style="53" customWidth="1"/>
    <col min="15" max="15" width="8.85546875" style="54" customWidth="1"/>
    <col min="16" max="16" width="12.85546875" style="54" bestFit="1" customWidth="1"/>
    <col min="17" max="16384" width="9.140625" style="54"/>
  </cols>
  <sheetData>
    <row r="1" spans="1:27" ht="14.25" customHeight="1">
      <c r="A1" s="53"/>
      <c r="P1" s="55"/>
      <c r="Q1" s="55"/>
      <c r="R1" s="55"/>
    </row>
    <row r="2" spans="1:27" ht="24" customHeight="1">
      <c r="A2" s="53"/>
      <c r="B2" s="354" t="s">
        <v>201</v>
      </c>
      <c r="C2" s="354"/>
      <c r="D2" s="354"/>
      <c r="E2" s="354"/>
      <c r="F2" s="354"/>
      <c r="G2" s="354"/>
      <c r="H2" s="354"/>
      <c r="I2" s="354"/>
      <c r="J2" s="354"/>
      <c r="K2" s="354"/>
      <c r="L2" s="354"/>
      <c r="M2" s="354"/>
      <c r="N2" s="354"/>
      <c r="O2" s="56"/>
      <c r="P2" s="55"/>
      <c r="Q2" s="55"/>
      <c r="R2" s="55"/>
    </row>
    <row r="3" spans="1:27" ht="12.75" customHeight="1">
      <c r="A3" s="53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6"/>
      <c r="P3" s="55"/>
      <c r="Q3" s="55"/>
      <c r="R3" s="55"/>
    </row>
    <row r="4" spans="1:27" ht="12.75" customHeight="1">
      <c r="A4" s="53"/>
      <c r="B4" s="355" t="s">
        <v>202</v>
      </c>
      <c r="C4" s="355"/>
      <c r="D4" s="58"/>
      <c r="E4" s="57"/>
      <c r="F4" s="57"/>
      <c r="G4" s="57"/>
      <c r="H4" s="57"/>
      <c r="I4" s="57"/>
      <c r="J4" s="57"/>
      <c r="K4" s="57"/>
      <c r="L4" s="57"/>
      <c r="M4" s="57"/>
      <c r="N4" s="57"/>
      <c r="O4" s="56"/>
      <c r="P4" s="55"/>
      <c r="Q4" s="55"/>
      <c r="R4" s="55"/>
    </row>
    <row r="5" spans="1:27">
      <c r="A5" s="53"/>
      <c r="B5" s="350" t="s">
        <v>203</v>
      </c>
      <c r="C5" s="350"/>
      <c r="D5" s="350"/>
      <c r="E5" s="60">
        <v>13.5</v>
      </c>
      <c r="F5" s="352" t="s">
        <v>204</v>
      </c>
      <c r="G5" s="353"/>
      <c r="H5" s="353"/>
      <c r="I5" s="353"/>
      <c r="J5" s="63">
        <v>0</v>
      </c>
      <c r="K5" s="64" t="s">
        <v>163</v>
      </c>
      <c r="M5" s="65"/>
    </row>
    <row r="6" spans="1:27">
      <c r="A6" s="53"/>
      <c r="B6" s="350" t="s">
        <v>205</v>
      </c>
      <c r="C6" s="350"/>
      <c r="D6" s="66" t="s">
        <v>2</v>
      </c>
      <c r="H6" s="61"/>
      <c r="I6" s="65"/>
      <c r="J6" s="65"/>
      <c r="K6" s="67"/>
      <c r="L6" s="61"/>
      <c r="M6" s="65"/>
    </row>
    <row r="7" spans="1:27">
      <c r="A7" s="53"/>
      <c r="B7" s="350" t="s">
        <v>206</v>
      </c>
      <c r="C7" s="351"/>
      <c r="D7" s="69" t="s">
        <v>1</v>
      </c>
      <c r="E7" s="352" t="str">
        <f>IF($D$7="A","Trống trải, không có hoặc có rất ít vật cản cao không quá 1,5 m",IF($D$7="B","Tương đối trống trải, có một số vật cản thưa thớt cao không quá 10 m ","Bị che chắn mạnh, có nhiều vật cản sát nhau cao từ 10 m trở lên"))</f>
        <v xml:space="preserve">Tương đối trống trải, có một số vật cản thưa thớt cao không quá 10 m </v>
      </c>
      <c r="F7" s="353"/>
      <c r="G7" s="353"/>
      <c r="H7" s="353"/>
      <c r="I7" s="353"/>
      <c r="J7" s="353"/>
      <c r="K7" s="353"/>
      <c r="L7" s="353"/>
      <c r="M7" s="353"/>
      <c r="N7" s="353"/>
      <c r="O7" s="70"/>
    </row>
    <row r="8" spans="1:27">
      <c r="A8" s="53"/>
      <c r="B8" s="350" t="s">
        <v>96</v>
      </c>
      <c r="C8" s="350"/>
      <c r="D8" s="350"/>
      <c r="E8" s="351"/>
      <c r="F8" s="351"/>
      <c r="G8" s="351"/>
      <c r="H8" s="356" t="s">
        <v>207</v>
      </c>
      <c r="I8" s="357"/>
      <c r="J8" s="357"/>
    </row>
    <row r="9" spans="1:27">
      <c r="A9" s="53"/>
      <c r="B9" s="350" t="s">
        <v>208</v>
      </c>
      <c r="C9" s="351"/>
      <c r="D9" s="351"/>
      <c r="E9" s="351"/>
      <c r="F9" s="351"/>
      <c r="G9" s="351"/>
      <c r="H9" s="71">
        <v>1</v>
      </c>
      <c r="J9" s="352" t="s">
        <v>209</v>
      </c>
      <c r="K9" s="353"/>
      <c r="L9" s="353"/>
      <c r="M9" s="353"/>
      <c r="N9" s="353"/>
      <c r="O9" s="70"/>
      <c r="R9" s="358"/>
      <c r="S9" s="358"/>
      <c r="T9" s="358"/>
      <c r="U9" s="358"/>
      <c r="V9" s="358"/>
      <c r="W9" s="358"/>
      <c r="X9" s="358"/>
      <c r="Y9" s="358"/>
      <c r="Z9" s="358"/>
      <c r="AA9" s="358"/>
    </row>
    <row r="10" spans="1:27" ht="15.75">
      <c r="A10" s="53"/>
      <c r="B10" s="350" t="s">
        <v>210</v>
      </c>
      <c r="C10" s="351"/>
      <c r="D10" s="351"/>
      <c r="E10" s="351"/>
      <c r="F10" s="351"/>
      <c r="G10" s="351"/>
      <c r="H10" s="72">
        <f>VLOOKUP(D6,GustFactor!$F$57:$H$61,2,FALSE)</f>
        <v>0.95</v>
      </c>
      <c r="J10" s="352" t="s">
        <v>211</v>
      </c>
      <c r="K10" s="353"/>
      <c r="L10" s="353"/>
      <c r="M10" s="353"/>
      <c r="N10" s="353"/>
      <c r="O10" s="70"/>
      <c r="R10" s="358"/>
      <c r="S10" s="358"/>
      <c r="T10" s="358"/>
      <c r="U10" s="358"/>
      <c r="V10" s="358"/>
      <c r="W10" s="358"/>
      <c r="X10" s="358"/>
      <c r="Y10" s="358"/>
      <c r="Z10" s="358"/>
      <c r="AA10" s="358"/>
    </row>
    <row r="11" spans="1:27" ht="15.75">
      <c r="A11" s="53"/>
      <c r="B11" s="350" t="s">
        <v>212</v>
      </c>
      <c r="C11" s="351"/>
      <c r="D11" s="351"/>
      <c r="E11" s="351"/>
      <c r="F11" s="351"/>
      <c r="G11" s="351"/>
      <c r="H11" s="72">
        <f>H10*0.852</f>
        <v>0.8093999999999999</v>
      </c>
      <c r="J11" s="352" t="s">
        <v>213</v>
      </c>
      <c r="K11" s="353"/>
      <c r="L11" s="353"/>
      <c r="M11" s="353"/>
      <c r="N11" s="353"/>
      <c r="O11" s="70"/>
    </row>
    <row r="12" spans="1:27">
      <c r="A12" s="53"/>
      <c r="B12" s="350" t="s">
        <v>214</v>
      </c>
      <c r="C12" s="351"/>
      <c r="D12" s="351"/>
      <c r="E12" s="351"/>
      <c r="F12" s="351"/>
      <c r="G12" s="351"/>
      <c r="H12" s="73">
        <f>VLOOKUP(D6,GustFactor!$F$57:$H$61,3,FALSE)</f>
        <v>44</v>
      </c>
      <c r="J12" s="352" t="s">
        <v>211</v>
      </c>
      <c r="K12" s="353"/>
      <c r="L12" s="353"/>
      <c r="M12" s="353"/>
      <c r="N12" s="353"/>
      <c r="O12" s="70"/>
    </row>
    <row r="13" spans="1:27" ht="15.75">
      <c r="A13" s="53"/>
      <c r="B13" s="350" t="s">
        <v>215</v>
      </c>
      <c r="C13" s="351"/>
      <c r="D13" s="351"/>
      <c r="E13" s="351"/>
      <c r="F13" s="351"/>
      <c r="G13" s="351"/>
      <c r="H13" s="72">
        <f>VLOOKUP($D$7,Bang8_10,4)</f>
        <v>4.57</v>
      </c>
      <c r="J13" s="352" t="s">
        <v>216</v>
      </c>
      <c r="K13" s="353"/>
      <c r="L13" s="353"/>
      <c r="M13" s="353"/>
      <c r="N13" s="353"/>
      <c r="O13" s="70"/>
    </row>
    <row r="14" spans="1:27" ht="15.75">
      <c r="A14" s="53"/>
      <c r="B14" s="350" t="s">
        <v>217</v>
      </c>
      <c r="C14" s="351"/>
      <c r="D14" s="351"/>
      <c r="E14" s="351"/>
      <c r="F14" s="351"/>
      <c r="G14" s="351"/>
      <c r="H14" s="72">
        <f>VLOOKUP($D$7,Bang8_10,3)</f>
        <v>274.32</v>
      </c>
      <c r="J14" s="352" t="s">
        <v>216</v>
      </c>
      <c r="K14" s="353"/>
      <c r="L14" s="353"/>
      <c r="M14" s="353"/>
      <c r="N14" s="353"/>
      <c r="O14" s="70"/>
    </row>
    <row r="15" spans="1:27">
      <c r="A15" s="53"/>
      <c r="B15" s="350" t="s">
        <v>218</v>
      </c>
      <c r="C15" s="351"/>
      <c r="D15" s="351"/>
      <c r="E15" s="351"/>
      <c r="F15" s="351"/>
      <c r="G15" s="351"/>
      <c r="H15" s="72">
        <f>VLOOKUP($D$7,Bang8_10,5)</f>
        <v>9.5</v>
      </c>
      <c r="J15" s="352" t="s">
        <v>216</v>
      </c>
      <c r="K15" s="353"/>
      <c r="L15" s="353"/>
      <c r="M15" s="353"/>
      <c r="N15" s="353"/>
      <c r="O15" s="70"/>
    </row>
    <row r="16" spans="1:27" ht="15.75">
      <c r="A16" s="53"/>
      <c r="B16" s="350" t="s">
        <v>219</v>
      </c>
      <c r="C16" s="351"/>
      <c r="D16" s="351"/>
      <c r="E16" s="351"/>
      <c r="F16" s="351"/>
      <c r="G16" s="351"/>
      <c r="H16" s="72">
        <f>VLOOKUP(D7,Bang8_10,6)</f>
        <v>1.97</v>
      </c>
      <c r="J16" s="352" t="s">
        <v>216</v>
      </c>
      <c r="K16" s="353"/>
      <c r="L16" s="353"/>
      <c r="M16" s="353"/>
      <c r="N16" s="353"/>
      <c r="O16" s="70"/>
    </row>
    <row r="17" spans="1:15" ht="15.75">
      <c r="A17" s="53"/>
      <c r="B17" s="350" t="s">
        <v>220</v>
      </c>
      <c r="C17" s="351"/>
      <c r="D17" s="351"/>
      <c r="E17" s="351"/>
      <c r="F17" s="351"/>
      <c r="G17" s="351"/>
      <c r="H17" s="72">
        <f>VLOOKUP(D7,Bang8_10,7)</f>
        <v>0.2</v>
      </c>
      <c r="J17" s="352" t="s">
        <v>221</v>
      </c>
      <c r="K17" s="353"/>
      <c r="L17" s="353"/>
      <c r="M17" s="353"/>
      <c r="N17" s="353"/>
      <c r="O17" s="70"/>
    </row>
    <row r="18" spans="1:15">
      <c r="A18" s="53"/>
      <c r="B18" s="350" t="s">
        <v>222</v>
      </c>
      <c r="C18" s="351"/>
      <c r="D18" s="351"/>
      <c r="E18" s="351"/>
      <c r="F18" s="351"/>
      <c r="G18" s="351"/>
      <c r="H18" s="72">
        <f>VLOOKUP(D7,Bang8_10,8)</f>
        <v>152.4</v>
      </c>
      <c r="J18" s="352" t="s">
        <v>221</v>
      </c>
      <c r="K18" s="353"/>
      <c r="L18" s="353"/>
      <c r="M18" s="353"/>
      <c r="N18" s="353"/>
      <c r="O18" s="70"/>
    </row>
    <row r="19" spans="1:15">
      <c r="A19" s="53"/>
      <c r="B19" s="350" t="s">
        <v>223</v>
      </c>
      <c r="C19" s="351"/>
      <c r="D19" s="351"/>
      <c r="E19" s="351"/>
      <c r="F19" s="351"/>
      <c r="G19" s="351"/>
      <c r="H19" s="72">
        <f>VLOOKUP(D7,Bang8_10,9)</f>
        <v>0.2</v>
      </c>
      <c r="J19" s="352" t="s">
        <v>221</v>
      </c>
      <c r="K19" s="353"/>
      <c r="L19" s="353"/>
      <c r="M19" s="353"/>
      <c r="N19" s="353"/>
      <c r="O19" s="70"/>
    </row>
    <row r="20" spans="1:15">
      <c r="A20" s="53"/>
      <c r="B20" s="350" t="s">
        <v>224</v>
      </c>
      <c r="C20" s="351"/>
      <c r="D20" s="351"/>
      <c r="E20" s="351"/>
      <c r="F20" s="351"/>
      <c r="G20" s="351"/>
      <c r="H20" s="72">
        <f>VLOOKUP(D7,Bang8_10,10)</f>
        <v>0.65</v>
      </c>
      <c r="J20" s="352" t="s">
        <v>221</v>
      </c>
      <c r="K20" s="353"/>
      <c r="L20" s="353"/>
      <c r="M20" s="353"/>
      <c r="N20" s="353"/>
      <c r="O20" s="70"/>
    </row>
    <row r="21" spans="1:15">
      <c r="A21" s="53"/>
      <c r="B21" s="350" t="s">
        <v>225</v>
      </c>
      <c r="C21" s="351"/>
      <c r="D21" s="351"/>
      <c r="E21" s="351"/>
      <c r="F21" s="351"/>
      <c r="G21" s="351"/>
      <c r="H21" s="72">
        <f>VLOOKUP(D7,Bang8_10,11)</f>
        <v>0.15384615384615385</v>
      </c>
      <c r="J21" s="352" t="s">
        <v>221</v>
      </c>
      <c r="K21" s="353"/>
      <c r="L21" s="353"/>
      <c r="M21" s="353"/>
      <c r="N21" s="353"/>
      <c r="O21" s="70"/>
    </row>
    <row r="22" spans="1:15" ht="15.75">
      <c r="A22" s="53"/>
      <c r="B22" s="350" t="s">
        <v>226</v>
      </c>
      <c r="C22" s="351"/>
      <c r="D22" s="351"/>
      <c r="E22" s="351"/>
      <c r="F22" s="351"/>
      <c r="G22" s="351"/>
      <c r="H22" s="72">
        <f>$H$17*(10/(0.6*$E$5))^(1/6)</f>
        <v>0.20714883373025728</v>
      </c>
      <c r="J22" s="352" t="s">
        <v>227</v>
      </c>
      <c r="K22" s="353"/>
      <c r="L22" s="353"/>
      <c r="M22" s="353"/>
      <c r="N22" s="353"/>
      <c r="O22" s="70"/>
    </row>
    <row r="23" spans="1:15" ht="15.75">
      <c r="A23" s="53"/>
      <c r="B23" s="350" t="s">
        <v>228</v>
      </c>
      <c r="C23" s="351"/>
      <c r="D23" s="351"/>
      <c r="E23" s="351"/>
      <c r="F23" s="351"/>
      <c r="G23" s="351"/>
      <c r="H23" s="72">
        <f>H18*(0.6*E5/10)^H19</f>
        <v>146.11068296436144</v>
      </c>
      <c r="J23" s="352" t="s">
        <v>229</v>
      </c>
      <c r="K23" s="353"/>
      <c r="L23" s="353"/>
      <c r="M23" s="353"/>
      <c r="N23" s="353"/>
      <c r="O23" s="70"/>
    </row>
    <row r="24" spans="1:15">
      <c r="A24" s="53"/>
      <c r="B24" s="350" t="s">
        <v>230</v>
      </c>
      <c r="C24" s="351"/>
      <c r="D24" s="351"/>
      <c r="E24" s="351"/>
      <c r="F24" s="351"/>
      <c r="G24" s="351"/>
      <c r="H24" s="72">
        <f>IF(H8="Kết cấu BT và BTCT",0.02,IF(H8="Kết cấu thép",0.01,0.015))</f>
        <v>0.01</v>
      </c>
      <c r="J24" s="352" t="s">
        <v>231</v>
      </c>
      <c r="K24" s="353"/>
      <c r="L24" s="353"/>
      <c r="M24" s="353"/>
      <c r="N24" s="353"/>
      <c r="O24" s="70"/>
    </row>
    <row r="25" spans="1:15" ht="15.75">
      <c r="A25" s="53"/>
      <c r="B25" s="350" t="s">
        <v>232</v>
      </c>
      <c r="C25" s="351"/>
      <c r="D25" s="351"/>
      <c r="E25" s="351"/>
      <c r="F25" s="351"/>
      <c r="G25" s="351"/>
      <c r="H25" s="72">
        <f>H12*H20*(0.6*E5/10)^H21</f>
        <v>27.68769519252514</v>
      </c>
      <c r="J25" s="352" t="s">
        <v>233</v>
      </c>
      <c r="K25" s="353"/>
      <c r="L25" s="353"/>
      <c r="M25" s="353"/>
      <c r="N25" s="353"/>
      <c r="O25" s="70"/>
    </row>
    <row r="26" spans="1:15">
      <c r="A26" s="53"/>
      <c r="M26" s="61"/>
      <c r="N26" s="74"/>
      <c r="O26" s="75"/>
    </row>
    <row r="27" spans="1:15">
      <c r="A27" s="53"/>
      <c r="B27" s="359" t="s">
        <v>234</v>
      </c>
      <c r="C27" s="359"/>
      <c r="D27" s="359"/>
      <c r="E27" s="359"/>
      <c r="F27" s="359"/>
      <c r="G27" s="359" t="s">
        <v>235</v>
      </c>
      <c r="H27" s="359"/>
      <c r="I27" s="359"/>
      <c r="J27" s="359"/>
      <c r="K27" s="359"/>
      <c r="L27" s="359"/>
      <c r="M27" s="352" t="s">
        <v>236</v>
      </c>
      <c r="N27" s="353"/>
      <c r="O27" s="70"/>
    </row>
    <row r="28" spans="1:15">
      <c r="A28" s="53"/>
      <c r="B28" s="350" t="str">
        <f>"Chu kỳ dao động (s)"</f>
        <v>Chu kỳ dao động (s)</v>
      </c>
      <c r="C28" s="350"/>
      <c r="D28" s="350"/>
      <c r="E28" s="77">
        <v>1.45</v>
      </c>
      <c r="F28" s="76"/>
      <c r="G28" s="352" t="s">
        <v>237</v>
      </c>
      <c r="H28" s="352"/>
      <c r="I28" s="352"/>
      <c r="J28" s="352"/>
      <c r="K28" s="77">
        <v>1.5</v>
      </c>
      <c r="L28" s="76"/>
      <c r="M28" s="61"/>
      <c r="N28" s="62"/>
      <c r="O28" s="70"/>
    </row>
    <row r="29" spans="1:15">
      <c r="A29" s="53"/>
      <c r="B29" s="350" t="s">
        <v>238</v>
      </c>
      <c r="C29" s="350"/>
      <c r="D29" s="350"/>
      <c r="E29" s="78">
        <v>50</v>
      </c>
      <c r="F29" s="76"/>
      <c r="G29" s="352" t="s">
        <v>238</v>
      </c>
      <c r="H29" s="352"/>
      <c r="I29" s="352"/>
      <c r="J29" s="352"/>
      <c r="K29" s="79">
        <f>E30</f>
        <v>100</v>
      </c>
      <c r="L29" s="76"/>
      <c r="M29" s="61"/>
      <c r="N29" s="62"/>
      <c r="O29" s="70"/>
    </row>
    <row r="30" spans="1:15">
      <c r="A30" s="53"/>
      <c r="B30" s="350" t="s">
        <v>239</v>
      </c>
      <c r="C30" s="351"/>
      <c r="D30" s="351"/>
      <c r="E30" s="78">
        <v>100</v>
      </c>
      <c r="F30" s="76"/>
      <c r="G30" s="352" t="s">
        <v>239</v>
      </c>
      <c r="H30" s="353"/>
      <c r="I30" s="353"/>
      <c r="J30" s="353"/>
      <c r="K30" s="79">
        <f>E29</f>
        <v>50</v>
      </c>
      <c r="L30" s="76"/>
      <c r="M30" s="61"/>
      <c r="N30" s="62"/>
      <c r="O30" s="70"/>
    </row>
    <row r="31" spans="1:15">
      <c r="A31" s="53"/>
      <c r="B31" s="59"/>
      <c r="C31" s="68"/>
      <c r="D31" s="68"/>
      <c r="E31" s="78"/>
      <c r="F31" s="76"/>
      <c r="G31" s="61"/>
      <c r="H31" s="62"/>
      <c r="I31" s="62"/>
      <c r="J31" s="62"/>
      <c r="K31" s="79"/>
      <c r="L31" s="76"/>
      <c r="M31" s="61"/>
      <c r="N31" s="62"/>
      <c r="O31" s="70"/>
    </row>
    <row r="32" spans="1:15">
      <c r="A32" s="53"/>
      <c r="B32" s="355" t="s">
        <v>240</v>
      </c>
      <c r="C32" s="355"/>
      <c r="D32" s="62"/>
      <c r="E32" s="78"/>
      <c r="F32" s="76"/>
      <c r="G32" s="61"/>
      <c r="H32" s="62"/>
      <c r="I32" s="62"/>
      <c r="J32" s="62"/>
      <c r="K32" s="79"/>
      <c r="L32" s="76"/>
      <c r="M32" s="61"/>
      <c r="N32" s="62"/>
      <c r="O32" s="70"/>
    </row>
    <row r="33" spans="1:22" ht="15.75">
      <c r="A33" s="76"/>
      <c r="B33" s="350" t="s">
        <v>241</v>
      </c>
      <c r="C33" s="351"/>
      <c r="D33" s="351"/>
      <c r="E33" s="80">
        <f>IF($E$28&lt;=1,0.85,0.925*((1+1.7*H22*SQRT(3.4^2*E37^2+E36^2*E38^2))/(1+1.7*H22*3.4)))</f>
        <v>0.9438934308721264</v>
      </c>
      <c r="G33" s="352" t="s">
        <v>241</v>
      </c>
      <c r="H33" s="353"/>
      <c r="I33" s="353"/>
      <c r="J33" s="353"/>
      <c r="K33" s="80">
        <f>IF($K$28&lt;=1,0.85,0.925*((1+1.7*H22*SQRT(3.4^2*K37^2+K36^2*K38^2))/(1+1.7*H22*3.4)))</f>
        <v>0.88580526599160792</v>
      </c>
      <c r="M33" s="352" t="s">
        <v>242</v>
      </c>
      <c r="N33" s="353"/>
      <c r="O33" s="70"/>
    </row>
    <row r="34" spans="1:22">
      <c r="A34" s="76"/>
      <c r="B34" s="59"/>
      <c r="C34" s="68"/>
      <c r="D34" s="68"/>
      <c r="E34" s="68"/>
      <c r="G34" s="61"/>
      <c r="H34" s="62"/>
      <c r="I34" s="62"/>
      <c r="J34" s="62"/>
      <c r="K34" s="68"/>
      <c r="M34" s="61"/>
      <c r="N34" s="62"/>
      <c r="O34" s="70"/>
    </row>
    <row r="35" spans="1:22">
      <c r="A35" s="76"/>
      <c r="B35" s="355" t="s">
        <v>243</v>
      </c>
      <c r="C35" s="355"/>
      <c r="D35" s="62"/>
      <c r="E35" s="61"/>
      <c r="G35" s="61"/>
      <c r="H35" s="62"/>
      <c r="I35" s="62"/>
      <c r="J35" s="62"/>
      <c r="K35" s="61"/>
      <c r="M35" s="61"/>
      <c r="N35" s="62"/>
      <c r="O35" s="70"/>
    </row>
    <row r="36" spans="1:22">
      <c r="A36" s="76"/>
      <c r="B36" s="350" t="s">
        <v>244</v>
      </c>
      <c r="C36" s="350"/>
      <c r="D36" s="350"/>
      <c r="E36" s="72">
        <f>SQRT(2*LN(3600/$E$28))+0.577/SQRT(2*LN(3600/$E$28))</f>
        <v>4.0999446318121446</v>
      </c>
      <c r="F36" s="76"/>
      <c r="G36" s="352" t="s">
        <v>244</v>
      </c>
      <c r="H36" s="352"/>
      <c r="I36" s="352"/>
      <c r="J36" s="352"/>
      <c r="K36" s="79">
        <f>SQRT(2*LN(3600/$K$28))+0.577/SQRT(2*LN(3600/$K$28))</f>
        <v>4.0916788284258532</v>
      </c>
      <c r="L36" s="76"/>
      <c r="M36" s="352" t="s">
        <v>245</v>
      </c>
      <c r="N36" s="352"/>
      <c r="O36" s="81"/>
    </row>
    <row r="37" spans="1:22">
      <c r="A37" s="76"/>
      <c r="B37" s="350" t="s">
        <v>246</v>
      </c>
      <c r="C37" s="351"/>
      <c r="D37" s="351"/>
      <c r="E37" s="72">
        <f>SQRT(1/(1+0.63*((E5+E29)/H23)^0.63))</f>
        <v>0.85352262757816644</v>
      </c>
      <c r="G37" s="352" t="s">
        <v>247</v>
      </c>
      <c r="H37" s="353"/>
      <c r="I37" s="353"/>
      <c r="J37" s="353"/>
      <c r="K37" s="72">
        <f>SQRT(1/(1+0.63*((E5+K29)/H23)^0.63))</f>
        <v>0.8065233328361785</v>
      </c>
      <c r="M37" s="352" t="s">
        <v>248</v>
      </c>
      <c r="N37" s="353"/>
      <c r="O37" s="70"/>
    </row>
    <row r="38" spans="1:22">
      <c r="A38" s="76"/>
      <c r="B38" s="350" t="s">
        <v>249</v>
      </c>
      <c r="C38" s="350"/>
      <c r="D38" s="350"/>
      <c r="E38" s="72">
        <f>SQRT(E39*E44*E45*(0.53+0.47*E46)/H24)</f>
        <v>0.48911554289282133</v>
      </c>
      <c r="F38" s="76"/>
      <c r="G38" s="352" t="s">
        <v>249</v>
      </c>
      <c r="H38" s="352"/>
      <c r="I38" s="352"/>
      <c r="J38" s="353"/>
      <c r="K38" s="79">
        <f>SQRT(K39*K44*K45*(0.53+0.47*K46)/H24)</f>
        <v>0.37165376209058926</v>
      </c>
      <c r="L38" s="76"/>
      <c r="M38" s="352" t="s">
        <v>250</v>
      </c>
      <c r="N38" s="352"/>
      <c r="O38" s="81"/>
    </row>
    <row r="39" spans="1:22" ht="16.5">
      <c r="A39" s="76"/>
      <c r="B39" s="350" t="s">
        <v>251</v>
      </c>
      <c r="C39" s="350"/>
      <c r="D39" s="350"/>
      <c r="E39" s="72">
        <f>7.47*E40/(1+10.3*E40)^(5/3)</f>
        <v>6.1970374863139013E-2</v>
      </c>
      <c r="F39" s="76"/>
      <c r="G39" s="352" t="s">
        <v>251</v>
      </c>
      <c r="H39" s="352"/>
      <c r="I39" s="352"/>
      <c r="J39" s="353"/>
      <c r="K39" s="79">
        <f>7.47*K40/(1+10.3*K40)^(5/3)</f>
        <v>6.3292372875814254E-2</v>
      </c>
      <c r="L39" s="76"/>
      <c r="M39" s="352" t="s">
        <v>252</v>
      </c>
      <c r="N39" s="352"/>
      <c r="O39" s="81"/>
      <c r="T39" s="82"/>
      <c r="U39" s="82"/>
      <c r="V39" s="82"/>
    </row>
    <row r="40" spans="1:22" ht="16.5">
      <c r="A40" s="76"/>
      <c r="B40" s="59" t="s">
        <v>253</v>
      </c>
      <c r="C40" s="61"/>
      <c r="D40" s="61"/>
      <c r="E40" s="72">
        <f>H23/E28/H25</f>
        <v>3.6393779818295457</v>
      </c>
      <c r="F40" s="76"/>
      <c r="G40" s="352" t="s">
        <v>253</v>
      </c>
      <c r="H40" s="353"/>
      <c r="I40" s="353"/>
      <c r="J40" s="353"/>
      <c r="K40" s="79">
        <f>H23/K28/H25</f>
        <v>3.518065382435227</v>
      </c>
      <c r="L40" s="76"/>
      <c r="M40" s="352" t="s">
        <v>254</v>
      </c>
      <c r="N40" s="352"/>
      <c r="O40" s="81"/>
      <c r="T40" s="82"/>
      <c r="U40" s="82"/>
      <c r="V40" s="82"/>
    </row>
    <row r="41" spans="1:22" ht="16.5">
      <c r="A41" s="76"/>
      <c r="B41" s="59" t="s">
        <v>255</v>
      </c>
      <c r="C41" s="61"/>
      <c r="D41" s="61"/>
      <c r="E41" s="72">
        <f>4.6*E5/E28/H25</f>
        <v>1.5468093645605696</v>
      </c>
      <c r="F41" s="76"/>
      <c r="G41" s="352" t="s">
        <v>255</v>
      </c>
      <c r="H41" s="353"/>
      <c r="I41" s="353"/>
      <c r="J41" s="353"/>
      <c r="K41" s="79">
        <f>4.6*E5/K28/H25</f>
        <v>1.4952490524085507</v>
      </c>
      <c r="L41" s="76"/>
      <c r="M41" s="352" t="s">
        <v>256</v>
      </c>
      <c r="N41" s="352"/>
      <c r="O41" s="81"/>
      <c r="T41" s="82"/>
      <c r="U41" s="82"/>
      <c r="V41" s="82"/>
    </row>
    <row r="42" spans="1:22" ht="16.5">
      <c r="A42" s="76"/>
      <c r="B42" s="59" t="s">
        <v>257</v>
      </c>
      <c r="C42" s="61"/>
      <c r="D42" s="61"/>
      <c r="E42" s="72">
        <f>4.6*E29/E28/H25</f>
        <v>5.7289235724465541</v>
      </c>
      <c r="F42" s="76"/>
      <c r="G42" s="352" t="s">
        <v>257</v>
      </c>
      <c r="H42" s="353"/>
      <c r="I42" s="353"/>
      <c r="J42" s="353"/>
      <c r="K42" s="79">
        <f>4.6*K29/K28/H25</f>
        <v>11.075918906730003</v>
      </c>
      <c r="L42" s="76"/>
      <c r="M42" s="352" t="s">
        <v>256</v>
      </c>
      <c r="N42" s="352"/>
      <c r="O42" s="81"/>
      <c r="T42" s="82"/>
      <c r="U42" s="82"/>
      <c r="V42" s="82"/>
    </row>
    <row r="43" spans="1:22" ht="15.75">
      <c r="A43" s="76"/>
      <c r="B43" s="59" t="s">
        <v>258</v>
      </c>
      <c r="C43" s="61"/>
      <c r="D43" s="61"/>
      <c r="E43" s="72">
        <f>15.4*E30/E28/H25</f>
        <v>38.358879572033452</v>
      </c>
      <c r="F43" s="76"/>
      <c r="G43" s="352" t="s">
        <v>258</v>
      </c>
      <c r="H43" s="353"/>
      <c r="I43" s="353"/>
      <c r="J43" s="353"/>
      <c r="K43" s="79">
        <f>15.4*K30/K28/H25</f>
        <v>18.540125126482835</v>
      </c>
      <c r="L43" s="76"/>
      <c r="M43" s="352" t="s">
        <v>256</v>
      </c>
      <c r="N43" s="352"/>
      <c r="O43" s="81"/>
    </row>
    <row r="44" spans="1:22">
      <c r="A44" s="76"/>
      <c r="B44" s="59" t="s">
        <v>259</v>
      </c>
      <c r="C44" s="61"/>
      <c r="D44" s="61"/>
      <c r="E44" s="72">
        <f>IF(E41=0,1,(1/E41-(1-EXP(-2*E41))/(2*E41^2)))</f>
        <v>0.44699054338583177</v>
      </c>
      <c r="F44" s="76"/>
      <c r="G44" s="352" t="s">
        <v>259</v>
      </c>
      <c r="H44" s="353"/>
      <c r="I44" s="353"/>
      <c r="J44" s="353"/>
      <c r="K44" s="79">
        <f>IF(K41=0,1,(1/K41-(1-EXP(-2*K41))/(2*K41^2)))</f>
        <v>0.45638879378781028</v>
      </c>
      <c r="L44" s="76"/>
      <c r="M44" s="352" t="s">
        <v>256</v>
      </c>
      <c r="N44" s="352"/>
      <c r="O44" s="81"/>
    </row>
    <row r="45" spans="1:22">
      <c r="A45" s="76"/>
      <c r="B45" s="59" t="s">
        <v>260</v>
      </c>
      <c r="C45" s="61"/>
      <c r="D45" s="61"/>
      <c r="E45" s="72">
        <f>IF(E42=0,1,(1/E42-(1-EXP(-2*E42))/(2*E42^2)))</f>
        <v>0.15931867132505645</v>
      </c>
      <c r="F45" s="76"/>
      <c r="G45" s="352" t="s">
        <v>260</v>
      </c>
      <c r="H45" s="353"/>
      <c r="I45" s="353"/>
      <c r="J45" s="353"/>
      <c r="K45" s="79">
        <f>IF(K42=0,1,(1/K42-(1-EXP(-2*K42))/(2*K42^2)))</f>
        <v>8.6210185065409173E-2</v>
      </c>
      <c r="L45" s="76"/>
      <c r="M45" s="352" t="s">
        <v>256</v>
      </c>
      <c r="N45" s="352"/>
      <c r="O45" s="81"/>
    </row>
    <row r="46" spans="1:22">
      <c r="A46" s="76"/>
      <c r="B46" s="59" t="s">
        <v>261</v>
      </c>
      <c r="C46" s="61"/>
      <c r="D46" s="61"/>
      <c r="E46" s="72">
        <f>IF(E43=0,1,(1/E43-(1-EXP(-2*E43))/(2*E43^2)))</f>
        <v>2.5729771553381429E-2</v>
      </c>
      <c r="F46" s="76"/>
      <c r="G46" s="352" t="s">
        <v>261</v>
      </c>
      <c r="H46" s="353"/>
      <c r="I46" s="353"/>
      <c r="J46" s="353"/>
      <c r="K46" s="79">
        <f>IF(K43=0,1,(1/K43-(1-EXP(-2*K43))/(2*K43^2)))</f>
        <v>5.2482464874613062E-2</v>
      </c>
      <c r="L46" s="76"/>
      <c r="M46" s="352" t="s">
        <v>256</v>
      </c>
      <c r="N46" s="352"/>
      <c r="O46" s="81"/>
    </row>
    <row r="47" spans="1:22">
      <c r="A47" s="53"/>
      <c r="M47" s="83"/>
    </row>
    <row r="48" spans="1:22">
      <c r="M48" s="83"/>
    </row>
    <row r="49" spans="2:13">
      <c r="M49" s="83"/>
    </row>
    <row r="50" spans="2:13">
      <c r="B50" s="360" t="s">
        <v>262</v>
      </c>
      <c r="C50" s="360"/>
      <c r="D50" s="360"/>
      <c r="E50" s="360"/>
      <c r="F50" s="360"/>
      <c r="G50" s="360"/>
      <c r="H50" s="360" t="s">
        <v>263</v>
      </c>
      <c r="I50" s="361"/>
      <c r="J50" s="361"/>
      <c r="K50" s="361"/>
      <c r="L50" s="361"/>
      <c r="M50" s="83"/>
    </row>
    <row r="51" spans="2:13" ht="18.75">
      <c r="B51" s="84" t="s">
        <v>264</v>
      </c>
      <c r="C51" s="84" t="s">
        <v>265</v>
      </c>
      <c r="D51" s="84" t="s">
        <v>266</v>
      </c>
      <c r="E51" s="85" t="s">
        <v>267</v>
      </c>
      <c r="F51" s="84" t="s">
        <v>268</v>
      </c>
      <c r="G51" s="84" t="s">
        <v>269</v>
      </c>
      <c r="H51" s="86" t="s">
        <v>270</v>
      </c>
      <c r="I51" s="84" t="s">
        <v>271</v>
      </c>
      <c r="J51" s="87"/>
      <c r="K51" s="87"/>
      <c r="L51" s="87"/>
      <c r="M51" s="83"/>
    </row>
    <row r="52" spans="2:13" ht="14.25">
      <c r="B52" s="88" t="s">
        <v>15</v>
      </c>
      <c r="C52" s="89" t="s">
        <v>272</v>
      </c>
      <c r="D52" s="88">
        <v>213.36</v>
      </c>
      <c r="E52" s="88">
        <v>2.13</v>
      </c>
      <c r="F52" s="88">
        <v>11.5</v>
      </c>
      <c r="G52" s="88">
        <v>1.99</v>
      </c>
      <c r="H52" s="88">
        <v>0.15</v>
      </c>
      <c r="I52" s="88">
        <v>198.12</v>
      </c>
      <c r="J52" s="90">
        <f>1/8</f>
        <v>0.125</v>
      </c>
      <c r="K52" s="88">
        <v>0.8</v>
      </c>
      <c r="L52" s="90">
        <f>1/9</f>
        <v>0.1111111111111111</v>
      </c>
      <c r="M52" s="83"/>
    </row>
    <row r="53" spans="2:13" ht="14.25">
      <c r="B53" s="88" t="s">
        <v>1</v>
      </c>
      <c r="C53" s="89" t="s">
        <v>273</v>
      </c>
      <c r="D53" s="88">
        <v>274.32</v>
      </c>
      <c r="E53" s="88">
        <v>4.57</v>
      </c>
      <c r="F53" s="88">
        <v>9.5</v>
      </c>
      <c r="G53" s="88">
        <v>1.97</v>
      </c>
      <c r="H53" s="88">
        <v>0.2</v>
      </c>
      <c r="I53" s="88">
        <v>152.4</v>
      </c>
      <c r="J53" s="90">
        <f>1/5</f>
        <v>0.2</v>
      </c>
      <c r="K53" s="88">
        <v>0.65</v>
      </c>
      <c r="L53" s="90">
        <f>1/6.5</f>
        <v>0.15384615384615385</v>
      </c>
    </row>
    <row r="54" spans="2:13" ht="14.25">
      <c r="B54" s="88" t="s">
        <v>0</v>
      </c>
      <c r="C54" s="89" t="s">
        <v>274</v>
      </c>
      <c r="D54" s="88">
        <v>365.76</v>
      </c>
      <c r="E54" s="88">
        <v>9.14</v>
      </c>
      <c r="F54" s="88">
        <v>7</v>
      </c>
      <c r="G54" s="88">
        <v>1.98</v>
      </c>
      <c r="H54" s="88">
        <v>0.3</v>
      </c>
      <c r="I54" s="88">
        <v>97.54</v>
      </c>
      <c r="J54" s="90">
        <f>1/3</f>
        <v>0.33333333333333331</v>
      </c>
      <c r="K54" s="88">
        <v>0.45</v>
      </c>
      <c r="L54" s="90">
        <f>1/4</f>
        <v>0.25</v>
      </c>
    </row>
    <row r="55" spans="2:13"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</row>
    <row r="56" spans="2:13"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</row>
    <row r="57" spans="2:13" ht="15">
      <c r="B57" s="24"/>
      <c r="C57" s="24"/>
      <c r="D57" s="24"/>
      <c r="E57" s="24"/>
      <c r="F57" s="91" t="s">
        <v>6</v>
      </c>
      <c r="G57" s="91">
        <v>0.65</v>
      </c>
      <c r="H57" s="91">
        <v>36</v>
      </c>
      <c r="I57" s="24"/>
      <c r="J57" s="24"/>
      <c r="K57" s="24"/>
      <c r="L57" s="24"/>
    </row>
    <row r="58" spans="2:13" ht="15">
      <c r="B58" s="24"/>
      <c r="C58" s="24"/>
      <c r="D58" s="24"/>
      <c r="E58" s="24"/>
      <c r="F58" s="91" t="s">
        <v>2</v>
      </c>
      <c r="G58" s="91">
        <v>0.95</v>
      </c>
      <c r="H58" s="91">
        <v>44</v>
      </c>
      <c r="I58" s="24"/>
      <c r="J58" s="24"/>
      <c r="K58" s="24"/>
      <c r="L58" s="24"/>
    </row>
    <row r="59" spans="2:13" ht="15">
      <c r="B59" s="24"/>
      <c r="C59" s="24"/>
      <c r="D59" s="24"/>
      <c r="E59" s="24"/>
      <c r="F59" s="91" t="s">
        <v>3</v>
      </c>
      <c r="G59" s="91">
        <v>1.25</v>
      </c>
      <c r="H59" s="91">
        <v>50</v>
      </c>
      <c r="I59" s="24"/>
      <c r="J59" s="24"/>
      <c r="K59" s="24"/>
      <c r="L59" s="24"/>
    </row>
    <row r="60" spans="2:13" ht="15">
      <c r="B60" s="24"/>
      <c r="C60" s="24"/>
      <c r="D60" s="24"/>
      <c r="E60" s="24"/>
      <c r="F60" s="91" t="s">
        <v>4</v>
      </c>
      <c r="G60" s="91">
        <v>1.55</v>
      </c>
      <c r="H60" s="91">
        <v>56</v>
      </c>
      <c r="I60" s="24"/>
      <c r="J60" s="24"/>
      <c r="K60" s="24"/>
      <c r="L60" s="24"/>
    </row>
    <row r="61" spans="2:13" ht="15">
      <c r="B61" s="24"/>
      <c r="C61" s="24"/>
      <c r="D61" s="24"/>
      <c r="E61" s="24"/>
      <c r="F61" s="91" t="s">
        <v>12</v>
      </c>
      <c r="G61" s="91">
        <v>1.85</v>
      </c>
      <c r="H61" s="91">
        <v>61</v>
      </c>
      <c r="I61" s="24"/>
      <c r="J61" s="24"/>
      <c r="K61" s="24"/>
      <c r="L61" s="24"/>
    </row>
  </sheetData>
  <dataConsolidate/>
  <mergeCells count="86">
    <mergeCell ref="G46:J46"/>
    <mergeCell ref="M46:N46"/>
    <mergeCell ref="B50:G50"/>
    <mergeCell ref="H50:L50"/>
    <mergeCell ref="G43:J43"/>
    <mergeCell ref="M43:N43"/>
    <mergeCell ref="G44:J44"/>
    <mergeCell ref="M44:N44"/>
    <mergeCell ref="G45:J45"/>
    <mergeCell ref="M45:N45"/>
    <mergeCell ref="G40:J40"/>
    <mergeCell ref="M40:N40"/>
    <mergeCell ref="G41:J41"/>
    <mergeCell ref="M41:N41"/>
    <mergeCell ref="G42:J42"/>
    <mergeCell ref="M42:N42"/>
    <mergeCell ref="B38:D38"/>
    <mergeCell ref="G38:J38"/>
    <mergeCell ref="M38:N38"/>
    <mergeCell ref="B39:D39"/>
    <mergeCell ref="G39:J39"/>
    <mergeCell ref="M39:N39"/>
    <mergeCell ref="B35:C35"/>
    <mergeCell ref="B36:D36"/>
    <mergeCell ref="G36:J36"/>
    <mergeCell ref="M36:N36"/>
    <mergeCell ref="B37:D37"/>
    <mergeCell ref="G37:J37"/>
    <mergeCell ref="M37:N37"/>
    <mergeCell ref="M33:N33"/>
    <mergeCell ref="B27:F27"/>
    <mergeCell ref="G27:L27"/>
    <mergeCell ref="M27:N27"/>
    <mergeCell ref="B28:D28"/>
    <mergeCell ref="G28:J28"/>
    <mergeCell ref="B29:D29"/>
    <mergeCell ref="G29:J29"/>
    <mergeCell ref="B30:D30"/>
    <mergeCell ref="G30:J30"/>
    <mergeCell ref="B32:C32"/>
    <mergeCell ref="B33:D33"/>
    <mergeCell ref="G33:J33"/>
    <mergeCell ref="B23:G23"/>
    <mergeCell ref="J23:N23"/>
    <mergeCell ref="B24:G24"/>
    <mergeCell ref="J24:N24"/>
    <mergeCell ref="B25:G25"/>
    <mergeCell ref="J25:N25"/>
    <mergeCell ref="B20:G20"/>
    <mergeCell ref="J20:N20"/>
    <mergeCell ref="B21:G21"/>
    <mergeCell ref="J21:N21"/>
    <mergeCell ref="B22:G22"/>
    <mergeCell ref="J22:N22"/>
    <mergeCell ref="B17:G17"/>
    <mergeCell ref="J17:N17"/>
    <mergeCell ref="B18:G18"/>
    <mergeCell ref="J18:N18"/>
    <mergeCell ref="B19:G19"/>
    <mergeCell ref="J19:N19"/>
    <mergeCell ref="B14:G14"/>
    <mergeCell ref="J14:N14"/>
    <mergeCell ref="B15:G15"/>
    <mergeCell ref="J15:N15"/>
    <mergeCell ref="B16:G16"/>
    <mergeCell ref="J16:N16"/>
    <mergeCell ref="B11:G11"/>
    <mergeCell ref="J11:N11"/>
    <mergeCell ref="B12:G12"/>
    <mergeCell ref="J12:N12"/>
    <mergeCell ref="B13:G13"/>
    <mergeCell ref="J13:N13"/>
    <mergeCell ref="B8:G8"/>
    <mergeCell ref="H8:J8"/>
    <mergeCell ref="B9:G9"/>
    <mergeCell ref="J9:N9"/>
    <mergeCell ref="R9:AA10"/>
    <mergeCell ref="B10:G10"/>
    <mergeCell ref="J10:N10"/>
    <mergeCell ref="B7:C7"/>
    <mergeCell ref="E7:N7"/>
    <mergeCell ref="B2:N2"/>
    <mergeCell ref="B4:C4"/>
    <mergeCell ref="B5:D5"/>
    <mergeCell ref="F5:I5"/>
    <mergeCell ref="B6:C6"/>
  </mergeCells>
  <dataValidations count="3">
    <dataValidation type="list" allowBlank="1" showInputMessage="1" showErrorMessage="1" sqref="D6" xr:uid="{27E14F59-11EC-4842-9DB6-C43C2F92B357}">
      <formula1>"I,II,III,IV,V"</formula1>
    </dataValidation>
    <dataValidation type="list" allowBlank="1" showInputMessage="1" showErrorMessage="1" sqref="D7" xr:uid="{7BE5EC50-DC66-4DE8-893F-E62A482DA6B9}">
      <formula1>"A,B,C"</formula1>
    </dataValidation>
    <dataValidation type="list" allowBlank="1" showInputMessage="1" showErrorMessage="1" sqref="H8" xr:uid="{362891D6-BAF1-4577-8CD4-436838F6AAC0}">
      <formula1>"Kết cấu thép,KC liên hợp thép-BT,Kết cấu BT và BTCT"</formula1>
    </dataValidation>
  </dataValidations>
  <pageMargins left="0.7" right="0.7" top="0.75" bottom="0.75" header="0.3" footer="0.3"/>
  <pageSetup scale="85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TCVN</vt:lpstr>
      <vt:lpstr>GustFactor</vt:lpstr>
      <vt:lpstr>Bang8_10</vt:lpstr>
      <vt:lpstr>GustFactor!Print_Area</vt:lpstr>
      <vt:lpstr>TCVN!Print_Area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"ASCE705W" Program</dc:title>
  <dc:creator>Alex Tomanovich, P.E. - 151 Shadow Lane, Lyman SC 29365 - Home: 864-968-2699 - Email: ATomanovich@bellsouth.net</dc:creator>
  <dc:description>ASCE 7-05 Code Wind Analysis Program</dc:description>
  <cp:lastModifiedBy>toan huynh vu minh</cp:lastModifiedBy>
  <cp:lastPrinted>2025-08-23T09:47:51Z</cp:lastPrinted>
  <dcterms:created xsi:type="dcterms:W3CDTF">2000-02-14T22:01:47Z</dcterms:created>
  <dcterms:modified xsi:type="dcterms:W3CDTF">2026-02-17T02:12:50Z</dcterms:modified>
  <cp:category>Structural Enginnering Analysis/Design</cp:category>
</cp:coreProperties>
</file>