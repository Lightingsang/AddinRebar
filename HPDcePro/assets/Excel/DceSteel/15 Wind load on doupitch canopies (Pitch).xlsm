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769AD407-16B2-4E91-B6B5-C246E1EDD7A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Loading" sheetId="3" r:id="rId1"/>
    <sheet name="TCVN" sheetId="4" r:id="rId2"/>
    <sheet name="ASCE" sheetId="1" r:id="rId3"/>
  </sheets>
  <functionGroups builtInGroupCount="19"/>
  <externalReferences>
    <externalReference r:id="rId4"/>
  </externalReferences>
  <definedNames>
    <definedName name="_xlnm._FilterDatabase" localSheetId="2" hidden="1">ASCE!$G$13:$I$14</definedName>
    <definedName name="_IND1">#REF!</definedName>
    <definedName name="AA">'[1]2Angles'!$A$1</definedName>
    <definedName name="_xlnm.Print_Area" localSheetId="2">ASCE!$A$5:$M$67</definedName>
    <definedName name="_xlnm.Print_Area" localSheetId="0">Loading!$B$3:$K$34</definedName>
    <definedName name="_xlnm.Print_Area" localSheetId="1">TCVN!$A$5:$T$59</definedName>
    <definedName name="_xlnm.Print_Titles" localSheetId="1">TCVN!$8:$10</definedName>
    <definedName name="Sha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1" l="1"/>
  <c r="G39" i="4" l="1"/>
  <c r="G37" i="4"/>
  <c r="G36" i="4"/>
  <c r="G34" i="4"/>
  <c r="G56" i="1"/>
  <c r="U47" i="1"/>
  <c r="V47" i="1"/>
  <c r="W47" i="1"/>
  <c r="X47" i="1"/>
  <c r="U48" i="1"/>
  <c r="V48" i="1"/>
  <c r="W48" i="1"/>
  <c r="X48" i="1"/>
  <c r="U49" i="1"/>
  <c r="V49" i="1"/>
  <c r="W49" i="1"/>
  <c r="X49" i="1"/>
  <c r="U50" i="1"/>
  <c r="V50" i="1"/>
  <c r="W50" i="1"/>
  <c r="X50" i="1"/>
  <c r="U51" i="1"/>
  <c r="V51" i="1"/>
  <c r="W51" i="1"/>
  <c r="X51" i="1"/>
  <c r="V46" i="1"/>
  <c r="W46" i="1"/>
  <c r="X46" i="1"/>
  <c r="U46" i="1"/>
  <c r="U40" i="1"/>
  <c r="V40" i="1"/>
  <c r="W40" i="1"/>
  <c r="X40" i="1"/>
  <c r="U41" i="1"/>
  <c r="V41" i="1"/>
  <c r="W41" i="1"/>
  <c r="X41" i="1"/>
  <c r="U42" i="1"/>
  <c r="V42" i="1"/>
  <c r="W42" i="1"/>
  <c r="X42" i="1"/>
  <c r="U43" i="1"/>
  <c r="V43" i="1"/>
  <c r="W43" i="1"/>
  <c r="X43" i="1"/>
  <c r="U44" i="1"/>
  <c r="V44" i="1"/>
  <c r="W44" i="1"/>
  <c r="X44" i="1"/>
  <c r="V39" i="1"/>
  <c r="W39" i="1"/>
  <c r="X39" i="1"/>
  <c r="U39" i="1"/>
  <c r="H44" i="4" l="1"/>
  <c r="F44" i="4"/>
  <c r="D31" i="4"/>
  <c r="D32" i="4"/>
  <c r="C29" i="3"/>
  <c r="I30" i="3"/>
  <c r="D24" i="4" l="1"/>
  <c r="D23" i="4"/>
  <c r="D22" i="4"/>
  <c r="B20" i="4"/>
  <c r="K18" i="4"/>
  <c r="D18" i="4"/>
  <c r="V17" i="4"/>
  <c r="D17" i="4"/>
  <c r="V16" i="4"/>
  <c r="D16" i="4"/>
  <c r="V15" i="4"/>
  <c r="K22" i="4" s="1"/>
  <c r="D15" i="4"/>
  <c r="V14" i="4"/>
  <c r="D14" i="4"/>
  <c r="K13" i="4"/>
  <c r="K14" i="4" s="1"/>
  <c r="D13" i="4"/>
  <c r="D12" i="4"/>
  <c r="B11" i="4"/>
  <c r="F9" i="4"/>
  <c r="C9" i="4"/>
  <c r="F8" i="4"/>
  <c r="C8" i="4"/>
  <c r="V31" i="4" l="1"/>
  <c r="K23" i="4"/>
  <c r="K25" i="4" s="1"/>
  <c r="Z31" i="4" a="1"/>
  <c r="W31" i="4" a="1"/>
  <c r="Y31" i="4" a="1"/>
  <c r="X31" i="4" a="1"/>
  <c r="F45" i="4" l="1"/>
  <c r="N58" i="4" s="1"/>
  <c r="H45" i="4"/>
  <c r="P58" i="4" s="1"/>
  <c r="X31" i="4"/>
  <c r="H28" i="4" s="1"/>
  <c r="H29" i="4" s="1"/>
  <c r="H58" i="4" s="1"/>
  <c r="Y31" i="4"/>
  <c r="J28" i="4" s="1"/>
  <c r="J29" i="4" s="1"/>
  <c r="J58" i="4" s="1"/>
  <c r="Z31" i="4"/>
  <c r="L28" i="4" s="1"/>
  <c r="L29" i="4" s="1"/>
  <c r="W31" i="4"/>
  <c r="F28" i="4" s="1"/>
  <c r="F29" i="4" s="1"/>
  <c r="F58" i="4" s="1"/>
  <c r="N39" i="4" l="1"/>
  <c r="L58" i="4"/>
  <c r="H46" i="4"/>
  <c r="N51" i="4"/>
  <c r="N48" i="4"/>
  <c r="F46" i="4"/>
  <c r="G51" i="4"/>
  <c r="G48" i="4"/>
  <c r="N34" i="4"/>
  <c r="N36" i="4"/>
  <c r="N37" i="4"/>
  <c r="L30" i="4"/>
  <c r="J30" i="4"/>
  <c r="F30" i="4"/>
  <c r="H30" i="4"/>
  <c r="I23" i="3"/>
  <c r="I24" i="3" s="1"/>
  <c r="C23" i="3" l="1"/>
  <c r="C47" i="1" l="1"/>
  <c r="V14" i="1" l="1"/>
  <c r="V13" i="1"/>
  <c r="V12" i="1"/>
  <c r="G74" i="1"/>
  <c r="G75" i="1"/>
  <c r="G73" i="1"/>
  <c r="C54" i="1"/>
  <c r="J34" i="1"/>
  <c r="H34" i="1"/>
  <c r="H20" i="1"/>
  <c r="O45" i="1" l="1"/>
  <c r="Q54" i="1"/>
  <c r="H24" i="1"/>
  <c r="O33" i="1"/>
  <c r="O34" i="1" s="1"/>
  <c r="G57" i="1"/>
  <c r="H14" i="1"/>
  <c r="T13" i="1"/>
  <c r="Q14" i="1"/>
  <c r="P12" i="1"/>
  <c r="H35" i="1" l="1"/>
  <c r="H25" i="1"/>
  <c r="O59" i="1"/>
  <c r="S54" i="1"/>
  <c r="O52" i="1"/>
  <c r="T12" i="1"/>
  <c r="S12" i="1"/>
  <c r="R12" i="1"/>
  <c r="Q12" i="1"/>
  <c r="P14" i="1"/>
  <c r="S13" i="1"/>
  <c r="R13" i="1"/>
  <c r="Q13" i="1"/>
  <c r="H17" i="1" s="1"/>
  <c r="T14" i="1"/>
  <c r="S14" i="1"/>
  <c r="P13" i="1"/>
  <c r="R14" i="1"/>
  <c r="R45" i="1" a="1"/>
  <c r="W45" i="1" a="1"/>
  <c r="X45" i="1" a="1"/>
  <c r="U45" i="1" a="1"/>
  <c r="Q45" i="1" a="1"/>
  <c r="S45" i="1" a="1"/>
  <c r="T45" i="1" a="1"/>
  <c r="V45" i="1" a="1"/>
  <c r="T45" i="1" l="1"/>
  <c r="S45" i="1"/>
  <c r="Q45" i="1"/>
  <c r="W45" i="1"/>
  <c r="V45" i="1"/>
  <c r="U45" i="1"/>
  <c r="X45" i="1"/>
  <c r="R45" i="1"/>
  <c r="R59" i="1"/>
  <c r="H49" i="1" s="1"/>
  <c r="S59" i="1"/>
  <c r="T59" i="1"/>
  <c r="U59" i="1"/>
  <c r="I49" i="1" s="1"/>
  <c r="V59" i="1"/>
  <c r="J49" i="1" s="1"/>
  <c r="J51" i="1" s="1"/>
  <c r="X59" i="1"/>
  <c r="Q59" i="1"/>
  <c r="G49" i="1" s="1"/>
  <c r="W59" i="1"/>
  <c r="H36" i="1"/>
  <c r="T52" i="1" a="1"/>
  <c r="V52" i="1" a="1"/>
  <c r="W52" i="1" a="1"/>
  <c r="X52" i="1" a="1"/>
  <c r="U52" i="1" a="1"/>
  <c r="Q52" i="1" a="1"/>
  <c r="S52" i="1" a="1"/>
  <c r="R52" i="1" a="1"/>
  <c r="J64" i="1" l="1"/>
  <c r="U52" i="1"/>
  <c r="U60" i="1" s="1"/>
  <c r="I50" i="1" s="1"/>
  <c r="X52" i="1"/>
  <c r="X60" i="1" s="1"/>
  <c r="T52" i="1"/>
  <c r="T60" i="1" s="1"/>
  <c r="W52" i="1"/>
  <c r="W60" i="1" s="1"/>
  <c r="S52" i="1"/>
  <c r="S60" i="1" s="1"/>
  <c r="V52" i="1"/>
  <c r="V60" i="1" s="1"/>
  <c r="J50" i="1" s="1"/>
  <c r="J52" i="1" s="1"/>
  <c r="J65" i="1" s="1"/>
  <c r="Q52" i="1"/>
  <c r="Q60" i="1" s="1"/>
  <c r="G50" i="1" s="1"/>
  <c r="R52" i="1"/>
  <c r="R60" i="1" s="1"/>
  <c r="H50" i="1" s="1"/>
  <c r="G59" i="1"/>
  <c r="K65" i="1" s="1"/>
  <c r="H51" i="1"/>
  <c r="H64" i="1" s="1"/>
  <c r="I51" i="1"/>
  <c r="I64" i="1" s="1"/>
  <c r="G51" i="1"/>
  <c r="G64" i="1" s="1"/>
  <c r="I52" i="1"/>
  <c r="I65" i="1" s="1"/>
  <c r="H52" i="1"/>
  <c r="H65" i="1" s="1"/>
  <c r="G52" i="1"/>
  <c r="G65" i="1" s="1"/>
  <c r="G58" i="1"/>
  <c r="K6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F44" authorId="0" shapeId="0" xr:uid="{1CBF7ABB-F734-424D-A706-91C4D6D4B40D}">
      <text>
        <r>
          <rPr>
            <sz val="9"/>
            <color indexed="81"/>
            <rFont val="Tahoma"/>
            <family val="2"/>
          </rPr>
          <t>[HVMT]:
Tiêu chuẩn không đề cập, Tác giả lấy theo chú thích 3, giá trị trung bình cộng</t>
        </r>
      </text>
    </comment>
    <comment ref="H44" authorId="0" shapeId="0" xr:uid="{78938029-F22F-44FA-AC8F-3959EC8A6C57}">
      <text>
        <r>
          <rPr>
            <b/>
            <sz val="9"/>
            <color indexed="81"/>
            <rFont val="Tahoma"/>
            <family val="2"/>
          </rPr>
          <t>[HVMT]:
Tiêu chuẩn không đề cập, Tác giả lấy theo chú thích 3, giá trị trung bình cộng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Tomanovich</author>
    <author>Huynh Vu Minh Toan</author>
    <author>toan.hvm</author>
    <author>Bob Dalpiaz</author>
    <author>4892</author>
  </authors>
  <commentList>
    <comment ref="H15" authorId="0" shapeId="0" xr:uid="{21587B6F-52D5-4E9E-B404-3D4C731A8141}">
      <text>
        <r>
          <rPr>
            <b/>
            <sz val="8"/>
            <color indexed="81"/>
            <rFont val="Tahoma"/>
            <family val="2"/>
          </rPr>
          <t xml:space="preserve">                                                                          TABLE 1-1</t>
        </r>
        <r>
          <rPr>
            <b/>
            <u/>
            <sz val="8"/>
            <color indexed="81"/>
            <rFont val="Tahoma"/>
            <family val="2"/>
          </rPr>
          <t xml:space="preserve">
Occupancy Category of Buildings and Other Structures for Flood, Wind, Snow, Earthquake, and Ice Loads</t>
        </r>
        <r>
          <rPr>
            <sz val="8"/>
            <color indexed="81"/>
            <rFont val="Tahoma"/>
            <family val="2"/>
          </rPr>
          <t xml:space="preserve">                                                                                                      
</t>
        </r>
        <r>
          <rPr>
            <b/>
            <u/>
            <sz val="8"/>
            <color indexed="81"/>
            <rFont val="Tahoma"/>
            <family val="2"/>
          </rPr>
          <t xml:space="preserve">Nature of Occupancy                                                                                                                    Occupancy Category </t>
        </r>
        <r>
          <rPr>
            <sz val="8"/>
            <color indexed="81"/>
            <rFont val="Tahoma"/>
            <family val="2"/>
          </rPr>
          <t xml:space="preserve">
Buildings and structures that represent a low hazard to human life in the event of failure including,                  I
  but not limited to:
     - Agriculture facilities                                                                                                             
     - Certain temporary facilities
</t>
        </r>
        <r>
          <rPr>
            <u/>
            <sz val="8"/>
            <color indexed="81"/>
            <rFont val="Tahoma"/>
            <family val="2"/>
          </rPr>
          <t xml:space="preserve">     - Minor storage facilities                                                                                                                                              </t>
        </r>
        <r>
          <rPr>
            <sz val="8"/>
            <color indexed="81"/>
            <rFont val="Tahoma"/>
            <family val="2"/>
          </rPr>
          <t xml:space="preserve">       
</t>
        </r>
        <r>
          <rPr>
            <u/>
            <sz val="8"/>
            <color indexed="81"/>
            <rFont val="Tahoma"/>
            <family val="2"/>
          </rPr>
          <t xml:space="preserve">Buildings and other structures except those listed in Categories I, III and IV                                                      II        </t>
        </r>
        <r>
          <rPr>
            <sz val="8"/>
            <color indexed="81"/>
            <rFont val="Tahoma"/>
            <family val="2"/>
          </rPr>
          <t xml:space="preserve">
Buildings and other structures that represent a substantial hazard to human life in the event of                       III      
  failure including, but not limited to:
     - Buildings and other structures where more than 300 people congregate in one area
     - Buildings and other structures with day-care facilities with capacity greater than 150
     - Elementary or secondary school facilities with capacity greater than 250
     - Colleges &amp; adult education facilities with a capacity greater than 500
     - Health care facilities with a capacity greater than 50 resident patients but not having surgery
         or emergency treatment facilities
     - Jails and detention facilities
Buildings and other structures, not includes in Occupancy Category IV, with potential to cause 
  substantial economic impact and/or mass disruption of day-to-day civilian life in event of failure, 
  including, but not limited to:
     - Power generating stations, water treatment facilities, sewage treatment facilities, and
         telecommunication centers
     - Buildings and structures not included in Category IV containing sufficient quantities of toxic,
</t>
        </r>
        <r>
          <rPr>
            <u/>
            <sz val="8"/>
            <color indexed="81"/>
            <rFont val="Tahoma"/>
            <family val="2"/>
          </rPr>
          <t xml:space="preserve">         explosive, or other hazardous materials dangerous to the public if released                                                        </t>
        </r>
        <r>
          <rPr>
            <sz val="8"/>
            <color indexed="81"/>
            <rFont val="Tahoma"/>
            <family val="2"/>
          </rPr>
          <t xml:space="preserve">
Buildings and other structures designated as essential facilities including, but not limited to:                              IV
     - Hospitals and health care facilities having surgery or emergency treatment facilities
     - Fire, rescue and police stations and emergency vehicle garages
     - Designated earthquake, hurricane or other emergency shelters
     - Designated emergency preparedness, communication, and operation centers and other
         facilities required for emergency response 
     - Power-generating stations and other public utility facilities required in an emergency
     - Ancillary structures required for operation of Category IV structures during an emergency
     - Aviation control towers, air traffic control centers and emergency aircraft hangars
     - Water storage facilities and pump structures required to maintain water pressure for fire suppression
     - Buildings and other structures having critical national defense functions
     - Buildings and structures containing extremely hazardous materials where quantity of material 
         exceeds a threshold quantity established by authority having jurisdiction </t>
        </r>
      </text>
    </comment>
    <comment ref="H16" authorId="1" shapeId="0" xr:uid="{AE3D476B-2B8C-4C90-AD1D-28BE6BBD5300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Risk Category I - 300 years
Risk Category II - 700 years
Risk Category III - 1700 years
Risk Category IV - 3000 years
</t>
        </r>
      </text>
    </comment>
    <comment ref="H18" authorId="2" shapeId="0" xr:uid="{A44D0686-18EC-4CD5-8677-B1AE113D5487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Surface Roughness Categories for the purpose of assigning Exposure Category are defined as follows:
Surface Roughness "B":
Urban and suburban areas, wooded areas or other terrain with numerous closely spaced obstructions having the size of single family dwellings or larger.
Surface Roughness "C":
Open terrain with scattered obstructions having heights generally &lt; 30 ft.  This category includes flat open country, grass lands, and all water surfaces in hurricane prone regions.
Surface Roughness "D":
Flat, unobstructed areas and water surfaces outside hurricane prone regions.  This category includes smooth mud flats, salt flats, and unbroken ice.
Exposure Categories are defined as follows:
Exposure "B":
Exposure B shall apply where the ground surface roughness condition, as defined by Surface Roughness B, prevails in the upwind direction for a distance of at least 2600 ft. or 20 times the building height, whichever is greater.
   Exception: For buildings whose mean roof height &lt;= 30 ft., the upwind 
   distance may be reduced to 1500 ft.
Exposure "C":
Exposure C shall apply for all cases where exposures B and D do not apply.
Exposure "D":
Exposure D shall apply where the ground surface roughness, as defined by Surface Roughness D, prevails in the upwind direction for a distance &gt;= 5,000 ft. or 20 times the building height, whichever is greater.  Exposure D shall extend into downwind areas of Surface Roughness B or C for a distance of 600 ft. or 20 times the height of the building, whichever is greater.</t>
        </r>
      </text>
    </comment>
    <comment ref="H24" authorId="2" shapeId="0" xr:uid="{6BD710E6-1C1C-498F-A2D6-0BAFBA7783B8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The building Mean Roof Height, h, is determined as follows:
  For buildings with roof angle &gt; 10 degrees:  h = (hr+he)/2
  For buildings with roof angle &lt;= 10 degrees:  h = he</t>
        </r>
      </text>
    </comment>
    <comment ref="H26" authorId="3" shapeId="0" xr:uid="{8D2A783D-F927-4E04-9BB2-EEBE0050BEE0}">
      <text>
        <r>
          <rPr>
            <sz val="8"/>
            <color indexed="81"/>
            <rFont val="Tahoma"/>
            <family val="2"/>
          </rPr>
          <t>The</t>
        </r>
        <r>
          <rPr>
            <b/>
            <sz val="8"/>
            <color indexed="81"/>
            <rFont val="Tahoma"/>
            <family val="2"/>
          </rPr>
          <t xml:space="preserve"> Topographic Factor, Kzt</t>
        </r>
        <r>
          <rPr>
            <sz val="8"/>
            <color indexed="81"/>
            <rFont val="Tahoma"/>
            <family val="2"/>
          </rPr>
          <t>, accounts for effect of wind speed-up over isolated hills and escarpments (</t>
        </r>
        <r>
          <rPr>
            <b/>
            <sz val="8"/>
            <color indexed="81"/>
            <rFont val="Tahoma"/>
            <family val="2"/>
          </rPr>
          <t>Sect. 6.5.7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sz val="8"/>
            <color indexed="81"/>
            <rFont val="Tahoma"/>
            <family val="2"/>
          </rPr>
          <t>Fig. 6-4</t>
        </r>
        <r>
          <rPr>
            <sz val="8"/>
            <color indexed="81"/>
            <rFont val="Tahoma"/>
            <family val="2"/>
          </rPr>
          <t xml:space="preserve">).
</t>
        </r>
        <r>
          <rPr>
            <b/>
            <sz val="8"/>
            <color indexed="81"/>
            <rFont val="Tahoma"/>
            <family val="2"/>
          </rPr>
          <t>Kzt = (1+K1*K2*K3)^2</t>
        </r>
        <r>
          <rPr>
            <sz val="8"/>
            <color indexed="81"/>
            <rFont val="Tahoma"/>
            <family val="2"/>
          </rPr>
          <t xml:space="preserve">   (Eq. 6-3), where:
H   = height of hill or escarpment relative to the upwind terrain, in feet.
Lh  = Distance upwind of crest to where the difference in ground elevation is    
         half the height of hill or escarpment, in feet.
K1 = factor to account for shape of topographic feature and maximum   
        speed-up effect.
K2 = factor to account for reduction in speed-up with distance upwind or     
        downwind of crest.
K3 = factor to account for reduction in speed-up with height above local terrain.
x = distance (upwind or downwind) from the crest to the building site, in feet.
z = height above local ground level, in feet.
</t>
        </r>
        <r>
          <rPr>
            <b/>
            <sz val="8"/>
            <color indexed="81"/>
            <rFont val="Tahoma"/>
            <family val="2"/>
          </rPr>
          <t>The effect of wind speed-up shall not be required to be considered (Kzt = 1.0) when H/Lh &lt; 0.2, or H &lt; 15' for Exposures 'C' and 'D', or H &lt; 60' for Exposure 'B'.</t>
        </r>
      </text>
    </comment>
    <comment ref="H27" authorId="4" shapeId="0" xr:uid="{8B0516F5-6C87-4DF5-9C9E-801900665BFC}">
      <text>
        <r>
          <rPr>
            <b/>
            <u/>
            <sz val="8"/>
            <color indexed="81"/>
            <rFont val="Tahoma"/>
            <family val="2"/>
          </rPr>
          <t xml:space="preserve">Wind Directionality Factor, Kd (Table 6-4)
             </t>
        </r>
        <r>
          <rPr>
            <u/>
            <sz val="8"/>
            <color indexed="81"/>
            <rFont val="Tahoma"/>
            <family val="2"/>
          </rPr>
          <t xml:space="preserve">Structure Type                                  Kd  
</t>
        </r>
        <r>
          <rPr>
            <sz val="8"/>
            <color indexed="81"/>
            <rFont val="Tahoma"/>
            <family val="2"/>
          </rPr>
          <t xml:space="preserve">
Buildings
    Main Wind-Force Resisting System           0.85
    Components and Cladding                        0.85
Note:  this factor shall only be applied when
           used in conjunction with load combinations
           specified in Sect. 2.3 and 2.4.
           Otherwise, use Kd = 1.0. </t>
        </r>
      </text>
    </comment>
    <comment ref="H34" authorId="2" shapeId="0" xr:uid="{CDD7D2FE-FF08-42F4-8996-A776D39FFE77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  <comment ref="J34" authorId="2" shapeId="0" xr:uid="{EA421A20-C3E2-40EE-A585-877E13E5351F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<sst xmlns="http://schemas.openxmlformats.org/spreadsheetml/2006/main" count="416" uniqueCount="257">
  <si>
    <t>Velocity pressure exposure coefficient</t>
  </si>
  <si>
    <t>Item
Hạng mục</t>
  </si>
  <si>
    <t>Canopy
Mái đón</t>
  </si>
  <si>
    <t>WIND LOADING ANALYSIS
PHÂN TÍCH TẢI TRỌNG GIÓ</t>
  </si>
  <si>
    <t>I/ Input Data / Dữ liệu thiết kế:</t>
  </si>
  <si>
    <t>Tiêu chuẩn thiết kế:</t>
  </si>
  <si>
    <t>Vùng</t>
  </si>
  <si>
    <t>I</t>
  </si>
  <si>
    <t>II</t>
  </si>
  <si>
    <t>III</t>
  </si>
  <si>
    <t>IV</t>
  </si>
  <si>
    <t>V</t>
  </si>
  <si>
    <t>Chu kỳ lặp</t>
  </si>
  <si>
    <t>Hệ số</t>
  </si>
  <si>
    <t>-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</si>
  <si>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3s,50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</si>
  <si>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3s,300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</si>
  <si>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3s,700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</si>
  <si>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3s,1700</t>
    </r>
  </si>
  <si>
    <t>Vận tốc gió 3s (m/s)</t>
  </si>
  <si>
    <t>Zone / Vùng gió</t>
  </si>
  <si>
    <t>(QCVN 02:2022)</t>
  </si>
  <si>
    <t>Wind Speed / Tốc độ gió</t>
  </si>
  <si>
    <r>
      <t>V</t>
    </r>
    <r>
      <rPr>
        <vertAlign val="subscript"/>
        <sz val="11"/>
        <color theme="1"/>
        <rFont val="Calibri"/>
        <family val="2"/>
        <scheme val="minor"/>
      </rPr>
      <t>3s,50</t>
    </r>
    <r>
      <rPr>
        <sz val="11"/>
        <color theme="1"/>
        <rFont val="Calibri"/>
        <family val="2"/>
        <scheme val="minor"/>
      </rPr>
      <t xml:space="preserve"> =</t>
    </r>
  </si>
  <si>
    <t>m/s</t>
  </si>
  <si>
    <t>V =</t>
  </si>
  <si>
    <t>Exposure / Dạng địa hình</t>
  </si>
  <si>
    <t>B</t>
  </si>
  <si>
    <t>C</t>
  </si>
  <si>
    <t xml:space="preserve">Building classification / Cấp công trình </t>
  </si>
  <si>
    <r>
      <t>H</t>
    </r>
    <r>
      <rPr>
        <vertAlign val="subscript"/>
        <sz val="11"/>
        <color theme="1"/>
        <rFont val="Calibri"/>
        <family val="2"/>
        <scheme val="minor"/>
      </rPr>
      <t>up</t>
    </r>
    <r>
      <rPr>
        <sz val="11"/>
        <color theme="1"/>
        <rFont val="Calibri"/>
        <family val="2"/>
        <scheme val="minor"/>
      </rPr>
      <t xml:space="preserve"> =</t>
    </r>
  </si>
  <si>
    <t>m</t>
  </si>
  <si>
    <t>Slope of roof / Độ dốc mái</t>
  </si>
  <si>
    <t>i =</t>
  </si>
  <si>
    <t>%</t>
  </si>
  <si>
    <t>Góc nghiêng mái / Angle of roof</t>
  </si>
  <si>
    <t>a</t>
  </si>
  <si>
    <t>a =</t>
  </si>
  <si>
    <t>Horizontal dimension of roof / Bề rộng mái</t>
  </si>
  <si>
    <t>L =</t>
  </si>
  <si>
    <t>Highest point on the roof / Điểm cao nhất trên mái</t>
  </si>
  <si>
    <t>Roof eave height / Điểm thấp nhất trên mái</t>
  </si>
  <si>
    <r>
      <t>H</t>
    </r>
    <r>
      <rPr>
        <vertAlign val="subscript"/>
        <sz val="11"/>
        <color theme="1"/>
        <rFont val="Calibri"/>
        <family val="2"/>
        <scheme val="minor"/>
      </rPr>
      <t>low</t>
    </r>
    <r>
      <rPr>
        <sz val="11"/>
        <color theme="1"/>
        <rFont val="Calibri"/>
        <family val="2"/>
        <scheme val="minor"/>
      </rPr>
      <t xml:space="preserve"> =</t>
    </r>
  </si>
  <si>
    <t>Mean roof height / Chiều cao mái tính toán</t>
  </si>
  <si>
    <t>h =</t>
  </si>
  <si>
    <t>Hurricane Region / Vùng bão ?</t>
  </si>
  <si>
    <t>N</t>
  </si>
  <si>
    <t>Wind flow / Luồng gió ?</t>
  </si>
  <si>
    <t>Clear</t>
  </si>
  <si>
    <r>
      <t>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 xml:space="preserve"> =</t>
    </r>
  </si>
  <si>
    <t>Gust eff. Factor / Hệ số gió giật</t>
  </si>
  <si>
    <t>G =</t>
  </si>
  <si>
    <t>Wind Directionality Factor / Hệ số hướng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</si>
  <si>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</t>
    </r>
  </si>
  <si>
    <t>Topographic Factor / Hệ số địa hình</t>
  </si>
  <si>
    <t>Terrain Exposure constants / Hệ số địa hình</t>
  </si>
  <si>
    <t>D</t>
  </si>
  <si>
    <t>Địa hình</t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</si>
  <si>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(m)</t>
    </r>
  </si>
  <si>
    <r>
      <rPr>
        <sz val="11"/>
        <color theme="1"/>
        <rFont val="Symbol"/>
        <family val="1"/>
        <charset val="2"/>
      </rPr>
      <t>a</t>
    </r>
    <r>
      <rPr>
        <sz val="17.60000000000000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=</t>
    </r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</si>
  <si>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</si>
  <si>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</si>
  <si>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t>Y</t>
  </si>
  <si>
    <t>Velocity pressure at height z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</si>
  <si>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</si>
  <si>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r>
      <t>kN/m</t>
    </r>
    <r>
      <rPr>
        <vertAlign val="superscript"/>
        <sz val="11"/>
        <color theme="1"/>
        <rFont val="Calibri"/>
        <family val="2"/>
        <scheme val="minor"/>
      </rPr>
      <t>2</t>
    </r>
  </si>
  <si>
    <t>Roof angle</t>
  </si>
  <si>
    <t>Load case</t>
  </si>
  <si>
    <r>
      <t xml:space="preserve">Wind direction,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0</t>
    </r>
  </si>
  <si>
    <r>
      <t xml:space="preserve">Wind direction,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180</t>
    </r>
  </si>
  <si>
    <t>Clear Flow</t>
  </si>
  <si>
    <t>Obstructed Flow</t>
  </si>
  <si>
    <r>
      <t>C</t>
    </r>
    <r>
      <rPr>
        <vertAlign val="subscript"/>
        <sz val="10"/>
        <rFont val="Arial"/>
        <family val="2"/>
      </rPr>
      <t>NW</t>
    </r>
  </si>
  <si>
    <r>
      <t>C</t>
    </r>
    <r>
      <rPr>
        <vertAlign val="subscript"/>
        <sz val="10"/>
        <rFont val="Arial"/>
        <family val="2"/>
      </rPr>
      <t>NL</t>
    </r>
  </si>
  <si>
    <t>A</t>
  </si>
  <si>
    <t>Pressure
(kPa)</t>
  </si>
  <si>
    <r>
      <t>Net pressure
Coeficient, C</t>
    </r>
    <r>
      <rPr>
        <vertAlign val="subscript"/>
        <sz val="11"/>
        <color theme="1"/>
        <rFont val="Calibri"/>
        <family val="2"/>
        <scheme val="minor"/>
      </rPr>
      <t>N</t>
    </r>
  </si>
  <si>
    <r>
      <t xml:space="preserve">Wind dir.,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0</t>
    </r>
    <r>
      <rPr>
        <vertAlign val="superscript"/>
        <sz val="8.5"/>
        <rFont val="Arial"/>
        <family val="2"/>
      </rPr>
      <t>0</t>
    </r>
  </si>
  <si>
    <r>
      <t xml:space="preserve">Wind dir.,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180</t>
    </r>
    <r>
      <rPr>
        <vertAlign val="superscript"/>
        <sz val="8.5"/>
        <rFont val="Arial"/>
        <family val="2"/>
      </rPr>
      <t>0</t>
    </r>
  </si>
  <si>
    <t>Load Case
Trường hợp</t>
  </si>
  <si>
    <t>Bước khung (m)</t>
  </si>
  <si>
    <r>
      <t>C</t>
    </r>
    <r>
      <rPr>
        <vertAlign val="subscript"/>
        <sz val="10"/>
        <rFont val="Arial"/>
        <family val="2"/>
      </rPr>
      <t>N</t>
    </r>
  </si>
  <si>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90</t>
    </r>
    <r>
      <rPr>
        <vertAlign val="superscript"/>
        <sz val="8.5"/>
        <rFont val="Arial"/>
        <family val="2"/>
      </rPr>
      <t>0</t>
    </r>
  </si>
  <si>
    <t>&lt; h</t>
  </si>
  <si>
    <t>&gt; h, &lt; 2h</t>
  </si>
  <si>
    <t>&gt; 2h</t>
  </si>
  <si>
    <t>Obstructed</t>
  </si>
  <si>
    <t>Case A</t>
  </si>
  <si>
    <t>Case B</t>
  </si>
  <si>
    <t>II/ Main wind force resisting system / Tải trọng gió tác dụng lên hệ khung</t>
  </si>
  <si>
    <t>ASCE 7-16 Minimum Design Loads For Buildings And Other Structures</t>
  </si>
  <si>
    <t>Design wind speed / Tốc độ gió thiết kế</t>
  </si>
  <si>
    <t>STT</t>
  </si>
  <si>
    <t>Loại vật liệu</t>
  </si>
  <si>
    <t>Mác</t>
  </si>
  <si>
    <t>Cường độ
(MPa)</t>
  </si>
  <si>
    <t>Thép tấm tổ hợp</t>
  </si>
  <si>
    <t>A572-50</t>
  </si>
  <si>
    <r>
      <t>f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=</t>
    </r>
  </si>
  <si>
    <t>Thép hình</t>
  </si>
  <si>
    <t>Bu lông neo</t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</si>
  <si>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=</t>
    </r>
  </si>
  <si>
    <t>Bu lông cường độ cao</t>
  </si>
  <si>
    <t>Cấu tạo mái đón</t>
  </si>
  <si>
    <t>a. Tĩnh tải</t>
  </si>
  <si>
    <t>b. Hoạt tải mái</t>
  </si>
  <si>
    <t>2. Tải trọng</t>
  </si>
  <si>
    <t>A36</t>
  </si>
  <si>
    <t>TÍNH TOÁN MÁI CHE</t>
  </si>
  <si>
    <t>1. Vật liệu</t>
  </si>
  <si>
    <t>Trọng lượng bản thân kết cấu thép: Được tính toán bằng phần mềm</t>
  </si>
  <si>
    <t>(mm)</t>
  </si>
  <si>
    <t>Chiều dày</t>
  </si>
  <si>
    <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</si>
  <si>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Trọng lượng riêng</t>
  </si>
  <si>
    <t>Trọng lượng</t>
  </si>
  <si>
    <r>
      <t>(kN/m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</si>
  <si>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Tiêu chuẩn áp dụng:</t>
  </si>
  <si>
    <t xml:space="preserve"> TCVN 5575 : 2012 Kết cấu thép - Tiêu chuẩn thiết kế</t>
  </si>
  <si>
    <t xml:space="preserve"> TCVN 2737 : 2023 Tải trọng và tác động - Tiêu chuẩn thiết kế</t>
  </si>
  <si>
    <t>(Khu vực H: Mái không sử dụng, chỉ có người đi lại sữa chữa)</t>
  </si>
  <si>
    <t>EN&amp;VN</t>
  </si>
  <si>
    <t xml:space="preserve">Terrain </t>
  </si>
  <si>
    <t>zg</t>
  </si>
  <si>
    <t>zmin</t>
  </si>
  <si>
    <t>k(ze)max</t>
  </si>
  <si>
    <t>VN</t>
  </si>
  <si>
    <t>Project's code:</t>
  </si>
  <si>
    <t>Mã dự án</t>
  </si>
  <si>
    <t>Project:</t>
  </si>
  <si>
    <t>Dự án</t>
  </si>
  <si>
    <t>The owner:</t>
  </si>
  <si>
    <t>Chủ đầu tư</t>
  </si>
  <si>
    <t>Item</t>
  </si>
  <si>
    <t>Hạng mục</t>
  </si>
  <si>
    <t>Rev. No.</t>
  </si>
  <si>
    <t>Hiệu chỉnh</t>
  </si>
  <si>
    <t>Date:</t>
  </si>
  <si>
    <t>Ngày</t>
  </si>
  <si>
    <t>Design</t>
  </si>
  <si>
    <t>Thiết kế</t>
  </si>
  <si>
    <t>Zone</t>
  </si>
  <si>
    <t>W3s,20</t>
  </si>
  <si>
    <t>Check</t>
  </si>
  <si>
    <t>Kiểm tra</t>
  </si>
  <si>
    <t>kPa (QC 02-2022/BXD)</t>
  </si>
  <si>
    <t>Design code:</t>
  </si>
  <si>
    <t>zg =</t>
  </si>
  <si>
    <t>TCVN 2737:2023 Loads and Action - Design standard</t>
  </si>
  <si>
    <t>TCVN 2737:2023 Tải trọng và tác động - Tiêu chuẩn thiết kế</t>
  </si>
  <si>
    <t>zmin =</t>
  </si>
  <si>
    <t>Section F.2.1 Flat roofs are defined as having a angle</t>
  </si>
  <si>
    <t>Mục F.2.1 Mái bằng khi có góc dốc</t>
  </si>
  <si>
    <t>Zone / Vùng</t>
  </si>
  <si>
    <t>I. Input Data / Dữ liệu thiết kế:</t>
  </si>
  <si>
    <t>I. Dữ liệu thiết kế</t>
  </si>
  <si>
    <t>degree</t>
  </si>
  <si>
    <t>Wind pressure / Áp lực gió</t>
  </si>
  <si>
    <t>Áp lực gió</t>
  </si>
  <si>
    <t>anpha</t>
  </si>
  <si>
    <t>Ce1</t>
  </si>
  <si>
    <t>Ce2</t>
  </si>
  <si>
    <t>Exposure Category / Dạng địa hình</t>
  </si>
  <si>
    <t>Dạng địa hình</t>
  </si>
  <si>
    <t>Canopy height / Chiều cao mái đón</t>
  </si>
  <si>
    <t>Chiều cao mái đón</t>
  </si>
  <si>
    <t>Eave Height / Chiều cao đỉnh cột</t>
  </si>
  <si>
    <t>Chiều cao đỉnh cột</t>
  </si>
  <si>
    <t>Arch height / Chiều cao vòm</t>
  </si>
  <si>
    <t>Chiều cao vòm</t>
  </si>
  <si>
    <t>Roof / building width</t>
  </si>
  <si>
    <t>Chiều rộng nhà / mái</t>
  </si>
  <si>
    <t>Roof / building length</t>
  </si>
  <si>
    <t>Chiều dài nhà / mái</t>
  </si>
  <si>
    <t>II. Calculation / Tính toán</t>
  </si>
  <si>
    <t>II. Tính toán</t>
  </si>
  <si>
    <t>Ratio</t>
  </si>
  <si>
    <t>Tỷ số</t>
  </si>
  <si>
    <t>(kPa)</t>
  </si>
  <si>
    <t>Reference height / Chiều cao tham chiếu</t>
  </si>
  <si>
    <t>Chiều cao tham chiếu</t>
  </si>
  <si>
    <t>Terrain factor / Hệ số địa hình</t>
  </si>
  <si>
    <t>Hệ số địa hình</t>
  </si>
  <si>
    <t>Gust Effect factor / Hệ số hiệu ứng giật</t>
  </si>
  <si>
    <t>Hệ số hiệu ứng giật</t>
  </si>
  <si>
    <t>Internal pressure coefficient</t>
  </si>
  <si>
    <t>Hệ số khí động áp lực bên trong</t>
  </si>
  <si>
    <t>Wind pressure acting on the surfaces:</t>
  </si>
  <si>
    <t>Áp lực gió tác dụng lên bề mặt:</t>
  </si>
  <si>
    <t>Design wind load  - Transverse Direction (kPa)</t>
  </si>
  <si>
    <t>Tải trọng gió thiết kế - Hương ngang (kPa)</t>
  </si>
  <si>
    <t>Roof pitch angle / Góc nghiêng mái</t>
  </si>
  <si>
    <t>Góc nghiêng mái</t>
  </si>
  <si>
    <t>Roof slope / Độ dốc mái</t>
  </si>
  <si>
    <t>Độ dốc mái</t>
  </si>
  <si>
    <t>Tổng tĩnh tải phân bố đều lên mái</t>
  </si>
  <si>
    <t>kPa</t>
  </si>
  <si>
    <r>
      <t>W</t>
    </r>
    <r>
      <rPr>
        <vertAlign val="subscript"/>
        <sz val="10"/>
        <rFont val="Calibri"/>
        <family val="2"/>
        <scheme val="minor"/>
      </rPr>
      <t>3s,20</t>
    </r>
    <r>
      <rPr>
        <sz val="10"/>
        <rFont val="Calibri"/>
        <family val="2"/>
        <scheme val="minor"/>
      </rPr>
      <t xml:space="preserve"> =</t>
    </r>
  </si>
  <si>
    <t>Determine a, zg, Kh, I, and qh:</t>
  </si>
  <si>
    <r>
      <t>W</t>
    </r>
    <r>
      <rPr>
        <vertAlign val="subscript"/>
        <sz val="10"/>
        <rFont val="Calibri"/>
        <family val="2"/>
        <scheme val="minor"/>
      </rPr>
      <t>3s,10</t>
    </r>
    <r>
      <rPr>
        <sz val="10"/>
        <rFont val="Calibri"/>
        <family val="2"/>
        <scheme val="minor"/>
      </rPr>
      <t xml:space="preserve"> =</t>
    </r>
  </si>
  <si>
    <r>
      <t>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 xml:space="preserve"> =</t>
    </r>
  </si>
  <si>
    <r>
      <t>k(z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>) =</t>
    </r>
  </si>
  <si>
    <r>
      <t>G</t>
    </r>
    <r>
      <rPr>
        <vertAlign val="subscript"/>
        <sz val="10"/>
        <rFont val="Calibri"/>
        <family val="2"/>
        <scheme val="minor"/>
      </rPr>
      <t>f</t>
    </r>
    <r>
      <rPr>
        <sz val="10"/>
        <rFont val="Calibri"/>
        <family val="2"/>
        <scheme val="minor"/>
      </rPr>
      <t xml:space="preserve"> =</t>
    </r>
  </si>
  <si>
    <r>
      <t>W</t>
    </r>
    <r>
      <rPr>
        <vertAlign val="subscript"/>
        <sz val="10"/>
        <rFont val="Calibri"/>
        <family val="2"/>
        <scheme val="minor"/>
      </rPr>
      <t>3s,10</t>
    </r>
    <r>
      <rPr>
        <sz val="10"/>
        <rFont val="Calibri"/>
        <family val="2"/>
        <scheme val="minor"/>
      </rPr>
      <t xml:space="preserve"> . k(z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>).G</t>
    </r>
    <r>
      <rPr>
        <vertAlign val="subscript"/>
        <sz val="10"/>
        <rFont val="Calibri"/>
        <family val="2"/>
        <scheme val="minor"/>
      </rPr>
      <t>f =</t>
    </r>
  </si>
  <si>
    <r>
      <t>W</t>
    </r>
    <r>
      <rPr>
        <b/>
        <vertAlign val="subscript"/>
        <sz val="10"/>
        <rFont val="Calibri"/>
        <family val="2"/>
        <scheme val="minor"/>
      </rPr>
      <t>k</t>
    </r>
    <r>
      <rPr>
        <b/>
        <sz val="10"/>
        <rFont val="Calibri"/>
        <family val="2"/>
        <scheme val="minor"/>
      </rPr>
      <t xml:space="preserve"> = W</t>
    </r>
    <r>
      <rPr>
        <b/>
        <vertAlign val="subscript"/>
        <sz val="10"/>
        <rFont val="Calibri"/>
        <family val="2"/>
        <scheme val="minor"/>
      </rPr>
      <t>3s,10</t>
    </r>
    <r>
      <rPr>
        <b/>
        <sz val="10"/>
        <rFont val="Calibri"/>
        <family val="2"/>
        <scheme val="minor"/>
      </rPr>
      <t xml:space="preserve"> . k(z</t>
    </r>
    <r>
      <rPr>
        <b/>
        <vertAlign val="subscript"/>
        <sz val="10"/>
        <rFont val="Calibri"/>
        <family val="2"/>
        <scheme val="minor"/>
      </rPr>
      <t>e</t>
    </r>
    <r>
      <rPr>
        <b/>
        <sz val="10"/>
        <rFont val="Calibri"/>
        <family val="2"/>
        <scheme val="minor"/>
      </rPr>
      <t>).c</t>
    </r>
    <r>
      <rPr>
        <b/>
        <vertAlign val="subscript"/>
        <sz val="10"/>
        <rFont val="Calibri"/>
        <family val="2"/>
        <scheme val="minor"/>
      </rPr>
      <t>p</t>
    </r>
    <r>
      <rPr>
        <b/>
        <sz val="10"/>
        <rFont val="Calibri"/>
        <family val="2"/>
        <scheme val="minor"/>
      </rPr>
      <t>.G</t>
    </r>
    <r>
      <rPr>
        <b/>
        <vertAlign val="subscript"/>
        <sz val="10"/>
        <rFont val="Calibri"/>
        <family val="2"/>
        <scheme val="minor"/>
      </rPr>
      <t>f</t>
    </r>
  </si>
  <si>
    <t>Gió ngang</t>
  </si>
  <si>
    <t>Gió dọc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</si>
  <si>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0.613.K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.V</t>
    </r>
    <r>
      <rPr>
        <vertAlign val="superscript"/>
        <sz val="11"/>
        <color theme="1"/>
        <rFont val="Calibri"/>
        <family val="2"/>
        <scheme val="minor"/>
      </rPr>
      <t>2</t>
    </r>
  </si>
  <si>
    <t>Ce3</t>
  </si>
  <si>
    <t>Ce4</t>
  </si>
  <si>
    <t>Sơ đồ</t>
  </si>
  <si>
    <t>W1</t>
  </si>
  <si>
    <t>W2</t>
  </si>
  <si>
    <t>W3</t>
  </si>
  <si>
    <t>W4</t>
  </si>
  <si>
    <r>
      <t>Hệ số C</t>
    </r>
    <r>
      <rPr>
        <vertAlign val="subscript"/>
        <sz val="10"/>
        <rFont val="Calibri"/>
        <family val="2"/>
        <scheme val="minor"/>
      </rPr>
      <t>e</t>
    </r>
  </si>
  <si>
    <r>
      <t>Áp lực (kN/m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>)</t>
    </r>
  </si>
  <si>
    <t>Ghi chú</t>
  </si>
  <si>
    <t>Trường hợp</t>
  </si>
  <si>
    <t>Đỉnh mái</t>
  </si>
  <si>
    <t>Bước khung</t>
  </si>
  <si>
    <t>TH1</t>
  </si>
  <si>
    <t>TH2</t>
  </si>
  <si>
    <t>Return period wind speed / Chu kỳ lặp( years / năm)</t>
  </si>
  <si>
    <t xml:space="preserve">1.1 </t>
  </si>
  <si>
    <t>-0.3</t>
  </si>
  <si>
    <t>-1.6</t>
  </si>
  <si>
    <t>-0.4</t>
  </si>
  <si>
    <t>-1.2</t>
  </si>
  <si>
    <t xml:space="preserve"> 0.1</t>
  </si>
  <si>
    <t xml:space="preserve">1.3 </t>
  </si>
  <si>
    <t xml:space="preserve"> 0.3</t>
  </si>
  <si>
    <t>-0.7</t>
  </si>
  <si>
    <t xml:space="preserve"> 0.6</t>
  </si>
  <si>
    <t>-0.6</t>
  </si>
  <si>
    <t xml:space="preserve"> 0.9</t>
  </si>
  <si>
    <t>-0.5</t>
  </si>
  <si>
    <t xml:space="preserve">0.2 </t>
  </si>
  <si>
    <t>-0.9</t>
  </si>
  <si>
    <t xml:space="preserve">0.1 </t>
  </si>
  <si>
    <t>-1.1</t>
  </si>
  <si>
    <t>-0.1</t>
  </si>
  <si>
    <t>-0.8</t>
  </si>
  <si>
    <t>-0.2</t>
  </si>
  <si>
    <r>
      <t xml:space="preserve">Notes 3: For values </t>
    </r>
    <r>
      <rPr>
        <b/>
        <sz val="10"/>
        <rFont val="Symbol"/>
        <family val="1"/>
        <charset val="2"/>
      </rPr>
      <t>q</t>
    </r>
    <r>
      <rPr>
        <b/>
        <sz val="13"/>
        <rFont val="Arial"/>
        <family val="2"/>
      </rPr>
      <t xml:space="preserve"> </t>
    </r>
    <r>
      <rPr>
        <b/>
        <sz val="10"/>
        <rFont val="Arial"/>
        <family val="2"/>
      </rPr>
      <t>of between 7.5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and 45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, linear interpolation is permitted.
For values of less than 7.5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, use monoslope roof load coefficents</t>
    </r>
  </si>
  <si>
    <t>Pitch</t>
  </si>
  <si>
    <t>Mono</t>
  </si>
  <si>
    <r>
      <t>For values of less than 7.5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, use load coefficients for 0</t>
    </r>
    <r>
      <rPr>
        <b/>
        <vertAlign val="superscript"/>
        <sz val="10"/>
        <rFont val="Arial"/>
        <family val="2"/>
      </rPr>
      <t>o</t>
    </r>
  </si>
  <si>
    <t>®</t>
  </si>
  <si>
    <r>
      <t xml:space="preserve">Wind dir., </t>
    </r>
    <r>
      <rPr>
        <sz val="10"/>
        <color rgb="FF0070C0"/>
        <rFont val="Times New Roman"/>
        <family val="1"/>
      </rPr>
      <t>γ</t>
    </r>
    <r>
      <rPr>
        <sz val="8.5"/>
        <color rgb="FF0070C0"/>
        <rFont val="Arial"/>
        <family val="2"/>
      </rPr>
      <t xml:space="preserve"> = 0</t>
    </r>
    <r>
      <rPr>
        <vertAlign val="superscript"/>
        <sz val="8.5"/>
        <color rgb="FF0070C0"/>
        <rFont val="Arial"/>
        <family val="2"/>
      </rPr>
      <t>0</t>
    </r>
  </si>
  <si>
    <r>
      <t xml:space="preserve">Wind dir., </t>
    </r>
    <r>
      <rPr>
        <sz val="10"/>
        <color rgb="FF0070C0"/>
        <rFont val="Times New Roman"/>
        <family val="1"/>
      </rPr>
      <t>γ</t>
    </r>
    <r>
      <rPr>
        <sz val="8.5"/>
        <color rgb="FF0070C0"/>
        <rFont val="Arial"/>
        <family val="2"/>
      </rPr>
      <t xml:space="preserve"> = 180</t>
    </r>
    <r>
      <rPr>
        <vertAlign val="superscript"/>
        <sz val="8.5"/>
        <color rgb="FF0070C0"/>
        <rFont val="Arial"/>
        <family val="2"/>
      </rPr>
      <t>0</t>
    </r>
  </si>
  <si>
    <r>
      <rPr>
        <sz val="10"/>
        <color rgb="FF0070C0"/>
        <rFont val="Times New Roman"/>
        <family val="1"/>
      </rPr>
      <t>γ</t>
    </r>
    <r>
      <rPr>
        <sz val="8.5"/>
        <color rgb="FF0070C0"/>
        <rFont val="Arial"/>
        <family val="2"/>
      </rPr>
      <t xml:space="preserve"> = 90</t>
    </r>
    <r>
      <rPr>
        <vertAlign val="superscript"/>
        <sz val="8.5"/>
        <color rgb="FF0070C0"/>
        <rFont val="Arial"/>
        <family val="2"/>
      </rPr>
      <t>0</t>
    </r>
  </si>
  <si>
    <r>
      <t>C</t>
    </r>
    <r>
      <rPr>
        <vertAlign val="subscript"/>
        <sz val="10"/>
        <color rgb="FF0070C0"/>
        <rFont val="Arial"/>
        <family val="2"/>
      </rPr>
      <t>NW</t>
    </r>
  </si>
  <si>
    <r>
      <t>C</t>
    </r>
    <r>
      <rPr>
        <vertAlign val="subscript"/>
        <sz val="10"/>
        <color rgb="FF0070C0"/>
        <rFont val="Arial"/>
        <family val="2"/>
      </rPr>
      <t>NL</t>
    </r>
  </si>
  <si>
    <r>
      <t>C</t>
    </r>
    <r>
      <rPr>
        <vertAlign val="subscript"/>
        <sz val="10"/>
        <color rgb="FF0070C0"/>
        <rFont val="Arial"/>
        <family val="2"/>
      </rPr>
      <t>N</t>
    </r>
  </si>
  <si>
    <t>Height above ground level</t>
  </si>
  <si>
    <t>z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</si>
</sst>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0"/>
    <numFmt numFmtId="167" formatCode="[$-409]d\-mmm\-yy;@"/>
    <numFmt numFmtId="168" formatCode="0.0%"/>
  </numFmts>
  <fonts count="7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sz val="10"/>
      <name val="Arial"/>
      <family val="2"/>
    </font>
    <font>
      <b/>
      <sz val="10"/>
      <color rgb="FF0070C0"/>
      <name val="Arial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sz val="8"/>
      <color indexed="81"/>
      <name val="Tahoma"/>
      <family val="2"/>
    </font>
    <font>
      <u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12"/>
      <name val="Calibri"/>
      <family val="2"/>
      <scheme val="minor"/>
    </font>
    <font>
      <sz val="17.600000000000001"/>
      <color theme="1"/>
      <name val="Calibri"/>
      <family val="2"/>
    </font>
    <font>
      <sz val="11"/>
      <color theme="1"/>
      <name val="Calibri"/>
      <family val="1"/>
      <charset val="2"/>
    </font>
    <font>
      <vertAlign val="superscript"/>
      <sz val="11"/>
      <color theme="1"/>
      <name val="Calibri"/>
      <family val="2"/>
      <scheme val="minor"/>
    </font>
    <font>
      <sz val="10"/>
      <name val="Times New Roman"/>
      <family val="1"/>
    </font>
    <font>
      <sz val="8.5"/>
      <name val="Arial"/>
      <family val="2"/>
    </font>
    <font>
      <vertAlign val="superscript"/>
      <sz val="8.5"/>
      <name val="Arial"/>
      <family val="2"/>
    </font>
    <font>
      <sz val="10"/>
      <name val="Arial"/>
      <family val="1"/>
    </font>
    <font>
      <b/>
      <sz val="11"/>
      <color rgb="FF0000CC"/>
      <name val="Calibri"/>
      <family val="2"/>
      <scheme val="minor"/>
    </font>
    <font>
      <sz val="10"/>
      <color rgb="FFC00000"/>
      <name val="Arial"/>
      <family val="2"/>
    </font>
    <font>
      <b/>
      <sz val="10"/>
      <name val="Arial"/>
      <family val="2"/>
    </font>
    <font>
      <b/>
      <sz val="12"/>
      <color rgb="FF0070C0"/>
      <name val="Arial"/>
      <family val="2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indexed="8"/>
      <name val="Arial"/>
      <family val="2"/>
    </font>
    <font>
      <sz val="11"/>
      <color theme="1"/>
      <name val="Calibri"/>
      <family val="2"/>
      <charset val="163"/>
      <scheme val="minor"/>
    </font>
    <font>
      <b/>
      <i/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color rgb="FF0000FF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9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7030A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name val="Arial"/>
      <family val="2"/>
    </font>
    <font>
      <vertAlign val="superscript"/>
      <sz val="10"/>
      <name val="Calibri"/>
      <family val="2"/>
      <scheme val="minor"/>
    </font>
    <font>
      <b/>
      <sz val="10"/>
      <color rgb="FF006100"/>
      <name val="Calibri"/>
      <family val="2"/>
      <scheme val="minor"/>
    </font>
    <font>
      <b/>
      <sz val="10"/>
      <name val="Symbol"/>
      <family val="1"/>
      <charset val="2"/>
    </font>
    <font>
      <b/>
      <sz val="13"/>
      <name val="Arial"/>
      <family val="2"/>
    </font>
    <font>
      <b/>
      <vertAlign val="superscript"/>
      <sz val="10"/>
      <name val="Arial"/>
      <family val="2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0"/>
      <color rgb="FF0070C0"/>
      <name val="Times New Roman"/>
      <family val="1"/>
    </font>
    <font>
      <sz val="8.5"/>
      <color rgb="FF0070C0"/>
      <name val="Arial"/>
      <family val="2"/>
    </font>
    <font>
      <vertAlign val="superscript"/>
      <sz val="8.5"/>
      <color rgb="FF0070C0"/>
      <name val="Arial"/>
      <family val="2"/>
    </font>
    <font>
      <sz val="10"/>
      <color rgb="FF0070C0"/>
      <name val="Arial"/>
      <family val="1"/>
    </font>
    <font>
      <vertAlign val="subscript"/>
      <sz val="10"/>
      <color rgb="FF0070C0"/>
      <name val="Arial"/>
      <family val="2"/>
    </font>
    <font>
      <b/>
      <sz val="10"/>
      <color rgb="FF0000CC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5" fillId="0" borderId="0"/>
    <xf numFmtId="0" fontId="10" fillId="4" borderId="0" applyNumberFormat="0" applyBorder="0" applyAlignment="0" applyProtection="0"/>
    <xf numFmtId="49" fontId="38" fillId="0" borderId="0">
      <alignment horizontal="left" vertical="center"/>
    </xf>
    <xf numFmtId="0" fontId="39" fillId="0" borderId="0"/>
  </cellStyleXfs>
  <cellXfs count="321">
    <xf numFmtId="0" fontId="0" fillId="0" borderId="0" xfId="0"/>
    <xf numFmtId="2" fontId="0" fillId="0" borderId="3" xfId="0" applyNumberForma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2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5" fillId="5" borderId="0" xfId="1" applyFill="1"/>
    <xf numFmtId="0" fontId="5" fillId="5" borderId="3" xfId="1" applyFill="1" applyBorder="1" applyAlignment="1">
      <alignment horizontal="center"/>
    </xf>
    <xf numFmtId="0" fontId="19" fillId="5" borderId="0" xfId="1" applyFont="1" applyFill="1" applyAlignment="1">
      <alignment vertical="center"/>
    </xf>
    <xf numFmtId="0" fontId="5" fillId="5" borderId="15" xfId="1" applyFill="1" applyBorder="1" applyAlignment="1">
      <alignment horizontal="center"/>
    </xf>
    <xf numFmtId="0" fontId="5" fillId="5" borderId="17" xfId="1" applyFill="1" applyBorder="1" applyAlignment="1">
      <alignment horizontal="center"/>
    </xf>
    <xf numFmtId="0" fontId="5" fillId="5" borderId="18" xfId="1" applyFill="1" applyBorder="1" applyAlignment="1">
      <alignment horizontal="center"/>
    </xf>
    <xf numFmtId="0" fontId="5" fillId="5" borderId="19" xfId="1" applyFill="1" applyBorder="1" applyAlignment="1">
      <alignment vertical="center"/>
    </xf>
    <xf numFmtId="0" fontId="5" fillId="5" borderId="13" xfId="1" applyFill="1" applyBorder="1" applyAlignment="1">
      <alignment horizontal="center"/>
    </xf>
    <xf numFmtId="0" fontId="5" fillId="5" borderId="20" xfId="1" applyFill="1" applyBorder="1"/>
    <xf numFmtId="2" fontId="0" fillId="0" borderId="10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10" fillId="0" borderId="0" xfId="2" applyNumberFormat="1" applyFill="1" applyBorder="1" applyAlignment="1">
      <alignment horizontal="center" vertical="center"/>
    </xf>
    <xf numFmtId="0" fontId="28" fillId="5" borderId="3" xfId="1" applyFont="1" applyFill="1" applyBorder="1" applyAlignment="1">
      <alignment horizontal="center" vertical="center"/>
    </xf>
    <xf numFmtId="0" fontId="0" fillId="0" borderId="1" xfId="0" applyBorder="1"/>
    <xf numFmtId="0" fontId="0" fillId="0" borderId="11" xfId="0" applyBorder="1"/>
    <xf numFmtId="0" fontId="0" fillId="0" borderId="1" xfId="0" applyBorder="1" applyAlignment="1">
      <alignment horizontal="left" inden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3" fillId="0" borderId="0" xfId="0" applyFont="1" applyAlignment="1">
      <alignment horizontal="left" indent="1"/>
    </xf>
    <xf numFmtId="0" fontId="0" fillId="0" borderId="31" xfId="0" applyBorder="1" applyAlignment="1">
      <alignment horizontal="right" vertical="center"/>
    </xf>
    <xf numFmtId="0" fontId="9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2" xfId="0" applyBorder="1" applyAlignment="1">
      <alignment horizontal="right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right"/>
    </xf>
    <xf numFmtId="0" fontId="3" fillId="0" borderId="0" xfId="0" applyFont="1"/>
    <xf numFmtId="0" fontId="9" fillId="0" borderId="23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18" fillId="0" borderId="0" xfId="0" applyFont="1" applyAlignment="1">
      <alignment horizontal="left" indent="1"/>
    </xf>
    <xf numFmtId="0" fontId="37" fillId="0" borderId="0" xfId="0" applyFont="1"/>
    <xf numFmtId="0" fontId="40" fillId="5" borderId="0" xfId="3" applyNumberFormat="1" applyFont="1" applyFill="1" applyAlignment="1">
      <alignment horizontal="left" vertical="center" indent="1"/>
    </xf>
    <xf numFmtId="49" fontId="40" fillId="5" borderId="0" xfId="3" applyFont="1" applyFill="1" applyAlignment="1">
      <alignment vertical="center"/>
    </xf>
    <xf numFmtId="0" fontId="40" fillId="5" borderId="0" xfId="3" applyNumberFormat="1" applyFont="1" applyFill="1">
      <alignment horizontal="left" vertical="center"/>
    </xf>
    <xf numFmtId="166" fontId="40" fillId="5" borderId="0" xfId="3" applyNumberFormat="1" applyFont="1" applyFill="1">
      <alignment horizontal="left" vertical="center"/>
    </xf>
    <xf numFmtId="0" fontId="41" fillId="5" borderId="0" xfId="1" applyFont="1" applyFill="1" applyAlignment="1">
      <alignment horizontal="center"/>
    </xf>
    <xf numFmtId="0" fontId="42" fillId="5" borderId="0" xfId="1" applyFont="1" applyFill="1"/>
    <xf numFmtId="167" fontId="40" fillId="5" borderId="0" xfId="3" applyNumberFormat="1" applyFont="1" applyFill="1" applyAlignment="1">
      <alignment horizontal="left" vertical="top"/>
    </xf>
    <xf numFmtId="166" fontId="43" fillId="5" borderId="0" xfId="3" applyNumberFormat="1" applyFont="1" applyFill="1" applyAlignment="1">
      <alignment vertical="center"/>
    </xf>
    <xf numFmtId="0" fontId="44" fillId="5" borderId="0" xfId="1" applyFont="1" applyFill="1"/>
    <xf numFmtId="0" fontId="42" fillId="7" borderId="3" xfId="1" applyFont="1" applyFill="1" applyBorder="1" applyAlignment="1">
      <alignment horizontal="center" vertical="center"/>
    </xf>
    <xf numFmtId="0" fontId="42" fillId="7" borderId="3" xfId="1" applyFont="1" applyFill="1" applyBorder="1"/>
    <xf numFmtId="0" fontId="44" fillId="5" borderId="8" xfId="1" applyFont="1" applyFill="1" applyBorder="1" applyAlignment="1">
      <alignment horizontal="center" vertical="center"/>
    </xf>
    <xf numFmtId="0" fontId="44" fillId="5" borderId="3" xfId="1" applyFont="1" applyFill="1" applyBorder="1" applyAlignment="1">
      <alignment horizontal="center" vertical="center"/>
    </xf>
    <xf numFmtId="0" fontId="42" fillId="5" borderId="0" xfId="1" applyFont="1" applyFill="1" applyProtection="1">
      <protection hidden="1"/>
    </xf>
    <xf numFmtId="0" fontId="47" fillId="5" borderId="11" xfId="1" applyFont="1" applyFill="1" applyBorder="1" applyProtection="1">
      <protection hidden="1"/>
    </xf>
    <xf numFmtId="0" fontId="47" fillId="5" borderId="0" xfId="1" applyFont="1" applyFill="1" applyAlignment="1" applyProtection="1">
      <alignment horizontal="center"/>
      <protection hidden="1"/>
    </xf>
    <xf numFmtId="0" fontId="48" fillId="5" borderId="11" xfId="1" applyFont="1" applyFill="1" applyBorder="1" applyProtection="1">
      <protection hidden="1"/>
    </xf>
    <xf numFmtId="0" fontId="48" fillId="5" borderId="0" xfId="1" applyFont="1" applyFill="1" applyAlignment="1" applyProtection="1">
      <alignment horizontal="center"/>
      <protection hidden="1"/>
    </xf>
    <xf numFmtId="0" fontId="42" fillId="5" borderId="1" xfId="1" applyFont="1" applyFill="1" applyBorder="1" applyProtection="1">
      <protection hidden="1"/>
    </xf>
    <xf numFmtId="0" fontId="42" fillId="5" borderId="11" xfId="1" applyFont="1" applyFill="1" applyBorder="1" applyProtection="1">
      <protection hidden="1"/>
    </xf>
    <xf numFmtId="0" fontId="44" fillId="5" borderId="0" xfId="1" applyFont="1" applyFill="1" applyProtection="1">
      <protection hidden="1"/>
    </xf>
    <xf numFmtId="0" fontId="44" fillId="5" borderId="0" xfId="1" applyFont="1" applyFill="1" applyAlignment="1" applyProtection="1">
      <alignment horizontal="center"/>
      <protection hidden="1"/>
    </xf>
    <xf numFmtId="0" fontId="44" fillId="5" borderId="11" xfId="1" applyFont="1" applyFill="1" applyBorder="1" applyAlignment="1" applyProtection="1">
      <alignment horizontal="center"/>
      <protection hidden="1"/>
    </xf>
    <xf numFmtId="0" fontId="44" fillId="5" borderId="0" xfId="1" applyFont="1" applyFill="1" applyAlignment="1">
      <alignment horizontal="center"/>
    </xf>
    <xf numFmtId="0" fontId="42" fillId="5" borderId="0" xfId="1" applyFont="1" applyFill="1" applyAlignment="1" applyProtection="1">
      <alignment horizontal="center" vertical="center"/>
      <protection hidden="1"/>
    </xf>
    <xf numFmtId="0" fontId="42" fillId="5" borderId="3" xfId="1" applyFont="1" applyFill="1" applyBorder="1" applyAlignment="1">
      <alignment horizontal="center" vertical="center"/>
    </xf>
    <xf numFmtId="0" fontId="44" fillId="5" borderId="0" xfId="1" applyFont="1" applyFill="1" applyAlignment="1">
      <alignment horizontal="right"/>
    </xf>
    <xf numFmtId="0" fontId="51" fillId="5" borderId="0" xfId="1" applyFont="1" applyFill="1" applyProtection="1">
      <protection hidden="1"/>
    </xf>
    <xf numFmtId="0" fontId="44" fillId="5" borderId="8" xfId="1" applyFont="1" applyFill="1" applyBorder="1" applyAlignment="1">
      <alignment horizontal="right" vertical="center"/>
    </xf>
    <xf numFmtId="2" fontId="51" fillId="5" borderId="0" xfId="1" applyNumberFormat="1" applyFont="1" applyFill="1" applyAlignment="1" applyProtection="1">
      <alignment horizontal="left"/>
      <protection hidden="1"/>
    </xf>
    <xf numFmtId="0" fontId="44" fillId="5" borderId="8" xfId="1" applyFont="1" applyFill="1" applyBorder="1" applyAlignment="1">
      <alignment horizontal="right"/>
    </xf>
    <xf numFmtId="0" fontId="42" fillId="0" borderId="3" xfId="1" applyFont="1" applyBorder="1"/>
    <xf numFmtId="2" fontId="44" fillId="5" borderId="0" xfId="1" applyNumberFormat="1" applyFont="1" applyFill="1" applyAlignment="1">
      <alignment horizontal="center"/>
    </xf>
    <xf numFmtId="0" fontId="42" fillId="5" borderId="11" xfId="1" applyFont="1" applyFill="1" applyBorder="1"/>
    <xf numFmtId="165" fontId="44" fillId="5" borderId="0" xfId="1" applyNumberFormat="1" applyFont="1" applyFill="1" applyAlignment="1">
      <alignment horizontal="center"/>
    </xf>
    <xf numFmtId="2" fontId="41" fillId="5" borderId="0" xfId="1" applyNumberFormat="1" applyFont="1" applyFill="1" applyAlignment="1" applyProtection="1">
      <alignment horizontal="center" vertical="center"/>
      <protection hidden="1"/>
    </xf>
    <xf numFmtId="0" fontId="56" fillId="5" borderId="0" xfId="1" applyFont="1" applyFill="1" applyAlignment="1">
      <alignment horizontal="centerContinuous"/>
    </xf>
    <xf numFmtId="0" fontId="54" fillId="0" borderId="0" xfId="4" applyFont="1" applyAlignment="1">
      <alignment horizontal="center" vertical="center"/>
    </xf>
    <xf numFmtId="0" fontId="44" fillId="5" borderId="0" xfId="1" applyFont="1" applyFill="1" applyAlignment="1">
      <alignment horizontal="left"/>
    </xf>
    <xf numFmtId="0" fontId="42" fillId="5" borderId="1" xfId="1" applyFont="1" applyFill="1" applyBorder="1" applyAlignment="1" applyProtection="1">
      <alignment horizontal="right"/>
      <protection hidden="1"/>
    </xf>
    <xf numFmtId="2" fontId="41" fillId="5" borderId="11" xfId="1" applyNumberFormat="1" applyFont="1" applyFill="1" applyBorder="1" applyAlignment="1" applyProtection="1">
      <alignment horizontal="center" vertical="center"/>
      <protection hidden="1"/>
    </xf>
    <xf numFmtId="0" fontId="44" fillId="5" borderId="0" xfId="1" quotePrefix="1" applyFont="1" applyFill="1" applyAlignment="1">
      <alignment horizontal="right"/>
    </xf>
    <xf numFmtId="0" fontId="42" fillId="7" borderId="0" xfId="1" applyFont="1" applyFill="1"/>
    <xf numFmtId="0" fontId="57" fillId="5" borderId="1" xfId="1" applyFont="1" applyFill="1" applyBorder="1" applyProtection="1">
      <protection hidden="1"/>
    </xf>
    <xf numFmtId="0" fontId="42" fillId="5" borderId="23" xfId="1" applyFont="1" applyFill="1" applyBorder="1" applyAlignment="1" applyProtection="1">
      <alignment horizontal="left" vertical="center"/>
      <protection hidden="1"/>
    </xf>
    <xf numFmtId="0" fontId="42" fillId="5" borderId="7" xfId="1" applyFont="1" applyFill="1" applyBorder="1" applyProtection="1">
      <protection hidden="1"/>
    </xf>
    <xf numFmtId="0" fontId="42" fillId="5" borderId="12" xfId="1" applyFont="1" applyFill="1" applyBorder="1" applyProtection="1">
      <protection hidden="1"/>
    </xf>
    <xf numFmtId="0" fontId="53" fillId="5" borderId="11" xfId="1" applyFont="1" applyFill="1" applyBorder="1" applyAlignment="1" applyProtection="1">
      <alignment horizontal="left"/>
      <protection hidden="1"/>
    </xf>
    <xf numFmtId="0" fontId="53" fillId="5" borderId="1" xfId="1" applyFont="1" applyFill="1" applyBorder="1" applyAlignment="1" applyProtection="1">
      <alignment horizontal="left" indent="1"/>
      <protection hidden="1"/>
    </xf>
    <xf numFmtId="0" fontId="42" fillId="5" borderId="6" xfId="1" applyFont="1" applyFill="1" applyBorder="1" applyProtection="1">
      <protection hidden="1"/>
    </xf>
    <xf numFmtId="0" fontId="46" fillId="5" borderId="0" xfId="1" applyFont="1" applyFill="1" applyAlignment="1" applyProtection="1">
      <alignment horizontal="left"/>
      <protection hidden="1"/>
    </xf>
    <xf numFmtId="0" fontId="47" fillId="5" borderId="0" xfId="1" applyFont="1" applyFill="1" applyProtection="1">
      <protection hidden="1"/>
    </xf>
    <xf numFmtId="0" fontId="42" fillId="5" borderId="0" xfId="1" applyFont="1" applyFill="1" applyAlignment="1" applyProtection="1">
      <alignment horizontal="left"/>
      <protection hidden="1"/>
    </xf>
    <xf numFmtId="0" fontId="48" fillId="5" borderId="0" xfId="1" applyFont="1" applyFill="1" applyProtection="1">
      <protection hidden="1"/>
    </xf>
    <xf numFmtId="0" fontId="44" fillId="5" borderId="0" xfId="1" applyFont="1" applyFill="1" applyProtection="1">
      <protection locked="0"/>
    </xf>
    <xf numFmtId="0" fontId="42" fillId="5" borderId="0" xfId="1" applyFont="1" applyFill="1" applyAlignment="1" applyProtection="1">
      <alignment vertical="center"/>
      <protection hidden="1"/>
    </xf>
    <xf numFmtId="0" fontId="42" fillId="5" borderId="0" xfId="1" applyFont="1" applyFill="1" applyAlignment="1" applyProtection="1">
      <alignment horizontal="left" vertical="center"/>
      <protection hidden="1"/>
    </xf>
    <xf numFmtId="0" fontId="42" fillId="5" borderId="0" xfId="1" applyFont="1" applyFill="1" applyAlignment="1" applyProtection="1">
      <alignment horizontal="right"/>
      <protection hidden="1"/>
    </xf>
    <xf numFmtId="0" fontId="44" fillId="5" borderId="0" xfId="1" applyFont="1" applyFill="1" applyAlignment="1" applyProtection="1">
      <alignment horizontal="center"/>
      <protection locked="0"/>
    </xf>
    <xf numFmtId="0" fontId="44" fillId="5" borderId="0" xfId="1" applyFont="1" applyFill="1" applyAlignment="1" applyProtection="1">
      <alignment horizontal="left" vertical="center"/>
      <protection locked="0"/>
    </xf>
    <xf numFmtId="2" fontId="42" fillId="5" borderId="0" xfId="1" applyNumberFormat="1" applyFont="1" applyFill="1" applyAlignment="1" applyProtection="1">
      <alignment horizontal="center" vertical="center"/>
      <protection hidden="1"/>
    </xf>
    <xf numFmtId="2" fontId="44" fillId="5" borderId="0" xfId="1" applyNumberFormat="1" applyFont="1" applyFill="1" applyAlignment="1" applyProtection="1">
      <alignment horizontal="center"/>
      <protection locked="0"/>
    </xf>
    <xf numFmtId="0" fontId="42" fillId="5" borderId="0" xfId="1" applyFont="1" applyFill="1" applyAlignment="1" applyProtection="1">
      <alignment horizontal="right" vertical="center"/>
      <protection hidden="1"/>
    </xf>
    <xf numFmtId="168" fontId="52" fillId="5" borderId="0" xfId="1" applyNumberFormat="1" applyFont="1" applyFill="1" applyAlignment="1" applyProtection="1">
      <alignment horizontal="center" vertical="center"/>
      <protection hidden="1"/>
    </xf>
    <xf numFmtId="2" fontId="42" fillId="5" borderId="0" xfId="1" applyNumberFormat="1" applyFont="1" applyFill="1" applyAlignment="1" applyProtection="1">
      <alignment horizontal="center"/>
      <protection locked="0"/>
    </xf>
    <xf numFmtId="165" fontId="42" fillId="5" borderId="0" xfId="1" applyNumberFormat="1" applyFont="1" applyFill="1" applyAlignment="1" applyProtection="1">
      <alignment horizontal="center" vertical="center"/>
      <protection hidden="1"/>
    </xf>
    <xf numFmtId="2" fontId="52" fillId="5" borderId="0" xfId="1" applyNumberFormat="1" applyFont="1" applyFill="1" applyAlignment="1" applyProtection="1">
      <alignment horizontal="center"/>
      <protection locked="0"/>
    </xf>
    <xf numFmtId="0" fontId="42" fillId="5" borderId="0" xfId="1" applyFont="1" applyFill="1" applyAlignment="1">
      <alignment horizontal="right" vertical="center"/>
    </xf>
    <xf numFmtId="165" fontId="42" fillId="5" borderId="0" xfId="1" applyNumberFormat="1" applyFont="1" applyFill="1" applyAlignment="1" applyProtection="1">
      <alignment horizontal="center"/>
      <protection locked="0"/>
    </xf>
    <xf numFmtId="2" fontId="42" fillId="5" borderId="0" xfId="1" applyNumberFormat="1" applyFont="1" applyFill="1" applyAlignment="1" applyProtection="1">
      <alignment horizontal="left" vertical="center"/>
      <protection hidden="1"/>
    </xf>
    <xf numFmtId="165" fontId="55" fillId="5" borderId="0" xfId="1" applyNumberFormat="1" applyFont="1" applyFill="1" applyAlignment="1" applyProtection="1">
      <alignment horizontal="center"/>
      <protection locked="0"/>
    </xf>
    <xf numFmtId="2" fontId="59" fillId="0" borderId="3" xfId="0" applyNumberFormat="1" applyFont="1" applyBorder="1" applyAlignment="1">
      <alignment horizontal="center" vertical="center"/>
    </xf>
    <xf numFmtId="0" fontId="20" fillId="0" borderId="3" xfId="4" applyFont="1" applyBorder="1" applyAlignment="1">
      <alignment horizontal="center" vertical="center"/>
    </xf>
    <xf numFmtId="2" fontId="45" fillId="0" borderId="3" xfId="4" applyNumberFormat="1" applyFont="1" applyBorder="1" applyAlignment="1">
      <alignment horizontal="center" vertical="center"/>
    </xf>
    <xf numFmtId="0" fontId="45" fillId="0" borderId="3" xfId="4" applyFont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5" fillId="0" borderId="3" xfId="0" applyFont="1" applyBorder="1"/>
    <xf numFmtId="0" fontId="5" fillId="7" borderId="3" xfId="0" applyFont="1" applyFill="1" applyBorder="1"/>
    <xf numFmtId="2" fontId="42" fillId="5" borderId="0" xfId="1" applyNumberFormat="1" applyFont="1" applyFill="1" applyProtection="1">
      <protection locked="0"/>
    </xf>
    <xf numFmtId="0" fontId="42" fillId="5" borderId="32" xfId="1" applyFont="1" applyFill="1" applyBorder="1" applyProtection="1">
      <protection hidden="1"/>
    </xf>
    <xf numFmtId="0" fontId="42" fillId="5" borderId="32" xfId="1" applyFont="1" applyFill="1" applyBorder="1" applyAlignment="1" applyProtection="1">
      <alignment horizontal="right" vertical="center"/>
      <protection hidden="1"/>
    </xf>
    <xf numFmtId="0" fontId="42" fillId="5" borderId="33" xfId="1" applyFont="1" applyFill="1" applyBorder="1" applyProtection="1">
      <protection hidden="1"/>
    </xf>
    <xf numFmtId="0" fontId="42" fillId="5" borderId="33" xfId="1" applyFont="1" applyFill="1" applyBorder="1" applyAlignment="1" applyProtection="1">
      <alignment horizontal="right" vertical="center"/>
      <protection hidden="1"/>
    </xf>
    <xf numFmtId="0" fontId="42" fillId="5" borderId="31" xfId="1" applyFont="1" applyFill="1" applyBorder="1" applyProtection="1">
      <protection hidden="1"/>
    </xf>
    <xf numFmtId="0" fontId="42" fillId="5" borderId="31" xfId="1" applyFont="1" applyFill="1" applyBorder="1" applyAlignment="1" applyProtection="1">
      <alignment horizontal="right" vertical="center"/>
      <protection hidden="1"/>
    </xf>
    <xf numFmtId="0" fontId="60" fillId="5" borderId="0" xfId="0" applyFont="1" applyFill="1" applyAlignment="1" applyProtection="1">
      <alignment wrapText="1"/>
      <protection hidden="1"/>
    </xf>
    <xf numFmtId="0" fontId="42" fillId="5" borderId="0" xfId="1" applyFont="1" applyFill="1" applyAlignment="1" applyProtection="1">
      <alignment horizontal="center"/>
      <protection hidden="1"/>
    </xf>
    <xf numFmtId="0" fontId="42" fillId="5" borderId="30" xfId="1" applyFont="1" applyFill="1" applyBorder="1" applyAlignment="1" applyProtection="1">
      <alignment vertical="center"/>
      <protection hidden="1"/>
    </xf>
    <xf numFmtId="0" fontId="42" fillId="8" borderId="38" xfId="1" applyFont="1" applyFill="1" applyBorder="1" applyProtection="1">
      <protection hidden="1"/>
    </xf>
    <xf numFmtId="0" fontId="42" fillId="8" borderId="44" xfId="1" applyFont="1" applyFill="1" applyBorder="1" applyProtection="1">
      <protection hidden="1"/>
    </xf>
    <xf numFmtId="0" fontId="42" fillId="8" borderId="39" xfId="1" applyFont="1" applyFill="1" applyBorder="1" applyProtection="1">
      <protection hidden="1"/>
    </xf>
    <xf numFmtId="0" fontId="42" fillId="8" borderId="40" xfId="1" applyFont="1" applyFill="1" applyBorder="1" applyProtection="1">
      <protection hidden="1"/>
    </xf>
    <xf numFmtId="0" fontId="42" fillId="8" borderId="29" xfId="1" applyFont="1" applyFill="1" applyBorder="1" applyProtection="1">
      <protection hidden="1"/>
    </xf>
    <xf numFmtId="0" fontId="42" fillId="8" borderId="45" xfId="1" applyFont="1" applyFill="1" applyBorder="1" applyProtection="1">
      <protection hidden="1"/>
    </xf>
    <xf numFmtId="0" fontId="42" fillId="8" borderId="48" xfId="1" applyFont="1" applyFill="1" applyBorder="1" applyProtection="1">
      <protection hidden="1"/>
    </xf>
    <xf numFmtId="0" fontId="42" fillId="8" borderId="0" xfId="1" applyFont="1" applyFill="1" applyProtection="1">
      <protection hidden="1"/>
    </xf>
    <xf numFmtId="0" fontId="42" fillId="8" borderId="30" xfId="1" applyFont="1" applyFill="1" applyBorder="1" applyProtection="1">
      <protection hidden="1"/>
    </xf>
    <xf numFmtId="0" fontId="42" fillId="8" borderId="41" xfId="1" applyFont="1" applyFill="1" applyBorder="1" applyProtection="1">
      <protection hidden="1"/>
    </xf>
    <xf numFmtId="0" fontId="42" fillId="8" borderId="46" xfId="1" applyFont="1" applyFill="1" applyBorder="1" applyProtection="1">
      <protection hidden="1"/>
    </xf>
    <xf numFmtId="0" fontId="42" fillId="8" borderId="42" xfId="1" applyFont="1" applyFill="1" applyBorder="1" applyProtection="1">
      <protection hidden="1"/>
    </xf>
    <xf numFmtId="0" fontId="42" fillId="8" borderId="43" xfId="1" applyFont="1" applyFill="1" applyBorder="1" applyProtection="1">
      <protection hidden="1"/>
    </xf>
    <xf numFmtId="2" fontId="42" fillId="8" borderId="38" xfId="1" applyNumberFormat="1" applyFont="1" applyFill="1" applyBorder="1" applyProtection="1">
      <protection hidden="1"/>
    </xf>
    <xf numFmtId="0" fontId="5" fillId="5" borderId="21" xfId="1" applyFill="1" applyBorder="1"/>
    <xf numFmtId="0" fontId="31" fillId="5" borderId="41" xfId="1" applyFont="1" applyFill="1" applyBorder="1" applyAlignment="1">
      <alignment horizontal="center" vertical="center" wrapText="1"/>
    </xf>
    <xf numFmtId="0" fontId="5" fillId="5" borderId="14" xfId="1" applyFill="1" applyBorder="1" applyAlignment="1">
      <alignment horizontal="center"/>
    </xf>
    <xf numFmtId="0" fontId="5" fillId="5" borderId="9" xfId="1" applyFill="1" applyBorder="1" applyAlignment="1">
      <alignment horizontal="center"/>
    </xf>
    <xf numFmtId="0" fontId="5" fillId="5" borderId="52" xfId="1" applyFill="1" applyBorder="1" applyAlignment="1">
      <alignment horizontal="center"/>
    </xf>
    <xf numFmtId="0" fontId="5" fillId="5" borderId="16" xfId="1" applyFill="1" applyBorder="1" applyAlignment="1">
      <alignment horizontal="center"/>
    </xf>
    <xf numFmtId="0" fontId="5" fillId="5" borderId="53" xfId="1" applyFill="1" applyBorder="1" applyAlignment="1">
      <alignment horizontal="center"/>
    </xf>
    <xf numFmtId="2" fontId="59" fillId="0" borderId="26" xfId="0" applyNumberFormat="1" applyFont="1" applyBorder="1" applyAlignment="1">
      <alignment horizontal="center" vertical="center"/>
    </xf>
    <xf numFmtId="0" fontId="59" fillId="0" borderId="27" xfId="0" applyFont="1" applyBorder="1" applyAlignment="1">
      <alignment horizontal="center" vertical="center"/>
    </xf>
    <xf numFmtId="2" fontId="30" fillId="5" borderId="26" xfId="1" applyNumberFormat="1" applyFont="1" applyFill="1" applyBorder="1" applyAlignment="1">
      <alignment horizontal="center" vertical="center"/>
    </xf>
    <xf numFmtId="0" fontId="30" fillId="5" borderId="27" xfId="1" applyFont="1" applyFill="1" applyBorder="1" applyAlignment="1">
      <alignment horizontal="center"/>
    </xf>
    <xf numFmtId="0" fontId="5" fillId="5" borderId="19" xfId="1" applyFill="1" applyBorder="1" applyAlignment="1">
      <alignment horizontal="center" vertical="center"/>
    </xf>
    <xf numFmtId="0" fontId="5" fillId="5" borderId="20" xfId="1" applyFill="1" applyBorder="1" applyAlignment="1">
      <alignment horizontal="center"/>
    </xf>
    <xf numFmtId="0" fontId="5" fillId="5" borderId="21" xfId="1" applyFill="1" applyBorder="1" applyAlignment="1">
      <alignment horizontal="center"/>
    </xf>
    <xf numFmtId="0" fontId="18" fillId="0" borderId="3" xfId="0" applyFont="1" applyBorder="1" applyAlignment="1">
      <alignment horizontal="center" vertical="center"/>
    </xf>
    <xf numFmtId="2" fontId="5" fillId="5" borderId="3" xfId="1" applyNumberFormat="1" applyFill="1" applyBorder="1" applyAlignment="1">
      <alignment horizontal="center" vertical="center"/>
    </xf>
    <xf numFmtId="2" fontId="5" fillId="5" borderId="15" xfId="1" applyNumberForma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2" fontId="5" fillId="5" borderId="17" xfId="1" applyNumberFormat="1" applyFill="1" applyBorder="1" applyAlignment="1">
      <alignment horizontal="center" vertical="center"/>
    </xf>
    <xf numFmtId="2" fontId="5" fillId="5" borderId="18" xfId="1" applyNumberFormat="1" applyFill="1" applyBorder="1" applyAlignment="1">
      <alignment horizontal="center" vertical="center"/>
    </xf>
    <xf numFmtId="2" fontId="59" fillId="0" borderId="20" xfId="0" applyNumberFormat="1" applyFont="1" applyBorder="1"/>
    <xf numFmtId="2" fontId="59" fillId="0" borderId="21" xfId="0" applyNumberFormat="1" applyFont="1" applyBorder="1"/>
    <xf numFmtId="2" fontId="59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9" fillId="0" borderId="3" xfId="0" applyFont="1" applyBorder="1" applyAlignment="1">
      <alignment horizontal="center" vertical="center"/>
    </xf>
    <xf numFmtId="0" fontId="59" fillId="0" borderId="17" xfId="0" applyFont="1" applyBorder="1" applyAlignment="1">
      <alignment horizontal="center" vertical="center"/>
    </xf>
    <xf numFmtId="2" fontId="30" fillId="5" borderId="27" xfId="1" applyNumberFormat="1" applyFont="1" applyFill="1" applyBorder="1" applyAlignment="1">
      <alignment horizontal="center" vertical="center"/>
    </xf>
    <xf numFmtId="2" fontId="59" fillId="0" borderId="27" xfId="0" applyNumberFormat="1" applyFont="1" applyBorder="1" applyAlignment="1">
      <alignment horizontal="center" vertical="center"/>
    </xf>
    <xf numFmtId="2" fontId="59" fillId="0" borderId="28" xfId="0" applyNumberFormat="1" applyFont="1" applyBorder="1" applyAlignment="1">
      <alignment horizontal="center" vertical="center"/>
    </xf>
    <xf numFmtId="2" fontId="59" fillId="0" borderId="15" xfId="0" applyNumberFormat="1" applyFont="1" applyBorder="1" applyAlignment="1">
      <alignment horizontal="center" vertical="center"/>
    </xf>
    <xf numFmtId="2" fontId="59" fillId="0" borderId="17" xfId="0" applyNumberFormat="1" applyFont="1" applyBorder="1" applyAlignment="1">
      <alignment horizontal="center" vertical="center"/>
    </xf>
    <xf numFmtId="2" fontId="59" fillId="0" borderId="18" xfId="0" applyNumberFormat="1" applyFont="1" applyBorder="1" applyAlignment="1">
      <alignment horizontal="center" vertical="center"/>
    </xf>
    <xf numFmtId="2" fontId="10" fillId="6" borderId="10" xfId="2" applyNumberFormat="1" applyFill="1" applyBorder="1" applyAlignment="1">
      <alignment horizontal="center" vertical="center"/>
    </xf>
    <xf numFmtId="2" fontId="10" fillId="6" borderId="4" xfId="2" applyNumberFormat="1" applyFill="1" applyBorder="1" applyAlignment="1">
      <alignment horizontal="center" vertical="center"/>
    </xf>
    <xf numFmtId="2" fontId="10" fillId="6" borderId="3" xfId="2" applyNumberFormat="1" applyFill="1" applyBorder="1" applyAlignment="1">
      <alignment horizontal="center" vertical="center"/>
    </xf>
    <xf numFmtId="0" fontId="5" fillId="0" borderId="0" xfId="0" applyFont="1" applyAlignment="1" applyProtection="1">
      <alignment horizontal="left" vertical="center"/>
      <protection hidden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1" fillId="5" borderId="0" xfId="0" applyFont="1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21" fillId="5" borderId="0" xfId="0" applyNumberFormat="1" applyFont="1" applyFill="1" applyAlignment="1" applyProtection="1">
      <alignment horizontal="center"/>
      <protection locked="0"/>
    </xf>
    <xf numFmtId="0" fontId="23" fillId="0" borderId="0" xfId="0" applyFont="1" applyAlignment="1">
      <alignment horizontal="right"/>
    </xf>
    <xf numFmtId="165" fontId="0" fillId="0" borderId="0" xfId="0" applyNumberFormat="1" applyAlignment="1">
      <alignment horizontal="center" vertical="center"/>
    </xf>
    <xf numFmtId="0" fontId="5" fillId="5" borderId="0" xfId="1" applyFill="1" applyAlignment="1">
      <alignment vertical="center"/>
    </xf>
    <xf numFmtId="0" fontId="5" fillId="0" borderId="0" xfId="1" applyAlignment="1">
      <alignment horizontal="center"/>
    </xf>
    <xf numFmtId="0" fontId="0" fillId="0" borderId="6" xfId="0" applyBorder="1"/>
    <xf numFmtId="0" fontId="0" fillId="0" borderId="7" xfId="0" applyBorder="1"/>
    <xf numFmtId="2" fontId="0" fillId="0" borderId="7" xfId="0" applyNumberFormat="1" applyBorder="1" applyAlignment="1">
      <alignment horizontal="center" vertical="center"/>
    </xf>
    <xf numFmtId="0" fontId="0" fillId="0" borderId="12" xfId="0" applyBorder="1"/>
    <xf numFmtId="0" fontId="0" fillId="0" borderId="0" xfId="0" applyAlignment="1">
      <alignment vertical="center" wrapText="1"/>
    </xf>
    <xf numFmtId="0" fontId="0" fillId="0" borderId="22" xfId="0" applyBorder="1"/>
    <xf numFmtId="0" fontId="0" fillId="0" borderId="23" xfId="0" applyBorder="1"/>
    <xf numFmtId="2" fontId="0" fillId="0" borderId="23" xfId="0" applyNumberFormat="1" applyBorder="1" applyAlignment="1">
      <alignment horizontal="center" vertical="center"/>
    </xf>
    <xf numFmtId="0" fontId="0" fillId="0" borderId="24" xfId="0" applyBorder="1"/>
    <xf numFmtId="0" fontId="42" fillId="5" borderId="22" xfId="1" applyFont="1" applyFill="1" applyBorder="1" applyProtection="1">
      <protection hidden="1"/>
    </xf>
    <xf numFmtId="0" fontId="42" fillId="5" borderId="23" xfId="1" applyFont="1" applyFill="1" applyBorder="1" applyProtection="1">
      <protection hidden="1"/>
    </xf>
    <xf numFmtId="0" fontId="42" fillId="5" borderId="24" xfId="1" applyFont="1" applyFill="1" applyBorder="1" applyProtection="1">
      <protection hidden="1"/>
    </xf>
    <xf numFmtId="0" fontId="72" fillId="3" borderId="3" xfId="1" applyFont="1" applyFill="1" applyBorder="1" applyAlignment="1">
      <alignment horizontal="center" vertical="center"/>
    </xf>
    <xf numFmtId="0" fontId="68" fillId="3" borderId="3" xfId="1" applyFont="1" applyFill="1" applyBorder="1" applyAlignment="1">
      <alignment horizontal="center"/>
    </xf>
    <xf numFmtId="0" fontId="74" fillId="0" borderId="3" xfId="4" applyFont="1" applyBorder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left" indent="1"/>
    </xf>
    <xf numFmtId="0" fontId="9" fillId="0" borderId="23" xfId="0" applyFont="1" applyBorder="1" applyAlignment="1">
      <alignment horizontal="center"/>
    </xf>
    <xf numFmtId="0" fontId="0" fillId="0" borderId="2" xfId="0" applyBorder="1" applyAlignment="1">
      <alignment horizontal="left" vertical="center"/>
    </xf>
    <xf numFmtId="0" fontId="10" fillId="0" borderId="2" xfId="0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23" xfId="0" applyFont="1" applyBorder="1" applyAlignment="1">
      <alignment horizontal="left" vertical="center"/>
    </xf>
    <xf numFmtId="0" fontId="3" fillId="0" borderId="31" xfId="0" applyFont="1" applyBorder="1" applyAlignment="1">
      <alignment horizontal="left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59" fillId="0" borderId="2" xfId="0" applyFont="1" applyBorder="1" applyAlignment="1">
      <alignment horizontal="center"/>
    </xf>
    <xf numFmtId="0" fontId="34" fillId="0" borderId="23" xfId="0" applyFont="1" applyBorder="1" applyAlignment="1">
      <alignment horizontal="center" vertical="center" wrapText="1"/>
    </xf>
    <xf numFmtId="0" fontId="34" fillId="0" borderId="23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5" fillId="2" borderId="22" xfId="0" applyFont="1" applyFill="1" applyBorder="1" applyAlignment="1" applyProtection="1">
      <alignment horizontal="center" vertical="center" wrapText="1"/>
      <protection hidden="1"/>
    </xf>
    <xf numFmtId="0" fontId="35" fillId="2" borderId="23" xfId="0" applyFont="1" applyFill="1" applyBorder="1" applyAlignment="1" applyProtection="1">
      <alignment horizontal="center" vertical="center" wrapText="1"/>
      <protection hidden="1"/>
    </xf>
    <xf numFmtId="0" fontId="35" fillId="2" borderId="24" xfId="0" applyFont="1" applyFill="1" applyBorder="1" applyAlignment="1" applyProtection="1">
      <alignment horizontal="center" vertical="center" wrapText="1"/>
      <protection hidden="1"/>
    </xf>
    <xf numFmtId="0" fontId="35" fillId="2" borderId="1" xfId="0" applyFont="1" applyFill="1" applyBorder="1" applyAlignment="1" applyProtection="1">
      <alignment horizontal="center" vertical="center" wrapText="1"/>
      <protection hidden="1"/>
    </xf>
    <xf numFmtId="0" fontId="35" fillId="2" borderId="0" xfId="0" applyFont="1" applyFill="1" applyAlignment="1" applyProtection="1">
      <alignment horizontal="center" vertical="center" wrapText="1"/>
      <protection hidden="1"/>
    </xf>
    <xf numFmtId="0" fontId="35" fillId="2" borderId="11" xfId="0" applyFont="1" applyFill="1" applyBorder="1" applyAlignment="1" applyProtection="1">
      <alignment horizontal="center" vertical="center" wrapText="1"/>
      <protection hidden="1"/>
    </xf>
    <xf numFmtId="0" fontId="33" fillId="3" borderId="2" xfId="0" applyFont="1" applyFill="1" applyBorder="1" applyAlignment="1">
      <alignment horizontal="left" vertical="center" indent="1"/>
    </xf>
    <xf numFmtId="0" fontId="0" fillId="0" borderId="33" xfId="0" applyBorder="1" applyAlignment="1">
      <alignment horizontal="left" vertical="center" indent="1"/>
    </xf>
    <xf numFmtId="0" fontId="9" fillId="0" borderId="33" xfId="0" applyFont="1" applyBorder="1" applyAlignment="1">
      <alignment horizontal="center"/>
    </xf>
    <xf numFmtId="0" fontId="0" fillId="0" borderId="31" xfId="0" applyBorder="1" applyAlignment="1">
      <alignment horizontal="left" vertical="center" indent="1"/>
    </xf>
    <xf numFmtId="0" fontId="9" fillId="0" borderId="34" xfId="0" applyFont="1" applyBorder="1" applyAlignment="1">
      <alignment horizontal="center"/>
    </xf>
    <xf numFmtId="0" fontId="0" fillId="0" borderId="32" xfId="0" applyBorder="1" applyAlignment="1">
      <alignment horizontal="left" vertical="center" indent="1"/>
    </xf>
    <xf numFmtId="0" fontId="66" fillId="3" borderId="3" xfId="4" applyFont="1" applyFill="1" applyBorder="1" applyAlignment="1">
      <alignment horizontal="center" vertical="center" wrapText="1"/>
    </xf>
    <xf numFmtId="0" fontId="20" fillId="0" borderId="3" xfId="4" applyFont="1" applyBorder="1" applyAlignment="1">
      <alignment horizontal="center" vertical="center"/>
    </xf>
    <xf numFmtId="0" fontId="66" fillId="3" borderId="3" xfId="1" applyFont="1" applyFill="1" applyBorder="1" applyAlignment="1" applyProtection="1">
      <alignment horizontal="center"/>
      <protection hidden="1"/>
    </xf>
    <xf numFmtId="0" fontId="66" fillId="3" borderId="3" xfId="1" quotePrefix="1" applyFont="1" applyFill="1" applyBorder="1" applyAlignment="1">
      <alignment horizontal="center"/>
    </xf>
    <xf numFmtId="0" fontId="66" fillId="3" borderId="3" xfId="4" applyFont="1" applyFill="1" applyBorder="1" applyAlignment="1">
      <alignment horizontal="center"/>
    </xf>
    <xf numFmtId="2" fontId="62" fillId="5" borderId="32" xfId="1" applyNumberFormat="1" applyFont="1" applyFill="1" applyBorder="1" applyAlignment="1" applyProtection="1">
      <alignment horizontal="center"/>
      <protection hidden="1"/>
    </xf>
    <xf numFmtId="0" fontId="42" fillId="5" borderId="34" xfId="1" applyFont="1" applyFill="1" applyBorder="1" applyAlignment="1" applyProtection="1">
      <alignment horizontal="center"/>
      <protection hidden="1"/>
    </xf>
    <xf numFmtId="0" fontId="42" fillId="5" borderId="33" xfId="1" applyFont="1" applyFill="1" applyBorder="1" applyAlignment="1" applyProtection="1">
      <alignment horizontal="center"/>
      <protection hidden="1"/>
    </xf>
    <xf numFmtId="0" fontId="42" fillId="5" borderId="2" xfId="1" applyFont="1" applyFill="1" applyBorder="1" applyAlignment="1" applyProtection="1">
      <alignment horizontal="center"/>
      <protection hidden="1"/>
    </xf>
    <xf numFmtId="0" fontId="42" fillId="5" borderId="2" xfId="1" applyFont="1" applyFill="1" applyBorder="1" applyAlignment="1" applyProtection="1">
      <alignment horizontal="right" vertical="center"/>
      <protection hidden="1"/>
    </xf>
    <xf numFmtId="0" fontId="48" fillId="0" borderId="0" xfId="1" applyFont="1" applyAlignment="1" applyProtection="1">
      <alignment horizontal="center" vertical="center"/>
      <protection hidden="1"/>
    </xf>
    <xf numFmtId="0" fontId="45" fillId="5" borderId="35" xfId="1" applyFont="1" applyFill="1" applyBorder="1" applyAlignment="1">
      <alignment horizontal="center" vertical="center"/>
    </xf>
    <xf numFmtId="0" fontId="45" fillId="5" borderId="36" xfId="1" applyFont="1" applyFill="1" applyBorder="1" applyAlignment="1">
      <alignment horizontal="center" vertical="center"/>
    </xf>
    <xf numFmtId="0" fontId="45" fillId="5" borderId="37" xfId="1" applyFont="1" applyFill="1" applyBorder="1" applyAlignment="1">
      <alignment horizontal="center" vertical="center"/>
    </xf>
    <xf numFmtId="0" fontId="49" fillId="3" borderId="5" xfId="1" applyFont="1" applyFill="1" applyBorder="1" applyAlignment="1" applyProtection="1">
      <alignment horizontal="left" vertical="center" indent="1"/>
      <protection hidden="1"/>
    </xf>
    <xf numFmtId="0" fontId="49" fillId="3" borderId="2" xfId="1" applyFont="1" applyFill="1" applyBorder="1" applyAlignment="1" applyProtection="1">
      <alignment horizontal="left" vertical="center" indent="1"/>
      <protection hidden="1"/>
    </xf>
    <xf numFmtId="0" fontId="32" fillId="3" borderId="23" xfId="0" applyFont="1" applyFill="1" applyBorder="1" applyAlignment="1" applyProtection="1">
      <alignment horizontal="center" vertical="center" wrapText="1"/>
      <protection hidden="1"/>
    </xf>
    <xf numFmtId="0" fontId="32" fillId="3" borderId="24" xfId="0" applyFont="1" applyFill="1" applyBorder="1" applyAlignment="1" applyProtection="1">
      <alignment horizontal="center" vertical="center" wrapText="1"/>
      <protection hidden="1"/>
    </xf>
    <xf numFmtId="0" fontId="32" fillId="3" borderId="0" xfId="0" applyFont="1" applyFill="1" applyAlignment="1" applyProtection="1">
      <alignment horizontal="center" vertical="center" wrapText="1"/>
      <protection hidden="1"/>
    </xf>
    <xf numFmtId="0" fontId="32" fillId="3" borderId="11" xfId="0" applyFont="1" applyFill="1" applyBorder="1" applyAlignment="1" applyProtection="1">
      <alignment horizontal="center" vertical="center" wrapText="1"/>
      <protection hidden="1"/>
    </xf>
    <xf numFmtId="0" fontId="4" fillId="2" borderId="22" xfId="0" applyFont="1" applyFill="1" applyBorder="1" applyAlignment="1" applyProtection="1">
      <alignment horizontal="center" vertical="center" wrapText="1"/>
      <protection hidden="1"/>
    </xf>
    <xf numFmtId="0" fontId="4" fillId="2" borderId="23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0" xfId="0" applyFont="1" applyFill="1" applyAlignment="1" applyProtection="1">
      <alignment horizontal="center" vertical="center" wrapText="1"/>
      <protection hidden="1"/>
    </xf>
    <xf numFmtId="2" fontId="42" fillId="8" borderId="47" xfId="1" applyNumberFormat="1" applyFont="1" applyFill="1" applyBorder="1" applyAlignment="1" applyProtection="1">
      <alignment horizontal="center"/>
      <protection hidden="1"/>
    </xf>
    <xf numFmtId="2" fontId="42" fillId="8" borderId="44" xfId="1" applyNumberFormat="1" applyFont="1" applyFill="1" applyBorder="1" applyAlignment="1" applyProtection="1">
      <alignment horizontal="center"/>
      <protection hidden="1"/>
    </xf>
    <xf numFmtId="2" fontId="42" fillId="8" borderId="49" xfId="1" applyNumberFormat="1" applyFont="1" applyFill="1" applyBorder="1" applyAlignment="1" applyProtection="1">
      <alignment horizontal="center"/>
      <protection hidden="1"/>
    </xf>
    <xf numFmtId="0" fontId="42" fillId="8" borderId="46" xfId="1" applyFont="1" applyFill="1" applyBorder="1" applyAlignment="1" applyProtection="1">
      <alignment horizontal="center"/>
      <protection hidden="1"/>
    </xf>
    <xf numFmtId="2" fontId="42" fillId="8" borderId="46" xfId="1" applyNumberFormat="1" applyFont="1" applyFill="1" applyBorder="1" applyAlignment="1" applyProtection="1">
      <alignment horizontal="center"/>
      <protection hidden="1"/>
    </xf>
    <xf numFmtId="2" fontId="42" fillId="8" borderId="47" xfId="1" applyNumberFormat="1" applyFont="1" applyFill="1" applyBorder="1" applyAlignment="1" applyProtection="1">
      <alignment horizontal="center" vertical="center"/>
      <protection hidden="1"/>
    </xf>
    <xf numFmtId="2" fontId="42" fillId="8" borderId="44" xfId="1" applyNumberFormat="1" applyFont="1" applyFill="1" applyBorder="1" applyAlignment="1" applyProtection="1">
      <alignment horizontal="center" vertical="center"/>
      <protection hidden="1"/>
    </xf>
    <xf numFmtId="2" fontId="42" fillId="8" borderId="48" xfId="1" applyNumberFormat="1" applyFont="1" applyFill="1" applyBorder="1" applyAlignment="1" applyProtection="1">
      <alignment horizontal="center" vertical="center"/>
      <protection hidden="1"/>
    </xf>
    <xf numFmtId="2" fontId="42" fillId="8" borderId="45" xfId="1" applyNumberFormat="1" applyFont="1" applyFill="1" applyBorder="1" applyAlignment="1" applyProtection="1">
      <alignment horizontal="center" vertical="center"/>
      <protection hidden="1"/>
    </xf>
    <xf numFmtId="2" fontId="42" fillId="8" borderId="49" xfId="1" applyNumberFormat="1" applyFont="1" applyFill="1" applyBorder="1" applyAlignment="1" applyProtection="1">
      <alignment horizontal="center" vertical="center"/>
      <protection hidden="1"/>
    </xf>
    <xf numFmtId="2" fontId="42" fillId="8" borderId="46" xfId="1" applyNumberFormat="1" applyFont="1" applyFill="1" applyBorder="1" applyAlignment="1" applyProtection="1">
      <alignment horizontal="center" vertical="center"/>
      <protection hidden="1"/>
    </xf>
    <xf numFmtId="2" fontId="42" fillId="8" borderId="41" xfId="1" applyNumberFormat="1" applyFont="1" applyFill="1" applyBorder="1" applyAlignment="1" applyProtection="1">
      <alignment horizontal="center"/>
      <protection hidden="1"/>
    </xf>
    <xf numFmtId="2" fontId="54" fillId="0" borderId="3" xfId="4" applyNumberFormat="1" applyFont="1" applyBorder="1" applyAlignment="1">
      <alignment horizontal="center"/>
    </xf>
    <xf numFmtId="0" fontId="66" fillId="3" borderId="3" xfId="1" applyFont="1" applyFill="1" applyBorder="1" applyAlignment="1">
      <alignment horizontal="center"/>
    </xf>
    <xf numFmtId="0" fontId="67" fillId="3" borderId="3" xfId="0" applyFont="1" applyFill="1" applyBorder="1" applyAlignment="1">
      <alignment horizontal="center" vertical="center" wrapText="1"/>
    </xf>
    <xf numFmtId="0" fontId="68" fillId="3" borderId="3" xfId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3" borderId="5" xfId="1" applyFont="1" applyFill="1" applyBorder="1" applyAlignment="1" applyProtection="1">
      <alignment horizontal="left" vertical="center"/>
      <protection hidden="1"/>
    </xf>
    <xf numFmtId="0" fontId="6" fillId="3" borderId="2" xfId="1" applyFont="1" applyFill="1" applyBorder="1" applyAlignment="1" applyProtection="1">
      <alignment horizontal="left" vertical="center"/>
      <protection hidden="1"/>
    </xf>
    <xf numFmtId="0" fontId="29" fillId="0" borderId="3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/>
    </xf>
    <xf numFmtId="0" fontId="5" fillId="5" borderId="3" xfId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2" fontId="59" fillId="0" borderId="20" xfId="0" applyNumberFormat="1" applyFont="1" applyBorder="1" applyAlignment="1">
      <alignment horizontal="center" vertical="center"/>
    </xf>
    <xf numFmtId="2" fontId="59" fillId="0" borderId="21" xfId="0" applyNumberFormat="1" applyFont="1" applyBorder="1" applyAlignment="1">
      <alignment horizontal="center" vertical="center"/>
    </xf>
    <xf numFmtId="0" fontId="5" fillId="5" borderId="13" xfId="1" applyFill="1" applyBorder="1" applyAlignment="1">
      <alignment horizontal="center" vertical="center"/>
    </xf>
    <xf numFmtId="0" fontId="5" fillId="5" borderId="14" xfId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1" fillId="5" borderId="39" xfId="1" applyFont="1" applyFill="1" applyBorder="1" applyAlignment="1">
      <alignment horizontal="center" vertical="center" wrapText="1"/>
    </xf>
    <xf numFmtId="0" fontId="31" fillId="5" borderId="40" xfId="1" applyFont="1" applyFill="1" applyBorder="1" applyAlignment="1">
      <alignment horizontal="center" vertical="center" wrapText="1"/>
    </xf>
    <xf numFmtId="0" fontId="31" fillId="5" borderId="42" xfId="1" applyFont="1" applyFill="1" applyBorder="1" applyAlignment="1">
      <alignment horizontal="center" vertical="center" wrapText="1"/>
    </xf>
    <xf numFmtId="0" fontId="31" fillId="5" borderId="43" xfId="1" applyFont="1" applyFill="1" applyBorder="1" applyAlignment="1">
      <alignment horizontal="center" vertical="center" wrapText="1"/>
    </xf>
    <xf numFmtId="0" fontId="31" fillId="5" borderId="38" xfId="1" applyFont="1" applyFill="1" applyBorder="1" applyAlignment="1">
      <alignment horizontal="center" vertical="center" wrapText="1"/>
    </xf>
    <xf numFmtId="0" fontId="31" fillId="5" borderId="41" xfId="1" applyFont="1" applyFill="1" applyBorder="1" applyAlignment="1">
      <alignment horizontal="center" vertical="center" wrapText="1"/>
    </xf>
    <xf numFmtId="0" fontId="31" fillId="5" borderId="50" xfId="1" applyFont="1" applyFill="1" applyBorder="1" applyAlignment="1">
      <alignment horizontal="center" vertical="center" wrapText="1"/>
    </xf>
    <xf numFmtId="0" fontId="31" fillId="5" borderId="51" xfId="1" applyFont="1" applyFill="1" applyBorder="1" applyAlignment="1">
      <alignment horizontal="center" vertical="center" wrapText="1"/>
    </xf>
    <xf numFmtId="0" fontId="5" fillId="5" borderId="15" xfId="1" applyFill="1" applyBorder="1" applyAlignment="1">
      <alignment horizontal="center"/>
    </xf>
    <xf numFmtId="0" fontId="5" fillId="5" borderId="25" xfId="1" applyFill="1" applyBorder="1" applyAlignment="1" applyProtection="1">
      <alignment horizontal="center" vertical="center"/>
      <protection hidden="1"/>
    </xf>
    <xf numFmtId="0" fontId="5" fillId="5" borderId="20" xfId="1" applyFill="1" applyBorder="1" applyAlignment="1" applyProtection="1">
      <alignment horizontal="center" vertical="center"/>
      <protection hidden="1"/>
    </xf>
    <xf numFmtId="0" fontId="5" fillId="5" borderId="9" xfId="1" applyFill="1" applyBorder="1" applyAlignment="1">
      <alignment horizontal="center" vertical="center" wrapText="1"/>
    </xf>
    <xf numFmtId="0" fontId="5" fillId="5" borderId="3" xfId="1" applyFill="1" applyBorder="1" applyAlignment="1">
      <alignment horizontal="center" vertical="center" wrapText="1"/>
    </xf>
    <xf numFmtId="0" fontId="5" fillId="5" borderId="9" xfId="1" applyFill="1" applyBorder="1" applyAlignment="1">
      <alignment horizontal="center" vertical="center"/>
    </xf>
    <xf numFmtId="0" fontId="5" fillId="5" borderId="52" xfId="1" applyFill="1" applyBorder="1" applyAlignment="1">
      <alignment horizontal="center" vertical="center"/>
    </xf>
    <xf numFmtId="0" fontId="5" fillId="5" borderId="3" xfId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5" borderId="19" xfId="1" applyFill="1" applyBorder="1" applyAlignment="1" applyProtection="1">
      <alignment horizontal="center" vertical="center"/>
      <protection hidden="1"/>
    </xf>
    <xf numFmtId="0" fontId="5" fillId="5" borderId="21" xfId="1" applyFill="1" applyBorder="1" applyAlignment="1" applyProtection="1">
      <alignment horizontal="center" vertical="center"/>
      <protection hidden="1"/>
    </xf>
    <xf numFmtId="0" fontId="5" fillId="5" borderId="13" xfId="1" applyFill="1" applyBorder="1" applyAlignment="1">
      <alignment horizontal="center" vertical="center" wrapText="1"/>
    </xf>
    <xf numFmtId="0" fontId="5" fillId="5" borderId="17" xfId="1" applyFill="1" applyBorder="1" applyAlignment="1">
      <alignment horizontal="center" vertical="center" wrapText="1"/>
    </xf>
  </cellXfs>
  <cellStyles count="5">
    <cellStyle name="Good" xfId="2" builtinId="26"/>
    <cellStyle name="Normal" xfId="0" builtinId="0"/>
    <cellStyle name="Normal 2" xfId="1" xr:uid="{DCA97497-E9FA-4A9C-A634-D2FECC055F74}"/>
    <cellStyle name="Normal 3" xfId="4" xr:uid="{E6C227FD-0DC3-46A2-BA1C-54142E728B22}"/>
    <cellStyle name="Tieu de phu" xfId="3" xr:uid="{31561870-675F-43E9-92B5-F1E4CA59EC1B}"/>
  </cellStyles>
  <dxfs count="0"/>
  <tableStyles count="0" defaultTableStyle="TableStyleMedium2" defaultPivotStyle="PivotStyleLight16"/>
  <colors>
    <mruColors>
      <color rgb="FF006100"/>
      <color rgb="FFCC00CC"/>
      <color rgb="FF0000CC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513522</xdr:colOff>
      <xdr:row>4</xdr:row>
      <xdr:rowOff>0</xdr:rowOff>
    </xdr:from>
    <xdr:to>
      <xdr:col>19</xdr:col>
      <xdr:colOff>331243</xdr:colOff>
      <xdr:row>28</xdr:row>
      <xdr:rowOff>11987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909B6-A867-DC1B-1122-67E543D4F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7087" y="775681"/>
          <a:ext cx="4721025" cy="47993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327454</xdr:colOff>
      <xdr:row>32</xdr:row>
      <xdr:rowOff>31240</xdr:rowOff>
    </xdr:from>
    <xdr:to>
      <xdr:col>31</xdr:col>
      <xdr:colOff>246143</xdr:colOff>
      <xdr:row>59</xdr:row>
      <xdr:rowOff>90422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CC0CF9-CA12-2B93-650B-6E872DABD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4542" y="4872181"/>
          <a:ext cx="6664630" cy="5000976"/>
        </a:xfrm>
        <a:prstGeom prst="rect">
          <a:avLst/>
        </a:prstGeom>
      </xdr:spPr>
    </xdr:pic>
    <xdr:clientData/>
  </xdr:twoCellAnchor>
  <xdr:twoCellAnchor editAs="oneCell">
    <xdr:from>
      <xdr:col>13</xdr:col>
      <xdr:colOff>154503</xdr:colOff>
      <xdr:row>23</xdr:row>
      <xdr:rowOff>134753</xdr:rowOff>
    </xdr:from>
    <xdr:to>
      <xdr:col>18</xdr:col>
      <xdr:colOff>139607</xdr:colOff>
      <xdr:row>31</xdr:row>
      <xdr:rowOff>80771</xdr:rowOff>
    </xdr:to>
    <xdr:pic>
      <xdr:nvPicPr>
        <xdr:cNvPr id="5" name="SoDo9">
          <a:extLst>
            <a:ext uri="{FF2B5EF4-FFF2-40B4-BE49-F238E27FC236}">
              <a16:creationId xmlns:a16="http://schemas.microsoft.com/office/drawing/2014/main" id="{5A91FCDA-3536-4B30-9755-1AA3BB6756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0379" t="61536" r="23234"/>
        <a:stretch/>
      </xdr:blipFill>
      <xdr:spPr>
        <a:xfrm>
          <a:off x="5066090" y="3422949"/>
          <a:ext cx="1890104" cy="1436887"/>
        </a:xfrm>
        <a:prstGeom prst="rect">
          <a:avLst/>
        </a:prstGeom>
        <a:ln w="9525" cmpd="sng">
          <a:noFill/>
        </a:ln>
      </xdr:spPr>
    </xdr:pic>
    <xdr:clientData/>
  </xdr:twoCellAnchor>
  <xdr:twoCellAnchor>
    <xdr:from>
      <xdr:col>6</xdr:col>
      <xdr:colOff>306458</xdr:colOff>
      <xdr:row>39</xdr:row>
      <xdr:rowOff>115957</xdr:rowOff>
    </xdr:from>
    <xdr:to>
      <xdr:col>7</xdr:col>
      <xdr:colOff>146540</xdr:colOff>
      <xdr:row>41</xdr:row>
      <xdr:rowOff>0</xdr:rowOff>
    </xdr:to>
    <xdr:sp macro="" textlink="">
      <xdr:nvSpPr>
        <xdr:cNvPr id="6" name="Arrow: Up 5">
          <a:extLst>
            <a:ext uri="{FF2B5EF4-FFF2-40B4-BE49-F238E27FC236}">
              <a16:creationId xmlns:a16="http://schemas.microsoft.com/office/drawing/2014/main" id="{32A9D50A-4CF8-C6B1-2253-7C8AF64596C0}"/>
            </a:ext>
          </a:extLst>
        </xdr:cNvPr>
        <xdr:cNvSpPr/>
      </xdr:nvSpPr>
      <xdr:spPr>
        <a:xfrm>
          <a:off x="2394631" y="6358495"/>
          <a:ext cx="221082" cy="323659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307731</xdr:colOff>
      <xdr:row>30</xdr:row>
      <xdr:rowOff>109904</xdr:rowOff>
    </xdr:from>
    <xdr:to>
      <xdr:col>14</xdr:col>
      <xdr:colOff>147813</xdr:colOff>
      <xdr:row>32</xdr:row>
      <xdr:rowOff>52563</xdr:rowOff>
    </xdr:to>
    <xdr:sp macro="" textlink="">
      <xdr:nvSpPr>
        <xdr:cNvPr id="7" name="Arrow: Up 6">
          <a:extLst>
            <a:ext uri="{FF2B5EF4-FFF2-40B4-BE49-F238E27FC236}">
              <a16:creationId xmlns:a16="http://schemas.microsoft.com/office/drawing/2014/main" id="{14F1B87F-0BA7-4284-8EFE-F65DBBD92CF3}"/>
            </a:ext>
          </a:extLst>
        </xdr:cNvPr>
        <xdr:cNvSpPr/>
      </xdr:nvSpPr>
      <xdr:spPr>
        <a:xfrm rot="10800000">
          <a:off x="5224096" y="4637942"/>
          <a:ext cx="221082" cy="323659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402980</xdr:colOff>
      <xdr:row>33</xdr:row>
      <xdr:rowOff>102577</xdr:rowOff>
    </xdr:from>
    <xdr:to>
      <xdr:col>8</xdr:col>
      <xdr:colOff>402980</xdr:colOff>
      <xdr:row>35</xdr:row>
      <xdr:rowOff>29308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81BFD202-F122-F368-D464-2042A3FFAEC8}"/>
            </a:ext>
          </a:extLst>
        </xdr:cNvPr>
        <xdr:cNvCxnSpPr/>
      </xdr:nvCxnSpPr>
      <xdr:spPr>
        <a:xfrm flipV="1">
          <a:off x="3289788" y="5202115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359019</xdr:colOff>
      <xdr:row>33</xdr:row>
      <xdr:rowOff>65942</xdr:rowOff>
    </xdr:from>
    <xdr:to>
      <xdr:col>4</xdr:col>
      <xdr:colOff>359019</xdr:colOff>
      <xdr:row>34</xdr:row>
      <xdr:rowOff>183173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730FF3D-DC81-4BF7-959F-FCBAEC0B2E06}"/>
            </a:ext>
          </a:extLst>
        </xdr:cNvPr>
        <xdr:cNvCxnSpPr/>
      </xdr:nvCxnSpPr>
      <xdr:spPr>
        <a:xfrm flipV="1">
          <a:off x="1685192" y="5165480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351692</xdr:colOff>
      <xdr:row>36</xdr:row>
      <xdr:rowOff>95251</xdr:rowOff>
    </xdr:from>
    <xdr:to>
      <xdr:col>4</xdr:col>
      <xdr:colOff>351692</xdr:colOff>
      <xdr:row>38</xdr:row>
      <xdr:rowOff>36636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113C06C0-6BCA-4BCD-BDF2-21AB25BD4E8B}"/>
            </a:ext>
          </a:extLst>
        </xdr:cNvPr>
        <xdr:cNvCxnSpPr/>
      </xdr:nvCxnSpPr>
      <xdr:spPr>
        <a:xfrm>
          <a:off x="1677865" y="5766289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388327</xdr:colOff>
      <xdr:row>36</xdr:row>
      <xdr:rowOff>102577</xdr:rowOff>
    </xdr:from>
    <xdr:to>
      <xdr:col>8</xdr:col>
      <xdr:colOff>388327</xdr:colOff>
      <xdr:row>38</xdr:row>
      <xdr:rowOff>43962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597BB38-4503-4071-BD53-335FA1BD8070}"/>
            </a:ext>
          </a:extLst>
        </xdr:cNvPr>
        <xdr:cNvCxnSpPr/>
      </xdr:nvCxnSpPr>
      <xdr:spPr>
        <a:xfrm>
          <a:off x="3275135" y="5773615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51289</xdr:colOff>
      <xdr:row>33</xdr:row>
      <xdr:rowOff>124559</xdr:rowOff>
    </xdr:from>
    <xdr:to>
      <xdr:col>16</xdr:col>
      <xdr:colOff>51289</xdr:colOff>
      <xdr:row>35</xdr:row>
      <xdr:rowOff>51290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BF64DDA4-C78A-48B3-87CC-AFFB0ED6E0E9}"/>
            </a:ext>
          </a:extLst>
        </xdr:cNvPr>
        <xdr:cNvCxnSpPr/>
      </xdr:nvCxnSpPr>
      <xdr:spPr>
        <a:xfrm flipV="1">
          <a:off x="6110654" y="5224097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33</xdr:row>
      <xdr:rowOff>87924</xdr:rowOff>
    </xdr:from>
    <xdr:to>
      <xdr:col>12</xdr:col>
      <xdr:colOff>0</xdr:colOff>
      <xdr:row>35</xdr:row>
      <xdr:rowOff>14655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D5A6A2B1-9D66-4B3E-9C9D-27BFEF02D235}"/>
            </a:ext>
          </a:extLst>
        </xdr:cNvPr>
        <xdr:cNvCxnSpPr/>
      </xdr:nvCxnSpPr>
      <xdr:spPr>
        <a:xfrm flipV="1">
          <a:off x="4506058" y="5187462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373673</xdr:colOff>
      <xdr:row>36</xdr:row>
      <xdr:rowOff>117233</xdr:rowOff>
    </xdr:from>
    <xdr:to>
      <xdr:col>11</xdr:col>
      <xdr:colOff>373673</xdr:colOff>
      <xdr:row>38</xdr:row>
      <xdr:rowOff>58618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120A4876-133F-4B3B-8EA6-5F0ACB61AA3B}"/>
            </a:ext>
          </a:extLst>
        </xdr:cNvPr>
        <xdr:cNvCxnSpPr/>
      </xdr:nvCxnSpPr>
      <xdr:spPr>
        <a:xfrm>
          <a:off x="4498731" y="5788271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36636</xdr:colOff>
      <xdr:row>36</xdr:row>
      <xdr:rowOff>124559</xdr:rowOff>
    </xdr:from>
    <xdr:to>
      <xdr:col>16</xdr:col>
      <xdr:colOff>36636</xdr:colOff>
      <xdr:row>38</xdr:row>
      <xdr:rowOff>65944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EE4634A-94E8-4FC0-9C52-64325E93229B}"/>
            </a:ext>
          </a:extLst>
        </xdr:cNvPr>
        <xdr:cNvCxnSpPr/>
      </xdr:nvCxnSpPr>
      <xdr:spPr>
        <a:xfrm>
          <a:off x="6096001" y="5795597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402980</xdr:colOff>
      <xdr:row>47</xdr:row>
      <xdr:rowOff>102577</xdr:rowOff>
    </xdr:from>
    <xdr:to>
      <xdr:col>8</xdr:col>
      <xdr:colOff>402980</xdr:colOff>
      <xdr:row>49</xdr:row>
      <xdr:rowOff>29308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4E5B1B1C-6AD1-4157-97E6-1B40B82BFC1D}"/>
            </a:ext>
          </a:extLst>
        </xdr:cNvPr>
        <xdr:cNvCxnSpPr/>
      </xdr:nvCxnSpPr>
      <xdr:spPr>
        <a:xfrm flipV="1">
          <a:off x="3289788" y="5202115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359019</xdr:colOff>
      <xdr:row>47</xdr:row>
      <xdr:rowOff>65942</xdr:rowOff>
    </xdr:from>
    <xdr:to>
      <xdr:col>4</xdr:col>
      <xdr:colOff>359019</xdr:colOff>
      <xdr:row>48</xdr:row>
      <xdr:rowOff>183173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85C57B64-8CCB-49C9-9F35-331B59D513F0}"/>
            </a:ext>
          </a:extLst>
        </xdr:cNvPr>
        <xdr:cNvCxnSpPr/>
      </xdr:nvCxnSpPr>
      <xdr:spPr>
        <a:xfrm flipV="1">
          <a:off x="1685192" y="5165480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351692</xdr:colOff>
      <xdr:row>50</xdr:row>
      <xdr:rowOff>95251</xdr:rowOff>
    </xdr:from>
    <xdr:to>
      <xdr:col>4</xdr:col>
      <xdr:colOff>351692</xdr:colOff>
      <xdr:row>52</xdr:row>
      <xdr:rowOff>36636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AD42AD74-F8F1-4AEC-8E99-E9284D9AB0ED}"/>
            </a:ext>
          </a:extLst>
        </xdr:cNvPr>
        <xdr:cNvCxnSpPr/>
      </xdr:nvCxnSpPr>
      <xdr:spPr>
        <a:xfrm>
          <a:off x="1677865" y="5766289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388327</xdr:colOff>
      <xdr:row>50</xdr:row>
      <xdr:rowOff>102577</xdr:rowOff>
    </xdr:from>
    <xdr:to>
      <xdr:col>8</xdr:col>
      <xdr:colOff>388327</xdr:colOff>
      <xdr:row>52</xdr:row>
      <xdr:rowOff>43962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6DABDCBC-6FE5-4585-A586-9A634F35FD7E}"/>
            </a:ext>
          </a:extLst>
        </xdr:cNvPr>
        <xdr:cNvCxnSpPr/>
      </xdr:nvCxnSpPr>
      <xdr:spPr>
        <a:xfrm>
          <a:off x="3275135" y="5773615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51289</xdr:colOff>
      <xdr:row>47</xdr:row>
      <xdr:rowOff>124559</xdr:rowOff>
    </xdr:from>
    <xdr:to>
      <xdr:col>16</xdr:col>
      <xdr:colOff>51289</xdr:colOff>
      <xdr:row>49</xdr:row>
      <xdr:rowOff>51290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3A4BAB9-5539-4EE5-926F-20B935FBA24D}"/>
            </a:ext>
          </a:extLst>
        </xdr:cNvPr>
        <xdr:cNvCxnSpPr/>
      </xdr:nvCxnSpPr>
      <xdr:spPr>
        <a:xfrm flipV="1">
          <a:off x="6110654" y="5224097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47</xdr:row>
      <xdr:rowOff>87924</xdr:rowOff>
    </xdr:from>
    <xdr:to>
      <xdr:col>12</xdr:col>
      <xdr:colOff>0</xdr:colOff>
      <xdr:row>49</xdr:row>
      <xdr:rowOff>14655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AD3A9F3-800D-469D-B382-39D296D2728F}"/>
            </a:ext>
          </a:extLst>
        </xdr:cNvPr>
        <xdr:cNvCxnSpPr/>
      </xdr:nvCxnSpPr>
      <xdr:spPr>
        <a:xfrm flipV="1">
          <a:off x="4506058" y="5187462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373673</xdr:colOff>
      <xdr:row>50</xdr:row>
      <xdr:rowOff>117233</xdr:rowOff>
    </xdr:from>
    <xdr:to>
      <xdr:col>11</xdr:col>
      <xdr:colOff>373673</xdr:colOff>
      <xdr:row>52</xdr:row>
      <xdr:rowOff>58618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4A762151-F5CA-42C6-ABDC-E11D28F98EB7}"/>
            </a:ext>
          </a:extLst>
        </xdr:cNvPr>
        <xdr:cNvCxnSpPr/>
      </xdr:nvCxnSpPr>
      <xdr:spPr>
        <a:xfrm>
          <a:off x="4498731" y="5788271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36636</xdr:colOff>
      <xdr:row>50</xdr:row>
      <xdr:rowOff>124559</xdr:rowOff>
    </xdr:from>
    <xdr:to>
      <xdr:col>16</xdr:col>
      <xdr:colOff>36636</xdr:colOff>
      <xdr:row>52</xdr:row>
      <xdr:rowOff>65944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EA2A4721-5AC1-499A-AC04-C0E83547580D}"/>
            </a:ext>
          </a:extLst>
        </xdr:cNvPr>
        <xdr:cNvCxnSpPr/>
      </xdr:nvCxnSpPr>
      <xdr:spPr>
        <a:xfrm>
          <a:off x="6096001" y="5795597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249115</xdr:colOff>
      <xdr:row>49</xdr:row>
      <xdr:rowOff>80597</xdr:rowOff>
    </xdr:from>
    <xdr:to>
      <xdr:col>3</xdr:col>
      <xdr:colOff>133158</xdr:colOff>
      <xdr:row>50</xdr:row>
      <xdr:rowOff>111179</xdr:rowOff>
    </xdr:to>
    <xdr:sp macro="" textlink="">
      <xdr:nvSpPr>
        <xdr:cNvPr id="27" name="Arrow: Up 26">
          <a:extLst>
            <a:ext uri="{FF2B5EF4-FFF2-40B4-BE49-F238E27FC236}">
              <a16:creationId xmlns:a16="http://schemas.microsoft.com/office/drawing/2014/main" id="{9D628018-22D0-4D9D-99BF-D85DF08C8850}"/>
            </a:ext>
          </a:extLst>
        </xdr:cNvPr>
        <xdr:cNvSpPr/>
      </xdr:nvSpPr>
      <xdr:spPr>
        <a:xfrm rot="5400000">
          <a:off x="835269" y="8206154"/>
          <a:ext cx="221082" cy="265043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240196</xdr:colOff>
      <xdr:row>36</xdr:row>
      <xdr:rowOff>33135</xdr:rowOff>
    </xdr:from>
    <xdr:to>
      <xdr:col>6</xdr:col>
      <xdr:colOff>554933</xdr:colOff>
      <xdr:row>45</xdr:row>
      <xdr:rowOff>92385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92EBA1D-B070-DB28-2674-DB2FF4487F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841" t="5905" b="28567"/>
        <a:stretch/>
      </xdr:blipFill>
      <xdr:spPr>
        <a:xfrm>
          <a:off x="422413" y="6750331"/>
          <a:ext cx="3379303" cy="1806880"/>
        </a:xfrm>
        <a:prstGeom prst="rect">
          <a:avLst/>
        </a:prstGeom>
      </xdr:spPr>
    </xdr:pic>
    <xdr:clientData/>
  </xdr:twoCellAnchor>
  <xdr:twoCellAnchor editAs="oneCell">
    <xdr:from>
      <xdr:col>7</xdr:col>
      <xdr:colOff>466192</xdr:colOff>
      <xdr:row>36</xdr:row>
      <xdr:rowOff>41412</xdr:rowOff>
    </xdr:from>
    <xdr:to>
      <xdr:col>10</xdr:col>
      <xdr:colOff>240195</xdr:colOff>
      <xdr:row>45</xdr:row>
      <xdr:rowOff>57719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DAD1B0B-EA44-7477-8DBC-3FC348E1B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25888" y="6758608"/>
          <a:ext cx="1612742" cy="1763937"/>
        </a:xfrm>
        <a:prstGeom prst="rect">
          <a:avLst/>
        </a:prstGeom>
      </xdr:spPr>
    </xdr:pic>
    <xdr:clientData/>
  </xdr:twoCellAnchor>
  <xdr:twoCellAnchor editAs="oneCell">
    <xdr:from>
      <xdr:col>32</xdr:col>
      <xdr:colOff>586764</xdr:colOff>
      <xdr:row>52</xdr:row>
      <xdr:rowOff>34907</xdr:rowOff>
    </xdr:from>
    <xdr:to>
      <xdr:col>42</xdr:col>
      <xdr:colOff>483482</xdr:colOff>
      <xdr:row>72</xdr:row>
      <xdr:rowOff>137847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779FE2E-DC34-4216-9C02-26436769D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727873" y="9816668"/>
          <a:ext cx="6025848" cy="39543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OU98PRINAP02\clients\Documents%20and%20Settings\RVICERRA\Desktop\Engineering%20Design%20Aids\Alex\AISCPro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, S, M, HP Shapes"/>
      <sheetName val="C, MC Shapes"/>
      <sheetName val="WT Shapes"/>
      <sheetName val="Angles"/>
      <sheetName val="2Angles"/>
      <sheetName val="Tubes"/>
      <sheetName val="Pipes"/>
    </sheetNames>
    <sheetDataSet>
      <sheetData sheetId="0"/>
      <sheetData sheetId="1"/>
      <sheetData sheetId="2"/>
      <sheetData sheetId="3"/>
      <sheetData sheetId="4">
        <row r="1">
          <cell r="A1" t="str">
            <v>Shape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9C8FE-C6BB-463E-B54D-01FD5B81228B}">
  <sheetPr codeName="Sheet3">
    <tabColor rgb="FF0070C0"/>
  </sheetPr>
  <dimension ref="A2:K33"/>
  <sheetViews>
    <sheetView showGridLines="0" view="pageBreakPreview" zoomScale="115" zoomScaleNormal="115" zoomScaleSheetLayoutView="115" workbookViewId="0">
      <selection activeCell="L30" sqref="L30"/>
    </sheetView>
  </sheetViews>
  <sheetFormatPr defaultRowHeight="15" outlineLevelRow="1"/>
  <cols>
    <col min="1" max="1" width="2.7109375" customWidth="1"/>
    <col min="2" max="2" width="5.5703125" customWidth="1"/>
    <col min="6" max="8" width="9.7109375" customWidth="1"/>
    <col min="9" max="10" width="10.42578125" customWidth="1"/>
  </cols>
  <sheetData>
    <row r="2" spans="1:11" hidden="1"/>
    <row r="3" spans="1:11" ht="15" customHeight="1">
      <c r="B3" s="227" t="s">
        <v>108</v>
      </c>
      <c r="C3" s="228"/>
      <c r="D3" s="228"/>
      <c r="E3" s="228"/>
      <c r="F3" s="228"/>
      <c r="G3" s="228"/>
      <c r="H3" s="228"/>
      <c r="I3" s="228"/>
      <c r="J3" s="228"/>
      <c r="K3" s="229"/>
    </row>
    <row r="4" spans="1:11" ht="15" customHeight="1">
      <c r="B4" s="230"/>
      <c r="C4" s="231"/>
      <c r="D4" s="231"/>
      <c r="E4" s="231"/>
      <c r="F4" s="231"/>
      <c r="G4" s="231"/>
      <c r="H4" s="231"/>
      <c r="I4" s="231"/>
      <c r="J4" s="231"/>
      <c r="K4" s="232"/>
    </row>
    <row r="5" spans="1:11">
      <c r="A5" s="21"/>
      <c r="C5" s="40" t="s">
        <v>117</v>
      </c>
      <c r="D5" s="26"/>
      <c r="E5" s="39" t="s">
        <v>119</v>
      </c>
      <c r="F5" s="26"/>
      <c r="K5" s="22"/>
    </row>
    <row r="6" spans="1:11">
      <c r="A6" s="21"/>
      <c r="E6" s="39" t="s">
        <v>118</v>
      </c>
      <c r="K6" s="22"/>
    </row>
    <row r="7" spans="1:11">
      <c r="A7" s="21"/>
      <c r="B7" s="233" t="s">
        <v>109</v>
      </c>
      <c r="C7" s="233"/>
      <c r="K7" s="22"/>
    </row>
    <row r="8" spans="1:11">
      <c r="A8" s="21"/>
      <c r="K8" s="22"/>
    </row>
    <row r="9" spans="1:11">
      <c r="A9" s="21"/>
      <c r="C9" s="225" t="s">
        <v>92</v>
      </c>
      <c r="D9" s="225" t="s">
        <v>93</v>
      </c>
      <c r="E9" s="225"/>
      <c r="F9" s="225"/>
      <c r="G9" s="224" t="s">
        <v>94</v>
      </c>
      <c r="H9" s="225"/>
      <c r="I9" s="224" t="s">
        <v>95</v>
      </c>
      <c r="J9" s="225"/>
      <c r="K9" s="22"/>
    </row>
    <row r="10" spans="1:11">
      <c r="A10" s="21"/>
      <c r="C10" s="226"/>
      <c r="D10" s="226"/>
      <c r="E10" s="226"/>
      <c r="F10" s="226"/>
      <c r="G10" s="226"/>
      <c r="H10" s="226"/>
      <c r="I10" s="226"/>
      <c r="J10" s="226"/>
      <c r="K10" s="22"/>
    </row>
    <row r="11" spans="1:11" ht="18">
      <c r="A11" s="21"/>
      <c r="C11" s="31">
        <v>1</v>
      </c>
      <c r="D11" s="236" t="s">
        <v>96</v>
      </c>
      <c r="E11" s="236"/>
      <c r="F11" s="236"/>
      <c r="G11" s="237" t="s">
        <v>97</v>
      </c>
      <c r="H11" s="237"/>
      <c r="I11" s="27" t="s">
        <v>98</v>
      </c>
      <c r="J11" s="28">
        <v>345</v>
      </c>
      <c r="K11" s="22"/>
    </row>
    <row r="12" spans="1:11" ht="18">
      <c r="A12" s="21"/>
      <c r="C12" s="32">
        <v>2</v>
      </c>
      <c r="D12" s="238" t="s">
        <v>99</v>
      </c>
      <c r="E12" s="238"/>
      <c r="F12" s="238"/>
      <c r="G12" s="221" t="s">
        <v>107</v>
      </c>
      <c r="H12" s="221"/>
      <c r="I12" s="27" t="s">
        <v>98</v>
      </c>
      <c r="J12" s="29">
        <v>220</v>
      </c>
      <c r="K12" s="22"/>
    </row>
    <row r="13" spans="1:11" ht="18">
      <c r="A13" s="21"/>
      <c r="C13" s="32">
        <v>3</v>
      </c>
      <c r="D13" s="238" t="s">
        <v>100</v>
      </c>
      <c r="E13" s="238"/>
      <c r="F13" s="238"/>
      <c r="G13" s="221">
        <v>4.5999999999999996</v>
      </c>
      <c r="H13" s="221"/>
      <c r="I13" s="33" t="s">
        <v>101</v>
      </c>
      <c r="J13" s="29">
        <v>400</v>
      </c>
      <c r="K13" s="22"/>
    </row>
    <row r="14" spans="1:11" ht="18">
      <c r="A14" s="21"/>
      <c r="C14" s="34">
        <v>4</v>
      </c>
      <c r="D14" s="234" t="s">
        <v>102</v>
      </c>
      <c r="E14" s="234"/>
      <c r="F14" s="234"/>
      <c r="G14" s="235">
        <v>8.8000000000000007</v>
      </c>
      <c r="H14" s="235"/>
      <c r="I14" s="35" t="s">
        <v>101</v>
      </c>
      <c r="J14" s="30">
        <v>800</v>
      </c>
      <c r="K14" s="22"/>
    </row>
    <row r="15" spans="1:11">
      <c r="A15" s="21"/>
      <c r="K15" s="22"/>
    </row>
    <row r="16" spans="1:11">
      <c r="B16" s="233" t="s">
        <v>106</v>
      </c>
      <c r="C16" s="233"/>
    </row>
    <row r="18" spans="3:10">
      <c r="C18" s="36" t="s">
        <v>104</v>
      </c>
    </row>
    <row r="19" spans="3:10">
      <c r="C19" t="s">
        <v>110</v>
      </c>
    </row>
    <row r="20" spans="3:10" ht="15" customHeight="1" outlineLevel="1">
      <c r="C20" s="213" t="s">
        <v>103</v>
      </c>
      <c r="D20" s="213"/>
      <c r="E20" s="213"/>
      <c r="F20" s="216" t="s">
        <v>112</v>
      </c>
      <c r="G20" s="218" t="s">
        <v>114</v>
      </c>
      <c r="H20" s="218"/>
      <c r="I20" s="218" t="s">
        <v>115</v>
      </c>
      <c r="J20" s="218"/>
    </row>
    <row r="21" spans="3:10" ht="15" customHeight="1" outlineLevel="1">
      <c r="C21" s="214"/>
      <c r="D21" s="214"/>
      <c r="E21" s="214"/>
      <c r="F21" s="217"/>
      <c r="G21" s="219"/>
      <c r="H21" s="219"/>
      <c r="I21" s="219"/>
      <c r="J21" s="219"/>
    </row>
    <row r="22" spans="3:10" ht="17.25" outlineLevel="1">
      <c r="C22" s="215"/>
      <c r="D22" s="215"/>
      <c r="E22" s="215"/>
      <c r="F22" s="38" t="s">
        <v>111</v>
      </c>
      <c r="G22" s="220" t="s">
        <v>113</v>
      </c>
      <c r="H22" s="220"/>
      <c r="I22" s="220" t="s">
        <v>116</v>
      </c>
      <c r="J22" s="220"/>
    </row>
    <row r="23" spans="3:10" outlineLevel="1">
      <c r="C23" s="209" t="str">
        <f>"- Lớp kính cường lực"</f>
        <v>- Lớp kính cường lực</v>
      </c>
      <c r="D23" s="209"/>
      <c r="E23" s="209"/>
      <c r="F23" s="37">
        <v>15</v>
      </c>
      <c r="G23" s="210">
        <v>25</v>
      </c>
      <c r="H23" s="210"/>
      <c r="I23" s="222">
        <f>G23*F23/1000</f>
        <v>0.375</v>
      </c>
      <c r="J23" s="222"/>
    </row>
    <row r="24" spans="3:10" outlineLevel="1">
      <c r="C24" s="211" t="s">
        <v>195</v>
      </c>
      <c r="D24" s="211"/>
      <c r="E24" s="211"/>
      <c r="F24" s="211"/>
      <c r="G24" s="211"/>
      <c r="H24" s="211"/>
      <c r="I24" s="223">
        <f>I23</f>
        <v>0.375</v>
      </c>
      <c r="J24" s="223"/>
    </row>
    <row r="26" spans="3:10" outlineLevel="1">
      <c r="C26" s="213" t="s">
        <v>103</v>
      </c>
      <c r="D26" s="213"/>
      <c r="E26" s="213"/>
      <c r="F26" s="216" t="s">
        <v>112</v>
      </c>
      <c r="G26" s="218" t="s">
        <v>114</v>
      </c>
      <c r="H26" s="218"/>
      <c r="I26" s="218" t="s">
        <v>115</v>
      </c>
      <c r="J26" s="218"/>
    </row>
    <row r="27" spans="3:10" outlineLevel="1">
      <c r="C27" s="214"/>
      <c r="D27" s="214"/>
      <c r="E27" s="214"/>
      <c r="F27" s="217"/>
      <c r="G27" s="219"/>
      <c r="H27" s="219"/>
      <c r="I27" s="219"/>
      <c r="J27" s="219"/>
    </row>
    <row r="28" spans="3:10" ht="17.25" outlineLevel="1">
      <c r="C28" s="215"/>
      <c r="D28" s="215"/>
      <c r="E28" s="215"/>
      <c r="F28" s="38" t="s">
        <v>111</v>
      </c>
      <c r="G28" s="220" t="s">
        <v>113</v>
      </c>
      <c r="H28" s="220"/>
      <c r="I28" s="220" t="s">
        <v>116</v>
      </c>
      <c r="J28" s="220"/>
    </row>
    <row r="29" spans="3:10" outlineLevel="1">
      <c r="C29" s="209" t="str">
        <f>"- Mái tôn + xà gồ"</f>
        <v>- Mái tôn + xà gồ</v>
      </c>
      <c r="D29" s="209"/>
      <c r="E29" s="209"/>
      <c r="F29" s="37"/>
      <c r="G29" s="210"/>
      <c r="H29" s="210"/>
      <c r="I29" s="210">
        <v>0.1</v>
      </c>
      <c r="J29" s="210"/>
    </row>
    <row r="30" spans="3:10" outlineLevel="1">
      <c r="C30" s="211" t="s">
        <v>195</v>
      </c>
      <c r="D30" s="211"/>
      <c r="E30" s="211"/>
      <c r="F30" s="211"/>
      <c r="G30" s="211"/>
      <c r="H30" s="211"/>
      <c r="I30" s="212">
        <f>I29</f>
        <v>0.1</v>
      </c>
      <c r="J30" s="212"/>
    </row>
    <row r="32" spans="3:10" ht="17.25">
      <c r="C32" s="36" t="s">
        <v>105</v>
      </c>
      <c r="E32" s="24">
        <v>0.3</v>
      </c>
      <c r="F32" s="25" t="s">
        <v>65</v>
      </c>
    </row>
    <row r="33" spans="4:4">
      <c r="D33" s="25" t="s">
        <v>120</v>
      </c>
    </row>
  </sheetData>
  <mergeCells count="37">
    <mergeCell ref="I9:J10"/>
    <mergeCell ref="F20:F21"/>
    <mergeCell ref="B3:K4"/>
    <mergeCell ref="B7:C7"/>
    <mergeCell ref="B16:C16"/>
    <mergeCell ref="C9:C10"/>
    <mergeCell ref="D9:F10"/>
    <mergeCell ref="G9:H10"/>
    <mergeCell ref="D14:F14"/>
    <mergeCell ref="G14:H14"/>
    <mergeCell ref="C20:E22"/>
    <mergeCell ref="D11:F11"/>
    <mergeCell ref="G11:H11"/>
    <mergeCell ref="D12:F12"/>
    <mergeCell ref="G12:H12"/>
    <mergeCell ref="D13:F13"/>
    <mergeCell ref="G13:H13"/>
    <mergeCell ref="I23:J23"/>
    <mergeCell ref="I24:J24"/>
    <mergeCell ref="C24:H24"/>
    <mergeCell ref="G20:H21"/>
    <mergeCell ref="G22:H22"/>
    <mergeCell ref="I20:J21"/>
    <mergeCell ref="I22:J22"/>
    <mergeCell ref="C23:E23"/>
    <mergeCell ref="G23:H23"/>
    <mergeCell ref="C26:E28"/>
    <mergeCell ref="F26:F27"/>
    <mergeCell ref="G26:H27"/>
    <mergeCell ref="I26:J27"/>
    <mergeCell ref="G28:H28"/>
    <mergeCell ref="I28:J28"/>
    <mergeCell ref="C29:E29"/>
    <mergeCell ref="G29:H29"/>
    <mergeCell ref="I29:J29"/>
    <mergeCell ref="C30:H30"/>
    <mergeCell ref="I30:J30"/>
  </mergeCells>
  <pageMargins left="0.7" right="0.7" top="0.75" bottom="0.75" header="0.3" footer="0.3"/>
  <pageSetup scale="67" orientation="portrait" r:id="rId1"/>
  <colBreaks count="1" manualBreakCount="1">
    <brk id="1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AA6B3-002E-401D-B568-7F50AA5AF6B8}">
  <sheetPr codeName="Sheet4">
    <tabColor rgb="FF0070C0"/>
  </sheetPr>
  <dimension ref="B1:AM59"/>
  <sheetViews>
    <sheetView showGridLines="0" view="pageBreakPreview" topLeftCell="A5" zoomScale="115" zoomScaleNormal="115" zoomScaleSheetLayoutView="115" workbookViewId="0">
      <selection activeCell="K23" sqref="K23"/>
    </sheetView>
  </sheetViews>
  <sheetFormatPr defaultRowHeight="12.75"/>
  <cols>
    <col min="1" max="1" width="2.7109375" style="46" customWidth="1"/>
    <col min="2" max="7" width="5.7109375" style="54" customWidth="1"/>
    <col min="8" max="9" width="6.28515625" style="54" customWidth="1"/>
    <col min="10" max="11" width="6.140625" style="54" customWidth="1"/>
    <col min="12" max="12" width="5.7109375" style="54" customWidth="1"/>
    <col min="13" max="13" width="6.140625" style="54" customWidth="1"/>
    <col min="14" max="19" width="5.7109375" style="54" customWidth="1"/>
    <col min="20" max="20" width="3" style="54" customWidth="1"/>
    <col min="21" max="21" width="9.140625" style="45" customWidth="1"/>
    <col min="22" max="22" width="10.42578125" style="46" customWidth="1"/>
    <col min="23" max="27" width="9.140625" style="46" customWidth="1"/>
    <col min="28" max="36" width="9.140625" style="46"/>
    <col min="37" max="37" width="10.42578125" style="46" bestFit="1" customWidth="1"/>
    <col min="38" max="39" width="30.5703125" style="46" customWidth="1"/>
    <col min="40" max="16384" width="9.140625" style="46"/>
  </cols>
  <sheetData>
    <row r="1" spans="2:39" hidden="1"/>
    <row r="2" spans="2:39" hidden="1">
      <c r="B2" s="41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3"/>
      <c r="T2" s="44"/>
    </row>
    <row r="3" spans="2:39" hidden="1"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3"/>
      <c r="T3" s="47"/>
    </row>
    <row r="4" spans="2:39" hidden="1"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3"/>
      <c r="T4" s="48"/>
      <c r="AA4" s="49"/>
      <c r="AK4" s="50"/>
      <c r="AL4" s="50" t="s">
        <v>121</v>
      </c>
      <c r="AM4" s="50" t="s">
        <v>126</v>
      </c>
    </row>
    <row r="5" spans="2:39" ht="13.5" customHeight="1" thickBot="1">
      <c r="B5" s="259" t="s">
        <v>3</v>
      </c>
      <c r="C5" s="260"/>
      <c r="D5" s="260"/>
      <c r="E5" s="260"/>
      <c r="F5" s="260"/>
      <c r="G5" s="260"/>
      <c r="H5" s="260"/>
      <c r="I5" s="260"/>
      <c r="J5" s="260"/>
      <c r="K5" s="260"/>
      <c r="L5" s="260"/>
      <c r="M5" s="260"/>
      <c r="N5" s="255" t="s">
        <v>1</v>
      </c>
      <c r="O5" s="255"/>
      <c r="P5" s="255"/>
      <c r="Q5" s="255" t="s">
        <v>2</v>
      </c>
      <c r="R5" s="255"/>
      <c r="S5" s="256"/>
      <c r="T5" s="48"/>
      <c r="AA5" s="49"/>
      <c r="AK5" s="50">
        <v>1</v>
      </c>
      <c r="AL5" s="51" t="s">
        <v>127</v>
      </c>
      <c r="AM5" s="51" t="s">
        <v>128</v>
      </c>
    </row>
    <row r="6" spans="2:39" ht="12.75" customHeight="1">
      <c r="B6" s="261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57"/>
      <c r="O6" s="257"/>
      <c r="P6" s="257"/>
      <c r="Q6" s="257"/>
      <c r="R6" s="257"/>
      <c r="S6" s="258"/>
      <c r="T6" s="48"/>
      <c r="U6" s="250" t="s">
        <v>121</v>
      </c>
      <c r="V6" s="52" t="s">
        <v>122</v>
      </c>
      <c r="W6" s="53" t="s">
        <v>123</v>
      </c>
      <c r="X6" s="53" t="s">
        <v>124</v>
      </c>
      <c r="Y6" s="53" t="s">
        <v>36</v>
      </c>
      <c r="Z6" s="53" t="s">
        <v>125</v>
      </c>
      <c r="AA6" s="49"/>
      <c r="AK6" s="50">
        <v>2</v>
      </c>
      <c r="AL6" s="51" t="s">
        <v>129</v>
      </c>
      <c r="AM6" s="51" t="s">
        <v>130</v>
      </c>
    </row>
    <row r="7" spans="2:39" ht="12.75" customHeight="1">
      <c r="B7" s="261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57"/>
      <c r="O7" s="257"/>
      <c r="P7" s="257"/>
      <c r="Q7" s="257"/>
      <c r="R7" s="257"/>
      <c r="S7" s="258"/>
      <c r="T7" s="48"/>
      <c r="U7" s="251"/>
      <c r="V7" s="52" t="s">
        <v>74</v>
      </c>
      <c r="W7" s="53">
        <v>213.36</v>
      </c>
      <c r="X7" s="53">
        <v>2.13</v>
      </c>
      <c r="Y7" s="53">
        <v>11.5</v>
      </c>
      <c r="Z7" s="53">
        <v>1.99</v>
      </c>
      <c r="AA7" s="49"/>
      <c r="AK7" s="50">
        <v>3</v>
      </c>
      <c r="AL7" s="51" t="s">
        <v>131</v>
      </c>
      <c r="AM7" s="51" t="s">
        <v>132</v>
      </c>
    </row>
    <row r="8" spans="2:39" ht="15.75">
      <c r="B8" s="59"/>
      <c r="C8" s="91" t="str">
        <f>VLOOKUP(9,$AK$5:$AM$44,1+MATCH(U6,$AL$4:$AM$4,0),FALSE)</f>
        <v>Design code:</v>
      </c>
      <c r="E8" s="92"/>
      <c r="F8" s="93" t="str">
        <f>VLOOKUP(10,$AK$5:$AM$44,1+MATCH(U6,$AL$4:$AM$4,0),FALSE)</f>
        <v>TCVN 2737:2023 Loads and Action - Design standard</v>
      </c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55"/>
      <c r="T8" s="56"/>
      <c r="U8" s="251"/>
      <c r="V8" s="52" t="s">
        <v>27</v>
      </c>
      <c r="W8" s="53">
        <v>274.32</v>
      </c>
      <c r="X8" s="53">
        <v>4.57</v>
      </c>
      <c r="Y8" s="53">
        <v>9.5</v>
      </c>
      <c r="Z8" s="53">
        <v>1.97</v>
      </c>
      <c r="AA8" s="49"/>
      <c r="AK8" s="50">
        <v>4</v>
      </c>
      <c r="AL8" s="51" t="s">
        <v>133</v>
      </c>
      <c r="AM8" s="51" t="s">
        <v>134</v>
      </c>
    </row>
    <row r="9" spans="2:39" ht="13.5" thickBot="1">
      <c r="B9" s="59"/>
      <c r="C9" s="91" t="str">
        <f>IF(U6="EN&amp;VN",AM13,"")</f>
        <v>Tiêu chuẩn thiết kế:</v>
      </c>
      <c r="E9" s="94"/>
      <c r="F9" s="54" t="str">
        <f>IF(U6="EN&amp;VN",AM14,"")</f>
        <v>TCVN 2737:2023 Tải trọng và tác động - Tiêu chuẩn thiết kế</v>
      </c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57"/>
      <c r="T9" s="58"/>
      <c r="U9" s="252"/>
      <c r="V9" s="52" t="s">
        <v>28</v>
      </c>
      <c r="W9" s="53">
        <v>365.76</v>
      </c>
      <c r="X9" s="53">
        <v>9.14</v>
      </c>
      <c r="Y9" s="53">
        <v>7</v>
      </c>
      <c r="Z9" s="53">
        <v>1.98</v>
      </c>
      <c r="AK9" s="50">
        <v>5</v>
      </c>
      <c r="AL9" s="51" t="s">
        <v>135</v>
      </c>
      <c r="AM9" s="51" t="s">
        <v>136</v>
      </c>
    </row>
    <row r="10" spans="2:39">
      <c r="B10" s="59"/>
      <c r="S10" s="60"/>
      <c r="AK10" s="50">
        <v>6</v>
      </c>
      <c r="AL10" s="51" t="s">
        <v>137</v>
      </c>
      <c r="AM10" s="51" t="s">
        <v>138</v>
      </c>
    </row>
    <row r="11" spans="2:39">
      <c r="B11" s="253" t="str">
        <f>VLOOKUP(13,$AK$5:$AM$44,1+MATCH(U6,$AL$4:$AM$4,0),FALSE)</f>
        <v>I. Input Data / Dữ liệu thiết kế:</v>
      </c>
      <c r="C11" s="254"/>
      <c r="D11" s="254"/>
      <c r="E11" s="254"/>
      <c r="F11" s="254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61"/>
      <c r="S11" s="63"/>
      <c r="T11" s="62"/>
      <c r="V11" s="64"/>
      <c r="AK11" s="50">
        <v>7</v>
      </c>
      <c r="AL11" s="51" t="s">
        <v>139</v>
      </c>
      <c r="AM11" s="51" t="s">
        <v>140</v>
      </c>
    </row>
    <row r="12" spans="2:39">
      <c r="B12" s="59"/>
      <c r="C12" s="96"/>
      <c r="D12" s="97" t="str">
        <f>VLOOKUP(12,$AK$5:$AM$44,1+MATCH(U6,$AL$4:$AM$4,0),FALSE)</f>
        <v>Zone / Vùng</v>
      </c>
      <c r="J12" s="98"/>
      <c r="K12" s="99" t="s">
        <v>9</v>
      </c>
      <c r="L12" s="100"/>
      <c r="M12" s="99"/>
      <c r="N12" s="99"/>
      <c r="O12" s="99"/>
      <c r="P12" s="99"/>
      <c r="Q12" s="99"/>
      <c r="S12" s="60"/>
      <c r="V12" s="64"/>
      <c r="X12" s="53" t="s">
        <v>141</v>
      </c>
      <c r="Y12" s="53" t="s">
        <v>142</v>
      </c>
      <c r="AK12" s="50">
        <v>8</v>
      </c>
      <c r="AL12" s="51" t="s">
        <v>143</v>
      </c>
      <c r="AM12" s="51" t="s">
        <v>144</v>
      </c>
    </row>
    <row r="13" spans="2:39" ht="14.25">
      <c r="B13" s="59"/>
      <c r="D13" s="97" t="str">
        <f>VLOOKUP(14,$AK$5:$AM$44,1+MATCH(U6,$AL$4:$AM$4,0),FALSE)</f>
        <v>Wind pressure / Áp lực gió</v>
      </c>
      <c r="J13" s="98" t="s">
        <v>197</v>
      </c>
      <c r="K13" s="65">
        <f>VLOOKUP(K12,$X$12:$Y$17,2,FALSE)</f>
        <v>1.25</v>
      </c>
      <c r="L13" s="97" t="s">
        <v>145</v>
      </c>
      <c r="N13" s="65"/>
      <c r="O13" s="65"/>
      <c r="P13" s="65"/>
      <c r="Q13" s="65"/>
      <c r="S13" s="60"/>
      <c r="U13" s="49" t="s">
        <v>198</v>
      </c>
      <c r="X13" s="66" t="s">
        <v>7</v>
      </c>
      <c r="Y13" s="66">
        <v>0.65</v>
      </c>
      <c r="Z13" s="49"/>
      <c r="AA13" s="67"/>
      <c r="AK13" s="50">
        <v>9</v>
      </c>
      <c r="AL13" s="51" t="s">
        <v>146</v>
      </c>
      <c r="AM13" s="51" t="s">
        <v>5</v>
      </c>
    </row>
    <row r="14" spans="2:39" ht="14.25">
      <c r="B14" s="59"/>
      <c r="D14" s="97" t="str">
        <f>VLOOKUP(14,$AK$5:$AM$44,1+MATCH(U6,$AL$4:$AM$4,0),FALSE)</f>
        <v>Wind pressure / Áp lực gió</v>
      </c>
      <c r="J14" s="98" t="s">
        <v>199</v>
      </c>
      <c r="K14" s="101">
        <f>0.852*K13</f>
        <v>1.0649999999999999</v>
      </c>
      <c r="L14" s="97" t="s">
        <v>196</v>
      </c>
      <c r="N14" s="101"/>
      <c r="O14" s="101"/>
      <c r="P14" s="101"/>
      <c r="Q14" s="101"/>
      <c r="S14" s="60"/>
      <c r="T14" s="68"/>
      <c r="U14" s="69" t="s">
        <v>147</v>
      </c>
      <c r="V14" s="53">
        <f>VLOOKUP(K15,$V$7:$Y$9,2,FALSE)</f>
        <v>274.32</v>
      </c>
      <c r="X14" s="66" t="s">
        <v>8</v>
      </c>
      <c r="Y14" s="66">
        <v>0.95</v>
      </c>
      <c r="Z14" s="49"/>
      <c r="AA14" s="67"/>
      <c r="AK14" s="50">
        <v>10</v>
      </c>
      <c r="AL14" s="51" t="s">
        <v>148</v>
      </c>
      <c r="AM14" s="51" t="s">
        <v>149</v>
      </c>
    </row>
    <row r="15" spans="2:39">
      <c r="B15" s="59"/>
      <c r="D15" s="97" t="str">
        <f>VLOOKUP(15,$AK$5:$AM$44,1+MATCH(U6,$AL$4:$AM$4,0),FALSE)</f>
        <v>Exposure Category / Dạng địa hình</v>
      </c>
      <c r="J15" s="98"/>
      <c r="K15" s="99" t="s">
        <v>27</v>
      </c>
      <c r="L15" s="97"/>
      <c r="N15" s="99"/>
      <c r="O15" s="99"/>
      <c r="P15" s="99"/>
      <c r="Q15" s="99"/>
      <c r="S15" s="60"/>
      <c r="T15" s="70"/>
      <c r="U15" s="69" t="s">
        <v>150</v>
      </c>
      <c r="V15" s="53">
        <f>VLOOKUP(K15,$V$7:$Y$9,3,FALSE)</f>
        <v>4.57</v>
      </c>
      <c r="X15" s="66" t="s">
        <v>9</v>
      </c>
      <c r="Y15" s="66">
        <v>1.25</v>
      </c>
      <c r="Z15" s="49"/>
      <c r="AA15" s="67"/>
      <c r="AK15" s="50">
        <v>11</v>
      </c>
      <c r="AL15" s="51" t="s">
        <v>151</v>
      </c>
      <c r="AM15" s="51" t="s">
        <v>152</v>
      </c>
    </row>
    <row r="16" spans="2:39">
      <c r="B16" s="59"/>
      <c r="D16" s="93" t="str">
        <f>VLOOKUP(16,$AK$5:$AM$44,1+MATCH(U6,$AL$4:$AM$4,0),FALSE)</f>
        <v>Canopy height / Chiều cao mái đón</v>
      </c>
      <c r="J16" s="98" t="s">
        <v>44</v>
      </c>
      <c r="K16" s="102">
        <v>6</v>
      </c>
      <c r="L16" s="97" t="s">
        <v>31</v>
      </c>
      <c r="N16" s="102"/>
      <c r="O16" s="102"/>
      <c r="P16" s="102"/>
      <c r="Q16" s="102"/>
      <c r="S16" s="60"/>
      <c r="U16" s="71" t="s">
        <v>37</v>
      </c>
      <c r="V16" s="53">
        <f>VLOOKUP(K15,$V$7:$Y$9,4,FALSE)</f>
        <v>9.5</v>
      </c>
      <c r="X16" s="66" t="s">
        <v>10</v>
      </c>
      <c r="Y16" s="66">
        <v>1.55</v>
      </c>
      <c r="Z16" s="49"/>
      <c r="AA16" s="67"/>
      <c r="AK16" s="50">
        <v>12</v>
      </c>
      <c r="AL16" s="72" t="s">
        <v>153</v>
      </c>
      <c r="AM16" s="72" t="s">
        <v>6</v>
      </c>
    </row>
    <row r="17" spans="2:39">
      <c r="B17" s="59"/>
      <c r="D17" s="97" t="str">
        <f>VLOOKUP(31,$AK$5:$AM$44,1+MATCH(U6,$AL$4:$AM$4,0),FALSE)</f>
        <v>Roof slope / Độ dốc mái</v>
      </c>
      <c r="J17" s="103" t="s">
        <v>33</v>
      </c>
      <c r="K17" s="104">
        <v>0.1</v>
      </c>
      <c r="L17" s="97"/>
      <c r="N17" s="104"/>
      <c r="O17" s="104"/>
      <c r="P17" s="104"/>
      <c r="Q17" s="104"/>
      <c r="S17" s="60"/>
      <c r="U17" s="52" t="s">
        <v>125</v>
      </c>
      <c r="V17" s="53">
        <f>VLOOKUP(K15,$V$7:$Z$9,5,FALSE)</f>
        <v>1.97</v>
      </c>
      <c r="W17" s="49"/>
      <c r="X17" s="66" t="s">
        <v>11</v>
      </c>
      <c r="Y17" s="66">
        <v>1.85</v>
      </c>
      <c r="Z17" s="49"/>
      <c r="AA17" s="67"/>
      <c r="AK17" s="50">
        <v>13</v>
      </c>
      <c r="AL17" s="72" t="s">
        <v>154</v>
      </c>
      <c r="AM17" s="72" t="s">
        <v>155</v>
      </c>
    </row>
    <row r="18" spans="2:39">
      <c r="B18" s="59"/>
      <c r="D18" s="97" t="str">
        <f>VLOOKUP(30,$AK$5:$AM$44,1+MATCH(U6,$AL$4:$AM$4,0),FALSE)</f>
        <v>Roof pitch angle / Góc nghiêng mái</v>
      </c>
      <c r="J18" s="98" t="s">
        <v>37</v>
      </c>
      <c r="K18" s="105">
        <f>DEGREES(ATAN(K17))</f>
        <v>5.710593137499643</v>
      </c>
      <c r="L18" s="97" t="s">
        <v>156</v>
      </c>
      <c r="N18" s="105"/>
      <c r="O18" s="105"/>
      <c r="P18" s="105"/>
      <c r="Q18" s="105"/>
      <c r="S18" s="88"/>
      <c r="X18" s="67"/>
      <c r="Y18" s="73"/>
      <c r="Z18" s="49"/>
      <c r="AA18" s="67"/>
      <c r="AK18" s="50">
        <v>14</v>
      </c>
      <c r="AL18" s="72" t="s">
        <v>157</v>
      </c>
      <c r="AM18" s="72" t="s">
        <v>158</v>
      </c>
    </row>
    <row r="19" spans="2:39">
      <c r="B19" s="59"/>
      <c r="I19" s="98"/>
      <c r="L19" s="46"/>
      <c r="M19" s="46"/>
      <c r="S19" s="88"/>
      <c r="Y19" s="73"/>
      <c r="Z19" s="49"/>
      <c r="AA19" s="67"/>
      <c r="AK19" s="50">
        <v>15</v>
      </c>
      <c r="AL19" s="72" t="s">
        <v>162</v>
      </c>
      <c r="AM19" s="72" t="s">
        <v>163</v>
      </c>
    </row>
    <row r="20" spans="2:39">
      <c r="B20" s="253" t="str">
        <f>VLOOKUP(21,$AK$5:$AM$44,1+MATCH(U6,$AL$4:$AM$4,0),FALSE)</f>
        <v>II. Calculation / Tính toán</v>
      </c>
      <c r="C20" s="254"/>
      <c r="D20" s="254"/>
      <c r="E20" s="254"/>
      <c r="F20" s="254"/>
      <c r="S20" s="60"/>
      <c r="Y20" s="73"/>
      <c r="Z20" s="49"/>
      <c r="AA20" s="67"/>
      <c r="AK20" s="50">
        <v>16</v>
      </c>
      <c r="AL20" s="72" t="s">
        <v>164</v>
      </c>
      <c r="AM20" s="72" t="s">
        <v>165</v>
      </c>
    </row>
    <row r="21" spans="2:39" ht="15" customHeight="1">
      <c r="B21" s="59"/>
      <c r="D21" s="97"/>
      <c r="I21" s="249" t="s">
        <v>204</v>
      </c>
      <c r="J21" s="249"/>
      <c r="K21" s="249"/>
      <c r="L21" s="249"/>
      <c r="M21" s="249"/>
      <c r="S21" s="60"/>
      <c r="Y21" s="73"/>
      <c r="Z21" s="75"/>
      <c r="AA21" s="67"/>
      <c r="AK21" s="50">
        <v>17</v>
      </c>
      <c r="AL21" s="72" t="s">
        <v>166</v>
      </c>
      <c r="AM21" s="72" t="s">
        <v>167</v>
      </c>
    </row>
    <row r="22" spans="2:39" ht="14.25">
      <c r="B22" s="59"/>
      <c r="D22" s="97" t="str">
        <f>VLOOKUP(23,$AK$5:$AM$44,1+MATCH(U6,$AL$4:$AM$4,0),FALSE)</f>
        <v>Reference height / Chiều cao tham chiếu</v>
      </c>
      <c r="G22" s="101"/>
      <c r="I22" s="46"/>
      <c r="J22" s="103" t="s">
        <v>200</v>
      </c>
      <c r="K22" s="101">
        <f>MAX(K16,V15)</f>
        <v>6</v>
      </c>
      <c r="L22" s="54" t="s">
        <v>31</v>
      </c>
      <c r="M22" s="101"/>
      <c r="N22" s="101"/>
      <c r="O22" s="101"/>
      <c r="P22" s="101"/>
      <c r="Q22" s="101"/>
      <c r="S22" s="60"/>
      <c r="T22" s="65"/>
      <c r="Y22" s="49"/>
      <c r="Z22" s="49"/>
      <c r="AA22" s="49"/>
      <c r="AK22" s="50">
        <v>18</v>
      </c>
      <c r="AL22" s="72" t="s">
        <v>168</v>
      </c>
      <c r="AM22" s="72" t="s">
        <v>169</v>
      </c>
    </row>
    <row r="23" spans="2:39" ht="14.25">
      <c r="B23" s="59"/>
      <c r="D23" s="97" t="str">
        <f>VLOOKUP(24,$AK$5:$AM$44,1+MATCH(U6,$AL$4:$AM$4,0),FALSE)</f>
        <v>Terrain factor / Hệ số địa hình</v>
      </c>
      <c r="G23" s="106"/>
      <c r="I23" s="46"/>
      <c r="J23" s="103" t="s">
        <v>201</v>
      </c>
      <c r="K23" s="106">
        <f>MIN(2.01*(K22/V14)^(2/V16),V17)</f>
        <v>0.89887646740386595</v>
      </c>
      <c r="L23" s="106"/>
      <c r="M23" s="106"/>
      <c r="N23" s="106"/>
      <c r="O23" s="106"/>
      <c r="P23" s="106"/>
      <c r="Q23" s="106"/>
      <c r="S23" s="60"/>
      <c r="T23" s="76"/>
      <c r="Y23" s="49"/>
      <c r="Z23" s="49"/>
      <c r="AA23" s="77"/>
      <c r="AK23" s="50">
        <v>19</v>
      </c>
      <c r="AL23" s="51" t="s">
        <v>170</v>
      </c>
      <c r="AM23" s="51" t="s">
        <v>171</v>
      </c>
    </row>
    <row r="24" spans="2:39" ht="14.25">
      <c r="B24" s="59"/>
      <c r="D24" s="97" t="str">
        <f>VLOOKUP(25,$AK$5:$AM$44,1+MATCH(U6,$AL$4:$AM$4,0),FALSE)</f>
        <v>Gust Effect factor / Hệ số hiệu ứng giật</v>
      </c>
      <c r="G24" s="107"/>
      <c r="I24" s="46"/>
      <c r="J24" s="108" t="s">
        <v>202</v>
      </c>
      <c r="K24" s="105">
        <v>0.85</v>
      </c>
      <c r="L24" s="107"/>
      <c r="M24" s="107"/>
      <c r="N24" s="107"/>
      <c r="O24" s="107"/>
      <c r="P24" s="107"/>
      <c r="Q24" s="107"/>
      <c r="S24" s="74"/>
      <c r="T24" s="76"/>
      <c r="Y24" s="78"/>
      <c r="Z24" s="78"/>
      <c r="AA24" s="79"/>
      <c r="AK24" s="50">
        <v>20</v>
      </c>
      <c r="AL24" s="51" t="s">
        <v>172</v>
      </c>
      <c r="AM24" s="51" t="s">
        <v>173</v>
      </c>
    </row>
    <row r="25" spans="2:39" ht="14.25">
      <c r="B25" s="80"/>
      <c r="C25" s="105"/>
      <c r="G25" s="109"/>
      <c r="H25" s="109"/>
      <c r="I25" s="109"/>
      <c r="J25" s="103" t="s">
        <v>203</v>
      </c>
      <c r="K25" s="109">
        <f>$K$14*$K$23*$K$24</f>
        <v>0.81370792211734955</v>
      </c>
      <c r="L25" s="110" t="s">
        <v>178</v>
      </c>
      <c r="M25" s="109"/>
      <c r="N25" s="109"/>
      <c r="O25" s="109"/>
      <c r="P25" s="109"/>
      <c r="Q25" s="109"/>
      <c r="S25" s="81"/>
      <c r="T25" s="76"/>
      <c r="U25" s="78"/>
      <c r="V25" s="78"/>
      <c r="W25" s="78"/>
      <c r="X25" s="78"/>
      <c r="Y25" s="78"/>
      <c r="Z25" s="78"/>
      <c r="AA25" s="79"/>
      <c r="AK25" s="50">
        <v>21</v>
      </c>
      <c r="AL25" s="72" t="s">
        <v>174</v>
      </c>
      <c r="AM25" s="72" t="s">
        <v>175</v>
      </c>
    </row>
    <row r="26" spans="2:39">
      <c r="B26" s="89" t="s">
        <v>205</v>
      </c>
      <c r="C26" s="105"/>
      <c r="G26" s="109"/>
      <c r="H26" s="109"/>
      <c r="I26" s="109"/>
      <c r="J26" s="103"/>
      <c r="K26" s="109"/>
      <c r="L26" s="110"/>
      <c r="M26" s="109"/>
      <c r="N26" s="109"/>
      <c r="O26" s="109"/>
      <c r="P26" s="109"/>
      <c r="Q26" s="109"/>
      <c r="S26" s="81"/>
      <c r="T26" s="76"/>
      <c r="U26" s="78"/>
      <c r="V26" s="78"/>
      <c r="W26" s="78"/>
      <c r="X26" s="78"/>
      <c r="Y26" s="78"/>
      <c r="Z26" s="78"/>
      <c r="AA26" s="79"/>
      <c r="AK26" s="50"/>
      <c r="AL26" s="72"/>
      <c r="AM26" s="72"/>
    </row>
    <row r="27" spans="2:39" ht="15" customHeight="1">
      <c r="B27" s="59"/>
      <c r="C27" s="105"/>
      <c r="D27" s="248" t="s">
        <v>6</v>
      </c>
      <c r="E27" s="248"/>
      <c r="F27" s="247" t="s">
        <v>211</v>
      </c>
      <c r="G27" s="247"/>
      <c r="H27" s="247" t="s">
        <v>212</v>
      </c>
      <c r="I27" s="247"/>
      <c r="J27" s="247" t="s">
        <v>213</v>
      </c>
      <c r="K27" s="247"/>
      <c r="L27" s="247" t="s">
        <v>214</v>
      </c>
      <c r="M27" s="247"/>
      <c r="N27" s="111"/>
      <c r="O27" s="111"/>
      <c r="P27" s="111"/>
      <c r="Q27" s="111"/>
      <c r="R27" s="110"/>
      <c r="S27" s="81"/>
      <c r="T27" s="76"/>
      <c r="U27" s="113" t="s">
        <v>210</v>
      </c>
      <c r="V27" s="113" t="s">
        <v>159</v>
      </c>
      <c r="W27" s="113" t="s">
        <v>160</v>
      </c>
      <c r="X27" s="113" t="s">
        <v>161</v>
      </c>
      <c r="Y27" s="113" t="s">
        <v>208</v>
      </c>
      <c r="Z27" s="113" t="s">
        <v>209</v>
      </c>
      <c r="AA27" s="79"/>
      <c r="AK27" s="50">
        <v>22</v>
      </c>
      <c r="AL27" s="72" t="s">
        <v>176</v>
      </c>
      <c r="AM27" s="72" t="s">
        <v>177</v>
      </c>
    </row>
    <row r="28" spans="2:39" ht="15.75" customHeight="1">
      <c r="B28" s="80"/>
      <c r="C28" s="119"/>
      <c r="D28" s="124"/>
      <c r="E28" s="125" t="s">
        <v>215</v>
      </c>
      <c r="F28" s="245">
        <f>W31</f>
        <v>0.5</v>
      </c>
      <c r="G28" s="245"/>
      <c r="H28" s="245">
        <f>X31</f>
        <v>-1.3</v>
      </c>
      <c r="I28" s="245"/>
      <c r="J28" s="245">
        <f>Y31</f>
        <v>-1.1000000000000001</v>
      </c>
      <c r="K28" s="245"/>
      <c r="L28" s="245">
        <f>Z31</f>
        <v>0</v>
      </c>
      <c r="M28" s="245"/>
      <c r="S28" s="81"/>
      <c r="T28" s="76"/>
      <c r="U28" s="240" t="s">
        <v>7</v>
      </c>
      <c r="V28" s="113">
        <v>10</v>
      </c>
      <c r="W28" s="113">
        <v>0.5</v>
      </c>
      <c r="X28" s="113">
        <v>-1.3</v>
      </c>
      <c r="Y28" s="113">
        <v>-1.1000000000000001</v>
      </c>
      <c r="Z28" s="113">
        <v>0</v>
      </c>
      <c r="AA28" s="79"/>
      <c r="AK28" s="50">
        <v>23</v>
      </c>
      <c r="AL28" s="51" t="s">
        <v>179</v>
      </c>
      <c r="AM28" s="51" t="s">
        <v>180</v>
      </c>
    </row>
    <row r="29" spans="2:39" ht="15" customHeight="1">
      <c r="B29" s="80"/>
      <c r="C29" s="119"/>
      <c r="D29" s="120"/>
      <c r="E29" s="121" t="s">
        <v>216</v>
      </c>
      <c r="F29" s="244">
        <f>$K$25*F28</f>
        <v>0.40685396105867477</v>
      </c>
      <c r="G29" s="244"/>
      <c r="H29" s="244">
        <f t="shared" ref="H29" si="0">$K$25*H28</f>
        <v>-1.0578202987525545</v>
      </c>
      <c r="I29" s="244"/>
      <c r="J29" s="244">
        <f t="shared" ref="J29" si="1">$K$25*J28</f>
        <v>-0.89507871432908459</v>
      </c>
      <c r="K29" s="244"/>
      <c r="L29" s="244">
        <f t="shared" ref="L29" si="2">$K$25*L28</f>
        <v>0</v>
      </c>
      <c r="M29" s="244"/>
      <c r="S29" s="60"/>
      <c r="T29" s="76"/>
      <c r="U29" s="240"/>
      <c r="V29" s="113">
        <v>20</v>
      </c>
      <c r="W29" s="113">
        <v>1.1000000000000001</v>
      </c>
      <c r="X29" s="113">
        <v>0</v>
      </c>
      <c r="Y29" s="113">
        <v>0</v>
      </c>
      <c r="Z29" s="113">
        <v>-0.4</v>
      </c>
      <c r="AA29" s="79"/>
      <c r="AK29" s="50">
        <v>24</v>
      </c>
      <c r="AL29" s="51" t="s">
        <v>181</v>
      </c>
      <c r="AM29" s="51" t="s">
        <v>182</v>
      </c>
    </row>
    <row r="30" spans="2:39" ht="15" customHeight="1">
      <c r="B30" s="59"/>
      <c r="D30" s="122"/>
      <c r="E30" s="123" t="s">
        <v>217</v>
      </c>
      <c r="F30" s="246" t="str">
        <f>IF(F29&gt;0,"Gió đè",IF(F29&lt;0,"Gió bốc","-"))</f>
        <v>Gió đè</v>
      </c>
      <c r="G30" s="246"/>
      <c r="H30" s="246" t="str">
        <f t="shared" ref="H30" si="3">IF(H29&gt;0,"Gió đè",IF(H29&lt;0,"Gió bốc","-"))</f>
        <v>Gió bốc</v>
      </c>
      <c r="I30" s="246"/>
      <c r="J30" s="246" t="str">
        <f t="shared" ref="J30" si="4">IF(J29&gt;0,"Gió đè",IF(J29&lt;0,"Gió bốc","-"))</f>
        <v>Gió bốc</v>
      </c>
      <c r="K30" s="246"/>
      <c r="L30" s="246" t="str">
        <f t="shared" ref="L30" si="5">IF(L29&gt;0,"Gió đè",IF(L29&lt;0,"Gió bốc","-"))</f>
        <v>-</v>
      </c>
      <c r="M30" s="246"/>
      <c r="S30" s="60"/>
      <c r="T30" s="76"/>
      <c r="U30" s="240"/>
      <c r="V30" s="113">
        <v>30</v>
      </c>
      <c r="W30" s="113">
        <v>2.1</v>
      </c>
      <c r="X30" s="113">
        <v>0.9</v>
      </c>
      <c r="Y30" s="113">
        <v>0.6</v>
      </c>
      <c r="Z30" s="113">
        <v>0</v>
      </c>
      <c r="AA30" s="79"/>
      <c r="AK30" s="50">
        <v>25</v>
      </c>
      <c r="AL30" s="51" t="s">
        <v>183</v>
      </c>
      <c r="AM30" s="51" t="s">
        <v>184</v>
      </c>
    </row>
    <row r="31" spans="2:39" ht="15" customHeight="1">
      <c r="B31" s="59"/>
      <c r="D31" s="85" t="str">
        <f>"+ Các giá trị dấu + chỉ tác động gió hướng xuống"</f>
        <v>+ Các giá trị dấu + chỉ tác động gió hướng xuống</v>
      </c>
      <c r="S31" s="60"/>
      <c r="T31" s="61"/>
      <c r="U31" s="240"/>
      <c r="V31" s="114">
        <f>K18</f>
        <v>5.710593137499643</v>
      </c>
      <c r="W31" s="115" cm="1">
        <f t="array" ref="W31">noisuy1chieu($V$31,$V$28:$V$30,W28:W30)</f>
        <v>0.5</v>
      </c>
      <c r="X31" s="115" cm="1">
        <f t="array" ref="X31">noisuy1chieu($V$31,$V$28:$V$30,X28:X30)</f>
        <v>-1.3</v>
      </c>
      <c r="Y31" s="115" cm="1">
        <f t="array" ref="Y31">noisuy1chieu($V$31,$V$28:$V$30,Y28:Y30)</f>
        <v>-1.1000000000000001</v>
      </c>
      <c r="Z31" s="115" cm="1">
        <f t="array" ref="Z31">noisuy1chieu($V$31,$V$28:$V$30,Z28:Z30)</f>
        <v>0</v>
      </c>
      <c r="AA31" s="82"/>
      <c r="AK31" s="50">
        <v>26</v>
      </c>
      <c r="AL31" s="51" t="s">
        <v>185</v>
      </c>
      <c r="AM31" s="51" t="s">
        <v>186</v>
      </c>
    </row>
    <row r="32" spans="2:39" ht="15" customHeight="1">
      <c r="B32" s="59"/>
      <c r="D32" s="97" t="str">
        <f>"+ Các giá trị dấu - chỉ tác động gió hướng lên"</f>
        <v>+ Các giá trị dấu - chỉ tác động gió hướng lên</v>
      </c>
      <c r="P32" s="76"/>
      <c r="Q32" s="76"/>
      <c r="R32" s="76"/>
      <c r="S32" s="60"/>
      <c r="T32" s="61"/>
      <c r="U32" s="78"/>
      <c r="V32" s="78"/>
      <c r="W32" s="78"/>
      <c r="X32" s="78"/>
      <c r="Y32" s="78"/>
      <c r="Z32" s="78"/>
      <c r="AA32" s="82"/>
      <c r="AK32" s="50">
        <v>27</v>
      </c>
      <c r="AL32" s="83" t="s">
        <v>187</v>
      </c>
      <c r="AM32" s="83" t="s">
        <v>188</v>
      </c>
    </row>
    <row r="33" spans="2:39" ht="15" customHeight="1" thickBot="1">
      <c r="B33" s="59"/>
      <c r="P33" s="76"/>
      <c r="Q33" s="76"/>
      <c r="R33" s="76"/>
      <c r="S33" s="60"/>
      <c r="T33" s="61"/>
      <c r="AK33" s="50">
        <v>28</v>
      </c>
      <c r="AL33" s="72" t="s">
        <v>189</v>
      </c>
      <c r="AM33" s="72" t="s">
        <v>190</v>
      </c>
    </row>
    <row r="34" spans="2:39" ht="15" customHeight="1">
      <c r="B34" s="59"/>
      <c r="E34" s="142"/>
      <c r="F34" s="130"/>
      <c r="G34" s="263">
        <f>L29</f>
        <v>0</v>
      </c>
      <c r="H34" s="264"/>
      <c r="I34" s="131"/>
      <c r="J34" s="132"/>
      <c r="L34" s="142"/>
      <c r="M34" s="130"/>
      <c r="N34" s="263">
        <f>F29</f>
        <v>0.40685396105867477</v>
      </c>
      <c r="O34" s="264"/>
      <c r="P34" s="131"/>
      <c r="Q34" s="132"/>
      <c r="R34" s="76"/>
      <c r="S34" s="60"/>
      <c r="T34" s="61"/>
      <c r="AK34" s="50"/>
      <c r="AL34" s="72"/>
      <c r="AM34" s="72"/>
    </row>
    <row r="35" spans="2:39" ht="15" customHeight="1">
      <c r="B35" s="59"/>
      <c r="E35" s="133"/>
      <c r="F35" s="134"/>
      <c r="G35" s="135"/>
      <c r="H35" s="134"/>
      <c r="I35" s="136"/>
      <c r="J35" s="137"/>
      <c r="L35" s="133"/>
      <c r="M35" s="134"/>
      <c r="N35" s="135"/>
      <c r="O35" s="134"/>
      <c r="P35" s="136"/>
      <c r="Q35" s="137"/>
      <c r="R35" s="76"/>
      <c r="S35" s="60"/>
      <c r="T35" s="61"/>
      <c r="AK35" s="50"/>
      <c r="AL35" s="72"/>
      <c r="AM35" s="72"/>
    </row>
    <row r="36" spans="2:39" ht="15" customHeight="1" thickBot="1">
      <c r="B36" s="59"/>
      <c r="C36" s="96"/>
      <c r="D36" s="128"/>
      <c r="E36" s="274" t="s">
        <v>219</v>
      </c>
      <c r="F36" s="267"/>
      <c r="G36" s="265">
        <f>J29</f>
        <v>-0.89507871432908459</v>
      </c>
      <c r="H36" s="266"/>
      <c r="I36" s="140"/>
      <c r="J36" s="141"/>
      <c r="L36" s="274" t="s">
        <v>219</v>
      </c>
      <c r="M36" s="267"/>
      <c r="N36" s="265">
        <f>H29</f>
        <v>-1.0578202987525545</v>
      </c>
      <c r="O36" s="266"/>
      <c r="P36" s="140"/>
      <c r="Q36" s="141"/>
      <c r="R36" s="76"/>
      <c r="S36" s="60"/>
      <c r="T36" s="61"/>
      <c r="AK36" s="50"/>
      <c r="AL36" s="72"/>
      <c r="AM36" s="72"/>
    </row>
    <row r="37" spans="2:39" ht="15" customHeight="1">
      <c r="B37" s="59"/>
      <c r="C37" s="96"/>
      <c r="D37" s="128"/>
      <c r="E37" s="129"/>
      <c r="F37" s="130"/>
      <c r="G37" s="263">
        <f>H29</f>
        <v>-1.0578202987525545</v>
      </c>
      <c r="H37" s="264"/>
      <c r="I37" s="131"/>
      <c r="J37" s="132"/>
      <c r="L37" s="129"/>
      <c r="M37" s="130"/>
      <c r="N37" s="263">
        <f>J29</f>
        <v>-0.89507871432908459</v>
      </c>
      <c r="O37" s="264"/>
      <c r="P37" s="131"/>
      <c r="Q37" s="132"/>
      <c r="R37" s="76"/>
      <c r="S37" s="60"/>
      <c r="T37" s="61"/>
      <c r="AK37" s="50"/>
      <c r="AL37" s="72"/>
      <c r="AM37" s="72"/>
    </row>
    <row r="38" spans="2:39" ht="15" customHeight="1">
      <c r="B38" s="59"/>
      <c r="E38" s="133"/>
      <c r="F38" s="134"/>
      <c r="G38" s="135"/>
      <c r="H38" s="134"/>
      <c r="I38" s="136"/>
      <c r="J38" s="137"/>
      <c r="L38" s="133"/>
      <c r="M38" s="134"/>
      <c r="N38" s="135"/>
      <c r="O38" s="134"/>
      <c r="P38" s="136"/>
      <c r="Q38" s="137"/>
      <c r="R38" s="76"/>
      <c r="S38" s="60"/>
      <c r="T38" s="61"/>
      <c r="AK38" s="50"/>
      <c r="AL38" s="72"/>
      <c r="AM38" s="72"/>
    </row>
    <row r="39" spans="2:39" ht="15" customHeight="1" thickBot="1">
      <c r="B39" s="59"/>
      <c r="E39" s="138"/>
      <c r="F39" s="139"/>
      <c r="G39" s="265">
        <f>F29</f>
        <v>0.40685396105867477</v>
      </c>
      <c r="H39" s="267"/>
      <c r="I39" s="140"/>
      <c r="J39" s="141"/>
      <c r="L39" s="138"/>
      <c r="M39" s="139"/>
      <c r="N39" s="265">
        <f>L29</f>
        <v>0</v>
      </c>
      <c r="O39" s="267"/>
      <c r="P39" s="140"/>
      <c r="Q39" s="141"/>
      <c r="R39" s="76"/>
      <c r="S39" s="60"/>
      <c r="T39" s="61"/>
      <c r="AK39" s="50"/>
      <c r="AL39" s="72"/>
      <c r="AM39" s="72"/>
    </row>
    <row r="40" spans="2:39" ht="15" customHeight="1">
      <c r="B40" s="59"/>
      <c r="P40" s="76"/>
      <c r="Q40" s="76"/>
      <c r="R40" s="76"/>
      <c r="S40" s="60"/>
      <c r="T40" s="61"/>
      <c r="U40" s="78"/>
      <c r="V40" s="78"/>
      <c r="W40" s="78"/>
      <c r="X40" s="78"/>
      <c r="Y40" s="78"/>
      <c r="Z40" s="78"/>
      <c r="AA40" s="82"/>
      <c r="AK40" s="50"/>
      <c r="AL40" s="72"/>
      <c r="AM40" s="72"/>
    </row>
    <row r="41" spans="2:39" ht="15" customHeight="1">
      <c r="B41" s="59"/>
      <c r="P41" s="76"/>
      <c r="Q41" s="76"/>
      <c r="R41" s="76"/>
      <c r="S41" s="60"/>
      <c r="T41" s="61"/>
      <c r="AK41" s="50"/>
      <c r="AL41" s="72"/>
      <c r="AM41" s="72"/>
    </row>
    <row r="42" spans="2:39" ht="15">
      <c r="B42" s="89" t="s">
        <v>206</v>
      </c>
      <c r="S42" s="60"/>
      <c r="U42" s="126"/>
      <c r="V42" s="126"/>
      <c r="W42" s="126"/>
      <c r="X42" s="126"/>
      <c r="Y42" s="126"/>
      <c r="Z42" s="126"/>
      <c r="AA42" s="126"/>
      <c r="AB42" s="126"/>
      <c r="AK42" s="116">
        <v>30</v>
      </c>
      <c r="AL42" s="117" t="s">
        <v>191</v>
      </c>
      <c r="AM42" s="117" t="s">
        <v>192</v>
      </c>
    </row>
    <row r="43" spans="2:39" ht="15" customHeight="1">
      <c r="B43" s="84"/>
      <c r="D43" s="248" t="s">
        <v>218</v>
      </c>
      <c r="E43" s="248"/>
      <c r="F43" s="247">
        <v>1</v>
      </c>
      <c r="G43" s="247"/>
      <c r="H43" s="247">
        <v>2</v>
      </c>
      <c r="I43" s="247"/>
      <c r="S43" s="60"/>
      <c r="U43" s="126"/>
      <c r="V43" s="126"/>
      <c r="W43" s="126"/>
      <c r="X43" s="126"/>
      <c r="Y43" s="126"/>
      <c r="Z43" s="126"/>
      <c r="AA43" s="126"/>
      <c r="AB43" s="126"/>
      <c r="AK43" s="116">
        <v>31</v>
      </c>
      <c r="AL43" s="118" t="s">
        <v>193</v>
      </c>
      <c r="AM43" s="118" t="s">
        <v>194</v>
      </c>
    </row>
    <row r="44" spans="2:39" ht="15" customHeight="1">
      <c r="B44" s="59"/>
      <c r="D44" s="124"/>
      <c r="E44" s="125" t="s">
        <v>215</v>
      </c>
      <c r="F44" s="245">
        <f>(1.4+0.4)/2</f>
        <v>0.89999999999999991</v>
      </c>
      <c r="G44" s="245"/>
      <c r="H44" s="245">
        <f>(1.3+0.2)/2*(-1)</f>
        <v>-0.75</v>
      </c>
      <c r="I44" s="245"/>
      <c r="S44" s="60"/>
      <c r="U44" s="126"/>
      <c r="V44" s="126"/>
      <c r="AK44" s="50"/>
      <c r="AL44" s="72"/>
      <c r="AM44" s="72"/>
    </row>
    <row r="45" spans="2:39" ht="15" customHeight="1">
      <c r="B45" s="59"/>
      <c r="D45" s="120"/>
      <c r="E45" s="121" t="s">
        <v>216</v>
      </c>
      <c r="F45" s="244">
        <f>$K$25*F44</f>
        <v>0.7323371299056145</v>
      </c>
      <c r="G45" s="244"/>
      <c r="H45" s="244">
        <f t="shared" ref="H45" si="6">$K$25*H44</f>
        <v>-0.61028094158801216</v>
      </c>
      <c r="I45" s="244"/>
      <c r="S45" s="60"/>
      <c r="U45" s="126"/>
      <c r="V45" s="126"/>
    </row>
    <row r="46" spans="2:39" ht="15" customHeight="1">
      <c r="B46" s="59"/>
      <c r="D46" s="122"/>
      <c r="E46" s="123" t="s">
        <v>217</v>
      </c>
      <c r="F46" s="246" t="str">
        <f>IF(F45&gt;0,"Gió đè",IF(F45&lt;0,"Gió bốc","-"))</f>
        <v>Gió đè</v>
      </c>
      <c r="G46" s="246"/>
      <c r="H46" s="246" t="str">
        <f t="shared" ref="H46" si="7">IF(H45&gt;0,"Gió đè",IF(H45&lt;0,"Gió bốc","-"))</f>
        <v>Gió bốc</v>
      </c>
      <c r="I46" s="246"/>
      <c r="S46" s="60"/>
      <c r="U46" s="126"/>
      <c r="V46" s="126"/>
    </row>
    <row r="47" spans="2:39" ht="15" customHeight="1" thickBot="1">
      <c r="B47" s="59"/>
      <c r="E47" s="103"/>
      <c r="F47" s="127"/>
      <c r="G47" s="127"/>
      <c r="H47" s="127"/>
      <c r="I47" s="127"/>
      <c r="S47" s="60"/>
      <c r="U47" s="126"/>
      <c r="V47" s="126"/>
    </row>
    <row r="48" spans="2:39" ht="15" customHeight="1">
      <c r="B48" s="59"/>
      <c r="E48" s="142"/>
      <c r="F48" s="130"/>
      <c r="G48" s="268">
        <f>F45</f>
        <v>0.7323371299056145</v>
      </c>
      <c r="H48" s="269"/>
      <c r="I48" s="131"/>
      <c r="J48" s="132"/>
      <c r="L48" s="142"/>
      <c r="M48" s="130"/>
      <c r="N48" s="268">
        <f>H45</f>
        <v>-0.61028094158801216</v>
      </c>
      <c r="O48" s="269"/>
      <c r="P48" s="131"/>
      <c r="Q48" s="132"/>
      <c r="S48" s="60"/>
      <c r="U48" s="126"/>
      <c r="V48" s="126"/>
    </row>
    <row r="49" spans="2:22" ht="15" customHeight="1">
      <c r="B49" s="59"/>
      <c r="E49" s="133"/>
      <c r="F49" s="134"/>
      <c r="G49" s="270"/>
      <c r="H49" s="271"/>
      <c r="I49" s="136"/>
      <c r="J49" s="137"/>
      <c r="L49" s="133"/>
      <c r="M49" s="134"/>
      <c r="N49" s="270"/>
      <c r="O49" s="271"/>
      <c r="P49" s="136"/>
      <c r="Q49" s="137"/>
      <c r="S49" s="60"/>
      <c r="U49" s="126"/>
      <c r="V49" s="126"/>
    </row>
    <row r="50" spans="2:22" ht="15" customHeight="1" thickBot="1">
      <c r="B50" s="59"/>
      <c r="E50" s="274" t="s">
        <v>219</v>
      </c>
      <c r="F50" s="267"/>
      <c r="G50" s="272"/>
      <c r="H50" s="273"/>
      <c r="I50" s="140"/>
      <c r="J50" s="141"/>
      <c r="L50" s="274" t="s">
        <v>219</v>
      </c>
      <c r="M50" s="267"/>
      <c r="N50" s="272"/>
      <c r="O50" s="273"/>
      <c r="P50" s="140"/>
      <c r="Q50" s="141"/>
      <c r="S50" s="60"/>
      <c r="U50" s="126"/>
      <c r="V50" s="126"/>
    </row>
    <row r="51" spans="2:22" ht="15" customHeight="1">
      <c r="B51" s="59"/>
      <c r="E51" s="129"/>
      <c r="F51" s="130"/>
      <c r="G51" s="268">
        <f>F45</f>
        <v>0.7323371299056145</v>
      </c>
      <c r="H51" s="269"/>
      <c r="I51" s="131"/>
      <c r="J51" s="132"/>
      <c r="L51" s="129"/>
      <c r="M51" s="130"/>
      <c r="N51" s="268">
        <f>H45</f>
        <v>-0.61028094158801216</v>
      </c>
      <c r="O51" s="269"/>
      <c r="P51" s="131"/>
      <c r="Q51" s="132"/>
      <c r="S51" s="60"/>
      <c r="U51" s="126"/>
      <c r="V51" s="126"/>
    </row>
    <row r="52" spans="2:22" ht="15" customHeight="1">
      <c r="B52" s="59"/>
      <c r="E52" s="133"/>
      <c r="F52" s="134"/>
      <c r="G52" s="270"/>
      <c r="H52" s="271"/>
      <c r="I52" s="136"/>
      <c r="J52" s="137"/>
      <c r="L52" s="133"/>
      <c r="M52" s="134"/>
      <c r="N52" s="270"/>
      <c r="O52" s="271"/>
      <c r="P52" s="136"/>
      <c r="Q52" s="137"/>
      <c r="S52" s="60"/>
      <c r="U52" s="126"/>
      <c r="V52" s="126"/>
    </row>
    <row r="53" spans="2:22" ht="15" customHeight="1" thickBot="1">
      <c r="B53" s="59"/>
      <c r="E53" s="138"/>
      <c r="F53" s="139"/>
      <c r="G53" s="272"/>
      <c r="H53" s="273"/>
      <c r="I53" s="140"/>
      <c r="J53" s="141"/>
      <c r="L53" s="138"/>
      <c r="M53" s="139"/>
      <c r="N53" s="272"/>
      <c r="O53" s="273"/>
      <c r="P53" s="140"/>
      <c r="Q53" s="141"/>
      <c r="S53" s="60"/>
      <c r="U53" s="126"/>
      <c r="V53" s="126"/>
    </row>
    <row r="54" spans="2:22">
      <c r="B54" s="90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7"/>
    </row>
    <row r="55" spans="2:22">
      <c r="B55" s="201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02"/>
      <c r="S55" s="203"/>
    </row>
    <row r="56" spans="2:22">
      <c r="B56" s="59"/>
      <c r="E56" s="239" t="s">
        <v>220</v>
      </c>
      <c r="F56" s="243" t="s">
        <v>205</v>
      </c>
      <c r="G56" s="243"/>
      <c r="H56" s="243"/>
      <c r="I56" s="243"/>
      <c r="J56" s="243"/>
      <c r="K56" s="243"/>
      <c r="L56" s="243"/>
      <c r="M56" s="243"/>
      <c r="N56" s="242" t="s">
        <v>206</v>
      </c>
      <c r="O56" s="242"/>
      <c r="P56" s="242"/>
      <c r="Q56" s="242"/>
      <c r="S56" s="60"/>
    </row>
    <row r="57" spans="2:22">
      <c r="B57" s="59"/>
      <c r="E57" s="239"/>
      <c r="F57" s="241" t="s">
        <v>211</v>
      </c>
      <c r="G57" s="241"/>
      <c r="H57" s="241" t="s">
        <v>212</v>
      </c>
      <c r="I57" s="241"/>
      <c r="J57" s="241" t="s">
        <v>213</v>
      </c>
      <c r="K57" s="241"/>
      <c r="L57" s="241" t="s">
        <v>214</v>
      </c>
      <c r="M57" s="241"/>
      <c r="N57" s="276" t="s">
        <v>221</v>
      </c>
      <c r="O57" s="276"/>
      <c r="P57" s="276" t="s">
        <v>222</v>
      </c>
      <c r="Q57" s="276"/>
      <c r="S57" s="60"/>
    </row>
    <row r="58" spans="2:22">
      <c r="B58" s="59"/>
      <c r="E58" s="206">
        <v>5.6</v>
      </c>
      <c r="F58" s="275">
        <f>F29*$E$58</f>
        <v>2.2783821819285786</v>
      </c>
      <c r="G58" s="275"/>
      <c r="H58" s="275">
        <f>H29*$E$58</f>
        <v>-5.9237936730143046</v>
      </c>
      <c r="I58" s="275"/>
      <c r="J58" s="275">
        <f>J29*$E$58</f>
        <v>-5.0124408002428735</v>
      </c>
      <c r="K58" s="275"/>
      <c r="L58" s="275">
        <f>L29*$E$58</f>
        <v>0</v>
      </c>
      <c r="M58" s="275"/>
      <c r="N58" s="275">
        <f>F45*$E$58</f>
        <v>4.1010879274714407</v>
      </c>
      <c r="O58" s="275"/>
      <c r="P58" s="275">
        <f>H45*$E$58</f>
        <v>-3.4175732728928678</v>
      </c>
      <c r="Q58" s="275"/>
      <c r="S58" s="60"/>
    </row>
    <row r="59" spans="2:22">
      <c r="B59" s="90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7"/>
    </row>
  </sheetData>
  <mergeCells count="65">
    <mergeCell ref="L58:M58"/>
    <mergeCell ref="N58:O58"/>
    <mergeCell ref="N57:O57"/>
    <mergeCell ref="P58:Q58"/>
    <mergeCell ref="P57:Q57"/>
    <mergeCell ref="F58:G58"/>
    <mergeCell ref="H57:I57"/>
    <mergeCell ref="H58:I58"/>
    <mergeCell ref="J58:K58"/>
    <mergeCell ref="J57:K57"/>
    <mergeCell ref="G51:H53"/>
    <mergeCell ref="N48:O50"/>
    <mergeCell ref="N51:O53"/>
    <mergeCell ref="E50:F50"/>
    <mergeCell ref="L50:M50"/>
    <mergeCell ref="N34:O34"/>
    <mergeCell ref="N36:O36"/>
    <mergeCell ref="N37:O37"/>
    <mergeCell ref="N39:O39"/>
    <mergeCell ref="G48:H50"/>
    <mergeCell ref="F44:G44"/>
    <mergeCell ref="H44:I44"/>
    <mergeCell ref="L36:M36"/>
    <mergeCell ref="F45:G45"/>
    <mergeCell ref="H45:I45"/>
    <mergeCell ref="E36:F36"/>
    <mergeCell ref="G36:H36"/>
    <mergeCell ref="G37:H37"/>
    <mergeCell ref="G39:H39"/>
    <mergeCell ref="J30:K30"/>
    <mergeCell ref="L30:M30"/>
    <mergeCell ref="D43:E43"/>
    <mergeCell ref="F43:G43"/>
    <mergeCell ref="H43:I43"/>
    <mergeCell ref="G34:H34"/>
    <mergeCell ref="F30:G30"/>
    <mergeCell ref="H30:I30"/>
    <mergeCell ref="I21:M21"/>
    <mergeCell ref="U6:U9"/>
    <mergeCell ref="B11:F11"/>
    <mergeCell ref="B20:F20"/>
    <mergeCell ref="Q5:S7"/>
    <mergeCell ref="N5:P7"/>
    <mergeCell ref="B5:M7"/>
    <mergeCell ref="L27:M27"/>
    <mergeCell ref="J27:K27"/>
    <mergeCell ref="H27:I27"/>
    <mergeCell ref="F27:G27"/>
    <mergeCell ref="D27:E27"/>
    <mergeCell ref="E56:E57"/>
    <mergeCell ref="U28:U31"/>
    <mergeCell ref="F57:G57"/>
    <mergeCell ref="L57:M57"/>
    <mergeCell ref="N56:Q56"/>
    <mergeCell ref="F56:M56"/>
    <mergeCell ref="F29:G29"/>
    <mergeCell ref="H29:I29"/>
    <mergeCell ref="J29:K29"/>
    <mergeCell ref="L29:M29"/>
    <mergeCell ref="F28:G28"/>
    <mergeCell ref="H28:I28"/>
    <mergeCell ref="J28:K28"/>
    <mergeCell ref="L28:M28"/>
    <mergeCell ref="F46:G46"/>
    <mergeCell ref="H46:I46"/>
  </mergeCells>
  <dataValidations disablePrompts="1" count="4">
    <dataValidation allowBlank="1" showInputMessage="1" showErrorMessage="1" prompt="Nhà bê tông: Gf = 0.85 + h/2840_x000a_Nhà thép: Gf = 0.85+h/1010" sqref="C25:C28" xr:uid="{C2A1780F-EEA6-42AC-946F-37631DCAE599}"/>
    <dataValidation type="list" allowBlank="1" showInputMessage="1" showErrorMessage="1" sqref="U6:U9" xr:uid="{FF059BF1-B29A-49E4-9ED9-D1C58CD8C2EA}">
      <formula1>$AL$4:$AM$4</formula1>
    </dataValidation>
    <dataValidation type="list" operator="greaterThanOrEqual" showInputMessage="1" showErrorMessage="1" errorTitle="Warning!" error="Minimum design wind speed = 85 mph" sqref="K12:Q12" xr:uid="{F94B7336-0FE4-497B-833E-04FC6C778282}">
      <formula1>$X$13:$X$17</formula1>
    </dataValidation>
    <dataValidation type="list" allowBlank="1" showInputMessage="1" showErrorMessage="1" errorTitle="Warning!" error="Invalid exposure category_x000a_Must input either A, B, C, or D" sqref="N15:Q15 K15:L15" xr:uid="{861A1F9F-94E0-447D-ACED-2AD8B24D883F}">
      <formula1>"A,B,C"</formula1>
    </dataValidation>
  </dataValidations>
  <printOptions gridLines="1"/>
  <pageMargins left="1" right="0.5" top="0.75" bottom="0.75" header="0.5" footer="0.5"/>
  <pageSetup paperSize="9" scale="72" orientation="portrait" r:id="rId1"/>
  <headerFooter alignWithMargins="0"/>
  <ignoredErrors>
    <ignoredError sqref="K18 K25" unlocked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Y75"/>
  <sheetViews>
    <sheetView showGridLines="0" tabSelected="1" view="pageBreakPreview" zoomScale="115" zoomScaleNormal="145" zoomScaleSheetLayoutView="115" workbookViewId="0">
      <selection activeCell="L23" sqref="L23"/>
    </sheetView>
  </sheetViews>
  <sheetFormatPr defaultRowHeight="15"/>
  <cols>
    <col min="1" max="1" width="2.7109375" customWidth="1"/>
    <col min="13" max="13" width="4.5703125" customWidth="1"/>
    <col min="17" max="17" width="10.85546875" bestFit="1" customWidth="1"/>
    <col min="21" max="21" width="11.5703125" customWidth="1"/>
  </cols>
  <sheetData>
    <row r="2" spans="2:22" hidden="1"/>
    <row r="3" spans="2:22" hidden="1"/>
    <row r="4" spans="2:22" hidden="1"/>
    <row r="6" spans="2:22" ht="15" customHeight="1">
      <c r="B6" s="259" t="s">
        <v>3</v>
      </c>
      <c r="C6" s="260"/>
      <c r="D6" s="260"/>
      <c r="E6" s="260"/>
      <c r="F6" s="260"/>
      <c r="G6" s="260"/>
      <c r="H6" s="260"/>
      <c r="I6" s="255" t="s">
        <v>1</v>
      </c>
      <c r="J6" s="255"/>
      <c r="K6" s="255" t="s">
        <v>2</v>
      </c>
      <c r="L6" s="256"/>
    </row>
    <row r="7" spans="2:22" ht="15" customHeight="1">
      <c r="B7" s="261"/>
      <c r="C7" s="262"/>
      <c r="D7" s="262"/>
      <c r="E7" s="262"/>
      <c r="F7" s="262"/>
      <c r="G7" s="262"/>
      <c r="H7" s="262"/>
      <c r="I7" s="257"/>
      <c r="J7" s="257"/>
      <c r="K7" s="257"/>
      <c r="L7" s="258"/>
    </row>
    <row r="8" spans="2:22" ht="15" customHeight="1">
      <c r="B8" s="261"/>
      <c r="C8" s="262"/>
      <c r="D8" s="262"/>
      <c r="E8" s="262"/>
      <c r="F8" s="262"/>
      <c r="G8" s="262"/>
      <c r="H8" s="262"/>
      <c r="I8" s="257"/>
      <c r="J8" s="257"/>
      <c r="K8" s="257"/>
      <c r="L8" s="258"/>
    </row>
    <row r="9" spans="2:22">
      <c r="B9" s="21"/>
      <c r="C9" s="178" t="s">
        <v>5</v>
      </c>
      <c r="E9" s="178" t="s">
        <v>90</v>
      </c>
      <c r="L9" s="22"/>
      <c r="O9" s="289" t="s">
        <v>19</v>
      </c>
      <c r="P9" s="289"/>
      <c r="Q9" s="289"/>
      <c r="R9" s="289"/>
      <c r="S9" s="289"/>
      <c r="T9" s="289"/>
      <c r="U9" s="289"/>
      <c r="V9" s="289"/>
    </row>
    <row r="10" spans="2:22" ht="15" customHeight="1">
      <c r="B10" s="21"/>
      <c r="L10" s="22"/>
      <c r="O10" s="2" t="s">
        <v>6</v>
      </c>
      <c r="P10" s="2" t="s">
        <v>7</v>
      </c>
      <c r="Q10" s="2" t="s">
        <v>8</v>
      </c>
      <c r="R10" s="2" t="s">
        <v>9</v>
      </c>
      <c r="S10" s="2" t="s">
        <v>10</v>
      </c>
      <c r="T10" s="2" t="s">
        <v>11</v>
      </c>
      <c r="U10" s="3" t="s">
        <v>12</v>
      </c>
      <c r="V10" s="2" t="s">
        <v>13</v>
      </c>
    </row>
    <row r="11" spans="2:22" ht="18">
      <c r="B11" s="286" t="s">
        <v>4</v>
      </c>
      <c r="C11" s="287"/>
      <c r="D11" s="287"/>
      <c r="E11" s="287"/>
      <c r="L11" s="22"/>
      <c r="O11" s="2" t="s">
        <v>15</v>
      </c>
      <c r="P11" s="1">
        <v>36</v>
      </c>
      <c r="Q11" s="1">
        <v>44</v>
      </c>
      <c r="R11" s="1">
        <v>50</v>
      </c>
      <c r="S11" s="1">
        <v>55</v>
      </c>
      <c r="T11" s="1">
        <v>61</v>
      </c>
      <c r="U11" s="3">
        <v>50</v>
      </c>
      <c r="V11" s="5" t="s">
        <v>14</v>
      </c>
    </row>
    <row r="12" spans="2:22" ht="18">
      <c r="B12" s="21"/>
      <c r="L12" s="22"/>
      <c r="O12" s="2" t="s">
        <v>16</v>
      </c>
      <c r="P12" s="1">
        <f>P11*$V$12</f>
        <v>42.452315172444344</v>
      </c>
      <c r="Q12" s="1">
        <f t="shared" ref="Q12:T12" si="0">Q11*$V$12</f>
        <v>51.886162988543084</v>
      </c>
      <c r="R12" s="1">
        <f t="shared" si="0"/>
        <v>58.961548850617142</v>
      </c>
      <c r="S12" s="1">
        <f t="shared" si="0"/>
        <v>64.857703735678854</v>
      </c>
      <c r="T12" s="1">
        <f t="shared" si="0"/>
        <v>71.933089597752911</v>
      </c>
      <c r="U12" s="2">
        <v>300</v>
      </c>
      <c r="V12" s="4">
        <f>(0.36+0.1*LN(12*U12))/(0.36+0.1*LN(12*$U$11))</f>
        <v>1.1792309770123428</v>
      </c>
    </row>
    <row r="13" spans="2:22" ht="18">
      <c r="B13" s="23" t="s">
        <v>20</v>
      </c>
      <c r="G13" s="179" t="s">
        <v>21</v>
      </c>
      <c r="H13" s="24" t="s">
        <v>9</v>
      </c>
      <c r="L13" s="22"/>
      <c r="O13" s="2" t="s">
        <v>17</v>
      </c>
      <c r="P13" s="1">
        <f>P11*$V$13</f>
        <v>45.503524296240059</v>
      </c>
      <c r="Q13" s="1">
        <f t="shared" ref="Q13:T13" si="1">Q11*$V$13</f>
        <v>55.615418584293401</v>
      </c>
      <c r="R13" s="1">
        <f t="shared" si="1"/>
        <v>63.199339300333413</v>
      </c>
      <c r="S13" s="1">
        <f t="shared" si="1"/>
        <v>69.51927323036675</v>
      </c>
      <c r="T13" s="1">
        <f t="shared" si="1"/>
        <v>77.103193946406762</v>
      </c>
      <c r="U13" s="2">
        <v>700</v>
      </c>
      <c r="V13" s="4">
        <f>(0.36+0.1*LN(12*U13))/(0.36+0.1*LN(12*$U$11))</f>
        <v>1.2639867860066683</v>
      </c>
    </row>
    <row r="14" spans="2:22" ht="18">
      <c r="B14" s="23" t="s">
        <v>22</v>
      </c>
      <c r="G14" s="179" t="s">
        <v>23</v>
      </c>
      <c r="H14" s="180">
        <f>HLOOKUP($H$13,$P$10:$T$14,2,FALSE)</f>
        <v>50</v>
      </c>
      <c r="I14" t="s">
        <v>24</v>
      </c>
      <c r="L14" s="22"/>
      <c r="O14" s="2" t="s">
        <v>18</v>
      </c>
      <c r="P14" s="1">
        <f>P11*$V$14</f>
        <v>48.698796857087316</v>
      </c>
      <c r="Q14" s="1">
        <f t="shared" ref="Q14:T14" si="2">Q11*$V$14</f>
        <v>59.520751714217823</v>
      </c>
      <c r="R14" s="1">
        <f t="shared" si="2"/>
        <v>67.637217857065707</v>
      </c>
      <c r="S14" s="1">
        <f t="shared" si="2"/>
        <v>74.400939642772286</v>
      </c>
      <c r="T14" s="1">
        <f t="shared" si="2"/>
        <v>82.51740578562017</v>
      </c>
      <c r="U14" s="2">
        <v>1700</v>
      </c>
      <c r="V14" s="4">
        <f>(0.36+0.1*LN(12*U14))/(0.36+0.1*LN(12*$U$11))</f>
        <v>1.3527443571413142</v>
      </c>
    </row>
    <row r="15" spans="2:22">
      <c r="B15" s="23" t="s">
        <v>29</v>
      </c>
      <c r="H15" s="181" t="s">
        <v>8</v>
      </c>
      <c r="L15" s="22"/>
    </row>
    <row r="16" spans="2:22" ht="18">
      <c r="B16" s="23" t="s">
        <v>223</v>
      </c>
      <c r="H16" s="24">
        <v>700</v>
      </c>
      <c r="L16" s="22"/>
      <c r="O16" s="2" t="s">
        <v>57</v>
      </c>
      <c r="P16" s="7" t="s">
        <v>36</v>
      </c>
      <c r="Q16" s="6" t="s">
        <v>58</v>
      </c>
      <c r="S16" s="6"/>
      <c r="T16" s="6" t="s">
        <v>46</v>
      </c>
      <c r="U16" s="6" t="s">
        <v>62</v>
      </c>
    </row>
    <row r="17" spans="2:25">
      <c r="B17" s="23" t="s">
        <v>91</v>
      </c>
      <c r="G17" s="179" t="s">
        <v>25</v>
      </c>
      <c r="H17" s="182">
        <f>HLOOKUP($H$13,$P$10:$T$14,MATCH($H$16,$U$11:$U$14,0)+1,FALSE)</f>
        <v>63.199339300333413</v>
      </c>
      <c r="I17" t="s">
        <v>24</v>
      </c>
      <c r="J17" s="183"/>
      <c r="K17" s="25"/>
      <c r="L17" s="22"/>
      <c r="O17" s="2" t="s">
        <v>27</v>
      </c>
      <c r="P17" s="6">
        <v>7</v>
      </c>
      <c r="Q17" s="6">
        <v>365.76</v>
      </c>
      <c r="S17" s="6" t="s">
        <v>7</v>
      </c>
      <c r="T17" s="6">
        <v>0.87</v>
      </c>
      <c r="U17" s="6">
        <v>0.77</v>
      </c>
    </row>
    <row r="18" spans="2:25">
      <c r="B18" s="23" t="s">
        <v>26</v>
      </c>
      <c r="H18" s="24" t="s">
        <v>28</v>
      </c>
      <c r="L18" s="22"/>
      <c r="O18" s="2" t="s">
        <v>28</v>
      </c>
      <c r="P18" s="6">
        <v>9.5</v>
      </c>
      <c r="Q18" s="6">
        <v>274.32</v>
      </c>
      <c r="S18" s="6" t="s">
        <v>8</v>
      </c>
      <c r="T18" s="6">
        <v>1</v>
      </c>
      <c r="U18" s="6">
        <v>1</v>
      </c>
    </row>
    <row r="19" spans="2:25">
      <c r="B19" s="23" t="s">
        <v>32</v>
      </c>
      <c r="G19" s="179" t="s">
        <v>33</v>
      </c>
      <c r="H19" s="208">
        <v>11.555555555555564</v>
      </c>
      <c r="I19" t="s">
        <v>34</v>
      </c>
      <c r="L19" s="22"/>
      <c r="O19" s="2" t="s">
        <v>56</v>
      </c>
      <c r="P19" s="6">
        <v>11.5</v>
      </c>
      <c r="Q19" s="6">
        <v>213.36</v>
      </c>
      <c r="S19" s="6" t="s">
        <v>9</v>
      </c>
      <c r="T19" s="6">
        <v>1.1499999999999999</v>
      </c>
      <c r="U19" s="6">
        <v>1.1499999999999999</v>
      </c>
    </row>
    <row r="20" spans="2:25">
      <c r="B20" s="23" t="s">
        <v>35</v>
      </c>
      <c r="G20" s="184" t="s">
        <v>37</v>
      </c>
      <c r="H20" s="185">
        <f>DEGREES(ATAN(H19/100))</f>
        <v>6.5916099350311876</v>
      </c>
      <c r="L20" s="22"/>
      <c r="S20" s="6" t="s">
        <v>10</v>
      </c>
      <c r="T20" s="6">
        <v>1.1499999999999999</v>
      </c>
      <c r="U20" s="6">
        <v>1.1499999999999999</v>
      </c>
    </row>
    <row r="21" spans="2:25">
      <c r="B21" s="23" t="s">
        <v>38</v>
      </c>
      <c r="G21" s="179" t="s">
        <v>39</v>
      </c>
      <c r="H21" s="24">
        <v>22.5</v>
      </c>
      <c r="I21" t="s">
        <v>31</v>
      </c>
      <c r="L21" s="22"/>
    </row>
    <row r="22" spans="2:25" ht="18">
      <c r="B22" s="23" t="s">
        <v>40</v>
      </c>
      <c r="G22" s="179" t="s">
        <v>30</v>
      </c>
      <c r="H22" s="24">
        <v>11.3</v>
      </c>
      <c r="I22" t="s">
        <v>31</v>
      </c>
      <c r="L22" s="22"/>
    </row>
    <row r="23" spans="2:25" ht="18">
      <c r="B23" s="23" t="s">
        <v>41</v>
      </c>
      <c r="G23" s="179" t="s">
        <v>42</v>
      </c>
      <c r="H23" s="186">
        <f>H22-H19/100*(H21/2)</f>
        <v>10</v>
      </c>
      <c r="I23" t="s">
        <v>31</v>
      </c>
      <c r="L23" s="22"/>
    </row>
    <row r="24" spans="2:25">
      <c r="B24" s="23" t="s">
        <v>43</v>
      </c>
      <c r="G24" s="179" t="s">
        <v>44</v>
      </c>
      <c r="H24" s="186">
        <f>IF(H20&gt;10,(H22+H23)/2,H23)</f>
        <v>10</v>
      </c>
      <c r="I24" t="s">
        <v>31</v>
      </c>
      <c r="L24" s="22"/>
    </row>
    <row r="25" spans="2:25">
      <c r="B25" s="23" t="s">
        <v>255</v>
      </c>
      <c r="G25" s="179" t="s">
        <v>256</v>
      </c>
      <c r="H25" s="207">
        <f>IF(H18="B",MAX(H24,9.1),H24)</f>
        <v>10</v>
      </c>
      <c r="I25" t="s">
        <v>31</v>
      </c>
      <c r="L25" s="22"/>
    </row>
    <row r="26" spans="2:25" ht="18.75" thickBot="1">
      <c r="B26" s="23" t="s">
        <v>54</v>
      </c>
      <c r="G26" s="179" t="s">
        <v>49</v>
      </c>
      <c r="H26" s="187">
        <v>1</v>
      </c>
      <c r="L26" s="22"/>
    </row>
    <row r="27" spans="2:25" ht="18" customHeight="1">
      <c r="B27" s="23" t="s">
        <v>52</v>
      </c>
      <c r="G27" s="179" t="s">
        <v>53</v>
      </c>
      <c r="H27" s="187">
        <v>0.85</v>
      </c>
      <c r="L27" s="22"/>
      <c r="O27" s="301" t="s">
        <v>245</v>
      </c>
      <c r="P27" s="297" t="s">
        <v>244</v>
      </c>
      <c r="Q27" s="297"/>
      <c r="R27" s="297"/>
      <c r="S27" s="297"/>
      <c r="T27" s="297"/>
      <c r="U27" s="297"/>
      <c r="V27" s="297"/>
      <c r="W27" s="297"/>
      <c r="X27" s="298"/>
    </row>
    <row r="28" spans="2:25" ht="15.75" thickBot="1">
      <c r="B28" s="23" t="s">
        <v>50</v>
      </c>
      <c r="G28" s="179" t="s">
        <v>51</v>
      </c>
      <c r="H28" s="187">
        <v>0.85</v>
      </c>
      <c r="L28" s="22"/>
      <c r="O28" s="302"/>
      <c r="P28" s="299"/>
      <c r="Q28" s="299"/>
      <c r="R28" s="299"/>
      <c r="S28" s="299"/>
      <c r="T28" s="299"/>
      <c r="U28" s="299"/>
      <c r="V28" s="299"/>
      <c r="W28" s="299"/>
      <c r="X28" s="300"/>
    </row>
    <row r="29" spans="2:25" ht="15.75" thickBot="1">
      <c r="B29" s="23" t="s">
        <v>45</v>
      </c>
      <c r="H29" s="181" t="s">
        <v>46</v>
      </c>
      <c r="L29" s="22"/>
      <c r="O29" s="144" t="s">
        <v>246</v>
      </c>
      <c r="P29" s="303" t="s">
        <v>247</v>
      </c>
      <c r="Q29" s="303"/>
      <c r="R29" s="303"/>
      <c r="S29" s="303"/>
      <c r="T29" s="303"/>
      <c r="U29" s="303"/>
      <c r="V29" s="303"/>
      <c r="W29" s="303"/>
      <c r="X29" s="304"/>
    </row>
    <row r="30" spans="2:25">
      <c r="B30" s="23" t="s">
        <v>47</v>
      </c>
      <c r="H30" s="181" t="s">
        <v>48</v>
      </c>
      <c r="L30" s="22"/>
      <c r="O30" s="306" t="s">
        <v>66</v>
      </c>
      <c r="P30" s="308" t="s">
        <v>67</v>
      </c>
      <c r="Q30" s="310" t="s">
        <v>68</v>
      </c>
      <c r="R30" s="310"/>
      <c r="S30" s="310"/>
      <c r="T30" s="310"/>
      <c r="U30" s="310" t="s">
        <v>69</v>
      </c>
      <c r="V30" s="310"/>
      <c r="W30" s="310"/>
      <c r="X30" s="311"/>
      <c r="Y30" s="8"/>
    </row>
    <row r="31" spans="2:25">
      <c r="B31" s="21"/>
      <c r="L31" s="22"/>
      <c r="O31" s="307"/>
      <c r="P31" s="309"/>
      <c r="Q31" s="290" t="s">
        <v>70</v>
      </c>
      <c r="R31" s="290"/>
      <c r="S31" s="290" t="s">
        <v>71</v>
      </c>
      <c r="T31" s="290"/>
      <c r="U31" s="290" t="s">
        <v>70</v>
      </c>
      <c r="V31" s="290"/>
      <c r="W31" s="290" t="s">
        <v>71</v>
      </c>
      <c r="X31" s="305"/>
      <c r="Y31" s="8"/>
    </row>
    <row r="32" spans="2:25" ht="15" customHeight="1">
      <c r="B32" s="286" t="s">
        <v>89</v>
      </c>
      <c r="C32" s="287"/>
      <c r="D32" s="287"/>
      <c r="E32" s="287"/>
      <c r="F32" s="287"/>
      <c r="G32" s="287"/>
      <c r="H32" s="287"/>
      <c r="I32" s="287"/>
      <c r="L32" s="22"/>
      <c r="O32" s="307"/>
      <c r="P32" s="309"/>
      <c r="Q32" s="9" t="s">
        <v>72</v>
      </c>
      <c r="R32" s="9" t="s">
        <v>73</v>
      </c>
      <c r="S32" s="9" t="s">
        <v>72</v>
      </c>
      <c r="T32" s="9" t="s">
        <v>73</v>
      </c>
      <c r="U32" s="9" t="s">
        <v>72</v>
      </c>
      <c r="V32" s="9" t="s">
        <v>73</v>
      </c>
      <c r="W32" s="9" t="s">
        <v>72</v>
      </c>
      <c r="X32" s="11" t="s">
        <v>73</v>
      </c>
      <c r="Y32" s="8"/>
    </row>
    <row r="33" spans="2:25">
      <c r="B33" s="21"/>
      <c r="L33" s="22"/>
      <c r="O33" s="163">
        <f>H20</f>
        <v>6.5916099350311876</v>
      </c>
      <c r="P33" s="157" t="s">
        <v>74</v>
      </c>
      <c r="Q33" s="158">
        <v>1.2</v>
      </c>
      <c r="R33" s="158">
        <v>0.3</v>
      </c>
      <c r="S33" s="158">
        <v>-0.5</v>
      </c>
      <c r="T33" s="158">
        <v>-1.2</v>
      </c>
      <c r="U33" s="158">
        <v>1.2</v>
      </c>
      <c r="V33" s="158">
        <v>0.3</v>
      </c>
      <c r="W33" s="158">
        <v>-0.5</v>
      </c>
      <c r="X33" s="159">
        <v>-1.2</v>
      </c>
      <c r="Y33" s="8"/>
    </row>
    <row r="34" spans="2:25" ht="15" customHeight="1" thickBot="1">
      <c r="B34" s="21" t="s">
        <v>55</v>
      </c>
      <c r="G34" s="188" t="s">
        <v>59</v>
      </c>
      <c r="H34" s="180">
        <f>VLOOKUP(H18,$O$17:$Q$19,2,FALSE)</f>
        <v>9.5</v>
      </c>
      <c r="I34" s="179" t="s">
        <v>60</v>
      </c>
      <c r="J34" s="180">
        <f>VLOOKUP(H18,$O$17:$Q$19,3,FALSE)</f>
        <v>274.32</v>
      </c>
      <c r="K34" t="s">
        <v>31</v>
      </c>
      <c r="L34" s="22"/>
      <c r="O34" s="164">
        <f>O33</f>
        <v>6.5916099350311876</v>
      </c>
      <c r="P34" s="160" t="s">
        <v>27</v>
      </c>
      <c r="Q34" s="161">
        <v>-1.1000000000000001</v>
      </c>
      <c r="R34" s="161">
        <v>-0.1</v>
      </c>
      <c r="S34" s="161">
        <v>-1.1000000000000001</v>
      </c>
      <c r="T34" s="161">
        <v>-0.6</v>
      </c>
      <c r="U34" s="161">
        <v>-1.1000000000000001</v>
      </c>
      <c r="V34" s="161">
        <v>-0.1</v>
      </c>
      <c r="W34" s="161">
        <v>-1.1000000000000001</v>
      </c>
      <c r="X34" s="162">
        <v>-0.6</v>
      </c>
      <c r="Y34" s="8"/>
    </row>
    <row r="35" spans="2:25" ht="15" customHeight="1" thickBot="1">
      <c r="B35" s="21" t="s">
        <v>0</v>
      </c>
      <c r="G35" s="179" t="s">
        <v>61</v>
      </c>
      <c r="H35" s="189">
        <f>IF($H$18="B",IF($H$24&lt;9.1,2.01*(9.1/$J$34)^(2/$H$34),2.01*($H$24/$J$34)^(2/$H$34)),IF(OR($H$18="C",$H$18="D"),IF($H$24&lt;4.6,2.01*(4.6/$J$34)^(2/$H$34),2.01*($H$24/$J$34)^(2/$H$34))))</f>
        <v>1.0009330064908715</v>
      </c>
      <c r="L35" s="22"/>
      <c r="Y35" s="8"/>
    </row>
    <row r="36" spans="2:25" ht="18.75">
      <c r="B36" s="21" t="s">
        <v>63</v>
      </c>
      <c r="G36" s="179" t="s">
        <v>64</v>
      </c>
      <c r="H36" s="189">
        <f>0.613*H35*H26*H27*1*H17^2/1000</f>
        <v>2.0830969694173378</v>
      </c>
      <c r="I36" t="s">
        <v>65</v>
      </c>
      <c r="J36" t="s">
        <v>207</v>
      </c>
      <c r="L36" s="22"/>
      <c r="O36" s="317" t="s">
        <v>66</v>
      </c>
      <c r="P36" s="319" t="s">
        <v>67</v>
      </c>
      <c r="Q36" s="294" t="s">
        <v>68</v>
      </c>
      <c r="R36" s="294"/>
      <c r="S36" s="294"/>
      <c r="T36" s="294"/>
      <c r="U36" s="294" t="s">
        <v>69</v>
      </c>
      <c r="V36" s="294"/>
      <c r="W36" s="294"/>
      <c r="X36" s="295"/>
      <c r="Y36" s="8"/>
    </row>
    <row r="37" spans="2:25">
      <c r="B37" s="21"/>
      <c r="L37" s="22"/>
      <c r="O37" s="307"/>
      <c r="P37" s="309"/>
      <c r="Q37" s="290" t="s">
        <v>70</v>
      </c>
      <c r="R37" s="290"/>
      <c r="S37" s="290" t="s">
        <v>71</v>
      </c>
      <c r="T37" s="290"/>
      <c r="U37" s="290" t="s">
        <v>70</v>
      </c>
      <c r="V37" s="290"/>
      <c r="W37" s="290" t="s">
        <v>71</v>
      </c>
      <c r="X37" s="305"/>
      <c r="Y37" s="8"/>
    </row>
    <row r="38" spans="2:25" ht="16.5" thickBot="1">
      <c r="B38" s="21"/>
      <c r="L38" s="22"/>
      <c r="O38" s="318"/>
      <c r="P38" s="320"/>
      <c r="Q38" s="12" t="s">
        <v>72</v>
      </c>
      <c r="R38" s="12" t="s">
        <v>73</v>
      </c>
      <c r="S38" s="12" t="s">
        <v>72</v>
      </c>
      <c r="T38" s="12" t="s">
        <v>73</v>
      </c>
      <c r="U38" s="12" t="s">
        <v>72</v>
      </c>
      <c r="V38" s="12" t="s">
        <v>73</v>
      </c>
      <c r="W38" s="12" t="s">
        <v>72</v>
      </c>
      <c r="X38" s="13" t="s">
        <v>73</v>
      </c>
      <c r="Y38" s="8"/>
    </row>
    <row r="39" spans="2:25">
      <c r="B39" s="21"/>
      <c r="L39" s="22"/>
      <c r="O39" s="14">
        <v>7.5</v>
      </c>
      <c r="P39" s="15" t="s">
        <v>74</v>
      </c>
      <c r="Q39" s="15" t="s">
        <v>224</v>
      </c>
      <c r="R39" s="15" t="s">
        <v>225</v>
      </c>
      <c r="S39" s="15" t="s">
        <v>226</v>
      </c>
      <c r="T39" s="15">
        <v>-1</v>
      </c>
      <c r="U39" s="15" t="str">
        <f>Q39</f>
        <v xml:space="preserve">1.1 </v>
      </c>
      <c r="V39" s="15" t="str">
        <f t="shared" ref="V39:X39" si="3">R39</f>
        <v>-0.3</v>
      </c>
      <c r="W39" s="15" t="str">
        <f t="shared" si="3"/>
        <v>-1.6</v>
      </c>
      <c r="X39" s="145">
        <f t="shared" si="3"/>
        <v>-1</v>
      </c>
      <c r="Y39" s="8"/>
    </row>
    <row r="40" spans="2:25" ht="15" customHeight="1">
      <c r="B40" s="21"/>
      <c r="L40" s="22"/>
      <c r="O40" s="16">
        <v>15</v>
      </c>
      <c r="P40" s="9" t="s">
        <v>74</v>
      </c>
      <c r="Q40" s="9" t="s">
        <v>224</v>
      </c>
      <c r="R40" s="9" t="s">
        <v>227</v>
      </c>
      <c r="S40" s="9" t="s">
        <v>228</v>
      </c>
      <c r="T40" s="9">
        <v>-1</v>
      </c>
      <c r="U40" s="146" t="str">
        <f t="shared" ref="U40:U44" si="4">Q40</f>
        <v xml:space="preserve">1.1 </v>
      </c>
      <c r="V40" s="146" t="str">
        <f t="shared" ref="V40:V44" si="5">R40</f>
        <v>-0.4</v>
      </c>
      <c r="W40" s="146" t="str">
        <f t="shared" ref="W40:W44" si="6">S40</f>
        <v>-1.2</v>
      </c>
      <c r="X40" s="147">
        <f t="shared" ref="X40:X44" si="7">T40</f>
        <v>-1</v>
      </c>
      <c r="Y40" s="8"/>
    </row>
    <row r="41" spans="2:25">
      <c r="B41" s="21"/>
      <c r="L41" s="22"/>
      <c r="O41" s="16">
        <v>22.5</v>
      </c>
      <c r="P41" s="9" t="s">
        <v>74</v>
      </c>
      <c r="Q41" s="9" t="s">
        <v>224</v>
      </c>
      <c r="R41" s="9" t="s">
        <v>229</v>
      </c>
      <c r="S41" s="9" t="s">
        <v>228</v>
      </c>
      <c r="T41" s="9">
        <v>-1.2</v>
      </c>
      <c r="U41" s="146" t="str">
        <f t="shared" si="4"/>
        <v xml:space="preserve">1.1 </v>
      </c>
      <c r="V41" s="146" t="str">
        <f t="shared" si="5"/>
        <v xml:space="preserve"> 0.1</v>
      </c>
      <c r="W41" s="146" t="str">
        <f t="shared" si="6"/>
        <v>-1.2</v>
      </c>
      <c r="X41" s="147">
        <f t="shared" si="7"/>
        <v>-1.2</v>
      </c>
      <c r="Y41" s="8"/>
    </row>
    <row r="42" spans="2:25" ht="15" customHeight="1">
      <c r="B42" s="21"/>
      <c r="L42" s="22"/>
      <c r="O42" s="16">
        <v>30</v>
      </c>
      <c r="P42" s="9" t="s">
        <v>74</v>
      </c>
      <c r="Q42" s="9" t="s">
        <v>230</v>
      </c>
      <c r="R42" s="9" t="s">
        <v>231</v>
      </c>
      <c r="S42" s="9" t="s">
        <v>232</v>
      </c>
      <c r="T42" s="9">
        <v>-0.7</v>
      </c>
      <c r="U42" s="146" t="str">
        <f t="shared" si="4"/>
        <v xml:space="preserve">1.3 </v>
      </c>
      <c r="V42" s="146" t="str">
        <f t="shared" si="5"/>
        <v xml:space="preserve"> 0.3</v>
      </c>
      <c r="W42" s="146" t="str">
        <f t="shared" si="6"/>
        <v>-0.7</v>
      </c>
      <c r="X42" s="147">
        <f t="shared" si="7"/>
        <v>-0.7</v>
      </c>
      <c r="Y42" s="8"/>
    </row>
    <row r="43" spans="2:25">
      <c r="B43" s="21"/>
      <c r="L43" s="22"/>
      <c r="O43" s="16">
        <v>37.5</v>
      </c>
      <c r="P43" s="9" t="s">
        <v>74</v>
      </c>
      <c r="Q43" s="9" t="s">
        <v>230</v>
      </c>
      <c r="R43" s="9" t="s">
        <v>233</v>
      </c>
      <c r="S43" s="9" t="s">
        <v>234</v>
      </c>
      <c r="T43" s="9">
        <v>-0.6</v>
      </c>
      <c r="U43" s="146" t="str">
        <f t="shared" si="4"/>
        <v xml:space="preserve">1.3 </v>
      </c>
      <c r="V43" s="146" t="str">
        <f t="shared" si="5"/>
        <v xml:space="preserve"> 0.6</v>
      </c>
      <c r="W43" s="146" t="str">
        <f t="shared" si="6"/>
        <v>-0.6</v>
      </c>
      <c r="X43" s="147">
        <f t="shared" si="7"/>
        <v>-0.6</v>
      </c>
      <c r="Y43" s="8"/>
    </row>
    <row r="44" spans="2:25" ht="15.75" thickBot="1">
      <c r="B44" s="21"/>
      <c r="L44" s="22"/>
      <c r="O44" s="143">
        <v>45</v>
      </c>
      <c r="P44" s="12" t="s">
        <v>74</v>
      </c>
      <c r="Q44" s="12" t="s">
        <v>224</v>
      </c>
      <c r="R44" s="12" t="s">
        <v>235</v>
      </c>
      <c r="S44" s="12" t="s">
        <v>236</v>
      </c>
      <c r="T44" s="12">
        <v>-0.5</v>
      </c>
      <c r="U44" s="148" t="str">
        <f t="shared" si="4"/>
        <v xml:space="preserve">1.1 </v>
      </c>
      <c r="V44" s="148" t="str">
        <f t="shared" si="5"/>
        <v xml:space="preserve"> 0.9</v>
      </c>
      <c r="W44" s="148" t="str">
        <f t="shared" si="6"/>
        <v>-0.5</v>
      </c>
      <c r="X44" s="149">
        <f t="shared" si="7"/>
        <v>-0.5</v>
      </c>
      <c r="Y44" s="8"/>
    </row>
    <row r="45" spans="2:25" ht="15.75" thickBot="1">
      <c r="B45" s="21"/>
      <c r="L45" s="22"/>
      <c r="O45" s="150">
        <f>H20</f>
        <v>6.5916099350311876</v>
      </c>
      <c r="P45" s="151" t="s">
        <v>74</v>
      </c>
      <c r="Q45" s="170" t="str" cm="1">
        <f t="array" ref="Q45">IF($O$45&lt;7.5,"-",noisuy1chieu($O$45,$O$39:$O$44,Q39:Q44))</f>
        <v>-</v>
      </c>
      <c r="R45" s="170" t="str" cm="1">
        <f t="array" ref="R45">IF($O$45&lt;7.5,"-",noisuy1chieu($O$45,$O$39:$O$44,R39:R44))</f>
        <v>-</v>
      </c>
      <c r="S45" s="170" t="str" cm="1">
        <f t="array" ref="S45">IF($O$45&lt;7.5,"-",noisuy1chieu($O$45,$O$39:$O$44,S39:S44))</f>
        <v>-</v>
      </c>
      <c r="T45" s="170" t="str" cm="1">
        <f t="array" ref="T45">IF($O$45&lt;7.5,"-",noisuy1chieu($O$45,$O$39:$O$44,T39:T44))</f>
        <v>-</v>
      </c>
      <c r="U45" s="170" t="str" cm="1">
        <f t="array" ref="U45">IF($O$45&lt;7.5,"-",noisuy1chieu($O$45,$O$39:$O$44,U39:U44))</f>
        <v>-</v>
      </c>
      <c r="V45" s="170" t="str" cm="1">
        <f t="array" ref="V45">IF($O$45&lt;7.5,"-",noisuy1chieu($O$45,$O$39:$O$44,V39:V44))</f>
        <v>-</v>
      </c>
      <c r="W45" s="170" t="str" cm="1">
        <f t="array" ref="W45">IF($O$45&lt;7.5,"-",noisuy1chieu($O$45,$O$39:$O$44,W39:W44))</f>
        <v>-</v>
      </c>
      <c r="X45" s="171" t="str" cm="1">
        <f t="array" ref="X45">IF($O$45&lt;7.5,"-",noisuy1chieu($O$45,$O$39:$O$44,X39:X44))</f>
        <v>-</v>
      </c>
      <c r="Y45" s="8"/>
    </row>
    <row r="46" spans="2:25">
      <c r="B46" s="21"/>
      <c r="L46" s="22"/>
      <c r="O46" s="154">
        <v>7.5</v>
      </c>
      <c r="P46" s="15" t="s">
        <v>27</v>
      </c>
      <c r="Q46" s="15" t="s">
        <v>237</v>
      </c>
      <c r="R46" s="15" t="s">
        <v>228</v>
      </c>
      <c r="S46" s="15" t="s">
        <v>238</v>
      </c>
      <c r="T46" s="15">
        <v>-1.7</v>
      </c>
      <c r="U46" s="15" t="str">
        <f>Q46</f>
        <v xml:space="preserve">0.2 </v>
      </c>
      <c r="V46" s="15" t="str">
        <f t="shared" ref="V46:X46" si="8">R46</f>
        <v>-1.2</v>
      </c>
      <c r="W46" s="15" t="str">
        <f t="shared" si="8"/>
        <v>-0.9</v>
      </c>
      <c r="X46" s="145">
        <f t="shared" si="8"/>
        <v>-1.7</v>
      </c>
      <c r="Y46" s="8"/>
    </row>
    <row r="47" spans="2:25" ht="15" customHeight="1">
      <c r="B47" s="21"/>
      <c r="C47" s="296" t="str">
        <f>H30&amp;" Flow"</f>
        <v>Clear Flow</v>
      </c>
      <c r="D47" s="296"/>
      <c r="E47" s="291" t="s">
        <v>79</v>
      </c>
      <c r="F47" s="291"/>
      <c r="G47" s="312" t="s">
        <v>77</v>
      </c>
      <c r="H47" s="312"/>
      <c r="I47" s="312" t="s">
        <v>78</v>
      </c>
      <c r="J47" s="312"/>
      <c r="L47" s="22"/>
      <c r="O47" s="155">
        <v>15</v>
      </c>
      <c r="P47" s="9" t="s">
        <v>27</v>
      </c>
      <c r="Q47" s="9" t="s">
        <v>239</v>
      </c>
      <c r="R47" s="9" t="s">
        <v>240</v>
      </c>
      <c r="S47" s="9" t="s">
        <v>234</v>
      </c>
      <c r="T47" s="9">
        <v>-1.6</v>
      </c>
      <c r="U47" s="9" t="str">
        <f t="shared" ref="U47:U51" si="9">Q47</f>
        <v xml:space="preserve">0.1 </v>
      </c>
      <c r="V47" s="9" t="str">
        <f t="shared" ref="V47:V51" si="10">R47</f>
        <v>-1.1</v>
      </c>
      <c r="W47" s="9" t="str">
        <f t="shared" ref="W47:W51" si="11">S47</f>
        <v>-0.6</v>
      </c>
      <c r="X47" s="11">
        <f t="shared" ref="X47:X51" si="12">T47</f>
        <v>-1.6</v>
      </c>
      <c r="Y47" s="8"/>
    </row>
    <row r="48" spans="2:25" ht="15.75">
      <c r="B48" s="21"/>
      <c r="C48" s="296"/>
      <c r="D48" s="296"/>
      <c r="E48" s="291"/>
      <c r="F48" s="291"/>
      <c r="G48" s="9" t="s">
        <v>72</v>
      </c>
      <c r="H48" s="9" t="s">
        <v>73</v>
      </c>
      <c r="I48" s="9" t="s">
        <v>72</v>
      </c>
      <c r="J48" s="9" t="s">
        <v>73</v>
      </c>
      <c r="L48" s="22"/>
      <c r="O48" s="155">
        <v>22.5</v>
      </c>
      <c r="P48" s="9" t="s">
        <v>27</v>
      </c>
      <c r="Q48" s="9" t="s">
        <v>241</v>
      </c>
      <c r="R48" s="9" t="s">
        <v>242</v>
      </c>
      <c r="S48" s="9" t="s">
        <v>242</v>
      </c>
      <c r="T48" s="9">
        <v>-1.7</v>
      </c>
      <c r="U48" s="9" t="str">
        <f t="shared" si="9"/>
        <v>-0.1</v>
      </c>
      <c r="V48" s="9" t="str">
        <f t="shared" si="10"/>
        <v>-0.8</v>
      </c>
      <c r="W48" s="9" t="str">
        <f t="shared" si="11"/>
        <v>-0.8</v>
      </c>
      <c r="X48" s="11">
        <f t="shared" si="12"/>
        <v>-1.7</v>
      </c>
      <c r="Y48" s="8"/>
    </row>
    <row r="49" spans="2:25">
      <c r="B49" s="21"/>
      <c r="C49" s="283" t="s">
        <v>76</v>
      </c>
      <c r="D49" s="283"/>
      <c r="E49" s="284" t="s">
        <v>74</v>
      </c>
      <c r="F49" s="284"/>
      <c r="G49" s="17">
        <f>IF($H$30="Clear",Q59,S59)</f>
        <v>1.2</v>
      </c>
      <c r="H49" s="17">
        <f>IF($H$30="Clear",R59,T59)</f>
        <v>0.3</v>
      </c>
      <c r="I49" s="17">
        <f>IF($H$30="Clear",U59,W59)</f>
        <v>1.2</v>
      </c>
      <c r="J49" s="17">
        <f>IF($H$30="Clear",V59,X59)</f>
        <v>0.3</v>
      </c>
      <c r="L49" s="22"/>
      <c r="O49" s="155">
        <v>30</v>
      </c>
      <c r="P49" s="9" t="s">
        <v>27</v>
      </c>
      <c r="Q49" s="9" t="s">
        <v>241</v>
      </c>
      <c r="R49" s="9" t="s">
        <v>238</v>
      </c>
      <c r="S49" s="9" t="s">
        <v>243</v>
      </c>
      <c r="T49" s="9">
        <v>-1.1000000000000001</v>
      </c>
      <c r="U49" s="9" t="str">
        <f t="shared" si="9"/>
        <v>-0.1</v>
      </c>
      <c r="V49" s="9" t="str">
        <f t="shared" si="10"/>
        <v>-0.9</v>
      </c>
      <c r="W49" s="9" t="str">
        <f t="shared" si="11"/>
        <v>-0.2</v>
      </c>
      <c r="X49" s="11">
        <f t="shared" si="12"/>
        <v>-1.1000000000000001</v>
      </c>
      <c r="Y49" s="10"/>
    </row>
    <row r="50" spans="2:25" ht="15" customHeight="1">
      <c r="B50" s="21"/>
      <c r="C50" s="283"/>
      <c r="D50" s="283"/>
      <c r="E50" s="285" t="s">
        <v>27</v>
      </c>
      <c r="F50" s="285"/>
      <c r="G50" s="18">
        <f>IF($H$30="Clear",Q60,S60)</f>
        <v>-1.1000000000000001</v>
      </c>
      <c r="H50" s="18">
        <f>IF($H$30="Clear",R60,T60)</f>
        <v>-0.1</v>
      </c>
      <c r="I50" s="18">
        <f>IF($H$30="Clear",U60,W60)</f>
        <v>-1.1000000000000001</v>
      </c>
      <c r="J50" s="18">
        <f>IF($H$30="Clear",V60,X60)</f>
        <v>-0.1</v>
      </c>
      <c r="L50" s="22"/>
      <c r="O50" s="155">
        <v>37.5</v>
      </c>
      <c r="P50" s="9" t="s">
        <v>27</v>
      </c>
      <c r="Q50" s="9" t="s">
        <v>243</v>
      </c>
      <c r="R50" s="9" t="s">
        <v>234</v>
      </c>
      <c r="S50" s="9" t="s">
        <v>225</v>
      </c>
      <c r="T50" s="9">
        <v>-0.9</v>
      </c>
      <c r="U50" s="9" t="str">
        <f t="shared" si="9"/>
        <v>-0.2</v>
      </c>
      <c r="V50" s="9" t="str">
        <f t="shared" si="10"/>
        <v>-0.6</v>
      </c>
      <c r="W50" s="9" t="str">
        <f t="shared" si="11"/>
        <v>-0.3</v>
      </c>
      <c r="X50" s="11">
        <f t="shared" si="12"/>
        <v>-0.9</v>
      </c>
      <c r="Y50" s="10"/>
    </row>
    <row r="51" spans="2:25" ht="15.75" thickBot="1">
      <c r="B51" s="21"/>
      <c r="C51" s="283" t="s">
        <v>75</v>
      </c>
      <c r="D51" s="283"/>
      <c r="E51" s="284" t="s">
        <v>74</v>
      </c>
      <c r="F51" s="284"/>
      <c r="G51" s="175">
        <f t="shared" ref="G51:J52" si="13">$H$36*$H$28*G49</f>
        <v>2.1247589088056844</v>
      </c>
      <c r="H51" s="175">
        <f t="shared" si="13"/>
        <v>0.5311897272014211</v>
      </c>
      <c r="I51" s="175">
        <f t="shared" si="13"/>
        <v>2.1247589088056844</v>
      </c>
      <c r="J51" s="175">
        <f>$H$36*$H$28*J49</f>
        <v>0.5311897272014211</v>
      </c>
      <c r="L51" s="22"/>
      <c r="O51" s="156">
        <v>45</v>
      </c>
      <c r="P51" s="12" t="s">
        <v>27</v>
      </c>
      <c r="Q51" s="12" t="s">
        <v>225</v>
      </c>
      <c r="R51" s="12" t="s">
        <v>236</v>
      </c>
      <c r="S51" s="12" t="s">
        <v>225</v>
      </c>
      <c r="T51" s="12">
        <v>-0.7</v>
      </c>
      <c r="U51" s="12" t="str">
        <f t="shared" si="9"/>
        <v>-0.3</v>
      </c>
      <c r="V51" s="12" t="str">
        <f t="shared" si="10"/>
        <v>-0.5</v>
      </c>
      <c r="W51" s="12" t="str">
        <f t="shared" si="11"/>
        <v>-0.3</v>
      </c>
      <c r="X51" s="13">
        <f t="shared" si="12"/>
        <v>-0.7</v>
      </c>
      <c r="Y51" s="10"/>
    </row>
    <row r="52" spans="2:25" ht="15.75" thickBot="1">
      <c r="B52" s="21"/>
      <c r="C52" s="283"/>
      <c r="D52" s="283"/>
      <c r="E52" s="285" t="s">
        <v>27</v>
      </c>
      <c r="F52" s="285"/>
      <c r="G52" s="176">
        <f t="shared" si="13"/>
        <v>-1.947695666405211</v>
      </c>
      <c r="H52" s="176">
        <f t="shared" si="13"/>
        <v>-0.17706324240047372</v>
      </c>
      <c r="I52" s="176">
        <f t="shared" si="13"/>
        <v>-1.947695666405211</v>
      </c>
      <c r="J52" s="176">
        <f t="shared" si="13"/>
        <v>-0.17706324240047372</v>
      </c>
      <c r="L52" s="22"/>
      <c r="O52" s="152">
        <f>O45</f>
        <v>6.5916099350311876</v>
      </c>
      <c r="P52" s="153" t="s">
        <v>27</v>
      </c>
      <c r="Q52" s="169" t="str" cm="1">
        <f t="array" ref="Q52">IF($O$52&lt;7.5,"-",noisuy1chieu($O$52,$O$46:$O$51,Q46:Q51))</f>
        <v>-</v>
      </c>
      <c r="R52" s="169" t="str" cm="1">
        <f t="array" ref="R52">IF($O$52&lt;7.5,"-",noisuy1chieu($O$52,$O$46:$O$51,R46:R51))</f>
        <v>-</v>
      </c>
      <c r="S52" s="169" t="str" cm="1">
        <f t="array" ref="S52">IF($O$52&lt;7.5,"-",noisuy1chieu($O$52,$O$46:$O$51,S46:S51))</f>
        <v>-</v>
      </c>
      <c r="T52" s="169" t="str" cm="1">
        <f t="array" ref="T52">IF($O$52&lt;7.5,"-",noisuy1chieu($O$52,$O$46:$O$51,T46:T51))</f>
        <v>-</v>
      </c>
      <c r="U52" s="169" t="str" cm="1">
        <f t="array" ref="U52">IF($O$52&lt;7.5,"-",noisuy1chieu($O$52,$O$46:$O$51,U46:U51))</f>
        <v>-</v>
      </c>
      <c r="V52" s="169" t="str" cm="1">
        <f t="array" ref="V52">IF($O$52&lt;7.5,"-",noisuy1chieu($O$52,$O$46:$O$51,V46:V51))</f>
        <v>-</v>
      </c>
      <c r="W52" s="169" t="str" cm="1">
        <f t="array" ref="W52">IF($O$52&lt;7.5,"-",noisuy1chieu($O$52,$O$46:$O$51,W46:W51))</f>
        <v>-</v>
      </c>
      <c r="X52" s="169" t="str" cm="1">
        <f t="array" ref="X52">IF($O$52&lt;7.5,"-",noisuy1chieu($O$52,$O$46:$O$51,X46:X51))</f>
        <v>-</v>
      </c>
    </row>
    <row r="53" spans="2:25">
      <c r="B53" s="21"/>
      <c r="L53" s="22"/>
    </row>
    <row r="54" spans="2:25">
      <c r="B54" s="21"/>
      <c r="C54" s="279" t="str">
        <f>C47</f>
        <v>Clear Flow</v>
      </c>
      <c r="D54" s="280"/>
      <c r="E54" s="291" t="s">
        <v>79</v>
      </c>
      <c r="F54" s="291"/>
      <c r="G54" s="20" t="s">
        <v>82</v>
      </c>
      <c r="H54" s="190"/>
      <c r="L54" s="22"/>
      <c r="O54" t="s">
        <v>192</v>
      </c>
      <c r="Q54" s="165">
        <f>H20</f>
        <v>6.5916099350311876</v>
      </c>
      <c r="R54" s="166" t="s">
        <v>248</v>
      </c>
      <c r="S54" t="str">
        <f>IF(Q54&lt;7.5,"Sử dụng bảng tra mái dốc 1 phía","Sử dụng bảng tra mái dốc 2 phía")</f>
        <v>Sử dụng bảng tra mái dốc 1 phía</v>
      </c>
    </row>
    <row r="55" spans="2:25" ht="16.5" thickBot="1">
      <c r="B55" s="21"/>
      <c r="C55" s="281" t="s">
        <v>85</v>
      </c>
      <c r="D55" s="282"/>
      <c r="E55" s="291"/>
      <c r="F55" s="291"/>
      <c r="G55" s="9" t="s">
        <v>81</v>
      </c>
      <c r="H55" s="191"/>
      <c r="L55" s="22"/>
    </row>
    <row r="56" spans="2:25">
      <c r="B56" s="21"/>
      <c r="C56" s="283" t="s">
        <v>76</v>
      </c>
      <c r="D56" s="283"/>
      <c r="E56" s="284" t="s">
        <v>74</v>
      </c>
      <c r="F56" s="284"/>
      <c r="G56" s="17">
        <f>INDEX($D$73:$E$75,MATCH($C$55,$C$73:$C$75,0),MATCH($H$30,$D$72:$E$72,0))</f>
        <v>-0.3</v>
      </c>
      <c r="H56" s="185"/>
      <c r="L56" s="22"/>
      <c r="O56" s="313"/>
      <c r="P56" s="314"/>
      <c r="Q56" s="294" t="s">
        <v>68</v>
      </c>
      <c r="R56" s="294"/>
      <c r="S56" s="294"/>
      <c r="T56" s="294"/>
      <c r="U56" s="294" t="s">
        <v>69</v>
      </c>
      <c r="V56" s="294"/>
      <c r="W56" s="294"/>
      <c r="X56" s="295"/>
    </row>
    <row r="57" spans="2:25">
      <c r="B57" s="21"/>
      <c r="C57" s="283"/>
      <c r="D57" s="283"/>
      <c r="E57" s="285" t="s">
        <v>27</v>
      </c>
      <c r="F57" s="285"/>
      <c r="G57" s="18">
        <f>INDEX($H$73:$I$75,MATCH($C$55,$G$73:$G$75,0),MATCH($H$30,$H$72:$I$72,0))</f>
        <v>0.3</v>
      </c>
      <c r="H57" s="185"/>
      <c r="L57" s="22"/>
      <c r="O57" s="315"/>
      <c r="P57" s="316"/>
      <c r="Q57" s="290" t="s">
        <v>70</v>
      </c>
      <c r="R57" s="290"/>
      <c r="S57" s="290" t="s">
        <v>71</v>
      </c>
      <c r="T57" s="290"/>
      <c r="U57" s="290" t="s">
        <v>70</v>
      </c>
      <c r="V57" s="290"/>
      <c r="W57" s="290" t="s">
        <v>71</v>
      </c>
      <c r="X57" s="305"/>
    </row>
    <row r="58" spans="2:25" ht="15.75">
      <c r="B58" s="21"/>
      <c r="C58" s="283" t="s">
        <v>75</v>
      </c>
      <c r="D58" s="283"/>
      <c r="E58" s="284" t="s">
        <v>74</v>
      </c>
      <c r="F58" s="284"/>
      <c r="G58" s="175">
        <f>$H$36*$H$28*G56</f>
        <v>-0.5311897272014211</v>
      </c>
      <c r="H58" s="19"/>
      <c r="L58" s="22"/>
      <c r="O58" s="315"/>
      <c r="P58" s="316"/>
      <c r="Q58" s="9" t="s">
        <v>72</v>
      </c>
      <c r="R58" s="9" t="s">
        <v>73</v>
      </c>
      <c r="S58" s="9" t="s">
        <v>72</v>
      </c>
      <c r="T58" s="9" t="s">
        <v>73</v>
      </c>
      <c r="U58" s="9" t="s">
        <v>72</v>
      </c>
      <c r="V58" s="9" t="s">
        <v>73</v>
      </c>
      <c r="W58" s="9" t="s">
        <v>72</v>
      </c>
      <c r="X58" s="11" t="s">
        <v>73</v>
      </c>
    </row>
    <row r="59" spans="2:25">
      <c r="B59" s="21"/>
      <c r="C59" s="283"/>
      <c r="D59" s="283"/>
      <c r="E59" s="285" t="s">
        <v>27</v>
      </c>
      <c r="F59" s="285"/>
      <c r="G59" s="177">
        <f>$H$36*$H$28*G57</f>
        <v>0.5311897272014211</v>
      </c>
      <c r="H59" s="19"/>
      <c r="L59" s="22"/>
      <c r="O59" s="292">
        <f>Q54</f>
        <v>6.5916099350311876</v>
      </c>
      <c r="P59" s="167" t="s">
        <v>74</v>
      </c>
      <c r="Q59" s="112">
        <f t="shared" ref="Q59:X59" si="14">IF($O$59&lt;7.5,Q33,Q45)</f>
        <v>1.2</v>
      </c>
      <c r="R59" s="112">
        <f t="shared" si="14"/>
        <v>0.3</v>
      </c>
      <c r="S59" s="112">
        <f t="shared" si="14"/>
        <v>-0.5</v>
      </c>
      <c r="T59" s="112">
        <f t="shared" si="14"/>
        <v>-1.2</v>
      </c>
      <c r="U59" s="112">
        <f t="shared" si="14"/>
        <v>1.2</v>
      </c>
      <c r="V59" s="112">
        <f t="shared" si="14"/>
        <v>0.3</v>
      </c>
      <c r="W59" s="112">
        <f t="shared" si="14"/>
        <v>-0.5</v>
      </c>
      <c r="X59" s="172">
        <f t="shared" si="14"/>
        <v>-1.2</v>
      </c>
    </row>
    <row r="60" spans="2:25" ht="15.75" thickBot="1">
      <c r="B60" s="192"/>
      <c r="C60" s="193"/>
      <c r="D60" s="193"/>
      <c r="E60" s="193"/>
      <c r="F60" s="193"/>
      <c r="G60" s="193"/>
      <c r="H60" s="194"/>
      <c r="I60" s="193"/>
      <c r="J60" s="193"/>
      <c r="K60" s="193"/>
      <c r="L60" s="195"/>
      <c r="O60" s="293"/>
      <c r="P60" s="168" t="s">
        <v>27</v>
      </c>
      <c r="Q60" s="173">
        <f t="shared" ref="Q60:X60" si="15">IF($O$59&lt;7.5,Q34,Q52)</f>
        <v>-1.1000000000000001</v>
      </c>
      <c r="R60" s="173">
        <f t="shared" si="15"/>
        <v>-0.1</v>
      </c>
      <c r="S60" s="173">
        <f t="shared" si="15"/>
        <v>-1.1000000000000001</v>
      </c>
      <c r="T60" s="173">
        <f t="shared" si="15"/>
        <v>-0.6</v>
      </c>
      <c r="U60" s="173">
        <f t="shared" si="15"/>
        <v>-1.1000000000000001</v>
      </c>
      <c r="V60" s="173">
        <f t="shared" si="15"/>
        <v>-0.1</v>
      </c>
      <c r="W60" s="173">
        <f t="shared" si="15"/>
        <v>-1.1000000000000001</v>
      </c>
      <c r="X60" s="174">
        <f t="shared" si="15"/>
        <v>-0.6</v>
      </c>
    </row>
    <row r="61" spans="2:25">
      <c r="B61" s="197"/>
      <c r="C61" s="198"/>
      <c r="D61" s="198"/>
      <c r="E61" s="198"/>
      <c r="F61" s="198"/>
      <c r="G61" s="198"/>
      <c r="H61" s="199"/>
      <c r="I61" s="198"/>
      <c r="J61" s="198"/>
      <c r="K61" s="198"/>
      <c r="L61" s="200"/>
    </row>
    <row r="62" spans="2:25" ht="15" customHeight="1">
      <c r="B62" s="21"/>
      <c r="D62" s="277" t="s">
        <v>80</v>
      </c>
      <c r="E62" s="277" t="s">
        <v>79</v>
      </c>
      <c r="F62" s="277"/>
      <c r="G62" s="278" t="s">
        <v>249</v>
      </c>
      <c r="H62" s="278"/>
      <c r="I62" s="278" t="s">
        <v>250</v>
      </c>
      <c r="J62" s="278"/>
      <c r="K62" s="204" t="s">
        <v>251</v>
      </c>
      <c r="L62" s="22"/>
    </row>
    <row r="63" spans="2:25" ht="15.75">
      <c r="B63" s="21"/>
      <c r="C63" s="196"/>
      <c r="D63" s="277"/>
      <c r="E63" s="277"/>
      <c r="F63" s="277"/>
      <c r="G63" s="205" t="s">
        <v>252</v>
      </c>
      <c r="H63" s="205" t="s">
        <v>253</v>
      </c>
      <c r="I63" s="205" t="s">
        <v>252</v>
      </c>
      <c r="J63" s="205" t="s">
        <v>253</v>
      </c>
      <c r="K63" s="205" t="s">
        <v>254</v>
      </c>
      <c r="L63" s="22"/>
    </row>
    <row r="64" spans="2:25">
      <c r="B64" s="21"/>
      <c r="D64" s="288">
        <v>6</v>
      </c>
      <c r="E64" s="296" t="s">
        <v>74</v>
      </c>
      <c r="F64" s="296"/>
      <c r="G64" s="1">
        <f t="shared" ref="G64:J65" si="16">$D$64*G51</f>
        <v>12.748553452834106</v>
      </c>
      <c r="H64" s="1">
        <f t="shared" si="16"/>
        <v>3.1871383632085264</v>
      </c>
      <c r="I64" s="1">
        <f t="shared" si="16"/>
        <v>12.748553452834106</v>
      </c>
      <c r="J64" s="1">
        <f t="shared" si="16"/>
        <v>3.1871383632085264</v>
      </c>
      <c r="K64" s="1">
        <f>D64*G58</f>
        <v>-3.1871383632085264</v>
      </c>
      <c r="L64" s="22"/>
    </row>
    <row r="65" spans="2:12">
      <c r="B65" s="21"/>
      <c r="D65" s="288"/>
      <c r="E65" s="296" t="s">
        <v>27</v>
      </c>
      <c r="F65" s="296"/>
      <c r="G65" s="1">
        <f t="shared" si="16"/>
        <v>-11.686173998431265</v>
      </c>
      <c r="H65" s="1">
        <f t="shared" si="16"/>
        <v>-1.0623794544028424</v>
      </c>
      <c r="I65" s="1">
        <f t="shared" si="16"/>
        <v>-11.686173998431265</v>
      </c>
      <c r="J65" s="1">
        <f t="shared" si="16"/>
        <v>-1.0623794544028424</v>
      </c>
      <c r="K65" s="1">
        <f>D65*G59</f>
        <v>0</v>
      </c>
      <c r="L65" s="22"/>
    </row>
    <row r="66" spans="2:12">
      <c r="B66" s="192"/>
      <c r="C66" s="193"/>
      <c r="D66" s="193"/>
      <c r="E66" s="193"/>
      <c r="F66" s="193"/>
      <c r="G66" s="193"/>
      <c r="H66" s="193"/>
      <c r="I66" s="193"/>
      <c r="J66" s="193"/>
      <c r="K66" s="193"/>
      <c r="L66" s="195"/>
    </row>
    <row r="72" spans="2:12">
      <c r="C72" s="6" t="s">
        <v>87</v>
      </c>
      <c r="D72" s="6" t="s">
        <v>48</v>
      </c>
      <c r="E72" s="6" t="s">
        <v>86</v>
      </c>
      <c r="G72" s="6" t="s">
        <v>88</v>
      </c>
      <c r="H72" s="6" t="s">
        <v>48</v>
      </c>
      <c r="I72" s="6" t="s">
        <v>86</v>
      </c>
    </row>
    <row r="73" spans="2:12">
      <c r="C73" s="6" t="s">
        <v>83</v>
      </c>
      <c r="D73" s="6">
        <v>-0.8</v>
      </c>
      <c r="E73" s="6">
        <v>-1.2</v>
      </c>
      <c r="G73" s="6" t="str">
        <f>C73</f>
        <v>&lt; h</v>
      </c>
      <c r="H73" s="6">
        <v>0.8</v>
      </c>
      <c r="I73" s="6">
        <v>0.5</v>
      </c>
    </row>
    <row r="74" spans="2:12">
      <c r="C74" s="6" t="s">
        <v>84</v>
      </c>
      <c r="D74" s="6">
        <v>-0.6</v>
      </c>
      <c r="E74" s="6">
        <v>-0.9</v>
      </c>
      <c r="G74" s="6" t="str">
        <f>C74</f>
        <v>&gt; h, &lt; 2h</v>
      </c>
      <c r="H74" s="6">
        <v>0.5</v>
      </c>
      <c r="I74" s="6">
        <v>0.5</v>
      </c>
    </row>
    <row r="75" spans="2:12">
      <c r="C75" s="6" t="s">
        <v>85</v>
      </c>
      <c r="D75" s="6">
        <v>-0.3</v>
      </c>
      <c r="E75" s="6">
        <v>-0.6</v>
      </c>
      <c r="G75" s="6" t="str">
        <f>C75</f>
        <v>&gt; 2h</v>
      </c>
      <c r="H75" s="6">
        <v>0.3</v>
      </c>
      <c r="I75" s="6">
        <v>0.3</v>
      </c>
    </row>
  </sheetData>
  <mergeCells count="59">
    <mergeCell ref="W57:X57"/>
    <mergeCell ref="O56:P58"/>
    <mergeCell ref="O36:O38"/>
    <mergeCell ref="P36:P38"/>
    <mergeCell ref="Q36:T36"/>
    <mergeCell ref="U36:X36"/>
    <mergeCell ref="Q37:R37"/>
    <mergeCell ref="S37:T37"/>
    <mergeCell ref="U37:V37"/>
    <mergeCell ref="W37:X37"/>
    <mergeCell ref="G47:H47"/>
    <mergeCell ref="I47:J47"/>
    <mergeCell ref="C49:D50"/>
    <mergeCell ref="C51:D52"/>
    <mergeCell ref="C47:D48"/>
    <mergeCell ref="E47:F48"/>
    <mergeCell ref="E49:F49"/>
    <mergeCell ref="E52:F52"/>
    <mergeCell ref="E51:F51"/>
    <mergeCell ref="E50:F50"/>
    <mergeCell ref="S31:T31"/>
    <mergeCell ref="U31:V31"/>
    <mergeCell ref="W31:X31"/>
    <mergeCell ref="O30:O32"/>
    <mergeCell ref="P30:P32"/>
    <mergeCell ref="Q30:T30"/>
    <mergeCell ref="U30:X30"/>
    <mergeCell ref="D64:D65"/>
    <mergeCell ref="B11:E11"/>
    <mergeCell ref="O9:V9"/>
    <mergeCell ref="Q31:R31"/>
    <mergeCell ref="E54:F55"/>
    <mergeCell ref="O59:O60"/>
    <mergeCell ref="Q56:T56"/>
    <mergeCell ref="U56:X56"/>
    <mergeCell ref="Q57:R57"/>
    <mergeCell ref="S57:T57"/>
    <mergeCell ref="U57:V57"/>
    <mergeCell ref="E64:F64"/>
    <mergeCell ref="E65:F65"/>
    <mergeCell ref="P27:X28"/>
    <mergeCell ref="O27:O28"/>
    <mergeCell ref="P29:X29"/>
    <mergeCell ref="B6:H8"/>
    <mergeCell ref="I6:J8"/>
    <mergeCell ref="K6:L8"/>
    <mergeCell ref="E62:F63"/>
    <mergeCell ref="G62:H62"/>
    <mergeCell ref="I62:J62"/>
    <mergeCell ref="D62:D63"/>
    <mergeCell ref="C54:D54"/>
    <mergeCell ref="C55:D55"/>
    <mergeCell ref="C56:D57"/>
    <mergeCell ref="E56:F56"/>
    <mergeCell ref="E57:F57"/>
    <mergeCell ref="C58:D59"/>
    <mergeCell ref="E58:F58"/>
    <mergeCell ref="E59:F59"/>
    <mergeCell ref="B32:I32"/>
  </mergeCells>
  <dataValidations count="7">
    <dataValidation type="list" allowBlank="1" showInputMessage="1" showErrorMessage="1" sqref="H13" xr:uid="{9D35467E-6673-4571-B4FD-D9F4B94D1B19}">
      <formula1>$P$10:$T$10</formula1>
    </dataValidation>
    <dataValidation type="list" allowBlank="1" showInputMessage="1" showErrorMessage="1" sqref="H16" xr:uid="{D7BFCA03-D93D-4BB1-ADDB-944FBFCDECE6}">
      <formula1>$U$11:$U$14</formula1>
    </dataValidation>
    <dataValidation type="list" allowBlank="1" showInputMessage="1" showErrorMessage="1" sqref="H18" xr:uid="{E6C77F1F-9A7D-4161-9E2E-86FDFF8BFDE6}">
      <formula1>"B,C,D"</formula1>
    </dataValidation>
    <dataValidation type="list" allowBlank="1" showInputMessage="1" showErrorMessage="1" errorTitle="Warning!" error="Invalid building category_x000a_Must input either I, II, III, or IV" sqref="H15" xr:uid="{0EF3CAC6-52C6-4F54-83A6-800261A7383A}">
      <formula1>$S$17:$S$20</formula1>
    </dataValidation>
    <dataValidation type="list" allowBlank="1" showInputMessage="1" showErrorMessage="1" prompt="Is location in a hurricane prone or non-hurricane prone region?" sqref="H29" xr:uid="{519FF67B-BDA1-4D35-8C1F-A7415E1F45B4}">
      <formula1>$L$16:$L$17</formula1>
    </dataValidation>
    <dataValidation type="list" allowBlank="1" showInputMessage="1" showErrorMessage="1" sqref="H30" xr:uid="{56FD2025-73FF-4C36-A8EF-2EEA611DD3BD}">
      <formula1>$D$72:$E$72</formula1>
    </dataValidation>
    <dataValidation type="list" allowBlank="1" showInputMessage="1" showErrorMessage="1" sqref="C55:D55" xr:uid="{65D417CD-2446-4529-BE3A-C42B991E9E7E}">
      <formula1>$C$73:$C$75</formula1>
    </dataValidation>
  </dataValidations>
  <pageMargins left="0.7" right="0.7" top="0.75" bottom="0.75" header="0.3" footer="0.3"/>
  <pageSetup paperSize="9" scale="72" orientation="portrait" horizontalDpi="1200" verticalDpi="1200" r:id="rId1"/>
  <ignoredErrors>
    <ignoredError sqref="Q39:T44 Q46:S51" numberStoredAsText="1"/>
    <ignoredError sqref="U45:X45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Loading</vt:lpstr>
      <vt:lpstr>TCVN</vt:lpstr>
      <vt:lpstr>ASCE</vt:lpstr>
      <vt:lpstr>ASCE!Print_Area</vt:lpstr>
      <vt:lpstr>Loading!Print_Area</vt:lpstr>
      <vt:lpstr>TCVN!Print_Area</vt:lpstr>
      <vt:lpstr>TCVN!Print_Titles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2024-04-23T00:05:38Z</cp:lastPrinted>
  <dcterms:created xsi:type="dcterms:W3CDTF">2015-06-05T18:17:20Z</dcterms:created>
  <dcterms:modified xsi:type="dcterms:W3CDTF">2025-05-02T13:33:31Z</dcterms:modified>
</cp:coreProperties>
</file>