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New folder\"/>
    </mc:Choice>
  </mc:AlternateContent>
  <xr:revisionPtr revIDLastSave="0" documentId="13_ncr:1_{C02D357C-0A61-471F-8750-A149516FCBF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a" sheetId="7" r:id="rId1"/>
    <sheet name="Cal" sheetId="6" r:id="rId2"/>
    <sheet name="Pic" sheetId="8" state="veryHidden" r:id="rId3"/>
  </sheets>
  <functionGroups builtInGroupCount="19"/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Cal!$M$11:$X$164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7" i="6" l="1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23" i="6"/>
  <c r="BN102" i="6"/>
  <c r="BM102" i="6"/>
  <c r="BO102" i="6" s="1"/>
  <c r="BP102" i="6" s="1"/>
  <c r="BA102" i="6"/>
  <c r="BN101" i="6"/>
  <c r="BM101" i="6"/>
  <c r="BO101" i="6" s="1"/>
  <c r="BP101" i="6" s="1"/>
  <c r="BA101" i="6"/>
  <c r="BN100" i="6"/>
  <c r="BM100" i="6"/>
  <c r="BO100" i="6" s="1"/>
  <c r="BP100" i="6" s="1"/>
  <c r="BA100" i="6"/>
  <c r="BN99" i="6"/>
  <c r="BM99" i="6"/>
  <c r="BO99" i="6" s="1"/>
  <c r="BP99" i="6" s="1"/>
  <c r="BA99" i="6"/>
  <c r="BN98" i="6"/>
  <c r="BM98" i="6"/>
  <c r="BO98" i="6" s="1"/>
  <c r="BP98" i="6" s="1"/>
  <c r="BA98" i="6"/>
  <c r="BP97" i="6"/>
  <c r="BO97" i="6"/>
  <c r="BN97" i="6"/>
  <c r="BM97" i="6"/>
  <c r="BA97" i="6"/>
  <c r="BO96" i="6"/>
  <c r="BP96" i="6" s="1"/>
  <c r="BN96" i="6"/>
  <c r="BM96" i="6"/>
  <c r="BA96" i="6"/>
  <c r="BN95" i="6"/>
  <c r="BM95" i="6"/>
  <c r="BO95" i="6" s="1"/>
  <c r="BP95" i="6" s="1"/>
  <c r="BA95" i="6"/>
  <c r="BN94" i="6"/>
  <c r="BM94" i="6"/>
  <c r="BO94" i="6" s="1"/>
  <c r="BP94" i="6" s="1"/>
  <c r="BA94" i="6"/>
  <c r="BN93" i="6"/>
  <c r="BM93" i="6"/>
  <c r="BO93" i="6" s="1"/>
  <c r="BP93" i="6" s="1"/>
  <c r="BA93" i="6"/>
  <c r="BN92" i="6"/>
  <c r="BM92" i="6"/>
  <c r="BO92" i="6" s="1"/>
  <c r="BP92" i="6" s="1"/>
  <c r="BA92" i="6"/>
  <c r="BO91" i="6"/>
  <c r="BP91" i="6" s="1"/>
  <c r="BN91" i="6"/>
  <c r="BM91" i="6"/>
  <c r="BA91" i="6"/>
  <c r="BN90" i="6"/>
  <c r="BM90" i="6"/>
  <c r="BO90" i="6" s="1"/>
  <c r="BP90" i="6" s="1"/>
  <c r="BA90" i="6"/>
  <c r="BP89" i="6"/>
  <c r="BN89" i="6"/>
  <c r="BM89" i="6"/>
  <c r="BO89" i="6" s="1"/>
  <c r="BA89" i="6"/>
  <c r="BO88" i="6"/>
  <c r="BP88" i="6" s="1"/>
  <c r="BN88" i="6"/>
  <c r="BM88" i="6"/>
  <c r="BA88" i="6"/>
  <c r="BO87" i="6"/>
  <c r="BP87" i="6" s="1"/>
  <c r="BN87" i="6"/>
  <c r="BM87" i="6"/>
  <c r="BA87" i="6"/>
  <c r="BN86" i="6"/>
  <c r="BM86" i="6"/>
  <c r="BO86" i="6" s="1"/>
  <c r="BP86" i="6" s="1"/>
  <c r="BA86" i="6"/>
  <c r="BN85" i="6"/>
  <c r="BM85" i="6"/>
  <c r="BO85" i="6" s="1"/>
  <c r="BP85" i="6" s="1"/>
  <c r="BA85" i="6"/>
  <c r="BN84" i="6"/>
  <c r="BM84" i="6"/>
  <c r="BO84" i="6" s="1"/>
  <c r="BP84" i="6" s="1"/>
  <c r="BA84" i="6"/>
  <c r="BN83" i="6"/>
  <c r="BM83" i="6"/>
  <c r="BO83" i="6" s="1"/>
  <c r="BP83" i="6" s="1"/>
  <c r="BA83" i="6"/>
  <c r="BN82" i="6"/>
  <c r="BM82" i="6"/>
  <c r="BO82" i="6" s="1"/>
  <c r="BP82" i="6" s="1"/>
  <c r="BA82" i="6"/>
  <c r="BN81" i="6"/>
  <c r="BM81" i="6"/>
  <c r="BO81" i="6" s="1"/>
  <c r="BP81" i="6" s="1"/>
  <c r="BA81" i="6"/>
  <c r="BN80" i="6"/>
  <c r="BM80" i="6"/>
  <c r="BO80" i="6" s="1"/>
  <c r="BP80" i="6" s="1"/>
  <c r="BA80" i="6"/>
  <c r="BN79" i="6"/>
  <c r="BM79" i="6"/>
  <c r="BO79" i="6" s="1"/>
  <c r="BP79" i="6" s="1"/>
  <c r="BA79" i="6"/>
  <c r="BP78" i="6"/>
  <c r="BO78" i="6"/>
  <c r="BN78" i="6"/>
  <c r="BM78" i="6"/>
  <c r="BA78" i="6"/>
  <c r="BO77" i="6"/>
  <c r="BP77" i="6" s="1"/>
  <c r="BN77" i="6"/>
  <c r="BM77" i="6"/>
  <c r="BA77" i="6"/>
  <c r="BO76" i="6"/>
  <c r="BP76" i="6" s="1"/>
  <c r="BN76" i="6"/>
  <c r="BM76" i="6"/>
  <c r="BA76" i="6"/>
  <c r="BO75" i="6"/>
  <c r="BP75" i="6" s="1"/>
  <c r="BN75" i="6"/>
  <c r="BM75" i="6"/>
  <c r="BA75" i="6"/>
  <c r="BN74" i="6"/>
  <c r="BM74" i="6"/>
  <c r="BO74" i="6" s="1"/>
  <c r="BP74" i="6" s="1"/>
  <c r="BA74" i="6"/>
  <c r="BN73" i="6"/>
  <c r="BM73" i="6"/>
  <c r="BO73" i="6" s="1"/>
  <c r="BP73" i="6" s="1"/>
  <c r="BA73" i="6"/>
  <c r="BN72" i="6"/>
  <c r="BM72" i="6"/>
  <c r="BO72" i="6" s="1"/>
  <c r="BP72" i="6" s="1"/>
  <c r="BA72" i="6"/>
  <c r="BN71" i="6"/>
  <c r="BM71" i="6"/>
  <c r="BO71" i="6" s="1"/>
  <c r="BP71" i="6" s="1"/>
  <c r="BA71" i="6"/>
  <c r="BN70" i="6"/>
  <c r="BM70" i="6"/>
  <c r="BO70" i="6" s="1"/>
  <c r="BP70" i="6" s="1"/>
  <c r="BA70" i="6"/>
  <c r="BN69" i="6"/>
  <c r="BM69" i="6"/>
  <c r="BO69" i="6" s="1"/>
  <c r="BP69" i="6" s="1"/>
  <c r="BA69" i="6"/>
  <c r="BO68" i="6"/>
  <c r="BP68" i="6" s="1"/>
  <c r="BN68" i="6"/>
  <c r="BM68" i="6"/>
  <c r="BA68" i="6"/>
  <c r="BO67" i="6"/>
  <c r="BP67" i="6" s="1"/>
  <c r="BN67" i="6"/>
  <c r="BM67" i="6"/>
  <c r="BA67" i="6"/>
  <c r="BN66" i="6"/>
  <c r="BM66" i="6"/>
  <c r="BO66" i="6" s="1"/>
  <c r="BP66" i="6" s="1"/>
  <c r="BA66" i="6"/>
  <c r="BN65" i="6"/>
  <c r="BM65" i="6"/>
  <c r="BO65" i="6" s="1"/>
  <c r="BP65" i="6" s="1"/>
  <c r="BA65" i="6"/>
  <c r="BN64" i="6"/>
  <c r="BM64" i="6"/>
  <c r="BO64" i="6" s="1"/>
  <c r="BP64" i="6" s="1"/>
  <c r="BA64" i="6"/>
  <c r="BN63" i="6"/>
  <c r="BM63" i="6"/>
  <c r="BO63" i="6" s="1"/>
  <c r="BP63" i="6" s="1"/>
  <c r="BA63" i="6"/>
  <c r="BN62" i="6"/>
  <c r="BM62" i="6"/>
  <c r="BO62" i="6" s="1"/>
  <c r="BP62" i="6" s="1"/>
  <c r="BA62" i="6"/>
  <c r="BN61" i="6"/>
  <c r="BM61" i="6"/>
  <c r="BO61" i="6" s="1"/>
  <c r="BP61" i="6" s="1"/>
  <c r="BA61" i="6"/>
  <c r="BN60" i="6"/>
  <c r="BM60" i="6"/>
  <c r="BO60" i="6" s="1"/>
  <c r="BP60" i="6" s="1"/>
  <c r="BA60" i="6"/>
  <c r="BN59" i="6"/>
  <c r="BM59" i="6"/>
  <c r="BO59" i="6" s="1"/>
  <c r="BP59" i="6" s="1"/>
  <c r="BA59" i="6"/>
  <c r="BP58" i="6"/>
  <c r="BO58" i="6"/>
  <c r="BN58" i="6"/>
  <c r="BM58" i="6"/>
  <c r="BA58" i="6"/>
  <c r="BO57" i="6"/>
  <c r="BP57" i="6" s="1"/>
  <c r="BN57" i="6"/>
  <c r="BM57" i="6"/>
  <c r="BA57" i="6"/>
  <c r="BO56" i="6"/>
  <c r="BP56" i="6" s="1"/>
  <c r="BN56" i="6"/>
  <c r="BM56" i="6"/>
  <c r="BA56" i="6"/>
  <c r="BO55" i="6"/>
  <c r="BP55" i="6" s="1"/>
  <c r="BN55" i="6"/>
  <c r="BM55" i="6"/>
  <c r="BA55" i="6"/>
  <c r="BO54" i="6"/>
  <c r="BP54" i="6" s="1"/>
  <c r="BN54" i="6"/>
  <c r="BM54" i="6"/>
  <c r="BA54" i="6"/>
  <c r="BN53" i="6"/>
  <c r="BM53" i="6"/>
  <c r="BO53" i="6" s="1"/>
  <c r="BP53" i="6" s="1"/>
  <c r="BA53" i="6"/>
  <c r="BO52" i="6"/>
  <c r="BP52" i="6" s="1"/>
  <c r="BN52" i="6"/>
  <c r="BM52" i="6"/>
  <c r="BA52" i="6"/>
  <c r="BN51" i="6"/>
  <c r="BM51" i="6"/>
  <c r="BO51" i="6" s="1"/>
  <c r="BP51" i="6" s="1"/>
  <c r="BA51" i="6"/>
  <c r="BN50" i="6"/>
  <c r="BM50" i="6"/>
  <c r="BO50" i="6" s="1"/>
  <c r="BP50" i="6" s="1"/>
  <c r="BA50" i="6"/>
  <c r="BN49" i="6"/>
  <c r="BM49" i="6"/>
  <c r="BO49" i="6" s="1"/>
  <c r="BP49" i="6" s="1"/>
  <c r="BA49" i="6"/>
  <c r="BO48" i="6"/>
  <c r="BP48" i="6" s="1"/>
  <c r="BN48" i="6"/>
  <c r="BM48" i="6"/>
  <c r="BA48" i="6"/>
  <c r="BO47" i="6"/>
  <c r="BP47" i="6" s="1"/>
  <c r="BN47" i="6"/>
  <c r="BM47" i="6"/>
  <c r="BA47" i="6"/>
  <c r="BN46" i="6"/>
  <c r="BM46" i="6"/>
  <c r="BO46" i="6" s="1"/>
  <c r="BP46" i="6" s="1"/>
  <c r="BA46" i="6"/>
  <c r="BN45" i="6"/>
  <c r="BM45" i="6"/>
  <c r="BO45" i="6" s="1"/>
  <c r="BP45" i="6" s="1"/>
  <c r="BA45" i="6"/>
  <c r="BN44" i="6"/>
  <c r="BM44" i="6"/>
  <c r="BO44" i="6" s="1"/>
  <c r="BP44" i="6" s="1"/>
  <c r="BA44" i="6"/>
  <c r="BN43" i="6"/>
  <c r="BM43" i="6"/>
  <c r="BO43" i="6" s="1"/>
  <c r="BP43" i="6" s="1"/>
  <c r="BA43" i="6"/>
  <c r="BN42" i="6"/>
  <c r="BM42" i="6"/>
  <c r="BO42" i="6" s="1"/>
  <c r="BP42" i="6" s="1"/>
  <c r="BA42" i="6"/>
  <c r="BN41" i="6"/>
  <c r="BM41" i="6"/>
  <c r="BO41" i="6" s="1"/>
  <c r="BP41" i="6" s="1"/>
  <c r="BA41" i="6"/>
  <c r="BN40" i="6"/>
  <c r="BM40" i="6"/>
  <c r="BO40" i="6" s="1"/>
  <c r="BP40" i="6" s="1"/>
  <c r="BA40" i="6"/>
  <c r="BN39" i="6"/>
  <c r="BM39" i="6"/>
  <c r="BO39" i="6" s="1"/>
  <c r="BP39" i="6" s="1"/>
  <c r="BA39" i="6"/>
  <c r="BP38" i="6"/>
  <c r="BO38" i="6"/>
  <c r="BN38" i="6"/>
  <c r="BM38" i="6"/>
  <c r="BA38" i="6"/>
  <c r="BO37" i="6"/>
  <c r="BP37" i="6" s="1"/>
  <c r="BN37" i="6"/>
  <c r="BM37" i="6"/>
  <c r="BA37" i="6"/>
  <c r="BO36" i="6"/>
  <c r="BP36" i="6" s="1"/>
  <c r="BN36" i="6"/>
  <c r="BM36" i="6"/>
  <c r="BA36" i="6"/>
  <c r="BN35" i="6"/>
  <c r="BM35" i="6"/>
  <c r="BO35" i="6" s="1"/>
  <c r="BP35" i="6" s="1"/>
  <c r="BA35" i="6"/>
  <c r="BN34" i="6"/>
  <c r="BM34" i="6"/>
  <c r="BO34" i="6" s="1"/>
  <c r="BP34" i="6" s="1"/>
  <c r="BA34" i="6"/>
  <c r="BO33" i="6"/>
  <c r="BP33" i="6" s="1"/>
  <c r="BN33" i="6"/>
  <c r="BM33" i="6"/>
  <c r="BA33" i="6"/>
  <c r="BN32" i="6"/>
  <c r="BM32" i="6"/>
  <c r="BO32" i="6" s="1"/>
  <c r="BP32" i="6" s="1"/>
  <c r="BA32" i="6"/>
  <c r="BN31" i="6"/>
  <c r="BM31" i="6"/>
  <c r="BO31" i="6" s="1"/>
  <c r="BP31" i="6" s="1"/>
  <c r="BA31" i="6"/>
  <c r="BN30" i="6"/>
  <c r="BM30" i="6"/>
  <c r="BO30" i="6" s="1"/>
  <c r="BP30" i="6" s="1"/>
  <c r="BA30" i="6"/>
  <c r="BN29" i="6"/>
  <c r="BM29" i="6"/>
  <c r="BO29" i="6" s="1"/>
  <c r="BP29" i="6" s="1"/>
  <c r="BA29" i="6"/>
  <c r="BO28" i="6"/>
  <c r="BP28" i="6" s="1"/>
  <c r="BN28" i="6"/>
  <c r="BM28" i="6"/>
  <c r="BA28" i="6"/>
  <c r="BO27" i="6"/>
  <c r="BP27" i="6" s="1"/>
  <c r="BN27" i="6"/>
  <c r="BM27" i="6"/>
  <c r="BA27" i="6"/>
  <c r="BN26" i="6"/>
  <c r="BM26" i="6"/>
  <c r="BO26" i="6" s="1"/>
  <c r="BP26" i="6" s="1"/>
  <c r="BA26" i="6"/>
  <c r="BN25" i="6"/>
  <c r="BM25" i="6"/>
  <c r="BO25" i="6" s="1"/>
  <c r="BP25" i="6" s="1"/>
  <c r="BA25" i="6"/>
  <c r="BN24" i="6"/>
  <c r="BM24" i="6"/>
  <c r="BO24" i="6" s="1"/>
  <c r="BP24" i="6" s="1"/>
  <c r="BA24" i="6"/>
  <c r="AL102" i="6"/>
  <c r="AK102" i="6"/>
  <c r="AJ102" i="6"/>
  <c r="AI102" i="6"/>
  <c r="AH102" i="6"/>
  <c r="AG102" i="6"/>
  <c r="AF102" i="6"/>
  <c r="AE102" i="6"/>
  <c r="AL101" i="6"/>
  <c r="AK101" i="6"/>
  <c r="AJ101" i="6"/>
  <c r="AI101" i="6"/>
  <c r="AH101" i="6"/>
  <c r="AG101" i="6"/>
  <c r="AF101" i="6"/>
  <c r="AE101" i="6"/>
  <c r="AL100" i="6"/>
  <c r="AK100" i="6"/>
  <c r="AJ100" i="6"/>
  <c r="AI100" i="6"/>
  <c r="AH100" i="6"/>
  <c r="AG100" i="6"/>
  <c r="AF100" i="6"/>
  <c r="AE100" i="6"/>
  <c r="AL99" i="6"/>
  <c r="AK99" i="6"/>
  <c r="AJ99" i="6"/>
  <c r="AI99" i="6"/>
  <c r="AH99" i="6"/>
  <c r="AG99" i="6"/>
  <c r="AF99" i="6"/>
  <c r="AE99" i="6"/>
  <c r="AL98" i="6"/>
  <c r="AK98" i="6"/>
  <c r="AJ98" i="6"/>
  <c r="AI98" i="6"/>
  <c r="AH98" i="6"/>
  <c r="AG98" i="6"/>
  <c r="AF98" i="6"/>
  <c r="AE98" i="6"/>
  <c r="AL97" i="6"/>
  <c r="AK97" i="6"/>
  <c r="AJ97" i="6"/>
  <c r="AI97" i="6"/>
  <c r="AH97" i="6"/>
  <c r="AG97" i="6"/>
  <c r="AF97" i="6"/>
  <c r="AE97" i="6"/>
  <c r="AL96" i="6"/>
  <c r="AK96" i="6"/>
  <c r="AJ96" i="6"/>
  <c r="AI96" i="6"/>
  <c r="AH96" i="6"/>
  <c r="AG96" i="6"/>
  <c r="AF96" i="6"/>
  <c r="AE96" i="6"/>
  <c r="AL95" i="6"/>
  <c r="AK95" i="6"/>
  <c r="AJ95" i="6"/>
  <c r="AI95" i="6"/>
  <c r="AH95" i="6"/>
  <c r="AG95" i="6"/>
  <c r="AF95" i="6"/>
  <c r="AE95" i="6"/>
  <c r="AL94" i="6"/>
  <c r="AK94" i="6"/>
  <c r="AJ94" i="6"/>
  <c r="AI94" i="6"/>
  <c r="AH94" i="6"/>
  <c r="AG94" i="6"/>
  <c r="AF94" i="6"/>
  <c r="AE94" i="6"/>
  <c r="AL93" i="6"/>
  <c r="AK93" i="6"/>
  <c r="AJ93" i="6"/>
  <c r="AI93" i="6"/>
  <c r="AH93" i="6"/>
  <c r="AG93" i="6"/>
  <c r="AF93" i="6"/>
  <c r="AE93" i="6"/>
  <c r="AL92" i="6"/>
  <c r="AK92" i="6"/>
  <c r="AJ92" i="6"/>
  <c r="AI92" i="6"/>
  <c r="AH92" i="6"/>
  <c r="AG92" i="6"/>
  <c r="AF92" i="6"/>
  <c r="AE92" i="6"/>
  <c r="AL91" i="6"/>
  <c r="AK91" i="6"/>
  <c r="AJ91" i="6"/>
  <c r="AI91" i="6"/>
  <c r="AH91" i="6"/>
  <c r="AG91" i="6"/>
  <c r="AF91" i="6"/>
  <c r="AE91" i="6"/>
  <c r="AL90" i="6"/>
  <c r="AK90" i="6"/>
  <c r="AJ90" i="6"/>
  <c r="AI90" i="6"/>
  <c r="AH90" i="6"/>
  <c r="AG90" i="6"/>
  <c r="AF90" i="6"/>
  <c r="AE90" i="6"/>
  <c r="AL89" i="6"/>
  <c r="AK89" i="6"/>
  <c r="AJ89" i="6"/>
  <c r="AI89" i="6"/>
  <c r="AH89" i="6"/>
  <c r="AG89" i="6"/>
  <c r="AF89" i="6"/>
  <c r="AE89" i="6"/>
  <c r="AL88" i="6"/>
  <c r="AK88" i="6"/>
  <c r="AJ88" i="6"/>
  <c r="AI88" i="6"/>
  <c r="AH88" i="6"/>
  <c r="AG88" i="6"/>
  <c r="AF88" i="6"/>
  <c r="AE88" i="6"/>
  <c r="AL87" i="6"/>
  <c r="AK87" i="6"/>
  <c r="AJ87" i="6"/>
  <c r="AI87" i="6"/>
  <c r="AH87" i="6"/>
  <c r="AG87" i="6"/>
  <c r="AF87" i="6"/>
  <c r="AE87" i="6"/>
  <c r="AL86" i="6"/>
  <c r="AK86" i="6"/>
  <c r="AJ86" i="6"/>
  <c r="AI86" i="6"/>
  <c r="AH86" i="6"/>
  <c r="AG86" i="6"/>
  <c r="AF86" i="6"/>
  <c r="AE86" i="6"/>
  <c r="AL85" i="6"/>
  <c r="AK85" i="6"/>
  <c r="AJ85" i="6"/>
  <c r="AI85" i="6"/>
  <c r="AH85" i="6"/>
  <c r="AG85" i="6"/>
  <c r="AF85" i="6"/>
  <c r="AE85" i="6"/>
  <c r="AL84" i="6"/>
  <c r="AK84" i="6"/>
  <c r="AJ84" i="6"/>
  <c r="AI84" i="6"/>
  <c r="AH84" i="6"/>
  <c r="AG84" i="6"/>
  <c r="AF84" i="6"/>
  <c r="AE84" i="6"/>
  <c r="AL83" i="6"/>
  <c r="AK83" i="6"/>
  <c r="AJ83" i="6"/>
  <c r="AI83" i="6"/>
  <c r="AH83" i="6"/>
  <c r="AG83" i="6"/>
  <c r="AF83" i="6"/>
  <c r="AE83" i="6"/>
  <c r="AL82" i="6"/>
  <c r="AK82" i="6"/>
  <c r="AJ82" i="6"/>
  <c r="AI82" i="6"/>
  <c r="AH82" i="6"/>
  <c r="AG82" i="6"/>
  <c r="AF82" i="6"/>
  <c r="AE82" i="6"/>
  <c r="AL81" i="6"/>
  <c r="AK81" i="6"/>
  <c r="AJ81" i="6"/>
  <c r="AI81" i="6"/>
  <c r="AH81" i="6"/>
  <c r="AG81" i="6"/>
  <c r="AF81" i="6"/>
  <c r="AE81" i="6"/>
  <c r="AL80" i="6"/>
  <c r="AK80" i="6"/>
  <c r="AJ80" i="6"/>
  <c r="AI80" i="6"/>
  <c r="AH80" i="6"/>
  <c r="AG80" i="6"/>
  <c r="AF80" i="6"/>
  <c r="AE80" i="6"/>
  <c r="AL79" i="6"/>
  <c r="AK79" i="6"/>
  <c r="AJ79" i="6"/>
  <c r="AI79" i="6"/>
  <c r="AH79" i="6"/>
  <c r="AG79" i="6"/>
  <c r="AF79" i="6"/>
  <c r="AE79" i="6"/>
  <c r="AL78" i="6"/>
  <c r="AK78" i="6"/>
  <c r="AJ78" i="6"/>
  <c r="AI78" i="6"/>
  <c r="AH78" i="6"/>
  <c r="AG78" i="6"/>
  <c r="AF78" i="6"/>
  <c r="AE78" i="6"/>
  <c r="AL77" i="6"/>
  <c r="AK77" i="6"/>
  <c r="AJ77" i="6"/>
  <c r="AI77" i="6"/>
  <c r="AH77" i="6"/>
  <c r="AG77" i="6"/>
  <c r="AF77" i="6"/>
  <c r="AE77" i="6"/>
  <c r="AL76" i="6"/>
  <c r="AK76" i="6"/>
  <c r="AJ76" i="6"/>
  <c r="AI76" i="6"/>
  <c r="AH76" i="6"/>
  <c r="AG76" i="6"/>
  <c r="AF76" i="6"/>
  <c r="AE76" i="6"/>
  <c r="AL75" i="6"/>
  <c r="AK75" i="6"/>
  <c r="AJ75" i="6"/>
  <c r="AI75" i="6"/>
  <c r="AH75" i="6"/>
  <c r="AG75" i="6"/>
  <c r="AF75" i="6"/>
  <c r="AE75" i="6"/>
  <c r="AL74" i="6"/>
  <c r="AK74" i="6"/>
  <c r="AJ74" i="6"/>
  <c r="AI74" i="6"/>
  <c r="AH74" i="6"/>
  <c r="AG74" i="6"/>
  <c r="AF74" i="6"/>
  <c r="AE74" i="6"/>
  <c r="AL73" i="6"/>
  <c r="AK73" i="6"/>
  <c r="AJ73" i="6"/>
  <c r="AI73" i="6"/>
  <c r="AH73" i="6"/>
  <c r="AG73" i="6"/>
  <c r="AF73" i="6"/>
  <c r="AE73" i="6"/>
  <c r="AL72" i="6"/>
  <c r="AK72" i="6"/>
  <c r="AJ72" i="6"/>
  <c r="AI72" i="6"/>
  <c r="AH72" i="6"/>
  <c r="AG72" i="6"/>
  <c r="AF72" i="6"/>
  <c r="AE72" i="6"/>
  <c r="AL71" i="6"/>
  <c r="AK71" i="6"/>
  <c r="AJ71" i="6"/>
  <c r="AI71" i="6"/>
  <c r="AH71" i="6"/>
  <c r="AG71" i="6"/>
  <c r="AF71" i="6"/>
  <c r="AE71" i="6"/>
  <c r="AL70" i="6"/>
  <c r="AK70" i="6"/>
  <c r="AJ70" i="6"/>
  <c r="AI70" i="6"/>
  <c r="AH70" i="6"/>
  <c r="AG70" i="6"/>
  <c r="AF70" i="6"/>
  <c r="AE70" i="6"/>
  <c r="AL69" i="6"/>
  <c r="AK69" i="6"/>
  <c r="AJ69" i="6"/>
  <c r="AI69" i="6"/>
  <c r="AH69" i="6"/>
  <c r="AG69" i="6"/>
  <c r="AF69" i="6"/>
  <c r="AE69" i="6"/>
  <c r="AL68" i="6"/>
  <c r="AK68" i="6"/>
  <c r="AJ68" i="6"/>
  <c r="AI68" i="6"/>
  <c r="AH68" i="6"/>
  <c r="AG68" i="6"/>
  <c r="AF68" i="6"/>
  <c r="AE68" i="6"/>
  <c r="AL67" i="6"/>
  <c r="AK67" i="6"/>
  <c r="AJ67" i="6"/>
  <c r="AI67" i="6"/>
  <c r="AH67" i="6"/>
  <c r="AG67" i="6"/>
  <c r="AF67" i="6"/>
  <c r="AE67" i="6"/>
  <c r="AL66" i="6"/>
  <c r="AK66" i="6"/>
  <c r="AJ66" i="6"/>
  <c r="AI66" i="6"/>
  <c r="AH66" i="6"/>
  <c r="AG66" i="6"/>
  <c r="AF66" i="6"/>
  <c r="AE66" i="6"/>
  <c r="AL65" i="6"/>
  <c r="AK65" i="6"/>
  <c r="AJ65" i="6"/>
  <c r="AI65" i="6"/>
  <c r="AH65" i="6"/>
  <c r="AG65" i="6"/>
  <c r="AF65" i="6"/>
  <c r="AE65" i="6"/>
  <c r="AL64" i="6"/>
  <c r="AK64" i="6"/>
  <c r="AJ64" i="6"/>
  <c r="AI64" i="6"/>
  <c r="AH64" i="6"/>
  <c r="AG64" i="6"/>
  <c r="AF64" i="6"/>
  <c r="AE64" i="6"/>
  <c r="AL63" i="6"/>
  <c r="AK63" i="6"/>
  <c r="AJ63" i="6"/>
  <c r="AI63" i="6"/>
  <c r="AH63" i="6"/>
  <c r="AG63" i="6"/>
  <c r="AF63" i="6"/>
  <c r="AE63" i="6"/>
  <c r="AL62" i="6"/>
  <c r="AK62" i="6"/>
  <c r="AJ62" i="6"/>
  <c r="AI62" i="6"/>
  <c r="AH62" i="6"/>
  <c r="AG62" i="6"/>
  <c r="AF62" i="6"/>
  <c r="AE62" i="6"/>
  <c r="AL61" i="6"/>
  <c r="AK61" i="6"/>
  <c r="AJ61" i="6"/>
  <c r="AI61" i="6"/>
  <c r="AH61" i="6"/>
  <c r="AG61" i="6"/>
  <c r="AF61" i="6"/>
  <c r="AE61" i="6"/>
  <c r="AL60" i="6"/>
  <c r="AK60" i="6"/>
  <c r="AJ60" i="6"/>
  <c r="AI60" i="6"/>
  <c r="AH60" i="6"/>
  <c r="AG60" i="6"/>
  <c r="AF60" i="6"/>
  <c r="AE60" i="6"/>
  <c r="AL59" i="6"/>
  <c r="AK59" i="6"/>
  <c r="AJ59" i="6"/>
  <c r="AI59" i="6"/>
  <c r="AH59" i="6"/>
  <c r="AG59" i="6"/>
  <c r="AF59" i="6"/>
  <c r="AE59" i="6"/>
  <c r="AL58" i="6"/>
  <c r="AK58" i="6"/>
  <c r="AJ58" i="6"/>
  <c r="AI58" i="6"/>
  <c r="AH58" i="6"/>
  <c r="AG58" i="6"/>
  <c r="AF58" i="6"/>
  <c r="AE58" i="6"/>
  <c r="AL57" i="6"/>
  <c r="AK57" i="6"/>
  <c r="AJ57" i="6"/>
  <c r="AI57" i="6"/>
  <c r="AH57" i="6"/>
  <c r="AG57" i="6"/>
  <c r="AF57" i="6"/>
  <c r="AE57" i="6"/>
  <c r="AL56" i="6"/>
  <c r="AK56" i="6"/>
  <c r="AJ56" i="6"/>
  <c r="AI56" i="6"/>
  <c r="AH56" i="6"/>
  <c r="AG56" i="6"/>
  <c r="AF56" i="6"/>
  <c r="AE56" i="6"/>
  <c r="AL55" i="6"/>
  <c r="AK55" i="6"/>
  <c r="AJ55" i="6"/>
  <c r="AI55" i="6"/>
  <c r="AH55" i="6"/>
  <c r="AG55" i="6"/>
  <c r="AF55" i="6"/>
  <c r="AE55" i="6"/>
  <c r="AL54" i="6"/>
  <c r="AK54" i="6"/>
  <c r="AJ54" i="6"/>
  <c r="AI54" i="6"/>
  <c r="AH54" i="6"/>
  <c r="AG54" i="6"/>
  <c r="AF54" i="6"/>
  <c r="AE54" i="6"/>
  <c r="AL53" i="6"/>
  <c r="AK53" i="6"/>
  <c r="AJ53" i="6"/>
  <c r="AI53" i="6"/>
  <c r="AH53" i="6"/>
  <c r="AG53" i="6"/>
  <c r="AF53" i="6"/>
  <c r="AE53" i="6"/>
  <c r="AL52" i="6"/>
  <c r="AK52" i="6"/>
  <c r="AJ52" i="6"/>
  <c r="AI52" i="6"/>
  <c r="AH52" i="6"/>
  <c r="AG52" i="6"/>
  <c r="AF52" i="6"/>
  <c r="AE52" i="6"/>
  <c r="AL51" i="6"/>
  <c r="AK51" i="6"/>
  <c r="AJ51" i="6"/>
  <c r="AI51" i="6"/>
  <c r="AH51" i="6"/>
  <c r="AG51" i="6"/>
  <c r="AF51" i="6"/>
  <c r="AE51" i="6"/>
  <c r="AL50" i="6"/>
  <c r="AK50" i="6"/>
  <c r="AJ50" i="6"/>
  <c r="AI50" i="6"/>
  <c r="AH50" i="6"/>
  <c r="AG50" i="6"/>
  <c r="AF50" i="6"/>
  <c r="AE50" i="6"/>
  <c r="AL49" i="6"/>
  <c r="AK49" i="6"/>
  <c r="AJ49" i="6"/>
  <c r="AI49" i="6"/>
  <c r="AH49" i="6"/>
  <c r="AG49" i="6"/>
  <c r="AF49" i="6"/>
  <c r="AE49" i="6"/>
  <c r="AL48" i="6"/>
  <c r="AK48" i="6"/>
  <c r="AJ48" i="6"/>
  <c r="AI48" i="6"/>
  <c r="AH48" i="6"/>
  <c r="AG48" i="6"/>
  <c r="AF48" i="6"/>
  <c r="AE48" i="6"/>
  <c r="AL47" i="6"/>
  <c r="AK47" i="6"/>
  <c r="AJ47" i="6"/>
  <c r="AI47" i="6"/>
  <c r="AH47" i="6"/>
  <c r="AG47" i="6"/>
  <c r="AF47" i="6"/>
  <c r="AE47" i="6"/>
  <c r="AL46" i="6"/>
  <c r="AK46" i="6"/>
  <c r="AJ46" i="6"/>
  <c r="AI46" i="6"/>
  <c r="AH46" i="6"/>
  <c r="AG46" i="6"/>
  <c r="AF46" i="6"/>
  <c r="AE46" i="6"/>
  <c r="AL45" i="6"/>
  <c r="AK45" i="6"/>
  <c r="AJ45" i="6"/>
  <c r="AI45" i="6"/>
  <c r="AH45" i="6"/>
  <c r="AG45" i="6"/>
  <c r="AF45" i="6"/>
  <c r="AE45" i="6"/>
  <c r="AL44" i="6"/>
  <c r="AK44" i="6"/>
  <c r="AJ44" i="6"/>
  <c r="AI44" i="6"/>
  <c r="AH44" i="6"/>
  <c r="AG44" i="6"/>
  <c r="AF44" i="6"/>
  <c r="AE44" i="6"/>
  <c r="AL43" i="6"/>
  <c r="AK43" i="6"/>
  <c r="AJ43" i="6"/>
  <c r="AI43" i="6"/>
  <c r="AH43" i="6"/>
  <c r="AG43" i="6"/>
  <c r="AF43" i="6"/>
  <c r="AE43" i="6"/>
  <c r="AL42" i="6"/>
  <c r="AK42" i="6"/>
  <c r="AJ42" i="6"/>
  <c r="AI42" i="6"/>
  <c r="AH42" i="6"/>
  <c r="AG42" i="6"/>
  <c r="AF42" i="6"/>
  <c r="AE42" i="6"/>
  <c r="AL41" i="6"/>
  <c r="AK41" i="6"/>
  <c r="AJ41" i="6"/>
  <c r="AI41" i="6"/>
  <c r="AH41" i="6"/>
  <c r="AG41" i="6"/>
  <c r="AF41" i="6"/>
  <c r="AE41" i="6"/>
  <c r="AL40" i="6"/>
  <c r="AK40" i="6"/>
  <c r="AJ40" i="6"/>
  <c r="AI40" i="6"/>
  <c r="AH40" i="6"/>
  <c r="AG40" i="6"/>
  <c r="AF40" i="6"/>
  <c r="AE40" i="6"/>
  <c r="AL39" i="6"/>
  <c r="AK39" i="6"/>
  <c r="AJ39" i="6"/>
  <c r="AI39" i="6"/>
  <c r="AH39" i="6"/>
  <c r="AG39" i="6"/>
  <c r="AF39" i="6"/>
  <c r="AE39" i="6"/>
  <c r="AL38" i="6"/>
  <c r="AK38" i="6"/>
  <c r="AJ38" i="6"/>
  <c r="AI38" i="6"/>
  <c r="AH38" i="6"/>
  <c r="AG38" i="6"/>
  <c r="AF38" i="6"/>
  <c r="AE38" i="6"/>
  <c r="AL37" i="6"/>
  <c r="AK37" i="6"/>
  <c r="AJ37" i="6"/>
  <c r="AI37" i="6"/>
  <c r="AH37" i="6"/>
  <c r="AG37" i="6"/>
  <c r="AF37" i="6"/>
  <c r="AE37" i="6"/>
  <c r="AL36" i="6"/>
  <c r="AK36" i="6"/>
  <c r="AJ36" i="6"/>
  <c r="AI36" i="6"/>
  <c r="AH36" i="6"/>
  <c r="AG36" i="6"/>
  <c r="AF36" i="6"/>
  <c r="AE36" i="6"/>
  <c r="AL35" i="6"/>
  <c r="AK35" i="6"/>
  <c r="AJ35" i="6"/>
  <c r="AI35" i="6"/>
  <c r="AH35" i="6"/>
  <c r="AG35" i="6"/>
  <c r="AF35" i="6"/>
  <c r="AE35" i="6"/>
  <c r="AL34" i="6"/>
  <c r="AK34" i="6"/>
  <c r="AJ34" i="6"/>
  <c r="AI34" i="6"/>
  <c r="AH34" i="6"/>
  <c r="AG34" i="6"/>
  <c r="AF34" i="6"/>
  <c r="AE34" i="6"/>
  <c r="AL33" i="6"/>
  <c r="AK33" i="6"/>
  <c r="AJ33" i="6"/>
  <c r="AI33" i="6"/>
  <c r="AH33" i="6"/>
  <c r="AG33" i="6"/>
  <c r="AF33" i="6"/>
  <c r="AE33" i="6"/>
  <c r="AL32" i="6"/>
  <c r="AK32" i="6"/>
  <c r="AJ32" i="6"/>
  <c r="AI32" i="6"/>
  <c r="AH32" i="6"/>
  <c r="AG32" i="6"/>
  <c r="AF32" i="6"/>
  <c r="AE32" i="6"/>
  <c r="AL31" i="6"/>
  <c r="AK31" i="6"/>
  <c r="AJ31" i="6"/>
  <c r="AI31" i="6"/>
  <c r="AH31" i="6"/>
  <c r="AG31" i="6"/>
  <c r="AF31" i="6"/>
  <c r="AE31" i="6"/>
  <c r="AL30" i="6"/>
  <c r="AK30" i="6"/>
  <c r="AJ30" i="6"/>
  <c r="AI30" i="6"/>
  <c r="AH30" i="6"/>
  <c r="AG30" i="6"/>
  <c r="AF30" i="6"/>
  <c r="AE30" i="6"/>
  <c r="AL29" i="6"/>
  <c r="AK29" i="6"/>
  <c r="AJ29" i="6"/>
  <c r="AI29" i="6"/>
  <c r="AH29" i="6"/>
  <c r="AG29" i="6"/>
  <c r="AF29" i="6"/>
  <c r="AE29" i="6"/>
  <c r="AL28" i="6"/>
  <c r="AK28" i="6"/>
  <c r="AJ28" i="6"/>
  <c r="AI28" i="6"/>
  <c r="AH28" i="6"/>
  <c r="AG28" i="6"/>
  <c r="AF28" i="6"/>
  <c r="AE28" i="6"/>
  <c r="AL27" i="6"/>
  <c r="AK27" i="6"/>
  <c r="AJ27" i="6"/>
  <c r="AI27" i="6"/>
  <c r="AH27" i="6"/>
  <c r="AG27" i="6"/>
  <c r="AF27" i="6"/>
  <c r="AE27" i="6"/>
  <c r="AL26" i="6"/>
  <c r="AK26" i="6"/>
  <c r="AJ26" i="6"/>
  <c r="AI26" i="6"/>
  <c r="AH26" i="6"/>
  <c r="AG26" i="6"/>
  <c r="AF26" i="6"/>
  <c r="AE26" i="6"/>
  <c r="AL25" i="6"/>
  <c r="AK25" i="6"/>
  <c r="AJ25" i="6"/>
  <c r="AI25" i="6"/>
  <c r="AH25" i="6"/>
  <c r="AG25" i="6"/>
  <c r="AF25" i="6"/>
  <c r="AE25" i="6"/>
  <c r="AL24" i="6"/>
  <c r="AK24" i="6"/>
  <c r="AJ24" i="6"/>
  <c r="AI24" i="6"/>
  <c r="AH24" i="6"/>
  <c r="AG24" i="6"/>
  <c r="AF24" i="6"/>
  <c r="AE24" i="6"/>
  <c r="W69" i="6"/>
  <c r="DO15" i="6"/>
  <c r="DO16" i="6"/>
  <c r="DO17" i="6"/>
  <c r="DO14" i="6"/>
  <c r="DD15" i="6"/>
  <c r="DD16" i="6"/>
  <c r="DD17" i="6"/>
  <c r="DD14" i="6"/>
  <c r="DA22" i="6"/>
  <c r="W156" i="6"/>
  <c r="BA23" i="6"/>
  <c r="AK23" i="6" l="1"/>
  <c r="AJ23" i="6"/>
  <c r="AI23" i="6"/>
  <c r="S59" i="6"/>
  <c r="R59" i="6"/>
  <c r="N55" i="6"/>
  <c r="N54" i="6"/>
  <c r="W46" i="6"/>
  <c r="T53" i="6"/>
  <c r="P53" i="6"/>
  <c r="AH23" i="6"/>
  <c r="AG23" i="6"/>
  <c r="AF23" i="6"/>
  <c r="AE23" i="6"/>
  <c r="BQ102" i="6" l="1"/>
  <c r="BQ78" i="6"/>
  <c r="BQ50" i="6"/>
  <c r="AM83" i="6"/>
  <c r="AM63" i="6"/>
  <c r="AM43" i="6"/>
  <c r="BQ53" i="6"/>
  <c r="BQ47" i="6"/>
  <c r="AM94" i="6"/>
  <c r="AM74" i="6"/>
  <c r="AM54" i="6"/>
  <c r="AM34" i="6"/>
  <c r="BQ91" i="6"/>
  <c r="BQ71" i="6"/>
  <c r="BQ57" i="6"/>
  <c r="AM73" i="6"/>
  <c r="AM53" i="6"/>
  <c r="AM44" i="6"/>
  <c r="BQ73" i="6"/>
  <c r="BQ56" i="6"/>
  <c r="AM101" i="6"/>
  <c r="AM61" i="6"/>
  <c r="BQ81" i="6"/>
  <c r="BQ69" i="6"/>
  <c r="BQ58" i="6"/>
  <c r="BQ24" i="6"/>
  <c r="AM85" i="6"/>
  <c r="AM65" i="6"/>
  <c r="AM45" i="6"/>
  <c r="AM25" i="6"/>
  <c r="BQ66" i="6"/>
  <c r="BQ46" i="6"/>
  <c r="AM91" i="6"/>
  <c r="AM71" i="6"/>
  <c r="AM82" i="6"/>
  <c r="AM42" i="6"/>
  <c r="BQ63" i="6"/>
  <c r="AM28" i="6"/>
  <c r="BQ76" i="6"/>
  <c r="BQ70" i="6"/>
  <c r="BQ39" i="6"/>
  <c r="AM99" i="6"/>
  <c r="AM59" i="6"/>
  <c r="BQ90" i="6"/>
  <c r="AM70" i="6"/>
  <c r="BQ96" i="6"/>
  <c r="BQ30" i="6"/>
  <c r="AM81" i="6"/>
  <c r="AM92" i="6"/>
  <c r="BQ89" i="6"/>
  <c r="BQ84" i="6"/>
  <c r="BQ38" i="6"/>
  <c r="AM96" i="6"/>
  <c r="AM76" i="6"/>
  <c r="AM56" i="6"/>
  <c r="AM36" i="6"/>
  <c r="AM47" i="6"/>
  <c r="AM27" i="6"/>
  <c r="AM62" i="6"/>
  <c r="BQ97" i="6"/>
  <c r="AM24" i="6"/>
  <c r="BQ85" i="6"/>
  <c r="AM79" i="6"/>
  <c r="AM50" i="6"/>
  <c r="BQ99" i="6"/>
  <c r="BQ98" i="6"/>
  <c r="BQ92" i="6"/>
  <c r="BQ75" i="6"/>
  <c r="BQ72" i="6"/>
  <c r="BQ64" i="6"/>
  <c r="BQ61" i="6"/>
  <c r="BQ41" i="6"/>
  <c r="BQ29" i="6"/>
  <c r="AM87" i="6"/>
  <c r="AM67" i="6"/>
  <c r="AM51" i="6"/>
  <c r="BQ83" i="6"/>
  <c r="BQ36" i="6"/>
  <c r="BQ44" i="6"/>
  <c r="BQ26" i="6"/>
  <c r="AM98" i="6"/>
  <c r="AM78" i="6"/>
  <c r="AM58" i="6"/>
  <c r="AM38" i="6"/>
  <c r="BQ55" i="6"/>
  <c r="BQ35" i="6"/>
  <c r="AM100" i="6"/>
  <c r="AM80" i="6"/>
  <c r="BQ88" i="6"/>
  <c r="BQ60" i="6"/>
  <c r="BQ40" i="6"/>
  <c r="AM93" i="6"/>
  <c r="AM33" i="6"/>
  <c r="AM84" i="6"/>
  <c r="AM48" i="6"/>
  <c r="BQ59" i="6"/>
  <c r="BQ42" i="6"/>
  <c r="AM41" i="6"/>
  <c r="AM52" i="6"/>
  <c r="BQ101" i="6"/>
  <c r="BQ95" i="6"/>
  <c r="BQ49" i="6"/>
  <c r="BQ32" i="6"/>
  <c r="AM89" i="6"/>
  <c r="AM69" i="6"/>
  <c r="AM49" i="6"/>
  <c r="AM29" i="6"/>
  <c r="BQ86" i="6"/>
  <c r="BQ52" i="6"/>
  <c r="AM40" i="6"/>
  <c r="BQ80" i="6"/>
  <c r="BQ77" i="6"/>
  <c r="BQ68" i="6"/>
  <c r="BQ87" i="6"/>
  <c r="BQ67" i="6"/>
  <c r="AM90" i="6"/>
  <c r="AM30" i="6"/>
  <c r="BQ33" i="6"/>
  <c r="AM60" i="6"/>
  <c r="AM31" i="6"/>
  <c r="AM102" i="6"/>
  <c r="BQ28" i="6"/>
  <c r="AM64" i="6"/>
  <c r="AM88" i="6"/>
  <c r="AM39" i="6"/>
  <c r="BQ65" i="6"/>
  <c r="BQ93" i="6"/>
  <c r="BQ62" i="6"/>
  <c r="BQ45" i="6"/>
  <c r="BQ27" i="6"/>
  <c r="AM72" i="6"/>
  <c r="BQ100" i="6"/>
  <c r="BQ94" i="6"/>
  <c r="BQ74" i="6"/>
  <c r="BQ48" i="6"/>
  <c r="BQ43" i="6"/>
  <c r="BQ37" i="6"/>
  <c r="BQ31" i="6"/>
  <c r="AM95" i="6"/>
  <c r="AM75" i="6"/>
  <c r="AM55" i="6"/>
  <c r="AM35" i="6"/>
  <c r="BQ34" i="6"/>
  <c r="AM86" i="6"/>
  <c r="AM66" i="6"/>
  <c r="AM46" i="6"/>
  <c r="AM26" i="6"/>
  <c r="BQ79" i="6"/>
  <c r="BQ54" i="6"/>
  <c r="BQ51" i="6"/>
  <c r="AM97" i="6"/>
  <c r="AM77" i="6"/>
  <c r="AM57" i="6"/>
  <c r="AM37" i="6"/>
  <c r="BQ82" i="6"/>
  <c r="BQ25" i="6"/>
  <c r="AM68" i="6"/>
  <c r="AM32" i="6"/>
  <c r="AM23" i="6"/>
  <c r="AL23" i="6"/>
  <c r="BN23" i="6"/>
  <c r="W119" i="6"/>
  <c r="M122" i="6"/>
  <c r="M121" i="6"/>
  <c r="M120" i="6"/>
  <c r="M119" i="6"/>
  <c r="U25" i="6" l="1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AA22" i="6" l="1"/>
  <c r="BM8" i="7" l="1"/>
  <c r="BL8" i="7"/>
  <c r="BN8" i="7"/>
  <c r="BO8" i="7"/>
  <c r="BK8" i="7"/>
  <c r="H2" i="8" l="1"/>
  <c r="M142" i="6"/>
  <c r="M126" i="6"/>
  <c r="M106" i="6"/>
  <c r="M105" i="6"/>
  <c r="M104" i="6"/>
  <c r="C8" i="8"/>
  <c r="G7" i="8" s="1"/>
  <c r="C7" i="8"/>
  <c r="E8" i="8" s="1"/>
  <c r="I8" i="8" s="1"/>
  <c r="J8" i="8" s="1"/>
  <c r="A2" i="8"/>
  <c r="A1" i="8"/>
  <c r="E34" i="8"/>
  <c r="H32" i="8"/>
  <c r="H34" i="8" s="1"/>
  <c r="CZ11" i="6"/>
  <c r="S58" i="6" l="1"/>
  <c r="R97" i="6" s="1"/>
  <c r="W127" i="6"/>
  <c r="W134" i="6"/>
  <c r="W135" i="6" s="1"/>
  <c r="W150" i="6"/>
  <c r="W151" i="6" s="1"/>
  <c r="S101" i="6"/>
  <c r="Q97" i="6"/>
  <c r="L2" i="8"/>
  <c r="C23" i="8" s="1"/>
  <c r="C26" i="8"/>
  <c r="C31" i="8"/>
  <c r="F32" i="8" s="1"/>
  <c r="F34" i="8" s="1"/>
  <c r="I2" i="8"/>
  <c r="C12" i="8" s="1"/>
  <c r="E7" i="8"/>
  <c r="I7" i="8" s="1"/>
  <c r="J7" i="8" s="1"/>
  <c r="H7" i="8"/>
  <c r="J2" i="8"/>
  <c r="F8" i="8"/>
  <c r="S97" i="6"/>
  <c r="W120" i="6" l="1"/>
  <c r="F2" i="8"/>
  <c r="C14" i="8" s="1"/>
  <c r="W137" i="6"/>
  <c r="W153" i="6"/>
  <c r="E31" i="8"/>
  <c r="F31" i="8" s="1"/>
  <c r="I31" i="8" s="1"/>
  <c r="F7" i="8"/>
  <c r="F1" i="8"/>
  <c r="C10" i="8" s="1"/>
  <c r="I32" i="8"/>
  <c r="I34" i="8" s="1"/>
  <c r="K2" i="8" l="1"/>
  <c r="C19" i="8" s="1"/>
  <c r="W76" i="6"/>
  <c r="H31" i="8"/>
  <c r="E33" i="8"/>
  <c r="H33" i="8" s="1"/>
  <c r="I33" i="8" s="1"/>
  <c r="P80" i="6"/>
  <c r="W84" i="6"/>
  <c r="DD7" i="7"/>
  <c r="DD8" i="7" s="1"/>
  <c r="DD9" i="7" s="1"/>
  <c r="DD10" i="7" s="1"/>
  <c r="DD11" i="7" s="1"/>
  <c r="CG11" i="7"/>
  <c r="CG12" i="7"/>
  <c r="CG13" i="7"/>
  <c r="CG14" i="7"/>
  <c r="CG10" i="7"/>
  <c r="DA7" i="7"/>
  <c r="DA8" i="7" s="1"/>
  <c r="DA9" i="7" s="1"/>
  <c r="DA10" i="7" s="1"/>
  <c r="DA11" i="7" s="1"/>
  <c r="DA12" i="7" s="1"/>
  <c r="DA13" i="7" s="1"/>
  <c r="DA14" i="7" s="1"/>
  <c r="DA15" i="7" s="1"/>
  <c r="DA16" i="7" s="1"/>
  <c r="W36" i="6"/>
  <c r="W45" i="6"/>
  <c r="W18" i="6"/>
  <c r="W19" i="6" s="1"/>
  <c r="S120" i="6" s="1"/>
  <c r="W30" i="6"/>
  <c r="W29" i="6"/>
  <c r="W24" i="6"/>
  <c r="W23" i="6"/>
  <c r="CI19" i="7"/>
  <c r="CF19" i="7"/>
  <c r="CH19" i="7" s="1"/>
  <c r="CI18" i="7"/>
  <c r="CF18" i="7"/>
  <c r="CH18" i="7" s="1"/>
  <c r="CI17" i="7"/>
  <c r="CF17" i="7"/>
  <c r="CG17" i="7" s="1"/>
  <c r="CI16" i="7"/>
  <c r="CF16" i="7"/>
  <c r="CH16" i="7" s="1"/>
  <c r="CI15" i="7"/>
  <c r="CF15" i="7"/>
  <c r="CH15" i="7" s="1"/>
  <c r="BQ16" i="7"/>
  <c r="X15" i="7"/>
  <c r="CF14" i="7"/>
  <c r="CH14" i="7" s="1"/>
  <c r="BQ15" i="7"/>
  <c r="X14" i="7"/>
  <c r="CF13" i="7"/>
  <c r="CH13" i="7" s="1"/>
  <c r="BQ14" i="7"/>
  <c r="X13" i="7"/>
  <c r="CF12" i="7"/>
  <c r="CH12" i="7" s="1"/>
  <c r="BQ13" i="7"/>
  <c r="X12" i="7"/>
  <c r="CF11" i="7"/>
  <c r="CH11" i="7" s="1"/>
  <c r="BQ12" i="7"/>
  <c r="X11" i="7"/>
  <c r="CF10" i="7"/>
  <c r="CH10" i="7" s="1"/>
  <c r="BQ11" i="7"/>
  <c r="X10" i="7"/>
  <c r="CI9" i="7"/>
  <c r="CF9" i="7"/>
  <c r="CG9" i="7" s="1"/>
  <c r="BQ10" i="7"/>
  <c r="X9" i="7"/>
  <c r="CI8" i="7"/>
  <c r="CF8" i="7"/>
  <c r="CH8" i="7" s="1"/>
  <c r="BQ9" i="7"/>
  <c r="X8" i="7"/>
  <c r="CI7" i="7"/>
  <c r="CF7" i="7"/>
  <c r="CG7" i="7" s="1"/>
  <c r="BQ7" i="7"/>
  <c r="X7" i="7"/>
  <c r="CI6" i="7"/>
  <c r="CF6" i="7"/>
  <c r="CH6" i="7" s="1"/>
  <c r="BQ6" i="7"/>
  <c r="X6" i="7"/>
  <c r="CI5" i="7"/>
  <c r="CF5" i="7"/>
  <c r="CH5" i="7" s="1"/>
  <c r="CI4" i="7"/>
  <c r="CF4" i="7"/>
  <c r="CH4" i="7" s="1"/>
  <c r="BG90" i="6" l="1"/>
  <c r="BG76" i="6"/>
  <c r="BG65" i="6"/>
  <c r="BG67" i="6"/>
  <c r="BG62" i="6"/>
  <c r="BG45" i="6"/>
  <c r="BG42" i="6"/>
  <c r="BG30" i="6"/>
  <c r="BG38" i="6"/>
  <c r="BG95" i="6"/>
  <c r="BG35" i="6"/>
  <c r="BG70" i="6"/>
  <c r="BG99" i="6"/>
  <c r="BG93" i="6"/>
  <c r="BG87" i="6"/>
  <c r="BG73" i="6"/>
  <c r="BG96" i="6"/>
  <c r="BG56" i="6"/>
  <c r="BG27" i="6"/>
  <c r="BG53" i="6"/>
  <c r="BG80" i="6"/>
  <c r="BG66" i="6"/>
  <c r="BG28" i="6"/>
  <c r="BG34" i="6"/>
  <c r="BG102" i="6"/>
  <c r="BG50" i="6"/>
  <c r="BG36" i="6"/>
  <c r="BG33" i="6"/>
  <c r="BG49" i="6"/>
  <c r="BG32" i="6"/>
  <c r="BG55" i="6"/>
  <c r="BG48" i="6"/>
  <c r="BG37" i="6"/>
  <c r="BG58" i="6"/>
  <c r="BG79" i="6"/>
  <c r="BG81" i="6"/>
  <c r="BG78" i="6"/>
  <c r="BG69" i="6"/>
  <c r="BG47" i="6"/>
  <c r="BG24" i="6"/>
  <c r="BG98" i="6"/>
  <c r="BG89" i="6"/>
  <c r="BG64" i="6"/>
  <c r="BG61" i="6"/>
  <c r="BG41" i="6"/>
  <c r="BG75" i="6"/>
  <c r="BG51" i="6"/>
  <c r="BG54" i="6"/>
  <c r="BG25" i="6"/>
  <c r="BG59" i="6"/>
  <c r="BG84" i="6"/>
  <c r="BG72" i="6"/>
  <c r="BG29" i="6"/>
  <c r="BG44" i="6"/>
  <c r="BG26" i="6"/>
  <c r="BG52" i="6"/>
  <c r="BG92" i="6"/>
  <c r="BG101" i="6"/>
  <c r="BG86" i="6"/>
  <c r="BG85" i="6"/>
  <c r="BG39" i="6"/>
  <c r="BG83" i="6"/>
  <c r="BG77" i="6"/>
  <c r="BG68" i="6"/>
  <c r="BG46" i="6"/>
  <c r="BG71" i="6"/>
  <c r="BG63" i="6"/>
  <c r="BG60" i="6"/>
  <c r="BG40" i="6"/>
  <c r="BG91" i="6"/>
  <c r="BG88" i="6"/>
  <c r="BG57" i="6"/>
  <c r="BG100" i="6"/>
  <c r="BG97" i="6"/>
  <c r="BG94" i="6"/>
  <c r="BG74" i="6"/>
  <c r="BG43" i="6"/>
  <c r="BG31" i="6"/>
  <c r="BG82" i="6"/>
  <c r="BG23" i="6"/>
  <c r="P120" i="6"/>
  <c r="W121" i="6" s="1"/>
  <c r="BQ23" i="6"/>
  <c r="W85" i="6"/>
  <c r="BM23" i="6"/>
  <c r="W70" i="6"/>
  <c r="F33" i="8"/>
  <c r="CH17" i="7"/>
  <c r="CG18" i="7"/>
  <c r="CG16" i="7"/>
  <c r="CG8" i="7"/>
  <c r="CG15" i="7"/>
  <c r="CG19" i="7"/>
  <c r="CH9" i="7"/>
  <c r="CH7" i="7"/>
  <c r="CG5" i="7"/>
  <c r="CG4" i="7"/>
  <c r="CG6" i="7"/>
  <c r="BB82" i="6" l="1"/>
  <c r="BC82" i="6" s="1"/>
  <c r="BB70" i="6"/>
  <c r="BC70" i="6" s="1"/>
  <c r="BB59" i="6"/>
  <c r="BC59" i="6" s="1"/>
  <c r="BB25" i="6"/>
  <c r="BC25" i="6" s="1"/>
  <c r="BB39" i="6"/>
  <c r="BC39" i="6" s="1"/>
  <c r="BB72" i="6"/>
  <c r="BC72" i="6" s="1"/>
  <c r="BB100" i="6"/>
  <c r="BC100" i="6" s="1"/>
  <c r="BB46" i="6"/>
  <c r="BC46" i="6" s="1"/>
  <c r="BB48" i="6"/>
  <c r="BC48" i="6" s="1"/>
  <c r="BB90" i="6"/>
  <c r="BC90" i="6" s="1"/>
  <c r="BB85" i="6"/>
  <c r="BC85" i="6" s="1"/>
  <c r="BB99" i="6"/>
  <c r="BC99" i="6" s="1"/>
  <c r="BB93" i="6"/>
  <c r="BC93" i="6" s="1"/>
  <c r="BB76" i="6"/>
  <c r="BC76" i="6" s="1"/>
  <c r="BB73" i="6"/>
  <c r="BC73" i="6" s="1"/>
  <c r="BB65" i="6"/>
  <c r="BC65" i="6" s="1"/>
  <c r="BB62" i="6"/>
  <c r="BC62" i="6" s="1"/>
  <c r="BB42" i="6"/>
  <c r="BC42" i="6" s="1"/>
  <c r="BB30" i="6"/>
  <c r="BC30" i="6" s="1"/>
  <c r="BB92" i="6"/>
  <c r="BC92" i="6" s="1"/>
  <c r="BB29" i="6"/>
  <c r="BC29" i="6" s="1"/>
  <c r="BB101" i="6"/>
  <c r="BC101" i="6" s="1"/>
  <c r="BB35" i="6"/>
  <c r="BC35" i="6" s="1"/>
  <c r="BB45" i="6"/>
  <c r="BC45" i="6" s="1"/>
  <c r="BB27" i="6"/>
  <c r="BC27" i="6" s="1"/>
  <c r="BB50" i="6"/>
  <c r="BC50" i="6" s="1"/>
  <c r="BB89" i="6"/>
  <c r="BC89" i="6" s="1"/>
  <c r="BB74" i="6"/>
  <c r="BC74" i="6" s="1"/>
  <c r="BB63" i="6"/>
  <c r="BC63" i="6" s="1"/>
  <c r="BB51" i="6"/>
  <c r="BC51" i="6" s="1"/>
  <c r="BB54" i="6"/>
  <c r="BC54" i="6" s="1"/>
  <c r="BB102" i="6"/>
  <c r="BC102" i="6" s="1"/>
  <c r="BB96" i="6"/>
  <c r="BC96" i="6" s="1"/>
  <c r="BB33" i="6"/>
  <c r="BC33" i="6" s="1"/>
  <c r="BB32" i="6"/>
  <c r="BC32" i="6" s="1"/>
  <c r="BB79" i="6"/>
  <c r="BC79" i="6" s="1"/>
  <c r="BB87" i="6"/>
  <c r="BC87" i="6" s="1"/>
  <c r="BB56" i="6"/>
  <c r="BC56" i="6" s="1"/>
  <c r="BB53" i="6"/>
  <c r="BC53" i="6" s="1"/>
  <c r="BB36" i="6"/>
  <c r="BC36" i="6" s="1"/>
  <c r="BB84" i="6"/>
  <c r="BC84" i="6" s="1"/>
  <c r="BB24" i="6"/>
  <c r="BC24" i="6" s="1"/>
  <c r="BB98" i="6"/>
  <c r="BC98" i="6" s="1"/>
  <c r="BB61" i="6"/>
  <c r="BC61" i="6" s="1"/>
  <c r="BB41" i="6"/>
  <c r="BC41" i="6" s="1"/>
  <c r="BB75" i="6"/>
  <c r="BC75" i="6" s="1"/>
  <c r="BB49" i="6"/>
  <c r="BC49" i="6" s="1"/>
  <c r="BB43" i="6"/>
  <c r="BC43" i="6" s="1"/>
  <c r="BB31" i="6"/>
  <c r="BC31" i="6" s="1"/>
  <c r="BB81" i="6"/>
  <c r="BC81" i="6" s="1"/>
  <c r="BB78" i="6"/>
  <c r="BC78" i="6" s="1"/>
  <c r="BB69" i="6"/>
  <c r="BC69" i="6" s="1"/>
  <c r="BB67" i="6"/>
  <c r="BC67" i="6" s="1"/>
  <c r="BB47" i="6"/>
  <c r="BC47" i="6" s="1"/>
  <c r="BB64" i="6"/>
  <c r="BC64" i="6" s="1"/>
  <c r="BB58" i="6"/>
  <c r="BC58" i="6" s="1"/>
  <c r="BB95" i="6"/>
  <c r="BC95" i="6" s="1"/>
  <c r="BB38" i="6"/>
  <c r="BC38" i="6" s="1"/>
  <c r="BB94" i="6"/>
  <c r="BC94" i="6" s="1"/>
  <c r="BB34" i="6"/>
  <c r="BC34" i="6" s="1"/>
  <c r="BB44" i="6"/>
  <c r="BC44" i="6" s="1"/>
  <c r="BB97" i="6"/>
  <c r="BC97" i="6" s="1"/>
  <c r="BB57" i="6"/>
  <c r="BC57" i="6" s="1"/>
  <c r="BB28" i="6"/>
  <c r="BC28" i="6" s="1"/>
  <c r="BB37" i="6"/>
  <c r="BC37" i="6" s="1"/>
  <c r="BB80" i="6"/>
  <c r="BC80" i="6" s="1"/>
  <c r="BB55" i="6"/>
  <c r="BC55" i="6" s="1"/>
  <c r="BB52" i="6"/>
  <c r="BC52" i="6" s="1"/>
  <c r="BB83" i="6"/>
  <c r="BC83" i="6" s="1"/>
  <c r="BB26" i="6"/>
  <c r="BC26" i="6" s="1"/>
  <c r="BB86" i="6"/>
  <c r="BC86" i="6" s="1"/>
  <c r="BB77" i="6"/>
  <c r="BC77" i="6" s="1"/>
  <c r="BB71" i="6"/>
  <c r="BC71" i="6" s="1"/>
  <c r="BB60" i="6"/>
  <c r="BC60" i="6" s="1"/>
  <c r="BB40" i="6"/>
  <c r="BC40" i="6" s="1"/>
  <c r="BB91" i="6"/>
  <c r="BC91" i="6" s="1"/>
  <c r="BB88" i="6"/>
  <c r="BC88" i="6" s="1"/>
  <c r="BB68" i="6"/>
  <c r="BC68" i="6" s="1"/>
  <c r="BB66" i="6"/>
  <c r="BC66" i="6" s="1"/>
  <c r="BB23" i="6"/>
  <c r="BC23" i="6" s="1"/>
  <c r="BD23" i="6" s="1"/>
  <c r="BR23" i="6" s="1"/>
  <c r="L11" i="6"/>
  <c r="BE46" i="6" l="1"/>
  <c r="BD46" i="6"/>
  <c r="BD53" i="6"/>
  <c r="BE53" i="6"/>
  <c r="BE56" i="6"/>
  <c r="BD56" i="6"/>
  <c r="BD62" i="6"/>
  <c r="BE62" i="6"/>
  <c r="BD58" i="6"/>
  <c r="BE58" i="6"/>
  <c r="BE64" i="6"/>
  <c r="BD64" i="6"/>
  <c r="BD47" i="6"/>
  <c r="BE47" i="6"/>
  <c r="BE69" i="6"/>
  <c r="BD69" i="6"/>
  <c r="BE66" i="6"/>
  <c r="BD66" i="6"/>
  <c r="BD68" i="6"/>
  <c r="BE68" i="6"/>
  <c r="BE88" i="6"/>
  <c r="BD88" i="6"/>
  <c r="BE87" i="6"/>
  <c r="BD87" i="6"/>
  <c r="BE79" i="6"/>
  <c r="BD79" i="6"/>
  <c r="BE40" i="6"/>
  <c r="BD40" i="6"/>
  <c r="BE60" i="6"/>
  <c r="BD60" i="6"/>
  <c r="BE76" i="6"/>
  <c r="BD76" i="6"/>
  <c r="BE67" i="6"/>
  <c r="BD67" i="6"/>
  <c r="BD93" i="6"/>
  <c r="BE93" i="6"/>
  <c r="BE99" i="6"/>
  <c r="BD99" i="6"/>
  <c r="BE78" i="6"/>
  <c r="BD78" i="6"/>
  <c r="BE85" i="6"/>
  <c r="BD85" i="6"/>
  <c r="BD81" i="6"/>
  <c r="BE81" i="6"/>
  <c r="BE90" i="6"/>
  <c r="BD90" i="6"/>
  <c r="BD83" i="6"/>
  <c r="BE83" i="6"/>
  <c r="BD63" i="6"/>
  <c r="BE63" i="6"/>
  <c r="BD52" i="6"/>
  <c r="BE52" i="6"/>
  <c r="BE74" i="6"/>
  <c r="BD74" i="6"/>
  <c r="BE49" i="6"/>
  <c r="BD49" i="6"/>
  <c r="BD100" i="6"/>
  <c r="BE100" i="6"/>
  <c r="BD75" i="6"/>
  <c r="BE75" i="6"/>
  <c r="BE72" i="6"/>
  <c r="BD72" i="6"/>
  <c r="BD41" i="6"/>
  <c r="BE41" i="6"/>
  <c r="BD27" i="6"/>
  <c r="BE27" i="6"/>
  <c r="BE28" i="6"/>
  <c r="BD28" i="6"/>
  <c r="BD45" i="6"/>
  <c r="BE45" i="6"/>
  <c r="BF45" i="6" s="1"/>
  <c r="BD25" i="6"/>
  <c r="BE25" i="6"/>
  <c r="BE57" i="6"/>
  <c r="BD57" i="6"/>
  <c r="BE98" i="6"/>
  <c r="BD98" i="6"/>
  <c r="BE35" i="6"/>
  <c r="BD35" i="6"/>
  <c r="BE59" i="6"/>
  <c r="BD59" i="6"/>
  <c r="BE30" i="6"/>
  <c r="BD30" i="6"/>
  <c r="BE42" i="6"/>
  <c r="BD42" i="6"/>
  <c r="BE91" i="6"/>
  <c r="BD91" i="6"/>
  <c r="BD65" i="6"/>
  <c r="BE65" i="6"/>
  <c r="BD73" i="6"/>
  <c r="BE73" i="6"/>
  <c r="BD33" i="6"/>
  <c r="BE33" i="6"/>
  <c r="BE71" i="6"/>
  <c r="BD71" i="6"/>
  <c r="BE96" i="6"/>
  <c r="BD96" i="6"/>
  <c r="BE77" i="6"/>
  <c r="BD77" i="6"/>
  <c r="BE102" i="6"/>
  <c r="BD102" i="6"/>
  <c r="BE86" i="6"/>
  <c r="BD86" i="6"/>
  <c r="BD54" i="6"/>
  <c r="BE54" i="6"/>
  <c r="BE26" i="6"/>
  <c r="BD26" i="6"/>
  <c r="BE51" i="6"/>
  <c r="BD51" i="6"/>
  <c r="BE31" i="6"/>
  <c r="BD31" i="6"/>
  <c r="BD48" i="6"/>
  <c r="BE48" i="6"/>
  <c r="BD43" i="6"/>
  <c r="BE43" i="6"/>
  <c r="BD55" i="6"/>
  <c r="BE55" i="6"/>
  <c r="BD89" i="6"/>
  <c r="BE89" i="6"/>
  <c r="BE80" i="6"/>
  <c r="BD80" i="6"/>
  <c r="BE50" i="6"/>
  <c r="BD50" i="6"/>
  <c r="BE37" i="6"/>
  <c r="BD37" i="6"/>
  <c r="BE39" i="6"/>
  <c r="BD39" i="6"/>
  <c r="BE61" i="6"/>
  <c r="BD61" i="6"/>
  <c r="BE97" i="6"/>
  <c r="BD97" i="6"/>
  <c r="BD101" i="6"/>
  <c r="BE101" i="6"/>
  <c r="BE70" i="6"/>
  <c r="BD70" i="6"/>
  <c r="BD44" i="6"/>
  <c r="BE44" i="6"/>
  <c r="BD84" i="6"/>
  <c r="BE84" i="6"/>
  <c r="BE29" i="6"/>
  <c r="BD29" i="6"/>
  <c r="BE82" i="6"/>
  <c r="BD82" i="6"/>
  <c r="BE94" i="6"/>
  <c r="BD94" i="6"/>
  <c r="BE38" i="6"/>
  <c r="BD38" i="6"/>
  <c r="BE95" i="6"/>
  <c r="BD95" i="6"/>
  <c r="BE32" i="6"/>
  <c r="BD32" i="6"/>
  <c r="BD24" i="6"/>
  <c r="BE24" i="6"/>
  <c r="BD34" i="6"/>
  <c r="BE34" i="6"/>
  <c r="BE36" i="6"/>
  <c r="BD36" i="6"/>
  <c r="BE92" i="6"/>
  <c r="BD92" i="6"/>
  <c r="Q102" i="6"/>
  <c r="R102" i="6" s="1"/>
  <c r="W89" i="6"/>
  <c r="S157" i="6"/>
  <c r="Q103" i="6"/>
  <c r="R103" i="6"/>
  <c r="Q101" i="6"/>
  <c r="W71" i="6"/>
  <c r="W72" i="6" s="1"/>
  <c r="S158" i="6"/>
  <c r="C4" i="8"/>
  <c r="M2" i="8" s="1"/>
  <c r="C11" i="8" s="1"/>
  <c r="C5" i="8"/>
  <c r="AG17" i="6"/>
  <c r="AG16" i="6"/>
  <c r="AG15" i="6"/>
  <c r="AG14" i="6"/>
  <c r="S103" i="6"/>
  <c r="S102" i="6"/>
  <c r="BF80" i="6" l="1"/>
  <c r="BF75" i="6"/>
  <c r="BF99" i="6"/>
  <c r="BF49" i="6"/>
  <c r="BF58" i="6"/>
  <c r="BF29" i="6"/>
  <c r="BF66" i="6"/>
  <c r="BF84" i="6"/>
  <c r="BF36" i="6"/>
  <c r="BF69" i="6"/>
  <c r="BF55" i="6"/>
  <c r="BF70" i="6"/>
  <c r="BF57" i="6"/>
  <c r="BF34" i="6"/>
  <c r="BF47" i="6"/>
  <c r="BF76" i="6"/>
  <c r="BF24" i="6"/>
  <c r="BF33" i="6"/>
  <c r="BF52" i="6"/>
  <c r="BF31" i="6"/>
  <c r="BF60" i="6"/>
  <c r="BI45" i="6"/>
  <c r="BR45" i="6"/>
  <c r="BS45" i="6" s="1"/>
  <c r="BF51" i="6"/>
  <c r="BF28" i="6"/>
  <c r="BF38" i="6"/>
  <c r="BF39" i="6"/>
  <c r="BF26" i="6"/>
  <c r="BF91" i="6"/>
  <c r="BF27" i="6"/>
  <c r="BF90" i="6"/>
  <c r="BF79" i="6"/>
  <c r="BF56" i="6"/>
  <c r="BF59" i="6"/>
  <c r="BF35" i="6"/>
  <c r="BF93" i="6"/>
  <c r="BF43" i="6"/>
  <c r="BF101" i="6"/>
  <c r="BF32" i="6"/>
  <c r="BF95" i="6"/>
  <c r="BF94" i="6"/>
  <c r="BF41" i="6"/>
  <c r="BF87" i="6"/>
  <c r="BF53" i="6"/>
  <c r="BF102" i="6"/>
  <c r="BF68" i="6"/>
  <c r="BF77" i="6"/>
  <c r="BF89" i="6"/>
  <c r="BF96" i="6"/>
  <c r="BF44" i="6"/>
  <c r="BF71" i="6"/>
  <c r="BF74" i="6"/>
  <c r="BF64" i="6"/>
  <c r="BF48" i="6"/>
  <c r="BF25" i="6"/>
  <c r="BF97" i="6"/>
  <c r="BF73" i="6"/>
  <c r="BF63" i="6"/>
  <c r="BF61" i="6"/>
  <c r="BF40" i="6"/>
  <c r="BF65" i="6"/>
  <c r="BF83" i="6"/>
  <c r="BF62" i="6"/>
  <c r="BR27" i="6"/>
  <c r="BS27" i="6" s="1"/>
  <c r="BI27" i="6"/>
  <c r="BF37" i="6"/>
  <c r="BF42" i="6"/>
  <c r="BI87" i="6"/>
  <c r="BR87" i="6"/>
  <c r="BS87" i="6" s="1"/>
  <c r="BF54" i="6"/>
  <c r="BF81" i="6"/>
  <c r="BF82" i="6"/>
  <c r="BF50" i="6"/>
  <c r="BF86" i="6"/>
  <c r="BF30" i="6"/>
  <c r="BF72" i="6"/>
  <c r="BF85" i="6"/>
  <c r="BF88" i="6"/>
  <c r="BF46" i="6"/>
  <c r="BF78" i="6"/>
  <c r="BF92" i="6"/>
  <c r="BF100" i="6"/>
  <c r="BF98" i="6"/>
  <c r="BF67" i="6"/>
  <c r="S119" i="6"/>
  <c r="W122" i="6" s="1"/>
  <c r="X122" i="6" s="1"/>
  <c r="W143" i="6"/>
  <c r="E5" i="8"/>
  <c r="L31" i="8"/>
  <c r="E4" i="8"/>
  <c r="E10" i="8"/>
  <c r="E28" i="8"/>
  <c r="E26" i="8"/>
  <c r="E27" i="8"/>
  <c r="E11" i="8"/>
  <c r="W26" i="6"/>
  <c r="M154" i="6"/>
  <c r="M153" i="6"/>
  <c r="M152" i="6"/>
  <c r="M151" i="6"/>
  <c r="M150" i="6"/>
  <c r="M148" i="6"/>
  <c r="M147" i="6"/>
  <c r="M146" i="6"/>
  <c r="M145" i="6"/>
  <c r="M144" i="6"/>
  <c r="M143" i="6"/>
  <c r="BI74" i="6" l="1"/>
  <c r="BR74" i="6"/>
  <c r="BS74" i="6" s="1"/>
  <c r="BI31" i="6"/>
  <c r="BR31" i="6"/>
  <c r="BS31" i="6" s="1"/>
  <c r="BI50" i="6"/>
  <c r="BR50" i="6"/>
  <c r="BS50" i="6" s="1"/>
  <c r="BR98" i="6"/>
  <c r="BS98" i="6" s="1"/>
  <c r="BI98" i="6"/>
  <c r="BI71" i="6"/>
  <c r="BR71" i="6"/>
  <c r="BS71" i="6" s="1"/>
  <c r="BR100" i="6"/>
  <c r="BS100" i="6" s="1"/>
  <c r="BI100" i="6"/>
  <c r="BR82" i="6"/>
  <c r="BS82" i="6" s="1"/>
  <c r="BI82" i="6"/>
  <c r="BR40" i="6"/>
  <c r="BS40" i="6" s="1"/>
  <c r="BI40" i="6"/>
  <c r="BR91" i="6"/>
  <c r="BS91" i="6" s="1"/>
  <c r="BI91" i="6"/>
  <c r="BR81" i="6"/>
  <c r="BS81" i="6" s="1"/>
  <c r="BI81" i="6"/>
  <c r="BR26" i="6"/>
  <c r="BS26" i="6" s="1"/>
  <c r="BI26" i="6"/>
  <c r="BR61" i="6"/>
  <c r="BS61" i="6" s="1"/>
  <c r="BI61" i="6"/>
  <c r="BR101" i="6"/>
  <c r="BS101" i="6" s="1"/>
  <c r="BI101" i="6"/>
  <c r="BR39" i="6"/>
  <c r="BS39" i="6" s="1"/>
  <c r="BI39" i="6"/>
  <c r="BI73" i="6"/>
  <c r="BR73" i="6"/>
  <c r="BS73" i="6" s="1"/>
  <c r="BR67" i="6"/>
  <c r="BS67" i="6" s="1"/>
  <c r="BI67" i="6"/>
  <c r="BR86" i="6"/>
  <c r="BS86" i="6" s="1"/>
  <c r="BI86" i="6"/>
  <c r="BI79" i="6"/>
  <c r="BR79" i="6"/>
  <c r="BS79" i="6" s="1"/>
  <c r="BR83" i="6"/>
  <c r="BS83" i="6" s="1"/>
  <c r="BI83" i="6"/>
  <c r="BI95" i="6"/>
  <c r="BR95" i="6"/>
  <c r="BS95" i="6" s="1"/>
  <c r="BR33" i="6"/>
  <c r="BS33" i="6" s="1"/>
  <c r="BI33" i="6"/>
  <c r="BR32" i="6"/>
  <c r="BS32" i="6" s="1"/>
  <c r="BI32" i="6"/>
  <c r="BR66" i="6"/>
  <c r="BS66" i="6" s="1"/>
  <c r="BI66" i="6"/>
  <c r="BR63" i="6"/>
  <c r="BS63" i="6" s="1"/>
  <c r="BI63" i="6"/>
  <c r="BR43" i="6"/>
  <c r="BS43" i="6" s="1"/>
  <c r="BI43" i="6"/>
  <c r="BI38" i="6"/>
  <c r="BR38" i="6"/>
  <c r="BS38" i="6" s="1"/>
  <c r="BI58" i="6"/>
  <c r="BR58" i="6"/>
  <c r="BS58" i="6" s="1"/>
  <c r="BI68" i="6"/>
  <c r="BR68" i="6"/>
  <c r="BS68" i="6" s="1"/>
  <c r="BI49" i="6"/>
  <c r="BR49" i="6"/>
  <c r="BS49" i="6" s="1"/>
  <c r="BI42" i="6"/>
  <c r="BR42" i="6"/>
  <c r="BS42" i="6" s="1"/>
  <c r="BR28" i="6"/>
  <c r="BS28" i="6" s="1"/>
  <c r="BI28" i="6"/>
  <c r="BI34" i="6"/>
  <c r="BR34" i="6"/>
  <c r="BS34" i="6" s="1"/>
  <c r="BI35" i="6"/>
  <c r="BR35" i="6"/>
  <c r="BS35" i="6" s="1"/>
  <c r="BR51" i="6"/>
  <c r="BS51" i="6" s="1"/>
  <c r="BI51" i="6"/>
  <c r="BR99" i="6"/>
  <c r="BS99" i="6" s="1"/>
  <c r="BI99" i="6"/>
  <c r="BI25" i="6"/>
  <c r="BR25" i="6"/>
  <c r="BS25" i="6" s="1"/>
  <c r="BI57" i="6"/>
  <c r="BR57" i="6"/>
  <c r="BS57" i="6" s="1"/>
  <c r="BR72" i="6"/>
  <c r="BS72" i="6" s="1"/>
  <c r="BI72" i="6"/>
  <c r="BI53" i="6"/>
  <c r="BR53" i="6"/>
  <c r="BS53" i="6" s="1"/>
  <c r="BI70" i="6"/>
  <c r="BR70" i="6"/>
  <c r="BS70" i="6" s="1"/>
  <c r="BR69" i="6"/>
  <c r="BS69" i="6" s="1"/>
  <c r="BI69" i="6"/>
  <c r="BR94" i="6"/>
  <c r="BS94" i="6" s="1"/>
  <c r="BI94" i="6"/>
  <c r="BR65" i="6"/>
  <c r="BS65" i="6" s="1"/>
  <c r="BI65" i="6"/>
  <c r="BR36" i="6"/>
  <c r="BS36" i="6" s="1"/>
  <c r="BI36" i="6"/>
  <c r="BR52" i="6"/>
  <c r="BS52" i="6" s="1"/>
  <c r="BI52" i="6"/>
  <c r="BR44" i="6"/>
  <c r="BS44" i="6" s="1"/>
  <c r="BI44" i="6"/>
  <c r="BI84" i="6"/>
  <c r="BR84" i="6"/>
  <c r="BS84" i="6" s="1"/>
  <c r="BI96" i="6"/>
  <c r="BR96" i="6"/>
  <c r="BS96" i="6" s="1"/>
  <c r="BR24" i="6"/>
  <c r="BS24" i="6" s="1"/>
  <c r="BI24" i="6"/>
  <c r="BI92" i="6"/>
  <c r="BR92" i="6"/>
  <c r="BS92" i="6" s="1"/>
  <c r="BR78" i="6"/>
  <c r="BS78" i="6" s="1"/>
  <c r="BI78" i="6"/>
  <c r="BR89" i="6"/>
  <c r="BS89" i="6" s="1"/>
  <c r="BI89" i="6"/>
  <c r="BI54" i="6"/>
  <c r="BR54" i="6"/>
  <c r="BS54" i="6" s="1"/>
  <c r="BI76" i="6"/>
  <c r="BR76" i="6"/>
  <c r="BS76" i="6" s="1"/>
  <c r="BR29" i="6"/>
  <c r="BS29" i="6" s="1"/>
  <c r="BI29" i="6"/>
  <c r="BR46" i="6"/>
  <c r="BS46" i="6" s="1"/>
  <c r="BI46" i="6"/>
  <c r="BI77" i="6"/>
  <c r="BR77" i="6"/>
  <c r="BS77" i="6" s="1"/>
  <c r="BI47" i="6"/>
  <c r="BR47" i="6"/>
  <c r="BS47" i="6" s="1"/>
  <c r="BI88" i="6"/>
  <c r="BR88" i="6"/>
  <c r="BS88" i="6" s="1"/>
  <c r="BI97" i="6"/>
  <c r="BR97" i="6"/>
  <c r="BS97" i="6" s="1"/>
  <c r="BI93" i="6"/>
  <c r="BR93" i="6"/>
  <c r="BS93" i="6" s="1"/>
  <c r="BR85" i="6"/>
  <c r="BS85" i="6" s="1"/>
  <c r="BI85" i="6"/>
  <c r="BR37" i="6"/>
  <c r="BS37" i="6" s="1"/>
  <c r="BI37" i="6"/>
  <c r="BI102" i="6"/>
  <c r="BR102" i="6"/>
  <c r="BS102" i="6" s="1"/>
  <c r="BR59" i="6"/>
  <c r="BS59" i="6" s="1"/>
  <c r="BI59" i="6"/>
  <c r="BR75" i="6"/>
  <c r="BS75" i="6" s="1"/>
  <c r="BI75" i="6"/>
  <c r="BR48" i="6"/>
  <c r="BS48" i="6" s="1"/>
  <c r="BI48" i="6"/>
  <c r="BI56" i="6"/>
  <c r="BR56" i="6"/>
  <c r="BS56" i="6" s="1"/>
  <c r="BI80" i="6"/>
  <c r="BR80" i="6"/>
  <c r="BS80" i="6" s="1"/>
  <c r="BI90" i="6"/>
  <c r="BR90" i="6"/>
  <c r="BS90" i="6" s="1"/>
  <c r="BI30" i="6"/>
  <c r="BR30" i="6"/>
  <c r="BS30" i="6" s="1"/>
  <c r="BR62" i="6"/>
  <c r="BS62" i="6" s="1"/>
  <c r="BI62" i="6"/>
  <c r="BR64" i="6"/>
  <c r="BS64" i="6" s="1"/>
  <c r="BI64" i="6"/>
  <c r="BR41" i="6"/>
  <c r="BS41" i="6" s="1"/>
  <c r="BI41" i="6"/>
  <c r="BR60" i="6"/>
  <c r="BS60" i="6" s="1"/>
  <c r="BI60" i="6"/>
  <c r="BR55" i="6"/>
  <c r="BS55" i="6" s="1"/>
  <c r="BI55" i="6"/>
  <c r="F5" i="8"/>
  <c r="G5" i="8" s="1"/>
  <c r="H5" i="8"/>
  <c r="I5" i="8"/>
  <c r="F11" i="8"/>
  <c r="E15" i="8"/>
  <c r="H11" i="8"/>
  <c r="E19" i="8"/>
  <c r="F27" i="8"/>
  <c r="F29" i="8" s="1"/>
  <c r="H27" i="8"/>
  <c r="E29" i="8"/>
  <c r="F26" i="8"/>
  <c r="I26" i="8" s="1"/>
  <c r="H26" i="8"/>
  <c r="H28" i="8"/>
  <c r="F28" i="8"/>
  <c r="I28" i="8" s="1"/>
  <c r="F10" i="8"/>
  <c r="G10" i="8" s="1"/>
  <c r="E14" i="8"/>
  <c r="H10" i="8"/>
  <c r="I10" i="8" s="1"/>
  <c r="J10" i="8" s="1"/>
  <c r="F14" i="8" s="1"/>
  <c r="E18" i="8"/>
  <c r="F4" i="8"/>
  <c r="G4" i="8" s="1"/>
  <c r="H4" i="8" s="1"/>
  <c r="I4" i="8"/>
  <c r="H29" i="8" l="1"/>
  <c r="I27" i="8"/>
  <c r="I29" i="8" s="1"/>
  <c r="H18" i="8"/>
  <c r="I18" i="8" s="1"/>
  <c r="E22" i="8"/>
  <c r="F18" i="8"/>
  <c r="H19" i="8"/>
  <c r="E23" i="8"/>
  <c r="H23" i="8" s="1"/>
  <c r="F19" i="8"/>
  <c r="G11" i="8"/>
  <c r="J11" i="8" s="1"/>
  <c r="F15" i="8" s="1"/>
  <c r="I11" i="8"/>
  <c r="U80" i="6"/>
  <c r="M76" i="6"/>
  <c r="M75" i="6"/>
  <c r="M74" i="6"/>
  <c r="M73" i="6"/>
  <c r="M72" i="6"/>
  <c r="M70" i="6"/>
  <c r="M69" i="6"/>
  <c r="M71" i="6"/>
  <c r="F22" i="8" l="1"/>
  <c r="H22" i="8"/>
  <c r="I22" i="8" s="1"/>
  <c r="F23" i="8"/>
  <c r="I23" i="8" s="1"/>
  <c r="I19" i="8"/>
  <c r="W90" i="6" l="1"/>
  <c r="W142" i="6"/>
  <c r="W144" i="6" s="1"/>
  <c r="M89" i="6"/>
  <c r="AO16" i="6"/>
  <c r="M138" i="6"/>
  <c r="M137" i="6"/>
  <c r="M136" i="6"/>
  <c r="M135" i="6"/>
  <c r="M134" i="6"/>
  <c r="M132" i="6"/>
  <c r="M131" i="6"/>
  <c r="M130" i="6"/>
  <c r="M129" i="6"/>
  <c r="M127" i="6"/>
  <c r="M128" i="6"/>
  <c r="M158" i="6"/>
  <c r="M157" i="6"/>
  <c r="N30" i="6"/>
  <c r="N33" i="6"/>
  <c r="N31" i="6"/>
  <c r="N32" i="6"/>
  <c r="N26" i="6"/>
  <c r="M156" i="6"/>
  <c r="W126" i="6"/>
  <c r="T97" i="6"/>
  <c r="W128" i="6" l="1"/>
  <c r="W146" i="6"/>
  <c r="S147" i="6" s="1"/>
  <c r="W145" i="6"/>
  <c r="T101" i="6"/>
  <c r="U101" i="6" s="1"/>
  <c r="T102" i="6"/>
  <c r="U102" i="6" s="1"/>
  <c r="T103" i="6"/>
  <c r="U103" i="6" s="1"/>
  <c r="U97" i="6"/>
  <c r="Q73" i="6"/>
  <c r="W73" i="6" s="1"/>
  <c r="AO14" i="6"/>
  <c r="W31" i="6"/>
  <c r="N35" i="6"/>
  <c r="N29" i="6"/>
  <c r="BE23" i="6" l="1"/>
  <c r="BF23" i="6" s="1"/>
  <c r="W154" i="6"/>
  <c r="Q147" i="6"/>
  <c r="W147" i="6" s="1"/>
  <c r="W104" i="6"/>
  <c r="W152" i="6"/>
  <c r="X152" i="6" s="1"/>
  <c r="W130" i="6"/>
  <c r="S131" i="6" s="1"/>
  <c r="W129" i="6"/>
  <c r="W74" i="6"/>
  <c r="W33" i="6"/>
  <c r="N46" i="6"/>
  <c r="M86" i="6"/>
  <c r="T86" i="6"/>
  <c r="W86" i="6" s="1"/>
  <c r="M85" i="6"/>
  <c r="M84" i="6"/>
  <c r="M82" i="6"/>
  <c r="M81" i="6"/>
  <c r="W80" i="6"/>
  <c r="M79" i="6"/>
  <c r="M78" i="6"/>
  <c r="N80" i="6"/>
  <c r="M77" i="6"/>
  <c r="N16" i="6"/>
  <c r="W61" i="6"/>
  <c r="N61" i="6"/>
  <c r="M92" i="6"/>
  <c r="M91" i="6"/>
  <c r="BJ58" i="6" l="1"/>
  <c r="BK58" i="6" s="1"/>
  <c r="BL58" i="6" s="1"/>
  <c r="BJ87" i="6"/>
  <c r="BK87" i="6" s="1"/>
  <c r="BL87" i="6" s="1"/>
  <c r="BJ67" i="6"/>
  <c r="BK67" i="6" s="1"/>
  <c r="BL67" i="6" s="1"/>
  <c r="BJ66" i="6"/>
  <c r="BK66" i="6" s="1"/>
  <c r="BL66" i="6" s="1"/>
  <c r="BJ48" i="6"/>
  <c r="BK48" i="6" s="1"/>
  <c r="BL48" i="6" s="1"/>
  <c r="BJ46" i="6"/>
  <c r="BK46" i="6" s="1"/>
  <c r="BL46" i="6" s="1"/>
  <c r="BJ26" i="6"/>
  <c r="BK26" i="6" s="1"/>
  <c r="BL26" i="6" s="1"/>
  <c r="BJ24" i="6"/>
  <c r="BK24" i="6" s="1"/>
  <c r="BL24" i="6" s="1"/>
  <c r="BJ57" i="6"/>
  <c r="BK57" i="6" s="1"/>
  <c r="BL57" i="6" s="1"/>
  <c r="BJ68" i="6"/>
  <c r="BK68" i="6" s="1"/>
  <c r="BL68" i="6" s="1"/>
  <c r="BJ47" i="6"/>
  <c r="BK47" i="6" s="1"/>
  <c r="BL47" i="6" s="1"/>
  <c r="BJ63" i="6"/>
  <c r="BK63" i="6" s="1"/>
  <c r="BL63" i="6" s="1"/>
  <c r="BJ65" i="6"/>
  <c r="BK65" i="6" s="1"/>
  <c r="BL65" i="6" s="1"/>
  <c r="BJ77" i="6"/>
  <c r="BK77" i="6" s="1"/>
  <c r="BL77" i="6" s="1"/>
  <c r="BJ45" i="6"/>
  <c r="BK45" i="6" s="1"/>
  <c r="BL45" i="6" s="1"/>
  <c r="BJ56" i="6"/>
  <c r="BK56" i="6" s="1"/>
  <c r="BL56" i="6" s="1"/>
  <c r="BJ25" i="6"/>
  <c r="BK25" i="6" s="1"/>
  <c r="BL25" i="6" s="1"/>
  <c r="BJ44" i="6"/>
  <c r="BK44" i="6" s="1"/>
  <c r="BL44" i="6" s="1"/>
  <c r="BJ86" i="6"/>
  <c r="BK86" i="6" s="1"/>
  <c r="BL86" i="6" s="1"/>
  <c r="BJ27" i="6"/>
  <c r="BK27" i="6" s="1"/>
  <c r="BL27" i="6" s="1"/>
  <c r="BJ34" i="6"/>
  <c r="BK34" i="6" s="1"/>
  <c r="BL34" i="6" s="1"/>
  <c r="BJ83" i="6"/>
  <c r="BK83" i="6" s="1"/>
  <c r="BL83" i="6" s="1"/>
  <c r="BJ94" i="6"/>
  <c r="BK94" i="6" s="1"/>
  <c r="BL94" i="6" s="1"/>
  <c r="BJ28" i="6"/>
  <c r="BK28" i="6" s="1"/>
  <c r="BL28" i="6" s="1"/>
  <c r="BJ89" i="6"/>
  <c r="BK89" i="6" s="1"/>
  <c r="BL89" i="6" s="1"/>
  <c r="BJ60" i="6"/>
  <c r="BK60" i="6" s="1"/>
  <c r="BL60" i="6" s="1"/>
  <c r="BJ76" i="6"/>
  <c r="BK76" i="6" s="1"/>
  <c r="BL76" i="6" s="1"/>
  <c r="BJ95" i="6"/>
  <c r="BK95" i="6" s="1"/>
  <c r="BL95" i="6" s="1"/>
  <c r="BJ40" i="6"/>
  <c r="BK40" i="6" s="1"/>
  <c r="BL40" i="6" s="1"/>
  <c r="BJ99" i="6"/>
  <c r="BK99" i="6" s="1"/>
  <c r="BL99" i="6" s="1"/>
  <c r="BJ81" i="6"/>
  <c r="BK81" i="6" s="1"/>
  <c r="BL81" i="6" s="1"/>
  <c r="BJ96" i="6"/>
  <c r="BK96" i="6" s="1"/>
  <c r="BL96" i="6" s="1"/>
  <c r="BJ29" i="6"/>
  <c r="BK29" i="6" s="1"/>
  <c r="BL29" i="6" s="1"/>
  <c r="BJ69" i="6"/>
  <c r="BK69" i="6" s="1"/>
  <c r="BL69" i="6" s="1"/>
  <c r="BJ42" i="6"/>
  <c r="BK42" i="6" s="1"/>
  <c r="BL42" i="6" s="1"/>
  <c r="BJ64" i="6"/>
  <c r="BK64" i="6" s="1"/>
  <c r="BL64" i="6" s="1"/>
  <c r="BJ100" i="6"/>
  <c r="BK100" i="6" s="1"/>
  <c r="BL100" i="6" s="1"/>
  <c r="BJ37" i="6"/>
  <c r="BK37" i="6" s="1"/>
  <c r="BL37" i="6" s="1"/>
  <c r="BJ38" i="6"/>
  <c r="BK38" i="6" s="1"/>
  <c r="BL38" i="6" s="1"/>
  <c r="BJ98" i="6"/>
  <c r="BK98" i="6" s="1"/>
  <c r="BL98" i="6" s="1"/>
  <c r="BJ71" i="6"/>
  <c r="BK71" i="6" s="1"/>
  <c r="BL71" i="6" s="1"/>
  <c r="BJ62" i="6"/>
  <c r="BK62" i="6" s="1"/>
  <c r="BL62" i="6" s="1"/>
  <c r="BJ82" i="6"/>
  <c r="BK82" i="6" s="1"/>
  <c r="BL82" i="6" s="1"/>
  <c r="BJ70" i="6"/>
  <c r="BK70" i="6" s="1"/>
  <c r="BL70" i="6" s="1"/>
  <c r="BJ92" i="6"/>
  <c r="BK92" i="6" s="1"/>
  <c r="BL92" i="6" s="1"/>
  <c r="BJ97" i="6"/>
  <c r="BK97" i="6" s="1"/>
  <c r="BL97" i="6" s="1"/>
  <c r="BJ30" i="6"/>
  <c r="BK30" i="6" s="1"/>
  <c r="BL30" i="6" s="1"/>
  <c r="BJ73" i="6"/>
  <c r="BK73" i="6" s="1"/>
  <c r="BL73" i="6" s="1"/>
  <c r="BJ52" i="6"/>
  <c r="BK52" i="6" s="1"/>
  <c r="BL52" i="6" s="1"/>
  <c r="BJ36" i="6"/>
  <c r="BK36" i="6" s="1"/>
  <c r="BL36" i="6" s="1"/>
  <c r="BJ61" i="6"/>
  <c r="BK61" i="6" s="1"/>
  <c r="BL61" i="6" s="1"/>
  <c r="BJ79" i="6"/>
  <c r="BK79" i="6" s="1"/>
  <c r="BL79" i="6" s="1"/>
  <c r="BJ84" i="6"/>
  <c r="BK84" i="6" s="1"/>
  <c r="BL84" i="6" s="1"/>
  <c r="BJ33" i="6"/>
  <c r="BK33" i="6" s="1"/>
  <c r="BL33" i="6" s="1"/>
  <c r="BJ59" i="6"/>
  <c r="BK59" i="6" s="1"/>
  <c r="BL59" i="6" s="1"/>
  <c r="BJ78" i="6"/>
  <c r="BK78" i="6" s="1"/>
  <c r="BL78" i="6" s="1"/>
  <c r="BJ93" i="6"/>
  <c r="BK93" i="6" s="1"/>
  <c r="BL93" i="6" s="1"/>
  <c r="BJ102" i="6"/>
  <c r="BK102" i="6" s="1"/>
  <c r="BL102" i="6" s="1"/>
  <c r="BJ53" i="6"/>
  <c r="BK53" i="6" s="1"/>
  <c r="BL53" i="6" s="1"/>
  <c r="BJ75" i="6"/>
  <c r="BK75" i="6" s="1"/>
  <c r="BL75" i="6" s="1"/>
  <c r="BJ50" i="6"/>
  <c r="BK50" i="6" s="1"/>
  <c r="BL50" i="6" s="1"/>
  <c r="BJ90" i="6"/>
  <c r="BK90" i="6" s="1"/>
  <c r="BL90" i="6" s="1"/>
  <c r="BJ91" i="6"/>
  <c r="BK91" i="6" s="1"/>
  <c r="BL91" i="6" s="1"/>
  <c r="BJ101" i="6"/>
  <c r="BK101" i="6" s="1"/>
  <c r="BL101" i="6" s="1"/>
  <c r="BJ39" i="6"/>
  <c r="BK39" i="6" s="1"/>
  <c r="BL39" i="6" s="1"/>
  <c r="BJ80" i="6"/>
  <c r="BK80" i="6" s="1"/>
  <c r="BL80" i="6" s="1"/>
  <c r="BJ51" i="6"/>
  <c r="BK51" i="6" s="1"/>
  <c r="BL51" i="6" s="1"/>
  <c r="BJ72" i="6"/>
  <c r="BK72" i="6" s="1"/>
  <c r="BL72" i="6" s="1"/>
  <c r="BJ55" i="6"/>
  <c r="BK55" i="6" s="1"/>
  <c r="BL55" i="6" s="1"/>
  <c r="BJ32" i="6"/>
  <c r="BK32" i="6" s="1"/>
  <c r="BL32" i="6" s="1"/>
  <c r="BJ85" i="6"/>
  <c r="BK85" i="6" s="1"/>
  <c r="BL85" i="6" s="1"/>
  <c r="BJ41" i="6"/>
  <c r="BK41" i="6" s="1"/>
  <c r="BL41" i="6" s="1"/>
  <c r="BJ35" i="6"/>
  <c r="BK35" i="6" s="1"/>
  <c r="BL35" i="6" s="1"/>
  <c r="BJ43" i="6"/>
  <c r="BK43" i="6" s="1"/>
  <c r="BL43" i="6" s="1"/>
  <c r="BJ54" i="6"/>
  <c r="BK54" i="6" s="1"/>
  <c r="BL54" i="6" s="1"/>
  <c r="BJ31" i="6"/>
  <c r="BK31" i="6" s="1"/>
  <c r="BL31" i="6" s="1"/>
  <c r="BJ88" i="6"/>
  <c r="BK88" i="6" s="1"/>
  <c r="BL88" i="6" s="1"/>
  <c r="BJ74" i="6"/>
  <c r="BK74" i="6" s="1"/>
  <c r="BL74" i="6" s="1"/>
  <c r="BJ49" i="6"/>
  <c r="BK49" i="6" s="1"/>
  <c r="BL49" i="6" s="1"/>
  <c r="BI23" i="6"/>
  <c r="BJ23" i="6" s="1"/>
  <c r="W157" i="6"/>
  <c r="X157" i="6" s="1"/>
  <c r="W158" i="6"/>
  <c r="W138" i="6"/>
  <c r="X138" i="6" s="1"/>
  <c r="Q131" i="6"/>
  <c r="W131" i="6" s="1"/>
  <c r="W136" i="6"/>
  <c r="X136" i="6" s="1"/>
  <c r="X154" i="6"/>
  <c r="AO17" i="6"/>
  <c r="W25" i="6"/>
  <c r="AO15" i="6"/>
  <c r="W91" i="6"/>
  <c r="W75" i="6"/>
  <c r="X75" i="6" s="1"/>
  <c r="N49" i="6"/>
  <c r="N48" i="6"/>
  <c r="N47" i="6"/>
  <c r="N42" i="6"/>
  <c r="N41" i="6"/>
  <c r="N40" i="6"/>
  <c r="N39" i="6"/>
  <c r="N19" i="6"/>
  <c r="N18" i="6"/>
  <c r="N45" i="6"/>
  <c r="BK23" i="6" l="1"/>
  <c r="BL23" i="6" s="1"/>
  <c r="BS23" i="6"/>
  <c r="BO23" i="6"/>
  <c r="BP23" i="6" s="1"/>
  <c r="S148" i="6"/>
  <c r="W148" i="6" s="1"/>
  <c r="X148" i="6" s="1"/>
  <c r="S132" i="6"/>
  <c r="W132" i="6" s="1"/>
  <c r="X132" i="6" s="1"/>
  <c r="W78" i="6"/>
  <c r="W81" i="6" s="1"/>
  <c r="W82" i="6" s="1"/>
  <c r="W92" i="6"/>
  <c r="W87" i="6"/>
  <c r="X158" i="6"/>
  <c r="N36" i="6"/>
  <c r="N28" i="6"/>
  <c r="N25" i="6"/>
  <c r="N24" i="6"/>
  <c r="N23" i="6"/>
  <c r="N22" i="6"/>
  <c r="N20" i="6"/>
  <c r="N44" i="6"/>
  <c r="N17" i="6"/>
  <c r="X92" i="6" l="1"/>
  <c r="Z11" i="6"/>
  <c r="X82" i="6" l="1"/>
  <c r="W105" i="6" l="1"/>
  <c r="W106" i="6" s="1"/>
  <c r="X106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  <author>DELL</author>
  </authors>
  <commentList>
    <comment ref="W4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Người dùng hiệu chỉnh thông tin theo bảng bên phải</t>
        </r>
      </text>
    </comment>
    <comment ref="T64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1" authorId="1" shapeId="0" xr:uid="{00000000-0006-0000-0100-000003000000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U91" authorId="1" shapeId="0" xr:uid="{00000000-0006-0000-0100-000004000000}">
      <text>
        <r>
          <rPr>
            <sz val="9"/>
            <color indexed="81"/>
            <rFont val="Tahoma"/>
            <family val="2"/>
          </rPr>
          <t>Toàn
TCVN 5574:2018
Tải trọng phân bố không đều  = 0.75</t>
        </r>
      </text>
    </comment>
    <comment ref="W122" authorId="1" shapeId="0" xr:uid="{A9505E63-59B4-434E-978F-0381310797E0}">
      <text>
        <r>
          <rPr>
            <sz val="9"/>
            <color indexed="81"/>
            <rFont val="Tahoma"/>
            <family val="2"/>
          </rPr>
          <t xml:space="preserve">Toàn
Trường hợp không thỏa thì tham khảo sheet L410.
</t>
        </r>
      </text>
    </comment>
  </commentList>
</comments>
</file>

<file path=xl/sharedStrings.xml><?xml version="1.0" encoding="utf-8"?>
<sst xmlns="http://schemas.openxmlformats.org/spreadsheetml/2006/main" count="1021" uniqueCount="475">
  <si>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</si>
  <si>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</si>
  <si>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</si>
  <si>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</si>
  <si>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</si>
  <si>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</si>
  <si>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</si>
  <si>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</si>
  <si>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</si>
  <si>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</si>
  <si>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</si>
  <si>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</si>
  <si>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</si>
  <si>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</si>
  <si>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</si>
  <si>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</si>
  <si>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</si>
  <si>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</si>
  <si>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</si>
  <si>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</si>
  <si>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</si>
  <si>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</si>
  <si>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</si>
  <si>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</si>
  <si>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</si>
  <si>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</si>
  <si>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</si>
  <si>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</si>
  <si>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</si>
  <si>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</si>
  <si>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</si>
  <si>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</si>
  <si>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</si>
  <si>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</si>
  <si>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</si>
  <si>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</si>
  <si>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</si>
  <si>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</si>
  <si>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</si>
  <si>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</si>
  <si>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</si>
  <si>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</si>
  <si>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</si>
  <si>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</si>
  <si>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</si>
  <si>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</si>
  <si>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</si>
  <si>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</si>
  <si>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</si>
  <si>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</si>
  <si>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</si>
  <si>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</si>
  <si>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</si>
  <si>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</si>
  <si>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</si>
  <si>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</si>
  <si>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</si>
  <si>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</si>
  <si>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</si>
  <si>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</si>
  <si>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</si>
  <si>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</si>
  <si>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</si>
  <si>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</si>
  <si>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</si>
  <si>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t>B25</t>
  </si>
  <si>
    <t>B30</t>
  </si>
  <si>
    <t>B35</t>
  </si>
  <si>
    <t>B40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</si>
  <si>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</si>
  <si>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t>kN</t>
  </si>
  <si>
    <t>kNm</t>
  </si>
  <si>
    <r>
      <t>L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</si>
  <si>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Ô bản</t>
  </si>
  <si>
    <t>3 cạnh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</si>
  <si>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</si>
  <si>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</si>
  <si>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</si>
  <si>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</si>
  <si>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</si>
  <si>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</si>
  <si>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</si>
  <si>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</si>
  <si>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</si>
  <si>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</si>
  <si>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</si>
  <si>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</si>
  <si>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</si>
  <si>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</si>
  <si>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</si>
  <si>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</si>
  <si>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</si>
  <si>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</si>
  <si>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</si>
  <si>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</si>
  <si>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</si>
  <si>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</si>
  <si>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</si>
  <si>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</si>
  <si>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</si>
  <si>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</si>
  <si>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</si>
  <si>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</si>
  <si>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</si>
  <si>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</si>
  <si>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</si>
  <si>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</si>
  <si>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</si>
  <si>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</si>
  <si>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</si>
  <si>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</si>
  <si>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</si>
  <si>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</si>
  <si>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</si>
  <si>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t>2.2 Bản đế &amp; Sườn đế</t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</si>
  <si>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3</t>
    </r>
  </si>
  <si>
    <t>d1</t>
  </si>
  <si>
    <t>a1</t>
  </si>
  <si>
    <r>
      <t>M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</si>
  <si>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kN.m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</si>
  <si>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</si>
  <si>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4. Kiểm tra chiều dày bản đế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</si>
  <si>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</si>
  <si>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</si>
  <si>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</si>
  <si>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</si>
  <si>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t>b =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</si>
  <si>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</si>
  <si>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</si>
  <si>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wf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</si>
  <si>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>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</si>
  <si>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</si>
  <si>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</si>
  <si>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</si>
  <si>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</si>
  <si>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</si>
  <si>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</si>
  <si>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</si>
  <si>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</si>
  <si>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</si>
  <si>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t>(kN)</t>
  </si>
  <si>
    <t>V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</si>
  <si>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</si>
  <si>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</si>
  <si>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</si>
  <si>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r>
      <t>V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</si>
  <si>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Sơ đồ tính sườn là dầm công xôn ngàm vào bản bụng(cánh) cột bằng 2 đường hàn liên kết</t>
  </si>
  <si>
    <r>
      <t>q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</si>
  <si>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kN/m</t>
  </si>
  <si>
    <r>
      <t>M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</si>
  <si>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</si>
  <si>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</si>
  <si>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</si>
  <si>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</si>
  <si>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/(1.15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</si>
  <si>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r>
      <rPr>
        <sz val="10"/>
        <color theme="1"/>
        <rFont val="Calibri"/>
        <family val="2"/>
      </rPr>
      <t>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</si>
  <si>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t>a. Kiểm tra độ bền cấu kiện</t>
  </si>
  <si>
    <t>b. Kiểm tra liên kết hàn của sườn với cấu kiện mục 14.1.17</t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</si>
  <si>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</si>
  <si>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</si>
  <si>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=2(h</t>
    </r>
    <r>
      <rPr>
        <vertAlign val="superscript"/>
        <sz val="10"/>
        <color theme="1"/>
        <rFont val="Calibri"/>
        <family val="2"/>
        <scheme val="minor"/>
      </rPr>
      <t>3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)/12=</t>
    </r>
  </si>
  <si>
    <r>
      <t>W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</si>
  <si>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f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wf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</si>
  <si>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r>
      <t>W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</si>
  <si>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s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ws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</si>
  <si>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t>2. Chiều sâu ngàm bu lông vào bê tông (Mục L.5)</t>
  </si>
  <si>
    <t>N42</t>
  </si>
  <si>
    <t>N46</t>
  </si>
  <si>
    <t>N50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</si>
  <si>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</si>
  <si>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M</t>
  </si>
  <si>
    <t>(kNm)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</si>
  <si>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max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N/(B.L)+6M/(B.L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</si>
  <si>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min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N/(B.L)-6M/(B.L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</si>
  <si>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</si>
  <si>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</si>
  <si>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2 cạnh</t>
  </si>
  <si>
    <r>
      <t>M</t>
    </r>
    <r>
      <rPr>
        <vertAlign val="subscript"/>
        <sz val="10"/>
        <color theme="1"/>
        <rFont val="Calibri"/>
        <family val="2"/>
        <scheme val="minor"/>
      </rPr>
      <t>max</t>
    </r>
  </si>
  <si>
    <t>(mm)</t>
  </si>
  <si>
    <t xml:space="preserve">s 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</si>
  <si>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</si>
  <si>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m</t>
  </si>
  <si>
    <r>
      <t>e</t>
    </r>
    <r>
      <rPr>
        <vertAlign val="subscript"/>
        <sz val="10"/>
        <color theme="1"/>
        <rFont val="Calibri"/>
        <family val="2"/>
        <scheme val="minor"/>
      </rPr>
      <t xml:space="preserve">0 </t>
    </r>
    <r>
      <rPr>
        <sz val="10"/>
        <color theme="1"/>
        <rFont val="Calibri"/>
        <family val="2"/>
        <scheme val="minor"/>
      </rPr>
      <t>=M/N=</t>
    </r>
  </si>
  <si>
    <t>c =</t>
  </si>
  <si>
    <t>x =</t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</si>
  <si>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s,el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</si>
  <si>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b2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</si>
  <si>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</si>
  <si>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t>x/[x] =</t>
  </si>
  <si>
    <r>
      <t>[x] =</t>
    </r>
    <r>
      <rPr>
        <sz val="10"/>
        <color theme="1"/>
        <rFont val="Symbol"/>
        <family val="1"/>
        <charset val="2"/>
      </rPr>
      <t>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</si>
  <si>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P=(R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x-N)/n =</t>
    </r>
  </si>
  <si>
    <t>Chiều dày</t>
  </si>
  <si>
    <t>Bề rộng
(mm)</t>
  </si>
  <si>
    <t>Chiều cao (mm)</t>
  </si>
  <si>
    <t>Đường hàn
(mm)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</si>
  <si>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</si>
  <si>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=M/h+N/2 =</t>
    </r>
  </si>
  <si>
    <t>A. THÔNG SỐ THIẾT KẾ</t>
  </si>
  <si>
    <t>B. TÍNH TOÁN</t>
  </si>
  <si>
    <t>Thông số bản đế</t>
  </si>
  <si>
    <t>Thông số lực</t>
  </si>
  <si>
    <t>Tên</t>
  </si>
  <si>
    <t>h</t>
  </si>
  <si>
    <t>b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</si>
  <si>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</si>
  <si>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</si>
  <si>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</si>
  <si>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</si>
  <si>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</si>
  <si>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Bu lông</t>
  </si>
  <si>
    <t>n</t>
  </si>
  <si>
    <t>CT1</t>
  </si>
  <si>
    <t>F</t>
  </si>
  <si>
    <t>B</t>
  </si>
  <si>
    <t>C</t>
  </si>
  <si>
    <t>P</t>
  </si>
  <si>
    <t>G</t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</si>
  <si>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</si>
  <si>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</si>
  <si>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</si>
  <si>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</si>
  <si>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</si>
  <si>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fu</t>
  </si>
  <si>
    <t>A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</si>
  <si>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</si>
  <si>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</si>
  <si>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</si>
  <si>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</si>
  <si>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</si>
  <si>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</si>
  <si>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</si>
  <si>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</si>
  <si>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</si>
  <si>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</si>
  <si>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</si>
  <si>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</si>
  <si>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</si>
  <si>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</si>
  <si>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CI</t>
  </si>
  <si>
    <t>M150</t>
  </si>
  <si>
    <t>B10</t>
  </si>
  <si>
    <t>CII</t>
  </si>
  <si>
    <t>M200</t>
  </si>
  <si>
    <t>B15</t>
  </si>
  <si>
    <t>C12/15</t>
  </si>
  <si>
    <t>CIII</t>
  </si>
  <si>
    <t>M250</t>
  </si>
  <si>
    <t>C16/20</t>
  </si>
  <si>
    <t>AI</t>
  </si>
  <si>
    <t>M350</t>
  </si>
  <si>
    <t>C20/25</t>
  </si>
  <si>
    <t>AII</t>
  </si>
  <si>
    <t>M400</t>
  </si>
  <si>
    <t>C25/30</t>
  </si>
  <si>
    <t>AIII</t>
  </si>
  <si>
    <t>M450</t>
  </si>
  <si>
    <t>C28/35</t>
  </si>
  <si>
    <t>CB240-T</t>
  </si>
  <si>
    <t>M500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</si>
  <si>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</si>
  <si>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</si>
  <si>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</si>
  <si>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</si>
  <si>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</si>
  <si>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</si>
  <si>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</si>
  <si>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</si>
  <si>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</si>
  <si>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</si>
  <si>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</si>
  <si>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</si>
  <si>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</si>
  <si>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</si>
  <si>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</si>
  <si>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</si>
  <si>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</si>
  <si>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</si>
  <si>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</si>
  <si>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</si>
  <si>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</si>
  <si>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</si>
  <si>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</si>
  <si>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</si>
  <si>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</si>
  <si>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</si>
  <si>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</si>
  <si>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</si>
  <si>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</si>
  <si>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Bảng E2</t>
  </si>
  <si>
    <t>Kê 4 cạnh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</si>
  <si>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</si>
  <si>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</si>
  <si>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a3</t>
  </si>
  <si>
    <t>Kê 3 cạnh</t>
  </si>
  <si>
    <t>a2</t>
  </si>
  <si>
    <t>Kiểm tra diện tích tiết diện ngang của bu lông</t>
  </si>
  <si>
    <t>e0</t>
  </si>
  <si>
    <t>La</t>
  </si>
  <si>
    <t>c</t>
  </si>
  <si>
    <t>x</t>
  </si>
  <si>
    <t>[x]</t>
  </si>
  <si>
    <t>x/[x]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</si>
  <si>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</si>
  <si>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t>D/C</t>
  </si>
  <si>
    <t>Check</t>
  </si>
  <si>
    <r>
      <t>A</t>
    </r>
    <r>
      <rPr>
        <vertAlign val="subscript"/>
        <sz val="10"/>
        <color rgb="FF0070C0"/>
        <rFont val="Calibri"/>
        <family val="2"/>
        <scheme val="minor"/>
      </rPr>
      <t>sa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</si>
  <si>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1"/>
        <color rgb="FF0070C0"/>
        <rFont val="Calibri"/>
        <family val="2"/>
      </rPr>
      <t>max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</si>
  <si>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1"/>
        <color rgb="FF0070C0"/>
        <rFont val="Calibri"/>
        <family val="2"/>
      </rPr>
      <t>min</t>
    </r>
  </si>
  <si>
    <t>Kiểm tra ứng suất
bản đế</t>
  </si>
  <si>
    <t>8. Kiểm tra đường hàn liên kết cột vào bản đế mục 14.1.16</t>
  </si>
  <si>
    <t>Bản đế</t>
  </si>
  <si>
    <t>Bề rộng</t>
  </si>
  <si>
    <t>Chiều dài</t>
  </si>
  <si>
    <t>X</t>
  </si>
  <si>
    <t>Y</t>
  </si>
  <si>
    <t>Chiều cao</t>
  </si>
  <si>
    <t>Cột I</t>
  </si>
  <si>
    <t>Bu lông 2 cánh</t>
  </si>
  <si>
    <t>Bu lông giữa cột</t>
  </si>
  <si>
    <t>Bu lông tăng cường</t>
  </si>
  <si>
    <t>ncột</t>
  </si>
  <si>
    <t>B+C</t>
  </si>
  <si>
    <t>Sườn cánh</t>
  </si>
  <si>
    <t>Sườn bụng</t>
  </si>
  <si>
    <t>EQ =</t>
  </si>
  <si>
    <t>Số cột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</si>
  <si>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</si>
  <si>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r>
      <t>n</t>
    </r>
    <r>
      <rPr>
        <vertAlign val="subscript"/>
        <sz val="10"/>
        <color theme="1"/>
        <rFont val="Calibri"/>
        <family val="2"/>
        <scheme val="minor"/>
      </rPr>
      <t>H</t>
    </r>
    <r>
      <rPr>
        <sz val="10"/>
        <color theme="1"/>
        <rFont val="Calibri"/>
        <family val="2"/>
        <scheme val="minor"/>
      </rPr>
      <t xml:space="preserve"> =</t>
    </r>
  </si>
  <si>
    <t>Số lượng</t>
  </si>
  <si>
    <t>Loại sườn
tăng cứng</t>
  </si>
  <si>
    <t>Bản bụng</t>
  </si>
  <si>
    <t>Bản cánh</t>
  </si>
  <si>
    <t>Tâm cột</t>
  </si>
  <si>
    <t>L3T</t>
  </si>
  <si>
    <t>L1T</t>
  </si>
  <si>
    <t>L2T</t>
  </si>
  <si>
    <t>L3P</t>
  </si>
  <si>
    <t>L2P</t>
  </si>
  <si>
    <t>L1P</t>
  </si>
  <si>
    <t>Số lượng bu lông</t>
  </si>
  <si>
    <t>Khoảng cách</t>
  </si>
  <si>
    <t>Phải</t>
  </si>
  <si>
    <t>Trọng tâm</t>
  </si>
  <si>
    <t>4.1 Tại khu vực bản bụng</t>
  </si>
  <si>
    <r>
      <t>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>=L/2+c =</t>
    </r>
  </si>
  <si>
    <t>4.1 Tại khu vực bản cánh</t>
  </si>
  <si>
    <t>1 cạnh</t>
  </si>
  <si>
    <t>-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</si>
  <si>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=(6M/(f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</si>
  <si>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6. Kiểm tra sườn đế liên kết bản bụng</t>
  </si>
  <si>
    <t>7. Kiểm tra sườn đế liên kết bản cánh</t>
  </si>
  <si>
    <t>M300</t>
  </si>
  <si>
    <t>B22.5</t>
  </si>
  <si>
    <t>C18/22.5</t>
  </si>
  <si>
    <r>
      <t>A</t>
    </r>
    <r>
      <rPr>
        <vertAlign val="subscript"/>
        <sz val="10"/>
        <color rgb="FF0070C0"/>
        <rFont val="Calibri"/>
        <family val="2"/>
        <scheme val="minor"/>
      </rPr>
      <t>sa</t>
    </r>
    <r>
      <rPr>
        <b/>
        <vertAlign val="subscript"/>
        <sz val="10"/>
        <color rgb="FF0070C0"/>
        <rFont val="Calibri"/>
        <family val="2"/>
        <scheme val="minor"/>
      </rPr>
      <t>,min</t>
    </r>
  </si>
  <si>
    <t>Kiểm tra bu lông neo chống trượt V</t>
  </si>
  <si>
    <r>
      <t>V</t>
    </r>
    <r>
      <rPr>
        <b/>
        <vertAlign val="subscript"/>
        <sz val="10"/>
        <color rgb="FF0070C0"/>
        <rFont val="Calibri"/>
        <family val="2"/>
      </rPr>
      <t>max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</si>
  <si>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</si>
  <si>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</si>
  <si>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</si>
  <si>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</si>
  <si>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</si>
  <si>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5. Kiểm tra bu lông neo chống lực trượt V đế cột với móng (SP-43.13330.2012-_Izmenenie-_4)</t>
  </si>
  <si>
    <t>TCVN 5574:2024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</si>
  <si>
    <t>Khả năng chống trượt của bu lông neo được tính toán theo phiên bản cập nhật sửa đổi 4 của SP43</t>
  </si>
  <si>
    <t>P =</t>
  </si>
  <si>
    <t>Q =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</si>
  <si>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</si>
  <si>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</si>
  <si>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</si>
  <si>
    <t>Tài liệu tham khảo:</t>
  </si>
  <si>
    <t>1. TCVN - 5575 - 2024 - Kết cấu thép - Tiêu chuẩn thiết kế</t>
  </si>
  <si>
    <t>2. TCVN - 5574 - 2018 - Kết cấu bê tông và bê tông cốt thép - Tiêu chuẩn thiết kế</t>
  </si>
  <si>
    <t>3. SP-43.13330.2012-_Izmenenie-_4 Сооружения промышленных предприятий (Bản sửa đổi 4)</t>
  </si>
  <si>
    <t>Thông số tiết diện thép</t>
  </si>
  <si>
    <t>2.1 Tiết diện I</t>
  </si>
  <si>
    <t>1.4 Bê tông</t>
  </si>
  <si>
    <t>THIẾT KẾ LIÊN KẾT ĐỈNH CỘT THEO TCVN 5575:2024</t>
  </si>
  <si>
    <t>BẢNG TỔNG HỢP CHI TIẾT  - THUYẾT MINH BẢN ĐẾ ĐỈNH CỘT</t>
  </si>
  <si>
    <t>Kích thước</t>
  </si>
  <si>
    <t>Label</t>
  </si>
  <si>
    <t>Uni.</t>
  </si>
  <si>
    <t>B. PHỤ LỤC TÍNH TOÁN</t>
  </si>
  <si>
    <t>Kiểm tra
(1)</t>
  </si>
  <si>
    <t>Kiểm tra (2)</t>
  </si>
  <si>
    <t>Kiểm tra (3)</t>
  </si>
  <si>
    <t>(1): Kiểm tra tiết diện ngang bu lông</t>
  </si>
  <si>
    <t>(2) Kiểm tra ứng suất bản đế</t>
  </si>
  <si>
    <t>(3) Kiểm tra bu lông neo chống trượt</t>
  </si>
  <si>
    <t>2479</t>
  </si>
  <si>
    <t>70</t>
  </si>
  <si>
    <t>670x250x20</t>
  </si>
  <si>
    <t>6M24</t>
  </si>
  <si>
    <t>OK</t>
  </si>
  <si>
    <t>Unique</t>
  </si>
  <si>
    <t>ULS2</t>
  </si>
  <si>
    <t>ULS3</t>
  </si>
  <si>
    <t>ULS4</t>
  </si>
  <si>
    <t>ULS5</t>
  </si>
  <si>
    <t>ULS6</t>
  </si>
  <si>
    <t>ULS7</t>
  </si>
  <si>
    <t>ULS8</t>
  </si>
  <si>
    <t>ULS9</t>
  </si>
  <si>
    <t>ULS10</t>
  </si>
  <si>
    <t>ULS11</t>
  </si>
  <si>
    <t>ULS12</t>
  </si>
  <si>
    <t>ULS13</t>
  </si>
  <si>
    <t>ULS14</t>
  </si>
  <si>
    <t>ULS15</t>
  </si>
  <si>
    <t>ULS16</t>
  </si>
  <si>
    <t>ULS17</t>
  </si>
  <si>
    <t>ULS18</t>
  </si>
  <si>
    <t>ULS19</t>
  </si>
  <si>
    <t>ULS20</t>
  </si>
  <si>
    <t>ULS21</t>
  </si>
  <si>
    <t>ULS22</t>
  </si>
  <si>
    <t>ULS23</t>
  </si>
  <si>
    <t>ULS24</t>
  </si>
  <si>
    <t>ULS25</t>
  </si>
  <si>
    <t>ULS26</t>
  </si>
  <si>
    <t>ULS27</t>
  </si>
  <si>
    <t>ULS28</t>
  </si>
  <si>
    <t>ULS29</t>
  </si>
  <si>
    <t>ULS30</t>
  </si>
  <si>
    <t>ULS31</t>
  </si>
  <si>
    <t>ULS32</t>
  </si>
  <si>
    <t>ULS33</t>
  </si>
  <si>
    <t>ULS34</t>
  </si>
  <si>
    <t>ULS35</t>
  </si>
  <si>
    <t>ULS36</t>
  </si>
  <si>
    <t>ULS37</t>
  </si>
  <si>
    <t>ULS38</t>
  </si>
  <si>
    <t>ULS39</t>
  </si>
  <si>
    <t>ULS40</t>
  </si>
  <si>
    <t>ULS41</t>
  </si>
  <si>
    <t>ULS42</t>
  </si>
  <si>
    <t>ULS43</t>
  </si>
  <si>
    <t>ULS44</t>
  </si>
  <si>
    <t>ULS45</t>
  </si>
  <si>
    <t>ULS46</t>
  </si>
  <si>
    <t>ULS47</t>
  </si>
  <si>
    <t>ULS48</t>
  </si>
  <si>
    <t>ULS49</t>
  </si>
  <si>
    <t>ULS50</t>
  </si>
  <si>
    <t>ULS51</t>
  </si>
  <si>
    <t>ULS52</t>
  </si>
  <si>
    <t>ULS53</t>
  </si>
  <si>
    <t>ULS54</t>
  </si>
  <si>
    <t>ULS55</t>
  </si>
  <si>
    <t>ULS56</t>
  </si>
  <si>
    <t>ULS57</t>
  </si>
  <si>
    <t>ULS58</t>
  </si>
  <si>
    <t>ULS59</t>
  </si>
  <si>
    <t>ULS60</t>
  </si>
  <si>
    <t>ULS61</t>
  </si>
  <si>
    <t>ULS62</t>
  </si>
  <si>
    <t>ULS63</t>
  </si>
  <si>
    <t>ULS64</t>
  </si>
  <si>
    <t>ULS65</t>
  </si>
  <si>
    <t>ULS66</t>
  </si>
  <si>
    <t>ULS67</t>
  </si>
  <si>
    <t>ULS68</t>
  </si>
  <si>
    <t>ULS69</t>
  </si>
  <si>
    <t>ULS70</t>
  </si>
  <si>
    <t>ULS71</t>
  </si>
  <si>
    <t>ULS72</t>
  </si>
  <si>
    <t>ULS73</t>
  </si>
  <si>
    <t>ULS74</t>
  </si>
  <si>
    <t>ULS75</t>
  </si>
  <si>
    <t>ULS76</t>
  </si>
  <si>
    <t>ULS77</t>
  </si>
  <si>
    <t>ULS78</t>
  </si>
  <si>
    <t>ULS79</t>
  </si>
  <si>
    <t>ULS80</t>
  </si>
  <si>
    <t>ULS81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</si>
</sst>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E+00"/>
    <numFmt numFmtId="167" formatCode="_(* #,##0_);_(* \(#,##0\);_(* &quot;-&quot;??_);_(@_)"/>
  </numFmts>
  <fonts count="6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color theme="1"/>
      <name val="Calibri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name val="Calibri"/>
      <family val="1"/>
      <charset val="2"/>
      <scheme val="minor"/>
    </font>
    <font>
      <sz val="16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u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sz val="10"/>
      <color rgb="FF0070C0"/>
      <name val="Arial"/>
      <family val="2"/>
    </font>
    <font>
      <b/>
      <vertAlign val="superscript"/>
      <sz val="10"/>
      <color rgb="FF0070C0"/>
      <name val="Calibri"/>
      <family val="2"/>
      <scheme val="minor"/>
    </font>
    <font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</font>
    <font>
      <b/>
      <sz val="10"/>
      <color rgb="FF0070C0"/>
      <name val="Symbol"/>
      <family val="1"/>
      <charset val="2"/>
    </font>
    <font>
      <b/>
      <vertAlign val="subscript"/>
      <sz val="11"/>
      <color rgb="FF0070C0"/>
      <name val="Calibri"/>
      <family val="2"/>
    </font>
    <font>
      <sz val="11"/>
      <color rgb="FF0000CC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b/>
      <vertAlign val="subscript"/>
      <sz val="10"/>
      <color rgb="FF0070C0"/>
      <name val="Calibri"/>
      <family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b/>
      <u/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8" fillId="0" borderId="0"/>
    <xf numFmtId="0" fontId="23" fillId="7" borderId="20" applyNumberFormat="0" applyAlignment="0" applyProtection="0"/>
    <xf numFmtId="0" fontId="32" fillId="0" borderId="0"/>
    <xf numFmtId="0" fontId="18" fillId="8" borderId="0" applyNumberFormat="0" applyBorder="0" applyAlignment="0" applyProtection="0"/>
    <xf numFmtId="0" fontId="43" fillId="0" borderId="0"/>
    <xf numFmtId="0" fontId="46" fillId="0" borderId="0"/>
    <xf numFmtId="0" fontId="50" fillId="0" borderId="0"/>
    <xf numFmtId="165" fontId="43" fillId="0" borderId="0" applyFont="0" applyFill="0" applyBorder="0" applyAlignment="0" applyProtection="0"/>
    <xf numFmtId="0" fontId="50" fillId="0" borderId="0"/>
  </cellStyleXfs>
  <cellXfs count="279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vertical="top"/>
    </xf>
    <xf numFmtId="0" fontId="2" fillId="2" borderId="17" xfId="0" applyFont="1" applyFill="1" applyBorder="1" applyAlignment="1">
      <alignment horizontal="left" indent="1"/>
    </xf>
    <xf numFmtId="0" fontId="1" fillId="2" borderId="17" xfId="0" applyFont="1" applyFill="1" applyBorder="1" applyAlignment="1">
      <alignment horizontal="left" vertical="top" indent="2"/>
    </xf>
    <xf numFmtId="0" fontId="1" fillId="2" borderId="16" xfId="0" applyFont="1" applyFill="1" applyBorder="1"/>
    <xf numFmtId="0" fontId="1" fillId="2" borderId="5" xfId="0" applyFont="1" applyFill="1" applyBorder="1"/>
    <xf numFmtId="1" fontId="1" fillId="2" borderId="13" xfId="0" applyNumberFormat="1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/>
    </xf>
    <xf numFmtId="0" fontId="10" fillId="2" borderId="16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2" borderId="6" xfId="0" applyFont="1" applyFill="1" applyBorder="1"/>
    <xf numFmtId="0" fontId="1" fillId="6" borderId="0" xfId="0" applyFont="1" applyFill="1"/>
    <xf numFmtId="0" fontId="25" fillId="2" borderId="17" xfId="0" applyFont="1" applyFill="1" applyBorder="1" applyAlignment="1">
      <alignment horizontal="left" indent="1"/>
    </xf>
    <xf numFmtId="0" fontId="21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1" fillId="2" borderId="16" xfId="0" applyFont="1" applyFill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/>
    <xf numFmtId="0" fontId="11" fillId="2" borderId="17" xfId="0" applyFont="1" applyFill="1" applyBorder="1" applyAlignment="1">
      <alignment horizontal="right" vertical="center"/>
    </xf>
    <xf numFmtId="0" fontId="34" fillId="2" borderId="13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2" fontId="12" fillId="2" borderId="13" xfId="0" applyNumberFormat="1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39" fillId="2" borderId="17" xfId="0" applyFont="1" applyFill="1" applyBorder="1" applyAlignment="1">
      <alignment horizontal="left" vertical="top" indent="2"/>
    </xf>
    <xf numFmtId="0" fontId="1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2" fillId="2" borderId="0" xfId="0" applyFont="1" applyFill="1"/>
    <xf numFmtId="0" fontId="8" fillId="2" borderId="0" xfId="0" applyFont="1" applyFill="1" applyAlignment="1">
      <alignment horizontal="center" vertical="center"/>
    </xf>
    <xf numFmtId="2" fontId="12" fillId="2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29" xfId="0" applyFont="1" applyFill="1" applyBorder="1" applyAlignment="1">
      <alignment horizontal="center" vertical="center"/>
    </xf>
    <xf numFmtId="1" fontId="8" fillId="2" borderId="29" xfId="0" applyNumberFormat="1" applyFont="1" applyFill="1" applyBorder="1" applyAlignment="1">
      <alignment horizontal="center" vertical="center"/>
    </xf>
    <xf numFmtId="1" fontId="1" fillId="2" borderId="29" xfId="0" applyNumberFormat="1" applyFont="1" applyFill="1" applyBorder="1" applyAlignment="1">
      <alignment horizontal="center" vertical="center"/>
    </xf>
    <xf numFmtId="164" fontId="1" fillId="2" borderId="29" xfId="0" applyNumberFormat="1" applyFont="1" applyFill="1" applyBorder="1" applyAlignment="1">
      <alignment horizontal="center" vertical="center"/>
    </xf>
    <xf numFmtId="2" fontId="1" fillId="2" borderId="29" xfId="0" applyNumberFormat="1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" fontId="8" fillId="2" borderId="30" xfId="0" applyNumberFormat="1" applyFont="1" applyFill="1" applyBorder="1" applyAlignment="1">
      <alignment horizontal="center" vertical="center"/>
    </xf>
    <xf numFmtId="164" fontId="1" fillId="2" borderId="30" xfId="0" applyNumberFormat="1" applyFont="1" applyFill="1" applyBorder="1" applyAlignment="1">
      <alignment horizontal="center" vertical="center"/>
    </xf>
    <xf numFmtId="2" fontId="1" fillId="2" borderId="30" xfId="0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/>
    <xf numFmtId="165" fontId="12" fillId="2" borderId="0" xfId="0" applyNumberFormat="1" applyFont="1" applyFill="1" applyAlignment="1">
      <alignment horizontal="center" vertical="center"/>
    </xf>
    <xf numFmtId="0" fontId="17" fillId="3" borderId="17" xfId="0" applyFont="1" applyFill="1" applyBorder="1" applyAlignment="1">
      <alignment horizontal="centerContinuous"/>
    </xf>
    <xf numFmtId="0" fontId="17" fillId="3" borderId="0" xfId="0" applyFont="1" applyFill="1" applyAlignment="1">
      <alignment horizontal="centerContinuous"/>
    </xf>
    <xf numFmtId="0" fontId="15" fillId="3" borderId="17" xfId="0" applyFont="1" applyFill="1" applyBorder="1" applyAlignment="1">
      <alignment horizontal="centerContinuous"/>
    </xf>
    <xf numFmtId="0" fontId="15" fillId="3" borderId="0" xfId="0" applyFont="1" applyFill="1" applyAlignment="1">
      <alignment horizontal="centerContinuous"/>
    </xf>
    <xf numFmtId="0" fontId="41" fillId="2" borderId="0" xfId="0" applyFont="1" applyFill="1" applyAlignment="1">
      <alignment horizontal="left" indent="1"/>
    </xf>
    <xf numFmtId="0" fontId="1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0" fontId="19" fillId="4" borderId="1" xfId="0" applyFont="1" applyFill="1" applyBorder="1"/>
    <xf numFmtId="0" fontId="19" fillId="4" borderId="3" xfId="0" applyFont="1" applyFill="1" applyBorder="1"/>
    <xf numFmtId="0" fontId="19" fillId="4" borderId="4" xfId="0" applyFont="1" applyFill="1" applyBorder="1"/>
    <xf numFmtId="0" fontId="19" fillId="4" borderId="6" xfId="0" applyFont="1" applyFill="1" applyBorder="1"/>
    <xf numFmtId="0" fontId="19" fillId="4" borderId="28" xfId="0" applyFont="1" applyFill="1" applyBorder="1" applyAlignment="1">
      <alignment horizontal="center" vertical="top"/>
    </xf>
    <xf numFmtId="2" fontId="19" fillId="4" borderId="13" xfId="0" applyNumberFormat="1" applyFont="1" applyFill="1" applyBorder="1" applyAlignment="1">
      <alignment horizontal="center"/>
    </xf>
    <xf numFmtId="2" fontId="19" fillId="4" borderId="13" xfId="0" applyNumberFormat="1" applyFont="1" applyFill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0" fontId="12" fillId="2" borderId="13" xfId="0" applyFont="1" applyFill="1" applyBorder="1"/>
    <xf numFmtId="2" fontId="12" fillId="2" borderId="13" xfId="0" applyNumberFormat="1" applyFont="1" applyFill="1" applyBorder="1"/>
    <xf numFmtId="165" fontId="12" fillId="2" borderId="13" xfId="0" applyNumberFormat="1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44" fillId="5" borderId="13" xfId="5" applyFont="1" applyFill="1" applyBorder="1" applyAlignment="1">
      <alignment horizontal="center" vertical="center" wrapText="1"/>
    </xf>
    <xf numFmtId="0" fontId="47" fillId="9" borderId="13" xfId="6" applyFont="1" applyFill="1" applyBorder="1" applyAlignment="1">
      <alignment horizontal="center" vertical="center"/>
    </xf>
    <xf numFmtId="0" fontId="48" fillId="9" borderId="13" xfId="0" applyFont="1" applyFill="1" applyBorder="1" applyAlignment="1">
      <alignment horizontal="center" vertical="center"/>
    </xf>
    <xf numFmtId="0" fontId="48" fillId="9" borderId="13" xfId="0" applyFont="1" applyFill="1" applyBorder="1" applyAlignment="1">
      <alignment vertical="center"/>
    </xf>
    <xf numFmtId="0" fontId="47" fillId="9" borderId="25" xfId="7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44" fillId="5" borderId="13" xfId="5" applyFont="1" applyFill="1" applyBorder="1" applyAlignment="1">
      <alignment vertical="center"/>
    </xf>
    <xf numFmtId="0" fontId="47" fillId="9" borderId="25" xfId="6" applyFont="1" applyFill="1" applyBorder="1" applyAlignment="1">
      <alignment horizontal="center" vertical="center"/>
    </xf>
    <xf numFmtId="0" fontId="52" fillId="0" borderId="32" xfId="5" applyFont="1" applyBorder="1" applyAlignment="1" applyProtection="1">
      <alignment horizontal="center" vertical="center"/>
      <protection hidden="1"/>
    </xf>
    <xf numFmtId="0" fontId="0" fillId="0" borderId="27" xfId="0" applyBorder="1" applyAlignment="1">
      <alignment horizontal="center" vertical="center"/>
    </xf>
    <xf numFmtId="167" fontId="32" fillId="0" borderId="27" xfId="8" applyNumberFormat="1" applyFont="1" applyBorder="1" applyAlignment="1" applyProtection="1">
      <alignment horizontal="center" vertical="center"/>
      <protection hidden="1"/>
    </xf>
    <xf numFmtId="165" fontId="32" fillId="0" borderId="27" xfId="5" applyNumberFormat="1" applyFont="1" applyBorder="1" applyAlignment="1" applyProtection="1">
      <alignment horizontal="center" vertical="center"/>
      <protection hidden="1"/>
    </xf>
    <xf numFmtId="2" fontId="32" fillId="0" borderId="27" xfId="5" applyNumberFormat="1" applyFont="1" applyBorder="1" applyAlignment="1" applyProtection="1">
      <alignment horizontal="center" vertical="center"/>
      <protection hidden="1"/>
    </xf>
    <xf numFmtId="2" fontId="32" fillId="0" borderId="4" xfId="5" applyNumberFormat="1" applyFont="1" applyBorder="1" applyAlignment="1" applyProtection="1">
      <alignment horizontal="center" vertical="center"/>
      <protection hidden="1"/>
    </xf>
    <xf numFmtId="0" fontId="52" fillId="0" borderId="33" xfId="5" applyFont="1" applyBorder="1" applyAlignment="1" applyProtection="1">
      <alignment horizontal="center" vertical="center"/>
      <protection hidden="1"/>
    </xf>
    <xf numFmtId="167" fontId="32" fillId="0" borderId="13" xfId="8" applyNumberFormat="1" applyFont="1" applyBorder="1" applyAlignment="1" applyProtection="1">
      <alignment horizontal="center" vertical="center"/>
      <protection hidden="1"/>
    </xf>
    <xf numFmtId="165" fontId="32" fillId="0" borderId="13" xfId="5" applyNumberFormat="1" applyFont="1" applyBorder="1" applyAlignment="1" applyProtection="1">
      <alignment horizontal="center" vertical="center"/>
      <protection hidden="1"/>
    </xf>
    <xf numFmtId="2" fontId="32" fillId="0" borderId="13" xfId="5" applyNumberFormat="1" applyFont="1" applyBorder="1" applyAlignment="1" applyProtection="1">
      <alignment horizontal="center" vertical="center"/>
      <protection hidden="1"/>
    </xf>
    <xf numFmtId="2" fontId="32" fillId="0" borderId="25" xfId="5" applyNumberFormat="1" applyFont="1" applyBorder="1" applyAlignment="1" applyProtection="1">
      <alignment horizontal="center" vertical="center"/>
      <protection hidden="1"/>
    </xf>
    <xf numFmtId="0" fontId="52" fillId="0" borderId="34" xfId="5" applyFont="1" applyBorder="1" applyAlignment="1" applyProtection="1">
      <alignment horizontal="center" vertical="center"/>
      <protection hidden="1"/>
    </xf>
    <xf numFmtId="0" fontId="0" fillId="0" borderId="35" xfId="0" applyBorder="1" applyAlignment="1">
      <alignment horizontal="center" vertical="center"/>
    </xf>
    <xf numFmtId="167" fontId="32" fillId="0" borderId="35" xfId="8" applyNumberFormat="1" applyFont="1" applyBorder="1" applyAlignment="1" applyProtection="1">
      <alignment horizontal="center" vertical="center"/>
      <protection hidden="1"/>
    </xf>
    <xf numFmtId="165" fontId="32" fillId="0" borderId="35" xfId="5" applyNumberFormat="1" applyFont="1" applyBorder="1" applyAlignment="1" applyProtection="1">
      <alignment horizontal="center" vertical="center"/>
      <protection hidden="1"/>
    </xf>
    <xf numFmtId="2" fontId="32" fillId="0" borderId="35" xfId="5" applyNumberFormat="1" applyFont="1" applyBorder="1" applyAlignment="1" applyProtection="1">
      <alignment horizontal="center" vertical="center"/>
      <protection hidden="1"/>
    </xf>
    <xf numFmtId="2" fontId="32" fillId="0" borderId="36" xfId="5" applyNumberFormat="1" applyFont="1" applyBorder="1" applyAlignment="1" applyProtection="1">
      <alignment horizontal="center" vertical="center"/>
      <protection hidden="1"/>
    </xf>
    <xf numFmtId="1" fontId="32" fillId="2" borderId="13" xfId="7" applyNumberFormat="1" applyFont="1" applyFill="1" applyBorder="1" applyAlignment="1">
      <alignment vertical="center"/>
    </xf>
    <xf numFmtId="1" fontId="32" fillId="2" borderId="13" xfId="7" applyNumberFormat="1" applyFont="1" applyFill="1" applyBorder="1" applyAlignment="1">
      <alignment horizontal="center" vertical="center"/>
    </xf>
    <xf numFmtId="0" fontId="32" fillId="2" borderId="13" xfId="7" applyFont="1" applyFill="1" applyBorder="1" applyAlignment="1">
      <alignment vertical="center"/>
    </xf>
    <xf numFmtId="0" fontId="32" fillId="2" borderId="25" xfId="7" applyFont="1" applyFill="1" applyBorder="1" applyAlignment="1">
      <alignment vertical="center"/>
    </xf>
    <xf numFmtId="0" fontId="32" fillId="2" borderId="13" xfId="7" applyFont="1" applyFill="1" applyBorder="1" applyAlignment="1">
      <alignment horizontal="center" vertical="center"/>
    </xf>
    <xf numFmtId="0" fontId="32" fillId="2" borderId="13" xfId="6" applyFont="1" applyFill="1" applyBorder="1" applyAlignment="1">
      <alignment horizontal="left" vertical="center"/>
    </xf>
    <xf numFmtId="0" fontId="32" fillId="2" borderId="13" xfId="6" applyFont="1" applyFill="1" applyBorder="1" applyAlignment="1">
      <alignment horizontal="center" vertical="center"/>
    </xf>
    <xf numFmtId="0" fontId="32" fillId="2" borderId="25" xfId="6" applyFont="1" applyFill="1" applyBorder="1" applyAlignment="1">
      <alignment horizontal="left" vertical="center"/>
    </xf>
    <xf numFmtId="0" fontId="32" fillId="2" borderId="25" xfId="7" applyFont="1" applyFill="1" applyBorder="1" applyAlignment="1">
      <alignment horizontal="left" vertical="center"/>
    </xf>
    <xf numFmtId="0" fontId="32" fillId="2" borderId="25" xfId="9" applyFont="1" applyFill="1" applyBorder="1" applyAlignment="1">
      <alignment horizontal="left" vertical="center"/>
    </xf>
    <xf numFmtId="0" fontId="33" fillId="2" borderId="13" xfId="3" applyFont="1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>
      <alignment horizontal="center" vertical="center"/>
    </xf>
    <xf numFmtId="2" fontId="1" fillId="2" borderId="13" xfId="0" applyNumberFormat="1" applyFont="1" applyFill="1" applyBorder="1"/>
    <xf numFmtId="0" fontId="1" fillId="2" borderId="13" xfId="0" applyFont="1" applyFill="1" applyBorder="1"/>
    <xf numFmtId="1" fontId="1" fillId="2" borderId="13" xfId="0" applyNumberFormat="1" applyFont="1" applyFill="1" applyBorder="1"/>
    <xf numFmtId="0" fontId="10" fillId="2" borderId="13" xfId="0" applyFont="1" applyFill="1" applyBorder="1" applyAlignment="1">
      <alignment horizontal="center" vertical="center"/>
    </xf>
    <xf numFmtId="2" fontId="1" fillId="2" borderId="13" xfId="0" applyNumberFormat="1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/>
    </xf>
    <xf numFmtId="0" fontId="55" fillId="4" borderId="13" xfId="0" applyFont="1" applyFill="1" applyBorder="1" applyAlignment="1">
      <alignment horizontal="center" vertical="center"/>
    </xf>
    <xf numFmtId="1" fontId="8" fillId="2" borderId="13" xfId="0" applyNumberFormat="1" applyFont="1" applyFill="1" applyBorder="1" applyAlignment="1">
      <alignment horizontal="center" vertical="center"/>
    </xf>
    <xf numFmtId="0" fontId="0" fillId="4" borderId="0" xfId="0" applyFill="1"/>
    <xf numFmtId="0" fontId="58" fillId="4" borderId="0" xfId="0" applyFont="1" applyFill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right" vertical="top"/>
    </xf>
    <xf numFmtId="0" fontId="12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59" fillId="4" borderId="0" xfId="0" applyFont="1" applyFill="1"/>
    <xf numFmtId="0" fontId="1" fillId="4" borderId="0" xfId="0" applyFont="1" applyFill="1" applyAlignment="1">
      <alignment horizontal="center" vertical="center"/>
    </xf>
    <xf numFmtId="0" fontId="59" fillId="4" borderId="0" xfId="0" applyFont="1" applyFill="1" applyAlignment="1">
      <alignment horizontal="right" vertical="center"/>
    </xf>
    <xf numFmtId="0" fontId="1" fillId="4" borderId="13" xfId="0" applyFont="1" applyFill="1" applyBorder="1" applyAlignment="1">
      <alignment horizontal="center" vertical="center"/>
    </xf>
    <xf numFmtId="0" fontId="18" fillId="4" borderId="13" xfId="4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1" fontId="8" fillId="2" borderId="31" xfId="0" applyNumberFormat="1" applyFont="1" applyFill="1" applyBorder="1" applyAlignment="1">
      <alignment horizontal="center" vertical="center"/>
    </xf>
    <xf numFmtId="1" fontId="1" fillId="2" borderId="31" xfId="0" applyNumberFormat="1" applyFont="1" applyFill="1" applyBorder="1" applyAlignment="1">
      <alignment horizontal="center" vertical="center"/>
    </xf>
    <xf numFmtId="164" fontId="1" fillId="2" borderId="31" xfId="0" applyNumberFormat="1" applyFont="1" applyFill="1" applyBorder="1" applyAlignment="1">
      <alignment horizontal="center" vertical="center"/>
    </xf>
    <xf numFmtId="2" fontId="1" fillId="2" borderId="31" xfId="0" applyNumberFormat="1" applyFont="1" applyFill="1" applyBorder="1" applyAlignment="1">
      <alignment horizontal="center" vertical="center"/>
    </xf>
    <xf numFmtId="0" fontId="60" fillId="4" borderId="27" xfId="0" applyFont="1" applyFill="1" applyBorder="1" applyAlignment="1">
      <alignment horizontal="center" vertical="top"/>
    </xf>
    <xf numFmtId="165" fontId="8" fillId="2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2" fillId="2" borderId="0" xfId="0" applyFont="1" applyFill="1" applyAlignment="1">
      <alignment horizontal="right" vertical="center"/>
    </xf>
    <xf numFmtId="0" fontId="29" fillId="2" borderId="0" xfId="0" applyFont="1" applyFill="1"/>
    <xf numFmtId="0" fontId="1" fillId="2" borderId="0" xfId="0" applyFont="1" applyFill="1" applyAlignment="1">
      <alignment horizontal="right"/>
    </xf>
    <xf numFmtId="1" fontId="1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2" fontId="8" fillId="2" borderId="0" xfId="0" applyNumberFormat="1" applyFont="1" applyFill="1" applyAlignment="1">
      <alignment horizontal="center" vertical="center"/>
    </xf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right" vertical="top"/>
    </xf>
    <xf numFmtId="0" fontId="11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horizontal="center" vertical="center"/>
    </xf>
    <xf numFmtId="2" fontId="24" fillId="7" borderId="20" xfId="2" applyNumberFormat="1" applyFont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165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2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right" vertical="center"/>
    </xf>
    <xf numFmtId="2" fontId="35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right" vertical="center"/>
    </xf>
    <xf numFmtId="2" fontId="1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right" vertical="center"/>
    </xf>
    <xf numFmtId="166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10" fillId="2" borderId="0" xfId="0" applyFont="1" applyFill="1" applyAlignment="1">
      <alignment horizontal="left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62" fillId="5" borderId="10" xfId="0" applyFont="1" applyFill="1" applyBorder="1" applyAlignment="1">
      <alignment horizontal="center"/>
    </xf>
    <xf numFmtId="0" fontId="15" fillId="5" borderId="46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8" fillId="11" borderId="13" xfId="0" applyFont="1" applyFill="1" applyBorder="1" applyAlignment="1">
      <alignment horizontal="center"/>
    </xf>
    <xf numFmtId="0" fontId="1" fillId="11" borderId="13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1" fillId="11" borderId="38" xfId="0" applyFont="1" applyFill="1" applyBorder="1" applyAlignment="1">
      <alignment horizontal="center" vertical="center"/>
    </xf>
    <xf numFmtId="0" fontId="1" fillId="11" borderId="39" xfId="0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5" fillId="11" borderId="28" xfId="0" applyFont="1" applyFill="1" applyBorder="1" applyAlignment="1">
      <alignment horizontal="center" vertical="center"/>
    </xf>
    <xf numFmtId="1" fontId="8" fillId="11" borderId="27" xfId="0" applyNumberFormat="1" applyFont="1" applyFill="1" applyBorder="1" applyAlignment="1">
      <alignment horizontal="center" vertical="center"/>
    </xf>
    <xf numFmtId="2" fontId="1" fillId="11" borderId="27" xfId="0" applyNumberFormat="1" applyFont="1" applyFill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2" borderId="0" xfId="0" quotePrefix="1" applyFont="1" applyFill="1"/>
    <xf numFmtId="0" fontId="12" fillId="2" borderId="13" xfId="0" applyFont="1" applyFill="1" applyBorder="1" applyAlignment="1">
      <alignment horizontal="left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Continuous" vertical="center"/>
    </xf>
    <xf numFmtId="0" fontId="15" fillId="3" borderId="0" xfId="0" applyFont="1" applyFill="1" applyAlignment="1">
      <alignment horizontal="centerContinuous" vertical="center"/>
    </xf>
    <xf numFmtId="0" fontId="39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17" xfId="0" applyFont="1" applyFill="1" applyBorder="1" applyAlignment="1">
      <alignment horizontal="left" indent="1"/>
    </xf>
    <xf numFmtId="0" fontId="1" fillId="2" borderId="4" xfId="0" applyFont="1" applyFill="1" applyBorder="1" applyAlignment="1">
      <alignment horizontal="left" indent="1"/>
    </xf>
    <xf numFmtId="0" fontId="19" fillId="4" borderId="13" xfId="0" applyFont="1" applyFill="1" applyBorder="1" applyAlignment="1">
      <alignment horizontal="center" vertical="center" wrapText="1"/>
    </xf>
    <xf numFmtId="0" fontId="41" fillId="2" borderId="0" xfId="0" applyFont="1" applyFill="1" applyAlignment="1">
      <alignment horizontal="center" vertical="center"/>
    </xf>
    <xf numFmtId="0" fontId="12" fillId="2" borderId="41" xfId="0" applyFont="1" applyFill="1" applyBorder="1" applyAlignment="1">
      <alignment horizontal="center" vertical="center"/>
    </xf>
    <xf numFmtId="0" fontId="12" fillId="2" borderId="42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vertical="center" wrapText="1"/>
    </xf>
    <xf numFmtId="0" fontId="64" fillId="2" borderId="0" xfId="0" applyFont="1" applyFill="1" applyAlignment="1">
      <alignment horizontal="left" indent="1"/>
    </xf>
    <xf numFmtId="0" fontId="8" fillId="11" borderId="13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19" fillId="4" borderId="18" xfId="0" applyFont="1" applyFill="1" applyBorder="1" applyAlignment="1">
      <alignment horizontal="left" vertical="center"/>
    </xf>
    <xf numFmtId="0" fontId="19" fillId="4" borderId="19" xfId="0" applyFont="1" applyFill="1" applyBorder="1" applyAlignment="1">
      <alignment horizontal="left" vertical="center"/>
    </xf>
    <xf numFmtId="0" fontId="1" fillId="2" borderId="17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16" xfId="0" applyFont="1" applyFill="1" applyBorder="1" applyAlignment="1">
      <alignment horizontal="left" wrapText="1" indent="2"/>
    </xf>
    <xf numFmtId="2" fontId="19" fillId="4" borderId="28" xfId="0" applyNumberFormat="1" applyFont="1" applyFill="1" applyBorder="1" applyAlignment="1">
      <alignment horizontal="center" vertical="center"/>
    </xf>
    <xf numFmtId="2" fontId="19" fillId="4" borderId="27" xfId="0" applyNumberFormat="1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 wrapText="1"/>
    </xf>
    <xf numFmtId="0" fontId="1" fillId="11" borderId="13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/>
    </xf>
    <xf numFmtId="0" fontId="1" fillId="2" borderId="43" xfId="0" applyFont="1" applyFill="1" applyBorder="1" applyAlignment="1">
      <alignment horizontal="left" vertical="top" indent="1"/>
    </xf>
    <xf numFmtId="0" fontId="1" fillId="2" borderId="44" xfId="0" applyFont="1" applyFill="1" applyBorder="1" applyAlignment="1">
      <alignment horizontal="left" vertical="top" indent="1"/>
    </xf>
    <xf numFmtId="1" fontId="1" fillId="2" borderId="44" xfId="0" applyNumberFormat="1" applyFont="1" applyFill="1" applyBorder="1" applyAlignment="1">
      <alignment horizontal="center" vertical="center"/>
    </xf>
    <xf numFmtId="0" fontId="1" fillId="11" borderId="37" xfId="0" applyFont="1" applyFill="1" applyBorder="1" applyAlignment="1">
      <alignment horizontal="left" vertical="top" indent="1"/>
    </xf>
    <xf numFmtId="0" fontId="1" fillId="11" borderId="38" xfId="0" applyFont="1" applyFill="1" applyBorder="1" applyAlignment="1">
      <alignment horizontal="left" vertical="top" indent="1"/>
    </xf>
    <xf numFmtId="1" fontId="1" fillId="2" borderId="45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11" borderId="27" xfId="0" applyFont="1" applyFill="1" applyBorder="1" applyAlignment="1">
      <alignment horizontal="center" vertical="center"/>
    </xf>
    <xf numFmtId="0" fontId="11" fillId="11" borderId="28" xfId="0" applyFont="1" applyFill="1" applyBorder="1" applyAlignment="1">
      <alignment horizontal="center" vertical="center"/>
    </xf>
    <xf numFmtId="0" fontId="11" fillId="11" borderId="27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 wrapText="1"/>
    </xf>
    <xf numFmtId="2" fontId="19" fillId="4" borderId="28" xfId="0" applyNumberFormat="1" applyFont="1" applyFill="1" applyBorder="1" applyAlignment="1">
      <alignment horizontal="center" vertical="center" wrapText="1"/>
    </xf>
    <xf numFmtId="2" fontId="19" fillId="4" borderId="27" xfId="0" applyNumberFormat="1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center" vertical="center"/>
    </xf>
    <xf numFmtId="0" fontId="19" fillId="4" borderId="6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top" wrapText="1"/>
    </xf>
    <xf numFmtId="2" fontId="19" fillId="4" borderId="13" xfId="0" applyNumberFormat="1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left" vertical="center"/>
    </xf>
    <xf numFmtId="0" fontId="8" fillId="11" borderId="25" xfId="0" applyFont="1" applyFill="1" applyBorder="1" applyAlignment="1">
      <alignment horizontal="center" vertical="top" wrapText="1"/>
    </xf>
    <xf numFmtId="0" fontId="8" fillId="11" borderId="47" xfId="0" applyFont="1" applyFill="1" applyBorder="1" applyAlignment="1">
      <alignment horizontal="center" vertical="top" wrapText="1"/>
    </xf>
    <xf numFmtId="0" fontId="1" fillId="2" borderId="40" xfId="0" applyFont="1" applyFill="1" applyBorder="1" applyAlignment="1">
      <alignment horizontal="left" vertical="top" indent="1"/>
    </xf>
    <xf numFmtId="0" fontId="1" fillId="2" borderId="41" xfId="0" applyFont="1" applyFill="1" applyBorder="1" applyAlignment="1">
      <alignment horizontal="left" vertical="top" indent="1"/>
    </xf>
    <xf numFmtId="0" fontId="8" fillId="11" borderId="13" xfId="0" applyFont="1" applyFill="1" applyBorder="1" applyAlignment="1">
      <alignment horizontal="center" vertical="top"/>
    </xf>
    <xf numFmtId="0" fontId="19" fillId="4" borderId="25" xfId="0" applyFont="1" applyFill="1" applyBorder="1" applyAlignment="1">
      <alignment horizontal="left" vertical="center"/>
    </xf>
    <xf numFmtId="0" fontId="19" fillId="4" borderId="26" xfId="0" applyFont="1" applyFill="1" applyBorder="1" applyAlignment="1">
      <alignment horizontal="left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47" fillId="9" borderId="1" xfId="6" applyFont="1" applyFill="1" applyBorder="1" applyAlignment="1">
      <alignment horizontal="center" vertical="center"/>
    </xf>
    <xf numFmtId="0" fontId="47" fillId="9" borderId="2" xfId="6" applyFont="1" applyFill="1" applyBorder="1" applyAlignment="1">
      <alignment horizontal="center" vertical="center"/>
    </xf>
    <xf numFmtId="0" fontId="47" fillId="9" borderId="17" xfId="6" applyFont="1" applyFill="1" applyBorder="1" applyAlignment="1">
      <alignment horizontal="center" vertical="center"/>
    </xf>
    <xf numFmtId="0" fontId="47" fillId="9" borderId="0" xfId="6" applyFont="1" applyFill="1" applyAlignment="1">
      <alignment horizontal="center" vertical="center"/>
    </xf>
    <xf numFmtId="0" fontId="15" fillId="5" borderId="13" xfId="0" applyFont="1" applyFill="1" applyBorder="1" applyAlignment="1">
      <alignment horizontal="center"/>
    </xf>
    <xf numFmtId="0" fontId="44" fillId="5" borderId="13" xfId="5" applyFont="1" applyFill="1" applyBorder="1" applyAlignment="1">
      <alignment horizontal="center" vertical="center" wrapText="1"/>
    </xf>
    <xf numFmtId="0" fontId="47" fillId="9" borderId="13" xfId="6" applyFont="1" applyFill="1" applyBorder="1" applyAlignment="1">
      <alignment horizontal="center" vertical="center"/>
    </xf>
    <xf numFmtId="0" fontId="44" fillId="5" borderId="28" xfId="5" applyFont="1" applyFill="1" applyBorder="1" applyAlignment="1">
      <alignment horizontal="center" vertical="center"/>
    </xf>
    <xf numFmtId="0" fontId="44" fillId="5" borderId="27" xfId="5" applyFont="1" applyFill="1" applyBorder="1" applyAlignment="1">
      <alignment horizontal="center" vertical="center"/>
    </xf>
    <xf numFmtId="0" fontId="44" fillId="5" borderId="4" xfId="5" applyFont="1" applyFill="1" applyBorder="1" applyAlignment="1">
      <alignment horizontal="center" vertical="center" wrapText="1"/>
    </xf>
    <xf numFmtId="0" fontId="44" fillId="5" borderId="5" xfId="5" applyFont="1" applyFill="1" applyBorder="1" applyAlignment="1">
      <alignment horizontal="center" vertical="center" wrapText="1"/>
    </xf>
    <xf numFmtId="0" fontId="44" fillId="5" borderId="13" xfId="5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wrapText="1"/>
    </xf>
    <xf numFmtId="0" fontId="15" fillId="5" borderId="24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 wrapText="1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5" borderId="21" xfId="0" applyFont="1" applyFill="1" applyBorder="1" applyAlignment="1">
      <alignment horizontal="center"/>
    </xf>
    <xf numFmtId="0" fontId="15" fillId="5" borderId="22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/>
    </xf>
    <xf numFmtId="0" fontId="0" fillId="4" borderId="0" xfId="0" applyFill="1" applyAlignment="1">
      <alignment horizontal="center" vertical="center" wrapText="1"/>
    </xf>
  </cellXfs>
  <cellStyles count="10">
    <cellStyle name="20% - Accent1" xfId="4" builtinId="30"/>
    <cellStyle name="Calculation" xfId="2" builtinId="22"/>
    <cellStyle name="Comma 2" xfId="8" xr:uid="{00000000-0005-0000-0000-000003000000}"/>
    <cellStyle name="Normal" xfId="0" builtinId="0"/>
    <cellStyle name="Normal 2" xfId="7" xr:uid="{00000000-0005-0000-0000-000006000000}"/>
    <cellStyle name="Normal 2 2" xfId="9" xr:uid="{00000000-0005-0000-0000-000007000000}"/>
    <cellStyle name="Normal 3" xfId="3" xr:uid="{00000000-0005-0000-0000-000008000000}"/>
    <cellStyle name="Normal 5" xfId="5" xr:uid="{00000000-0005-0000-0000-000009000000}"/>
    <cellStyle name="Normal 6" xfId="1" xr:uid="{00000000-0005-0000-0000-00000A000000}"/>
    <cellStyle name="Normal_Sheet3" xfId="6" xr:uid="{00000000-0005-0000-0000-00000B000000}"/>
  </cellStyles>
  <dxfs count="16">
    <dxf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Pic!$E$10:$G$10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Pic!$E$11:$G$11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36-4F19-86A4-FE05DA05CF2B}"/>
            </c:ext>
          </c:extLst>
        </c:ser>
        <c:ser>
          <c:idx val="5"/>
          <c:order val="1"/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76200">
                <a:noFill/>
              </a:ln>
              <a:effectLst/>
            </c:spPr>
          </c:marker>
          <c:xVal>
            <c:numRef>
              <c:f>Pic!$H$10:$J$10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Pic!$H$11:$J$11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36-4F19-86A4-FE05DA05CF2B}"/>
            </c:ext>
          </c:extLst>
        </c:ser>
        <c:ser>
          <c:idx val="6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Pic!$E$14:$F$14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Pic!$E$15:$F$15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36-4F19-86A4-FE05DA05CF2B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Pic!$E$18:$F$18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Pic!$E$19:$F$19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36-4F19-86A4-FE05DA05CF2B}"/>
            </c:ext>
          </c:extLst>
        </c:ser>
        <c:ser>
          <c:idx val="8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Pic!$H$18:$I$18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Pic!$H$19:$I$19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36-4F19-86A4-FE05DA05CF2B}"/>
            </c:ext>
          </c:extLst>
        </c:ser>
        <c:ser>
          <c:idx val="9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Pic!$E$22:$F$22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Pic!$E$23:$F$23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D7-4F83-BC98-A2B44887D865}"/>
            </c:ext>
          </c:extLst>
        </c:ser>
        <c:ser>
          <c:idx val="10"/>
          <c:order val="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Pic!$H$22:$I$22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Pic!$H$23:$I$23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D7-4F83-BC98-A2B44887D865}"/>
            </c:ext>
          </c:extLst>
        </c:ser>
        <c:ser>
          <c:idx val="0"/>
          <c:order val="18"/>
          <c:tx>
            <c:v>"BasePlate"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Pic!$E$4:$I$4</c:f>
              <c:numCache>
                <c:formatCode>General</c:formatCode>
                <c:ptCount val="5"/>
                <c:pt idx="0">
                  <c:v>335</c:v>
                </c:pt>
                <c:pt idx="1">
                  <c:v>335</c:v>
                </c:pt>
                <c:pt idx="2">
                  <c:v>-335</c:v>
                </c:pt>
                <c:pt idx="3">
                  <c:v>-335</c:v>
                </c:pt>
                <c:pt idx="4">
                  <c:v>335</c:v>
                </c:pt>
              </c:numCache>
            </c:numRef>
          </c:xVal>
          <c:yVal>
            <c:numRef>
              <c:f>Pic!$E$5:$I$5</c:f>
              <c:numCache>
                <c:formatCode>General</c:formatCode>
                <c:ptCount val="5"/>
                <c:pt idx="0">
                  <c:v>125</c:v>
                </c:pt>
                <c:pt idx="1">
                  <c:v>-125</c:v>
                </c:pt>
                <c:pt idx="2">
                  <c:v>-125</c:v>
                </c:pt>
                <c:pt idx="3">
                  <c:v>125</c:v>
                </c:pt>
                <c:pt idx="4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6-4F19-86A4-FE05DA05C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scatterChart>
        <c:scatterStyle val="smoothMarker"/>
        <c:varyColors val="0"/>
        <c:ser>
          <c:idx val="11"/>
          <c:order val="7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Pic!$E$26:$F$26</c:f>
              <c:numCache>
                <c:formatCode>General</c:formatCode>
                <c:ptCount val="2"/>
                <c:pt idx="0">
                  <c:v>-335</c:v>
                </c:pt>
                <c:pt idx="1">
                  <c:v>-225</c:v>
                </c:pt>
              </c:numCache>
            </c:numRef>
          </c:xVal>
          <c:yVal>
            <c:numRef>
              <c:f>Pic!$E$27:$F$27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D7-4F83-BC98-A2B44887D865}"/>
            </c:ext>
          </c:extLst>
        </c:ser>
        <c:ser>
          <c:idx val="12"/>
          <c:order val="8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Pic!$H$26:$I$26</c:f>
              <c:numCache>
                <c:formatCode>General</c:formatCode>
                <c:ptCount val="2"/>
                <c:pt idx="0">
                  <c:v>-335</c:v>
                </c:pt>
                <c:pt idx="1">
                  <c:v>-225</c:v>
                </c:pt>
              </c:numCache>
            </c:numRef>
          </c:xVal>
          <c:yVal>
            <c:numRef>
              <c:f>Pic!$H$27:$I$27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D7-4F83-BC98-A2B44887D865}"/>
            </c:ext>
          </c:extLst>
        </c:ser>
        <c:ser>
          <c:idx val="13"/>
          <c:order val="9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Pic!$E$28:$F$28</c:f>
              <c:numCache>
                <c:formatCode>General</c:formatCode>
                <c:ptCount val="2"/>
                <c:pt idx="0">
                  <c:v>335</c:v>
                </c:pt>
                <c:pt idx="1">
                  <c:v>225</c:v>
                </c:pt>
              </c:numCache>
            </c:numRef>
          </c:xVal>
          <c:yVal>
            <c:numRef>
              <c:f>Pic!$E$29:$F$29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3D7-4F83-BC98-A2B44887D865}"/>
            </c:ext>
          </c:extLst>
        </c:ser>
        <c:ser>
          <c:idx val="14"/>
          <c:order val="1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Pic!$H$28:$I$28</c:f>
              <c:numCache>
                <c:formatCode>General</c:formatCode>
                <c:ptCount val="2"/>
                <c:pt idx="0">
                  <c:v>335</c:v>
                </c:pt>
                <c:pt idx="1">
                  <c:v>225</c:v>
                </c:pt>
              </c:numCache>
            </c:numRef>
          </c:xVal>
          <c:yVal>
            <c:numRef>
              <c:f>Pic!$H$29:$I$29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3D7-4F83-BC98-A2B44887D865}"/>
            </c:ext>
          </c:extLst>
        </c:ser>
        <c:ser>
          <c:idx val="15"/>
          <c:order val="11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Pic!$E$31:$F$31</c:f>
              <c:numCache>
                <c:formatCode>General</c:formatCode>
                <c:ptCount val="2"/>
                <c:pt idx="0">
                  <c:v>-75</c:v>
                </c:pt>
                <c:pt idx="1">
                  <c:v>-75</c:v>
                </c:pt>
              </c:numCache>
            </c:numRef>
          </c:xVal>
          <c:yVal>
            <c:numRef>
              <c:f>Pic!$E$32:$F$32</c:f>
              <c:numCache>
                <c:formatCode>General</c:formatCode>
                <c:ptCount val="2"/>
                <c:pt idx="0">
                  <c:v>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3D7-4F83-BC98-A2B44887D865}"/>
            </c:ext>
          </c:extLst>
        </c:ser>
        <c:ser>
          <c:idx val="16"/>
          <c:order val="12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Pic!$H$31:$I$31</c:f>
              <c:numCache>
                <c:formatCode>General</c:formatCode>
                <c:ptCount val="2"/>
                <c:pt idx="0">
                  <c:v>-75</c:v>
                </c:pt>
                <c:pt idx="1">
                  <c:v>-75</c:v>
                </c:pt>
              </c:numCache>
            </c:numRef>
          </c:xVal>
          <c:yVal>
            <c:numRef>
              <c:f>Pic!$H$32:$I$32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3D7-4F83-BC98-A2B44887D865}"/>
            </c:ext>
          </c:extLst>
        </c:ser>
        <c:ser>
          <c:idx val="17"/>
          <c:order val="13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Pic!$E$33:$F$33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Pic!$E$34:$F$34</c:f>
              <c:numCache>
                <c:formatCode>General</c:formatCode>
                <c:ptCount val="2"/>
                <c:pt idx="0">
                  <c:v>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3D7-4F83-BC98-A2B44887D865}"/>
            </c:ext>
          </c:extLst>
        </c:ser>
        <c:ser>
          <c:idx val="18"/>
          <c:order val="14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Pic!$H$33:$I$33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Pic!$H$34:$I$34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3D7-4F83-BC98-A2B44887D865}"/>
            </c:ext>
          </c:extLst>
        </c:ser>
        <c:ser>
          <c:idx val="3"/>
          <c:order val="15"/>
          <c:tx>
            <c:v>"FlangeL"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Pic!$I$7:$J$7</c:f>
              <c:numCache>
                <c:formatCode>General</c:formatCode>
                <c:ptCount val="2"/>
                <c:pt idx="0">
                  <c:v>-225</c:v>
                </c:pt>
                <c:pt idx="1">
                  <c:v>-225</c:v>
                </c:pt>
              </c:numCache>
            </c:numRef>
          </c:xVal>
          <c:yVal>
            <c:numRef>
              <c:f>Pic!$I$8:$J$8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E36-4F19-86A4-FE05DA05CF2B}"/>
            </c:ext>
          </c:extLst>
        </c:ser>
        <c:ser>
          <c:idx val="1"/>
          <c:order val="16"/>
          <c:tx>
            <c:v>"FlangeR"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Pic!$E$7:$F$7</c:f>
              <c:numCache>
                <c:formatCode>General</c:formatCode>
                <c:ptCount val="2"/>
                <c:pt idx="0">
                  <c:v>225</c:v>
                </c:pt>
                <c:pt idx="1">
                  <c:v>225</c:v>
                </c:pt>
              </c:numCache>
            </c:numRef>
          </c:xVal>
          <c:yVal>
            <c:numRef>
              <c:f>Pic!$E$8:$F$8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36-4F19-86A4-FE05DA05CF2B}"/>
            </c:ext>
          </c:extLst>
        </c:ser>
        <c:ser>
          <c:idx val="2"/>
          <c:order val="17"/>
          <c:tx>
            <c:v>"Web"</c:v>
          </c:tx>
          <c:spPr>
            <a:ln w="5715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Pic!$G$7:$H$7</c:f>
              <c:numCache>
                <c:formatCode>General</c:formatCode>
                <c:ptCount val="2"/>
                <c:pt idx="0">
                  <c:v>-225</c:v>
                </c:pt>
                <c:pt idx="1">
                  <c:v>225</c:v>
                </c:pt>
              </c:numCache>
            </c:numRef>
          </c:xVal>
          <c:yVal>
            <c:numRef>
              <c:f>Pic!$G$8:$H$8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36-4F19-86A4-FE05DA05C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valAx>
        <c:axId val="1569828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69812752"/>
        <c:crosses val="autoZero"/>
        <c:crossBetween val="midCat"/>
      </c:valAx>
      <c:valAx>
        <c:axId val="1569812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982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345633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A586A4-DD32-4BEE-A707-66820548B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359E7C9A-B5AF-4431-913F-5B4349925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336886</xdr:colOff>
      <xdr:row>94</xdr:row>
      <xdr:rowOff>49817</xdr:rowOff>
    </xdr:from>
    <xdr:to>
      <xdr:col>23</xdr:col>
      <xdr:colOff>440729</xdr:colOff>
      <xdr:row>102</xdr:row>
      <xdr:rowOff>101959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ED46DFE-091E-A64C-DAF2-B090BEF38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99886" y="16300295"/>
          <a:ext cx="1167828" cy="1416205"/>
        </a:xfrm>
        <a:prstGeom prst="rect">
          <a:avLst/>
        </a:prstGeom>
      </xdr:spPr>
    </xdr:pic>
    <xdr:clientData/>
  </xdr:twoCellAnchor>
  <xdr:twoCellAnchor editAs="oneCell">
    <xdr:from>
      <xdr:col>16</xdr:col>
      <xdr:colOff>111675</xdr:colOff>
      <xdr:row>36</xdr:row>
      <xdr:rowOff>73854</xdr:rowOff>
    </xdr:from>
    <xdr:to>
      <xdr:col>20</xdr:col>
      <xdr:colOff>475727</xdr:colOff>
      <xdr:row>42</xdr:row>
      <xdr:rowOff>91750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8BE0CE8-CFA8-B847-3324-FBDF7BB79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12778" y="4790371"/>
          <a:ext cx="2410809" cy="995621"/>
        </a:xfrm>
        <a:prstGeom prst="rect">
          <a:avLst/>
        </a:prstGeom>
      </xdr:spPr>
    </xdr:pic>
    <xdr:clientData/>
  </xdr:twoCellAnchor>
  <xdr:twoCellAnchor editAs="oneCell">
    <xdr:from>
      <xdr:col>14</xdr:col>
      <xdr:colOff>271095</xdr:colOff>
      <xdr:row>107</xdr:row>
      <xdr:rowOff>139211</xdr:rowOff>
    </xdr:from>
    <xdr:to>
      <xdr:col>21</xdr:col>
      <xdr:colOff>402630</xdr:colOff>
      <xdr:row>114</xdr:row>
      <xdr:rowOff>78180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EB994A-B446-4E57-BB27-777FF4865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39557" y="18258692"/>
          <a:ext cx="3751035" cy="1067315"/>
        </a:xfrm>
        <a:prstGeom prst="rect">
          <a:avLst/>
        </a:prstGeom>
      </xdr:spPr>
    </xdr:pic>
    <xdr:clientData/>
  </xdr:twoCellAnchor>
  <xdr:twoCellAnchor editAs="oneCell">
    <xdr:from>
      <xdr:col>16</xdr:col>
      <xdr:colOff>410309</xdr:colOff>
      <xdr:row>13</xdr:row>
      <xdr:rowOff>51288</xdr:rowOff>
    </xdr:from>
    <xdr:to>
      <xdr:col>20</xdr:col>
      <xdr:colOff>372027</xdr:colOff>
      <xdr:row>22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38C808E-7129-49D8-9EA7-AE443DCCE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41174" y="659423"/>
          <a:ext cx="2005929" cy="14946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6</xdr:row>
      <xdr:rowOff>138112</xdr:rowOff>
    </xdr:from>
    <xdr:to>
      <xdr:col>18</xdr:col>
      <xdr:colOff>228600</xdr:colOff>
      <xdr:row>20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97D5B3-1488-2A71-E2F5-20C54DB89C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DN33"/>
  <sheetViews>
    <sheetView showGridLines="0" zoomScale="130" zoomScaleNormal="130" zoomScaleSheetLayoutView="100" workbookViewId="0">
      <selection activeCell="F1" sqref="F1:I104857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6" customWidth="1"/>
    <col min="11" max="15" width="7.33203125" style="1"/>
    <col min="16" max="20" width="0" style="1" hidden="1" customWidth="1"/>
    <col min="21" max="21" width="3.33203125" style="16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6" customWidth="1"/>
    <col min="48" max="50" width="7.33203125" style="1"/>
    <col min="51" max="51" width="3.33203125" style="16" customWidth="1"/>
    <col min="52" max="54" width="7.33203125" style="1"/>
    <col min="55" max="59" width="0" style="1" hidden="1" customWidth="1"/>
    <col min="60" max="60" width="3.33203125" style="16" customWidth="1"/>
    <col min="61" max="62" width="7.33203125" style="1"/>
    <col min="63" max="63" width="9.44140625" style="1" bestFit="1" customWidth="1"/>
    <col min="64" max="67" width="7.44140625" style="1" bestFit="1" customWidth="1"/>
    <col min="68" max="68" width="8.109375" style="1" bestFit="1" customWidth="1"/>
    <col min="69" max="69" width="7.33203125" style="1"/>
    <col min="70" max="79" width="0" style="1" hidden="1" customWidth="1"/>
    <col min="80" max="80" width="3.33203125" style="16" customWidth="1"/>
    <col min="81" max="81" width="9.5546875" style="100" bestFit="1" customWidth="1"/>
    <col min="82" max="83" width="9.5546875" style="102" customWidth="1"/>
    <col min="84" max="85" width="5" style="100" bestFit="1" customWidth="1"/>
    <col min="86" max="86" width="5" style="100" customWidth="1"/>
    <col min="87" max="87" width="5" style="100" bestFit="1" customWidth="1"/>
    <col min="88" max="88" width="7" style="101" bestFit="1" customWidth="1"/>
    <col min="89" max="103" width="0" style="1" hidden="1" customWidth="1"/>
    <col min="104" max="104" width="3.33203125" style="16" customWidth="1"/>
    <col min="105" max="16384" width="7.33203125" style="1"/>
  </cols>
  <sheetData>
    <row r="1" spans="1:118" ht="14.25" customHeight="1">
      <c r="A1" s="175" t="s">
        <v>2</v>
      </c>
      <c r="B1" s="11" t="s">
        <v>18</v>
      </c>
      <c r="C1" s="11" t="s">
        <v>21</v>
      </c>
      <c r="D1" s="11" t="s">
        <v>22</v>
      </c>
      <c r="E1" s="177" t="s">
        <v>357</v>
      </c>
      <c r="F1" s="70"/>
      <c r="G1" s="70"/>
      <c r="H1" s="70"/>
      <c r="I1" s="70"/>
      <c r="K1" s="269" t="s">
        <v>36</v>
      </c>
      <c r="L1" s="270"/>
      <c r="M1" s="270"/>
      <c r="N1" s="270"/>
      <c r="O1" s="270"/>
      <c r="P1" s="71"/>
      <c r="Q1" s="71"/>
      <c r="R1" s="71"/>
      <c r="S1" s="71"/>
      <c r="T1" s="71"/>
      <c r="V1" s="273" t="s">
        <v>41</v>
      </c>
      <c r="W1" s="273"/>
      <c r="X1" s="273"/>
      <c r="Y1" s="273"/>
      <c r="Z1" s="273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V1" s="275" t="s">
        <v>217</v>
      </c>
      <c r="AW1" s="276"/>
      <c r="AX1" s="277"/>
      <c r="AZ1" s="275" t="s">
        <v>32</v>
      </c>
      <c r="BA1" s="276"/>
      <c r="BB1" s="277"/>
      <c r="BI1" s="262" t="s">
        <v>218</v>
      </c>
      <c r="BJ1" s="262"/>
      <c r="BK1" s="268" t="s">
        <v>219</v>
      </c>
      <c r="BL1" s="262" t="s">
        <v>220</v>
      </c>
      <c r="BM1" s="262"/>
      <c r="BN1" s="262"/>
      <c r="BO1" s="262"/>
      <c r="BP1" s="268" t="s">
        <v>221</v>
      </c>
      <c r="BQ1" s="268"/>
      <c r="CC1" s="266" t="s">
        <v>220</v>
      </c>
      <c r="CD1" s="267"/>
      <c r="CE1" s="267"/>
      <c r="CF1" s="267"/>
      <c r="CG1" s="267"/>
      <c r="CH1" s="267"/>
      <c r="CI1" s="267"/>
      <c r="CJ1" s="267"/>
      <c r="DA1" s="266" t="s">
        <v>288</v>
      </c>
      <c r="DB1" s="267"/>
      <c r="DC1" s="267"/>
      <c r="DD1" s="267"/>
      <c r="DE1" s="267"/>
      <c r="DF1" s="261" t="s">
        <v>79</v>
      </c>
      <c r="DG1" s="261"/>
      <c r="DH1" s="1" t="s">
        <v>86</v>
      </c>
      <c r="DI1" s="1" t="s">
        <v>87</v>
      </c>
      <c r="DJ1" s="1" t="s">
        <v>96</v>
      </c>
      <c r="DK1" s="1" t="s">
        <v>97</v>
      </c>
      <c r="DL1" s="20" t="s">
        <v>95</v>
      </c>
      <c r="DM1" s="20" t="s">
        <v>99</v>
      </c>
      <c r="DN1" s="20" t="s">
        <v>100</v>
      </c>
    </row>
    <row r="2" spans="1:118" ht="15.6">
      <c r="A2" s="176"/>
      <c r="B2" s="11" t="s">
        <v>19</v>
      </c>
      <c r="C2" s="11" t="s">
        <v>19</v>
      </c>
      <c r="D2" s="11" t="s">
        <v>19</v>
      </c>
      <c r="E2" s="178"/>
      <c r="F2" s="70"/>
      <c r="G2" s="70"/>
      <c r="H2" s="70"/>
      <c r="I2" s="70"/>
      <c r="K2" s="271"/>
      <c r="L2" s="272"/>
      <c r="M2" s="272"/>
      <c r="N2" s="272"/>
      <c r="O2" s="272"/>
      <c r="P2" s="71"/>
      <c r="Q2" s="71"/>
      <c r="R2" s="71"/>
      <c r="S2" s="71"/>
      <c r="T2" s="71"/>
      <c r="V2" s="274"/>
      <c r="W2" s="274"/>
      <c r="X2" s="274"/>
      <c r="Y2" s="274"/>
      <c r="Z2" s="274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V2" s="11" t="s">
        <v>222</v>
      </c>
      <c r="AW2" s="11" t="s">
        <v>223</v>
      </c>
      <c r="AX2" s="11" t="s">
        <v>213</v>
      </c>
      <c r="AZ2" s="11" t="s">
        <v>29</v>
      </c>
      <c r="BA2" s="11" t="s">
        <v>33</v>
      </c>
      <c r="BB2" s="11" t="s">
        <v>34</v>
      </c>
      <c r="BI2" s="262"/>
      <c r="BJ2" s="262"/>
      <c r="BK2" s="268"/>
      <c r="BL2" s="262" t="s">
        <v>224</v>
      </c>
      <c r="BM2" s="262"/>
      <c r="BN2" s="262" t="s">
        <v>225</v>
      </c>
      <c r="BO2" s="262"/>
      <c r="BP2" s="268"/>
      <c r="BQ2" s="268"/>
      <c r="CC2" s="263" t="s">
        <v>226</v>
      </c>
      <c r="CD2" s="75" t="s">
        <v>227</v>
      </c>
      <c r="CE2" s="75" t="s">
        <v>222</v>
      </c>
      <c r="CF2" s="76" t="s">
        <v>228</v>
      </c>
      <c r="CG2" s="76" t="s">
        <v>229</v>
      </c>
      <c r="CH2" s="76" t="s">
        <v>230</v>
      </c>
      <c r="CI2" s="76" t="s">
        <v>231</v>
      </c>
      <c r="CJ2" s="77" t="s">
        <v>232</v>
      </c>
      <c r="DA2" s="257" t="s">
        <v>289</v>
      </c>
      <c r="DB2" s="258"/>
      <c r="DC2" s="258"/>
      <c r="DD2" s="257" t="s">
        <v>293</v>
      </c>
      <c r="DE2" s="258"/>
      <c r="DF2" s="25" t="s">
        <v>75</v>
      </c>
      <c r="DG2" s="25">
        <v>1.35</v>
      </c>
      <c r="DH2" s="1" t="s">
        <v>81</v>
      </c>
      <c r="DI2" s="1" t="s">
        <v>88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6">
      <c r="A3" s="14" t="s">
        <v>23</v>
      </c>
      <c r="B3" s="3">
        <f>2.06*10^5</f>
        <v>206000</v>
      </c>
      <c r="C3" s="3">
        <v>235</v>
      </c>
      <c r="D3" s="179">
        <v>370</v>
      </c>
      <c r="E3" s="180">
        <v>1.1000000000000001</v>
      </c>
      <c r="F3" s="38"/>
      <c r="G3" s="38"/>
      <c r="H3" s="38"/>
      <c r="I3" s="38"/>
      <c r="K3" s="13" t="s">
        <v>35</v>
      </c>
      <c r="L3" s="13" t="s">
        <v>37</v>
      </c>
      <c r="M3" s="13" t="s">
        <v>38</v>
      </c>
      <c r="N3" s="13" t="s">
        <v>39</v>
      </c>
      <c r="O3" s="13" t="s">
        <v>40</v>
      </c>
      <c r="P3" s="36"/>
      <c r="Q3" s="36"/>
      <c r="R3" s="36"/>
      <c r="S3" s="36"/>
      <c r="T3" s="36"/>
      <c r="V3" s="21" t="s">
        <v>42</v>
      </c>
      <c r="W3" s="21" t="s">
        <v>43</v>
      </c>
      <c r="X3" s="21" t="s">
        <v>44</v>
      </c>
      <c r="Y3" s="21" t="s">
        <v>180</v>
      </c>
      <c r="Z3" s="27" t="s">
        <v>101</v>
      </c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V3" s="4">
        <v>360</v>
      </c>
      <c r="AW3" s="4">
        <v>560</v>
      </c>
      <c r="AX3" s="4">
        <v>475</v>
      </c>
      <c r="AZ3" s="4" t="s">
        <v>30</v>
      </c>
      <c r="BA3" s="4">
        <v>430</v>
      </c>
      <c r="BB3" s="4">
        <v>180</v>
      </c>
      <c r="BI3" s="262"/>
      <c r="BJ3" s="262"/>
      <c r="BK3" s="268"/>
      <c r="BL3" s="73" t="s">
        <v>233</v>
      </c>
      <c r="BM3" s="73" t="s">
        <v>234</v>
      </c>
      <c r="BN3" s="73" t="s">
        <v>235</v>
      </c>
      <c r="BO3" s="73" t="s">
        <v>236</v>
      </c>
      <c r="BP3" s="264" t="s">
        <v>201</v>
      </c>
      <c r="BQ3" s="79" t="s">
        <v>237</v>
      </c>
      <c r="CC3" s="263"/>
      <c r="CD3" s="74" t="s">
        <v>20</v>
      </c>
      <c r="CE3" s="74" t="s">
        <v>20</v>
      </c>
      <c r="CF3" s="74" t="s">
        <v>20</v>
      </c>
      <c r="CG3" s="74" t="s">
        <v>20</v>
      </c>
      <c r="CH3" s="74" t="s">
        <v>20</v>
      </c>
      <c r="CI3" s="74" t="s">
        <v>20</v>
      </c>
      <c r="CJ3" s="80" t="s">
        <v>20</v>
      </c>
      <c r="DA3" s="259"/>
      <c r="DB3" s="260"/>
      <c r="DC3" s="260"/>
      <c r="DD3" s="259"/>
      <c r="DE3" s="260"/>
      <c r="DF3" s="25" t="s">
        <v>76</v>
      </c>
      <c r="DG3" s="25">
        <v>1.05</v>
      </c>
      <c r="DH3" s="1" t="s">
        <v>82</v>
      </c>
      <c r="DI3" s="1" t="s">
        <v>89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14" t="s">
        <v>24</v>
      </c>
      <c r="B4" s="3">
        <f t="shared" ref="B4:B33" si="0">2.06*10^5</f>
        <v>206000</v>
      </c>
      <c r="C4" s="3">
        <v>345</v>
      </c>
      <c r="D4" s="179">
        <v>510</v>
      </c>
      <c r="E4" s="180">
        <v>1.1000000000000001</v>
      </c>
      <c r="F4" s="38"/>
      <c r="G4" s="38"/>
      <c r="H4" s="38"/>
      <c r="I4" s="38"/>
      <c r="K4" s="13">
        <v>5.6</v>
      </c>
      <c r="L4" s="13">
        <v>500</v>
      </c>
      <c r="M4" s="13">
        <v>300</v>
      </c>
      <c r="N4" s="13">
        <v>210</v>
      </c>
      <c r="O4" s="13">
        <v>225</v>
      </c>
      <c r="P4" s="36"/>
      <c r="Q4" s="36"/>
      <c r="R4" s="36"/>
      <c r="S4" s="36"/>
      <c r="T4" s="36"/>
      <c r="V4" s="22">
        <v>10</v>
      </c>
      <c r="W4" s="4">
        <v>1.5</v>
      </c>
      <c r="X4" s="10">
        <v>78.5</v>
      </c>
      <c r="Y4" s="4">
        <v>57.1</v>
      </c>
      <c r="Z4" s="4">
        <v>1</v>
      </c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V4" s="4">
        <v>370</v>
      </c>
      <c r="AW4" s="4">
        <v>580</v>
      </c>
      <c r="AX4" s="4">
        <v>485</v>
      </c>
      <c r="AZ4" s="4" t="s">
        <v>31</v>
      </c>
      <c r="BA4" s="4">
        <v>510</v>
      </c>
      <c r="BB4" s="4">
        <v>225</v>
      </c>
      <c r="BI4" s="262"/>
      <c r="BJ4" s="262"/>
      <c r="BK4" s="73" t="s">
        <v>20</v>
      </c>
      <c r="BL4" s="73" t="s">
        <v>20</v>
      </c>
      <c r="BM4" s="73" t="s">
        <v>20</v>
      </c>
      <c r="BN4" s="73" t="s">
        <v>20</v>
      </c>
      <c r="BO4" s="73" t="s">
        <v>20</v>
      </c>
      <c r="BP4" s="265"/>
      <c r="BQ4" s="73" t="s">
        <v>20</v>
      </c>
      <c r="CC4" s="103" t="s">
        <v>238</v>
      </c>
      <c r="CD4" s="104">
        <v>235</v>
      </c>
      <c r="CE4" s="104">
        <v>373</v>
      </c>
      <c r="CF4" s="103">
        <f>CD4</f>
        <v>235</v>
      </c>
      <c r="CG4" s="103">
        <f>CF4/1.15</f>
        <v>204.34782608695653</v>
      </c>
      <c r="CH4" s="103">
        <f>CF4</f>
        <v>235</v>
      </c>
      <c r="CI4" s="103">
        <f>0.7*CD4</f>
        <v>164.5</v>
      </c>
      <c r="CJ4" s="105">
        <v>200000</v>
      </c>
      <c r="DA4" s="100" t="s">
        <v>290</v>
      </c>
      <c r="DB4" s="100" t="s">
        <v>291</v>
      </c>
      <c r="DC4" s="100" t="s">
        <v>294</v>
      </c>
      <c r="DD4" s="100" t="s">
        <v>290</v>
      </c>
      <c r="DE4" s="100" t="s">
        <v>292</v>
      </c>
      <c r="DF4" s="25" t="s">
        <v>77</v>
      </c>
      <c r="DG4" s="25">
        <v>1.18</v>
      </c>
      <c r="DH4" s="1" t="s">
        <v>83</v>
      </c>
      <c r="DI4" s="1" t="s">
        <v>90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6">
      <c r="A5" s="14" t="s">
        <v>358</v>
      </c>
      <c r="B5" s="3">
        <f t="shared" si="0"/>
        <v>206000</v>
      </c>
      <c r="C5" s="3">
        <v>355</v>
      </c>
      <c r="D5" s="179">
        <v>510</v>
      </c>
      <c r="E5" s="180">
        <v>1.1000000000000001</v>
      </c>
      <c r="F5" s="38"/>
      <c r="G5" s="38"/>
      <c r="H5" s="38"/>
      <c r="I5" s="38"/>
      <c r="K5" s="13">
        <v>5.8</v>
      </c>
      <c r="L5" s="13">
        <v>500</v>
      </c>
      <c r="M5" s="13">
        <v>400</v>
      </c>
      <c r="N5" s="13">
        <v>210</v>
      </c>
      <c r="O5" s="13">
        <v>210</v>
      </c>
      <c r="P5" s="36"/>
      <c r="Q5" s="36"/>
      <c r="R5" s="36"/>
      <c r="S5" s="36"/>
      <c r="T5" s="36"/>
      <c r="V5" s="22">
        <v>12</v>
      </c>
      <c r="W5" s="4">
        <v>1.5</v>
      </c>
      <c r="X5" s="10">
        <v>113</v>
      </c>
      <c r="Y5" s="4">
        <v>84.2</v>
      </c>
      <c r="Z5" s="4">
        <v>1</v>
      </c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V5" s="4">
        <v>380</v>
      </c>
      <c r="AW5" s="4">
        <v>590</v>
      </c>
      <c r="AX5" s="4">
        <v>500</v>
      </c>
      <c r="AZ5" s="4" t="s">
        <v>166</v>
      </c>
      <c r="BA5" s="4">
        <v>410</v>
      </c>
      <c r="BB5" s="4">
        <v>180</v>
      </c>
      <c r="BI5" s="81" t="s">
        <v>239</v>
      </c>
      <c r="BJ5" s="82" t="s">
        <v>240</v>
      </c>
      <c r="BK5" s="83">
        <v>19000</v>
      </c>
      <c r="BL5" s="84">
        <v>7.5</v>
      </c>
      <c r="BM5" s="84">
        <v>6</v>
      </c>
      <c r="BN5" s="85">
        <v>0.85</v>
      </c>
      <c r="BO5" s="86">
        <v>0.56000000000000005</v>
      </c>
      <c r="BP5" s="25"/>
      <c r="BQ5" s="25"/>
      <c r="CC5" s="103" t="s">
        <v>241</v>
      </c>
      <c r="CD5" s="104">
        <v>295</v>
      </c>
      <c r="CE5" s="104">
        <v>490</v>
      </c>
      <c r="CF5" s="103">
        <f t="shared" ref="CF5:CF19" si="1">CD5</f>
        <v>295</v>
      </c>
      <c r="CG5" s="103">
        <f t="shared" ref="CG5:CG19" si="2">CF5/1.15</f>
        <v>256.52173913043481</v>
      </c>
      <c r="CH5" s="103">
        <f t="shared" ref="CH5:CH19" si="3">CF5</f>
        <v>295</v>
      </c>
      <c r="CI5" s="103">
        <f t="shared" ref="CI5:CI19" si="4">0.7*CD5</f>
        <v>206.5</v>
      </c>
      <c r="CJ5" s="105">
        <v>200000</v>
      </c>
      <c r="DA5" s="100">
        <v>0</v>
      </c>
      <c r="DB5" s="100">
        <v>4.8000000000000001E-2</v>
      </c>
      <c r="DC5" s="100">
        <v>4.8000000000000001E-2</v>
      </c>
      <c r="DD5" s="108">
        <v>0</v>
      </c>
      <c r="DE5" s="100">
        <v>4.8000000000000001E-2</v>
      </c>
      <c r="DF5" s="25" t="s">
        <v>78</v>
      </c>
      <c r="DG5" s="25">
        <v>1.1499999999999999</v>
      </c>
      <c r="DH5" s="1" t="s">
        <v>84</v>
      </c>
      <c r="DI5" s="1" t="s">
        <v>91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4.4">
      <c r="A6" s="14" t="s">
        <v>26</v>
      </c>
      <c r="B6" s="3">
        <f t="shared" si="0"/>
        <v>206000</v>
      </c>
      <c r="C6" s="3">
        <v>250</v>
      </c>
      <c r="D6" s="179">
        <v>400</v>
      </c>
      <c r="E6" s="180">
        <v>1.1000000000000001</v>
      </c>
      <c r="F6" s="38"/>
      <c r="G6" s="38"/>
      <c r="H6" s="38"/>
      <c r="I6" s="38"/>
      <c r="K6" s="13">
        <v>8.8000000000000007</v>
      </c>
      <c r="L6" s="13">
        <v>830</v>
      </c>
      <c r="M6" s="13">
        <v>660</v>
      </c>
      <c r="N6" s="13">
        <v>332</v>
      </c>
      <c r="O6" s="13">
        <v>448</v>
      </c>
      <c r="P6" s="36"/>
      <c r="Q6" s="36"/>
      <c r="R6" s="36"/>
      <c r="S6" s="36"/>
      <c r="T6" s="36"/>
      <c r="V6" s="22">
        <v>16</v>
      </c>
      <c r="W6" s="4">
        <v>2</v>
      </c>
      <c r="X6" s="10">
        <f t="shared" ref="X6:X15" si="5">PI()*V6^2/4</f>
        <v>201.06192982974676</v>
      </c>
      <c r="Y6" s="4">
        <v>157</v>
      </c>
      <c r="Z6" s="4">
        <v>1</v>
      </c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V6" s="4">
        <v>390</v>
      </c>
      <c r="AW6" s="4">
        <v>610</v>
      </c>
      <c r="AX6" s="4">
        <v>515</v>
      </c>
      <c r="AZ6" s="4" t="s">
        <v>167</v>
      </c>
      <c r="BA6" s="4">
        <v>450</v>
      </c>
      <c r="BB6" s="4">
        <v>200</v>
      </c>
      <c r="BI6" s="87" t="s">
        <v>242</v>
      </c>
      <c r="BJ6" s="24" t="s">
        <v>243</v>
      </c>
      <c r="BK6" s="88">
        <v>24000</v>
      </c>
      <c r="BL6" s="89">
        <v>11</v>
      </c>
      <c r="BM6" s="89">
        <v>8.5</v>
      </c>
      <c r="BN6" s="90">
        <v>1.1000000000000001</v>
      </c>
      <c r="BO6" s="91">
        <v>0.75</v>
      </c>
      <c r="BP6" s="25" t="s">
        <v>244</v>
      </c>
      <c r="BQ6" s="25">
        <f>VALUE(MID(BP6,2,2))</f>
        <v>12</v>
      </c>
      <c r="CC6" s="103" t="s">
        <v>245</v>
      </c>
      <c r="CD6" s="104">
        <v>390</v>
      </c>
      <c r="CE6" s="104">
        <v>590</v>
      </c>
      <c r="CF6" s="103">
        <f t="shared" si="1"/>
        <v>390</v>
      </c>
      <c r="CG6" s="103">
        <f t="shared" si="2"/>
        <v>339.13043478260875</v>
      </c>
      <c r="CH6" s="103">
        <f t="shared" si="3"/>
        <v>390</v>
      </c>
      <c r="CI6" s="103">
        <f t="shared" si="4"/>
        <v>273</v>
      </c>
      <c r="CJ6" s="105">
        <v>200000</v>
      </c>
      <c r="DA6" s="100">
        <v>1</v>
      </c>
      <c r="DB6" s="100">
        <v>4.8000000000000001E-2</v>
      </c>
      <c r="DC6" s="100">
        <v>4.8000000000000001E-2</v>
      </c>
      <c r="DD6" s="109">
        <v>0.5</v>
      </c>
      <c r="DE6" s="100">
        <v>4.8000000000000001E-2</v>
      </c>
      <c r="DH6" s="1" t="s">
        <v>98</v>
      </c>
      <c r="DI6" s="1" t="s">
        <v>91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4.4">
      <c r="A7" s="14" t="s">
        <v>25</v>
      </c>
      <c r="B7" s="3">
        <f t="shared" si="0"/>
        <v>206000</v>
      </c>
      <c r="C7" s="3">
        <v>345</v>
      </c>
      <c r="D7" s="179">
        <v>450</v>
      </c>
      <c r="E7" s="180">
        <v>1.1000000000000001</v>
      </c>
      <c r="F7" s="38"/>
      <c r="G7" s="38"/>
      <c r="H7" s="38"/>
      <c r="I7" s="38"/>
      <c r="K7" s="13">
        <v>10.9</v>
      </c>
      <c r="L7" s="13">
        <v>1040</v>
      </c>
      <c r="M7" s="13">
        <v>940</v>
      </c>
      <c r="N7" s="13">
        <v>416</v>
      </c>
      <c r="O7" s="13">
        <v>728</v>
      </c>
      <c r="P7" s="36"/>
      <c r="Q7" s="36"/>
      <c r="R7" s="36"/>
      <c r="S7" s="36"/>
      <c r="T7" s="36"/>
      <c r="V7" s="22">
        <v>18</v>
      </c>
      <c r="W7" s="4">
        <v>2.5</v>
      </c>
      <c r="X7" s="10">
        <f t="shared" si="5"/>
        <v>254.46900494077323</v>
      </c>
      <c r="Y7" s="4">
        <v>192</v>
      </c>
      <c r="Z7" s="4">
        <v>1.05</v>
      </c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V7" s="4">
        <v>430</v>
      </c>
      <c r="AW7" s="4">
        <v>670</v>
      </c>
      <c r="AX7" s="4">
        <v>565</v>
      </c>
      <c r="AZ7" s="4" t="s">
        <v>168</v>
      </c>
      <c r="BA7" s="4">
        <v>490</v>
      </c>
      <c r="BB7" s="4">
        <v>215</v>
      </c>
      <c r="BI7" s="87" t="s">
        <v>246</v>
      </c>
      <c r="BJ7" s="24" t="s">
        <v>64</v>
      </c>
      <c r="BK7" s="88">
        <v>27500</v>
      </c>
      <c r="BL7" s="89">
        <v>15</v>
      </c>
      <c r="BM7" s="89">
        <v>11.5</v>
      </c>
      <c r="BN7" s="90">
        <v>1.35</v>
      </c>
      <c r="BO7" s="91">
        <v>0.9</v>
      </c>
      <c r="BP7" s="25" t="s">
        <v>247</v>
      </c>
      <c r="BQ7" s="25">
        <f t="shared" ref="BQ7" si="6">VALUE(MID(BP7,2,2))</f>
        <v>16</v>
      </c>
      <c r="CC7" s="103" t="s">
        <v>248</v>
      </c>
      <c r="CD7" s="104">
        <v>235</v>
      </c>
      <c r="CE7" s="104">
        <v>373</v>
      </c>
      <c r="CF7" s="103">
        <f t="shared" si="1"/>
        <v>235</v>
      </c>
      <c r="CG7" s="103">
        <f t="shared" si="2"/>
        <v>204.34782608695653</v>
      </c>
      <c r="CH7" s="103">
        <f t="shared" si="3"/>
        <v>235</v>
      </c>
      <c r="CI7" s="103">
        <f t="shared" si="4"/>
        <v>164.5</v>
      </c>
      <c r="CJ7" s="106">
        <v>200000</v>
      </c>
      <c r="DA7" s="100">
        <f>DA6+0.1</f>
        <v>1.1000000000000001</v>
      </c>
      <c r="DB7" s="100">
        <v>5.5E-2</v>
      </c>
      <c r="DC7" s="100">
        <v>4.9000000000000002E-2</v>
      </c>
      <c r="DD7" s="109">
        <f>DD6+0.1</f>
        <v>0.6</v>
      </c>
      <c r="DE7" s="100">
        <v>5.5E-2</v>
      </c>
      <c r="DH7" s="1" t="s">
        <v>85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4.4">
      <c r="A8" s="14" t="s">
        <v>4</v>
      </c>
      <c r="B8" s="3">
        <f t="shared" si="0"/>
        <v>206000</v>
      </c>
      <c r="C8" s="3">
        <v>235</v>
      </c>
      <c r="D8" s="179">
        <v>360</v>
      </c>
      <c r="E8" s="180">
        <v>1.05</v>
      </c>
      <c r="F8" s="38"/>
      <c r="G8" s="38"/>
      <c r="H8" s="38"/>
      <c r="I8" s="38"/>
      <c r="K8" s="13">
        <v>12.9</v>
      </c>
      <c r="L8" s="13">
        <v>1220</v>
      </c>
      <c r="M8" s="13">
        <v>1100</v>
      </c>
      <c r="N8" s="13">
        <v>427</v>
      </c>
      <c r="O8" s="13">
        <v>854</v>
      </c>
      <c r="P8" s="36"/>
      <c r="Q8" s="36"/>
      <c r="R8" s="36"/>
      <c r="S8" s="36"/>
      <c r="T8" s="36"/>
      <c r="V8" s="22">
        <v>20</v>
      </c>
      <c r="W8" s="4">
        <v>2.5</v>
      </c>
      <c r="X8" s="10">
        <f t="shared" si="5"/>
        <v>314.15926535897933</v>
      </c>
      <c r="Y8" s="4">
        <v>245</v>
      </c>
      <c r="Z8" s="4">
        <v>1.1000000000000001</v>
      </c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V8" s="4">
        <v>440</v>
      </c>
      <c r="AW8" s="4">
        <v>685</v>
      </c>
      <c r="AX8" s="4">
        <v>580</v>
      </c>
      <c r="BI8" s="87" t="s">
        <v>351</v>
      </c>
      <c r="BJ8" s="24" t="s">
        <v>352</v>
      </c>
      <c r="BK8" s="88">
        <f>(BK7+BK9)/2</f>
        <v>28750</v>
      </c>
      <c r="BL8" s="89">
        <f t="shared" ref="BL8:BO8" si="7">(BL7+BL9)/2</f>
        <v>16.75</v>
      </c>
      <c r="BM8" s="89">
        <f>(BM7+BM9)/2</f>
        <v>13</v>
      </c>
      <c r="BN8" s="89">
        <f t="shared" si="7"/>
        <v>1.4500000000000002</v>
      </c>
      <c r="BO8" s="89">
        <f t="shared" si="7"/>
        <v>0.97500000000000009</v>
      </c>
      <c r="BP8" s="25" t="s">
        <v>353</v>
      </c>
      <c r="BQ8" s="25">
        <v>18</v>
      </c>
      <c r="CC8" s="103" t="s">
        <v>251</v>
      </c>
      <c r="CD8" s="104">
        <v>295</v>
      </c>
      <c r="CE8" s="104">
        <v>490</v>
      </c>
      <c r="CF8" s="103">
        <f t="shared" si="1"/>
        <v>295</v>
      </c>
      <c r="CG8" s="103">
        <f t="shared" si="2"/>
        <v>256.52173913043481</v>
      </c>
      <c r="CH8" s="103">
        <f t="shared" si="3"/>
        <v>295</v>
      </c>
      <c r="CI8" s="103">
        <f t="shared" si="4"/>
        <v>206.5</v>
      </c>
      <c r="CJ8" s="106">
        <v>200000</v>
      </c>
      <c r="DA8" s="100">
        <f t="shared" ref="DA8:DA16" si="8">DA7+0.1</f>
        <v>1.2000000000000002</v>
      </c>
      <c r="DB8" s="100">
        <v>6.3E-2</v>
      </c>
      <c r="DC8" s="100">
        <v>0.05</v>
      </c>
      <c r="DD8" s="109">
        <f>DD7+0.1</f>
        <v>0.7</v>
      </c>
      <c r="DE8" s="100">
        <v>6.3E-2</v>
      </c>
    </row>
    <row r="9" spans="1:118" ht="14.4">
      <c r="A9" s="14" t="s">
        <v>3</v>
      </c>
      <c r="B9" s="3">
        <f t="shared" si="0"/>
        <v>206000</v>
      </c>
      <c r="C9" s="3">
        <v>225</v>
      </c>
      <c r="D9" s="179">
        <v>360</v>
      </c>
      <c r="E9" s="180">
        <v>1.05</v>
      </c>
      <c r="F9" s="38"/>
      <c r="G9" s="38"/>
      <c r="H9" s="38"/>
      <c r="I9" s="38"/>
      <c r="V9" s="22">
        <v>22</v>
      </c>
      <c r="W9" s="4">
        <v>2.5</v>
      </c>
      <c r="X9" s="10">
        <f t="shared" si="5"/>
        <v>380.13271108436498</v>
      </c>
      <c r="Y9" s="4">
        <v>303</v>
      </c>
      <c r="Z9" s="4">
        <v>1.1000000000000001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V9" s="4">
        <v>450</v>
      </c>
      <c r="AW9" s="4">
        <v>700</v>
      </c>
      <c r="AX9" s="4">
        <v>595</v>
      </c>
      <c r="BI9" s="87" t="s">
        <v>249</v>
      </c>
      <c r="BJ9" s="24" t="s">
        <v>65</v>
      </c>
      <c r="BK9" s="88">
        <v>30000</v>
      </c>
      <c r="BL9" s="89">
        <v>18.5</v>
      </c>
      <c r="BM9" s="89">
        <v>14.5</v>
      </c>
      <c r="BN9" s="90">
        <v>1.55</v>
      </c>
      <c r="BO9" s="91">
        <v>1.05</v>
      </c>
      <c r="BP9" s="25" t="s">
        <v>250</v>
      </c>
      <c r="BQ9" s="25">
        <f t="shared" ref="BQ9:BQ16" si="9">VALUE(MID(BP9,2,2))</f>
        <v>20</v>
      </c>
      <c r="CC9" s="103" t="s">
        <v>254</v>
      </c>
      <c r="CD9" s="104">
        <v>390</v>
      </c>
      <c r="CE9" s="104">
        <v>590</v>
      </c>
      <c r="CF9" s="103">
        <f t="shared" si="1"/>
        <v>390</v>
      </c>
      <c r="CG9" s="103">
        <f t="shared" si="2"/>
        <v>339.13043478260875</v>
      </c>
      <c r="CH9" s="103">
        <f t="shared" si="3"/>
        <v>390</v>
      </c>
      <c r="CI9" s="103">
        <f t="shared" si="4"/>
        <v>273</v>
      </c>
      <c r="CJ9" s="106">
        <v>200000</v>
      </c>
      <c r="DA9" s="100">
        <f t="shared" si="8"/>
        <v>1.3000000000000003</v>
      </c>
      <c r="DB9" s="100">
        <v>6.9000000000000006E-2</v>
      </c>
      <c r="DC9" s="100">
        <v>0.05</v>
      </c>
      <c r="DD9" s="109">
        <f>DD8+0.1</f>
        <v>0.79999999999999993</v>
      </c>
      <c r="DE9" s="100">
        <v>6.9000000000000006E-2</v>
      </c>
    </row>
    <row r="10" spans="1:118" ht="14.4">
      <c r="A10" s="14" t="s">
        <v>5</v>
      </c>
      <c r="B10" s="3">
        <f t="shared" si="0"/>
        <v>206000</v>
      </c>
      <c r="C10" s="3">
        <v>215</v>
      </c>
      <c r="D10" s="179">
        <v>360</v>
      </c>
      <c r="E10" s="180">
        <v>1.05</v>
      </c>
      <c r="F10" s="38"/>
      <c r="G10" s="38"/>
      <c r="H10" s="38"/>
      <c r="I10" s="38"/>
      <c r="V10" s="22">
        <v>24</v>
      </c>
      <c r="W10" s="4">
        <v>3</v>
      </c>
      <c r="X10" s="10">
        <f t="shared" si="5"/>
        <v>452.38934211693021</v>
      </c>
      <c r="Y10" s="4">
        <v>353</v>
      </c>
      <c r="Z10" s="4">
        <v>1.1000000000000001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V10" s="4">
        <v>460</v>
      </c>
      <c r="AW10" s="4">
        <v>720</v>
      </c>
      <c r="AX10" s="4">
        <v>605</v>
      </c>
      <c r="BI10" s="87" t="s">
        <v>252</v>
      </c>
      <c r="BJ10" s="24" t="s">
        <v>66</v>
      </c>
      <c r="BK10" s="88">
        <v>32500</v>
      </c>
      <c r="BL10" s="89">
        <v>22</v>
      </c>
      <c r="BM10" s="89">
        <v>17</v>
      </c>
      <c r="BN10" s="90">
        <v>1.75</v>
      </c>
      <c r="BO10" s="91">
        <v>1.1499999999999999</v>
      </c>
      <c r="BP10" s="25" t="s">
        <v>253</v>
      </c>
      <c r="BQ10" s="25">
        <f t="shared" si="9"/>
        <v>25</v>
      </c>
      <c r="CC10" s="103" t="s">
        <v>257</v>
      </c>
      <c r="CD10" s="104">
        <v>240</v>
      </c>
      <c r="CE10" s="104">
        <v>380</v>
      </c>
      <c r="CF10" s="103">
        <f t="shared" si="1"/>
        <v>240</v>
      </c>
      <c r="CG10" s="103">
        <f>CD10/1.15</f>
        <v>208.69565217391306</v>
      </c>
      <c r="CH10" s="103">
        <f t="shared" si="3"/>
        <v>240</v>
      </c>
      <c r="CI10" s="103">
        <v>170</v>
      </c>
      <c r="CJ10" s="105">
        <v>200000</v>
      </c>
      <c r="DA10" s="100">
        <f t="shared" si="8"/>
        <v>1.4000000000000004</v>
      </c>
      <c r="DB10" s="100">
        <v>7.4999999999999997E-2</v>
      </c>
      <c r="DC10" s="100">
        <v>0.05</v>
      </c>
      <c r="DD10" s="109">
        <f>DD9+0.1</f>
        <v>0.89999999999999991</v>
      </c>
      <c r="DE10" s="100">
        <v>7.4999999999999997E-2</v>
      </c>
    </row>
    <row r="11" spans="1:118" ht="14.4">
      <c r="A11" s="14" t="s">
        <v>6</v>
      </c>
      <c r="B11" s="3">
        <f t="shared" si="0"/>
        <v>206000</v>
      </c>
      <c r="C11" s="3">
        <v>215</v>
      </c>
      <c r="D11" s="179">
        <v>360</v>
      </c>
      <c r="E11" s="180">
        <v>1.05</v>
      </c>
      <c r="F11" s="38"/>
      <c r="G11" s="38"/>
      <c r="H11" s="38"/>
      <c r="I11" s="38"/>
      <c r="V11" s="22">
        <v>27</v>
      </c>
      <c r="W11" s="4">
        <v>3</v>
      </c>
      <c r="X11" s="10">
        <f t="shared" si="5"/>
        <v>572.55526111673976</v>
      </c>
      <c r="Y11" s="4">
        <v>459</v>
      </c>
      <c r="Z11" s="4">
        <v>1.2</v>
      </c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V11" s="4">
        <v>470</v>
      </c>
      <c r="AW11" s="4">
        <v>735</v>
      </c>
      <c r="AX11" s="4">
        <v>620</v>
      </c>
      <c r="BI11" s="87" t="s">
        <v>255</v>
      </c>
      <c r="BJ11" s="24" t="s">
        <v>67</v>
      </c>
      <c r="BK11" s="88">
        <v>34500</v>
      </c>
      <c r="BL11" s="89">
        <v>25.5</v>
      </c>
      <c r="BM11" s="89">
        <v>19.5</v>
      </c>
      <c r="BN11" s="90">
        <v>1.95</v>
      </c>
      <c r="BO11" s="91">
        <v>1.3</v>
      </c>
      <c r="BP11" s="25" t="s">
        <v>256</v>
      </c>
      <c r="BQ11" s="25">
        <f t="shared" si="9"/>
        <v>28</v>
      </c>
      <c r="CC11" s="103" t="s">
        <v>260</v>
      </c>
      <c r="CD11" s="104">
        <v>300</v>
      </c>
      <c r="CE11" s="104">
        <v>440</v>
      </c>
      <c r="CF11" s="103">
        <f t="shared" si="1"/>
        <v>300</v>
      </c>
      <c r="CG11" s="103">
        <f t="shared" ref="CG11:CG14" si="10">CD11/1.15</f>
        <v>260.86956521739131</v>
      </c>
      <c r="CH11" s="103">
        <f t="shared" si="3"/>
        <v>300</v>
      </c>
      <c r="CI11" s="103">
        <v>210</v>
      </c>
      <c r="CJ11" s="105">
        <v>200000</v>
      </c>
      <c r="DA11" s="100">
        <f t="shared" si="8"/>
        <v>1.5000000000000004</v>
      </c>
      <c r="DB11" s="100">
        <v>8.1000000000000003E-2</v>
      </c>
      <c r="DC11" s="100">
        <v>0.05</v>
      </c>
      <c r="DD11" s="109">
        <f>DD10+0.1</f>
        <v>0.99999999999999989</v>
      </c>
      <c r="DE11" s="100">
        <v>8.1000000000000003E-2</v>
      </c>
    </row>
    <row r="12" spans="1:118" ht="14.4">
      <c r="A12" s="14" t="s">
        <v>7</v>
      </c>
      <c r="B12" s="3">
        <f t="shared" si="0"/>
        <v>206000</v>
      </c>
      <c r="C12" s="3">
        <v>215</v>
      </c>
      <c r="D12" s="179">
        <v>360</v>
      </c>
      <c r="E12" s="180">
        <v>1.05</v>
      </c>
      <c r="F12" s="38"/>
      <c r="G12" s="38"/>
      <c r="H12" s="38"/>
      <c r="I12" s="38"/>
      <c r="V12" s="22">
        <v>30</v>
      </c>
      <c r="W12" s="4">
        <v>3.5</v>
      </c>
      <c r="X12" s="10">
        <f t="shared" si="5"/>
        <v>706.85834705770344</v>
      </c>
      <c r="Y12" s="4">
        <v>561</v>
      </c>
      <c r="Z12" s="4">
        <v>1.3</v>
      </c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V12" s="4">
        <v>480</v>
      </c>
      <c r="AW12" s="4">
        <v>750</v>
      </c>
      <c r="AX12" s="4">
        <v>630</v>
      </c>
      <c r="BI12" s="87" t="s">
        <v>258</v>
      </c>
      <c r="BJ12" s="24" t="s">
        <v>68</v>
      </c>
      <c r="BK12" s="88">
        <v>36000</v>
      </c>
      <c r="BL12" s="89">
        <v>29</v>
      </c>
      <c r="BM12" s="89">
        <v>22</v>
      </c>
      <c r="BN12" s="90">
        <v>2.1</v>
      </c>
      <c r="BO12" s="91">
        <v>1.4</v>
      </c>
      <c r="BP12" s="25" t="s">
        <v>259</v>
      </c>
      <c r="BQ12" s="25">
        <f t="shared" si="9"/>
        <v>32</v>
      </c>
      <c r="CC12" s="103" t="s">
        <v>264</v>
      </c>
      <c r="CD12" s="104">
        <v>300</v>
      </c>
      <c r="CE12" s="104">
        <v>450</v>
      </c>
      <c r="CF12" s="103">
        <f t="shared" si="1"/>
        <v>300</v>
      </c>
      <c r="CG12" s="103">
        <f t="shared" si="10"/>
        <v>260.86956521739131</v>
      </c>
      <c r="CH12" s="103">
        <f t="shared" si="3"/>
        <v>300</v>
      </c>
      <c r="CI12" s="103">
        <v>210</v>
      </c>
      <c r="CJ12" s="105">
        <v>200000</v>
      </c>
      <c r="DA12" s="100">
        <f t="shared" si="8"/>
        <v>1.6000000000000005</v>
      </c>
      <c r="DB12" s="100">
        <v>8.5999999999999993E-2</v>
      </c>
      <c r="DC12" s="100">
        <v>4.9000000000000002E-2</v>
      </c>
      <c r="DD12" s="109">
        <v>1.2</v>
      </c>
      <c r="DE12" s="100">
        <v>8.5999999999999993E-2</v>
      </c>
    </row>
    <row r="13" spans="1:118" ht="14.4">
      <c r="A13" s="14" t="s">
        <v>8</v>
      </c>
      <c r="B13" s="3">
        <f t="shared" si="0"/>
        <v>206000</v>
      </c>
      <c r="C13" s="3">
        <v>275</v>
      </c>
      <c r="D13" s="179">
        <v>410</v>
      </c>
      <c r="E13" s="180">
        <v>1.05</v>
      </c>
      <c r="F13" s="38"/>
      <c r="G13" s="38"/>
      <c r="H13" s="38"/>
      <c r="I13" s="38"/>
      <c r="V13" s="22">
        <v>36</v>
      </c>
      <c r="W13" s="4">
        <v>4</v>
      </c>
      <c r="X13" s="10">
        <f t="shared" si="5"/>
        <v>1017.8760197630929</v>
      </c>
      <c r="Y13" s="4">
        <v>816</v>
      </c>
      <c r="Z13" s="4">
        <v>1.3</v>
      </c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V13" s="4">
        <v>490</v>
      </c>
      <c r="AW13" s="4">
        <v>765</v>
      </c>
      <c r="AX13" s="4">
        <v>645</v>
      </c>
      <c r="BI13" s="87" t="s">
        <v>261</v>
      </c>
      <c r="BJ13" s="24" t="s">
        <v>262</v>
      </c>
      <c r="BK13" s="88">
        <v>37000</v>
      </c>
      <c r="BL13" s="89">
        <v>32</v>
      </c>
      <c r="BM13" s="89">
        <v>25</v>
      </c>
      <c r="BN13" s="90">
        <v>2.25</v>
      </c>
      <c r="BO13" s="91">
        <v>1.5</v>
      </c>
      <c r="BP13" s="25" t="s">
        <v>263</v>
      </c>
      <c r="BQ13" s="25">
        <f t="shared" si="9"/>
        <v>35</v>
      </c>
      <c r="CC13" s="103" t="s">
        <v>268</v>
      </c>
      <c r="CD13" s="104">
        <v>400</v>
      </c>
      <c r="CE13" s="104">
        <v>570</v>
      </c>
      <c r="CF13" s="103">
        <f t="shared" si="1"/>
        <v>400</v>
      </c>
      <c r="CG13" s="103">
        <f t="shared" si="10"/>
        <v>347.82608695652175</v>
      </c>
      <c r="CH13" s="103">
        <f t="shared" si="3"/>
        <v>400</v>
      </c>
      <c r="CI13" s="103">
        <v>280</v>
      </c>
      <c r="CJ13" s="105">
        <v>200000</v>
      </c>
      <c r="DA13" s="100">
        <f t="shared" si="8"/>
        <v>1.7000000000000006</v>
      </c>
      <c r="DB13" s="100">
        <v>9.0999999999999998E-2</v>
      </c>
      <c r="DC13" s="100">
        <v>4.8000000000000001E-2</v>
      </c>
      <c r="DD13" s="109">
        <v>1.4</v>
      </c>
      <c r="DE13" s="100">
        <v>9.0999999999999998E-2</v>
      </c>
    </row>
    <row r="14" spans="1:118" ht="14.4">
      <c r="A14" s="14" t="s">
        <v>9</v>
      </c>
      <c r="B14" s="3">
        <f t="shared" si="0"/>
        <v>206000</v>
      </c>
      <c r="C14" s="3">
        <v>265</v>
      </c>
      <c r="D14" s="179">
        <v>410</v>
      </c>
      <c r="E14" s="180">
        <v>1.05</v>
      </c>
      <c r="F14" s="38"/>
      <c r="G14" s="38"/>
      <c r="H14" s="38"/>
      <c r="I14" s="38"/>
      <c r="V14" s="22">
        <v>42</v>
      </c>
      <c r="W14" s="4">
        <v>4.5</v>
      </c>
      <c r="X14" s="10">
        <f t="shared" si="5"/>
        <v>1385.4423602330987</v>
      </c>
      <c r="Y14" s="4">
        <v>1120</v>
      </c>
      <c r="Z14" s="4">
        <v>1.6</v>
      </c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V14" s="4">
        <v>510</v>
      </c>
      <c r="AW14" s="4">
        <v>795</v>
      </c>
      <c r="AX14" s="4">
        <v>670</v>
      </c>
      <c r="BI14" s="87" t="s">
        <v>265</v>
      </c>
      <c r="BJ14" s="24" t="s">
        <v>266</v>
      </c>
      <c r="BK14" s="88">
        <v>38000</v>
      </c>
      <c r="BL14" s="89">
        <v>36</v>
      </c>
      <c r="BM14" s="89">
        <v>27.5</v>
      </c>
      <c r="BN14" s="90">
        <v>2.4500000000000002</v>
      </c>
      <c r="BO14" s="91">
        <v>1.6</v>
      </c>
      <c r="BP14" s="25" t="s">
        <v>267</v>
      </c>
      <c r="BQ14" s="25">
        <f t="shared" si="9"/>
        <v>40</v>
      </c>
      <c r="CC14" s="103" t="s">
        <v>271</v>
      </c>
      <c r="CD14" s="104">
        <v>500</v>
      </c>
      <c r="CE14" s="104">
        <v>650</v>
      </c>
      <c r="CF14" s="103">
        <f t="shared" si="1"/>
        <v>500</v>
      </c>
      <c r="CG14" s="103">
        <f t="shared" si="10"/>
        <v>434.78260869565219</v>
      </c>
      <c r="CH14" s="103">
        <f t="shared" si="3"/>
        <v>500</v>
      </c>
      <c r="CI14" s="103">
        <v>300</v>
      </c>
      <c r="CJ14" s="105">
        <v>200000</v>
      </c>
      <c r="DA14" s="100">
        <f t="shared" si="8"/>
        <v>1.8000000000000007</v>
      </c>
      <c r="DB14" s="100">
        <v>9.4E-2</v>
      </c>
      <c r="DC14" s="100">
        <v>4.8000000000000001E-2</v>
      </c>
      <c r="DD14" s="109">
        <v>2</v>
      </c>
      <c r="DE14" s="100">
        <v>9.4E-2</v>
      </c>
    </row>
    <row r="15" spans="1:118" ht="14.4">
      <c r="A15" s="14" t="s">
        <v>10</v>
      </c>
      <c r="B15" s="3">
        <f t="shared" si="0"/>
        <v>206000</v>
      </c>
      <c r="C15" s="3">
        <v>255</v>
      </c>
      <c r="D15" s="179">
        <v>410</v>
      </c>
      <c r="E15" s="180">
        <v>1.05</v>
      </c>
      <c r="F15" s="38"/>
      <c r="G15" s="38"/>
      <c r="H15" s="38"/>
      <c r="I15" s="38"/>
      <c r="V15" s="22">
        <v>48</v>
      </c>
      <c r="W15" s="4">
        <v>5</v>
      </c>
      <c r="X15" s="10">
        <f t="shared" si="5"/>
        <v>1809.5573684677208</v>
      </c>
      <c r="Y15" s="4">
        <v>1472</v>
      </c>
      <c r="Z15" s="4">
        <v>1.6</v>
      </c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V15" s="4">
        <v>540</v>
      </c>
      <c r="AW15" s="4">
        <v>845</v>
      </c>
      <c r="AX15" s="4">
        <v>710</v>
      </c>
      <c r="BI15" s="87" t="s">
        <v>265</v>
      </c>
      <c r="BJ15" s="24" t="s">
        <v>269</v>
      </c>
      <c r="BK15" s="88">
        <v>39000</v>
      </c>
      <c r="BL15" s="89">
        <v>39.5</v>
      </c>
      <c r="BM15" s="89">
        <v>30</v>
      </c>
      <c r="BN15" s="90">
        <v>2.6</v>
      </c>
      <c r="BO15" s="91">
        <v>1.7</v>
      </c>
      <c r="BP15" s="25" t="s">
        <v>270</v>
      </c>
      <c r="BQ15" s="25">
        <f t="shared" si="9"/>
        <v>45</v>
      </c>
      <c r="CC15" s="103" t="s">
        <v>275</v>
      </c>
      <c r="CD15" s="104">
        <v>235</v>
      </c>
      <c r="CE15" s="104">
        <v>380</v>
      </c>
      <c r="CF15" s="103">
        <f t="shared" si="1"/>
        <v>235</v>
      </c>
      <c r="CG15" s="103">
        <f t="shared" si="2"/>
        <v>204.34782608695653</v>
      </c>
      <c r="CH15" s="103">
        <f t="shared" si="3"/>
        <v>235</v>
      </c>
      <c r="CI15" s="103">
        <f t="shared" si="4"/>
        <v>164.5</v>
      </c>
      <c r="CJ15" s="107">
        <v>200000</v>
      </c>
      <c r="DA15" s="100">
        <f t="shared" si="8"/>
        <v>1.9000000000000008</v>
      </c>
      <c r="DB15" s="100">
        <v>9.8000000000000004E-2</v>
      </c>
      <c r="DC15" s="100">
        <v>4.7E-2</v>
      </c>
      <c r="DD15" s="109">
        <v>2.0000100000000001</v>
      </c>
      <c r="DE15" s="100">
        <v>9.8000000000000004E-2</v>
      </c>
    </row>
    <row r="16" spans="1:118" ht="15" thickBot="1">
      <c r="A16" s="14" t="s">
        <v>11</v>
      </c>
      <c r="B16" s="3">
        <f t="shared" si="0"/>
        <v>206000</v>
      </c>
      <c r="C16" s="3">
        <v>245</v>
      </c>
      <c r="D16" s="179">
        <v>410</v>
      </c>
      <c r="E16" s="180">
        <v>1.05</v>
      </c>
      <c r="F16" s="38"/>
      <c r="G16" s="38"/>
      <c r="H16" s="38"/>
      <c r="I16" s="38"/>
      <c r="AV16" s="4">
        <v>570</v>
      </c>
      <c r="AW16" s="4">
        <v>890</v>
      </c>
      <c r="AX16" s="4">
        <v>750</v>
      </c>
      <c r="BI16" s="92" t="s">
        <v>272</v>
      </c>
      <c r="BJ16" s="93" t="s">
        <v>273</v>
      </c>
      <c r="BK16" s="94">
        <v>39500</v>
      </c>
      <c r="BL16" s="95">
        <v>43</v>
      </c>
      <c r="BM16" s="95">
        <v>33</v>
      </c>
      <c r="BN16" s="96">
        <v>2.75</v>
      </c>
      <c r="BO16" s="97">
        <v>1.8</v>
      </c>
      <c r="BP16" s="25" t="s">
        <v>274</v>
      </c>
      <c r="BQ16" s="25">
        <f t="shared" si="9"/>
        <v>50</v>
      </c>
      <c r="CC16" s="103" t="s">
        <v>276</v>
      </c>
      <c r="CD16" s="104">
        <v>295</v>
      </c>
      <c r="CE16" s="104">
        <v>440</v>
      </c>
      <c r="CF16" s="103">
        <f t="shared" si="1"/>
        <v>295</v>
      </c>
      <c r="CG16" s="103">
        <f t="shared" si="2"/>
        <v>256.52173913043481</v>
      </c>
      <c r="CH16" s="103">
        <f t="shared" si="3"/>
        <v>295</v>
      </c>
      <c r="CI16" s="103">
        <f t="shared" si="4"/>
        <v>206.5</v>
      </c>
      <c r="CJ16" s="107">
        <v>200000</v>
      </c>
      <c r="DA16" s="100">
        <f t="shared" si="8"/>
        <v>2.0000000000000009</v>
      </c>
      <c r="DB16" s="100">
        <v>0.1</v>
      </c>
      <c r="DC16" s="100">
        <v>4.5999999999999999E-2</v>
      </c>
      <c r="DD16" s="109">
        <v>100</v>
      </c>
      <c r="DE16" s="100">
        <v>9.8000000000000004E-2</v>
      </c>
    </row>
    <row r="17" spans="1:109">
      <c r="A17" s="14" t="s">
        <v>12</v>
      </c>
      <c r="B17" s="3">
        <f t="shared" si="0"/>
        <v>206000</v>
      </c>
      <c r="C17" s="3">
        <v>235</v>
      </c>
      <c r="D17" s="179">
        <v>410</v>
      </c>
      <c r="E17" s="180">
        <v>1.05</v>
      </c>
      <c r="F17" s="38"/>
      <c r="G17" s="38"/>
      <c r="H17" s="38"/>
      <c r="I17" s="38"/>
      <c r="AV17" s="4">
        <v>590</v>
      </c>
      <c r="AW17" s="4">
        <v>920</v>
      </c>
      <c r="AX17" s="4">
        <v>775</v>
      </c>
      <c r="CC17" s="103" t="s">
        <v>277</v>
      </c>
      <c r="CD17" s="104">
        <v>295</v>
      </c>
      <c r="CE17" s="104">
        <v>440</v>
      </c>
      <c r="CF17" s="103">
        <f t="shared" si="1"/>
        <v>295</v>
      </c>
      <c r="CG17" s="103">
        <f t="shared" si="2"/>
        <v>256.52173913043481</v>
      </c>
      <c r="CH17" s="103">
        <f t="shared" si="3"/>
        <v>295</v>
      </c>
      <c r="CI17" s="103">
        <f t="shared" si="4"/>
        <v>206.5</v>
      </c>
      <c r="CJ17" s="107">
        <v>200000</v>
      </c>
      <c r="DA17" s="100">
        <v>2.0001000000000002</v>
      </c>
      <c r="DB17" s="100">
        <v>0.125</v>
      </c>
      <c r="DC17" s="100">
        <v>3.6999999999999998E-2</v>
      </c>
      <c r="DD17" s="100"/>
      <c r="DE17" s="100"/>
    </row>
    <row r="18" spans="1:109">
      <c r="A18" s="14" t="s">
        <v>13</v>
      </c>
      <c r="B18" s="3">
        <f t="shared" si="0"/>
        <v>206000</v>
      </c>
      <c r="C18" s="3">
        <v>355</v>
      </c>
      <c r="D18" s="179">
        <v>470</v>
      </c>
      <c r="E18" s="180">
        <v>1.05</v>
      </c>
      <c r="F18" s="38"/>
      <c r="G18" s="38"/>
      <c r="H18" s="38"/>
      <c r="I18" s="38"/>
      <c r="AV18" s="4"/>
      <c r="AW18" s="4"/>
      <c r="AX18" s="4"/>
      <c r="CC18" s="103" t="s">
        <v>278</v>
      </c>
      <c r="CD18" s="104">
        <v>390</v>
      </c>
      <c r="CE18" s="104">
        <v>560</v>
      </c>
      <c r="CF18" s="103">
        <f t="shared" si="1"/>
        <v>390</v>
      </c>
      <c r="CG18" s="103">
        <f t="shared" si="2"/>
        <v>339.13043478260875</v>
      </c>
      <c r="CH18" s="103">
        <f t="shared" si="3"/>
        <v>390</v>
      </c>
      <c r="CI18" s="103">
        <f t="shared" si="4"/>
        <v>273</v>
      </c>
      <c r="CJ18" s="106">
        <v>200000</v>
      </c>
      <c r="DA18" s="100">
        <v>999</v>
      </c>
      <c r="DB18" s="100">
        <v>0.125</v>
      </c>
      <c r="DC18" s="100">
        <v>3.6999999999999998E-2</v>
      </c>
      <c r="DD18" s="100"/>
      <c r="DE18" s="100"/>
    </row>
    <row r="19" spans="1:109">
      <c r="A19" s="14" t="s">
        <v>14</v>
      </c>
      <c r="B19" s="3">
        <f t="shared" si="0"/>
        <v>206000</v>
      </c>
      <c r="C19" s="3">
        <v>345</v>
      </c>
      <c r="D19" s="179">
        <v>470</v>
      </c>
      <c r="E19" s="180">
        <v>1.05</v>
      </c>
      <c r="F19" s="38"/>
      <c r="G19" s="38"/>
      <c r="H19" s="38"/>
      <c r="I19" s="38"/>
      <c r="AV19" s="4"/>
      <c r="AW19" s="4"/>
      <c r="AX19" s="4"/>
      <c r="CC19" s="103" t="s">
        <v>279</v>
      </c>
      <c r="CD19" s="104">
        <v>490</v>
      </c>
      <c r="CE19" s="104">
        <v>620</v>
      </c>
      <c r="CF19" s="103">
        <f t="shared" si="1"/>
        <v>490</v>
      </c>
      <c r="CG19" s="103">
        <f t="shared" si="2"/>
        <v>426.08695652173918</v>
      </c>
      <c r="CH19" s="103">
        <f t="shared" si="3"/>
        <v>490</v>
      </c>
      <c r="CI19" s="103">
        <f t="shared" si="4"/>
        <v>343</v>
      </c>
      <c r="CJ19" s="107">
        <v>200000</v>
      </c>
    </row>
    <row r="20" spans="1:109">
      <c r="A20" s="14" t="s">
        <v>15</v>
      </c>
      <c r="B20" s="3">
        <f t="shared" si="0"/>
        <v>206000</v>
      </c>
      <c r="C20" s="3">
        <v>335</v>
      </c>
      <c r="D20" s="179">
        <v>470</v>
      </c>
      <c r="E20" s="180">
        <v>1.05</v>
      </c>
      <c r="F20" s="38"/>
      <c r="G20" s="38"/>
      <c r="H20" s="38"/>
      <c r="I20" s="38"/>
      <c r="AV20" s="4"/>
      <c r="AW20" s="4"/>
      <c r="AX20" s="4"/>
      <c r="CC20" s="98"/>
      <c r="CD20" s="99"/>
      <c r="CE20" s="99"/>
    </row>
    <row r="21" spans="1:109">
      <c r="A21" s="14" t="s">
        <v>16</v>
      </c>
      <c r="B21" s="3">
        <f t="shared" si="0"/>
        <v>206000</v>
      </c>
      <c r="C21" s="3">
        <v>325</v>
      </c>
      <c r="D21" s="179">
        <v>470</v>
      </c>
      <c r="E21" s="180">
        <v>1.05</v>
      </c>
      <c r="F21" s="38"/>
      <c r="G21" s="38"/>
      <c r="H21" s="38"/>
      <c r="I21" s="38"/>
      <c r="AV21" s="4"/>
      <c r="AW21" s="4"/>
      <c r="AX21" s="4"/>
      <c r="CC21" s="98"/>
      <c r="CD21" s="99"/>
      <c r="CE21" s="99"/>
    </row>
    <row r="22" spans="1:109">
      <c r="A22" s="14" t="s">
        <v>17</v>
      </c>
      <c r="B22" s="3">
        <f t="shared" si="0"/>
        <v>206000</v>
      </c>
      <c r="C22" s="3">
        <v>315</v>
      </c>
      <c r="D22" s="179">
        <v>470</v>
      </c>
      <c r="E22" s="180">
        <v>1.05</v>
      </c>
      <c r="F22" s="38"/>
      <c r="G22" s="38"/>
      <c r="H22" s="38"/>
      <c r="I22" s="38"/>
      <c r="AV22" s="4"/>
      <c r="AW22" s="4"/>
      <c r="AX22" s="4"/>
    </row>
    <row r="23" spans="1:109">
      <c r="A23" s="14" t="s">
        <v>280</v>
      </c>
      <c r="B23" s="3">
        <f t="shared" si="0"/>
        <v>206000</v>
      </c>
      <c r="C23" s="3">
        <v>205</v>
      </c>
      <c r="D23" s="179">
        <v>330</v>
      </c>
      <c r="E23" s="180">
        <v>1.05</v>
      </c>
      <c r="F23" s="38"/>
      <c r="G23" s="38"/>
      <c r="H23" s="38"/>
      <c r="I23" s="38"/>
      <c r="AV23" s="4"/>
      <c r="AW23" s="4"/>
      <c r="AX23" s="4"/>
    </row>
    <row r="24" spans="1:109">
      <c r="A24" s="14" t="s">
        <v>281</v>
      </c>
      <c r="B24" s="3">
        <f t="shared" si="0"/>
        <v>206000</v>
      </c>
      <c r="C24" s="3">
        <v>195</v>
      </c>
      <c r="D24" s="179">
        <v>330</v>
      </c>
      <c r="E24" s="180">
        <v>1.05</v>
      </c>
      <c r="F24" s="38"/>
      <c r="G24" s="38"/>
      <c r="H24" s="38"/>
      <c r="I24" s="38"/>
    </row>
    <row r="25" spans="1:109">
      <c r="A25" s="14" t="s">
        <v>282</v>
      </c>
      <c r="B25" s="3">
        <f t="shared" si="0"/>
        <v>206000</v>
      </c>
      <c r="C25" s="3">
        <v>245</v>
      </c>
      <c r="D25" s="179">
        <v>400</v>
      </c>
      <c r="E25" s="180">
        <v>1.05</v>
      </c>
      <c r="F25" s="38"/>
      <c r="G25" s="38"/>
      <c r="H25" s="38"/>
      <c r="I25" s="38"/>
    </row>
    <row r="26" spans="1:109">
      <c r="A26" s="14" t="s">
        <v>283</v>
      </c>
      <c r="B26" s="3">
        <f t="shared" si="0"/>
        <v>206000</v>
      </c>
      <c r="C26" s="3">
        <v>235</v>
      </c>
      <c r="D26" s="179">
        <v>400</v>
      </c>
      <c r="E26" s="180">
        <v>1.05</v>
      </c>
      <c r="F26" s="38"/>
      <c r="G26" s="38"/>
      <c r="H26" s="38"/>
      <c r="I26" s="38"/>
    </row>
    <row r="27" spans="1:109">
      <c r="A27" s="14" t="s">
        <v>284</v>
      </c>
      <c r="B27" s="3">
        <f t="shared" si="0"/>
        <v>206000</v>
      </c>
      <c r="C27" s="3">
        <v>285</v>
      </c>
      <c r="D27" s="179">
        <v>490</v>
      </c>
      <c r="E27" s="180">
        <v>1.05</v>
      </c>
      <c r="F27" s="38"/>
      <c r="G27" s="38"/>
      <c r="H27" s="38"/>
      <c r="I27" s="38"/>
    </row>
    <row r="28" spans="1:109">
      <c r="A28" s="14" t="s">
        <v>285</v>
      </c>
      <c r="B28" s="3">
        <f t="shared" si="0"/>
        <v>206000</v>
      </c>
      <c r="C28" s="3">
        <v>275</v>
      </c>
      <c r="D28" s="179">
        <v>490</v>
      </c>
      <c r="E28" s="180">
        <v>1.05</v>
      </c>
      <c r="F28" s="38"/>
      <c r="G28" s="38"/>
      <c r="H28" s="38"/>
      <c r="I28" s="38"/>
    </row>
    <row r="29" spans="1:109">
      <c r="A29" s="14" t="s">
        <v>286</v>
      </c>
      <c r="B29" s="3">
        <f t="shared" si="0"/>
        <v>206000</v>
      </c>
      <c r="C29" s="3">
        <v>400</v>
      </c>
      <c r="D29" s="179">
        <v>540</v>
      </c>
      <c r="E29" s="180">
        <v>1.05</v>
      </c>
      <c r="F29" s="38"/>
      <c r="G29" s="38"/>
      <c r="H29" s="38"/>
      <c r="I29" s="38"/>
    </row>
    <row r="30" spans="1:109">
      <c r="A30" s="14" t="s">
        <v>287</v>
      </c>
      <c r="B30" s="3">
        <f t="shared" si="0"/>
        <v>206000</v>
      </c>
      <c r="C30" s="3">
        <v>390</v>
      </c>
      <c r="D30" s="179">
        <v>540</v>
      </c>
      <c r="E30" s="180">
        <v>1.05</v>
      </c>
    </row>
    <row r="31" spans="1:109">
      <c r="A31" s="14" t="s">
        <v>359</v>
      </c>
      <c r="B31" s="3">
        <f t="shared" si="0"/>
        <v>206000</v>
      </c>
      <c r="C31" s="3">
        <v>220</v>
      </c>
      <c r="D31" s="179">
        <v>340</v>
      </c>
      <c r="E31" s="180">
        <v>1.05</v>
      </c>
    </row>
    <row r="32" spans="1:109">
      <c r="A32" s="14" t="s">
        <v>360</v>
      </c>
      <c r="B32" s="3">
        <f t="shared" si="0"/>
        <v>206000</v>
      </c>
      <c r="C32" s="3">
        <v>240</v>
      </c>
      <c r="D32" s="179">
        <v>380</v>
      </c>
      <c r="E32" s="180">
        <v>1.05</v>
      </c>
    </row>
    <row r="33" spans="1:5">
      <c r="A33" s="14" t="s">
        <v>361</v>
      </c>
      <c r="B33" s="3">
        <f t="shared" si="0"/>
        <v>206000</v>
      </c>
      <c r="C33" s="3">
        <v>260</v>
      </c>
      <c r="D33" s="179">
        <v>420</v>
      </c>
      <c r="E33" s="180">
        <v>1.05</v>
      </c>
    </row>
  </sheetData>
  <mergeCells count="17">
    <mergeCell ref="BK1:BK3"/>
    <mergeCell ref="BL1:BO1"/>
    <mergeCell ref="BP1:BQ2"/>
    <mergeCell ref="CC1:CJ1"/>
    <mergeCell ref="K1:O2"/>
    <mergeCell ref="V1:Z2"/>
    <mergeCell ref="AV1:AX1"/>
    <mergeCell ref="AZ1:BB1"/>
    <mergeCell ref="BI1:BJ4"/>
    <mergeCell ref="DA2:DC3"/>
    <mergeCell ref="DD2:DE3"/>
    <mergeCell ref="DF1:DG1"/>
    <mergeCell ref="BL2:BM2"/>
    <mergeCell ref="BN2:BO2"/>
    <mergeCell ref="CC2:CC3"/>
    <mergeCell ref="BP3:BP4"/>
    <mergeCell ref="DA1:DE1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</sheetPr>
  <dimension ref="A1:ES1512"/>
  <sheetViews>
    <sheetView showGridLines="0" tabSelected="1" topLeftCell="AG11" zoomScale="130" zoomScaleNormal="130" zoomScaleSheetLayoutView="100" workbookViewId="0">
      <selection activeCell="BH30" sqref="BH30"/>
    </sheetView>
  </sheetViews>
  <sheetFormatPr defaultColWidth="7.33203125" defaultRowHeight="13.8"/>
  <cols>
    <col min="1" max="2" width="5.6640625" style="1" hidden="1" customWidth="1"/>
    <col min="3" max="3" width="6.5546875" style="1" hidden="1" customWidth="1"/>
    <col min="4" max="4" width="7" style="1" hidden="1" customWidth="1"/>
    <col min="5" max="8" width="5.6640625" style="1" hidden="1" customWidth="1"/>
    <col min="9" max="9" width="6.88671875" style="1" hidden="1" customWidth="1"/>
    <col min="10" max="11" width="5.6640625" style="1" hidden="1" customWidth="1"/>
    <col min="12" max="12" width="2.88671875" style="16" customWidth="1"/>
    <col min="13" max="14" width="7.33203125" style="1"/>
    <col min="15" max="15" width="8.6640625" style="1" customWidth="1"/>
    <col min="16" max="16" width="7.33203125" style="1"/>
    <col min="17" max="17" width="7.33203125" style="1" customWidth="1"/>
    <col min="18" max="18" width="8" style="1" customWidth="1"/>
    <col min="19" max="21" width="7.6640625" style="1" customWidth="1"/>
    <col min="22" max="22" width="8.109375" style="1" customWidth="1"/>
    <col min="23" max="24" width="7.6640625" style="1" customWidth="1"/>
    <col min="25" max="25" width="7.33203125" style="1" hidden="1" customWidth="1"/>
    <col min="26" max="26" width="2.88671875" style="16" customWidth="1"/>
    <col min="27" max="27" width="5.33203125" style="67" customWidth="1"/>
    <col min="28" max="29" width="5.33203125" style="28" customWidth="1"/>
    <col min="30" max="30" width="5.33203125" style="68" customWidth="1"/>
    <col min="31" max="34" width="5.33203125" style="28" customWidth="1"/>
    <col min="35" max="37" width="5.33203125" style="67" customWidth="1"/>
    <col min="38" max="38" width="10.6640625" style="67" hidden="1" customWidth="1"/>
    <col min="39" max="39" width="5.33203125" style="67" hidden="1" customWidth="1"/>
    <col min="40" max="40" width="7.5546875" style="67" customWidth="1"/>
    <col min="41" max="42" width="5.6640625" style="69" customWidth="1"/>
    <col min="43" max="43" width="7.33203125" style="29"/>
    <col min="44" max="52" width="7.33203125" style="48" hidden="1" customWidth="1"/>
    <col min="53" max="57" width="4.6640625" style="48" customWidth="1"/>
    <col min="58" max="58" width="4.6640625" style="2" customWidth="1"/>
    <col min="59" max="59" width="4.109375" style="2" customWidth="1"/>
    <col min="60" max="64" width="4.6640625" style="2" customWidth="1"/>
    <col min="65" max="65" width="5.44140625" style="2" bestFit="1" customWidth="1"/>
    <col min="66" max="66" width="6" style="2" bestFit="1" customWidth="1"/>
    <col min="67" max="68" width="4.6640625" style="2" customWidth="1"/>
    <col min="69" max="69" width="6.44140625" style="2" bestFit="1" customWidth="1"/>
    <col min="70" max="71" width="4.6640625" style="2" customWidth="1"/>
    <col min="72" max="103" width="7.33203125" style="1" hidden="1" customWidth="1"/>
    <col min="104" max="104" width="2.88671875" style="16" customWidth="1"/>
    <col min="105" max="105" width="5.33203125" style="67" customWidth="1"/>
    <col min="106" max="107" width="5.33203125" style="28" customWidth="1"/>
    <col min="108" max="108" width="5.33203125" style="29" customWidth="1"/>
    <col min="109" max="112" width="5.33203125" style="28" hidden="1" customWidth="1"/>
    <col min="113" max="115" width="5.33203125" style="67" hidden="1" customWidth="1"/>
    <col min="116" max="116" width="10.6640625" style="67" customWidth="1"/>
    <col min="117" max="117" width="6.5546875" style="67" customWidth="1"/>
    <col min="118" max="118" width="7.5546875" style="67" customWidth="1"/>
    <col min="119" max="120" width="5.6640625" style="69" customWidth="1"/>
    <col min="121" max="121" width="7.33203125" style="29"/>
    <col min="122" max="130" width="7.33203125" style="48" hidden="1" customWidth="1"/>
    <col min="131" max="135" width="4.6640625" style="48" hidden="1" customWidth="1"/>
    <col min="136" max="136" width="4.6640625" style="2" hidden="1" customWidth="1"/>
    <col min="137" max="137" width="4.109375" style="2" hidden="1" customWidth="1"/>
    <col min="138" max="140" width="4.6640625" style="2" hidden="1" customWidth="1"/>
    <col min="141" max="142" width="5" style="2" customWidth="1"/>
    <col min="143" max="144" width="5" style="2" hidden="1" customWidth="1"/>
    <col min="145" max="146" width="5" style="2" customWidth="1"/>
    <col min="147" max="147" width="5" style="2" hidden="1" customWidth="1"/>
    <col min="148" max="149" width="5" style="2" customWidth="1"/>
    <col min="150" max="151" width="7.33203125" style="1" customWidth="1"/>
    <col min="152" max="16384" width="7.33203125" style="1"/>
  </cols>
  <sheetData>
    <row r="1" spans="12:149" ht="12.75" hidden="1" customHeight="1">
      <c r="AA1" s="35"/>
      <c r="AB1" s="32"/>
      <c r="AC1" s="32"/>
      <c r="AD1" s="49"/>
      <c r="AE1" s="32"/>
      <c r="AF1" s="32"/>
      <c r="AG1" s="32"/>
      <c r="AH1" s="32"/>
      <c r="AI1" s="35"/>
      <c r="AJ1" s="35"/>
      <c r="AK1" s="35"/>
      <c r="AL1" s="35"/>
      <c r="AM1" s="35"/>
      <c r="AN1" s="35"/>
      <c r="AO1" s="50"/>
      <c r="AP1" s="50"/>
      <c r="AQ1" s="48"/>
      <c r="DA1" s="35"/>
      <c r="DB1" s="32"/>
      <c r="DC1" s="32"/>
      <c r="DD1" s="48"/>
      <c r="DE1" s="32"/>
      <c r="DF1" s="32"/>
      <c r="DG1" s="32"/>
      <c r="DH1" s="32"/>
      <c r="DI1" s="35"/>
      <c r="DJ1" s="35"/>
      <c r="DK1" s="35"/>
      <c r="DL1" s="35"/>
      <c r="DM1" s="35"/>
      <c r="DN1" s="35"/>
      <c r="DO1" s="50"/>
      <c r="DP1" s="50"/>
      <c r="DQ1" s="48"/>
    </row>
    <row r="2" spans="12:149" ht="12.75" hidden="1" customHeight="1">
      <c r="AA2" s="35"/>
      <c r="AB2" s="32"/>
      <c r="AC2" s="32"/>
      <c r="AD2" s="49"/>
      <c r="AE2" s="32"/>
      <c r="AF2" s="32"/>
      <c r="AG2" s="32"/>
      <c r="AH2" s="32"/>
      <c r="AI2" s="35"/>
      <c r="AJ2" s="35"/>
      <c r="AK2" s="35"/>
      <c r="AL2" s="35"/>
      <c r="AM2" s="35"/>
      <c r="AN2" s="35"/>
      <c r="AO2" s="50"/>
      <c r="AP2" s="50"/>
      <c r="AQ2" s="48"/>
      <c r="DA2" s="35"/>
      <c r="DB2" s="32"/>
      <c r="DC2" s="32"/>
      <c r="DD2" s="48"/>
      <c r="DE2" s="32"/>
      <c r="DF2" s="32"/>
      <c r="DG2" s="32"/>
      <c r="DH2" s="32"/>
      <c r="DI2" s="35"/>
      <c r="DJ2" s="35"/>
      <c r="DK2" s="35"/>
      <c r="DL2" s="35"/>
      <c r="DM2" s="35"/>
      <c r="DN2" s="35"/>
      <c r="DO2" s="50"/>
      <c r="DP2" s="50"/>
      <c r="DQ2" s="48"/>
    </row>
    <row r="3" spans="12:149" ht="12.75" hidden="1" customHeight="1">
      <c r="AA3" s="35"/>
      <c r="AB3" s="32"/>
      <c r="AC3" s="32"/>
      <c r="AD3" s="49"/>
      <c r="AE3" s="32"/>
      <c r="AF3" s="32"/>
      <c r="AG3" s="32"/>
      <c r="AH3" s="32"/>
      <c r="AI3" s="35"/>
      <c r="AJ3" s="35"/>
      <c r="AK3" s="35"/>
      <c r="AL3" s="35"/>
      <c r="AM3" s="35"/>
      <c r="AN3" s="35"/>
      <c r="AO3" s="50"/>
      <c r="AP3" s="50"/>
      <c r="AQ3" s="48"/>
      <c r="DA3" s="35"/>
      <c r="DB3" s="32"/>
      <c r="DC3" s="32"/>
      <c r="DD3" s="48"/>
      <c r="DE3" s="32"/>
      <c r="DF3" s="32"/>
      <c r="DG3" s="32"/>
      <c r="DH3" s="32"/>
      <c r="DI3" s="35"/>
      <c r="DJ3" s="35"/>
      <c r="DK3" s="35"/>
      <c r="DL3" s="35"/>
      <c r="DM3" s="35"/>
      <c r="DN3" s="35"/>
      <c r="DO3" s="50"/>
      <c r="DP3" s="50"/>
      <c r="DQ3" s="48"/>
    </row>
    <row r="4" spans="12:149" ht="12.75" hidden="1" customHeight="1">
      <c r="AA4" s="35"/>
      <c r="AB4" s="32"/>
      <c r="AC4" s="32"/>
      <c r="AD4" s="49"/>
      <c r="AE4" s="32"/>
      <c r="AF4" s="32"/>
      <c r="AG4" s="32"/>
      <c r="AH4" s="32"/>
      <c r="AI4" s="35"/>
      <c r="AJ4" s="35"/>
      <c r="AK4" s="35"/>
      <c r="AL4" s="35"/>
      <c r="AM4" s="35"/>
      <c r="AN4" s="35"/>
      <c r="AO4" s="50"/>
      <c r="AP4" s="50"/>
      <c r="AQ4" s="48"/>
      <c r="DA4" s="35"/>
      <c r="DB4" s="32"/>
      <c r="DC4" s="32"/>
      <c r="DD4" s="48"/>
      <c r="DE4" s="32"/>
      <c r="DF4" s="32"/>
      <c r="DG4" s="32"/>
      <c r="DH4" s="32"/>
      <c r="DI4" s="35"/>
      <c r="DJ4" s="35"/>
      <c r="DK4" s="35"/>
      <c r="DL4" s="35"/>
      <c r="DM4" s="35"/>
      <c r="DN4" s="35"/>
      <c r="DO4" s="50"/>
      <c r="DP4" s="50"/>
      <c r="DQ4" s="48"/>
    </row>
    <row r="5" spans="12:149" ht="12.75" hidden="1" customHeight="1">
      <c r="AA5" s="35"/>
      <c r="AB5" s="32"/>
      <c r="AC5" s="32"/>
      <c r="AD5" s="49"/>
      <c r="AE5" s="32"/>
      <c r="AF5" s="32"/>
      <c r="AG5" s="32"/>
      <c r="AH5" s="32"/>
      <c r="AI5" s="35"/>
      <c r="AJ5" s="35"/>
      <c r="AK5" s="35"/>
      <c r="AL5" s="35"/>
      <c r="AM5" s="35"/>
      <c r="AN5" s="35"/>
      <c r="AO5" s="50"/>
      <c r="AP5" s="50"/>
      <c r="AQ5" s="48"/>
      <c r="DA5" s="35"/>
      <c r="DB5" s="32"/>
      <c r="DC5" s="32"/>
      <c r="DD5" s="48"/>
      <c r="DE5" s="32"/>
      <c r="DF5" s="32"/>
      <c r="DG5" s="32"/>
      <c r="DH5" s="32"/>
      <c r="DI5" s="35"/>
      <c r="DJ5" s="35"/>
      <c r="DK5" s="35"/>
      <c r="DL5" s="35"/>
      <c r="DM5" s="35"/>
      <c r="DN5" s="35"/>
      <c r="DO5" s="50"/>
      <c r="DP5" s="50"/>
      <c r="DQ5" s="48"/>
    </row>
    <row r="6" spans="12:149" ht="12.75" hidden="1" customHeight="1">
      <c r="AA6" s="35"/>
      <c r="AB6" s="32"/>
      <c r="AC6" s="32"/>
      <c r="AD6" s="49"/>
      <c r="AE6" s="32"/>
      <c r="AF6" s="32"/>
      <c r="AG6" s="32"/>
      <c r="AH6" s="32"/>
      <c r="AI6" s="35"/>
      <c r="AJ6" s="35"/>
      <c r="AK6" s="35"/>
      <c r="AL6" s="35"/>
      <c r="AM6" s="35"/>
      <c r="AN6" s="35"/>
      <c r="AO6" s="50"/>
      <c r="AP6" s="50"/>
      <c r="AQ6" s="48"/>
      <c r="DA6" s="35"/>
      <c r="DB6" s="32"/>
      <c r="DC6" s="32"/>
      <c r="DD6" s="48"/>
      <c r="DE6" s="32"/>
      <c r="DF6" s="32"/>
      <c r="DG6" s="32"/>
      <c r="DH6" s="32"/>
      <c r="DI6" s="35"/>
      <c r="DJ6" s="35"/>
      <c r="DK6" s="35"/>
      <c r="DL6" s="35"/>
      <c r="DM6" s="35"/>
      <c r="DN6" s="35"/>
      <c r="DO6" s="50"/>
      <c r="DP6" s="50"/>
      <c r="DQ6" s="48"/>
    </row>
    <row r="7" spans="12:149" ht="12.75" hidden="1" customHeight="1">
      <c r="AA7" s="35"/>
      <c r="AB7" s="32"/>
      <c r="AC7" s="32"/>
      <c r="AD7" s="49"/>
      <c r="AE7" s="32"/>
      <c r="AF7" s="32"/>
      <c r="AG7" s="32"/>
      <c r="AH7" s="32"/>
      <c r="AI7" s="35"/>
      <c r="AJ7" s="35"/>
      <c r="AK7" s="35"/>
      <c r="AL7" s="35"/>
      <c r="AM7" s="35"/>
      <c r="AN7" s="35"/>
      <c r="AO7" s="50"/>
      <c r="AP7" s="50"/>
      <c r="AQ7" s="48"/>
      <c r="DA7" s="35"/>
      <c r="DB7" s="32"/>
      <c r="DC7" s="32"/>
      <c r="DD7" s="48"/>
      <c r="DE7" s="32"/>
      <c r="DF7" s="32"/>
      <c r="DG7" s="32"/>
      <c r="DH7" s="32"/>
      <c r="DI7" s="35"/>
      <c r="DJ7" s="35"/>
      <c r="DK7" s="35"/>
      <c r="DL7" s="35"/>
      <c r="DM7" s="35"/>
      <c r="DN7" s="35"/>
      <c r="DO7" s="50"/>
      <c r="DP7" s="50"/>
      <c r="DQ7" s="48"/>
    </row>
    <row r="8" spans="12:149" ht="12.75" hidden="1" customHeight="1">
      <c r="AA8" s="35"/>
      <c r="AB8" s="32"/>
      <c r="AC8" s="32"/>
      <c r="AD8" s="49"/>
      <c r="AE8" s="32"/>
      <c r="AF8" s="32"/>
      <c r="AG8" s="32"/>
      <c r="AH8" s="32"/>
      <c r="AI8" s="35"/>
      <c r="AJ8" s="35"/>
      <c r="AK8" s="35"/>
      <c r="AL8" s="35"/>
      <c r="AM8" s="35"/>
      <c r="AN8" s="35"/>
      <c r="AO8" s="50"/>
      <c r="AP8" s="50"/>
      <c r="AQ8" s="48"/>
      <c r="DA8" s="35"/>
      <c r="DB8" s="32"/>
      <c r="DC8" s="32"/>
      <c r="DD8" s="48"/>
      <c r="DE8" s="32"/>
      <c r="DF8" s="32"/>
      <c r="DG8" s="32"/>
      <c r="DH8" s="32"/>
      <c r="DI8" s="35"/>
      <c r="DJ8" s="35"/>
      <c r="DK8" s="35"/>
      <c r="DL8" s="35"/>
      <c r="DM8" s="35"/>
      <c r="DN8" s="35"/>
      <c r="DO8" s="50"/>
      <c r="DP8" s="50"/>
      <c r="DQ8" s="48"/>
    </row>
    <row r="9" spans="12:149" ht="12.75" hidden="1" customHeight="1">
      <c r="AA9" s="35"/>
      <c r="AB9" s="32"/>
      <c r="AC9" s="32"/>
      <c r="AD9" s="49"/>
      <c r="AE9" s="32"/>
      <c r="AF9" s="32"/>
      <c r="AG9" s="32"/>
      <c r="AH9" s="32"/>
      <c r="AI9" s="35"/>
      <c r="AJ9" s="35"/>
      <c r="AK9" s="35"/>
      <c r="AL9" s="35"/>
      <c r="AM9" s="35"/>
      <c r="AN9" s="35"/>
      <c r="AO9" s="50"/>
      <c r="AP9" s="50"/>
      <c r="AQ9" s="48"/>
      <c r="DA9" s="35"/>
      <c r="DB9" s="32"/>
      <c r="DC9" s="32"/>
      <c r="DD9" s="48"/>
      <c r="DE9" s="32"/>
      <c r="DF9" s="32"/>
      <c r="DG9" s="32"/>
      <c r="DH9" s="32"/>
      <c r="DI9" s="35"/>
      <c r="DJ9" s="35"/>
      <c r="DK9" s="35"/>
      <c r="DL9" s="35"/>
      <c r="DM9" s="35"/>
      <c r="DN9" s="35"/>
      <c r="DO9" s="50"/>
      <c r="DP9" s="50"/>
      <c r="DQ9" s="48"/>
    </row>
    <row r="10" spans="12:149" ht="10.5" hidden="1" customHeight="1">
      <c r="AA10" s="35"/>
      <c r="AB10" s="32"/>
      <c r="AC10" s="32"/>
      <c r="AD10" s="49"/>
      <c r="AE10" s="32"/>
      <c r="AF10" s="32"/>
      <c r="AG10" s="32"/>
      <c r="AH10" s="32"/>
      <c r="AI10" s="35"/>
      <c r="AJ10" s="35"/>
      <c r="AK10" s="35"/>
      <c r="AL10" s="35"/>
      <c r="AM10" s="35"/>
      <c r="AN10" s="35"/>
      <c r="AO10" s="50"/>
      <c r="AP10" s="50"/>
      <c r="AQ10" s="48"/>
      <c r="DA10" s="35"/>
      <c r="DB10" s="32"/>
      <c r="DC10" s="32"/>
      <c r="DD10" s="48"/>
      <c r="DE10" s="32"/>
      <c r="DF10" s="32"/>
      <c r="DG10" s="32"/>
      <c r="DH10" s="32"/>
      <c r="DI10" s="35"/>
      <c r="DJ10" s="35"/>
      <c r="DK10" s="35"/>
      <c r="DL10" s="35"/>
      <c r="DM10" s="35"/>
      <c r="DN10" s="35"/>
      <c r="DO10" s="50"/>
      <c r="DP10" s="50"/>
      <c r="DQ10" s="48"/>
    </row>
    <row r="11" spans="12:149" ht="20.25" customHeight="1">
      <c r="L11" s="18">
        <f>MAX(COUNTA(#REF!)+21,23)</f>
        <v>23</v>
      </c>
      <c r="M11" s="209" t="s">
        <v>377</v>
      </c>
      <c r="N11" s="210"/>
      <c r="O11" s="210"/>
      <c r="P11" s="210"/>
      <c r="Q11" s="210"/>
      <c r="R11" s="210"/>
      <c r="S11" s="210"/>
      <c r="T11" s="210"/>
      <c r="U11" s="210"/>
      <c r="V11" s="233" t="s">
        <v>211</v>
      </c>
      <c r="W11" s="233"/>
      <c r="X11" s="234"/>
      <c r="Z11" s="18">
        <f>MAX(COUNTA(#REF!)+21,23)</f>
        <v>23</v>
      </c>
      <c r="AA11" s="51" t="s">
        <v>378</v>
      </c>
      <c r="AB11" s="195"/>
      <c r="AC11" s="195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CZ11" s="18">
        <f>MAX(COUNTA(#REF!)+21,23)</f>
        <v>23</v>
      </c>
      <c r="DA11" s="51" t="s">
        <v>378</v>
      </c>
      <c r="DB11" s="195"/>
      <c r="DC11" s="195"/>
      <c r="DD11" s="195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</row>
    <row r="12" spans="12:149" ht="12.75" customHeight="1">
      <c r="L12" s="19"/>
      <c r="M12" s="211"/>
      <c r="N12" s="212"/>
      <c r="O12" s="212"/>
      <c r="P12" s="212"/>
      <c r="Q12" s="212"/>
      <c r="R12" s="212"/>
      <c r="S12" s="212"/>
      <c r="T12" s="212"/>
      <c r="U12" s="212"/>
      <c r="V12" s="235"/>
      <c r="W12" s="235"/>
      <c r="X12" s="236"/>
      <c r="Z12" s="19"/>
      <c r="AA12" s="53" t="s">
        <v>28</v>
      </c>
      <c r="AB12" s="196"/>
      <c r="AC12" s="196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CZ12" s="19"/>
      <c r="DA12" s="53" t="s">
        <v>28</v>
      </c>
      <c r="DB12" s="196"/>
      <c r="DC12" s="196"/>
      <c r="DD12" s="196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</row>
    <row r="13" spans="12:149" ht="15" customHeight="1">
      <c r="M13" s="213" t="s">
        <v>0</v>
      </c>
      <c r="N13" s="214"/>
      <c r="O13" s="214"/>
      <c r="P13" s="141"/>
      <c r="Q13" s="141"/>
      <c r="R13" s="141"/>
      <c r="S13" s="141"/>
      <c r="T13" s="141"/>
      <c r="U13" s="141"/>
      <c r="V13" s="141"/>
      <c r="W13" s="141"/>
      <c r="X13" s="5"/>
      <c r="AA13" s="55" t="s">
        <v>197</v>
      </c>
      <c r="AB13" s="203"/>
      <c r="AC13" s="203"/>
      <c r="AD13" s="49"/>
      <c r="AE13" s="32"/>
      <c r="AF13" s="32"/>
      <c r="AG13" s="32"/>
      <c r="AH13" s="32"/>
      <c r="AI13" s="35"/>
      <c r="AJ13" s="35"/>
      <c r="AK13" s="35"/>
      <c r="AL13" s="35"/>
      <c r="AM13" s="35"/>
      <c r="AN13" s="35"/>
      <c r="AO13" s="50"/>
      <c r="AP13" s="50"/>
      <c r="AQ13" s="48"/>
      <c r="DA13" s="207" t="s">
        <v>197</v>
      </c>
      <c r="DB13" s="203"/>
      <c r="DC13" s="203"/>
      <c r="DD13" s="48"/>
      <c r="DE13" s="32"/>
      <c r="DF13" s="32"/>
      <c r="DG13" s="32"/>
      <c r="DH13" s="32"/>
      <c r="DI13" s="35"/>
      <c r="DJ13" s="35"/>
      <c r="DK13" s="35"/>
      <c r="DL13" s="35"/>
      <c r="DM13" s="35"/>
      <c r="DN13" s="35"/>
      <c r="DO13" s="50"/>
      <c r="DP13" s="50"/>
      <c r="DQ13" s="48"/>
    </row>
    <row r="14" spans="12:149" ht="12.75" customHeight="1">
      <c r="M14" s="6" t="s">
        <v>50</v>
      </c>
      <c r="N14" s="141"/>
      <c r="O14" s="141"/>
      <c r="P14" s="141"/>
      <c r="Q14" s="141"/>
      <c r="R14" s="141"/>
      <c r="S14" s="142"/>
      <c r="T14" s="143"/>
      <c r="U14" s="141"/>
      <c r="V14" s="2"/>
      <c r="W14" s="2"/>
      <c r="X14" s="5"/>
      <c r="AA14" s="35"/>
      <c r="AB14" s="32"/>
      <c r="AC14" s="32"/>
      <c r="AD14" s="56" t="s">
        <v>51</v>
      </c>
      <c r="AE14" s="32"/>
      <c r="AF14" s="32"/>
      <c r="AG14" s="57">
        <f>W17</f>
        <v>5.6</v>
      </c>
      <c r="AH14" s="32"/>
      <c r="AI14" s="35"/>
      <c r="AJ14" s="35"/>
      <c r="AK14" s="35"/>
      <c r="AL14" s="58"/>
      <c r="AM14" s="58"/>
      <c r="AN14" s="33" t="s">
        <v>49</v>
      </c>
      <c r="AO14" s="34">
        <f>W18</f>
        <v>300</v>
      </c>
      <c r="AP14" s="58" t="s">
        <v>20</v>
      </c>
      <c r="AQ14" s="48"/>
      <c r="DA14" s="56" t="s">
        <v>51</v>
      </c>
      <c r="DB14" s="32"/>
      <c r="DC14" s="32"/>
      <c r="DD14" s="36">
        <f>AG14</f>
        <v>5.6</v>
      </c>
      <c r="DE14" s="35"/>
      <c r="DF14" s="35"/>
      <c r="DG14" s="35"/>
      <c r="DH14" s="32"/>
      <c r="DI14" s="35"/>
      <c r="DJ14" s="35"/>
      <c r="DK14" s="35"/>
      <c r="DL14" s="58"/>
      <c r="DM14" s="58"/>
      <c r="DN14" s="33" t="s">
        <v>49</v>
      </c>
      <c r="DO14" s="34">
        <f>AO14</f>
        <v>300</v>
      </c>
      <c r="DP14" s="58" t="s">
        <v>20</v>
      </c>
      <c r="DQ14" s="48"/>
      <c r="EK14" s="191" t="s">
        <v>386</v>
      </c>
    </row>
    <row r="15" spans="12:149" ht="12.75" customHeight="1">
      <c r="M15" s="6" t="s">
        <v>51</v>
      </c>
      <c r="N15" s="141"/>
      <c r="O15" s="141"/>
      <c r="P15" s="141"/>
      <c r="Q15" s="141"/>
      <c r="R15" s="141"/>
      <c r="S15" s="142"/>
      <c r="T15" s="143"/>
      <c r="U15" s="141"/>
      <c r="V15" s="2"/>
      <c r="W15" s="2"/>
      <c r="X15" s="5"/>
      <c r="AA15" s="35"/>
      <c r="AB15" s="32"/>
      <c r="AC15" s="32"/>
      <c r="AD15" s="56" t="s">
        <v>52</v>
      </c>
      <c r="AE15" s="32"/>
      <c r="AF15" s="32"/>
      <c r="AG15" s="57" t="str">
        <f>W22</f>
        <v>CCT38</v>
      </c>
      <c r="AH15" s="32"/>
      <c r="AI15" s="35"/>
      <c r="AJ15" s="35"/>
      <c r="AK15" s="35"/>
      <c r="AL15" s="58"/>
      <c r="AM15" s="58"/>
      <c r="AN15" s="33" t="s">
        <v>49</v>
      </c>
      <c r="AO15" s="34">
        <f>W23</f>
        <v>240</v>
      </c>
      <c r="AP15" s="58" t="s">
        <v>20</v>
      </c>
      <c r="AQ15" s="48"/>
      <c r="DA15" s="56" t="s">
        <v>52</v>
      </c>
      <c r="DB15" s="32"/>
      <c r="DC15" s="32"/>
      <c r="DD15" s="36" t="str">
        <f>AG15</f>
        <v>CCT38</v>
      </c>
      <c r="DE15" s="35"/>
      <c r="DF15" s="35"/>
      <c r="DG15" s="35"/>
      <c r="DH15" s="32"/>
      <c r="DI15" s="35"/>
      <c r="DJ15" s="35"/>
      <c r="DK15" s="35"/>
      <c r="DL15" s="58"/>
      <c r="DM15" s="58"/>
      <c r="DN15" s="33" t="s">
        <v>49</v>
      </c>
      <c r="DO15" s="34">
        <f t="shared" ref="DO15:DO17" si="0">AO15</f>
        <v>240</v>
      </c>
      <c r="DP15" s="58" t="s">
        <v>20</v>
      </c>
      <c r="DQ15" s="48"/>
      <c r="EK15" s="191" t="s">
        <v>387</v>
      </c>
    </row>
    <row r="16" spans="12:149" ht="12.75" customHeight="1">
      <c r="M16" s="7"/>
      <c r="N16" s="141" t="str">
        <f>"- Loại bu lông:"</f>
        <v>- Loại bu lông:</v>
      </c>
      <c r="O16" s="141"/>
      <c r="P16" s="142"/>
      <c r="Q16" s="144"/>
      <c r="R16" s="141"/>
      <c r="S16" s="2"/>
      <c r="T16" s="2"/>
      <c r="U16" s="2"/>
      <c r="V16" s="2"/>
      <c r="W16" s="32" t="s">
        <v>81</v>
      </c>
      <c r="X16" s="8"/>
      <c r="AA16" s="35"/>
      <c r="AB16" s="32"/>
      <c r="AC16" s="32"/>
      <c r="AD16" s="56" t="s">
        <v>53</v>
      </c>
      <c r="AE16" s="32"/>
      <c r="AF16" s="32"/>
      <c r="AG16" s="57" t="str">
        <f>W28</f>
        <v>N42</v>
      </c>
      <c r="AH16" s="32"/>
      <c r="AI16" s="35"/>
      <c r="AJ16" s="35"/>
      <c r="AK16" s="35"/>
      <c r="AL16" s="58"/>
      <c r="AM16" s="58"/>
      <c r="AN16" s="33" t="s">
        <v>127</v>
      </c>
      <c r="AO16" s="34">
        <f>W29</f>
        <v>410</v>
      </c>
      <c r="AP16" s="58" t="s">
        <v>20</v>
      </c>
      <c r="AQ16" s="48"/>
      <c r="DA16" s="56" t="s">
        <v>53</v>
      </c>
      <c r="DB16" s="32"/>
      <c r="DC16" s="32"/>
      <c r="DD16" s="36" t="str">
        <f>AG16</f>
        <v>N42</v>
      </c>
      <c r="DE16" s="35"/>
      <c r="DF16" s="35"/>
      <c r="DG16" s="35"/>
      <c r="DH16" s="32"/>
      <c r="DI16" s="35"/>
      <c r="DJ16" s="35"/>
      <c r="DK16" s="35"/>
      <c r="DL16" s="58"/>
      <c r="DM16" s="58"/>
      <c r="DN16" s="33" t="s">
        <v>127</v>
      </c>
      <c r="DO16" s="34">
        <f t="shared" si="0"/>
        <v>410</v>
      </c>
      <c r="DP16" s="58" t="s">
        <v>20</v>
      </c>
      <c r="DQ16" s="48"/>
      <c r="EK16" s="191" t="s">
        <v>388</v>
      </c>
    </row>
    <row r="17" spans="13:149" ht="12.75" customHeight="1">
      <c r="M17" s="7"/>
      <c r="N17" s="141" t="str">
        <f>"- Cấp độ bền bu lông:"</f>
        <v>- Cấp độ bền bu lông:</v>
      </c>
      <c r="O17" s="141"/>
      <c r="P17" s="142"/>
      <c r="Q17" s="144"/>
      <c r="R17" s="141"/>
      <c r="S17" s="2"/>
      <c r="T17" s="2"/>
      <c r="U17" s="2"/>
      <c r="V17" s="2"/>
      <c r="W17" s="32">
        <v>5.6</v>
      </c>
      <c r="X17" s="8"/>
      <c r="AA17" s="35"/>
      <c r="AB17" s="32"/>
      <c r="AC17" s="32"/>
      <c r="AD17" s="56" t="s">
        <v>54</v>
      </c>
      <c r="AE17" s="32"/>
      <c r="AF17" s="32"/>
      <c r="AG17" s="57" t="str">
        <f>W35</f>
        <v>B25</v>
      </c>
      <c r="AH17" s="32"/>
      <c r="AI17" s="35"/>
      <c r="AJ17" s="35"/>
      <c r="AK17" s="35"/>
      <c r="AL17" s="2"/>
      <c r="AM17" s="2"/>
      <c r="AN17" s="33" t="s">
        <v>63</v>
      </c>
      <c r="AO17" s="34">
        <f>W36</f>
        <v>14.5</v>
      </c>
      <c r="AP17" s="2" t="s">
        <v>20</v>
      </c>
      <c r="AQ17" s="48"/>
      <c r="DA17" s="56" t="s">
        <v>54</v>
      </c>
      <c r="DB17" s="32"/>
      <c r="DC17" s="32"/>
      <c r="DD17" s="36" t="str">
        <f>AG17</f>
        <v>B25</v>
      </c>
      <c r="DE17" s="35"/>
      <c r="DF17" s="35"/>
      <c r="DG17" s="35"/>
      <c r="DH17" s="32"/>
      <c r="DI17" s="35"/>
      <c r="DJ17" s="35"/>
      <c r="DK17" s="35"/>
      <c r="DL17" s="2"/>
      <c r="DM17" s="2"/>
      <c r="DN17" s="33" t="s">
        <v>63</v>
      </c>
      <c r="DO17" s="34">
        <f t="shared" si="0"/>
        <v>14.5</v>
      </c>
      <c r="DP17" s="2" t="s">
        <v>20</v>
      </c>
      <c r="DQ17" s="48"/>
    </row>
    <row r="18" spans="13:149" ht="12.75" customHeight="1">
      <c r="M18" s="7"/>
      <c r="N18" s="141" t="str">
        <f>"- Giới hạn chảy của thép:"</f>
        <v>- Giới hạn chảy của thép:</v>
      </c>
      <c r="O18" s="141"/>
      <c r="P18" s="142"/>
      <c r="Q18" s="144"/>
      <c r="R18" s="141"/>
      <c r="S18" s="2"/>
      <c r="T18" s="2"/>
      <c r="U18" s="145"/>
      <c r="V18" s="146" t="s">
        <v>49</v>
      </c>
      <c r="W18" s="34">
        <f>VLOOKUP(W17,Data!K4:O99,3,FALSE)</f>
        <v>300</v>
      </c>
      <c r="X18" s="23" t="s">
        <v>20</v>
      </c>
      <c r="AA18" s="55" t="s">
        <v>198</v>
      </c>
      <c r="AB18" s="203"/>
      <c r="AC18" s="203"/>
      <c r="AD18" s="49"/>
      <c r="AE18" s="32"/>
      <c r="AF18" s="32"/>
      <c r="AG18" s="32"/>
      <c r="AH18" s="32"/>
      <c r="AI18" s="35"/>
      <c r="AJ18" s="35"/>
      <c r="AK18" s="35"/>
      <c r="AL18" s="35"/>
      <c r="AM18" s="35"/>
      <c r="AN18" s="35"/>
      <c r="AO18" s="50"/>
      <c r="AP18" s="50"/>
      <c r="AQ18" s="48"/>
      <c r="DA18" s="207" t="s">
        <v>198</v>
      </c>
      <c r="DB18" s="203"/>
      <c r="DC18" s="203"/>
      <c r="DD18" s="48"/>
      <c r="DE18" s="32"/>
      <c r="DF18" s="32"/>
      <c r="DG18" s="32"/>
      <c r="DH18" s="32"/>
      <c r="DI18" s="35"/>
      <c r="DJ18" s="35"/>
      <c r="DK18" s="35"/>
      <c r="DL18" s="35"/>
      <c r="DM18" s="35"/>
      <c r="DN18" s="35"/>
      <c r="DO18" s="50"/>
      <c r="DP18" s="50"/>
      <c r="DQ18" s="48"/>
    </row>
    <row r="19" spans="13:149" ht="12.75" customHeight="1">
      <c r="M19" s="7"/>
      <c r="N19" s="141" t="str">
        <f>"- Cường độ chịu kéo tính toán:"</f>
        <v>- Cường độ chịu kéo tính toán:</v>
      </c>
      <c r="O19" s="141"/>
      <c r="P19" s="142"/>
      <c r="Q19" s="144"/>
      <c r="R19" s="141"/>
      <c r="S19" s="2"/>
      <c r="T19" s="2"/>
      <c r="U19" s="2"/>
      <c r="V19" s="33" t="s">
        <v>48</v>
      </c>
      <c r="W19" s="34">
        <f>0.8*W18</f>
        <v>240</v>
      </c>
      <c r="X19" s="23" t="s">
        <v>20</v>
      </c>
      <c r="AA19" s="59"/>
      <c r="AB19" s="193"/>
      <c r="AC19" s="193"/>
      <c r="AD19" s="60"/>
      <c r="AE19" s="244" t="s">
        <v>374</v>
      </c>
      <c r="AF19" s="244"/>
      <c r="AG19" s="244"/>
      <c r="AH19" s="244"/>
      <c r="AI19" s="244" t="s">
        <v>199</v>
      </c>
      <c r="AJ19" s="244"/>
      <c r="AK19" s="244"/>
      <c r="AL19" s="240" t="s">
        <v>310</v>
      </c>
      <c r="AM19" s="241"/>
      <c r="AN19" s="244" t="s">
        <v>200</v>
      </c>
      <c r="AO19" s="244"/>
      <c r="AP19" s="244"/>
      <c r="AQ19" s="244"/>
      <c r="AR19" s="115"/>
      <c r="AS19" s="115"/>
      <c r="AT19" s="115"/>
      <c r="AU19" s="115"/>
      <c r="AV19" s="115"/>
      <c r="AW19" s="115"/>
      <c r="AX19" s="115"/>
      <c r="AY19" s="115"/>
      <c r="AZ19" s="115"/>
      <c r="BA19" s="237" t="s">
        <v>295</v>
      </c>
      <c r="BB19" s="237"/>
      <c r="BC19" s="237"/>
      <c r="BD19" s="237"/>
      <c r="BE19" s="237"/>
      <c r="BF19" s="237"/>
      <c r="BG19" s="237"/>
      <c r="BH19" s="237"/>
      <c r="BI19" s="237"/>
      <c r="BJ19" s="237"/>
      <c r="BK19" s="237"/>
      <c r="BL19" s="237"/>
      <c r="BM19" s="237" t="s">
        <v>308</v>
      </c>
      <c r="BN19" s="237"/>
      <c r="BO19" s="237"/>
      <c r="BP19" s="237"/>
      <c r="BQ19" s="237" t="s">
        <v>355</v>
      </c>
      <c r="BR19" s="237"/>
      <c r="BS19" s="237"/>
      <c r="DA19" s="240" t="s">
        <v>135</v>
      </c>
      <c r="DB19" s="255"/>
      <c r="DC19" s="255"/>
      <c r="DD19" s="241"/>
      <c r="DE19" s="244" t="s">
        <v>374</v>
      </c>
      <c r="DF19" s="244"/>
      <c r="DG19" s="244"/>
      <c r="DH19" s="244"/>
      <c r="DI19" s="244" t="s">
        <v>199</v>
      </c>
      <c r="DJ19" s="244"/>
      <c r="DK19" s="244"/>
      <c r="DL19" s="240" t="s">
        <v>310</v>
      </c>
      <c r="DM19" s="241"/>
      <c r="DN19" s="244" t="s">
        <v>200</v>
      </c>
      <c r="DO19" s="244"/>
      <c r="DP19" s="244"/>
      <c r="DQ19" s="244"/>
      <c r="DR19" s="115"/>
      <c r="DS19" s="115"/>
      <c r="DT19" s="115"/>
      <c r="DU19" s="115"/>
      <c r="DV19" s="115"/>
      <c r="DW19" s="115"/>
      <c r="DX19" s="115"/>
      <c r="DY19" s="115"/>
      <c r="DZ19" s="115"/>
      <c r="EA19" s="237" t="s">
        <v>383</v>
      </c>
      <c r="EB19" s="237"/>
      <c r="EC19" s="237"/>
      <c r="ED19" s="237"/>
      <c r="EE19" s="237"/>
      <c r="EF19" s="237"/>
      <c r="EG19" s="237"/>
      <c r="EH19" s="237"/>
      <c r="EI19" s="237"/>
      <c r="EJ19" s="237"/>
      <c r="EK19" s="237"/>
      <c r="EL19" s="237"/>
      <c r="EM19" s="237" t="s">
        <v>384</v>
      </c>
      <c r="EN19" s="237"/>
      <c r="EO19" s="237"/>
      <c r="EP19" s="237"/>
      <c r="EQ19" s="237" t="s">
        <v>385</v>
      </c>
      <c r="ER19" s="237"/>
      <c r="ES19" s="237"/>
    </row>
    <row r="20" spans="13:149" ht="12.75" customHeight="1">
      <c r="M20" s="7"/>
      <c r="N20" s="141" t="str">
        <f>"- Hệ số điều kiện làm việc bu lông:"</f>
        <v>- Hệ số điều kiện làm việc bu lông:</v>
      </c>
      <c r="O20" s="141"/>
      <c r="P20" s="142"/>
      <c r="Q20" s="144"/>
      <c r="R20" s="141"/>
      <c r="S20" s="2"/>
      <c r="T20" s="2"/>
      <c r="U20" s="2"/>
      <c r="V20" s="20" t="s">
        <v>47</v>
      </c>
      <c r="W20" s="32">
        <v>0.9</v>
      </c>
      <c r="X20" s="8"/>
      <c r="AA20" s="61"/>
      <c r="AB20" s="194"/>
      <c r="AC20" s="194"/>
      <c r="AD20" s="62"/>
      <c r="AE20" s="244"/>
      <c r="AF20" s="244"/>
      <c r="AG20" s="244"/>
      <c r="AH20" s="244"/>
      <c r="AI20" s="244"/>
      <c r="AJ20" s="244"/>
      <c r="AK20" s="244"/>
      <c r="AL20" s="242"/>
      <c r="AM20" s="243"/>
      <c r="AN20" s="244"/>
      <c r="AO20" s="244"/>
      <c r="AP20" s="244"/>
      <c r="AQ20" s="244"/>
      <c r="AR20" s="115"/>
      <c r="AS20" s="115"/>
      <c r="AT20" s="115"/>
      <c r="AU20" s="115"/>
      <c r="AV20" s="115"/>
      <c r="AW20" s="115"/>
      <c r="AX20" s="115"/>
      <c r="AY20" s="115"/>
      <c r="AZ20" s="115"/>
      <c r="BA20" s="237"/>
      <c r="BB20" s="237"/>
      <c r="BC20" s="237"/>
      <c r="BD20" s="237"/>
      <c r="BE20" s="237"/>
      <c r="BF20" s="237"/>
      <c r="BG20" s="237"/>
      <c r="BH20" s="237"/>
      <c r="BI20" s="237"/>
      <c r="BJ20" s="237"/>
      <c r="BK20" s="237"/>
      <c r="BL20" s="237"/>
      <c r="BM20" s="237"/>
      <c r="BN20" s="237"/>
      <c r="BO20" s="237"/>
      <c r="BP20" s="237"/>
      <c r="BQ20" s="237"/>
      <c r="BR20" s="237"/>
      <c r="BS20" s="237"/>
      <c r="DA20" s="242"/>
      <c r="DB20" s="256"/>
      <c r="DC20" s="256"/>
      <c r="DD20" s="243"/>
      <c r="DE20" s="244"/>
      <c r="DF20" s="244"/>
      <c r="DG20" s="244"/>
      <c r="DH20" s="244"/>
      <c r="DI20" s="244"/>
      <c r="DJ20" s="244"/>
      <c r="DK20" s="244"/>
      <c r="DL20" s="242"/>
      <c r="DM20" s="243"/>
      <c r="DN20" s="244"/>
      <c r="DO20" s="244"/>
      <c r="DP20" s="244"/>
      <c r="DQ20" s="244"/>
      <c r="DR20" s="115"/>
      <c r="DS20" s="115"/>
      <c r="DT20" s="115"/>
      <c r="DU20" s="115"/>
      <c r="DV20" s="115"/>
      <c r="DW20" s="115"/>
      <c r="DX20" s="115"/>
      <c r="DY20" s="115"/>
      <c r="DZ20" s="115"/>
      <c r="EA20" s="237"/>
      <c r="EB20" s="237"/>
      <c r="EC20" s="237"/>
      <c r="ED20" s="237"/>
      <c r="EE20" s="237"/>
      <c r="EF20" s="237"/>
      <c r="EG20" s="237"/>
      <c r="EH20" s="237"/>
      <c r="EI20" s="237"/>
      <c r="EJ20" s="237"/>
      <c r="EK20" s="237"/>
      <c r="EL20" s="237"/>
      <c r="EM20" s="237"/>
      <c r="EN20" s="237"/>
      <c r="EO20" s="237"/>
      <c r="EP20" s="237"/>
      <c r="EQ20" s="237"/>
      <c r="ER20" s="237"/>
      <c r="ES20" s="237"/>
    </row>
    <row r="21" spans="13:149" ht="12.75" customHeight="1">
      <c r="M21" s="6" t="s">
        <v>52</v>
      </c>
      <c r="N21" s="141"/>
      <c r="O21" s="141"/>
      <c r="P21" s="141"/>
      <c r="Q21" s="141"/>
      <c r="R21" s="141"/>
      <c r="S21" s="142"/>
      <c r="T21" s="143"/>
      <c r="U21" s="141"/>
      <c r="V21" s="2"/>
      <c r="W21" s="2"/>
      <c r="X21" s="5"/>
      <c r="AA21" s="63" t="s">
        <v>201</v>
      </c>
      <c r="AB21" s="237" t="s">
        <v>135</v>
      </c>
      <c r="AC21" s="237"/>
      <c r="AD21" s="64" t="s">
        <v>136</v>
      </c>
      <c r="AE21" s="65" t="s">
        <v>202</v>
      </c>
      <c r="AF21" s="65" t="s">
        <v>203</v>
      </c>
      <c r="AG21" s="65" t="s">
        <v>204</v>
      </c>
      <c r="AH21" s="65" t="s">
        <v>205</v>
      </c>
      <c r="AI21" s="64" t="s">
        <v>206</v>
      </c>
      <c r="AJ21" s="64" t="s">
        <v>207</v>
      </c>
      <c r="AK21" s="64" t="s">
        <v>208</v>
      </c>
      <c r="AL21" s="238" t="s">
        <v>379</v>
      </c>
      <c r="AM21" s="238" t="s">
        <v>209</v>
      </c>
      <c r="AN21" s="245" t="s">
        <v>137</v>
      </c>
      <c r="AO21" s="66" t="s">
        <v>138</v>
      </c>
      <c r="AP21" s="66" t="s">
        <v>141</v>
      </c>
      <c r="AQ21" s="65" t="s">
        <v>170</v>
      </c>
      <c r="AR21" s="65"/>
      <c r="AS21" s="65"/>
      <c r="AT21" s="65"/>
      <c r="AU21" s="65"/>
      <c r="AV21" s="65"/>
      <c r="AW21" s="65"/>
      <c r="AX21" s="65"/>
      <c r="AY21" s="65"/>
      <c r="AZ21" s="65"/>
      <c r="BA21" s="65" t="s">
        <v>296</v>
      </c>
      <c r="BB21" s="65" t="s">
        <v>298</v>
      </c>
      <c r="BC21" s="65" t="s">
        <v>297</v>
      </c>
      <c r="BD21" s="65" t="s">
        <v>299</v>
      </c>
      <c r="BE21" s="65" t="s">
        <v>300</v>
      </c>
      <c r="BF21" s="65" t="s">
        <v>301</v>
      </c>
      <c r="BG21" s="218" t="s">
        <v>210</v>
      </c>
      <c r="BH21" s="65" t="s">
        <v>215</v>
      </c>
      <c r="BI21" s="65" t="s">
        <v>305</v>
      </c>
      <c r="BJ21" s="65" t="s">
        <v>354</v>
      </c>
      <c r="BK21" s="218" t="s">
        <v>303</v>
      </c>
      <c r="BL21" s="218" t="s">
        <v>304</v>
      </c>
      <c r="BM21" s="116" t="s">
        <v>306</v>
      </c>
      <c r="BN21" s="116" t="s">
        <v>307</v>
      </c>
      <c r="BO21" s="218" t="s">
        <v>303</v>
      </c>
      <c r="BP21" s="246" t="s">
        <v>304</v>
      </c>
      <c r="BQ21" s="116" t="s">
        <v>356</v>
      </c>
      <c r="BR21" s="218" t="s">
        <v>303</v>
      </c>
      <c r="BS21" s="246" t="s">
        <v>304</v>
      </c>
      <c r="DA21" s="63" t="s">
        <v>201</v>
      </c>
      <c r="DB21" s="237" t="s">
        <v>135</v>
      </c>
      <c r="DC21" s="237"/>
      <c r="DD21" s="65" t="s">
        <v>136</v>
      </c>
      <c r="DE21" s="65" t="s">
        <v>202</v>
      </c>
      <c r="DF21" s="65" t="s">
        <v>203</v>
      </c>
      <c r="DG21" s="65" t="s">
        <v>204</v>
      </c>
      <c r="DH21" s="65" t="s">
        <v>205</v>
      </c>
      <c r="DI21" s="64" t="s">
        <v>206</v>
      </c>
      <c r="DJ21" s="64" t="s">
        <v>207</v>
      </c>
      <c r="DK21" s="64" t="s">
        <v>208</v>
      </c>
      <c r="DL21" s="238" t="s">
        <v>379</v>
      </c>
      <c r="DM21" s="238" t="s">
        <v>209</v>
      </c>
      <c r="DN21" s="245" t="s">
        <v>137</v>
      </c>
      <c r="DO21" s="66" t="s">
        <v>138</v>
      </c>
      <c r="DP21" s="66" t="s">
        <v>141</v>
      </c>
      <c r="DQ21" s="65" t="s">
        <v>170</v>
      </c>
      <c r="DR21" s="65"/>
      <c r="DS21" s="65"/>
      <c r="DT21" s="65"/>
      <c r="DU21" s="65"/>
      <c r="DV21" s="65"/>
      <c r="DW21" s="65"/>
      <c r="DX21" s="65"/>
      <c r="DY21" s="65"/>
      <c r="DZ21" s="65"/>
      <c r="EA21" s="65" t="s">
        <v>296</v>
      </c>
      <c r="EB21" s="65" t="s">
        <v>298</v>
      </c>
      <c r="EC21" s="65" t="s">
        <v>297</v>
      </c>
      <c r="ED21" s="65" t="s">
        <v>299</v>
      </c>
      <c r="EE21" s="65" t="s">
        <v>300</v>
      </c>
      <c r="EF21" s="65" t="s">
        <v>301</v>
      </c>
      <c r="EG21" s="218" t="s">
        <v>210</v>
      </c>
      <c r="EH21" s="65" t="s">
        <v>215</v>
      </c>
      <c r="EI21" s="65" t="s">
        <v>305</v>
      </c>
      <c r="EJ21" s="65" t="s">
        <v>354</v>
      </c>
      <c r="EK21" s="218" t="s">
        <v>303</v>
      </c>
      <c r="EL21" s="218" t="s">
        <v>304</v>
      </c>
      <c r="EM21" s="116" t="s">
        <v>306</v>
      </c>
      <c r="EN21" s="116" t="s">
        <v>307</v>
      </c>
      <c r="EO21" s="218" t="s">
        <v>303</v>
      </c>
      <c r="EP21" s="246" t="s">
        <v>304</v>
      </c>
      <c r="EQ21" s="116" t="s">
        <v>356</v>
      </c>
      <c r="ER21" s="218" t="s">
        <v>303</v>
      </c>
      <c r="ES21" s="246" t="s">
        <v>304</v>
      </c>
    </row>
    <row r="22" spans="13:149" ht="12.75" customHeight="1">
      <c r="M22" s="7"/>
      <c r="N22" s="141" t="str">
        <f>"- Bản đế, sườn đế:"</f>
        <v>- Bản đế, sườn đế:</v>
      </c>
      <c r="O22" s="141"/>
      <c r="P22" s="142"/>
      <c r="Q22" s="144"/>
      <c r="R22" s="141"/>
      <c r="S22" s="2"/>
      <c r="T22" s="2"/>
      <c r="U22" s="2"/>
      <c r="V22" s="2"/>
      <c r="W22" s="35" t="s">
        <v>360</v>
      </c>
      <c r="X22" s="8"/>
      <c r="AA22" s="139">
        <f>23+COUNTA(AA23:AA1000001)</f>
        <v>103</v>
      </c>
      <c r="AB22" s="206" t="s">
        <v>380</v>
      </c>
      <c r="AC22" s="202" t="s">
        <v>381</v>
      </c>
      <c r="AD22" s="65" t="s">
        <v>139</v>
      </c>
      <c r="AE22" s="65" t="s">
        <v>178</v>
      </c>
      <c r="AF22" s="65" t="s">
        <v>178</v>
      </c>
      <c r="AG22" s="65" t="s">
        <v>178</v>
      </c>
      <c r="AH22" s="65" t="s">
        <v>178</v>
      </c>
      <c r="AI22" s="65" t="s">
        <v>178</v>
      </c>
      <c r="AJ22" s="65" t="s">
        <v>178</v>
      </c>
      <c r="AK22" s="65" t="s">
        <v>178</v>
      </c>
      <c r="AL22" s="239"/>
      <c r="AM22" s="239"/>
      <c r="AN22" s="245"/>
      <c r="AO22" s="66" t="s">
        <v>70</v>
      </c>
      <c r="AP22" s="66" t="s">
        <v>70</v>
      </c>
      <c r="AQ22" s="65" t="s">
        <v>71</v>
      </c>
      <c r="AR22" s="65"/>
      <c r="AS22" s="65"/>
      <c r="AT22" s="65"/>
      <c r="AU22" s="65"/>
      <c r="AV22" s="65"/>
      <c r="AW22" s="65"/>
      <c r="AX22" s="65"/>
      <c r="AY22" s="65"/>
      <c r="AZ22" s="65"/>
      <c r="BA22" s="65" t="s">
        <v>139</v>
      </c>
      <c r="BB22" s="65" t="s">
        <v>1</v>
      </c>
      <c r="BC22" s="65" t="s">
        <v>1</v>
      </c>
      <c r="BD22" s="65" t="s">
        <v>1</v>
      </c>
      <c r="BE22" s="65" t="s">
        <v>1</v>
      </c>
      <c r="BF22" s="65" t="s">
        <v>1</v>
      </c>
      <c r="BG22" s="219"/>
      <c r="BH22" s="65" t="s">
        <v>70</v>
      </c>
      <c r="BI22" s="65" t="s">
        <v>302</v>
      </c>
      <c r="BJ22" s="65" t="s">
        <v>302</v>
      </c>
      <c r="BK22" s="219"/>
      <c r="BL22" s="219"/>
      <c r="BM22" s="115" t="s">
        <v>20</v>
      </c>
      <c r="BN22" s="115" t="s">
        <v>20</v>
      </c>
      <c r="BO22" s="219"/>
      <c r="BP22" s="246"/>
      <c r="BQ22" s="115" t="s">
        <v>70</v>
      </c>
      <c r="BR22" s="219"/>
      <c r="BS22" s="246"/>
      <c r="DA22" s="139">
        <f>23+COUNTA(DA23:DA1000001)</f>
        <v>25</v>
      </c>
      <c r="DB22" s="206" t="s">
        <v>380</v>
      </c>
      <c r="DC22" s="202" t="s">
        <v>381</v>
      </c>
      <c r="DD22" s="65" t="s">
        <v>139</v>
      </c>
      <c r="DE22" s="65" t="s">
        <v>178</v>
      </c>
      <c r="DF22" s="65" t="s">
        <v>178</v>
      </c>
      <c r="DG22" s="65" t="s">
        <v>178</v>
      </c>
      <c r="DH22" s="65" t="s">
        <v>178</v>
      </c>
      <c r="DI22" s="65" t="s">
        <v>178</v>
      </c>
      <c r="DJ22" s="65" t="s">
        <v>178</v>
      </c>
      <c r="DK22" s="65" t="s">
        <v>178</v>
      </c>
      <c r="DL22" s="239"/>
      <c r="DM22" s="239"/>
      <c r="DN22" s="245"/>
      <c r="DO22" s="66" t="s">
        <v>70</v>
      </c>
      <c r="DP22" s="66" t="s">
        <v>70</v>
      </c>
      <c r="DQ22" s="65" t="s">
        <v>71</v>
      </c>
      <c r="DR22" s="65"/>
      <c r="DS22" s="65"/>
      <c r="DT22" s="65"/>
      <c r="DU22" s="65"/>
      <c r="DV22" s="65"/>
      <c r="DW22" s="65"/>
      <c r="DX22" s="65"/>
      <c r="DY22" s="65"/>
      <c r="DZ22" s="65"/>
      <c r="EA22" s="65" t="s">
        <v>139</v>
      </c>
      <c r="EB22" s="65" t="s">
        <v>1</v>
      </c>
      <c r="EC22" s="65" t="s">
        <v>1</v>
      </c>
      <c r="ED22" s="65" t="s">
        <v>1</v>
      </c>
      <c r="EE22" s="65" t="s">
        <v>1</v>
      </c>
      <c r="EF22" s="65" t="s">
        <v>1</v>
      </c>
      <c r="EG22" s="219"/>
      <c r="EH22" s="65" t="s">
        <v>70</v>
      </c>
      <c r="EI22" s="65" t="s">
        <v>302</v>
      </c>
      <c r="EJ22" s="65" t="s">
        <v>302</v>
      </c>
      <c r="EK22" s="219"/>
      <c r="EL22" s="219"/>
      <c r="EM22" s="115" t="s">
        <v>20</v>
      </c>
      <c r="EN22" s="115" t="s">
        <v>20</v>
      </c>
      <c r="EO22" s="219"/>
      <c r="EP22" s="246"/>
      <c r="EQ22" s="115" t="s">
        <v>70</v>
      </c>
      <c r="ER22" s="219"/>
      <c r="ES22" s="246"/>
    </row>
    <row r="23" spans="13:149" ht="12.75" customHeight="1">
      <c r="M23" s="7"/>
      <c r="N23" s="141" t="str">
        <f>"- Cường độ tiêu chuẩn của thép:"</f>
        <v>- Cường độ tiêu chuẩn của thép:</v>
      </c>
      <c r="O23" s="141"/>
      <c r="P23" s="142"/>
      <c r="Q23" s="144"/>
      <c r="R23" s="141"/>
      <c r="S23" s="2"/>
      <c r="T23" s="2"/>
      <c r="U23" s="2"/>
      <c r="V23" s="33" t="s">
        <v>49</v>
      </c>
      <c r="W23" s="34">
        <f>VLOOKUP(W22,Data!$A$3:$D$99,3,FALSE)</f>
        <v>240</v>
      </c>
      <c r="X23" s="23" t="s">
        <v>20</v>
      </c>
      <c r="AA23" s="192" t="s">
        <v>211</v>
      </c>
      <c r="AB23" s="28" t="s">
        <v>389</v>
      </c>
      <c r="AC23" s="28" t="s">
        <v>347</v>
      </c>
      <c r="AD23" s="29">
        <v>20.399999999999999</v>
      </c>
      <c r="AE23" s="4">
        <f>$W$39</f>
        <v>450</v>
      </c>
      <c r="AF23" s="4">
        <f>$W$40</f>
        <v>200</v>
      </c>
      <c r="AG23" s="4">
        <f>$W$41</f>
        <v>6</v>
      </c>
      <c r="AH23" s="4">
        <f>$W$42</f>
        <v>12</v>
      </c>
      <c r="AI23" s="13">
        <f>$W$47</f>
        <v>670</v>
      </c>
      <c r="AJ23" s="13">
        <f>$W$48</f>
        <v>250</v>
      </c>
      <c r="AK23" s="13">
        <f>$W$49</f>
        <v>20</v>
      </c>
      <c r="AL23" s="13" t="str">
        <f>AI23&amp;"x"&amp;AJ23&amp;"x"&amp;AK23</f>
        <v>670x250x20</v>
      </c>
      <c r="AM23" s="13" t="str">
        <f>$W$46&amp;"M"&amp;$W$44</f>
        <v>6M24</v>
      </c>
      <c r="AN23" s="67" t="s">
        <v>395</v>
      </c>
      <c r="AO23" s="69">
        <v>-64.659453996963734</v>
      </c>
      <c r="AP23" s="69">
        <v>0.80203304797899788</v>
      </c>
      <c r="AQ23" s="29">
        <v>9.8779812847715248E-15</v>
      </c>
      <c r="AR23" s="29"/>
      <c r="AS23" s="29"/>
      <c r="AT23" s="29"/>
      <c r="AU23" s="29"/>
      <c r="AV23" s="29"/>
      <c r="AW23" s="29"/>
      <c r="AX23" s="29"/>
      <c r="AY23" s="29"/>
      <c r="AZ23" s="29"/>
      <c r="BA23" s="140">
        <f t="shared" ref="BA23" si="1">ABS(AQ23/AO23)</f>
        <v>1.5276932720828995E-16</v>
      </c>
      <c r="BB23" s="117">
        <f t="shared" ref="BB23:BB86" si="2">$W$70</f>
        <v>200</v>
      </c>
      <c r="BC23" s="117">
        <f t="shared" ref="BC23" si="3">AI23/2+BB23</f>
        <v>535</v>
      </c>
      <c r="BD23" s="117">
        <f t="shared" ref="BD23" si="4">IFERROR(BC23 - (BC23 ^ 2 - 2 * ABS(AO23)*1000 *  (1000 *BA23 + BB23) / ($W$36 * AJ23)) ^ 0.5,"O/S")</f>
        <v>6.7101518135269771</v>
      </c>
      <c r="BE23" s="117">
        <f t="shared" ref="BE23" si="5">$W$73*BC23</f>
        <v>315.88474132285529</v>
      </c>
      <c r="BF23" s="110">
        <f>BD23/BE23</f>
        <v>2.1242405649055249E-2</v>
      </c>
      <c r="BG23" s="4">
        <f t="shared" ref="BG23:BG86" si="6">$W$76</f>
        <v>2</v>
      </c>
      <c r="BH23" s="111">
        <f>MAX(($W$36*AJ23*BD23/1000+AO23)/BG23,0)</f>
        <v>0</v>
      </c>
      <c r="BI23" s="112">
        <f t="shared" ref="BI23" si="7">MAX(($W$61*BH23*1000/$W$19),0)</f>
        <v>0</v>
      </c>
      <c r="BJ23" s="112">
        <f t="shared" ref="BJ23" si="8">MAX(MAX(BI23,IFERROR(VALUE($W$80),0)),57.1)</f>
        <v>57.1</v>
      </c>
      <c r="BK23" s="110">
        <f>BJ23/$W$45</f>
        <v>0.16175637393767706</v>
      </c>
      <c r="BL23" s="113" t="str">
        <f>IF(BK23&lt;=1,"OK","Check")</f>
        <v>OK</v>
      </c>
      <c r="BM23" s="114">
        <f t="shared" ref="BM23" si="9">ABS(AO23)/(AI23*AJ23)*1000+6*ABS(AQ23*1000000)/(AJ23*AI23^2)</f>
        <v>0.38602659102664971</v>
      </c>
      <c r="BN23" s="114">
        <f t="shared" ref="BN23" si="10">ABS(AO23)/(AI23*AJ23)*1000-6*ABS(AQ23*1000000)/(AJ23*AI23^2)</f>
        <v>0.3860265910266486</v>
      </c>
      <c r="BO23" s="110">
        <f t="shared" ref="BO23" si="11">BM23/$W$91</f>
        <v>3.5496698025439054E-2</v>
      </c>
      <c r="BP23" s="113" t="str">
        <f>IF(BO23&lt;=1,"OK","Check")</f>
        <v>OK</v>
      </c>
      <c r="BQ23" s="10">
        <f t="shared" ref="BQ23:BQ86" si="12">0.6*$W$45*$S$120*$W$46/1000</f>
        <v>304.99199999999996</v>
      </c>
      <c r="BR23" s="110">
        <f t="shared" ref="BR23" si="13">MAX(ABS(BH23),ABS(AP23))/BQ23</f>
        <v>2.6296855261088749E-3</v>
      </c>
      <c r="BS23" s="113" t="str">
        <f>IF(BR23&lt;=1,"OK","Check")</f>
        <v>OK</v>
      </c>
      <c r="DA23" s="192" t="s">
        <v>211</v>
      </c>
      <c r="DB23" s="28" t="s">
        <v>389</v>
      </c>
      <c r="DC23" s="28" t="s">
        <v>347</v>
      </c>
      <c r="DD23" s="29">
        <v>20.399999999999999</v>
      </c>
      <c r="DE23" s="4">
        <v>450</v>
      </c>
      <c r="DF23" s="4">
        <v>200</v>
      </c>
      <c r="DG23" s="4">
        <v>6</v>
      </c>
      <c r="DH23" s="4">
        <v>12</v>
      </c>
      <c r="DI23" s="13">
        <v>670</v>
      </c>
      <c r="DJ23" s="13">
        <v>250</v>
      </c>
      <c r="DK23" s="13">
        <v>20</v>
      </c>
      <c r="DL23" s="13" t="s">
        <v>391</v>
      </c>
      <c r="DM23" s="13" t="s">
        <v>392</v>
      </c>
      <c r="DN23" s="67" t="s">
        <v>395</v>
      </c>
      <c r="DO23" s="69">
        <v>215.16457600257306</v>
      </c>
      <c r="DP23" s="69">
        <v>19.427564353207799</v>
      </c>
      <c r="DQ23" s="29">
        <v>7.9093700214626807E-13</v>
      </c>
      <c r="DR23" s="29"/>
      <c r="DS23" s="29"/>
      <c r="DT23" s="29"/>
      <c r="DU23" s="29"/>
      <c r="DV23" s="29"/>
      <c r="DW23" s="29"/>
      <c r="DX23" s="29"/>
      <c r="DY23" s="29"/>
      <c r="DZ23" s="29"/>
      <c r="EA23" s="140">
        <v>3.6759629156465308E-15</v>
      </c>
      <c r="EB23" s="117">
        <v>200</v>
      </c>
      <c r="EC23" s="117">
        <v>535</v>
      </c>
      <c r="ED23" s="117">
        <v>22.669343140256387</v>
      </c>
      <c r="EE23" s="117">
        <v>315.88474132285529</v>
      </c>
      <c r="EF23" s="110">
        <v>7.1764603270554325E-2</v>
      </c>
      <c r="EG23" s="4">
        <v>2</v>
      </c>
      <c r="EH23" s="111">
        <v>-66.494103559571826</v>
      </c>
      <c r="EI23" s="112">
        <v>0</v>
      </c>
      <c r="EJ23" s="112">
        <v>57.1</v>
      </c>
      <c r="EK23" s="110">
        <v>0.16175637393767706</v>
      </c>
      <c r="EL23" s="113" t="s">
        <v>393</v>
      </c>
      <c r="EM23" s="114">
        <v>1.2845646328512246</v>
      </c>
      <c r="EN23" s="114">
        <v>1.2845646328511402</v>
      </c>
      <c r="EO23" s="110">
        <v>0.11812088577942295</v>
      </c>
      <c r="EP23" s="113" t="s">
        <v>393</v>
      </c>
      <c r="EQ23" s="10">
        <v>304.99199999999996</v>
      </c>
      <c r="ER23" s="110">
        <v>0.21801917282935893</v>
      </c>
      <c r="ES23" s="113" t="s">
        <v>393</v>
      </c>
    </row>
    <row r="24" spans="13:149" ht="12.75" customHeight="1">
      <c r="M24" s="7"/>
      <c r="N24" s="141" t="str">
        <f>"- Cường độ tiêu chuẩn kéo đứt của thép:"</f>
        <v>- Cường độ tiêu chuẩn kéo đứt của thép:</v>
      </c>
      <c r="O24" s="141"/>
      <c r="P24" s="142"/>
      <c r="Q24" s="144"/>
      <c r="R24" s="141"/>
      <c r="S24" s="2"/>
      <c r="T24" s="2"/>
      <c r="U24" s="2"/>
      <c r="V24" s="33" t="s">
        <v>132</v>
      </c>
      <c r="W24" s="34">
        <f>VLOOKUP(W22,Data!$A$3:$D$99,4,FALSE)</f>
        <v>380</v>
      </c>
      <c r="X24" s="23" t="s">
        <v>20</v>
      </c>
      <c r="AA24" s="67" t="s">
        <v>211</v>
      </c>
      <c r="AB24" s="28" t="s">
        <v>389</v>
      </c>
      <c r="AC24" s="28" t="s">
        <v>347</v>
      </c>
      <c r="AD24" s="68">
        <v>20.399999999999999</v>
      </c>
      <c r="AE24" s="4">
        <f t="shared" ref="AE24:AE87" si="14">$W$39</f>
        <v>450</v>
      </c>
      <c r="AF24" s="4">
        <f t="shared" ref="AF24:AF87" si="15">$W$40</f>
        <v>200</v>
      </c>
      <c r="AG24" s="4">
        <f t="shared" ref="AG24:AG87" si="16">$W$41</f>
        <v>6</v>
      </c>
      <c r="AH24" s="4">
        <f t="shared" ref="AH24:AH87" si="17">$W$42</f>
        <v>12</v>
      </c>
      <c r="AI24" s="13">
        <f t="shared" ref="AI24:AI87" si="18">$W$47</f>
        <v>670</v>
      </c>
      <c r="AJ24" s="13">
        <f t="shared" ref="AJ24:AJ87" si="19">$W$48</f>
        <v>250</v>
      </c>
      <c r="AK24" s="13">
        <f t="shared" ref="AK24:AK87" si="20">$W$49</f>
        <v>20</v>
      </c>
      <c r="AL24" s="13" t="str">
        <f t="shared" ref="AL24:AL87" si="21">AI24&amp;"x"&amp;AJ24&amp;"x"&amp;AK24</f>
        <v>670x250x20</v>
      </c>
      <c r="AM24" s="13" t="str">
        <f t="shared" ref="AM24:AM87" si="22">$W$46&amp;"M"&amp;$W$44</f>
        <v>6M24</v>
      </c>
      <c r="AN24" s="67" t="s">
        <v>396</v>
      </c>
      <c r="AO24" s="69">
        <v>214.9429126118213</v>
      </c>
      <c r="AP24" s="69">
        <v>19.276487101659768</v>
      </c>
      <c r="AQ24" s="29">
        <v>1.3006861182442148E-12</v>
      </c>
      <c r="AR24" s="29"/>
      <c r="AS24" s="29"/>
      <c r="AT24" s="29"/>
      <c r="AU24" s="29"/>
      <c r="AV24" s="29"/>
      <c r="AW24" s="29"/>
      <c r="AX24" s="29"/>
      <c r="AY24" s="29"/>
      <c r="AZ24" s="29"/>
      <c r="BA24" s="140">
        <f t="shared" ref="BA24:BA87" si="23">ABS(AQ24/AO24)</f>
        <v>6.0513096358436546E-15</v>
      </c>
      <c r="BB24" s="117">
        <f t="shared" si="2"/>
        <v>200</v>
      </c>
      <c r="BC24" s="117">
        <f t="shared" ref="BC24:BC87" si="24">AI24/2+BB24</f>
        <v>535</v>
      </c>
      <c r="BD24" s="117">
        <f t="shared" ref="BD24:BD87" si="25">IFERROR(BC24 - (BC24 ^ 2 - 2 * ABS(AO24)*1000 *  (1000 *BA24 + BB24) / ($W$36 * AJ24)) ^ 0.5,"O/S")</f>
        <v>22.645472971136201</v>
      </c>
      <c r="BE24" s="117">
        <f t="shared" ref="BE24:BE87" si="26">$W$73*BC24</f>
        <v>315.88474132285529</v>
      </c>
      <c r="BF24" s="110">
        <f t="shared" ref="BF24:BF87" si="27">BD24/BE24</f>
        <v>7.168903719851101E-2</v>
      </c>
      <c r="BG24" s="4">
        <f t="shared" si="6"/>
        <v>2</v>
      </c>
      <c r="BH24" s="111">
        <f>MAX(($W$36*AJ24*BD24/1000+AO24)/BG24,0)</f>
        <v>148.51637606609501</v>
      </c>
      <c r="BI24" s="112">
        <f t="shared" ref="BI24:BI87" si="28">MAX(($W$61*BH24*1000/$W$19),0)</f>
        <v>649.75914528916576</v>
      </c>
      <c r="BJ24" s="112">
        <f t="shared" ref="BJ24:BJ87" si="29">MAX(MAX(BI24,IFERROR(VALUE($W$80),0)),57.1)</f>
        <v>649.75914528916576</v>
      </c>
      <c r="BK24" s="110">
        <f t="shared" ref="BK24:BK87" si="30">BJ24/$W$45</f>
        <v>1.8406774654084015</v>
      </c>
      <c r="BL24" s="113" t="str">
        <f t="shared" ref="BL24:BL87" si="31">IF(BK24&lt;=1,"OK","Check")</f>
        <v>Check</v>
      </c>
      <c r="BM24" s="114">
        <f t="shared" ref="BM24:BM87" si="32">ABS(AO24)/(AI24*AJ24)*1000+6*ABS(AQ24*1000000)/(AJ24*AI24^2)</f>
        <v>1.2832412693243758</v>
      </c>
      <c r="BN24" s="114">
        <f t="shared" ref="BN24:BN87" si="33">ABS(AO24)/(AI24*AJ24)*1000-6*ABS(AQ24*1000000)/(AJ24*AI24^2)</f>
        <v>1.2832412693242368</v>
      </c>
      <c r="BO24" s="110">
        <f t="shared" ref="BO24:BO87" si="34">BM24/$W$91</f>
        <v>0.11799919717925295</v>
      </c>
      <c r="BP24" s="113" t="str">
        <f t="shared" ref="BP24:BP87" si="35">IF(BO24&lt;=1,"OK","Check")</f>
        <v>OK</v>
      </c>
      <c r="BQ24" s="10">
        <f t="shared" si="12"/>
        <v>304.99199999999996</v>
      </c>
      <c r="BR24" s="110">
        <f t="shared" ref="BR24:BR87" si="36">MAX(ABS(BH24),ABS(AP24))/BQ24</f>
        <v>0.48695171042550306</v>
      </c>
      <c r="BS24" s="113" t="str">
        <f t="shared" ref="BS24:BS87" si="37">IF(BR24&lt;=1,"OK","Check")</f>
        <v>OK</v>
      </c>
      <c r="DA24" s="67" t="s">
        <v>211</v>
      </c>
      <c r="DB24" s="28" t="s">
        <v>390</v>
      </c>
      <c r="DC24" s="28" t="s">
        <v>347</v>
      </c>
      <c r="DD24" s="29">
        <v>20.399999999999999</v>
      </c>
      <c r="DE24" s="4">
        <v>450</v>
      </c>
      <c r="DF24" s="4">
        <v>200</v>
      </c>
      <c r="DG24" s="4">
        <v>6</v>
      </c>
      <c r="DH24" s="4">
        <v>12</v>
      </c>
      <c r="DI24" s="13">
        <v>670</v>
      </c>
      <c r="DJ24" s="13">
        <v>250</v>
      </c>
      <c r="DK24" s="13">
        <v>20</v>
      </c>
      <c r="DL24" s="13" t="s">
        <v>391</v>
      </c>
      <c r="DM24" s="13" t="s">
        <v>392</v>
      </c>
      <c r="DN24" s="67" t="s">
        <v>396</v>
      </c>
      <c r="DO24" s="69">
        <v>-175.77651212466216</v>
      </c>
      <c r="DP24" s="69">
        <v>15.380704568867415</v>
      </c>
      <c r="DQ24" s="29">
        <v>2.3142438834129059E-13</v>
      </c>
      <c r="DR24" s="29"/>
      <c r="DS24" s="29"/>
      <c r="DT24" s="29"/>
      <c r="DU24" s="29"/>
      <c r="DV24" s="29"/>
      <c r="DW24" s="29"/>
      <c r="DX24" s="29"/>
      <c r="DY24" s="29"/>
      <c r="DZ24" s="29"/>
      <c r="EA24" s="140">
        <v>1.316583117641807E-15</v>
      </c>
      <c r="EB24" s="117">
        <v>200</v>
      </c>
      <c r="EC24" s="117">
        <v>535</v>
      </c>
      <c r="ED24" s="117">
        <v>18.445093842000915</v>
      </c>
      <c r="EE24" s="117">
        <v>315.88474132285529</v>
      </c>
      <c r="EF24" s="110">
        <v>5.8391848130292558E-2</v>
      </c>
      <c r="EG24" s="4">
        <v>2</v>
      </c>
      <c r="EH24" s="111">
        <v>-54.456523473704422</v>
      </c>
      <c r="EI24" s="112">
        <v>0</v>
      </c>
      <c r="EJ24" s="112">
        <v>57.1</v>
      </c>
      <c r="EK24" s="110">
        <v>0.16175637393767706</v>
      </c>
      <c r="EL24" s="113" t="s">
        <v>393</v>
      </c>
      <c r="EM24" s="114">
        <v>1.0494120126845627</v>
      </c>
      <c r="EN24" s="114">
        <v>1.0494120126845379</v>
      </c>
      <c r="EO24" s="110">
        <v>9.649765633881037E-2</v>
      </c>
      <c r="EP24" s="113" t="s">
        <v>393</v>
      </c>
      <c r="EQ24" s="10">
        <v>304.99199999999996</v>
      </c>
      <c r="ER24" s="110">
        <v>0.17855066189835939</v>
      </c>
      <c r="ES24" s="113" t="s">
        <v>393</v>
      </c>
    </row>
    <row r="25" spans="13:149" ht="12.75" customHeight="1">
      <c r="M25" s="7"/>
      <c r="N25" s="141" t="str">
        <f>"- Cường độ tính toán của thép:"</f>
        <v>- Cường độ tính toán của thép:</v>
      </c>
      <c r="O25" s="141"/>
      <c r="P25" s="142"/>
      <c r="Q25" s="144"/>
      <c r="R25" s="141"/>
      <c r="S25" s="2"/>
      <c r="T25" s="20" t="s">
        <v>108</v>
      </c>
      <c r="U25" s="36">
        <f>VLOOKUP(W22,Data!$A$3:$E$99,5,FALSE)</f>
        <v>1.05</v>
      </c>
      <c r="V25" s="33" t="s">
        <v>107</v>
      </c>
      <c r="W25" s="147">
        <f>W23/U25</f>
        <v>228.57142857142856</v>
      </c>
      <c r="X25" s="23" t="s">
        <v>20</v>
      </c>
      <c r="AA25" s="67" t="s">
        <v>211</v>
      </c>
      <c r="AB25" s="28" t="s">
        <v>389</v>
      </c>
      <c r="AC25" s="28" t="s">
        <v>347</v>
      </c>
      <c r="AD25" s="68">
        <v>20.399999999999999</v>
      </c>
      <c r="AE25" s="4">
        <f t="shared" si="14"/>
        <v>450</v>
      </c>
      <c r="AF25" s="4">
        <f t="shared" si="15"/>
        <v>200</v>
      </c>
      <c r="AG25" s="4">
        <f t="shared" si="16"/>
        <v>6</v>
      </c>
      <c r="AH25" s="4">
        <f t="shared" si="17"/>
        <v>12</v>
      </c>
      <c r="AI25" s="13">
        <f t="shared" si="18"/>
        <v>670</v>
      </c>
      <c r="AJ25" s="13">
        <f t="shared" si="19"/>
        <v>250</v>
      </c>
      <c r="AK25" s="13">
        <f t="shared" si="20"/>
        <v>20</v>
      </c>
      <c r="AL25" s="13" t="str">
        <f t="shared" si="21"/>
        <v>670x250x20</v>
      </c>
      <c r="AM25" s="13" t="str">
        <f t="shared" si="22"/>
        <v>6M24</v>
      </c>
      <c r="AN25" s="67" t="s">
        <v>397</v>
      </c>
      <c r="AO25" s="69">
        <v>215.16457600257306</v>
      </c>
      <c r="AP25" s="69">
        <v>19.427564353207799</v>
      </c>
      <c r="AQ25" s="29">
        <v>7.9093700214626807E-13</v>
      </c>
      <c r="AR25" s="29"/>
      <c r="AS25" s="29"/>
      <c r="AT25" s="29"/>
      <c r="AU25" s="29"/>
      <c r="AV25" s="29"/>
      <c r="AW25" s="29"/>
      <c r="AX25" s="29"/>
      <c r="AY25" s="29"/>
      <c r="AZ25" s="29"/>
      <c r="BA25" s="140">
        <f t="shared" si="23"/>
        <v>3.6759629156465308E-15</v>
      </c>
      <c r="BB25" s="117">
        <f t="shared" si="2"/>
        <v>200</v>
      </c>
      <c r="BC25" s="117">
        <f t="shared" si="24"/>
        <v>535</v>
      </c>
      <c r="BD25" s="117">
        <f t="shared" si="25"/>
        <v>22.669343140256387</v>
      </c>
      <c r="BE25" s="117">
        <f t="shared" si="26"/>
        <v>315.88474132285529</v>
      </c>
      <c r="BF25" s="110">
        <f t="shared" si="27"/>
        <v>7.1764603270554325E-2</v>
      </c>
      <c r="BG25" s="4">
        <f t="shared" si="6"/>
        <v>2</v>
      </c>
      <c r="BH25" s="111">
        <f t="shared" ref="BH25:BH87" si="38">MAX(($W$36*AJ25*BD25/1000+AO25)/BG25,0)</f>
        <v>148.67047244300124</v>
      </c>
      <c r="BI25" s="112">
        <f t="shared" si="28"/>
        <v>650.43331693813036</v>
      </c>
      <c r="BJ25" s="112">
        <f t="shared" si="29"/>
        <v>650.43331693813036</v>
      </c>
      <c r="BK25" s="110">
        <f t="shared" si="30"/>
        <v>1.842587300108018</v>
      </c>
      <c r="BL25" s="113" t="str">
        <f t="shared" si="31"/>
        <v>Check</v>
      </c>
      <c r="BM25" s="114">
        <f t="shared" si="32"/>
        <v>1.2845646328512246</v>
      </c>
      <c r="BN25" s="114">
        <f t="shared" si="33"/>
        <v>1.2845646328511402</v>
      </c>
      <c r="BO25" s="110">
        <f t="shared" si="34"/>
        <v>0.11812088577942295</v>
      </c>
      <c r="BP25" s="113" t="str">
        <f t="shared" si="35"/>
        <v>OK</v>
      </c>
      <c r="BQ25" s="10">
        <f t="shared" si="12"/>
        <v>304.99199999999996</v>
      </c>
      <c r="BR25" s="110">
        <f t="shared" si="36"/>
        <v>0.48745695770053399</v>
      </c>
      <c r="BS25" s="113" t="str">
        <f t="shared" si="37"/>
        <v>OK</v>
      </c>
      <c r="DE25" s="4"/>
      <c r="DF25" s="4"/>
      <c r="DG25" s="4"/>
      <c r="DH25" s="4"/>
      <c r="DI25" s="13"/>
      <c r="DJ25" s="13"/>
      <c r="DK25" s="13"/>
      <c r="DL25" s="13"/>
      <c r="DM25" s="13"/>
      <c r="DR25" s="29"/>
      <c r="DS25" s="29"/>
      <c r="DT25" s="29"/>
      <c r="DU25" s="29"/>
      <c r="DV25" s="29"/>
      <c r="DW25" s="29"/>
      <c r="DX25" s="29"/>
      <c r="DY25" s="29"/>
      <c r="DZ25" s="29"/>
      <c r="EA25" s="140"/>
      <c r="EB25" s="117"/>
      <c r="EC25" s="117"/>
      <c r="ED25" s="117"/>
      <c r="EE25" s="117"/>
      <c r="EF25" s="110"/>
      <c r="EG25" s="4"/>
      <c r="EH25" s="111"/>
      <c r="EI25" s="112"/>
      <c r="EJ25" s="112"/>
      <c r="EK25" s="110"/>
      <c r="EL25" s="113"/>
      <c r="EM25" s="114"/>
      <c r="EN25" s="114"/>
      <c r="EO25" s="110"/>
      <c r="EP25" s="113"/>
      <c r="EQ25" s="10"/>
      <c r="ER25" s="110"/>
      <c r="ES25" s="113"/>
    </row>
    <row r="26" spans="13:149" ht="12.75" customHeight="1">
      <c r="M26" s="7"/>
      <c r="N26" s="141" t="str">
        <f>"- Hệ số điều kiện làm việc của kết cấu (Bảng 1 - Mục 9):"</f>
        <v>- Hệ số điều kiện làm việc của kết cấu (Bảng 1 - Mục 9):</v>
      </c>
      <c r="O26" s="141"/>
      <c r="P26" s="142"/>
      <c r="Q26" s="144"/>
      <c r="R26" s="141"/>
      <c r="S26" s="2"/>
      <c r="T26" s="2"/>
      <c r="U26" s="145"/>
      <c r="V26" s="20" t="s">
        <v>120</v>
      </c>
      <c r="W26" s="32">
        <f>IF(W49&lt;=40,1.2,IF(W49&lt;=60,1.15,1.1))</f>
        <v>1.2</v>
      </c>
      <c r="X26" s="23" t="s">
        <v>20</v>
      </c>
      <c r="AA26" s="67" t="s">
        <v>211</v>
      </c>
      <c r="AB26" s="28" t="s">
        <v>389</v>
      </c>
      <c r="AC26" s="28" t="s">
        <v>347</v>
      </c>
      <c r="AD26" s="68">
        <v>20.399999999999999</v>
      </c>
      <c r="AE26" s="4">
        <f t="shared" si="14"/>
        <v>450</v>
      </c>
      <c r="AF26" s="4">
        <f t="shared" si="15"/>
        <v>200</v>
      </c>
      <c r="AG26" s="4">
        <f t="shared" si="16"/>
        <v>6</v>
      </c>
      <c r="AH26" s="4">
        <f t="shared" si="17"/>
        <v>12</v>
      </c>
      <c r="AI26" s="13">
        <f t="shared" si="18"/>
        <v>670</v>
      </c>
      <c r="AJ26" s="13">
        <f t="shared" si="19"/>
        <v>250</v>
      </c>
      <c r="AK26" s="13">
        <f t="shared" si="20"/>
        <v>20</v>
      </c>
      <c r="AL26" s="13" t="str">
        <f t="shared" si="21"/>
        <v>670x250x20</v>
      </c>
      <c r="AM26" s="13" t="str">
        <f t="shared" si="22"/>
        <v>6M24</v>
      </c>
      <c r="AN26" s="67" t="s">
        <v>398</v>
      </c>
      <c r="AO26" s="69">
        <v>107.95522159664212</v>
      </c>
      <c r="AP26" s="69">
        <v>10.308701273050929</v>
      </c>
      <c r="AQ26" s="29">
        <v>2.4202322105260653E-13</v>
      </c>
      <c r="AR26" s="29"/>
      <c r="AS26" s="29"/>
      <c r="AT26" s="29"/>
      <c r="AU26" s="29"/>
      <c r="AV26" s="29"/>
      <c r="AW26" s="29"/>
      <c r="AX26" s="29"/>
      <c r="AY26" s="29"/>
      <c r="AZ26" s="29"/>
      <c r="BA26" s="140">
        <f t="shared" si="23"/>
        <v>2.2418852694026105E-15</v>
      </c>
      <c r="BB26" s="117">
        <f t="shared" si="2"/>
        <v>200</v>
      </c>
      <c r="BC26" s="117">
        <f t="shared" si="24"/>
        <v>535</v>
      </c>
      <c r="BD26" s="117">
        <f t="shared" si="25"/>
        <v>11.25130101747493</v>
      </c>
      <c r="BE26" s="117">
        <f t="shared" si="26"/>
        <v>315.88474132285529</v>
      </c>
      <c r="BF26" s="110">
        <f t="shared" si="27"/>
        <v>3.5618374506970404E-2</v>
      </c>
      <c r="BG26" s="4">
        <f t="shared" si="6"/>
        <v>2</v>
      </c>
      <c r="BH26" s="111">
        <f t="shared" si="38"/>
        <v>74.370593892494369</v>
      </c>
      <c r="BI26" s="112">
        <f t="shared" si="28"/>
        <v>325.37134827966287</v>
      </c>
      <c r="BJ26" s="112">
        <f t="shared" si="29"/>
        <v>325.37134827966287</v>
      </c>
      <c r="BK26" s="110">
        <f t="shared" si="30"/>
        <v>0.92173186481490899</v>
      </c>
      <c r="BL26" s="113" t="str">
        <f t="shared" si="31"/>
        <v>OK</v>
      </c>
      <c r="BM26" s="114">
        <f t="shared" si="32"/>
        <v>0.64450878565160763</v>
      </c>
      <c r="BN26" s="114">
        <f t="shared" si="33"/>
        <v>0.64450878565158165</v>
      </c>
      <c r="BO26" s="110">
        <f t="shared" si="34"/>
        <v>5.9265175692101851E-2</v>
      </c>
      <c r="BP26" s="113" t="str">
        <f t="shared" si="35"/>
        <v>OK</v>
      </c>
      <c r="BQ26" s="10">
        <f t="shared" si="12"/>
        <v>304.99199999999996</v>
      </c>
      <c r="BR26" s="110">
        <f t="shared" si="36"/>
        <v>0.24384440868119289</v>
      </c>
      <c r="BS26" s="113" t="str">
        <f t="shared" si="37"/>
        <v>OK</v>
      </c>
      <c r="DE26" s="4"/>
      <c r="DF26" s="4"/>
      <c r="DG26" s="4"/>
      <c r="DH26" s="4"/>
      <c r="DI26" s="13"/>
      <c r="DJ26" s="13"/>
      <c r="DK26" s="13"/>
      <c r="DL26" s="13"/>
      <c r="DM26" s="13"/>
      <c r="DR26" s="29"/>
      <c r="DS26" s="29"/>
      <c r="DT26" s="29"/>
      <c r="DU26" s="29"/>
      <c r="DV26" s="29"/>
      <c r="DW26" s="29"/>
      <c r="DX26" s="29"/>
      <c r="DY26" s="29"/>
      <c r="DZ26" s="29"/>
      <c r="EA26" s="140"/>
      <c r="EB26" s="117"/>
      <c r="EC26" s="117"/>
      <c r="ED26" s="117"/>
      <c r="EE26" s="117"/>
      <c r="EF26" s="110"/>
      <c r="EG26" s="4"/>
      <c r="EH26" s="111"/>
      <c r="EI26" s="112"/>
      <c r="EJ26" s="112"/>
      <c r="EK26" s="110"/>
      <c r="EL26" s="113"/>
      <c r="EM26" s="114"/>
      <c r="EN26" s="114"/>
      <c r="EO26" s="110"/>
      <c r="EP26" s="113"/>
      <c r="EQ26" s="10"/>
      <c r="ER26" s="110"/>
      <c r="ES26" s="113"/>
    </row>
    <row r="27" spans="13:149" ht="12.75" customHeight="1">
      <c r="M27" s="6" t="s">
        <v>53</v>
      </c>
      <c r="N27" s="141"/>
      <c r="O27" s="141"/>
      <c r="P27" s="141"/>
      <c r="Q27" s="141"/>
      <c r="R27" s="141"/>
      <c r="S27" s="142"/>
      <c r="T27" s="143"/>
      <c r="U27" s="141"/>
      <c r="V27" s="2"/>
      <c r="W27" s="2"/>
      <c r="X27" s="5"/>
      <c r="AA27" s="67" t="s">
        <v>211</v>
      </c>
      <c r="AB27" s="28" t="s">
        <v>389</v>
      </c>
      <c r="AC27" s="28" t="s">
        <v>347</v>
      </c>
      <c r="AD27" s="68">
        <v>20.399999999999999</v>
      </c>
      <c r="AE27" s="4">
        <f t="shared" si="14"/>
        <v>450</v>
      </c>
      <c r="AF27" s="4">
        <f t="shared" si="15"/>
        <v>200</v>
      </c>
      <c r="AG27" s="4">
        <f t="shared" si="16"/>
        <v>6</v>
      </c>
      <c r="AH27" s="4">
        <f t="shared" si="17"/>
        <v>12</v>
      </c>
      <c r="AI27" s="13">
        <f t="shared" si="18"/>
        <v>670</v>
      </c>
      <c r="AJ27" s="13">
        <f t="shared" si="19"/>
        <v>250</v>
      </c>
      <c r="AK27" s="13">
        <f t="shared" si="20"/>
        <v>20</v>
      </c>
      <c r="AL27" s="13" t="str">
        <f t="shared" si="21"/>
        <v>670x250x20</v>
      </c>
      <c r="AM27" s="13" t="str">
        <f t="shared" si="22"/>
        <v>6M24</v>
      </c>
      <c r="AN27" s="67" t="s">
        <v>399</v>
      </c>
      <c r="AO27" s="69">
        <v>108.14120599085767</v>
      </c>
      <c r="AP27" s="69">
        <v>10.44234072101699</v>
      </c>
      <c r="AQ27" s="29">
        <v>7.1275630273104157E-13</v>
      </c>
      <c r="AR27" s="29"/>
      <c r="AS27" s="29"/>
      <c r="AT27" s="29"/>
      <c r="AU27" s="29"/>
      <c r="AV27" s="29"/>
      <c r="AW27" s="29"/>
      <c r="AX27" s="29"/>
      <c r="AY27" s="29"/>
      <c r="AZ27" s="29"/>
      <c r="BA27" s="140">
        <f t="shared" si="23"/>
        <v>6.5909779366738193E-15</v>
      </c>
      <c r="BB27" s="117">
        <f t="shared" si="2"/>
        <v>200</v>
      </c>
      <c r="BC27" s="117">
        <f t="shared" si="24"/>
        <v>535</v>
      </c>
      <c r="BD27" s="117">
        <f t="shared" si="25"/>
        <v>11.270893237759879</v>
      </c>
      <c r="BE27" s="117">
        <f t="shared" si="26"/>
        <v>315.88474132285529</v>
      </c>
      <c r="BF27" s="110">
        <f t="shared" si="27"/>
        <v>3.5680397826624598E-2</v>
      </c>
      <c r="BG27" s="4">
        <f t="shared" si="6"/>
        <v>2</v>
      </c>
      <c r="BH27" s="111">
        <f t="shared" si="38"/>
        <v>74.499096988868615</v>
      </c>
      <c r="BI27" s="112">
        <f t="shared" si="28"/>
        <v>325.93354932630024</v>
      </c>
      <c r="BJ27" s="112">
        <f t="shared" si="29"/>
        <v>325.93354932630024</v>
      </c>
      <c r="BK27" s="110">
        <f t="shared" si="30"/>
        <v>0.92332450234079388</v>
      </c>
      <c r="BL27" s="113" t="str">
        <f t="shared" si="31"/>
        <v>OK</v>
      </c>
      <c r="BM27" s="114">
        <f t="shared" si="32"/>
        <v>0.6456191402439645</v>
      </c>
      <c r="BN27" s="114">
        <f t="shared" si="33"/>
        <v>0.64561914024388833</v>
      </c>
      <c r="BO27" s="110">
        <f t="shared" si="34"/>
        <v>5.9367277263812829E-2</v>
      </c>
      <c r="BP27" s="113" t="str">
        <f t="shared" si="35"/>
        <v>OK</v>
      </c>
      <c r="BQ27" s="10">
        <f t="shared" si="12"/>
        <v>304.99199999999996</v>
      </c>
      <c r="BR27" s="110">
        <f t="shared" si="36"/>
        <v>0.24426574135999837</v>
      </c>
      <c r="BS27" s="113" t="str">
        <f t="shared" si="37"/>
        <v>OK</v>
      </c>
      <c r="DE27" s="4"/>
      <c r="DF27" s="4"/>
      <c r="DG27" s="4"/>
      <c r="DH27" s="4"/>
      <c r="DI27" s="13"/>
      <c r="DJ27" s="13"/>
      <c r="DK27" s="13"/>
      <c r="DL27" s="13"/>
      <c r="DM27" s="13"/>
      <c r="DR27" s="29"/>
      <c r="DS27" s="29"/>
      <c r="DT27" s="29"/>
      <c r="DU27" s="29"/>
      <c r="DV27" s="29"/>
      <c r="DW27" s="29"/>
      <c r="DX27" s="29"/>
      <c r="DY27" s="29"/>
      <c r="DZ27" s="29"/>
      <c r="EA27" s="140"/>
      <c r="EB27" s="117"/>
      <c r="EC27" s="117"/>
      <c r="ED27" s="117"/>
      <c r="EE27" s="117"/>
      <c r="EF27" s="110"/>
      <c r="EG27" s="4"/>
      <c r="EH27" s="111"/>
      <c r="EI27" s="112"/>
      <c r="EJ27" s="112"/>
      <c r="EK27" s="110"/>
      <c r="EL27" s="113"/>
      <c r="EM27" s="114"/>
      <c r="EN27" s="114"/>
      <c r="EO27" s="110"/>
      <c r="EP27" s="113"/>
      <c r="EQ27" s="10"/>
      <c r="ER27" s="110"/>
      <c r="ES27" s="113"/>
    </row>
    <row r="28" spans="13:149" ht="12.75" customHeight="1">
      <c r="M28" s="7"/>
      <c r="N28" s="141" t="str">
        <f>"- Que hàn:"</f>
        <v>- Que hàn:</v>
      </c>
      <c r="O28" s="141"/>
      <c r="P28" s="142"/>
      <c r="Q28" s="144"/>
      <c r="R28" s="141"/>
      <c r="S28" s="2"/>
      <c r="T28" s="2"/>
      <c r="U28" s="2"/>
      <c r="V28" s="2"/>
      <c r="W28" s="32" t="s">
        <v>166</v>
      </c>
      <c r="X28" s="8"/>
      <c r="AA28" s="67" t="s">
        <v>211</v>
      </c>
      <c r="AB28" s="28" t="s">
        <v>389</v>
      </c>
      <c r="AC28" s="28" t="s">
        <v>347</v>
      </c>
      <c r="AD28" s="68">
        <v>20.399999999999999</v>
      </c>
      <c r="AE28" s="4">
        <f t="shared" si="14"/>
        <v>450</v>
      </c>
      <c r="AF28" s="4">
        <f t="shared" si="15"/>
        <v>200</v>
      </c>
      <c r="AG28" s="4">
        <f t="shared" si="16"/>
        <v>6</v>
      </c>
      <c r="AH28" s="4">
        <f t="shared" si="17"/>
        <v>12</v>
      </c>
      <c r="AI28" s="13">
        <f t="shared" si="18"/>
        <v>670</v>
      </c>
      <c r="AJ28" s="13">
        <f t="shared" si="19"/>
        <v>250</v>
      </c>
      <c r="AK28" s="13">
        <f t="shared" si="20"/>
        <v>20</v>
      </c>
      <c r="AL28" s="13" t="str">
        <f t="shared" si="21"/>
        <v>670x250x20</v>
      </c>
      <c r="AM28" s="13" t="str">
        <f t="shared" si="22"/>
        <v>6M24</v>
      </c>
      <c r="AN28" s="67" t="s">
        <v>400</v>
      </c>
      <c r="AO28" s="69">
        <v>171.53520634473401</v>
      </c>
      <c r="AP28" s="69">
        <v>19.793065657226634</v>
      </c>
      <c r="AQ28" s="29">
        <v>6.6477392928337996E-13</v>
      </c>
      <c r="AR28" s="29"/>
      <c r="AS28" s="29"/>
      <c r="AT28" s="29"/>
      <c r="AU28" s="29"/>
      <c r="AV28" s="29"/>
      <c r="AW28" s="29"/>
      <c r="AX28" s="29"/>
      <c r="AY28" s="29"/>
      <c r="AZ28" s="29"/>
      <c r="BA28" s="140">
        <f t="shared" si="23"/>
        <v>3.8754372554132411E-15</v>
      </c>
      <c r="BB28" s="117">
        <f t="shared" si="2"/>
        <v>200</v>
      </c>
      <c r="BC28" s="117">
        <f t="shared" si="24"/>
        <v>535</v>
      </c>
      <c r="BD28" s="117">
        <f t="shared" si="25"/>
        <v>17.992285134036365</v>
      </c>
      <c r="BE28" s="117">
        <f t="shared" si="26"/>
        <v>315.88474132285529</v>
      </c>
      <c r="BF28" s="110">
        <f t="shared" si="27"/>
        <v>5.6958386336385426E-2</v>
      </c>
      <c r="BG28" s="4">
        <f t="shared" si="6"/>
        <v>2</v>
      </c>
      <c r="BH28" s="111">
        <f t="shared" si="38"/>
        <v>118.37861997780792</v>
      </c>
      <c r="BI28" s="112">
        <f t="shared" si="28"/>
        <v>517.9064624029096</v>
      </c>
      <c r="BJ28" s="112">
        <f t="shared" si="29"/>
        <v>517.9064624029096</v>
      </c>
      <c r="BK28" s="110">
        <f t="shared" si="30"/>
        <v>1.4671571172886957</v>
      </c>
      <c r="BL28" s="113" t="str">
        <f t="shared" si="31"/>
        <v>Check</v>
      </c>
      <c r="BM28" s="114">
        <f t="shared" si="32"/>
        <v>1.0240907841477012</v>
      </c>
      <c r="BN28" s="114">
        <f t="shared" si="33"/>
        <v>1.0240907841476301</v>
      </c>
      <c r="BO28" s="110">
        <f t="shared" si="34"/>
        <v>9.4169267507834595E-2</v>
      </c>
      <c r="BP28" s="113" t="str">
        <f t="shared" si="35"/>
        <v>OK</v>
      </c>
      <c r="BQ28" s="10">
        <f t="shared" si="12"/>
        <v>304.99199999999996</v>
      </c>
      <c r="BR28" s="110">
        <f t="shared" si="36"/>
        <v>0.38813680351552804</v>
      </c>
      <c r="BS28" s="113" t="str">
        <f t="shared" si="37"/>
        <v>OK</v>
      </c>
      <c r="DE28" s="4"/>
      <c r="DF28" s="4"/>
      <c r="DG28" s="4"/>
      <c r="DH28" s="4"/>
      <c r="DI28" s="13"/>
      <c r="DJ28" s="13"/>
      <c r="DK28" s="13"/>
      <c r="DL28" s="13"/>
      <c r="DM28" s="13"/>
      <c r="DR28" s="29"/>
      <c r="DS28" s="29"/>
      <c r="DT28" s="29"/>
      <c r="DU28" s="29"/>
      <c r="DV28" s="29"/>
      <c r="DW28" s="29"/>
      <c r="DX28" s="29"/>
      <c r="DY28" s="29"/>
      <c r="DZ28" s="29"/>
      <c r="EA28" s="140"/>
      <c r="EB28" s="117"/>
      <c r="EC28" s="117"/>
      <c r="ED28" s="117"/>
      <c r="EE28" s="117"/>
      <c r="EF28" s="110"/>
      <c r="EG28" s="4"/>
      <c r="EH28" s="111"/>
      <c r="EI28" s="112"/>
      <c r="EJ28" s="112"/>
      <c r="EK28" s="110"/>
      <c r="EL28" s="113"/>
      <c r="EM28" s="114"/>
      <c r="EN28" s="114"/>
      <c r="EO28" s="110"/>
      <c r="EP28" s="113"/>
      <c r="EQ28" s="10"/>
      <c r="ER28" s="110"/>
      <c r="ES28" s="113"/>
    </row>
    <row r="29" spans="13:149" ht="12.75" customHeight="1">
      <c r="M29" s="7"/>
      <c r="N29" s="141" t="str">
        <f>"- Cường độ tiêu chuẩn theo giới hạn bền:"</f>
        <v>- Cường độ tiêu chuẩn theo giới hạn bền:</v>
      </c>
      <c r="O29" s="141"/>
      <c r="P29" s="142"/>
      <c r="Q29" s="144"/>
      <c r="R29" s="141"/>
      <c r="S29" s="2"/>
      <c r="T29" s="2"/>
      <c r="U29" s="2"/>
      <c r="V29" s="33" t="s">
        <v>127</v>
      </c>
      <c r="W29" s="34">
        <f>VLOOKUP(W28,Data!$AZ$3:$BB$99,2,FALSE)</f>
        <v>410</v>
      </c>
      <c r="X29" s="23" t="s">
        <v>20</v>
      </c>
      <c r="AA29" s="67" t="s">
        <v>211</v>
      </c>
      <c r="AB29" s="28" t="s">
        <v>389</v>
      </c>
      <c r="AC29" s="28" t="s">
        <v>347</v>
      </c>
      <c r="AD29" s="68">
        <v>20.399999999999999</v>
      </c>
      <c r="AE29" s="4">
        <f t="shared" si="14"/>
        <v>450</v>
      </c>
      <c r="AF29" s="4">
        <f t="shared" si="15"/>
        <v>200</v>
      </c>
      <c r="AG29" s="4">
        <f t="shared" si="16"/>
        <v>6</v>
      </c>
      <c r="AH29" s="4">
        <f t="shared" si="17"/>
        <v>12</v>
      </c>
      <c r="AI29" s="13">
        <f t="shared" si="18"/>
        <v>670</v>
      </c>
      <c r="AJ29" s="13">
        <f t="shared" si="19"/>
        <v>250</v>
      </c>
      <c r="AK29" s="13">
        <f t="shared" si="20"/>
        <v>20</v>
      </c>
      <c r="AL29" s="13" t="str">
        <f t="shared" si="21"/>
        <v>670x250x20</v>
      </c>
      <c r="AM29" s="13" t="str">
        <f t="shared" si="22"/>
        <v>6M24</v>
      </c>
      <c r="AN29" s="67" t="s">
        <v>401</v>
      </c>
      <c r="AO29" s="69">
        <v>168.1652468938951</v>
      </c>
      <c r="AP29" s="69">
        <v>14.51819837897142</v>
      </c>
      <c r="AQ29" s="29">
        <v>2.9769154483152047E-13</v>
      </c>
      <c r="AR29" s="29"/>
      <c r="AS29" s="29"/>
      <c r="AT29" s="29"/>
      <c r="AU29" s="29"/>
      <c r="AV29" s="29"/>
      <c r="AW29" s="29"/>
      <c r="AX29" s="29"/>
      <c r="AY29" s="29"/>
      <c r="AZ29" s="29"/>
      <c r="BA29" s="140">
        <f t="shared" si="23"/>
        <v>1.7702322586268422E-15</v>
      </c>
      <c r="BB29" s="117">
        <f t="shared" si="2"/>
        <v>200</v>
      </c>
      <c r="BC29" s="117">
        <f t="shared" si="24"/>
        <v>535</v>
      </c>
      <c r="BD29" s="117">
        <f t="shared" si="25"/>
        <v>17.632785320232074</v>
      </c>
      <c r="BE29" s="117">
        <f t="shared" si="26"/>
        <v>315.88474132285529</v>
      </c>
      <c r="BF29" s="110">
        <f t="shared" si="27"/>
        <v>5.5820313594097254E-2</v>
      </c>
      <c r="BG29" s="4">
        <f t="shared" si="6"/>
        <v>2</v>
      </c>
      <c r="BH29" s="111">
        <f t="shared" si="38"/>
        <v>116.04204683986819</v>
      </c>
      <c r="BI29" s="112">
        <f t="shared" si="28"/>
        <v>507.68395492442335</v>
      </c>
      <c r="BJ29" s="112">
        <f t="shared" si="29"/>
        <v>507.68395492442335</v>
      </c>
      <c r="BK29" s="110">
        <f t="shared" si="30"/>
        <v>1.4381981725904345</v>
      </c>
      <c r="BL29" s="113" t="str">
        <f t="shared" si="31"/>
        <v>Check</v>
      </c>
      <c r="BM29" s="114">
        <f t="shared" si="32"/>
        <v>1.0039716232471509</v>
      </c>
      <c r="BN29" s="114">
        <f t="shared" si="33"/>
        <v>1.003971623247119</v>
      </c>
      <c r="BO29" s="110">
        <f t="shared" si="34"/>
        <v>9.2319229723875948E-2</v>
      </c>
      <c r="BP29" s="113" t="str">
        <f t="shared" si="35"/>
        <v>OK</v>
      </c>
      <c r="BQ29" s="10">
        <f t="shared" si="12"/>
        <v>304.99199999999996</v>
      </c>
      <c r="BR29" s="110">
        <f t="shared" si="36"/>
        <v>0.38047570703450651</v>
      </c>
      <c r="BS29" s="113" t="str">
        <f t="shared" si="37"/>
        <v>OK</v>
      </c>
      <c r="DE29" s="4"/>
      <c r="DF29" s="4"/>
      <c r="DG29" s="4"/>
      <c r="DH29" s="4"/>
      <c r="DI29" s="13"/>
      <c r="DJ29" s="13"/>
      <c r="DK29" s="13"/>
      <c r="DL29" s="13"/>
      <c r="DM29" s="13"/>
      <c r="DR29" s="29"/>
      <c r="DS29" s="29"/>
      <c r="DT29" s="29"/>
      <c r="DU29" s="29"/>
      <c r="DV29" s="29"/>
      <c r="DW29" s="29"/>
      <c r="DX29" s="29"/>
      <c r="DY29" s="29"/>
      <c r="DZ29" s="29"/>
      <c r="EA29" s="140"/>
      <c r="EB29" s="117"/>
      <c r="EC29" s="117"/>
      <c r="ED29" s="117"/>
      <c r="EE29" s="117"/>
      <c r="EF29" s="110"/>
      <c r="EG29" s="4"/>
      <c r="EH29" s="111"/>
      <c r="EI29" s="112"/>
      <c r="EJ29" s="112"/>
      <c r="EK29" s="110"/>
      <c r="EL29" s="113"/>
      <c r="EM29" s="114"/>
      <c r="EN29" s="114"/>
      <c r="EO29" s="110"/>
      <c r="EP29" s="113"/>
      <c r="EQ29" s="10"/>
      <c r="ER29" s="110"/>
      <c r="ES29" s="113"/>
    </row>
    <row r="30" spans="13:149" ht="12.75" customHeight="1">
      <c r="M30" s="7"/>
      <c r="N30" s="141" t="str">
        <f>"- Cường độ tính toán theo kim loại đường hàn:"</f>
        <v>- Cường độ tính toán theo kim loại đường hàn:</v>
      </c>
      <c r="O30" s="141"/>
      <c r="P30" s="142"/>
      <c r="Q30" s="144"/>
      <c r="R30" s="141"/>
      <c r="S30" s="2"/>
      <c r="T30" s="20" t="s">
        <v>133</v>
      </c>
      <c r="U30" s="32">
        <v>0.7</v>
      </c>
      <c r="V30" s="33" t="s">
        <v>128</v>
      </c>
      <c r="W30" s="34">
        <f>VLOOKUP(W28,Data!$AZ$3:$BB$99,3,FALSE)</f>
        <v>180</v>
      </c>
      <c r="X30" s="23" t="s">
        <v>20</v>
      </c>
      <c r="AA30" s="67" t="s">
        <v>211</v>
      </c>
      <c r="AB30" s="28" t="s">
        <v>389</v>
      </c>
      <c r="AC30" s="28" t="s">
        <v>347</v>
      </c>
      <c r="AD30" s="68">
        <v>20.399999999999999</v>
      </c>
      <c r="AE30" s="4">
        <f t="shared" si="14"/>
        <v>450</v>
      </c>
      <c r="AF30" s="4">
        <f t="shared" si="15"/>
        <v>200</v>
      </c>
      <c r="AG30" s="4">
        <f t="shared" si="16"/>
        <v>6</v>
      </c>
      <c r="AH30" s="4">
        <f t="shared" si="17"/>
        <v>12</v>
      </c>
      <c r="AI30" s="13">
        <f t="shared" si="18"/>
        <v>670</v>
      </c>
      <c r="AJ30" s="13">
        <f t="shared" si="19"/>
        <v>250</v>
      </c>
      <c r="AK30" s="13">
        <f t="shared" si="20"/>
        <v>20</v>
      </c>
      <c r="AL30" s="13" t="str">
        <f t="shared" si="21"/>
        <v>670x250x20</v>
      </c>
      <c r="AM30" s="13" t="str">
        <f t="shared" si="22"/>
        <v>6M24</v>
      </c>
      <c r="AN30" s="67" t="s">
        <v>402</v>
      </c>
      <c r="AO30" s="69">
        <v>64.511324679318832</v>
      </c>
      <c r="AP30" s="69">
        <v>10.775098522674853</v>
      </c>
      <c r="AQ30" s="29">
        <v>1.6658660438981364E-13</v>
      </c>
      <c r="AR30" s="29"/>
      <c r="AS30" s="29"/>
      <c r="AT30" s="29"/>
      <c r="AU30" s="29"/>
      <c r="AV30" s="29"/>
      <c r="AW30" s="29"/>
      <c r="AX30" s="29"/>
      <c r="AY30" s="29"/>
      <c r="AZ30" s="29"/>
      <c r="BA30" s="140">
        <f t="shared" si="23"/>
        <v>2.582284664249319E-15</v>
      </c>
      <c r="BB30" s="117">
        <f t="shared" si="2"/>
        <v>200</v>
      </c>
      <c r="BC30" s="117">
        <f t="shared" si="24"/>
        <v>535</v>
      </c>
      <c r="BD30" s="117">
        <f t="shared" si="25"/>
        <v>6.6946820247759433</v>
      </c>
      <c r="BE30" s="117">
        <f t="shared" si="26"/>
        <v>315.88474132285529</v>
      </c>
      <c r="BF30" s="110">
        <f t="shared" si="27"/>
        <v>2.1193432758860396E-2</v>
      </c>
      <c r="BG30" s="4">
        <f t="shared" si="6"/>
        <v>2</v>
      </c>
      <c r="BH30" s="111">
        <f t="shared" si="38"/>
        <v>44.389773509565813</v>
      </c>
      <c r="BI30" s="112">
        <f t="shared" si="28"/>
        <v>194.20525910435043</v>
      </c>
      <c r="BJ30" s="112">
        <f t="shared" si="29"/>
        <v>194.20525910435043</v>
      </c>
      <c r="BK30" s="110">
        <f t="shared" si="30"/>
        <v>0.55015654137209757</v>
      </c>
      <c r="BL30" s="113" t="str">
        <f t="shared" si="31"/>
        <v>OK</v>
      </c>
      <c r="BM30" s="114">
        <f t="shared" si="32"/>
        <v>0.3851422368914646</v>
      </c>
      <c r="BN30" s="114">
        <f t="shared" si="33"/>
        <v>0.38514223689144683</v>
      </c>
      <c r="BO30" s="110">
        <f t="shared" si="34"/>
        <v>3.5415378104962258E-2</v>
      </c>
      <c r="BP30" s="113" t="str">
        <f t="shared" si="35"/>
        <v>OK</v>
      </c>
      <c r="BQ30" s="10">
        <f t="shared" si="12"/>
        <v>304.99199999999996</v>
      </c>
      <c r="BR30" s="110">
        <f t="shared" si="36"/>
        <v>0.14554405856404698</v>
      </c>
      <c r="BS30" s="113" t="str">
        <f t="shared" si="37"/>
        <v>OK</v>
      </c>
      <c r="DE30" s="4"/>
      <c r="DF30" s="4"/>
      <c r="DG30" s="4"/>
      <c r="DH30" s="4"/>
      <c r="DI30" s="13"/>
      <c r="DJ30" s="13"/>
      <c r="DK30" s="13"/>
      <c r="DL30" s="13"/>
      <c r="DM30" s="13"/>
      <c r="DR30" s="29"/>
      <c r="DS30" s="29"/>
      <c r="DT30" s="29"/>
      <c r="DU30" s="29"/>
      <c r="DV30" s="29"/>
      <c r="DW30" s="29"/>
      <c r="DX30" s="29"/>
      <c r="DY30" s="29"/>
      <c r="DZ30" s="29"/>
      <c r="EA30" s="140"/>
      <c r="EB30" s="117"/>
      <c r="EC30" s="117"/>
      <c r="ED30" s="117"/>
      <c r="EE30" s="117"/>
      <c r="EF30" s="110"/>
      <c r="EG30" s="4"/>
      <c r="EH30" s="111"/>
      <c r="EI30" s="112"/>
      <c r="EJ30" s="112"/>
      <c r="EK30" s="110"/>
      <c r="EL30" s="113"/>
      <c r="EM30" s="114"/>
      <c r="EN30" s="114"/>
      <c r="EO30" s="110"/>
      <c r="EP30" s="113"/>
      <c r="EQ30" s="10"/>
      <c r="ER30" s="110"/>
      <c r="ES30" s="113"/>
    </row>
    <row r="31" spans="13:149" ht="12.75" customHeight="1">
      <c r="M31" s="7"/>
      <c r="N31" s="141" t="str">
        <f>"- Cường độ tính toán theo kim loại biên nóng chảy:"</f>
        <v>- Cường độ tính toán theo kim loại biên nóng chảy:</v>
      </c>
      <c r="O31" s="141"/>
      <c r="P31" s="142"/>
      <c r="Q31" s="144"/>
      <c r="R31" s="141"/>
      <c r="S31" s="2"/>
      <c r="T31" s="20" t="s">
        <v>134</v>
      </c>
      <c r="U31" s="147">
        <v>1</v>
      </c>
      <c r="V31" s="33" t="s">
        <v>131</v>
      </c>
      <c r="W31" s="34">
        <f>0.45*W24</f>
        <v>171</v>
      </c>
      <c r="X31" s="23" t="s">
        <v>20</v>
      </c>
      <c r="AA31" s="67" t="s">
        <v>211</v>
      </c>
      <c r="AB31" s="28" t="s">
        <v>389</v>
      </c>
      <c r="AC31" s="28" t="s">
        <v>347</v>
      </c>
      <c r="AD31" s="68">
        <v>20.399999999999999</v>
      </c>
      <c r="AE31" s="4">
        <f t="shared" si="14"/>
        <v>450</v>
      </c>
      <c r="AF31" s="4">
        <f t="shared" si="15"/>
        <v>200</v>
      </c>
      <c r="AG31" s="4">
        <f t="shared" si="16"/>
        <v>6</v>
      </c>
      <c r="AH31" s="4">
        <f t="shared" si="17"/>
        <v>12</v>
      </c>
      <c r="AI31" s="13">
        <f t="shared" si="18"/>
        <v>670</v>
      </c>
      <c r="AJ31" s="13">
        <f t="shared" si="19"/>
        <v>250</v>
      </c>
      <c r="AK31" s="13">
        <f t="shared" si="20"/>
        <v>20</v>
      </c>
      <c r="AL31" s="13" t="str">
        <f t="shared" si="21"/>
        <v>670x250x20</v>
      </c>
      <c r="AM31" s="13" t="str">
        <f t="shared" si="22"/>
        <v>6M24</v>
      </c>
      <c r="AN31" s="67" t="s">
        <v>403</v>
      </c>
      <c r="AO31" s="69">
        <v>61.091027506617159</v>
      </c>
      <c r="AP31" s="69">
        <v>23.255278582304982</v>
      </c>
      <c r="AQ31" s="29">
        <v>1.1492953737753382E-12</v>
      </c>
      <c r="AR31" s="29"/>
      <c r="AS31" s="29"/>
      <c r="AT31" s="29"/>
      <c r="AU31" s="29"/>
      <c r="AV31" s="29"/>
      <c r="AW31" s="29"/>
      <c r="AX31" s="29"/>
      <c r="AY31" s="29"/>
      <c r="AZ31" s="29"/>
      <c r="BA31" s="140">
        <f t="shared" si="23"/>
        <v>1.8812834235777923E-14</v>
      </c>
      <c r="BB31" s="117">
        <f t="shared" si="2"/>
        <v>200</v>
      </c>
      <c r="BC31" s="117">
        <f t="shared" si="24"/>
        <v>535</v>
      </c>
      <c r="BD31" s="117">
        <f t="shared" si="25"/>
        <v>6.3376114165889703</v>
      </c>
      <c r="BE31" s="117">
        <f t="shared" si="26"/>
        <v>315.88474132285529</v>
      </c>
      <c r="BF31" s="110">
        <f t="shared" si="27"/>
        <v>2.0063050181051666E-2</v>
      </c>
      <c r="BG31" s="4">
        <f t="shared" si="6"/>
        <v>2</v>
      </c>
      <c r="BH31" s="111">
        <f t="shared" si="38"/>
        <v>42.032434445876092</v>
      </c>
      <c r="BI31" s="112">
        <f t="shared" si="28"/>
        <v>183.89190070070791</v>
      </c>
      <c r="BJ31" s="112">
        <f t="shared" si="29"/>
        <v>183.89190070070791</v>
      </c>
      <c r="BK31" s="110">
        <f t="shared" si="30"/>
        <v>0.52094022861390343</v>
      </c>
      <c r="BL31" s="113" t="str">
        <f t="shared" si="31"/>
        <v>OK</v>
      </c>
      <c r="BM31" s="114">
        <f t="shared" si="32"/>
        <v>0.36472255227837286</v>
      </c>
      <c r="BN31" s="114">
        <f t="shared" si="33"/>
        <v>0.36472255227824996</v>
      </c>
      <c r="BO31" s="110">
        <f t="shared" si="34"/>
        <v>3.353770595663199E-2</v>
      </c>
      <c r="BP31" s="113" t="str">
        <f t="shared" si="35"/>
        <v>OK</v>
      </c>
      <c r="BQ31" s="10">
        <f t="shared" si="12"/>
        <v>304.99199999999996</v>
      </c>
      <c r="BR31" s="110">
        <f t="shared" si="36"/>
        <v>0.13781487529468345</v>
      </c>
      <c r="BS31" s="113" t="str">
        <f t="shared" si="37"/>
        <v>OK</v>
      </c>
      <c r="DE31" s="4"/>
      <c r="DF31" s="4"/>
      <c r="DG31" s="4"/>
      <c r="DH31" s="4"/>
      <c r="DI31" s="13"/>
      <c r="DJ31" s="13"/>
      <c r="DK31" s="13"/>
      <c r="DL31" s="13"/>
      <c r="DM31" s="13"/>
      <c r="DR31" s="29"/>
      <c r="DS31" s="29"/>
      <c r="DT31" s="29"/>
      <c r="DU31" s="29"/>
      <c r="DV31" s="29"/>
      <c r="DW31" s="29"/>
      <c r="DX31" s="29"/>
      <c r="DY31" s="29"/>
      <c r="DZ31" s="29"/>
      <c r="EA31" s="140"/>
      <c r="EB31" s="117"/>
      <c r="EC31" s="117"/>
      <c r="ED31" s="117"/>
      <c r="EE31" s="117"/>
      <c r="EF31" s="110"/>
      <c r="EG31" s="4"/>
      <c r="EH31" s="111"/>
      <c r="EI31" s="112"/>
      <c r="EJ31" s="112"/>
      <c r="EK31" s="110"/>
      <c r="EL31" s="113"/>
      <c r="EM31" s="114"/>
      <c r="EN31" s="114"/>
      <c r="EO31" s="110"/>
      <c r="EP31" s="113"/>
      <c r="EQ31" s="10"/>
      <c r="ER31" s="110"/>
      <c r="ES31" s="113"/>
    </row>
    <row r="32" spans="13:149" ht="12.75" customHeight="1">
      <c r="M32" s="7"/>
      <c r="N32" s="141" t="str">
        <f>"- Hệ số điều kiện làm việc :"</f>
        <v>- Hệ số điều kiện làm việc :</v>
      </c>
      <c r="O32" s="141"/>
      <c r="P32" s="142"/>
      <c r="Q32" s="144"/>
      <c r="R32" s="141"/>
      <c r="S32" s="2"/>
      <c r="T32" s="2"/>
      <c r="U32" s="2"/>
      <c r="V32" s="20" t="s">
        <v>120</v>
      </c>
      <c r="W32" s="32">
        <v>1</v>
      </c>
      <c r="X32" s="23" t="s">
        <v>20</v>
      </c>
      <c r="AA32" s="67" t="s">
        <v>211</v>
      </c>
      <c r="AB32" s="28" t="s">
        <v>389</v>
      </c>
      <c r="AC32" s="28" t="s">
        <v>347</v>
      </c>
      <c r="AD32" s="68">
        <v>20.399999999999999</v>
      </c>
      <c r="AE32" s="4">
        <f t="shared" si="14"/>
        <v>450</v>
      </c>
      <c r="AF32" s="4">
        <f t="shared" si="15"/>
        <v>200</v>
      </c>
      <c r="AG32" s="4">
        <f t="shared" si="16"/>
        <v>6</v>
      </c>
      <c r="AH32" s="4">
        <f t="shared" si="17"/>
        <v>12</v>
      </c>
      <c r="AI32" s="13">
        <f t="shared" si="18"/>
        <v>670</v>
      </c>
      <c r="AJ32" s="13">
        <f t="shared" si="19"/>
        <v>250</v>
      </c>
      <c r="AK32" s="13">
        <f t="shared" si="20"/>
        <v>20</v>
      </c>
      <c r="AL32" s="13" t="str">
        <f t="shared" si="21"/>
        <v>670x250x20</v>
      </c>
      <c r="AM32" s="13" t="str">
        <f t="shared" si="22"/>
        <v>6M24</v>
      </c>
      <c r="AN32" s="67" t="s">
        <v>404</v>
      </c>
      <c r="AO32" s="69">
        <v>-84.230516816446823</v>
      </c>
      <c r="AP32" s="69">
        <v>5.6272152875519907</v>
      </c>
      <c r="AQ32" s="29">
        <v>3.8678956902382664E-13</v>
      </c>
      <c r="AR32" s="29"/>
      <c r="AS32" s="29"/>
      <c r="AT32" s="29"/>
      <c r="AU32" s="29"/>
      <c r="AV32" s="29"/>
      <c r="AW32" s="29"/>
      <c r="AX32" s="29"/>
      <c r="AY32" s="29"/>
      <c r="AZ32" s="29"/>
      <c r="BA32" s="140">
        <f t="shared" si="23"/>
        <v>4.5920360416012814E-15</v>
      </c>
      <c r="BB32" s="117">
        <f t="shared" si="2"/>
        <v>200</v>
      </c>
      <c r="BC32" s="117">
        <f t="shared" si="24"/>
        <v>535</v>
      </c>
      <c r="BD32" s="117">
        <f t="shared" si="25"/>
        <v>8.7580422045465411</v>
      </c>
      <c r="BE32" s="117">
        <f t="shared" si="26"/>
        <v>315.88474132285529</v>
      </c>
      <c r="BF32" s="110">
        <f t="shared" si="27"/>
        <v>2.7725436081115541E-2</v>
      </c>
      <c r="BG32" s="4">
        <f t="shared" si="6"/>
        <v>2</v>
      </c>
      <c r="BH32" s="111">
        <f t="shared" si="38"/>
        <v>0</v>
      </c>
      <c r="BI32" s="112">
        <f t="shared" si="28"/>
        <v>0</v>
      </c>
      <c r="BJ32" s="112">
        <f t="shared" si="29"/>
        <v>57.1</v>
      </c>
      <c r="BK32" s="110">
        <f t="shared" si="30"/>
        <v>0.16175637393767706</v>
      </c>
      <c r="BL32" s="113" t="str">
        <f t="shared" si="31"/>
        <v>OK</v>
      </c>
      <c r="BM32" s="114">
        <f t="shared" si="32"/>
        <v>0.50286875711313594</v>
      </c>
      <c r="BN32" s="114">
        <f t="shared" si="33"/>
        <v>0.50286875711309464</v>
      </c>
      <c r="BO32" s="110">
        <f t="shared" si="34"/>
        <v>4.6240805251782618E-2</v>
      </c>
      <c r="BP32" s="113" t="str">
        <f t="shared" si="35"/>
        <v>OK</v>
      </c>
      <c r="BQ32" s="10">
        <f t="shared" si="12"/>
        <v>304.99199999999996</v>
      </c>
      <c r="BR32" s="110">
        <f t="shared" si="36"/>
        <v>1.8450370132829685E-2</v>
      </c>
      <c r="BS32" s="113" t="str">
        <f t="shared" si="37"/>
        <v>OK</v>
      </c>
      <c r="DE32" s="4"/>
      <c r="DF32" s="4"/>
      <c r="DG32" s="4"/>
      <c r="DH32" s="4"/>
      <c r="DI32" s="13"/>
      <c r="DJ32" s="13"/>
      <c r="DK32" s="13"/>
      <c r="DL32" s="13"/>
      <c r="DM32" s="13"/>
      <c r="DR32" s="29"/>
      <c r="DS32" s="29"/>
      <c r="DT32" s="29"/>
      <c r="DU32" s="29"/>
      <c r="DV32" s="29"/>
      <c r="DW32" s="29"/>
      <c r="DX32" s="29"/>
      <c r="DY32" s="29"/>
      <c r="DZ32" s="29"/>
      <c r="EA32" s="140"/>
      <c r="EB32" s="117"/>
      <c r="EC32" s="117"/>
      <c r="ED32" s="117"/>
      <c r="EE32" s="117"/>
      <c r="EF32" s="110"/>
      <c r="EG32" s="4"/>
      <c r="EH32" s="111"/>
      <c r="EI32" s="112"/>
      <c r="EJ32" s="112"/>
      <c r="EK32" s="110"/>
      <c r="EL32" s="113"/>
      <c r="EM32" s="114"/>
      <c r="EN32" s="114"/>
      <c r="EO32" s="110"/>
      <c r="EP32" s="113"/>
      <c r="EQ32" s="10"/>
      <c r="ER32" s="110"/>
      <c r="ES32" s="113"/>
    </row>
    <row r="33" spans="13:149" ht="12.75" customHeight="1">
      <c r="M33" s="7"/>
      <c r="N33" s="141" t="str">
        <f>"- Cường độ tính toán của đường hàn:"</f>
        <v>- Cường độ tính toán của đường hàn:</v>
      </c>
      <c r="O33" s="141"/>
      <c r="P33" s="142"/>
      <c r="Q33" s="144"/>
      <c r="R33" s="141"/>
      <c r="S33" s="2"/>
      <c r="T33" s="20"/>
      <c r="U33" s="32"/>
      <c r="V33" s="33" t="s">
        <v>143</v>
      </c>
      <c r="W33" s="34">
        <f>MIN(U30*W30,U31*W31)*W32</f>
        <v>125.99999999999999</v>
      </c>
      <c r="X33" s="23" t="s">
        <v>20</v>
      </c>
      <c r="AA33" s="67" t="s">
        <v>211</v>
      </c>
      <c r="AB33" s="28" t="s">
        <v>389</v>
      </c>
      <c r="AC33" s="28" t="s">
        <v>347</v>
      </c>
      <c r="AD33" s="68">
        <v>20.399999999999999</v>
      </c>
      <c r="AE33" s="4">
        <f t="shared" si="14"/>
        <v>450</v>
      </c>
      <c r="AF33" s="4">
        <f t="shared" si="15"/>
        <v>200</v>
      </c>
      <c r="AG33" s="4">
        <f t="shared" si="16"/>
        <v>6</v>
      </c>
      <c r="AH33" s="4">
        <f t="shared" si="17"/>
        <v>12</v>
      </c>
      <c r="AI33" s="13">
        <f t="shared" si="18"/>
        <v>670</v>
      </c>
      <c r="AJ33" s="13">
        <f t="shared" si="19"/>
        <v>250</v>
      </c>
      <c r="AK33" s="13">
        <f t="shared" si="20"/>
        <v>20</v>
      </c>
      <c r="AL33" s="13" t="str">
        <f t="shared" si="21"/>
        <v>670x250x20</v>
      </c>
      <c r="AM33" s="13" t="str">
        <f t="shared" si="22"/>
        <v>6M24</v>
      </c>
      <c r="AN33" s="67" t="s">
        <v>405</v>
      </c>
      <c r="AO33" s="69">
        <v>-86.450344105745302</v>
      </c>
      <c r="AP33" s="69">
        <v>6.559604121676756</v>
      </c>
      <c r="AQ33" s="29">
        <v>2.0664199576931535E-13</v>
      </c>
      <c r="AR33" s="29"/>
      <c r="AS33" s="29"/>
      <c r="AT33" s="29"/>
      <c r="AU33" s="29"/>
      <c r="AV33" s="29"/>
      <c r="AW33" s="29"/>
      <c r="AX33" s="29"/>
      <c r="AY33" s="29"/>
      <c r="AZ33" s="29"/>
      <c r="BA33" s="140">
        <f t="shared" si="23"/>
        <v>2.3902969722891173E-15</v>
      </c>
      <c r="BB33" s="117">
        <f t="shared" si="2"/>
        <v>200</v>
      </c>
      <c r="BC33" s="117">
        <f t="shared" si="24"/>
        <v>535</v>
      </c>
      <c r="BD33" s="117">
        <f t="shared" si="25"/>
        <v>8.9908254746090961</v>
      </c>
      <c r="BE33" s="117">
        <f t="shared" si="26"/>
        <v>315.88474132285529</v>
      </c>
      <c r="BF33" s="110">
        <f t="shared" si="27"/>
        <v>2.8462360786904461E-2</v>
      </c>
      <c r="BG33" s="4">
        <f t="shared" si="6"/>
        <v>2</v>
      </c>
      <c r="BH33" s="111">
        <f t="shared" si="38"/>
        <v>0</v>
      </c>
      <c r="BI33" s="112">
        <f t="shared" si="28"/>
        <v>0</v>
      </c>
      <c r="BJ33" s="112">
        <f t="shared" si="29"/>
        <v>57.1</v>
      </c>
      <c r="BK33" s="110">
        <f t="shared" si="30"/>
        <v>0.16175637393767706</v>
      </c>
      <c r="BL33" s="113" t="str">
        <f t="shared" si="31"/>
        <v>OK</v>
      </c>
      <c r="BM33" s="114">
        <f t="shared" si="32"/>
        <v>0.51612145734774428</v>
      </c>
      <c r="BN33" s="114">
        <f t="shared" si="33"/>
        <v>0.51612145734772208</v>
      </c>
      <c r="BO33" s="110">
        <f t="shared" si="34"/>
        <v>4.7459444353815564E-2</v>
      </c>
      <c r="BP33" s="113" t="str">
        <f t="shared" si="35"/>
        <v>OK</v>
      </c>
      <c r="BQ33" s="10">
        <f t="shared" si="12"/>
        <v>304.99199999999996</v>
      </c>
      <c r="BR33" s="110">
        <f t="shared" si="36"/>
        <v>2.1507462889770082E-2</v>
      </c>
      <c r="BS33" s="113" t="str">
        <f t="shared" si="37"/>
        <v>OK</v>
      </c>
      <c r="DE33" s="4"/>
      <c r="DF33" s="4"/>
      <c r="DG33" s="4"/>
      <c r="DH33" s="4"/>
      <c r="DI33" s="13"/>
      <c r="DJ33" s="13"/>
      <c r="DK33" s="13"/>
      <c r="DL33" s="13"/>
      <c r="DM33" s="13"/>
      <c r="DR33" s="29"/>
      <c r="DS33" s="29"/>
      <c r="DT33" s="29"/>
      <c r="DU33" s="29"/>
      <c r="DV33" s="29"/>
      <c r="DW33" s="29"/>
      <c r="DX33" s="29"/>
      <c r="DY33" s="29"/>
      <c r="DZ33" s="29"/>
      <c r="EA33" s="140"/>
      <c r="EB33" s="117"/>
      <c r="EC33" s="117"/>
      <c r="ED33" s="117"/>
      <c r="EE33" s="117"/>
      <c r="EF33" s="110"/>
      <c r="EG33" s="4"/>
      <c r="EH33" s="111"/>
      <c r="EI33" s="112"/>
      <c r="EJ33" s="112"/>
      <c r="EK33" s="110"/>
      <c r="EL33" s="113"/>
      <c r="EM33" s="114"/>
      <c r="EN33" s="114"/>
      <c r="EO33" s="110"/>
      <c r="EP33" s="113"/>
      <c r="EQ33" s="10"/>
      <c r="ER33" s="110"/>
      <c r="ES33" s="113"/>
    </row>
    <row r="34" spans="13:149" ht="12.75" customHeight="1">
      <c r="M34" s="6" t="s">
        <v>376</v>
      </c>
      <c r="N34" s="141"/>
      <c r="O34" s="141"/>
      <c r="P34" s="141"/>
      <c r="Q34" s="141"/>
      <c r="R34" s="141"/>
      <c r="S34" s="142"/>
      <c r="T34" s="143"/>
      <c r="U34" s="141"/>
      <c r="V34" s="2"/>
      <c r="W34" s="2"/>
      <c r="X34" s="5"/>
      <c r="AA34" s="67" t="s">
        <v>211</v>
      </c>
      <c r="AB34" s="28" t="s">
        <v>389</v>
      </c>
      <c r="AC34" s="28" t="s">
        <v>347</v>
      </c>
      <c r="AD34" s="68">
        <v>20.399999999999999</v>
      </c>
      <c r="AE34" s="4">
        <f t="shared" si="14"/>
        <v>450</v>
      </c>
      <c r="AF34" s="4">
        <f t="shared" si="15"/>
        <v>200</v>
      </c>
      <c r="AG34" s="4">
        <f t="shared" si="16"/>
        <v>6</v>
      </c>
      <c r="AH34" s="4">
        <f t="shared" si="17"/>
        <v>12</v>
      </c>
      <c r="AI34" s="13">
        <f t="shared" si="18"/>
        <v>670</v>
      </c>
      <c r="AJ34" s="13">
        <f t="shared" si="19"/>
        <v>250</v>
      </c>
      <c r="AK34" s="13">
        <f t="shared" si="20"/>
        <v>20</v>
      </c>
      <c r="AL34" s="13" t="str">
        <f t="shared" si="21"/>
        <v>670x250x20</v>
      </c>
      <c r="AM34" s="13" t="str">
        <f t="shared" si="22"/>
        <v>6M24</v>
      </c>
      <c r="AN34" s="67" t="s">
        <v>406</v>
      </c>
      <c r="AO34" s="69">
        <v>158.20515271669348</v>
      </c>
      <c r="AP34" s="69">
        <v>13.539067442394071</v>
      </c>
      <c r="AQ34" s="29">
        <v>9.2230248981525111E-13</v>
      </c>
      <c r="AR34" s="29"/>
      <c r="AS34" s="29"/>
      <c r="AT34" s="29"/>
      <c r="AU34" s="29"/>
      <c r="AV34" s="29"/>
      <c r="AW34" s="29"/>
      <c r="AX34" s="29"/>
      <c r="AY34" s="29"/>
      <c r="AZ34" s="29"/>
      <c r="BA34" s="140">
        <f t="shared" si="23"/>
        <v>5.8297879302760011E-15</v>
      </c>
      <c r="BB34" s="117">
        <f t="shared" si="2"/>
        <v>200</v>
      </c>
      <c r="BC34" s="117">
        <f t="shared" si="24"/>
        <v>535</v>
      </c>
      <c r="BD34" s="117">
        <f t="shared" si="25"/>
        <v>16.571721739422856</v>
      </c>
      <c r="BE34" s="117">
        <f t="shared" si="26"/>
        <v>315.88474132285529</v>
      </c>
      <c r="BF34" s="110">
        <f t="shared" si="27"/>
        <v>5.246129227396093E-2</v>
      </c>
      <c r="BG34" s="4">
        <f t="shared" si="6"/>
        <v>2</v>
      </c>
      <c r="BH34" s="111">
        <f t="shared" si="38"/>
        <v>109.13882201105066</v>
      </c>
      <c r="BI34" s="112">
        <f t="shared" si="28"/>
        <v>477.48234629834667</v>
      </c>
      <c r="BJ34" s="112">
        <f t="shared" si="29"/>
        <v>477.48234629834667</v>
      </c>
      <c r="BK34" s="110">
        <f t="shared" si="30"/>
        <v>1.3526412076440415</v>
      </c>
      <c r="BL34" s="113" t="str">
        <f t="shared" si="31"/>
        <v>Check</v>
      </c>
      <c r="BM34" s="114">
        <f t="shared" si="32"/>
        <v>0.94450837442807001</v>
      </c>
      <c r="BN34" s="114">
        <f t="shared" si="33"/>
        <v>0.94450837442797142</v>
      </c>
      <c r="BO34" s="110">
        <f t="shared" si="34"/>
        <v>8.685134477499494E-2</v>
      </c>
      <c r="BP34" s="113" t="str">
        <f t="shared" si="35"/>
        <v>OK</v>
      </c>
      <c r="BQ34" s="10">
        <f t="shared" si="12"/>
        <v>304.99199999999996</v>
      </c>
      <c r="BR34" s="110">
        <f t="shared" si="36"/>
        <v>0.35784158932382054</v>
      </c>
      <c r="BS34" s="113" t="str">
        <f t="shared" si="37"/>
        <v>OK</v>
      </c>
      <c r="DE34" s="4"/>
      <c r="DF34" s="4"/>
      <c r="DG34" s="4"/>
      <c r="DH34" s="4"/>
      <c r="DI34" s="13"/>
      <c r="DJ34" s="13"/>
      <c r="DK34" s="13"/>
      <c r="DL34" s="13"/>
      <c r="DM34" s="13"/>
      <c r="DR34" s="29"/>
      <c r="DS34" s="29"/>
      <c r="DT34" s="29"/>
      <c r="DU34" s="29"/>
      <c r="DV34" s="29"/>
      <c r="DW34" s="29"/>
      <c r="DX34" s="29"/>
      <c r="DY34" s="29"/>
      <c r="DZ34" s="29"/>
      <c r="EA34" s="140"/>
      <c r="EB34" s="117"/>
      <c r="EC34" s="117"/>
      <c r="ED34" s="117"/>
      <c r="EE34" s="117"/>
      <c r="EF34" s="110"/>
      <c r="EG34" s="4"/>
      <c r="EH34" s="111"/>
      <c r="EI34" s="112"/>
      <c r="EJ34" s="112"/>
      <c r="EK34" s="110"/>
      <c r="EL34" s="113"/>
      <c r="EM34" s="114"/>
      <c r="EN34" s="114"/>
      <c r="EO34" s="110"/>
      <c r="EP34" s="113"/>
      <c r="EQ34" s="10"/>
      <c r="ER34" s="110"/>
      <c r="ES34" s="113"/>
    </row>
    <row r="35" spans="13:149" ht="12.75" customHeight="1">
      <c r="M35" s="7"/>
      <c r="N35" s="141" t="str">
        <f>"- Cấp độ bền bê tông:"</f>
        <v>- Cấp độ bền bê tông:</v>
      </c>
      <c r="O35" s="141"/>
      <c r="P35" s="142"/>
      <c r="Q35" s="144"/>
      <c r="R35" s="141"/>
      <c r="S35" s="2"/>
      <c r="T35" s="2"/>
      <c r="U35" s="2"/>
      <c r="V35" s="2"/>
      <c r="W35" s="32" t="s">
        <v>65</v>
      </c>
      <c r="X35" s="8"/>
      <c r="AA35" s="67" t="s">
        <v>211</v>
      </c>
      <c r="AB35" s="28" t="s">
        <v>389</v>
      </c>
      <c r="AC35" s="28" t="s">
        <v>347</v>
      </c>
      <c r="AD35" s="68">
        <v>20.399999999999999</v>
      </c>
      <c r="AE35" s="4">
        <f t="shared" si="14"/>
        <v>450</v>
      </c>
      <c r="AF35" s="4">
        <f t="shared" si="15"/>
        <v>200</v>
      </c>
      <c r="AG35" s="4">
        <f t="shared" si="16"/>
        <v>6</v>
      </c>
      <c r="AH35" s="4">
        <f t="shared" si="17"/>
        <v>12</v>
      </c>
      <c r="AI35" s="13">
        <f t="shared" si="18"/>
        <v>670</v>
      </c>
      <c r="AJ35" s="13">
        <f t="shared" si="19"/>
        <v>250</v>
      </c>
      <c r="AK35" s="13">
        <f t="shared" si="20"/>
        <v>20</v>
      </c>
      <c r="AL35" s="13" t="str">
        <f t="shared" si="21"/>
        <v>670x250x20</v>
      </c>
      <c r="AM35" s="13" t="str">
        <f t="shared" si="22"/>
        <v>6M24</v>
      </c>
      <c r="AN35" s="67" t="s">
        <v>407</v>
      </c>
      <c r="AO35" s="69">
        <v>155.985325427395</v>
      </c>
      <c r="AP35" s="69">
        <v>25.725886851622818</v>
      </c>
      <c r="AQ35" s="29">
        <v>3.2887092502210913E-13</v>
      </c>
      <c r="AR35" s="29"/>
      <c r="AS35" s="29"/>
      <c r="AT35" s="29"/>
      <c r="AU35" s="29"/>
      <c r="AV35" s="29"/>
      <c r="AW35" s="29"/>
      <c r="AX35" s="29"/>
      <c r="AY35" s="29"/>
      <c r="AZ35" s="29"/>
      <c r="BA35" s="140">
        <f t="shared" si="23"/>
        <v>2.1083452826156108E-15</v>
      </c>
      <c r="BB35" s="117">
        <f t="shared" si="2"/>
        <v>200</v>
      </c>
      <c r="BC35" s="117">
        <f t="shared" si="24"/>
        <v>535</v>
      </c>
      <c r="BD35" s="117">
        <f t="shared" si="25"/>
        <v>16.335536054632371</v>
      </c>
      <c r="BE35" s="117">
        <f t="shared" si="26"/>
        <v>315.88474132285529</v>
      </c>
      <c r="BF35" s="110">
        <f t="shared" si="27"/>
        <v>5.1713596504290665E-2</v>
      </c>
      <c r="BG35" s="4">
        <f t="shared" si="6"/>
        <v>2</v>
      </c>
      <c r="BH35" s="111">
        <f t="shared" si="38"/>
        <v>107.60082181271866</v>
      </c>
      <c r="BI35" s="112">
        <f t="shared" si="28"/>
        <v>470.75359543064417</v>
      </c>
      <c r="BJ35" s="112">
        <f t="shared" si="29"/>
        <v>470.75359543064417</v>
      </c>
      <c r="BK35" s="110">
        <f t="shared" si="30"/>
        <v>1.3335795904550827</v>
      </c>
      <c r="BL35" s="113" t="str">
        <f t="shared" si="31"/>
        <v>Check</v>
      </c>
      <c r="BM35" s="114">
        <f t="shared" si="32"/>
        <v>0.93125567419342059</v>
      </c>
      <c r="BN35" s="114">
        <f t="shared" si="33"/>
        <v>0.93125567419338551</v>
      </c>
      <c r="BO35" s="110">
        <f t="shared" si="34"/>
        <v>8.563270567295822E-2</v>
      </c>
      <c r="BP35" s="113" t="str">
        <f t="shared" si="35"/>
        <v>OK</v>
      </c>
      <c r="BQ35" s="10">
        <f t="shared" si="12"/>
        <v>304.99199999999996</v>
      </c>
      <c r="BR35" s="110">
        <f t="shared" si="36"/>
        <v>0.35279883345372559</v>
      </c>
      <c r="BS35" s="113" t="str">
        <f t="shared" si="37"/>
        <v>OK</v>
      </c>
      <c r="DE35" s="4"/>
      <c r="DF35" s="4"/>
      <c r="DG35" s="4"/>
      <c r="DH35" s="4"/>
      <c r="DI35" s="13"/>
      <c r="DJ35" s="13"/>
      <c r="DK35" s="13"/>
      <c r="DL35" s="13"/>
      <c r="DM35" s="13"/>
      <c r="DR35" s="29"/>
      <c r="DS35" s="29"/>
      <c r="DT35" s="29"/>
      <c r="DU35" s="29"/>
      <c r="DV35" s="29"/>
      <c r="DW35" s="29"/>
      <c r="DX35" s="29"/>
      <c r="DY35" s="29"/>
      <c r="DZ35" s="29"/>
      <c r="EA35" s="140"/>
      <c r="EB35" s="117"/>
      <c r="EC35" s="117"/>
      <c r="ED35" s="117"/>
      <c r="EE35" s="117"/>
      <c r="EF35" s="110"/>
      <c r="EG35" s="4"/>
      <c r="EH35" s="111"/>
      <c r="EI35" s="112"/>
      <c r="EJ35" s="112"/>
      <c r="EK35" s="110"/>
      <c r="EL35" s="113"/>
      <c r="EM35" s="114"/>
      <c r="EN35" s="114"/>
      <c r="EO35" s="110"/>
      <c r="EP35" s="113"/>
      <c r="EQ35" s="10"/>
      <c r="ER35" s="110"/>
      <c r="ES35" s="113"/>
    </row>
    <row r="36" spans="13:149" ht="12.75" customHeight="1">
      <c r="M36" s="7"/>
      <c r="N36" s="141" t="str">
        <f>"- Cường độ chịu nén của bê tông:"</f>
        <v>- Cường độ chịu nén của bê tông:</v>
      </c>
      <c r="O36" s="141"/>
      <c r="P36" s="142"/>
      <c r="Q36" s="144"/>
      <c r="R36" s="141"/>
      <c r="S36" s="2"/>
      <c r="T36" s="2"/>
      <c r="U36" s="2"/>
      <c r="V36" s="33" t="s">
        <v>63</v>
      </c>
      <c r="W36" s="34">
        <f>VLOOKUP(W35,Data!$BJ$5:$BQ$16,4,FALSE)</f>
        <v>14.5</v>
      </c>
      <c r="X36" s="8" t="s">
        <v>20</v>
      </c>
      <c r="AA36" s="67" t="s">
        <v>211</v>
      </c>
      <c r="AB36" s="28" t="s">
        <v>389</v>
      </c>
      <c r="AC36" s="28" t="s">
        <v>347</v>
      </c>
      <c r="AD36" s="68">
        <v>20.399999999999999</v>
      </c>
      <c r="AE36" s="4">
        <f t="shared" si="14"/>
        <v>450</v>
      </c>
      <c r="AF36" s="4">
        <f t="shared" si="15"/>
        <v>200</v>
      </c>
      <c r="AG36" s="4">
        <f t="shared" si="16"/>
        <v>6</v>
      </c>
      <c r="AH36" s="4">
        <f t="shared" si="17"/>
        <v>12</v>
      </c>
      <c r="AI36" s="13">
        <f t="shared" si="18"/>
        <v>670</v>
      </c>
      <c r="AJ36" s="13">
        <f t="shared" si="19"/>
        <v>250</v>
      </c>
      <c r="AK36" s="13">
        <f t="shared" si="20"/>
        <v>20</v>
      </c>
      <c r="AL36" s="13" t="str">
        <f t="shared" si="21"/>
        <v>670x250x20</v>
      </c>
      <c r="AM36" s="13" t="str">
        <f t="shared" si="22"/>
        <v>6M24</v>
      </c>
      <c r="AN36" s="67" t="s">
        <v>408</v>
      </c>
      <c r="AO36" s="69">
        <v>158.4128689460087</v>
      </c>
      <c r="AP36" s="69">
        <v>13.666625307432469</v>
      </c>
      <c r="AQ36" s="29">
        <v>3.5117136329563262E-13</v>
      </c>
      <c r="AR36" s="29"/>
      <c r="AS36" s="29"/>
      <c r="AT36" s="29"/>
      <c r="AU36" s="29"/>
      <c r="AV36" s="29"/>
      <c r="AW36" s="29"/>
      <c r="AX36" s="29"/>
      <c r="AY36" s="29"/>
      <c r="AZ36" s="29"/>
      <c r="BA36" s="140">
        <f t="shared" si="23"/>
        <v>2.2168108287674601E-15</v>
      </c>
      <c r="BB36" s="117">
        <f t="shared" si="2"/>
        <v>200</v>
      </c>
      <c r="BC36" s="117">
        <f t="shared" si="24"/>
        <v>535</v>
      </c>
      <c r="BD36" s="117">
        <f t="shared" si="25"/>
        <v>16.593827883274457</v>
      </c>
      <c r="BE36" s="117">
        <f t="shared" si="26"/>
        <v>315.88474132285529</v>
      </c>
      <c r="BF36" s="110">
        <f t="shared" si="27"/>
        <v>5.2531273950692216E-2</v>
      </c>
      <c r="BG36" s="4">
        <f t="shared" si="6"/>
        <v>2</v>
      </c>
      <c r="BH36" s="111">
        <f t="shared" si="38"/>
        <v>109.28274751143931</v>
      </c>
      <c r="BI36" s="112">
        <f t="shared" si="28"/>
        <v>478.11202036254696</v>
      </c>
      <c r="BJ36" s="112">
        <f t="shared" si="29"/>
        <v>478.11202036254696</v>
      </c>
      <c r="BK36" s="110">
        <f t="shared" si="30"/>
        <v>1.3544249868627392</v>
      </c>
      <c r="BL36" s="113" t="str">
        <f t="shared" si="31"/>
        <v>Check</v>
      </c>
      <c r="BM36" s="114">
        <f t="shared" si="32"/>
        <v>0.9457484713194737</v>
      </c>
      <c r="BN36" s="114">
        <f t="shared" si="33"/>
        <v>0.94574847131943618</v>
      </c>
      <c r="BO36" s="110">
        <f t="shared" si="34"/>
        <v>8.6965376673055053E-2</v>
      </c>
      <c r="BP36" s="113" t="str">
        <f t="shared" si="35"/>
        <v>OK</v>
      </c>
      <c r="BQ36" s="10">
        <f t="shared" si="12"/>
        <v>304.99199999999996</v>
      </c>
      <c r="BR36" s="110">
        <f t="shared" si="36"/>
        <v>0.35831348858802631</v>
      </c>
      <c r="BS36" s="113" t="str">
        <f t="shared" si="37"/>
        <v>OK</v>
      </c>
      <c r="DE36" s="4"/>
      <c r="DF36" s="4"/>
      <c r="DG36" s="4"/>
      <c r="DH36" s="4"/>
      <c r="DI36" s="13"/>
      <c r="DJ36" s="13"/>
      <c r="DK36" s="13"/>
      <c r="DL36" s="13"/>
      <c r="DM36" s="13"/>
      <c r="DR36" s="29"/>
      <c r="DS36" s="29"/>
      <c r="DT36" s="29"/>
      <c r="DU36" s="29"/>
      <c r="DV36" s="29"/>
      <c r="DW36" s="29"/>
      <c r="DX36" s="29"/>
      <c r="DY36" s="29"/>
      <c r="DZ36" s="29"/>
      <c r="EA36" s="140"/>
      <c r="EB36" s="117"/>
      <c r="EC36" s="117"/>
      <c r="ED36" s="117"/>
      <c r="EE36" s="117"/>
      <c r="EF36" s="110"/>
      <c r="EG36" s="4"/>
      <c r="EH36" s="111"/>
      <c r="EI36" s="112"/>
      <c r="EJ36" s="112"/>
      <c r="EK36" s="110"/>
      <c r="EL36" s="113"/>
      <c r="EM36" s="114"/>
      <c r="EN36" s="114"/>
      <c r="EO36" s="110"/>
      <c r="EP36" s="113"/>
      <c r="EQ36" s="10"/>
      <c r="ER36" s="110"/>
      <c r="ES36" s="113"/>
    </row>
    <row r="37" spans="13:149" ht="12.75" customHeight="1">
      <c r="M37" s="6" t="s">
        <v>55</v>
      </c>
      <c r="N37" s="141"/>
      <c r="O37" s="141"/>
      <c r="P37" s="141"/>
      <c r="Q37" s="141"/>
      <c r="R37" s="141"/>
      <c r="S37" s="142"/>
      <c r="T37" s="143"/>
      <c r="U37" s="141"/>
      <c r="V37" s="2"/>
      <c r="W37" s="2"/>
      <c r="X37" s="5"/>
      <c r="AA37" s="67" t="s">
        <v>211</v>
      </c>
      <c r="AB37" s="28" t="s">
        <v>389</v>
      </c>
      <c r="AC37" s="28" t="s">
        <v>347</v>
      </c>
      <c r="AD37" s="68">
        <v>20.399999999999999</v>
      </c>
      <c r="AE37" s="4">
        <f t="shared" si="14"/>
        <v>450</v>
      </c>
      <c r="AF37" s="4">
        <f t="shared" si="15"/>
        <v>200</v>
      </c>
      <c r="AG37" s="4">
        <f t="shared" si="16"/>
        <v>6</v>
      </c>
      <c r="AH37" s="4">
        <f t="shared" si="17"/>
        <v>12</v>
      </c>
      <c r="AI37" s="13">
        <f t="shared" si="18"/>
        <v>670</v>
      </c>
      <c r="AJ37" s="13">
        <f t="shared" si="19"/>
        <v>250</v>
      </c>
      <c r="AK37" s="13">
        <f t="shared" si="20"/>
        <v>20</v>
      </c>
      <c r="AL37" s="13" t="str">
        <f t="shared" si="21"/>
        <v>670x250x20</v>
      </c>
      <c r="AM37" s="13" t="str">
        <f t="shared" si="22"/>
        <v>6M24</v>
      </c>
      <c r="AN37" s="67" t="s">
        <v>409</v>
      </c>
      <c r="AO37" s="69">
        <v>156.19304165671022</v>
      </c>
      <c r="AP37" s="69">
        <v>25.853444716661215</v>
      </c>
      <c r="AQ37" s="29">
        <v>9.4460292808877471E-13</v>
      </c>
      <c r="AR37" s="29"/>
      <c r="AS37" s="29"/>
      <c r="AT37" s="29"/>
      <c r="AU37" s="29"/>
      <c r="AV37" s="29"/>
      <c r="AW37" s="29"/>
      <c r="AX37" s="29"/>
      <c r="AY37" s="29"/>
      <c r="AZ37" s="29"/>
      <c r="BA37" s="140">
        <f t="shared" si="23"/>
        <v>6.0476633150206251E-15</v>
      </c>
      <c r="BB37" s="117">
        <f t="shared" si="2"/>
        <v>200</v>
      </c>
      <c r="BC37" s="117">
        <f t="shared" si="24"/>
        <v>535</v>
      </c>
      <c r="BD37" s="117">
        <f t="shared" si="25"/>
        <v>16.357632131519154</v>
      </c>
      <c r="BE37" s="117">
        <f t="shared" si="26"/>
        <v>315.88474132285529</v>
      </c>
      <c r="BF37" s="110">
        <f t="shared" si="27"/>
        <v>5.1783546311914327E-2</v>
      </c>
      <c r="BG37" s="4">
        <f t="shared" si="6"/>
        <v>2</v>
      </c>
      <c r="BH37" s="111">
        <f t="shared" si="38"/>
        <v>107.74472906673358</v>
      </c>
      <c r="BI37" s="112">
        <f t="shared" si="28"/>
        <v>471.38318966695948</v>
      </c>
      <c r="BJ37" s="112">
        <f t="shared" si="29"/>
        <v>471.38318966695948</v>
      </c>
      <c r="BK37" s="110">
        <f t="shared" si="30"/>
        <v>1.3353631435324631</v>
      </c>
      <c r="BL37" s="113" t="str">
        <f t="shared" si="31"/>
        <v>Check</v>
      </c>
      <c r="BM37" s="114">
        <f t="shared" si="32"/>
        <v>0.93249577108488768</v>
      </c>
      <c r="BN37" s="114">
        <f t="shared" si="33"/>
        <v>0.93249577108478665</v>
      </c>
      <c r="BO37" s="110">
        <f t="shared" si="34"/>
        <v>8.5746737571024148E-2</v>
      </c>
      <c r="BP37" s="113" t="str">
        <f t="shared" si="35"/>
        <v>OK</v>
      </c>
      <c r="BQ37" s="10">
        <f t="shared" si="12"/>
        <v>304.99199999999996</v>
      </c>
      <c r="BR37" s="110">
        <f t="shared" si="36"/>
        <v>0.353270672892186</v>
      </c>
      <c r="BS37" s="113" t="str">
        <f t="shared" si="37"/>
        <v>OK</v>
      </c>
      <c r="DE37" s="4"/>
      <c r="DF37" s="4"/>
      <c r="DG37" s="4"/>
      <c r="DH37" s="4"/>
      <c r="DI37" s="13"/>
      <c r="DJ37" s="13"/>
      <c r="DK37" s="13"/>
      <c r="DL37" s="13"/>
      <c r="DM37" s="13"/>
      <c r="DR37" s="29"/>
      <c r="DS37" s="29"/>
      <c r="DT37" s="29"/>
      <c r="DU37" s="29"/>
      <c r="DV37" s="29"/>
      <c r="DW37" s="29"/>
      <c r="DX37" s="29"/>
      <c r="DY37" s="29"/>
      <c r="DZ37" s="29"/>
      <c r="EA37" s="140"/>
      <c r="EB37" s="117"/>
      <c r="EC37" s="117"/>
      <c r="ED37" s="117"/>
      <c r="EE37" s="117"/>
      <c r="EF37" s="110"/>
      <c r="EG37" s="4"/>
      <c r="EH37" s="111"/>
      <c r="EI37" s="112"/>
      <c r="EJ37" s="112"/>
      <c r="EK37" s="110"/>
      <c r="EL37" s="113"/>
      <c r="EM37" s="114"/>
      <c r="EN37" s="114"/>
      <c r="EO37" s="110"/>
      <c r="EP37" s="113"/>
      <c r="EQ37" s="10"/>
      <c r="ER37" s="110"/>
      <c r="ES37" s="113"/>
    </row>
    <row r="38" spans="13:149" ht="12.75" customHeight="1">
      <c r="M38" s="6" t="s">
        <v>375</v>
      </c>
      <c r="N38" s="141"/>
      <c r="O38" s="141"/>
      <c r="P38" s="141"/>
      <c r="Q38" s="141"/>
      <c r="R38" s="141"/>
      <c r="S38" s="142"/>
      <c r="T38" s="143"/>
      <c r="U38" s="141"/>
      <c r="V38" s="2"/>
      <c r="W38" s="2"/>
      <c r="X38" s="5"/>
      <c r="AA38" s="67" t="s">
        <v>211</v>
      </c>
      <c r="AB38" s="28" t="s">
        <v>389</v>
      </c>
      <c r="AC38" s="28" t="s">
        <v>347</v>
      </c>
      <c r="AD38" s="68">
        <v>20.399999999999999</v>
      </c>
      <c r="AE38" s="4">
        <f t="shared" si="14"/>
        <v>450</v>
      </c>
      <c r="AF38" s="4">
        <f t="shared" si="15"/>
        <v>200</v>
      </c>
      <c r="AG38" s="4">
        <f t="shared" si="16"/>
        <v>6</v>
      </c>
      <c r="AH38" s="4">
        <f t="shared" si="17"/>
        <v>12</v>
      </c>
      <c r="AI38" s="13">
        <f t="shared" si="18"/>
        <v>670</v>
      </c>
      <c r="AJ38" s="13">
        <f t="shared" si="19"/>
        <v>250</v>
      </c>
      <c r="AK38" s="13">
        <f t="shared" si="20"/>
        <v>20</v>
      </c>
      <c r="AL38" s="13" t="str">
        <f t="shared" si="21"/>
        <v>670x250x20</v>
      </c>
      <c r="AM38" s="13" t="str">
        <f t="shared" si="22"/>
        <v>6M24</v>
      </c>
      <c r="AN38" s="67" t="s">
        <v>410</v>
      </c>
      <c r="AO38" s="69">
        <v>51.221875501917843</v>
      </c>
      <c r="AP38" s="69">
        <v>4.6351931958218664</v>
      </c>
      <c r="AQ38" s="29">
        <v>3.8932998811394362E-13</v>
      </c>
      <c r="AR38" s="29"/>
      <c r="AS38" s="29"/>
      <c r="AT38" s="29"/>
      <c r="AU38" s="29"/>
      <c r="AV38" s="29"/>
      <c r="AW38" s="29"/>
      <c r="AX38" s="29"/>
      <c r="AY38" s="29"/>
      <c r="AZ38" s="29"/>
      <c r="BA38" s="140">
        <f t="shared" si="23"/>
        <v>7.600853820734587E-15</v>
      </c>
      <c r="BB38" s="117">
        <f t="shared" si="2"/>
        <v>200</v>
      </c>
      <c r="BC38" s="117">
        <f t="shared" si="24"/>
        <v>535</v>
      </c>
      <c r="BD38" s="117">
        <f t="shared" si="25"/>
        <v>5.3086455499783369</v>
      </c>
      <c r="BE38" s="117">
        <f t="shared" si="26"/>
        <v>315.88474132285529</v>
      </c>
      <c r="BF38" s="110">
        <f t="shared" si="27"/>
        <v>1.6805640968116743E-2</v>
      </c>
      <c r="BG38" s="4">
        <f t="shared" si="6"/>
        <v>2</v>
      </c>
      <c r="BH38" s="111">
        <f t="shared" si="38"/>
        <v>35.232857810294661</v>
      </c>
      <c r="BI38" s="112">
        <f t="shared" si="28"/>
        <v>154.14375292003916</v>
      </c>
      <c r="BJ38" s="112">
        <f t="shared" si="29"/>
        <v>154.14375292003916</v>
      </c>
      <c r="BK38" s="110">
        <f t="shared" si="30"/>
        <v>0.43666785529756136</v>
      </c>
      <c r="BL38" s="113" t="str">
        <f t="shared" si="31"/>
        <v>OK</v>
      </c>
      <c r="BM38" s="114">
        <f t="shared" si="32"/>
        <v>0.30580224180251536</v>
      </c>
      <c r="BN38" s="114">
        <f t="shared" si="33"/>
        <v>0.30580224180247373</v>
      </c>
      <c r="BO38" s="110">
        <f t="shared" si="34"/>
        <v>2.8119746372645089E-2</v>
      </c>
      <c r="BP38" s="113" t="str">
        <f t="shared" si="35"/>
        <v>OK</v>
      </c>
      <c r="BQ38" s="10">
        <f t="shared" si="12"/>
        <v>304.99199999999996</v>
      </c>
      <c r="BR38" s="110">
        <f t="shared" si="36"/>
        <v>0.1155205966395665</v>
      </c>
      <c r="BS38" s="113" t="str">
        <f t="shared" si="37"/>
        <v>OK</v>
      </c>
      <c r="DE38" s="4"/>
      <c r="DF38" s="4"/>
      <c r="DG38" s="4"/>
      <c r="DH38" s="4"/>
      <c r="DI38" s="13"/>
      <c r="DJ38" s="13"/>
      <c r="DK38" s="13"/>
      <c r="DL38" s="13"/>
      <c r="DM38" s="13"/>
      <c r="DR38" s="29"/>
      <c r="DS38" s="29"/>
      <c r="DT38" s="29"/>
      <c r="DU38" s="29"/>
      <c r="DV38" s="29"/>
      <c r="DW38" s="29"/>
      <c r="DX38" s="29"/>
      <c r="DY38" s="29"/>
      <c r="DZ38" s="29"/>
      <c r="EA38" s="140"/>
      <c r="EB38" s="117"/>
      <c r="EC38" s="117"/>
      <c r="ED38" s="117"/>
      <c r="EE38" s="117"/>
      <c r="EF38" s="110"/>
      <c r="EG38" s="4"/>
      <c r="EH38" s="111"/>
      <c r="EI38" s="112"/>
      <c r="EJ38" s="112"/>
      <c r="EK38" s="110"/>
      <c r="EL38" s="113"/>
      <c r="EM38" s="114"/>
      <c r="EN38" s="114"/>
      <c r="EO38" s="110"/>
      <c r="EP38" s="113"/>
      <c r="EQ38" s="10"/>
      <c r="ER38" s="110"/>
      <c r="ES38" s="113"/>
    </row>
    <row r="39" spans="13:149" ht="12.75" customHeight="1">
      <c r="M39" s="7"/>
      <c r="N39" s="141" t="str">
        <f>"- Chiều cao tiết diện:"</f>
        <v>- Chiều cao tiết diện:</v>
      </c>
      <c r="O39" s="141"/>
      <c r="P39" s="142"/>
      <c r="Q39" s="144"/>
      <c r="R39" s="141"/>
      <c r="S39" s="2"/>
      <c r="T39" s="2"/>
      <c r="U39" s="2"/>
      <c r="V39" s="33" t="s">
        <v>56</v>
      </c>
      <c r="W39" s="32">
        <v>450</v>
      </c>
      <c r="X39" s="23" t="s">
        <v>1</v>
      </c>
      <c r="AA39" s="67" t="s">
        <v>211</v>
      </c>
      <c r="AB39" s="28" t="s">
        <v>389</v>
      </c>
      <c r="AC39" s="28" t="s">
        <v>347</v>
      </c>
      <c r="AD39" s="68">
        <v>20.399999999999999</v>
      </c>
      <c r="AE39" s="4">
        <f t="shared" si="14"/>
        <v>450</v>
      </c>
      <c r="AF39" s="4">
        <f t="shared" si="15"/>
        <v>200</v>
      </c>
      <c r="AG39" s="4">
        <f t="shared" si="16"/>
        <v>6</v>
      </c>
      <c r="AH39" s="4">
        <f t="shared" si="17"/>
        <v>12</v>
      </c>
      <c r="AI39" s="13">
        <f t="shared" si="18"/>
        <v>670</v>
      </c>
      <c r="AJ39" s="13">
        <f t="shared" si="19"/>
        <v>250</v>
      </c>
      <c r="AK39" s="13">
        <f t="shared" si="20"/>
        <v>20</v>
      </c>
      <c r="AL39" s="13" t="str">
        <f t="shared" si="21"/>
        <v>670x250x20</v>
      </c>
      <c r="AM39" s="13" t="str">
        <f t="shared" si="22"/>
        <v>6M24</v>
      </c>
      <c r="AN39" s="67" t="s">
        <v>411</v>
      </c>
      <c r="AO39" s="69">
        <v>49.002048212619364</v>
      </c>
      <c r="AP39" s="69">
        <v>16.771943111111796</v>
      </c>
      <c r="AQ39" s="29">
        <v>2.0410157667919836E-13</v>
      </c>
      <c r="AR39" s="29"/>
      <c r="AS39" s="29"/>
      <c r="AT39" s="29"/>
      <c r="AU39" s="29"/>
      <c r="AV39" s="29"/>
      <c r="AW39" s="29"/>
      <c r="AX39" s="29"/>
      <c r="AY39" s="29"/>
      <c r="AZ39" s="29"/>
      <c r="BA39" s="140">
        <f t="shared" si="23"/>
        <v>4.1651641946394528E-15</v>
      </c>
      <c r="BB39" s="117">
        <f t="shared" si="2"/>
        <v>200</v>
      </c>
      <c r="BC39" s="117">
        <f t="shared" si="24"/>
        <v>535</v>
      </c>
      <c r="BD39" s="117">
        <f t="shared" si="25"/>
        <v>5.0774797778383345</v>
      </c>
      <c r="BE39" s="117">
        <f t="shared" si="26"/>
        <v>315.88474132285529</v>
      </c>
      <c r="BF39" s="110">
        <f t="shared" si="27"/>
        <v>1.60738367943161E-2</v>
      </c>
      <c r="BG39" s="4">
        <f t="shared" si="6"/>
        <v>2</v>
      </c>
      <c r="BH39" s="111">
        <f t="shared" si="38"/>
        <v>33.703956203641667</v>
      </c>
      <c r="BI39" s="112">
        <f t="shared" si="28"/>
        <v>147.45480839093227</v>
      </c>
      <c r="BJ39" s="112">
        <f t="shared" si="29"/>
        <v>147.45480839093227</v>
      </c>
      <c r="BK39" s="110">
        <f t="shared" si="30"/>
        <v>0.41771900394031802</v>
      </c>
      <c r="BL39" s="113" t="str">
        <f t="shared" si="31"/>
        <v>OK</v>
      </c>
      <c r="BM39" s="114">
        <f t="shared" si="32"/>
        <v>0.29254954156788776</v>
      </c>
      <c r="BN39" s="114">
        <f t="shared" si="33"/>
        <v>0.29254954156786589</v>
      </c>
      <c r="BO39" s="110">
        <f t="shared" si="34"/>
        <v>2.6901107270610368E-2</v>
      </c>
      <c r="BP39" s="113" t="str">
        <f t="shared" si="35"/>
        <v>OK</v>
      </c>
      <c r="BQ39" s="10">
        <f t="shared" si="12"/>
        <v>304.99199999999996</v>
      </c>
      <c r="BR39" s="110">
        <f t="shared" si="36"/>
        <v>0.11050767300008417</v>
      </c>
      <c r="BS39" s="113" t="str">
        <f t="shared" si="37"/>
        <v>OK</v>
      </c>
      <c r="DE39" s="4"/>
      <c r="DF39" s="4"/>
      <c r="DG39" s="4"/>
      <c r="DH39" s="4"/>
      <c r="DI39" s="13"/>
      <c r="DJ39" s="13"/>
      <c r="DK39" s="13"/>
      <c r="DL39" s="13"/>
      <c r="DM39" s="13"/>
      <c r="DR39" s="29"/>
      <c r="DS39" s="29"/>
      <c r="DT39" s="29"/>
      <c r="DU39" s="29"/>
      <c r="DV39" s="29"/>
      <c r="DW39" s="29"/>
      <c r="DX39" s="29"/>
      <c r="DY39" s="29"/>
      <c r="DZ39" s="29"/>
      <c r="EA39" s="140"/>
      <c r="EB39" s="117"/>
      <c r="EC39" s="117"/>
      <c r="ED39" s="117"/>
      <c r="EE39" s="117"/>
      <c r="EF39" s="110"/>
      <c r="EG39" s="4"/>
      <c r="EH39" s="111"/>
      <c r="EI39" s="112"/>
      <c r="EJ39" s="112"/>
      <c r="EK39" s="110"/>
      <c r="EL39" s="113"/>
      <c r="EM39" s="114"/>
      <c r="EN39" s="114"/>
      <c r="EO39" s="110"/>
      <c r="EP39" s="113"/>
      <c r="EQ39" s="10"/>
      <c r="ER39" s="110"/>
      <c r="ES39" s="113"/>
    </row>
    <row r="40" spans="13:149" ht="12.75" customHeight="1">
      <c r="M40" s="7"/>
      <c r="N40" s="141" t="str">
        <f>"- Bề rộng bản cánh:"</f>
        <v>- Bề rộng bản cánh:</v>
      </c>
      <c r="O40" s="141"/>
      <c r="P40" s="142"/>
      <c r="Q40" s="144"/>
      <c r="R40" s="141"/>
      <c r="S40" s="2"/>
      <c r="T40" s="2"/>
      <c r="U40" s="145"/>
      <c r="V40" s="33" t="s">
        <v>126</v>
      </c>
      <c r="W40" s="32">
        <v>200</v>
      </c>
      <c r="X40" s="23" t="s">
        <v>1</v>
      </c>
      <c r="AA40" s="67" t="s">
        <v>211</v>
      </c>
      <c r="AB40" s="28" t="s">
        <v>389</v>
      </c>
      <c r="AC40" s="28" t="s">
        <v>347</v>
      </c>
      <c r="AD40" s="68">
        <v>20.399999999999999</v>
      </c>
      <c r="AE40" s="4">
        <f t="shared" si="14"/>
        <v>450</v>
      </c>
      <c r="AF40" s="4">
        <f t="shared" si="15"/>
        <v>200</v>
      </c>
      <c r="AG40" s="4">
        <f t="shared" si="16"/>
        <v>6</v>
      </c>
      <c r="AH40" s="4">
        <f t="shared" si="17"/>
        <v>12</v>
      </c>
      <c r="AI40" s="13">
        <f t="shared" si="18"/>
        <v>670</v>
      </c>
      <c r="AJ40" s="13">
        <f t="shared" si="19"/>
        <v>250</v>
      </c>
      <c r="AK40" s="13">
        <f t="shared" si="20"/>
        <v>20</v>
      </c>
      <c r="AL40" s="13" t="str">
        <f t="shared" si="21"/>
        <v>670x250x20</v>
      </c>
      <c r="AM40" s="13" t="str">
        <f t="shared" si="22"/>
        <v>6M24</v>
      </c>
      <c r="AN40" s="67" t="s">
        <v>412</v>
      </c>
      <c r="AO40" s="69">
        <v>51.388534413742995</v>
      </c>
      <c r="AP40" s="69">
        <v>9.165436176846729</v>
      </c>
      <c r="AQ40" s="29">
        <v>6.6204378777719925E-13</v>
      </c>
      <c r="AR40" s="29"/>
      <c r="AS40" s="29"/>
      <c r="AT40" s="29"/>
      <c r="AU40" s="29"/>
      <c r="AV40" s="29"/>
      <c r="AW40" s="29"/>
      <c r="AX40" s="29"/>
      <c r="AY40" s="29"/>
      <c r="AZ40" s="29"/>
      <c r="BA40" s="140">
        <f t="shared" si="23"/>
        <v>1.2883103114926485E-14</v>
      </c>
      <c r="BB40" s="117">
        <f t="shared" si="2"/>
        <v>200</v>
      </c>
      <c r="BC40" s="117">
        <f t="shared" si="24"/>
        <v>535</v>
      </c>
      <c r="BD40" s="117">
        <f t="shared" si="25"/>
        <v>5.3260049519069526</v>
      </c>
      <c r="BE40" s="117">
        <f t="shared" si="26"/>
        <v>315.88474132285529</v>
      </c>
      <c r="BF40" s="110">
        <f t="shared" si="27"/>
        <v>1.6860595828727985E-2</v>
      </c>
      <c r="BG40" s="4">
        <f t="shared" si="6"/>
        <v>2</v>
      </c>
      <c r="BH40" s="111">
        <f t="shared" si="38"/>
        <v>35.347651182202853</v>
      </c>
      <c r="BI40" s="112">
        <f t="shared" si="28"/>
        <v>154.64597392213747</v>
      </c>
      <c r="BJ40" s="112">
        <f t="shared" si="29"/>
        <v>154.64597392213747</v>
      </c>
      <c r="BK40" s="110">
        <f t="shared" si="30"/>
        <v>0.43809057768310899</v>
      </c>
      <c r="BL40" s="113" t="str">
        <f t="shared" si="31"/>
        <v>OK</v>
      </c>
      <c r="BM40" s="114">
        <f t="shared" si="32"/>
        <v>0.3067972203805906</v>
      </c>
      <c r="BN40" s="114">
        <f t="shared" si="33"/>
        <v>0.30679722038051976</v>
      </c>
      <c r="BO40" s="110">
        <f t="shared" si="34"/>
        <v>2.8211238655686491E-2</v>
      </c>
      <c r="BP40" s="113" t="str">
        <f t="shared" si="35"/>
        <v>OK</v>
      </c>
      <c r="BQ40" s="10">
        <f t="shared" si="12"/>
        <v>304.99199999999996</v>
      </c>
      <c r="BR40" s="110">
        <f t="shared" si="36"/>
        <v>0.11589697822304473</v>
      </c>
      <c r="BS40" s="113" t="str">
        <f t="shared" si="37"/>
        <v>OK</v>
      </c>
      <c r="DE40" s="4"/>
      <c r="DF40" s="4"/>
      <c r="DG40" s="4"/>
      <c r="DH40" s="4"/>
      <c r="DI40" s="13"/>
      <c r="DJ40" s="13"/>
      <c r="DK40" s="13"/>
      <c r="DL40" s="13"/>
      <c r="DM40" s="13"/>
      <c r="DR40" s="29"/>
      <c r="DS40" s="29"/>
      <c r="DT40" s="29"/>
      <c r="DU40" s="29"/>
      <c r="DV40" s="29"/>
      <c r="DW40" s="29"/>
      <c r="DX40" s="29"/>
      <c r="DY40" s="29"/>
      <c r="DZ40" s="29"/>
      <c r="EA40" s="140"/>
      <c r="EB40" s="117"/>
      <c r="EC40" s="117"/>
      <c r="ED40" s="117"/>
      <c r="EE40" s="117"/>
      <c r="EF40" s="110"/>
      <c r="EG40" s="4"/>
      <c r="EH40" s="111"/>
      <c r="EI40" s="112"/>
      <c r="EJ40" s="112"/>
      <c r="EK40" s="110"/>
      <c r="EL40" s="113"/>
      <c r="EM40" s="114"/>
      <c r="EN40" s="114"/>
      <c r="EO40" s="110"/>
      <c r="EP40" s="113"/>
      <c r="EQ40" s="10"/>
      <c r="ER40" s="110"/>
      <c r="ES40" s="113"/>
    </row>
    <row r="41" spans="13:149" ht="12.75" customHeight="1">
      <c r="M41" s="7"/>
      <c r="N41" s="141" t="str">
        <f>"- Chiều dày bản bụng:"</f>
        <v>- Chiều dày bản bụng:</v>
      </c>
      <c r="O41" s="141"/>
      <c r="P41" s="142"/>
      <c r="Q41" s="144"/>
      <c r="R41" s="141"/>
      <c r="S41" s="2"/>
      <c r="T41" s="2"/>
      <c r="U41" s="2"/>
      <c r="V41" s="33" t="s">
        <v>57</v>
      </c>
      <c r="W41" s="32">
        <v>6</v>
      </c>
      <c r="X41" s="23" t="s">
        <v>1</v>
      </c>
      <c r="AA41" s="67" t="s">
        <v>211</v>
      </c>
      <c r="AB41" s="28" t="s">
        <v>389</v>
      </c>
      <c r="AC41" s="28" t="s">
        <v>347</v>
      </c>
      <c r="AD41" s="68">
        <v>20.399999999999999</v>
      </c>
      <c r="AE41" s="4">
        <f t="shared" si="14"/>
        <v>450</v>
      </c>
      <c r="AF41" s="4">
        <f t="shared" si="15"/>
        <v>200</v>
      </c>
      <c r="AG41" s="4">
        <f t="shared" si="16"/>
        <v>6</v>
      </c>
      <c r="AH41" s="4">
        <f t="shared" si="17"/>
        <v>12</v>
      </c>
      <c r="AI41" s="13">
        <f t="shared" si="18"/>
        <v>670</v>
      </c>
      <c r="AJ41" s="13">
        <f t="shared" si="19"/>
        <v>250</v>
      </c>
      <c r="AK41" s="13">
        <f t="shared" si="20"/>
        <v>20</v>
      </c>
      <c r="AL41" s="13" t="str">
        <f t="shared" si="21"/>
        <v>670x250x20</v>
      </c>
      <c r="AM41" s="13" t="str">
        <f t="shared" si="22"/>
        <v>6M24</v>
      </c>
      <c r="AN41" s="67" t="s">
        <v>413</v>
      </c>
      <c r="AO41" s="69">
        <v>49.168707124444516</v>
      </c>
      <c r="AP41" s="69">
        <v>16.866667088888335</v>
      </c>
      <c r="AQ41" s="29">
        <v>1.0718210270812281E-13</v>
      </c>
      <c r="AR41" s="29"/>
      <c r="AS41" s="29"/>
      <c r="AT41" s="29"/>
      <c r="AU41" s="29"/>
      <c r="AV41" s="29"/>
      <c r="AW41" s="29"/>
      <c r="AX41" s="29"/>
      <c r="AY41" s="29"/>
      <c r="AZ41" s="29"/>
      <c r="BA41" s="140">
        <f t="shared" si="23"/>
        <v>2.1798845033050825E-15</v>
      </c>
      <c r="BB41" s="117">
        <f t="shared" si="2"/>
        <v>200</v>
      </c>
      <c r="BC41" s="117">
        <f t="shared" si="24"/>
        <v>535</v>
      </c>
      <c r="BD41" s="117">
        <f t="shared" si="25"/>
        <v>5.0948316069030852</v>
      </c>
      <c r="BE41" s="117">
        <f t="shared" si="26"/>
        <v>315.88474132285529</v>
      </c>
      <c r="BF41" s="110">
        <f t="shared" si="27"/>
        <v>1.6128767681424117E-2</v>
      </c>
      <c r="BG41" s="4">
        <f t="shared" si="6"/>
        <v>2</v>
      </c>
      <c r="BH41" s="111">
        <f t="shared" si="38"/>
        <v>33.818735849734097</v>
      </c>
      <c r="BI41" s="112">
        <f t="shared" si="28"/>
        <v>147.95696934258669</v>
      </c>
      <c r="BJ41" s="112">
        <f t="shared" si="29"/>
        <v>147.95696934258669</v>
      </c>
      <c r="BK41" s="110">
        <f t="shared" si="30"/>
        <v>0.41914155621129373</v>
      </c>
      <c r="BL41" s="113" t="str">
        <f t="shared" si="31"/>
        <v>OK</v>
      </c>
      <c r="BM41" s="114">
        <f t="shared" si="32"/>
        <v>0.29354452014594312</v>
      </c>
      <c r="BN41" s="114">
        <f t="shared" si="33"/>
        <v>0.29354452014593169</v>
      </c>
      <c r="BO41" s="110">
        <f t="shared" si="34"/>
        <v>2.6992599553649941E-2</v>
      </c>
      <c r="BP41" s="113" t="str">
        <f t="shared" si="35"/>
        <v>OK</v>
      </c>
      <c r="BQ41" s="10">
        <f t="shared" si="12"/>
        <v>304.99199999999996</v>
      </c>
      <c r="BR41" s="110">
        <f t="shared" si="36"/>
        <v>0.11088400957970734</v>
      </c>
      <c r="BS41" s="113" t="str">
        <f t="shared" si="37"/>
        <v>OK</v>
      </c>
      <c r="DE41" s="4"/>
      <c r="DF41" s="4"/>
      <c r="DG41" s="4"/>
      <c r="DH41" s="4"/>
      <c r="DI41" s="13"/>
      <c r="DJ41" s="13"/>
      <c r="DK41" s="13"/>
      <c r="DL41" s="13"/>
      <c r="DM41" s="13"/>
      <c r="DR41" s="29"/>
      <c r="DS41" s="29"/>
      <c r="DT41" s="29"/>
      <c r="DU41" s="29"/>
      <c r="DV41" s="29"/>
      <c r="DW41" s="29"/>
      <c r="DX41" s="29"/>
      <c r="DY41" s="29"/>
      <c r="DZ41" s="29"/>
      <c r="EA41" s="140"/>
      <c r="EB41" s="117"/>
      <c r="EC41" s="117"/>
      <c r="ED41" s="117"/>
      <c r="EE41" s="117"/>
      <c r="EF41" s="110"/>
      <c r="EG41" s="4"/>
      <c r="EH41" s="111"/>
      <c r="EI41" s="112"/>
      <c r="EJ41" s="112"/>
      <c r="EK41" s="110"/>
      <c r="EL41" s="113"/>
      <c r="EM41" s="114"/>
      <c r="EN41" s="114"/>
      <c r="EO41" s="110"/>
      <c r="EP41" s="113"/>
      <c r="EQ41" s="10"/>
      <c r="ER41" s="110"/>
      <c r="ES41" s="113"/>
    </row>
    <row r="42" spans="13:149" ht="12.75" customHeight="1">
      <c r="M42" s="7"/>
      <c r="N42" s="141" t="str">
        <f>"- Chiều dày bản cánh:"</f>
        <v>- Chiều dày bản cánh:</v>
      </c>
      <c r="O42" s="2"/>
      <c r="P42" s="33"/>
      <c r="Q42" s="148"/>
      <c r="R42" s="149"/>
      <c r="S42" s="2"/>
      <c r="T42" s="2"/>
      <c r="U42" s="2"/>
      <c r="V42" s="33" t="s">
        <v>58</v>
      </c>
      <c r="W42" s="32">
        <v>12</v>
      </c>
      <c r="X42" s="23" t="s">
        <v>1</v>
      </c>
      <c r="AA42" s="67" t="s">
        <v>211</v>
      </c>
      <c r="AB42" s="28" t="s">
        <v>389</v>
      </c>
      <c r="AC42" s="28" t="s">
        <v>347</v>
      </c>
      <c r="AD42" s="68">
        <v>20.399999999999999</v>
      </c>
      <c r="AE42" s="4">
        <f t="shared" si="14"/>
        <v>450</v>
      </c>
      <c r="AF42" s="4">
        <f t="shared" si="15"/>
        <v>200</v>
      </c>
      <c r="AG42" s="4">
        <f t="shared" si="16"/>
        <v>6</v>
      </c>
      <c r="AH42" s="4">
        <f t="shared" si="17"/>
        <v>12</v>
      </c>
      <c r="AI42" s="13">
        <f t="shared" si="18"/>
        <v>670</v>
      </c>
      <c r="AJ42" s="13">
        <f t="shared" si="19"/>
        <v>250</v>
      </c>
      <c r="AK42" s="13">
        <f t="shared" si="20"/>
        <v>20</v>
      </c>
      <c r="AL42" s="13" t="str">
        <f t="shared" si="21"/>
        <v>670x250x20</v>
      </c>
      <c r="AM42" s="13" t="str">
        <f t="shared" si="22"/>
        <v>6M24</v>
      </c>
      <c r="AN42" s="67" t="s">
        <v>414</v>
      </c>
      <c r="AO42" s="69">
        <v>114.78762575454908</v>
      </c>
      <c r="AP42" s="69">
        <v>14.04440610082861</v>
      </c>
      <c r="AQ42" s="29">
        <v>1.8978492151065253E-12</v>
      </c>
      <c r="AR42" s="29"/>
      <c r="AS42" s="29"/>
      <c r="AT42" s="29"/>
      <c r="AU42" s="29"/>
      <c r="AV42" s="29"/>
      <c r="AW42" s="29"/>
      <c r="AX42" s="29"/>
      <c r="AY42" s="29"/>
      <c r="AZ42" s="29"/>
      <c r="BA42" s="140">
        <f t="shared" si="23"/>
        <v>1.6533569734813622E-14</v>
      </c>
      <c r="BB42" s="117">
        <f t="shared" si="2"/>
        <v>200</v>
      </c>
      <c r="BC42" s="117">
        <f t="shared" si="24"/>
        <v>535</v>
      </c>
      <c r="BD42" s="117">
        <f t="shared" si="25"/>
        <v>11.971531150470582</v>
      </c>
      <c r="BE42" s="117">
        <f t="shared" si="26"/>
        <v>315.88474132285529</v>
      </c>
      <c r="BF42" s="110">
        <f t="shared" si="27"/>
        <v>3.789841541676392E-2</v>
      </c>
      <c r="BG42" s="4">
        <f t="shared" si="6"/>
        <v>2</v>
      </c>
      <c r="BH42" s="111">
        <f t="shared" si="38"/>
        <v>79.092213087502472</v>
      </c>
      <c r="BI42" s="112">
        <f t="shared" si="28"/>
        <v>346.02843225782334</v>
      </c>
      <c r="BJ42" s="112">
        <f t="shared" si="29"/>
        <v>346.02843225782334</v>
      </c>
      <c r="BK42" s="110">
        <f t="shared" si="30"/>
        <v>0.98025051631111426</v>
      </c>
      <c r="BL42" s="113" t="str">
        <f t="shared" si="31"/>
        <v>OK</v>
      </c>
      <c r="BM42" s="114">
        <f t="shared" si="32"/>
        <v>0.6852992582362154</v>
      </c>
      <c r="BN42" s="114">
        <f t="shared" si="33"/>
        <v>0.68529925823601245</v>
      </c>
      <c r="BO42" s="110">
        <f t="shared" si="34"/>
        <v>6.3016023745858893E-2</v>
      </c>
      <c r="BP42" s="113" t="str">
        <f t="shared" si="35"/>
        <v>OK</v>
      </c>
      <c r="BQ42" s="10">
        <f t="shared" si="12"/>
        <v>304.99199999999996</v>
      </c>
      <c r="BR42" s="110">
        <f t="shared" si="36"/>
        <v>0.25932553341563869</v>
      </c>
      <c r="BS42" s="113" t="str">
        <f t="shared" si="37"/>
        <v>OK</v>
      </c>
      <c r="DE42" s="4"/>
      <c r="DF42" s="4"/>
      <c r="DG42" s="4"/>
      <c r="DH42" s="4"/>
      <c r="DI42" s="13"/>
      <c r="DJ42" s="13"/>
      <c r="DK42" s="13"/>
      <c r="DL42" s="13"/>
      <c r="DM42" s="13"/>
      <c r="DR42" s="29"/>
      <c r="DS42" s="29"/>
      <c r="DT42" s="29"/>
      <c r="DU42" s="29"/>
      <c r="DV42" s="29"/>
      <c r="DW42" s="29"/>
      <c r="DX42" s="29"/>
      <c r="DY42" s="29"/>
      <c r="DZ42" s="29"/>
      <c r="EA42" s="140"/>
      <c r="EB42" s="117"/>
      <c r="EC42" s="117"/>
      <c r="ED42" s="117"/>
      <c r="EE42" s="117"/>
      <c r="EF42" s="110"/>
      <c r="EG42" s="4"/>
      <c r="EH42" s="111"/>
      <c r="EI42" s="112"/>
      <c r="EJ42" s="112"/>
      <c r="EK42" s="110"/>
      <c r="EL42" s="113"/>
      <c r="EM42" s="114"/>
      <c r="EN42" s="114"/>
      <c r="EO42" s="110"/>
      <c r="EP42" s="113"/>
      <c r="EQ42" s="10"/>
      <c r="ER42" s="110"/>
      <c r="ES42" s="113"/>
    </row>
    <row r="43" spans="13:149" ht="12.75" customHeight="1">
      <c r="M43" s="6" t="s">
        <v>114</v>
      </c>
      <c r="N43" s="141"/>
      <c r="O43" s="141"/>
      <c r="P43" s="141"/>
      <c r="Q43" s="141"/>
      <c r="R43" s="141"/>
      <c r="S43" s="142"/>
      <c r="T43" s="143"/>
      <c r="U43" s="141"/>
      <c r="V43" s="2"/>
      <c r="W43" s="2"/>
      <c r="X43" s="5"/>
      <c r="AA43" s="67" t="s">
        <v>211</v>
      </c>
      <c r="AB43" s="28" t="s">
        <v>389</v>
      </c>
      <c r="AC43" s="28" t="s">
        <v>347</v>
      </c>
      <c r="AD43" s="68">
        <v>20.399999999999999</v>
      </c>
      <c r="AE43" s="4">
        <f t="shared" si="14"/>
        <v>450</v>
      </c>
      <c r="AF43" s="4">
        <f t="shared" si="15"/>
        <v>200</v>
      </c>
      <c r="AG43" s="4">
        <f t="shared" si="16"/>
        <v>6</v>
      </c>
      <c r="AH43" s="4">
        <f t="shared" si="17"/>
        <v>12</v>
      </c>
      <c r="AI43" s="13">
        <f t="shared" si="18"/>
        <v>670</v>
      </c>
      <c r="AJ43" s="13">
        <f t="shared" si="19"/>
        <v>250</v>
      </c>
      <c r="AK43" s="13">
        <f t="shared" si="20"/>
        <v>20</v>
      </c>
      <c r="AL43" s="13" t="str">
        <f t="shared" si="21"/>
        <v>670x250x20</v>
      </c>
      <c r="AM43" s="13" t="str">
        <f t="shared" si="22"/>
        <v>6M24</v>
      </c>
      <c r="AN43" s="67" t="s">
        <v>415</v>
      </c>
      <c r="AO43" s="69">
        <v>112.5677984652506</v>
      </c>
      <c r="AP43" s="69">
        <v>26.231225510057357</v>
      </c>
      <c r="AQ43" s="29">
        <v>2.4912807798996673E-12</v>
      </c>
      <c r="AR43" s="29"/>
      <c r="AS43" s="29"/>
      <c r="AT43" s="29"/>
      <c r="AU43" s="29"/>
      <c r="AV43" s="29"/>
      <c r="AW43" s="29"/>
      <c r="AX43" s="29"/>
      <c r="AY43" s="29"/>
      <c r="AZ43" s="29"/>
      <c r="BA43" s="140">
        <f t="shared" si="23"/>
        <v>2.2131380500158927E-14</v>
      </c>
      <c r="BB43" s="117">
        <f t="shared" si="2"/>
        <v>200</v>
      </c>
      <c r="BC43" s="117">
        <f t="shared" si="24"/>
        <v>535</v>
      </c>
      <c r="BD43" s="117">
        <f t="shared" si="25"/>
        <v>11.737421855344564</v>
      </c>
      <c r="BE43" s="117">
        <f t="shared" si="26"/>
        <v>315.88474132285529</v>
      </c>
      <c r="BF43" s="110">
        <f t="shared" si="27"/>
        <v>3.7157292898007177E-2</v>
      </c>
      <c r="BG43" s="4">
        <f t="shared" si="6"/>
        <v>2</v>
      </c>
      <c r="BH43" s="111">
        <f t="shared" si="38"/>
        <v>77.557976345437325</v>
      </c>
      <c r="BI43" s="112">
        <f t="shared" si="28"/>
        <v>339.31614651128831</v>
      </c>
      <c r="BJ43" s="112">
        <f t="shared" si="29"/>
        <v>339.31614651128831</v>
      </c>
      <c r="BK43" s="110">
        <f t="shared" si="30"/>
        <v>0.96123554252489607</v>
      </c>
      <c r="BL43" s="113" t="str">
        <f t="shared" si="31"/>
        <v>OK</v>
      </c>
      <c r="BM43" s="114">
        <f t="shared" si="32"/>
        <v>0.67204655800162938</v>
      </c>
      <c r="BN43" s="114">
        <f t="shared" si="33"/>
        <v>0.67204655800136293</v>
      </c>
      <c r="BO43" s="110">
        <f t="shared" si="34"/>
        <v>6.1797384643827988E-2</v>
      </c>
      <c r="BP43" s="113" t="str">
        <f t="shared" si="35"/>
        <v>OK</v>
      </c>
      <c r="BQ43" s="10">
        <f t="shared" si="12"/>
        <v>304.99199999999996</v>
      </c>
      <c r="BR43" s="110">
        <f t="shared" si="36"/>
        <v>0.25429511707007835</v>
      </c>
      <c r="BS43" s="113" t="str">
        <f t="shared" si="37"/>
        <v>OK</v>
      </c>
      <c r="DE43" s="4"/>
      <c r="DF43" s="4"/>
      <c r="DG43" s="4"/>
      <c r="DH43" s="4"/>
      <c r="DI43" s="13"/>
      <c r="DJ43" s="13"/>
      <c r="DK43" s="13"/>
      <c r="DL43" s="13"/>
      <c r="DM43" s="13"/>
      <c r="DR43" s="29"/>
      <c r="DS43" s="29"/>
      <c r="DT43" s="29"/>
      <c r="DU43" s="29"/>
      <c r="DV43" s="29"/>
      <c r="DW43" s="29"/>
      <c r="DX43" s="29"/>
      <c r="DY43" s="29"/>
      <c r="DZ43" s="29"/>
      <c r="EA43" s="140"/>
      <c r="EB43" s="117"/>
      <c r="EC43" s="117"/>
      <c r="ED43" s="117"/>
      <c r="EE43" s="117"/>
      <c r="EF43" s="110"/>
      <c r="EG43" s="4"/>
      <c r="EH43" s="111"/>
      <c r="EI43" s="112"/>
      <c r="EJ43" s="112"/>
      <c r="EK43" s="110"/>
      <c r="EL43" s="113"/>
      <c r="EM43" s="114"/>
      <c r="EN43" s="114"/>
      <c r="EO43" s="110"/>
      <c r="EP43" s="113"/>
      <c r="EQ43" s="10"/>
      <c r="ER43" s="110"/>
      <c r="ES43" s="113"/>
    </row>
    <row r="44" spans="13:149" ht="12.75" customHeight="1">
      <c r="M44" s="7"/>
      <c r="N44" s="141" t="str">
        <f>"- Đường kính ngoài bu lông:"</f>
        <v>- Đường kính ngoài bu lông:</v>
      </c>
      <c r="O44" s="141"/>
      <c r="P44" s="142"/>
      <c r="Q44" s="144"/>
      <c r="R44" s="141"/>
      <c r="S44" s="2"/>
      <c r="T44" s="2"/>
      <c r="U44" s="2"/>
      <c r="V44" s="33" t="s">
        <v>45</v>
      </c>
      <c r="W44" s="32">
        <v>24</v>
      </c>
      <c r="X44" s="23" t="s">
        <v>1</v>
      </c>
      <c r="AA44" s="67" t="s">
        <v>211</v>
      </c>
      <c r="AB44" s="28" t="s">
        <v>389</v>
      </c>
      <c r="AC44" s="28" t="s">
        <v>347</v>
      </c>
      <c r="AD44" s="68">
        <v>20.399999999999999</v>
      </c>
      <c r="AE44" s="4">
        <f t="shared" si="14"/>
        <v>450</v>
      </c>
      <c r="AF44" s="4">
        <f t="shared" si="15"/>
        <v>200</v>
      </c>
      <c r="AG44" s="4">
        <f t="shared" si="16"/>
        <v>6</v>
      </c>
      <c r="AH44" s="4">
        <f t="shared" si="17"/>
        <v>12</v>
      </c>
      <c r="AI44" s="13">
        <f t="shared" si="18"/>
        <v>670</v>
      </c>
      <c r="AJ44" s="13">
        <f t="shared" si="19"/>
        <v>250</v>
      </c>
      <c r="AK44" s="13">
        <f t="shared" si="20"/>
        <v>20</v>
      </c>
      <c r="AL44" s="13" t="str">
        <f t="shared" si="21"/>
        <v>670x250x20</v>
      </c>
      <c r="AM44" s="13" t="str">
        <f t="shared" si="22"/>
        <v>6M24</v>
      </c>
      <c r="AN44" s="67" t="s">
        <v>416</v>
      </c>
      <c r="AO44" s="69">
        <v>111.41540355287344</v>
      </c>
      <c r="AP44" s="69">
        <v>20.270275521909525</v>
      </c>
      <c r="AQ44" s="29">
        <v>1.5180322430783124E-13</v>
      </c>
      <c r="AR44" s="29"/>
      <c r="AS44" s="29"/>
      <c r="AT44" s="29"/>
      <c r="AU44" s="29"/>
      <c r="AV44" s="29"/>
      <c r="AW44" s="29"/>
      <c r="AX44" s="29"/>
      <c r="AY44" s="29"/>
      <c r="AZ44" s="29"/>
      <c r="BA44" s="140">
        <f t="shared" si="23"/>
        <v>1.3624976391688183E-15</v>
      </c>
      <c r="BB44" s="117">
        <f t="shared" si="2"/>
        <v>200</v>
      </c>
      <c r="BC44" s="117">
        <f t="shared" si="24"/>
        <v>535</v>
      </c>
      <c r="BD44" s="117">
        <f t="shared" si="25"/>
        <v>11.615928304547651</v>
      </c>
      <c r="BE44" s="117">
        <f t="shared" si="26"/>
        <v>315.88474132285529</v>
      </c>
      <c r="BF44" s="110">
        <f t="shared" si="27"/>
        <v>3.6772679351027585E-2</v>
      </c>
      <c r="BG44" s="4">
        <f t="shared" si="6"/>
        <v>2</v>
      </c>
      <c r="BH44" s="111">
        <f t="shared" si="38"/>
        <v>76.761571828429339</v>
      </c>
      <c r="BI44" s="112">
        <f t="shared" si="28"/>
        <v>335.83187674937835</v>
      </c>
      <c r="BJ44" s="112">
        <f t="shared" si="29"/>
        <v>335.83187674937835</v>
      </c>
      <c r="BK44" s="110">
        <f t="shared" si="30"/>
        <v>0.95136508994158175</v>
      </c>
      <c r="BL44" s="113" t="str">
        <f t="shared" si="31"/>
        <v>OK</v>
      </c>
      <c r="BM44" s="114">
        <f t="shared" si="32"/>
        <v>0.66516658837537201</v>
      </c>
      <c r="BN44" s="114">
        <f t="shared" si="33"/>
        <v>0.66516658837535581</v>
      </c>
      <c r="BO44" s="110">
        <f t="shared" si="34"/>
        <v>6.1164743758654896E-2</v>
      </c>
      <c r="BP44" s="113" t="str">
        <f t="shared" si="35"/>
        <v>OK</v>
      </c>
      <c r="BQ44" s="10">
        <f t="shared" si="12"/>
        <v>304.99199999999996</v>
      </c>
      <c r="BR44" s="110">
        <f t="shared" si="36"/>
        <v>0.2516838862279317</v>
      </c>
      <c r="BS44" s="113" t="str">
        <f t="shared" si="37"/>
        <v>OK</v>
      </c>
      <c r="DE44" s="4"/>
      <c r="DF44" s="4"/>
      <c r="DG44" s="4"/>
      <c r="DH44" s="4"/>
      <c r="DI44" s="13"/>
      <c r="DJ44" s="13"/>
      <c r="DK44" s="13"/>
      <c r="DL44" s="13"/>
      <c r="DM44" s="13"/>
      <c r="DR44" s="29"/>
      <c r="DS44" s="29"/>
      <c r="DT44" s="29"/>
      <c r="DU44" s="29"/>
      <c r="DV44" s="29"/>
      <c r="DW44" s="29"/>
      <c r="DX44" s="29"/>
      <c r="DY44" s="29"/>
      <c r="DZ44" s="29"/>
      <c r="EA44" s="140"/>
      <c r="EB44" s="117"/>
      <c r="EC44" s="117"/>
      <c r="ED44" s="117"/>
      <c r="EE44" s="117"/>
      <c r="EF44" s="110"/>
      <c r="EG44" s="4"/>
      <c r="EH44" s="111"/>
      <c r="EI44" s="112"/>
      <c r="EJ44" s="112"/>
      <c r="EK44" s="110"/>
      <c r="EL44" s="113"/>
      <c r="EM44" s="114"/>
      <c r="EN44" s="114"/>
      <c r="EO44" s="110"/>
      <c r="EP44" s="113"/>
      <c r="EQ44" s="10"/>
      <c r="ER44" s="110"/>
      <c r="ES44" s="113"/>
    </row>
    <row r="45" spans="13:149" ht="12.75" customHeight="1">
      <c r="M45" s="7"/>
      <c r="N45" s="141" t="str">
        <f>"- Diện tích thực thân bu lông:"</f>
        <v>- Diện tích thực thân bu lông:</v>
      </c>
      <c r="O45" s="141"/>
      <c r="P45" s="142"/>
      <c r="Q45" s="144"/>
      <c r="R45" s="141"/>
      <c r="S45" s="2"/>
      <c r="T45" s="2"/>
      <c r="U45" s="2"/>
      <c r="V45" s="33" t="s">
        <v>124</v>
      </c>
      <c r="W45" s="34">
        <f>VLOOKUP(W44,Data!$V$4:$Z$99,4,FALSE)</f>
        <v>353</v>
      </c>
      <c r="X45" s="23" t="s">
        <v>46</v>
      </c>
      <c r="AA45" s="67" t="s">
        <v>211</v>
      </c>
      <c r="AB45" s="28" t="s">
        <v>389</v>
      </c>
      <c r="AC45" s="28" t="s">
        <v>347</v>
      </c>
      <c r="AD45" s="68">
        <v>20.399999999999999</v>
      </c>
      <c r="AE45" s="4">
        <f t="shared" si="14"/>
        <v>450</v>
      </c>
      <c r="AF45" s="4">
        <f t="shared" si="15"/>
        <v>200</v>
      </c>
      <c r="AG45" s="4">
        <f t="shared" si="16"/>
        <v>6</v>
      </c>
      <c r="AH45" s="4">
        <f t="shared" si="17"/>
        <v>12</v>
      </c>
      <c r="AI45" s="13">
        <f t="shared" si="18"/>
        <v>670</v>
      </c>
      <c r="AJ45" s="13">
        <f t="shared" si="19"/>
        <v>250</v>
      </c>
      <c r="AK45" s="13">
        <f t="shared" si="20"/>
        <v>20</v>
      </c>
      <c r="AL45" s="13" t="str">
        <f t="shared" si="21"/>
        <v>670x250x20</v>
      </c>
      <c r="AM45" s="13" t="str">
        <f t="shared" si="22"/>
        <v>6M24</v>
      </c>
      <c r="AN45" s="67" t="s">
        <v>417</v>
      </c>
      <c r="AO45" s="69">
        <v>109.19557626357496</v>
      </c>
      <c r="AP45" s="69">
        <v>8.0834561126807785</v>
      </c>
      <c r="AQ45" s="29">
        <v>4.4162834048531074E-13</v>
      </c>
      <c r="AR45" s="29"/>
      <c r="AS45" s="29"/>
      <c r="AT45" s="29"/>
      <c r="AU45" s="29"/>
      <c r="AV45" s="29"/>
      <c r="AW45" s="29"/>
      <c r="AX45" s="29"/>
      <c r="AY45" s="29"/>
      <c r="AZ45" s="29"/>
      <c r="BA45" s="140">
        <f t="shared" si="23"/>
        <v>4.0443794116651171E-15</v>
      </c>
      <c r="BB45" s="117">
        <f t="shared" si="2"/>
        <v>200</v>
      </c>
      <c r="BC45" s="117">
        <f t="shared" si="24"/>
        <v>535</v>
      </c>
      <c r="BD45" s="117">
        <f t="shared" si="25"/>
        <v>11.381977999210676</v>
      </c>
      <c r="BE45" s="117">
        <f t="shared" si="26"/>
        <v>315.88474132285529</v>
      </c>
      <c r="BF45" s="110">
        <f t="shared" si="27"/>
        <v>3.6032060148095395E-2</v>
      </c>
      <c r="BG45" s="4">
        <f t="shared" si="6"/>
        <v>2</v>
      </c>
      <c r="BH45" s="111">
        <f t="shared" si="38"/>
        <v>75.227623255356832</v>
      </c>
      <c r="BI45" s="112">
        <f t="shared" si="28"/>
        <v>329.12085174218618</v>
      </c>
      <c r="BJ45" s="112">
        <f t="shared" si="29"/>
        <v>329.12085174218618</v>
      </c>
      <c r="BK45" s="110">
        <f t="shared" si="30"/>
        <v>0.93235368765491833</v>
      </c>
      <c r="BL45" s="113" t="str">
        <f t="shared" si="31"/>
        <v>OK</v>
      </c>
      <c r="BM45" s="114">
        <f t="shared" si="32"/>
        <v>0.65191388814076967</v>
      </c>
      <c r="BN45" s="114">
        <f t="shared" si="33"/>
        <v>0.65191388814072238</v>
      </c>
      <c r="BO45" s="110">
        <f t="shared" si="34"/>
        <v>5.9946104656622499E-2</v>
      </c>
      <c r="BP45" s="113" t="str">
        <f t="shared" si="35"/>
        <v>OK</v>
      </c>
      <c r="BQ45" s="10">
        <f t="shared" si="12"/>
        <v>304.99199999999996</v>
      </c>
      <c r="BR45" s="110">
        <f t="shared" si="36"/>
        <v>0.24665441472352337</v>
      </c>
      <c r="BS45" s="113" t="str">
        <f t="shared" si="37"/>
        <v>OK</v>
      </c>
      <c r="DE45" s="4"/>
      <c r="DF45" s="4"/>
      <c r="DG45" s="4"/>
      <c r="DH45" s="4"/>
      <c r="DI45" s="13"/>
      <c r="DJ45" s="13"/>
      <c r="DK45" s="13"/>
      <c r="DL45" s="13"/>
      <c r="DM45" s="13"/>
      <c r="DR45" s="29"/>
      <c r="DS45" s="29"/>
      <c r="DT45" s="29"/>
      <c r="DU45" s="29"/>
      <c r="DV45" s="29"/>
      <c r="DW45" s="29"/>
      <c r="DX45" s="29"/>
      <c r="DY45" s="29"/>
      <c r="DZ45" s="29"/>
      <c r="EA45" s="140"/>
      <c r="EB45" s="117"/>
      <c r="EC45" s="117"/>
      <c r="ED45" s="117"/>
      <c r="EE45" s="117"/>
      <c r="EF45" s="110"/>
      <c r="EG45" s="4"/>
      <c r="EH45" s="111"/>
      <c r="EI45" s="112"/>
      <c r="EJ45" s="112"/>
      <c r="EK45" s="110"/>
      <c r="EL45" s="113"/>
      <c r="EM45" s="114"/>
      <c r="EN45" s="114"/>
      <c r="EO45" s="110"/>
      <c r="EP45" s="113"/>
      <c r="EQ45" s="10"/>
      <c r="ER45" s="110"/>
      <c r="ES45" s="113"/>
    </row>
    <row r="46" spans="13:149" ht="12.75" customHeight="1">
      <c r="M46" s="7"/>
      <c r="N46" s="141" t="str">
        <f>"- Tổng số bu lông:"</f>
        <v>- Tổng số bu lông:</v>
      </c>
      <c r="O46" s="141"/>
      <c r="P46" s="142"/>
      <c r="Q46" s="144"/>
      <c r="R46" s="141"/>
      <c r="S46" s="2"/>
      <c r="T46" s="2"/>
      <c r="U46" s="2"/>
      <c r="V46" s="33" t="s">
        <v>122</v>
      </c>
      <c r="W46" s="36">
        <f>SUM(P51:V51)</f>
        <v>6</v>
      </c>
      <c r="X46" s="23" t="s">
        <v>123</v>
      </c>
      <c r="AA46" s="67" t="s">
        <v>211</v>
      </c>
      <c r="AB46" s="28" t="s">
        <v>389</v>
      </c>
      <c r="AC46" s="28" t="s">
        <v>347</v>
      </c>
      <c r="AD46" s="68">
        <v>20.399999999999999</v>
      </c>
      <c r="AE46" s="4">
        <f t="shared" si="14"/>
        <v>450</v>
      </c>
      <c r="AF46" s="4">
        <f t="shared" si="15"/>
        <v>200</v>
      </c>
      <c r="AG46" s="4">
        <f t="shared" si="16"/>
        <v>6</v>
      </c>
      <c r="AH46" s="4">
        <f t="shared" si="17"/>
        <v>12</v>
      </c>
      <c r="AI46" s="13">
        <f t="shared" si="18"/>
        <v>670</v>
      </c>
      <c r="AJ46" s="13">
        <f t="shared" si="19"/>
        <v>250</v>
      </c>
      <c r="AK46" s="13">
        <f t="shared" si="20"/>
        <v>20</v>
      </c>
      <c r="AL46" s="13" t="str">
        <f t="shared" si="21"/>
        <v>670x250x20</v>
      </c>
      <c r="AM46" s="13" t="str">
        <f t="shared" si="22"/>
        <v>6M24</v>
      </c>
      <c r="AN46" s="67" t="s">
        <v>418</v>
      </c>
      <c r="AO46" s="69">
        <v>7.7645402001533572</v>
      </c>
      <c r="AP46" s="69">
        <v>5.021144745452375</v>
      </c>
      <c r="AQ46" s="29">
        <v>6.6155877547552865E-13</v>
      </c>
      <c r="AR46" s="29"/>
      <c r="AS46" s="29"/>
      <c r="AT46" s="29"/>
      <c r="AU46" s="29"/>
      <c r="AV46" s="29"/>
      <c r="AW46" s="29"/>
      <c r="AX46" s="29"/>
      <c r="AY46" s="29"/>
      <c r="AZ46" s="29"/>
      <c r="BA46" s="140">
        <f t="shared" si="23"/>
        <v>8.5202569427415962E-14</v>
      </c>
      <c r="BB46" s="117">
        <f t="shared" si="2"/>
        <v>200</v>
      </c>
      <c r="BC46" s="117">
        <f t="shared" si="24"/>
        <v>535</v>
      </c>
      <c r="BD46" s="117">
        <f t="shared" si="25"/>
        <v>0.80132614323383677</v>
      </c>
      <c r="BE46" s="117">
        <f t="shared" si="26"/>
        <v>315.88474132285529</v>
      </c>
      <c r="BF46" s="110">
        <f t="shared" si="27"/>
        <v>2.5367674927192128E-3</v>
      </c>
      <c r="BG46" s="4">
        <f t="shared" si="6"/>
        <v>2</v>
      </c>
      <c r="BH46" s="111">
        <f t="shared" si="38"/>
        <v>5.3346737346880078</v>
      </c>
      <c r="BI46" s="112">
        <f t="shared" si="28"/>
        <v>23.339197589260035</v>
      </c>
      <c r="BJ46" s="112">
        <f t="shared" si="29"/>
        <v>57.1</v>
      </c>
      <c r="BK46" s="110">
        <f t="shared" si="30"/>
        <v>0.16175637393767706</v>
      </c>
      <c r="BL46" s="113" t="str">
        <f t="shared" si="31"/>
        <v>OK</v>
      </c>
      <c r="BM46" s="114">
        <f t="shared" si="32"/>
        <v>4.6355463881547945E-2</v>
      </c>
      <c r="BN46" s="114">
        <f t="shared" si="33"/>
        <v>4.635546388147721E-2</v>
      </c>
      <c r="BO46" s="110">
        <f t="shared" si="34"/>
        <v>4.262571391406708E-3</v>
      </c>
      <c r="BP46" s="113" t="str">
        <f t="shared" si="35"/>
        <v>OK</v>
      </c>
      <c r="BQ46" s="10">
        <f t="shared" si="12"/>
        <v>304.99199999999996</v>
      </c>
      <c r="BR46" s="110">
        <f t="shared" si="36"/>
        <v>1.7491192341727024E-2</v>
      </c>
      <c r="BS46" s="113" t="str">
        <f t="shared" si="37"/>
        <v>OK</v>
      </c>
      <c r="DE46" s="4"/>
      <c r="DF46" s="4"/>
      <c r="DG46" s="4"/>
      <c r="DH46" s="4"/>
      <c r="DI46" s="13"/>
      <c r="DJ46" s="13"/>
      <c r="DK46" s="13"/>
      <c r="DL46" s="13"/>
      <c r="DM46" s="13"/>
      <c r="DR46" s="29"/>
      <c r="DS46" s="29"/>
      <c r="DT46" s="29"/>
      <c r="DU46" s="29"/>
      <c r="DV46" s="29"/>
      <c r="DW46" s="29"/>
      <c r="DX46" s="29"/>
      <c r="DY46" s="29"/>
      <c r="DZ46" s="29"/>
      <c r="EA46" s="140"/>
      <c r="EB46" s="117"/>
      <c r="EC46" s="117"/>
      <c r="ED46" s="117"/>
      <c r="EE46" s="117"/>
      <c r="EF46" s="110"/>
      <c r="EG46" s="4"/>
      <c r="EH46" s="111"/>
      <c r="EI46" s="112"/>
      <c r="EJ46" s="112"/>
      <c r="EK46" s="110"/>
      <c r="EL46" s="113"/>
      <c r="EM46" s="114"/>
      <c r="EN46" s="114"/>
      <c r="EO46" s="110"/>
      <c r="EP46" s="113"/>
      <c r="EQ46" s="10"/>
      <c r="ER46" s="110"/>
      <c r="ES46" s="113"/>
    </row>
    <row r="47" spans="13:149" ht="12.75" customHeight="1">
      <c r="M47" s="7"/>
      <c r="N47" s="141" t="str">
        <f>"- Chiều dài bản đế:"</f>
        <v>- Chiều dài bản đế:</v>
      </c>
      <c r="O47" s="141"/>
      <c r="P47" s="142"/>
      <c r="Q47" s="144"/>
      <c r="R47" s="141"/>
      <c r="S47" s="2"/>
      <c r="T47" s="2"/>
      <c r="U47" s="2"/>
      <c r="V47" s="33" t="s">
        <v>72</v>
      </c>
      <c r="W47" s="32">
        <v>670</v>
      </c>
      <c r="X47" s="23" t="s">
        <v>1</v>
      </c>
      <c r="AA47" s="67" t="s">
        <v>211</v>
      </c>
      <c r="AB47" s="28" t="s">
        <v>389</v>
      </c>
      <c r="AC47" s="28" t="s">
        <v>347</v>
      </c>
      <c r="AD47" s="68">
        <v>20.399999999999999</v>
      </c>
      <c r="AE47" s="4">
        <f t="shared" si="14"/>
        <v>450</v>
      </c>
      <c r="AF47" s="4">
        <f t="shared" si="15"/>
        <v>200</v>
      </c>
      <c r="AG47" s="4">
        <f t="shared" si="16"/>
        <v>6</v>
      </c>
      <c r="AH47" s="4">
        <f t="shared" si="17"/>
        <v>12</v>
      </c>
      <c r="AI47" s="13">
        <f t="shared" si="18"/>
        <v>670</v>
      </c>
      <c r="AJ47" s="13">
        <f t="shared" si="19"/>
        <v>250</v>
      </c>
      <c r="AK47" s="13">
        <f t="shared" si="20"/>
        <v>20</v>
      </c>
      <c r="AL47" s="13" t="str">
        <f t="shared" si="21"/>
        <v>670x250x20</v>
      </c>
      <c r="AM47" s="13" t="str">
        <f t="shared" si="22"/>
        <v>6M24</v>
      </c>
      <c r="AN47" s="67" t="s">
        <v>419</v>
      </c>
      <c r="AO47" s="69">
        <v>5.5447129108548783</v>
      </c>
      <c r="AP47" s="69">
        <v>17.207964154681122</v>
      </c>
      <c r="AQ47" s="29">
        <v>6.8127210682386664E-14</v>
      </c>
      <c r="AR47" s="29"/>
      <c r="AS47" s="29"/>
      <c r="AT47" s="29"/>
      <c r="AU47" s="29"/>
      <c r="AV47" s="29"/>
      <c r="AW47" s="29"/>
      <c r="AX47" s="29"/>
      <c r="AY47" s="29"/>
      <c r="AZ47" s="29"/>
      <c r="BA47" s="140">
        <f t="shared" si="23"/>
        <v>1.2286877928163621E-14</v>
      </c>
      <c r="BB47" s="117">
        <f t="shared" si="2"/>
        <v>200</v>
      </c>
      <c r="BC47" s="117">
        <f t="shared" si="24"/>
        <v>535</v>
      </c>
      <c r="BD47" s="117">
        <f t="shared" si="25"/>
        <v>0.57211000001450429</v>
      </c>
      <c r="BE47" s="117">
        <f t="shared" si="26"/>
        <v>315.88474132285529</v>
      </c>
      <c r="BF47" s="110">
        <f t="shared" si="27"/>
        <v>1.8111352818709584E-3</v>
      </c>
      <c r="BG47" s="4">
        <f t="shared" si="6"/>
        <v>2</v>
      </c>
      <c r="BH47" s="111">
        <f t="shared" si="38"/>
        <v>3.8093058304537282</v>
      </c>
      <c r="BI47" s="112">
        <f t="shared" si="28"/>
        <v>16.665713008235063</v>
      </c>
      <c r="BJ47" s="112">
        <f t="shared" si="29"/>
        <v>57.1</v>
      </c>
      <c r="BK47" s="110">
        <f t="shared" si="30"/>
        <v>0.16175637393767706</v>
      </c>
      <c r="BL47" s="113" t="str">
        <f t="shared" si="31"/>
        <v>OK</v>
      </c>
      <c r="BM47" s="114">
        <f t="shared" si="32"/>
        <v>3.3102763646898438E-2</v>
      </c>
      <c r="BN47" s="114">
        <f t="shared" si="33"/>
        <v>3.3102763646891152E-2</v>
      </c>
      <c r="BO47" s="110">
        <f t="shared" si="34"/>
        <v>3.0439322893699712E-3</v>
      </c>
      <c r="BP47" s="113" t="str">
        <f t="shared" si="35"/>
        <v>OK</v>
      </c>
      <c r="BQ47" s="10">
        <f t="shared" si="12"/>
        <v>304.99199999999996</v>
      </c>
      <c r="BR47" s="110">
        <f t="shared" si="36"/>
        <v>5.642103450149881E-2</v>
      </c>
      <c r="BS47" s="113" t="str">
        <f t="shared" si="37"/>
        <v>OK</v>
      </c>
      <c r="DE47" s="4"/>
      <c r="DF47" s="4"/>
      <c r="DG47" s="4"/>
      <c r="DH47" s="4"/>
      <c r="DI47" s="13"/>
      <c r="DJ47" s="13"/>
      <c r="DK47" s="13"/>
      <c r="DL47" s="13"/>
      <c r="DM47" s="13"/>
      <c r="DR47" s="29"/>
      <c r="DS47" s="29"/>
      <c r="DT47" s="29"/>
      <c r="DU47" s="29"/>
      <c r="DV47" s="29"/>
      <c r="DW47" s="29"/>
      <c r="DX47" s="29"/>
      <c r="DY47" s="29"/>
      <c r="DZ47" s="29"/>
      <c r="EA47" s="140"/>
      <c r="EB47" s="117"/>
      <c r="EC47" s="117"/>
      <c r="ED47" s="117"/>
      <c r="EE47" s="117"/>
      <c r="EF47" s="110"/>
      <c r="EG47" s="4"/>
      <c r="EH47" s="111"/>
      <c r="EI47" s="112"/>
      <c r="EJ47" s="112"/>
      <c r="EK47" s="110"/>
      <c r="EL47" s="113"/>
      <c r="EM47" s="114"/>
      <c r="EN47" s="114"/>
      <c r="EO47" s="110"/>
      <c r="EP47" s="113"/>
      <c r="EQ47" s="10"/>
      <c r="ER47" s="110"/>
      <c r="ES47" s="113"/>
    </row>
    <row r="48" spans="13:149" ht="12.75" customHeight="1">
      <c r="M48" s="7"/>
      <c r="N48" s="141" t="str">
        <f>"- Bề rộng bản đế:"</f>
        <v>- Bề rộng bản đế:</v>
      </c>
      <c r="O48" s="141"/>
      <c r="P48" s="142"/>
      <c r="Q48" s="144"/>
      <c r="R48" s="141"/>
      <c r="S48" s="2"/>
      <c r="T48" s="2"/>
      <c r="U48" s="145"/>
      <c r="V48" s="33" t="s">
        <v>59</v>
      </c>
      <c r="W48" s="32">
        <v>250</v>
      </c>
      <c r="X48" s="23" t="s">
        <v>1</v>
      </c>
      <c r="AA48" s="67" t="s">
        <v>211</v>
      </c>
      <c r="AB48" s="28" t="s">
        <v>389</v>
      </c>
      <c r="AC48" s="28" t="s">
        <v>347</v>
      </c>
      <c r="AD48" s="68">
        <v>20.399999999999999</v>
      </c>
      <c r="AE48" s="4">
        <f t="shared" si="14"/>
        <v>450</v>
      </c>
      <c r="AF48" s="4">
        <f t="shared" si="15"/>
        <v>200</v>
      </c>
      <c r="AG48" s="4">
        <f t="shared" si="16"/>
        <v>6</v>
      </c>
      <c r="AH48" s="4">
        <f t="shared" si="17"/>
        <v>12</v>
      </c>
      <c r="AI48" s="13">
        <f t="shared" si="18"/>
        <v>670</v>
      </c>
      <c r="AJ48" s="13">
        <f t="shared" si="19"/>
        <v>250</v>
      </c>
      <c r="AK48" s="13">
        <f t="shared" si="20"/>
        <v>20</v>
      </c>
      <c r="AL48" s="13" t="str">
        <f t="shared" si="21"/>
        <v>670x250x20</v>
      </c>
      <c r="AM48" s="13" t="str">
        <f t="shared" si="22"/>
        <v>6M24</v>
      </c>
      <c r="AN48" s="67" t="s">
        <v>420</v>
      </c>
      <c r="AO48" s="69">
        <v>4.3419368468947201</v>
      </c>
      <c r="AP48" s="69">
        <v>29.002059571010022</v>
      </c>
      <c r="AQ48" s="29">
        <v>1.6421183576045979E-13</v>
      </c>
      <c r="AR48" s="29"/>
      <c r="AS48" s="29"/>
      <c r="AT48" s="29"/>
      <c r="AU48" s="29"/>
      <c r="AV48" s="29"/>
      <c r="AW48" s="29"/>
      <c r="AX48" s="29"/>
      <c r="AY48" s="29"/>
      <c r="AZ48" s="29"/>
      <c r="BA48" s="140">
        <f t="shared" si="23"/>
        <v>3.7819950301189043E-14</v>
      </c>
      <c r="BB48" s="117">
        <f t="shared" si="2"/>
        <v>200</v>
      </c>
      <c r="BC48" s="117">
        <f t="shared" si="24"/>
        <v>535</v>
      </c>
      <c r="BD48" s="117">
        <f t="shared" si="25"/>
        <v>0.44795414549287216</v>
      </c>
      <c r="BE48" s="117">
        <f t="shared" si="26"/>
        <v>315.88474132285529</v>
      </c>
      <c r="BF48" s="110">
        <f t="shared" si="27"/>
        <v>1.418093649021917E-3</v>
      </c>
      <c r="BG48" s="4">
        <f t="shared" si="6"/>
        <v>2</v>
      </c>
      <c r="BH48" s="111">
        <f t="shared" si="38"/>
        <v>2.9828853121531909</v>
      </c>
      <c r="BI48" s="112">
        <f t="shared" si="28"/>
        <v>13.05012324067021</v>
      </c>
      <c r="BJ48" s="112">
        <f t="shared" si="29"/>
        <v>57.1</v>
      </c>
      <c r="BK48" s="110">
        <f t="shared" si="30"/>
        <v>0.16175637393767706</v>
      </c>
      <c r="BL48" s="113" t="str">
        <f t="shared" si="31"/>
        <v>OK</v>
      </c>
      <c r="BM48" s="114">
        <f t="shared" si="32"/>
        <v>2.592201102624591E-2</v>
      </c>
      <c r="BN48" s="114">
        <f t="shared" si="33"/>
        <v>2.5922011026228355E-2</v>
      </c>
      <c r="BO48" s="110">
        <f t="shared" si="34"/>
        <v>2.3836331978157156E-3</v>
      </c>
      <c r="BP48" s="113" t="str">
        <f t="shared" si="35"/>
        <v>OK</v>
      </c>
      <c r="BQ48" s="10">
        <f t="shared" si="12"/>
        <v>304.99199999999996</v>
      </c>
      <c r="BR48" s="110">
        <f t="shared" si="36"/>
        <v>9.5091214100730598E-2</v>
      </c>
      <c r="BS48" s="113" t="str">
        <f t="shared" si="37"/>
        <v>OK</v>
      </c>
      <c r="DE48" s="4"/>
      <c r="DF48" s="4"/>
      <c r="DG48" s="4"/>
      <c r="DH48" s="4"/>
      <c r="DI48" s="13"/>
      <c r="DJ48" s="13"/>
      <c r="DK48" s="13"/>
      <c r="DL48" s="13"/>
      <c r="DM48" s="13"/>
      <c r="DR48" s="29"/>
      <c r="DS48" s="29"/>
      <c r="DT48" s="29"/>
      <c r="DU48" s="29"/>
      <c r="DV48" s="29"/>
      <c r="DW48" s="29"/>
      <c r="DX48" s="29"/>
      <c r="DY48" s="29"/>
      <c r="DZ48" s="29"/>
      <c r="EA48" s="140"/>
      <c r="EB48" s="117"/>
      <c r="EC48" s="117"/>
      <c r="ED48" s="117"/>
      <c r="EE48" s="117"/>
      <c r="EF48" s="110"/>
      <c r="EG48" s="4"/>
      <c r="EH48" s="111"/>
      <c r="EI48" s="112"/>
      <c r="EJ48" s="112"/>
      <c r="EK48" s="110"/>
      <c r="EL48" s="113"/>
      <c r="EM48" s="114"/>
      <c r="EN48" s="114"/>
      <c r="EO48" s="110"/>
      <c r="EP48" s="113"/>
      <c r="EQ48" s="10"/>
      <c r="ER48" s="110"/>
      <c r="ES48" s="113"/>
    </row>
    <row r="49" spans="13:149" ht="12.75" customHeight="1">
      <c r="M49" s="7"/>
      <c r="N49" s="141" t="str">
        <f>"- Chiều dày bản đế:"</f>
        <v>- Chiều dày bản đế:</v>
      </c>
      <c r="O49" s="141"/>
      <c r="P49" s="142"/>
      <c r="Q49" s="144"/>
      <c r="R49" s="141"/>
      <c r="S49" s="2"/>
      <c r="T49" s="2"/>
      <c r="U49" s="2"/>
      <c r="V49" s="33" t="s">
        <v>60</v>
      </c>
      <c r="W49" s="32">
        <v>20</v>
      </c>
      <c r="X49" s="23" t="s">
        <v>1</v>
      </c>
      <c r="AA49" s="67" t="s">
        <v>211</v>
      </c>
      <c r="AB49" s="28" t="s">
        <v>389</v>
      </c>
      <c r="AC49" s="28" t="s">
        <v>347</v>
      </c>
      <c r="AD49" s="68">
        <v>20.399999999999999</v>
      </c>
      <c r="AE49" s="4">
        <f t="shared" si="14"/>
        <v>450</v>
      </c>
      <c r="AF49" s="4">
        <f t="shared" si="15"/>
        <v>200</v>
      </c>
      <c r="AG49" s="4">
        <f t="shared" si="16"/>
        <v>6</v>
      </c>
      <c r="AH49" s="4">
        <f t="shared" si="17"/>
        <v>12</v>
      </c>
      <c r="AI49" s="13">
        <f t="shared" si="18"/>
        <v>670</v>
      </c>
      <c r="AJ49" s="13">
        <f t="shared" si="19"/>
        <v>250</v>
      </c>
      <c r="AK49" s="13">
        <f t="shared" si="20"/>
        <v>20</v>
      </c>
      <c r="AL49" s="13" t="str">
        <f t="shared" si="21"/>
        <v>670x250x20</v>
      </c>
      <c r="AM49" s="13" t="str">
        <f t="shared" si="22"/>
        <v>6M24</v>
      </c>
      <c r="AN49" s="67" t="s">
        <v>421</v>
      </c>
      <c r="AO49" s="69">
        <v>2.1221095575962416</v>
      </c>
      <c r="AP49" s="69">
        <v>16.815240161781276</v>
      </c>
      <c r="AQ49" s="29">
        <v>4.292197290326822E-13</v>
      </c>
      <c r="AR49" s="29"/>
      <c r="AS49" s="29"/>
      <c r="AT49" s="29"/>
      <c r="AU49" s="29"/>
      <c r="AV49" s="29"/>
      <c r="AW49" s="29"/>
      <c r="AX49" s="29"/>
      <c r="AY49" s="29"/>
      <c r="AZ49" s="29"/>
      <c r="BA49" s="140">
        <f t="shared" si="23"/>
        <v>2.0226087173315805E-13</v>
      </c>
      <c r="BB49" s="117">
        <f t="shared" si="2"/>
        <v>200</v>
      </c>
      <c r="BC49" s="117">
        <f t="shared" si="24"/>
        <v>535</v>
      </c>
      <c r="BD49" s="117">
        <f t="shared" si="25"/>
        <v>0.21888946341073279</v>
      </c>
      <c r="BE49" s="117">
        <f t="shared" si="26"/>
        <v>315.88474132285529</v>
      </c>
      <c r="BF49" s="110">
        <f t="shared" si="27"/>
        <v>6.9294092045748146E-4</v>
      </c>
      <c r="BG49" s="4">
        <f t="shared" si="6"/>
        <v>2</v>
      </c>
      <c r="BH49" s="111">
        <f t="shared" si="38"/>
        <v>1.457791931230074</v>
      </c>
      <c r="BI49" s="112">
        <f t="shared" si="28"/>
        <v>6.3778396991315738</v>
      </c>
      <c r="BJ49" s="112">
        <f t="shared" si="29"/>
        <v>57.1</v>
      </c>
      <c r="BK49" s="110">
        <f t="shared" si="30"/>
        <v>0.16175637393767706</v>
      </c>
      <c r="BL49" s="113" t="str">
        <f t="shared" si="31"/>
        <v>OK</v>
      </c>
      <c r="BM49" s="114">
        <f t="shared" si="32"/>
        <v>1.2669310791642302E-2</v>
      </c>
      <c r="BN49" s="114">
        <f t="shared" si="33"/>
        <v>1.2669310791596404E-2</v>
      </c>
      <c r="BO49" s="110">
        <f t="shared" si="34"/>
        <v>1.1649940957832001E-3</v>
      </c>
      <c r="BP49" s="113" t="str">
        <f t="shared" si="35"/>
        <v>OK</v>
      </c>
      <c r="BQ49" s="10">
        <f t="shared" si="12"/>
        <v>304.99199999999996</v>
      </c>
      <c r="BR49" s="110">
        <f t="shared" si="36"/>
        <v>5.513338107813083E-2</v>
      </c>
      <c r="BS49" s="113" t="str">
        <f t="shared" si="37"/>
        <v>OK</v>
      </c>
      <c r="DE49" s="4"/>
      <c r="DF49" s="4"/>
      <c r="DG49" s="4"/>
      <c r="DH49" s="4"/>
      <c r="DI49" s="13"/>
      <c r="DJ49" s="13"/>
      <c r="DK49" s="13"/>
      <c r="DL49" s="13"/>
      <c r="DM49" s="13"/>
      <c r="DR49" s="29"/>
      <c r="DS49" s="29"/>
      <c r="DT49" s="29"/>
      <c r="DU49" s="29"/>
      <c r="DV49" s="29"/>
      <c r="DW49" s="29"/>
      <c r="DX49" s="29"/>
      <c r="DY49" s="29"/>
      <c r="DZ49" s="29"/>
      <c r="EA49" s="140"/>
      <c r="EB49" s="117"/>
      <c r="EC49" s="117"/>
      <c r="ED49" s="117"/>
      <c r="EE49" s="117"/>
      <c r="EF49" s="110"/>
      <c r="EG49" s="4"/>
      <c r="EH49" s="111"/>
      <c r="EI49" s="112"/>
      <c r="EJ49" s="112"/>
      <c r="EK49" s="110"/>
      <c r="EL49" s="113"/>
      <c r="EM49" s="114"/>
      <c r="EN49" s="114"/>
      <c r="EO49" s="110"/>
      <c r="EP49" s="113"/>
      <c r="EQ49" s="10"/>
      <c r="ER49" s="110"/>
      <c r="ES49" s="113"/>
    </row>
    <row r="50" spans="13:149" ht="12.75" customHeight="1">
      <c r="M50" s="7"/>
      <c r="N50" s="226" t="s">
        <v>136</v>
      </c>
      <c r="O50" s="227"/>
      <c r="P50" s="184" t="s">
        <v>334</v>
      </c>
      <c r="Q50" s="184" t="s">
        <v>335</v>
      </c>
      <c r="R50" s="184" t="s">
        <v>333</v>
      </c>
      <c r="S50" s="184" t="s">
        <v>332</v>
      </c>
      <c r="T50" s="184" t="s">
        <v>336</v>
      </c>
      <c r="U50" s="184" t="s">
        <v>337</v>
      </c>
      <c r="V50" s="185" t="s">
        <v>338</v>
      </c>
      <c r="W50" s="32"/>
      <c r="X50" s="23"/>
      <c r="AA50" s="67" t="s">
        <v>211</v>
      </c>
      <c r="AB50" s="28" t="s">
        <v>389</v>
      </c>
      <c r="AC50" s="28" t="s">
        <v>347</v>
      </c>
      <c r="AD50" s="68">
        <v>20.399999999999999</v>
      </c>
      <c r="AE50" s="4">
        <f t="shared" si="14"/>
        <v>450</v>
      </c>
      <c r="AF50" s="4">
        <f t="shared" si="15"/>
        <v>200</v>
      </c>
      <c r="AG50" s="4">
        <f t="shared" si="16"/>
        <v>6</v>
      </c>
      <c r="AH50" s="4">
        <f t="shared" si="17"/>
        <v>12</v>
      </c>
      <c r="AI50" s="13">
        <f t="shared" si="18"/>
        <v>670</v>
      </c>
      <c r="AJ50" s="13">
        <f t="shared" si="19"/>
        <v>250</v>
      </c>
      <c r="AK50" s="13">
        <f t="shared" si="20"/>
        <v>20</v>
      </c>
      <c r="AL50" s="13" t="str">
        <f t="shared" si="21"/>
        <v>670x250x20</v>
      </c>
      <c r="AM50" s="13" t="str">
        <f t="shared" si="22"/>
        <v>6M24</v>
      </c>
      <c r="AN50" s="67" t="s">
        <v>422</v>
      </c>
      <c r="AO50" s="69">
        <v>-203.17140441711598</v>
      </c>
      <c r="AP50" s="69">
        <v>6.1280465280550374</v>
      </c>
      <c r="AQ50" s="29">
        <v>4.5287122471331817E-13</v>
      </c>
      <c r="AR50" s="29"/>
      <c r="AS50" s="29"/>
      <c r="AT50" s="29"/>
      <c r="AU50" s="29"/>
      <c r="AV50" s="29"/>
      <c r="AW50" s="29"/>
      <c r="AX50" s="29"/>
      <c r="AY50" s="29"/>
      <c r="AZ50" s="29"/>
      <c r="BA50" s="140">
        <f t="shared" si="23"/>
        <v>2.22901065242214E-15</v>
      </c>
      <c r="BB50" s="117">
        <f t="shared" si="2"/>
        <v>200</v>
      </c>
      <c r="BC50" s="117">
        <f t="shared" si="24"/>
        <v>535</v>
      </c>
      <c r="BD50" s="117">
        <f t="shared" si="25"/>
        <v>21.379433424687022</v>
      </c>
      <c r="BE50" s="117">
        <f t="shared" si="26"/>
        <v>315.88474132285529</v>
      </c>
      <c r="BF50" s="110">
        <f t="shared" si="27"/>
        <v>6.7681121079652962E-2</v>
      </c>
      <c r="BG50" s="4">
        <f t="shared" si="6"/>
        <v>2</v>
      </c>
      <c r="BH50" s="111">
        <f t="shared" si="38"/>
        <v>0</v>
      </c>
      <c r="BI50" s="112">
        <f t="shared" si="28"/>
        <v>0</v>
      </c>
      <c r="BJ50" s="112">
        <f t="shared" si="29"/>
        <v>57.1</v>
      </c>
      <c r="BK50" s="110">
        <f t="shared" si="30"/>
        <v>0.16175637393767706</v>
      </c>
      <c r="BL50" s="113" t="str">
        <f t="shared" si="31"/>
        <v>OK</v>
      </c>
      <c r="BM50" s="114">
        <f t="shared" si="32"/>
        <v>1.2129636084604181</v>
      </c>
      <c r="BN50" s="114">
        <f t="shared" si="33"/>
        <v>1.2129636084603697</v>
      </c>
      <c r="BO50" s="110">
        <f t="shared" si="34"/>
        <v>0.11153688353659016</v>
      </c>
      <c r="BP50" s="113" t="str">
        <f t="shared" si="35"/>
        <v>OK</v>
      </c>
      <c r="BQ50" s="10">
        <f t="shared" si="12"/>
        <v>304.99199999999996</v>
      </c>
      <c r="BR50" s="110">
        <f t="shared" si="36"/>
        <v>2.0092482845632142E-2</v>
      </c>
      <c r="BS50" s="113" t="str">
        <f t="shared" si="37"/>
        <v>OK</v>
      </c>
      <c r="DE50" s="4"/>
      <c r="DF50" s="4"/>
      <c r="DG50" s="4"/>
      <c r="DH50" s="4"/>
      <c r="DI50" s="13"/>
      <c r="DJ50" s="13"/>
      <c r="DK50" s="13"/>
      <c r="DL50" s="13"/>
      <c r="DM50" s="13"/>
      <c r="DR50" s="29"/>
      <c r="DS50" s="29"/>
      <c r="DT50" s="29"/>
      <c r="DU50" s="29"/>
      <c r="DV50" s="29"/>
      <c r="DW50" s="29"/>
      <c r="DX50" s="29"/>
      <c r="DY50" s="29"/>
      <c r="DZ50" s="29"/>
      <c r="EA50" s="140"/>
      <c r="EB50" s="117"/>
      <c r="EC50" s="117"/>
      <c r="ED50" s="117"/>
      <c r="EE50" s="117"/>
      <c r="EF50" s="110"/>
      <c r="EG50" s="4"/>
      <c r="EH50" s="111"/>
      <c r="EI50" s="112"/>
      <c r="EJ50" s="112"/>
      <c r="EK50" s="110"/>
      <c r="EL50" s="113"/>
      <c r="EM50" s="114"/>
      <c r="EN50" s="114"/>
      <c r="EO50" s="110"/>
      <c r="EP50" s="113"/>
      <c r="EQ50" s="10"/>
      <c r="ER50" s="110"/>
      <c r="ES50" s="113"/>
    </row>
    <row r="51" spans="13:149" ht="12.75" customHeight="1">
      <c r="M51" s="7"/>
      <c r="N51" s="250" t="s">
        <v>339</v>
      </c>
      <c r="O51" s="251"/>
      <c r="P51" s="204" t="s">
        <v>347</v>
      </c>
      <c r="Q51" s="204" t="s">
        <v>347</v>
      </c>
      <c r="R51" s="204">
        <v>2</v>
      </c>
      <c r="S51" s="204">
        <v>2</v>
      </c>
      <c r="T51" s="204">
        <v>2</v>
      </c>
      <c r="U51" s="204" t="s">
        <v>347</v>
      </c>
      <c r="V51" s="205" t="s">
        <v>347</v>
      </c>
      <c r="W51" s="32"/>
      <c r="X51" s="23"/>
      <c r="AA51" s="67" t="s">
        <v>211</v>
      </c>
      <c r="AB51" s="28" t="s">
        <v>389</v>
      </c>
      <c r="AC51" s="28" t="s">
        <v>347</v>
      </c>
      <c r="AD51" s="68">
        <v>20.399999999999999</v>
      </c>
      <c r="AE51" s="4">
        <f t="shared" si="14"/>
        <v>450</v>
      </c>
      <c r="AF51" s="4">
        <f t="shared" si="15"/>
        <v>200</v>
      </c>
      <c r="AG51" s="4">
        <f t="shared" si="16"/>
        <v>6</v>
      </c>
      <c r="AH51" s="4">
        <f t="shared" si="17"/>
        <v>12</v>
      </c>
      <c r="AI51" s="13">
        <f t="shared" si="18"/>
        <v>670</v>
      </c>
      <c r="AJ51" s="13">
        <f t="shared" si="19"/>
        <v>250</v>
      </c>
      <c r="AK51" s="13">
        <f t="shared" si="20"/>
        <v>20</v>
      </c>
      <c r="AL51" s="13" t="str">
        <f t="shared" si="21"/>
        <v>670x250x20</v>
      </c>
      <c r="AM51" s="13" t="str">
        <f t="shared" si="22"/>
        <v>6M24</v>
      </c>
      <c r="AN51" s="67" t="s">
        <v>423</v>
      </c>
      <c r="AO51" s="69">
        <v>-205.39123170641446</v>
      </c>
      <c r="AP51" s="69">
        <v>6.0587728811737094</v>
      </c>
      <c r="AQ51" s="29">
        <v>1.4056034007982381E-13</v>
      </c>
      <c r="AR51" s="29"/>
      <c r="AS51" s="29"/>
      <c r="AT51" s="29"/>
      <c r="AU51" s="29"/>
      <c r="AV51" s="29"/>
      <c r="AW51" s="29"/>
      <c r="AX51" s="29"/>
      <c r="AY51" s="29"/>
      <c r="AZ51" s="29"/>
      <c r="BA51" s="140">
        <f t="shared" si="23"/>
        <v>6.84354141664335E-16</v>
      </c>
      <c r="BB51" s="117">
        <f t="shared" si="2"/>
        <v>200</v>
      </c>
      <c r="BC51" s="117">
        <f t="shared" si="24"/>
        <v>535</v>
      </c>
      <c r="BD51" s="117">
        <f t="shared" si="25"/>
        <v>21.617939591149138</v>
      </c>
      <c r="BE51" s="117">
        <f t="shared" si="26"/>
        <v>315.88474132285529</v>
      </c>
      <c r="BF51" s="110">
        <f t="shared" si="27"/>
        <v>6.8436162825143115E-2</v>
      </c>
      <c r="BG51" s="4">
        <f t="shared" si="6"/>
        <v>2</v>
      </c>
      <c r="BH51" s="111">
        <f t="shared" si="38"/>
        <v>0</v>
      </c>
      <c r="BI51" s="112">
        <f t="shared" si="28"/>
        <v>0</v>
      </c>
      <c r="BJ51" s="112">
        <f t="shared" si="29"/>
        <v>57.1</v>
      </c>
      <c r="BK51" s="110">
        <f t="shared" si="30"/>
        <v>0.16175637393767706</v>
      </c>
      <c r="BL51" s="113" t="str">
        <f t="shared" si="31"/>
        <v>OK</v>
      </c>
      <c r="BM51" s="114">
        <f t="shared" si="32"/>
        <v>1.2262163086950191</v>
      </c>
      <c r="BN51" s="114">
        <f t="shared" si="33"/>
        <v>1.226216308695004</v>
      </c>
      <c r="BO51" s="110">
        <f t="shared" si="34"/>
        <v>0.11275552263862244</v>
      </c>
      <c r="BP51" s="113" t="str">
        <f t="shared" si="35"/>
        <v>OK</v>
      </c>
      <c r="BQ51" s="10">
        <f t="shared" si="12"/>
        <v>304.99199999999996</v>
      </c>
      <c r="BR51" s="110">
        <f t="shared" si="36"/>
        <v>1.9865350176967625E-2</v>
      </c>
      <c r="BS51" s="113" t="str">
        <f t="shared" si="37"/>
        <v>OK</v>
      </c>
      <c r="DE51" s="4"/>
      <c r="DF51" s="4"/>
      <c r="DG51" s="4"/>
      <c r="DH51" s="4"/>
      <c r="DI51" s="13"/>
      <c r="DJ51" s="13"/>
      <c r="DK51" s="13"/>
      <c r="DL51" s="13"/>
      <c r="DM51" s="13"/>
      <c r="DR51" s="29"/>
      <c r="DS51" s="29"/>
      <c r="DT51" s="29"/>
      <c r="DU51" s="29"/>
      <c r="DV51" s="29"/>
      <c r="DW51" s="29"/>
      <c r="DX51" s="29"/>
      <c r="DY51" s="29"/>
      <c r="DZ51" s="29"/>
      <c r="EA51" s="140"/>
      <c r="EB51" s="117"/>
      <c r="EC51" s="117"/>
      <c r="ED51" s="117"/>
      <c r="EE51" s="117"/>
      <c r="EF51" s="110"/>
      <c r="EG51" s="4"/>
      <c r="EH51" s="111"/>
      <c r="EI51" s="112"/>
      <c r="EJ51" s="112"/>
      <c r="EK51" s="110"/>
      <c r="EL51" s="113"/>
      <c r="EM51" s="114"/>
      <c r="EN51" s="114"/>
      <c r="EO51" s="110"/>
      <c r="EP51" s="113"/>
      <c r="EQ51" s="10"/>
      <c r="ER51" s="110"/>
      <c r="ES51" s="113"/>
    </row>
    <row r="52" spans="13:149" ht="12.75" customHeight="1">
      <c r="M52" s="7"/>
      <c r="N52" s="250" t="s">
        <v>340</v>
      </c>
      <c r="O52" s="251"/>
      <c r="P52" s="204" t="s">
        <v>347</v>
      </c>
      <c r="Q52" s="204" t="s">
        <v>347</v>
      </c>
      <c r="R52" s="204">
        <v>200</v>
      </c>
      <c r="S52" s="204">
        <v>0</v>
      </c>
      <c r="T52" s="204">
        <v>200</v>
      </c>
      <c r="U52" s="204" t="s">
        <v>347</v>
      </c>
      <c r="V52" s="205" t="s">
        <v>347</v>
      </c>
      <c r="W52" s="32"/>
      <c r="X52" s="8"/>
      <c r="AA52" s="67" t="s">
        <v>211</v>
      </c>
      <c r="AB52" s="28" t="s">
        <v>389</v>
      </c>
      <c r="AC52" s="28" t="s">
        <v>347</v>
      </c>
      <c r="AD52" s="68">
        <v>20.399999999999999</v>
      </c>
      <c r="AE52" s="4">
        <f t="shared" si="14"/>
        <v>450</v>
      </c>
      <c r="AF52" s="4">
        <f t="shared" si="15"/>
        <v>200</v>
      </c>
      <c r="AG52" s="4">
        <f t="shared" si="16"/>
        <v>6</v>
      </c>
      <c r="AH52" s="4">
        <f t="shared" si="17"/>
        <v>12</v>
      </c>
      <c r="AI52" s="13">
        <f t="shared" si="18"/>
        <v>670</v>
      </c>
      <c r="AJ52" s="13">
        <f t="shared" si="19"/>
        <v>250</v>
      </c>
      <c r="AK52" s="13">
        <f t="shared" si="20"/>
        <v>20</v>
      </c>
      <c r="AL52" s="13" t="str">
        <f t="shared" si="21"/>
        <v>670x250x20</v>
      </c>
      <c r="AM52" s="13" t="str">
        <f t="shared" si="22"/>
        <v>6M24</v>
      </c>
      <c r="AN52" s="67" t="s">
        <v>424</v>
      </c>
      <c r="AO52" s="69">
        <v>-120.21031459639545</v>
      </c>
      <c r="AP52" s="69">
        <v>9.1207188077487569</v>
      </c>
      <c r="AQ52" s="29">
        <v>6.8610505945697849E-13</v>
      </c>
      <c r="AR52" s="29"/>
      <c r="AS52" s="29"/>
      <c r="AT52" s="29"/>
      <c r="AU52" s="29"/>
      <c r="AV52" s="29"/>
      <c r="AW52" s="29"/>
      <c r="AX52" s="29"/>
      <c r="AY52" s="29"/>
      <c r="AZ52" s="29"/>
      <c r="BA52" s="140">
        <f t="shared" si="23"/>
        <v>5.7075390057880411E-15</v>
      </c>
      <c r="BB52" s="117">
        <f t="shared" si="2"/>
        <v>200</v>
      </c>
      <c r="BC52" s="117">
        <f t="shared" si="24"/>
        <v>535</v>
      </c>
      <c r="BD52" s="117">
        <f t="shared" si="25"/>
        <v>12.543864461544786</v>
      </c>
      <c r="BE52" s="117">
        <f t="shared" si="26"/>
        <v>315.88474132285529</v>
      </c>
      <c r="BF52" s="110">
        <f t="shared" si="27"/>
        <v>3.9710257637054137E-2</v>
      </c>
      <c r="BG52" s="4">
        <f t="shared" si="6"/>
        <v>2</v>
      </c>
      <c r="BH52" s="111">
        <f t="shared" si="38"/>
        <v>0</v>
      </c>
      <c r="BI52" s="112">
        <f t="shared" si="28"/>
        <v>0</v>
      </c>
      <c r="BJ52" s="112">
        <f t="shared" si="29"/>
        <v>57.1</v>
      </c>
      <c r="BK52" s="110">
        <f t="shared" si="30"/>
        <v>0.16175637393767706</v>
      </c>
      <c r="BL52" s="113" t="str">
        <f t="shared" si="31"/>
        <v>OK</v>
      </c>
      <c r="BM52" s="114">
        <f t="shared" si="32"/>
        <v>0.71767351997851692</v>
      </c>
      <c r="BN52" s="114">
        <f t="shared" si="33"/>
        <v>0.71767351997844364</v>
      </c>
      <c r="BO52" s="110">
        <f t="shared" si="34"/>
        <v>6.5992967354346385E-2</v>
      </c>
      <c r="BP52" s="113" t="str">
        <f t="shared" si="35"/>
        <v>OK</v>
      </c>
      <c r="BQ52" s="10">
        <f t="shared" si="12"/>
        <v>304.99199999999996</v>
      </c>
      <c r="BR52" s="110">
        <f t="shared" si="36"/>
        <v>2.9904780478664222E-2</v>
      </c>
      <c r="BS52" s="113" t="str">
        <f t="shared" si="37"/>
        <v>OK</v>
      </c>
      <c r="DE52" s="4"/>
      <c r="DF52" s="4"/>
      <c r="DG52" s="4"/>
      <c r="DH52" s="4"/>
      <c r="DI52" s="13"/>
      <c r="DJ52" s="13"/>
      <c r="DK52" s="13"/>
      <c r="DL52" s="13"/>
      <c r="DM52" s="13"/>
      <c r="DR52" s="29"/>
      <c r="DS52" s="29"/>
      <c r="DT52" s="29"/>
      <c r="DU52" s="29"/>
      <c r="DV52" s="29"/>
      <c r="DW52" s="29"/>
      <c r="DX52" s="29"/>
      <c r="DY52" s="29"/>
      <c r="DZ52" s="29"/>
      <c r="EA52" s="140"/>
      <c r="EB52" s="117"/>
      <c r="EC52" s="117"/>
      <c r="ED52" s="117"/>
      <c r="EE52" s="117"/>
      <c r="EF52" s="110"/>
      <c r="EG52" s="4"/>
      <c r="EH52" s="111"/>
      <c r="EI52" s="112"/>
      <c r="EJ52" s="112"/>
      <c r="EK52" s="110"/>
      <c r="EL52" s="113"/>
      <c r="EM52" s="114"/>
      <c r="EN52" s="114"/>
      <c r="EO52" s="110"/>
      <c r="EP52" s="113"/>
      <c r="EQ52" s="10"/>
      <c r="ER52" s="110"/>
      <c r="ES52" s="113"/>
    </row>
    <row r="53" spans="13:149" ht="12.75" customHeight="1">
      <c r="M53" s="7"/>
      <c r="N53" s="223" t="s">
        <v>342</v>
      </c>
      <c r="O53" s="224"/>
      <c r="P53" s="225">
        <f>SUMPRODUCT(P51:R51,P52:R52)/SUM(P51:R51)</f>
        <v>200</v>
      </c>
      <c r="Q53" s="225"/>
      <c r="R53" s="225"/>
      <c r="S53" s="133"/>
      <c r="T53" s="225">
        <f>SUMPRODUCT(T51:V51,T52:V52)/SUM(T51:V51)</f>
        <v>200</v>
      </c>
      <c r="U53" s="225"/>
      <c r="V53" s="228"/>
      <c r="W53" s="32"/>
      <c r="X53" s="8"/>
      <c r="AA53" s="67" t="s">
        <v>211</v>
      </c>
      <c r="AB53" s="28" t="s">
        <v>389</v>
      </c>
      <c r="AC53" s="28" t="s">
        <v>347</v>
      </c>
      <c r="AD53" s="68">
        <v>20.399999999999999</v>
      </c>
      <c r="AE53" s="4">
        <f t="shared" si="14"/>
        <v>450</v>
      </c>
      <c r="AF53" s="4">
        <f t="shared" si="15"/>
        <v>200</v>
      </c>
      <c r="AG53" s="4">
        <f t="shared" si="16"/>
        <v>6</v>
      </c>
      <c r="AH53" s="4">
        <f t="shared" si="17"/>
        <v>12</v>
      </c>
      <c r="AI53" s="13">
        <f t="shared" si="18"/>
        <v>670</v>
      </c>
      <c r="AJ53" s="13">
        <f t="shared" si="19"/>
        <v>250</v>
      </c>
      <c r="AK53" s="13">
        <f t="shared" si="20"/>
        <v>20</v>
      </c>
      <c r="AL53" s="13" t="str">
        <f t="shared" si="21"/>
        <v>670x250x20</v>
      </c>
      <c r="AM53" s="13" t="str">
        <f t="shared" si="22"/>
        <v>6M24</v>
      </c>
      <c r="AN53" s="67" t="s">
        <v>425</v>
      </c>
      <c r="AO53" s="69">
        <v>-123.76203825927303</v>
      </c>
      <c r="AP53" s="69">
        <v>10.378192247017239</v>
      </c>
      <c r="AQ53" s="29">
        <v>2.6338544421204873E-13</v>
      </c>
      <c r="AR53" s="29"/>
      <c r="AS53" s="29"/>
      <c r="AT53" s="29"/>
      <c r="AU53" s="29"/>
      <c r="AV53" s="29"/>
      <c r="AW53" s="29"/>
      <c r="AX53" s="29"/>
      <c r="AY53" s="29"/>
      <c r="AZ53" s="29"/>
      <c r="BA53" s="140">
        <f t="shared" si="23"/>
        <v>2.1281602009517183E-15</v>
      </c>
      <c r="BB53" s="117">
        <f t="shared" si="2"/>
        <v>200</v>
      </c>
      <c r="BC53" s="117">
        <f t="shared" si="24"/>
        <v>535</v>
      </c>
      <c r="BD53" s="117">
        <f t="shared" si="25"/>
        <v>12.91906831740846</v>
      </c>
      <c r="BE53" s="117">
        <f t="shared" si="26"/>
        <v>315.88474132285529</v>
      </c>
      <c r="BF53" s="110">
        <f t="shared" si="27"/>
        <v>4.0898044847960252E-2</v>
      </c>
      <c r="BG53" s="4">
        <f t="shared" si="6"/>
        <v>2</v>
      </c>
      <c r="BH53" s="111">
        <f t="shared" si="38"/>
        <v>0</v>
      </c>
      <c r="BI53" s="112">
        <f t="shared" si="28"/>
        <v>0</v>
      </c>
      <c r="BJ53" s="112">
        <f t="shared" si="29"/>
        <v>57.1</v>
      </c>
      <c r="BK53" s="110">
        <f t="shared" si="30"/>
        <v>0.16175637393767706</v>
      </c>
      <c r="BL53" s="113" t="str">
        <f t="shared" si="31"/>
        <v>OK</v>
      </c>
      <c r="BM53" s="114">
        <f t="shared" si="32"/>
        <v>0.73887784035388293</v>
      </c>
      <c r="BN53" s="114">
        <f t="shared" si="33"/>
        <v>0.73887784035385473</v>
      </c>
      <c r="BO53" s="110">
        <f t="shared" si="34"/>
        <v>6.7942789917598431E-2</v>
      </c>
      <c r="BP53" s="113" t="str">
        <f t="shared" si="35"/>
        <v>OK</v>
      </c>
      <c r="BQ53" s="10">
        <f t="shared" si="12"/>
        <v>304.99199999999996</v>
      </c>
      <c r="BR53" s="110">
        <f t="shared" si="36"/>
        <v>3.402775235749541E-2</v>
      </c>
      <c r="BS53" s="113" t="str">
        <f t="shared" si="37"/>
        <v>OK</v>
      </c>
      <c r="DE53" s="4"/>
      <c r="DF53" s="4"/>
      <c r="DG53" s="4"/>
      <c r="DH53" s="4"/>
      <c r="DI53" s="13"/>
      <c r="DJ53" s="13"/>
      <c r="DK53" s="13"/>
      <c r="DL53" s="13"/>
      <c r="DM53" s="13"/>
      <c r="DR53" s="29"/>
      <c r="DS53" s="29"/>
      <c r="DT53" s="29"/>
      <c r="DU53" s="29"/>
      <c r="DV53" s="29"/>
      <c r="DW53" s="29"/>
      <c r="DX53" s="29"/>
      <c r="DY53" s="29"/>
      <c r="DZ53" s="29"/>
      <c r="EA53" s="140"/>
      <c r="EB53" s="117"/>
      <c r="EC53" s="117"/>
      <c r="ED53" s="117"/>
      <c r="EE53" s="117"/>
      <c r="EF53" s="110"/>
      <c r="EG53" s="4"/>
      <c r="EH53" s="111"/>
      <c r="EI53" s="112"/>
      <c r="EJ53" s="112"/>
      <c r="EK53" s="110"/>
      <c r="EL53" s="113"/>
      <c r="EM53" s="114"/>
      <c r="EN53" s="114"/>
      <c r="EO53" s="110"/>
      <c r="EP53" s="113"/>
      <c r="EQ53" s="10"/>
      <c r="ER53" s="110"/>
      <c r="ES53" s="113"/>
    </row>
    <row r="54" spans="13:149" ht="12.75" customHeight="1">
      <c r="M54" s="7"/>
      <c r="N54" s="141" t="str">
        <f>"- Chiều cao đường hàn bản đế vào cánh:"</f>
        <v>- Chiều cao đường hàn bản đế vào cánh:</v>
      </c>
      <c r="O54" s="2"/>
      <c r="P54" s="2"/>
      <c r="Q54" s="2"/>
      <c r="R54" s="2"/>
      <c r="S54" s="2"/>
      <c r="T54" s="2"/>
      <c r="U54" s="2"/>
      <c r="V54" s="33" t="s">
        <v>129</v>
      </c>
      <c r="W54" s="32">
        <v>6</v>
      </c>
      <c r="X54" s="8" t="s">
        <v>1</v>
      </c>
      <c r="AA54" s="67" t="s">
        <v>211</v>
      </c>
      <c r="AB54" s="28" t="s">
        <v>389</v>
      </c>
      <c r="AC54" s="28" t="s">
        <v>347</v>
      </c>
      <c r="AD54" s="68">
        <v>20.399999999999999</v>
      </c>
      <c r="AE54" s="4">
        <f t="shared" si="14"/>
        <v>450</v>
      </c>
      <c r="AF54" s="4">
        <f t="shared" si="15"/>
        <v>200</v>
      </c>
      <c r="AG54" s="4">
        <f t="shared" si="16"/>
        <v>6</v>
      </c>
      <c r="AH54" s="4">
        <f t="shared" si="17"/>
        <v>12</v>
      </c>
      <c r="AI54" s="13">
        <f t="shared" si="18"/>
        <v>670</v>
      </c>
      <c r="AJ54" s="13">
        <f t="shared" si="19"/>
        <v>250</v>
      </c>
      <c r="AK54" s="13">
        <f t="shared" si="20"/>
        <v>20</v>
      </c>
      <c r="AL54" s="13" t="str">
        <f t="shared" si="21"/>
        <v>670x250x20</v>
      </c>
      <c r="AM54" s="13" t="str">
        <f t="shared" si="22"/>
        <v>6M24</v>
      </c>
      <c r="AN54" s="67" t="s">
        <v>426</v>
      </c>
      <c r="AO54" s="69">
        <v>-65.337292628499171</v>
      </c>
      <c r="AP54" s="69">
        <v>9.1147198007568022</v>
      </c>
      <c r="AQ54" s="29">
        <v>5.7821876026657037E-13</v>
      </c>
      <c r="AR54" s="29"/>
      <c r="AS54" s="29"/>
      <c r="AT54" s="29"/>
      <c r="AU54" s="29"/>
      <c r="AV54" s="29"/>
      <c r="AW54" s="29"/>
      <c r="AX54" s="29"/>
      <c r="AY54" s="29"/>
      <c r="AZ54" s="29"/>
      <c r="BA54" s="140">
        <f t="shared" si="23"/>
        <v>8.8497508391457257E-15</v>
      </c>
      <c r="BB54" s="117">
        <f t="shared" si="2"/>
        <v>200</v>
      </c>
      <c r="BC54" s="117">
        <f t="shared" si="24"/>
        <v>535</v>
      </c>
      <c r="BD54" s="117">
        <f t="shared" si="25"/>
        <v>6.7809472293162116</v>
      </c>
      <c r="BE54" s="117">
        <f t="shared" si="26"/>
        <v>315.88474132285529</v>
      </c>
      <c r="BF54" s="110">
        <f t="shared" si="27"/>
        <v>2.1466523520316642E-2</v>
      </c>
      <c r="BG54" s="4">
        <f t="shared" si="6"/>
        <v>2</v>
      </c>
      <c r="BH54" s="111">
        <f t="shared" si="38"/>
        <v>0</v>
      </c>
      <c r="BI54" s="112">
        <f t="shared" si="28"/>
        <v>0</v>
      </c>
      <c r="BJ54" s="112">
        <f t="shared" si="29"/>
        <v>57.1</v>
      </c>
      <c r="BK54" s="110">
        <f t="shared" si="30"/>
        <v>0.16175637393767706</v>
      </c>
      <c r="BL54" s="113" t="str">
        <f t="shared" si="31"/>
        <v>OK</v>
      </c>
      <c r="BM54" s="114">
        <f t="shared" si="32"/>
        <v>0.39007338882689169</v>
      </c>
      <c r="BN54" s="114">
        <f t="shared" si="33"/>
        <v>0.39007338882682985</v>
      </c>
      <c r="BO54" s="110">
        <f t="shared" si="34"/>
        <v>3.5868817363392341E-2</v>
      </c>
      <c r="BP54" s="113" t="str">
        <f t="shared" si="35"/>
        <v>OK</v>
      </c>
      <c r="BQ54" s="10">
        <f t="shared" si="12"/>
        <v>304.99199999999996</v>
      </c>
      <c r="BR54" s="110">
        <f t="shared" si="36"/>
        <v>2.9885111087362304E-2</v>
      </c>
      <c r="BS54" s="113" t="str">
        <f t="shared" si="37"/>
        <v>OK</v>
      </c>
      <c r="DE54" s="4"/>
      <c r="DF54" s="4"/>
      <c r="DG54" s="4"/>
      <c r="DH54" s="4"/>
      <c r="DI54" s="13"/>
      <c r="DJ54" s="13"/>
      <c r="DK54" s="13"/>
      <c r="DL54" s="13"/>
      <c r="DM54" s="13"/>
      <c r="DR54" s="29"/>
      <c r="DS54" s="29"/>
      <c r="DT54" s="29"/>
      <c r="DU54" s="29"/>
      <c r="DV54" s="29"/>
      <c r="DW54" s="29"/>
      <c r="DX54" s="29"/>
      <c r="DY54" s="29"/>
      <c r="DZ54" s="29"/>
      <c r="EA54" s="140"/>
      <c r="EB54" s="117"/>
      <c r="EC54" s="117"/>
      <c r="ED54" s="117"/>
      <c r="EE54" s="117"/>
      <c r="EF54" s="110"/>
      <c r="EG54" s="4"/>
      <c r="EH54" s="111"/>
      <c r="EI54" s="112"/>
      <c r="EJ54" s="112"/>
      <c r="EK54" s="110"/>
      <c r="EL54" s="113"/>
      <c r="EM54" s="114"/>
      <c r="EN54" s="114"/>
      <c r="EO54" s="110"/>
      <c r="EP54" s="113"/>
      <c r="EQ54" s="10"/>
      <c r="ER54" s="110"/>
      <c r="ES54" s="113"/>
    </row>
    <row r="55" spans="13:149" ht="12.75" customHeight="1">
      <c r="M55" s="7"/>
      <c r="N55" s="141" t="str">
        <f>"- Chiều cao đường hàn bản đế vào bụng:"</f>
        <v>- Chiều cao đường hàn bản đế vào bụng:</v>
      </c>
      <c r="O55" s="2"/>
      <c r="P55" s="2"/>
      <c r="Q55" s="2"/>
      <c r="R55" s="2"/>
      <c r="S55" s="2"/>
      <c r="T55" s="2"/>
      <c r="U55" s="2"/>
      <c r="V55" s="33" t="s">
        <v>130</v>
      </c>
      <c r="W55" s="32">
        <v>6</v>
      </c>
      <c r="X55" s="8" t="s">
        <v>1</v>
      </c>
      <c r="AA55" s="67" t="s">
        <v>211</v>
      </c>
      <c r="AB55" s="28" t="s">
        <v>389</v>
      </c>
      <c r="AC55" s="28" t="s">
        <v>347</v>
      </c>
      <c r="AD55" s="68">
        <v>20.399999999999999</v>
      </c>
      <c r="AE55" s="4">
        <f t="shared" si="14"/>
        <v>450</v>
      </c>
      <c r="AF55" s="4">
        <f t="shared" si="15"/>
        <v>200</v>
      </c>
      <c r="AG55" s="4">
        <f t="shared" si="16"/>
        <v>6</v>
      </c>
      <c r="AH55" s="4">
        <f t="shared" si="17"/>
        <v>12</v>
      </c>
      <c r="AI55" s="13">
        <f t="shared" si="18"/>
        <v>670</v>
      </c>
      <c r="AJ55" s="13">
        <f t="shared" si="19"/>
        <v>250</v>
      </c>
      <c r="AK55" s="13">
        <f t="shared" si="20"/>
        <v>20</v>
      </c>
      <c r="AL55" s="13" t="str">
        <f t="shared" si="21"/>
        <v>670x250x20</v>
      </c>
      <c r="AM55" s="13" t="str">
        <f t="shared" si="22"/>
        <v>6M24</v>
      </c>
      <c r="AN55" s="67" t="s">
        <v>427</v>
      </c>
      <c r="AO55" s="69">
        <v>-65.274638539039842</v>
      </c>
      <c r="AP55" s="69">
        <v>9.107851103578696</v>
      </c>
      <c r="AQ55" s="29">
        <v>1.0329758721588026E-12</v>
      </c>
      <c r="AR55" s="29"/>
      <c r="AS55" s="29"/>
      <c r="AT55" s="29"/>
      <c r="AU55" s="29"/>
      <c r="AV55" s="29"/>
      <c r="AW55" s="29"/>
      <c r="AX55" s="29"/>
      <c r="AY55" s="29"/>
      <c r="AZ55" s="29"/>
      <c r="BA55" s="140">
        <f t="shared" si="23"/>
        <v>1.582507226816728E-14</v>
      </c>
      <c r="BB55" s="117">
        <f t="shared" si="2"/>
        <v>200</v>
      </c>
      <c r="BC55" s="117">
        <f t="shared" si="24"/>
        <v>535</v>
      </c>
      <c r="BD55" s="117">
        <f t="shared" si="25"/>
        <v>6.7744030580711296</v>
      </c>
      <c r="BE55" s="117">
        <f t="shared" si="26"/>
        <v>315.88474132285529</v>
      </c>
      <c r="BF55" s="110">
        <f t="shared" si="27"/>
        <v>2.1445806561283812E-2</v>
      </c>
      <c r="BG55" s="4">
        <f t="shared" si="6"/>
        <v>2</v>
      </c>
      <c r="BH55" s="111">
        <f t="shared" si="38"/>
        <v>0</v>
      </c>
      <c r="BI55" s="112">
        <f t="shared" si="28"/>
        <v>0</v>
      </c>
      <c r="BJ55" s="112">
        <f t="shared" si="29"/>
        <v>57.1</v>
      </c>
      <c r="BK55" s="110">
        <f t="shared" si="30"/>
        <v>0.16175637393767706</v>
      </c>
      <c r="BL55" s="113" t="str">
        <f t="shared" si="31"/>
        <v>OK</v>
      </c>
      <c r="BM55" s="114">
        <f t="shared" si="32"/>
        <v>0.38969933456148714</v>
      </c>
      <c r="BN55" s="114">
        <f t="shared" si="33"/>
        <v>0.38969933456137668</v>
      </c>
      <c r="BO55" s="110">
        <f t="shared" si="34"/>
        <v>3.5834421568872378E-2</v>
      </c>
      <c r="BP55" s="113" t="str">
        <f t="shared" si="35"/>
        <v>OK</v>
      </c>
      <c r="BQ55" s="10">
        <f t="shared" si="12"/>
        <v>304.99199999999996</v>
      </c>
      <c r="BR55" s="110">
        <f t="shared" si="36"/>
        <v>2.9862590178033183E-2</v>
      </c>
      <c r="BS55" s="113" t="str">
        <f t="shared" si="37"/>
        <v>OK</v>
      </c>
      <c r="DE55" s="4"/>
      <c r="DF55" s="4"/>
      <c r="DG55" s="4"/>
      <c r="DH55" s="4"/>
      <c r="DI55" s="13"/>
      <c r="DJ55" s="13"/>
      <c r="DK55" s="13"/>
      <c r="DL55" s="13"/>
      <c r="DM55" s="13"/>
      <c r="DR55" s="29"/>
      <c r="DS55" s="29"/>
      <c r="DT55" s="29"/>
      <c r="DU55" s="29"/>
      <c r="DV55" s="29"/>
      <c r="DW55" s="29"/>
      <c r="DX55" s="29"/>
      <c r="DY55" s="29"/>
      <c r="DZ55" s="29"/>
      <c r="EA55" s="140"/>
      <c r="EB55" s="117"/>
      <c r="EC55" s="117"/>
      <c r="ED55" s="117"/>
      <c r="EE55" s="117"/>
      <c r="EF55" s="110"/>
      <c r="EG55" s="4"/>
      <c r="EH55" s="111"/>
      <c r="EI55" s="112"/>
      <c r="EJ55" s="112"/>
      <c r="EK55" s="110"/>
      <c r="EL55" s="113"/>
      <c r="EM55" s="114"/>
      <c r="EN55" s="114"/>
      <c r="EO55" s="110"/>
      <c r="EP55" s="113"/>
      <c r="EQ55" s="10"/>
      <c r="ER55" s="110"/>
      <c r="ES55" s="113"/>
    </row>
    <row r="56" spans="13:149" ht="12.75" customHeight="1">
      <c r="M56" s="7"/>
      <c r="N56" s="141"/>
      <c r="O56" s="220" t="s">
        <v>329</v>
      </c>
      <c r="P56" s="220"/>
      <c r="Q56" s="221" t="s">
        <v>328</v>
      </c>
      <c r="R56" s="221" t="s">
        <v>191</v>
      </c>
      <c r="S56" s="221" t="s">
        <v>192</v>
      </c>
      <c r="T56" s="220" t="s">
        <v>193</v>
      </c>
      <c r="U56" s="221" t="s">
        <v>194</v>
      </c>
      <c r="V56" s="33"/>
      <c r="W56" s="32"/>
      <c r="X56" s="23"/>
      <c r="AA56" s="67" t="s">
        <v>211</v>
      </c>
      <c r="AB56" s="28" t="s">
        <v>389</v>
      </c>
      <c r="AC56" s="28" t="s">
        <v>347</v>
      </c>
      <c r="AD56" s="68">
        <v>20.399999999999999</v>
      </c>
      <c r="AE56" s="4">
        <f t="shared" si="14"/>
        <v>450</v>
      </c>
      <c r="AF56" s="4">
        <f t="shared" si="15"/>
        <v>200</v>
      </c>
      <c r="AG56" s="4">
        <f t="shared" si="16"/>
        <v>6</v>
      </c>
      <c r="AH56" s="4">
        <f t="shared" si="17"/>
        <v>12</v>
      </c>
      <c r="AI56" s="13">
        <f t="shared" si="18"/>
        <v>670</v>
      </c>
      <c r="AJ56" s="13">
        <f t="shared" si="19"/>
        <v>250</v>
      </c>
      <c r="AK56" s="13">
        <f t="shared" si="20"/>
        <v>20</v>
      </c>
      <c r="AL56" s="13" t="str">
        <f t="shared" si="21"/>
        <v>670x250x20</v>
      </c>
      <c r="AM56" s="13" t="str">
        <f t="shared" si="22"/>
        <v>6M24</v>
      </c>
      <c r="AN56" s="67" t="s">
        <v>428</v>
      </c>
      <c r="AO56" s="69">
        <v>-118.83052767465321</v>
      </c>
      <c r="AP56" s="69">
        <v>4.652065657176081</v>
      </c>
      <c r="AQ56" s="29">
        <v>4.6135833380443512E-13</v>
      </c>
      <c r="AR56" s="29"/>
      <c r="AS56" s="29"/>
      <c r="AT56" s="29"/>
      <c r="AU56" s="29"/>
      <c r="AV56" s="29"/>
      <c r="AW56" s="29"/>
      <c r="AX56" s="29"/>
      <c r="AY56" s="29"/>
      <c r="AZ56" s="29"/>
      <c r="BA56" s="140">
        <f t="shared" si="23"/>
        <v>3.8824899866437586E-15</v>
      </c>
      <c r="BB56" s="117">
        <f t="shared" si="2"/>
        <v>200</v>
      </c>
      <c r="BC56" s="117">
        <f t="shared" si="24"/>
        <v>535</v>
      </c>
      <c r="BD56" s="117">
        <f t="shared" si="25"/>
        <v>12.398176513167755</v>
      </c>
      <c r="BE56" s="117">
        <f t="shared" si="26"/>
        <v>315.88474132285529</v>
      </c>
      <c r="BF56" s="110">
        <f t="shared" si="27"/>
        <v>3.9249051604224185E-2</v>
      </c>
      <c r="BG56" s="4">
        <f t="shared" si="6"/>
        <v>2</v>
      </c>
      <c r="BH56" s="111">
        <f t="shared" si="38"/>
        <v>0</v>
      </c>
      <c r="BI56" s="112">
        <f t="shared" si="28"/>
        <v>0</v>
      </c>
      <c r="BJ56" s="112">
        <f t="shared" si="29"/>
        <v>57.1</v>
      </c>
      <c r="BK56" s="110">
        <f t="shared" si="30"/>
        <v>0.16175637393767706</v>
      </c>
      <c r="BL56" s="113" t="str">
        <f t="shared" si="31"/>
        <v>OK</v>
      </c>
      <c r="BM56" s="114">
        <f t="shared" si="32"/>
        <v>0.70943598611735725</v>
      </c>
      <c r="BN56" s="114">
        <f t="shared" si="33"/>
        <v>0.70943598611730796</v>
      </c>
      <c r="BO56" s="110">
        <f t="shared" si="34"/>
        <v>6.5235492976308707E-2</v>
      </c>
      <c r="BP56" s="113" t="str">
        <f t="shared" si="35"/>
        <v>OK</v>
      </c>
      <c r="BQ56" s="10">
        <f t="shared" si="12"/>
        <v>304.99199999999996</v>
      </c>
      <c r="BR56" s="110">
        <f t="shared" si="36"/>
        <v>1.5253074366462338E-2</v>
      </c>
      <c r="BS56" s="113" t="str">
        <f t="shared" si="37"/>
        <v>OK</v>
      </c>
      <c r="DE56" s="4"/>
      <c r="DF56" s="4"/>
      <c r="DG56" s="4"/>
      <c r="DH56" s="4"/>
      <c r="DI56" s="13"/>
      <c r="DJ56" s="13"/>
      <c r="DK56" s="13"/>
      <c r="DL56" s="13"/>
      <c r="DM56" s="13"/>
      <c r="DR56" s="29"/>
      <c r="DS56" s="29"/>
      <c r="DT56" s="29"/>
      <c r="DU56" s="29"/>
      <c r="DV56" s="29"/>
      <c r="DW56" s="29"/>
      <c r="DX56" s="29"/>
      <c r="DY56" s="29"/>
      <c r="DZ56" s="29"/>
      <c r="EA56" s="140"/>
      <c r="EB56" s="117"/>
      <c r="EC56" s="117"/>
      <c r="ED56" s="117"/>
      <c r="EE56" s="117"/>
      <c r="EF56" s="110"/>
      <c r="EG56" s="4"/>
      <c r="EH56" s="111"/>
      <c r="EI56" s="112"/>
      <c r="EJ56" s="112"/>
      <c r="EK56" s="110"/>
      <c r="EL56" s="113"/>
      <c r="EM56" s="114"/>
      <c r="EN56" s="114"/>
      <c r="EO56" s="110"/>
      <c r="EP56" s="113"/>
      <c r="EQ56" s="10"/>
      <c r="ER56" s="110"/>
      <c r="ES56" s="113"/>
    </row>
    <row r="57" spans="13:149" ht="12.75" customHeight="1">
      <c r="M57" s="7"/>
      <c r="N57" s="141"/>
      <c r="O57" s="220"/>
      <c r="P57" s="220"/>
      <c r="Q57" s="221"/>
      <c r="R57" s="221"/>
      <c r="S57" s="221"/>
      <c r="T57" s="220"/>
      <c r="U57" s="221"/>
      <c r="V57" s="33"/>
      <c r="W57" s="32"/>
      <c r="X57" s="23"/>
      <c r="AA57" s="67" t="s">
        <v>211</v>
      </c>
      <c r="AB57" s="28" t="s">
        <v>389</v>
      </c>
      <c r="AC57" s="28" t="s">
        <v>347</v>
      </c>
      <c r="AD57" s="68">
        <v>20.399999999999999</v>
      </c>
      <c r="AE57" s="4">
        <f t="shared" si="14"/>
        <v>450</v>
      </c>
      <c r="AF57" s="4">
        <f t="shared" si="15"/>
        <v>200</v>
      </c>
      <c r="AG57" s="4">
        <f t="shared" si="16"/>
        <v>6</v>
      </c>
      <c r="AH57" s="4">
        <f t="shared" si="17"/>
        <v>12</v>
      </c>
      <c r="AI57" s="13">
        <f t="shared" si="18"/>
        <v>670</v>
      </c>
      <c r="AJ57" s="13">
        <f t="shared" si="19"/>
        <v>250</v>
      </c>
      <c r="AK57" s="13">
        <f t="shared" si="20"/>
        <v>20</v>
      </c>
      <c r="AL57" s="13" t="str">
        <f t="shared" si="21"/>
        <v>670x250x20</v>
      </c>
      <c r="AM57" s="13" t="str">
        <f t="shared" si="22"/>
        <v>6M24</v>
      </c>
      <c r="AN57" s="67" t="s">
        <v>429</v>
      </c>
      <c r="AO57" s="69">
        <v>-118.78109854852798</v>
      </c>
      <c r="AP57" s="69">
        <v>6.016389498082475</v>
      </c>
      <c r="AQ57" s="29">
        <v>1.9806423051271175E-13</v>
      </c>
      <c r="AR57" s="29"/>
      <c r="AS57" s="29"/>
      <c r="AT57" s="29"/>
      <c r="AU57" s="29"/>
      <c r="AV57" s="29"/>
      <c r="AW57" s="29"/>
      <c r="AX57" s="29"/>
      <c r="AY57" s="29"/>
      <c r="AZ57" s="29"/>
      <c r="BA57" s="140">
        <f t="shared" si="23"/>
        <v>1.6674726276571071E-15</v>
      </c>
      <c r="BB57" s="117">
        <f t="shared" si="2"/>
        <v>200</v>
      </c>
      <c r="BC57" s="117">
        <f t="shared" si="24"/>
        <v>535</v>
      </c>
      <c r="BD57" s="117">
        <f t="shared" si="25"/>
        <v>12.392958179702305</v>
      </c>
      <c r="BE57" s="117">
        <f t="shared" si="26"/>
        <v>315.88474132285529</v>
      </c>
      <c r="BF57" s="110">
        <f t="shared" si="27"/>
        <v>3.9232531865272577E-2</v>
      </c>
      <c r="BG57" s="4">
        <f t="shared" si="6"/>
        <v>2</v>
      </c>
      <c r="BH57" s="111">
        <f t="shared" si="38"/>
        <v>0</v>
      </c>
      <c r="BI57" s="112">
        <f t="shared" si="28"/>
        <v>0</v>
      </c>
      <c r="BJ57" s="112">
        <f t="shared" si="29"/>
        <v>57.1</v>
      </c>
      <c r="BK57" s="110">
        <f t="shared" si="30"/>
        <v>0.16175637393767706</v>
      </c>
      <c r="BL57" s="113" t="str">
        <f t="shared" si="31"/>
        <v>OK</v>
      </c>
      <c r="BM57" s="114">
        <f t="shared" si="32"/>
        <v>0.70914088685689403</v>
      </c>
      <c r="BN57" s="114">
        <f t="shared" si="33"/>
        <v>0.70914088685687293</v>
      </c>
      <c r="BO57" s="110">
        <f t="shared" si="34"/>
        <v>6.5208357412128187E-2</v>
      </c>
      <c r="BP57" s="113" t="str">
        <f t="shared" si="35"/>
        <v>OK</v>
      </c>
      <c r="BQ57" s="10">
        <f t="shared" si="12"/>
        <v>304.99199999999996</v>
      </c>
      <c r="BR57" s="110">
        <f t="shared" si="36"/>
        <v>1.9726384620194878E-2</v>
      </c>
      <c r="BS57" s="113" t="str">
        <f t="shared" si="37"/>
        <v>OK</v>
      </c>
      <c r="DE57" s="4"/>
      <c r="DF57" s="4"/>
      <c r="DG57" s="4"/>
      <c r="DH57" s="4"/>
      <c r="DI57" s="13"/>
      <c r="DJ57" s="13"/>
      <c r="DK57" s="13"/>
      <c r="DL57" s="13"/>
      <c r="DM57" s="13"/>
      <c r="DR57" s="29"/>
      <c r="DS57" s="29"/>
      <c r="DT57" s="29"/>
      <c r="DU57" s="29"/>
      <c r="DV57" s="29"/>
      <c r="DW57" s="29"/>
      <c r="DX57" s="29"/>
      <c r="DY57" s="29"/>
      <c r="DZ57" s="29"/>
      <c r="EA57" s="140"/>
      <c r="EB57" s="117"/>
      <c r="EC57" s="117"/>
      <c r="ED57" s="117"/>
      <c r="EE57" s="117"/>
      <c r="EF57" s="110"/>
      <c r="EG57" s="4"/>
      <c r="EH57" s="111"/>
      <c r="EI57" s="112"/>
      <c r="EJ57" s="112"/>
      <c r="EK57" s="110"/>
      <c r="EL57" s="113"/>
      <c r="EM57" s="114"/>
      <c r="EN57" s="114"/>
      <c r="EO57" s="110"/>
      <c r="EP57" s="113"/>
      <c r="EQ57" s="10"/>
      <c r="ER57" s="110"/>
      <c r="ES57" s="113"/>
    </row>
    <row r="58" spans="13:149" ht="12.75" customHeight="1">
      <c r="M58" s="7"/>
      <c r="N58" s="141"/>
      <c r="O58" s="222" t="s">
        <v>330</v>
      </c>
      <c r="P58" s="222"/>
      <c r="Q58" s="28">
        <v>2</v>
      </c>
      <c r="R58" s="28">
        <v>6</v>
      </c>
      <c r="S58" s="13">
        <f>IF(Q58=0,0,(W40-W41)/2)</f>
        <v>97</v>
      </c>
      <c r="T58" s="28">
        <v>200</v>
      </c>
      <c r="U58" s="28">
        <v>6</v>
      </c>
      <c r="V58" s="33"/>
      <c r="W58" s="32"/>
      <c r="X58" s="23"/>
      <c r="AA58" s="67" t="s">
        <v>211</v>
      </c>
      <c r="AB58" s="28" t="s">
        <v>389</v>
      </c>
      <c r="AC58" s="28" t="s">
        <v>347</v>
      </c>
      <c r="AD58" s="68">
        <v>20.399999999999999</v>
      </c>
      <c r="AE58" s="4">
        <f t="shared" si="14"/>
        <v>450</v>
      </c>
      <c r="AF58" s="4">
        <f t="shared" si="15"/>
        <v>200</v>
      </c>
      <c r="AG58" s="4">
        <f t="shared" si="16"/>
        <v>6</v>
      </c>
      <c r="AH58" s="4">
        <f t="shared" si="17"/>
        <v>12</v>
      </c>
      <c r="AI58" s="13">
        <f t="shared" si="18"/>
        <v>670</v>
      </c>
      <c r="AJ58" s="13">
        <f t="shared" si="19"/>
        <v>250</v>
      </c>
      <c r="AK58" s="13">
        <f t="shared" si="20"/>
        <v>20</v>
      </c>
      <c r="AL58" s="13" t="str">
        <f t="shared" si="21"/>
        <v>670x250x20</v>
      </c>
      <c r="AM58" s="13" t="str">
        <f t="shared" si="22"/>
        <v>6M24</v>
      </c>
      <c r="AN58" s="67" t="s">
        <v>430</v>
      </c>
      <c r="AO58" s="69">
        <v>-87.069282549186454</v>
      </c>
      <c r="AP58" s="69">
        <v>9.3211124548665794</v>
      </c>
      <c r="AQ58" s="29">
        <v>3.5055178322115441E-13</v>
      </c>
      <c r="AR58" s="29"/>
      <c r="AS58" s="29"/>
      <c r="AT58" s="29"/>
      <c r="AU58" s="29"/>
      <c r="AV58" s="29"/>
      <c r="AW58" s="29"/>
      <c r="AX58" s="29"/>
      <c r="AY58" s="29"/>
      <c r="AZ58" s="29"/>
      <c r="BA58" s="140">
        <f t="shared" si="23"/>
        <v>4.0261246326811481E-15</v>
      </c>
      <c r="BB58" s="117">
        <f t="shared" si="2"/>
        <v>200</v>
      </c>
      <c r="BC58" s="117">
        <f t="shared" si="24"/>
        <v>535</v>
      </c>
      <c r="BD58" s="117">
        <f t="shared" si="25"/>
        <v>9.0557491244389894</v>
      </c>
      <c r="BE58" s="117">
        <f t="shared" si="26"/>
        <v>315.88474132285529</v>
      </c>
      <c r="BF58" s="110">
        <f t="shared" si="27"/>
        <v>2.8667890340367562E-2</v>
      </c>
      <c r="BG58" s="4">
        <f t="shared" si="6"/>
        <v>2</v>
      </c>
      <c r="BH58" s="111">
        <f t="shared" si="38"/>
        <v>0</v>
      </c>
      <c r="BI58" s="112">
        <f t="shared" si="28"/>
        <v>0</v>
      </c>
      <c r="BJ58" s="112">
        <f t="shared" si="29"/>
        <v>57.1</v>
      </c>
      <c r="BK58" s="110">
        <f t="shared" si="30"/>
        <v>0.16175637393767706</v>
      </c>
      <c r="BL58" s="113" t="str">
        <f t="shared" si="31"/>
        <v>OK</v>
      </c>
      <c r="BM58" s="114">
        <f t="shared" si="32"/>
        <v>0.51981661223396769</v>
      </c>
      <c r="BN58" s="114">
        <f t="shared" si="33"/>
        <v>0.51981661223393016</v>
      </c>
      <c r="BO58" s="110">
        <f t="shared" si="34"/>
        <v>4.7799228711169442E-2</v>
      </c>
      <c r="BP58" s="113" t="str">
        <f t="shared" si="35"/>
        <v>OK</v>
      </c>
      <c r="BQ58" s="10">
        <f t="shared" si="12"/>
        <v>304.99199999999996</v>
      </c>
      <c r="BR58" s="110">
        <f t="shared" si="36"/>
        <v>3.056182606385276E-2</v>
      </c>
      <c r="BS58" s="113" t="str">
        <f t="shared" si="37"/>
        <v>OK</v>
      </c>
      <c r="DE58" s="4"/>
      <c r="DF58" s="4"/>
      <c r="DG58" s="4"/>
      <c r="DH58" s="4"/>
      <c r="DI58" s="13"/>
      <c r="DJ58" s="13"/>
      <c r="DK58" s="13"/>
      <c r="DL58" s="13"/>
      <c r="DM58" s="13"/>
      <c r="DR58" s="29"/>
      <c r="DS58" s="29"/>
      <c r="DT58" s="29"/>
      <c r="DU58" s="29"/>
      <c r="DV58" s="29"/>
      <c r="DW58" s="29"/>
      <c r="DX58" s="29"/>
      <c r="DY58" s="29"/>
      <c r="DZ58" s="29"/>
      <c r="EA58" s="140"/>
      <c r="EB58" s="117"/>
      <c r="EC58" s="117"/>
      <c r="ED58" s="117"/>
      <c r="EE58" s="117"/>
      <c r="EF58" s="110"/>
      <c r="EG58" s="4"/>
      <c r="EH58" s="111"/>
      <c r="EI58" s="112"/>
      <c r="EJ58" s="112"/>
      <c r="EK58" s="110"/>
      <c r="EL58" s="113"/>
      <c r="EM58" s="114"/>
      <c r="EN58" s="114"/>
      <c r="EO58" s="110"/>
      <c r="EP58" s="113"/>
      <c r="EQ58" s="10"/>
      <c r="ER58" s="110"/>
      <c r="ES58" s="113"/>
    </row>
    <row r="59" spans="13:149" ht="12.75" customHeight="1">
      <c r="M59" s="7"/>
      <c r="N59" s="141"/>
      <c r="O59" s="222" t="s">
        <v>331</v>
      </c>
      <c r="P59" s="222"/>
      <c r="Q59" s="13">
        <v>1</v>
      </c>
      <c r="R59" s="13">
        <f>W41</f>
        <v>6</v>
      </c>
      <c r="S59" s="13">
        <f>IF(Q59=0,0,(W47-W39)/2)</f>
        <v>110</v>
      </c>
      <c r="T59" s="28">
        <v>200</v>
      </c>
      <c r="U59" s="28">
        <v>6</v>
      </c>
      <c r="V59" s="33"/>
      <c r="W59" s="32"/>
      <c r="X59" s="23"/>
      <c r="AA59" s="67" t="s">
        <v>211</v>
      </c>
      <c r="AB59" s="28" t="s">
        <v>389</v>
      </c>
      <c r="AC59" s="28" t="s">
        <v>347</v>
      </c>
      <c r="AD59" s="68">
        <v>20.399999999999999</v>
      </c>
      <c r="AE59" s="4">
        <f t="shared" si="14"/>
        <v>450</v>
      </c>
      <c r="AF59" s="4">
        <f t="shared" si="15"/>
        <v>200</v>
      </c>
      <c r="AG59" s="4">
        <f t="shared" si="16"/>
        <v>6</v>
      </c>
      <c r="AH59" s="4">
        <f t="shared" si="17"/>
        <v>12</v>
      </c>
      <c r="AI59" s="13">
        <f t="shared" si="18"/>
        <v>670</v>
      </c>
      <c r="AJ59" s="13">
        <f t="shared" si="19"/>
        <v>250</v>
      </c>
      <c r="AK59" s="13">
        <f t="shared" si="20"/>
        <v>20</v>
      </c>
      <c r="AL59" s="13" t="str">
        <f t="shared" si="21"/>
        <v>670x250x20</v>
      </c>
      <c r="AM59" s="13" t="str">
        <f t="shared" si="22"/>
        <v>6M24</v>
      </c>
      <c r="AN59" s="67" t="s">
        <v>431</v>
      </c>
      <c r="AO59" s="69">
        <v>-88.756804701716163</v>
      </c>
      <c r="AP59" s="69">
        <v>7.8086838177666777</v>
      </c>
      <c r="AQ59" s="29">
        <v>3.4377927963523294E-14</v>
      </c>
      <c r="AR59" s="29"/>
      <c r="AS59" s="29"/>
      <c r="AT59" s="29"/>
      <c r="AU59" s="29"/>
      <c r="AV59" s="29"/>
      <c r="AW59" s="29"/>
      <c r="AX59" s="29"/>
      <c r="AY59" s="29"/>
      <c r="AZ59" s="29"/>
      <c r="BA59" s="140">
        <f t="shared" si="23"/>
        <v>3.8732723737697352E-16</v>
      </c>
      <c r="BB59" s="117">
        <f t="shared" si="2"/>
        <v>200</v>
      </c>
      <c r="BC59" s="117">
        <f t="shared" si="24"/>
        <v>535</v>
      </c>
      <c r="BD59" s="117">
        <f t="shared" si="25"/>
        <v>9.2328027652481524</v>
      </c>
      <c r="BE59" s="117">
        <f t="shared" si="26"/>
        <v>315.88474132285529</v>
      </c>
      <c r="BF59" s="110">
        <f t="shared" si="27"/>
        <v>2.9228391110577928E-2</v>
      </c>
      <c r="BG59" s="4">
        <f t="shared" si="6"/>
        <v>2</v>
      </c>
      <c r="BH59" s="111">
        <f t="shared" si="38"/>
        <v>0</v>
      </c>
      <c r="BI59" s="112">
        <f t="shared" si="28"/>
        <v>0</v>
      </c>
      <c r="BJ59" s="112">
        <f t="shared" si="29"/>
        <v>57.1</v>
      </c>
      <c r="BK59" s="110">
        <f t="shared" si="30"/>
        <v>0.16175637393767706</v>
      </c>
      <c r="BL59" s="113" t="str">
        <f t="shared" si="31"/>
        <v>OK</v>
      </c>
      <c r="BM59" s="114">
        <f t="shared" si="32"/>
        <v>0.52989137135353115</v>
      </c>
      <c r="BN59" s="114">
        <f t="shared" si="33"/>
        <v>0.52989137135352737</v>
      </c>
      <c r="BO59" s="110">
        <f t="shared" si="34"/>
        <v>4.8725643342853439E-2</v>
      </c>
      <c r="BP59" s="113" t="str">
        <f t="shared" si="35"/>
        <v>OK</v>
      </c>
      <c r="BQ59" s="10">
        <f t="shared" si="12"/>
        <v>304.99199999999996</v>
      </c>
      <c r="BR59" s="110">
        <f t="shared" si="36"/>
        <v>2.5602913577296056E-2</v>
      </c>
      <c r="BS59" s="113" t="str">
        <f t="shared" si="37"/>
        <v>OK</v>
      </c>
      <c r="DE59" s="4"/>
      <c r="DF59" s="4"/>
      <c r="DG59" s="4"/>
      <c r="DH59" s="4"/>
      <c r="DI59" s="13"/>
      <c r="DJ59" s="13"/>
      <c r="DK59" s="13"/>
      <c r="DL59" s="13"/>
      <c r="DM59" s="13"/>
      <c r="DR59" s="29"/>
      <c r="DS59" s="29"/>
      <c r="DT59" s="29"/>
      <c r="DU59" s="29"/>
      <c r="DV59" s="29"/>
      <c r="DW59" s="29"/>
      <c r="DX59" s="29"/>
      <c r="DY59" s="29"/>
      <c r="DZ59" s="29"/>
      <c r="EA59" s="140"/>
      <c r="EB59" s="117"/>
      <c r="EC59" s="117"/>
      <c r="ED59" s="117"/>
      <c r="EE59" s="117"/>
      <c r="EF59" s="110"/>
      <c r="EG59" s="4"/>
      <c r="EH59" s="111"/>
      <c r="EI59" s="112"/>
      <c r="EJ59" s="112"/>
      <c r="EK59" s="110"/>
      <c r="EL59" s="113"/>
      <c r="EM59" s="114"/>
      <c r="EN59" s="114"/>
      <c r="EO59" s="110"/>
      <c r="EP59" s="113"/>
      <c r="EQ59" s="10"/>
      <c r="ER59" s="110"/>
      <c r="ES59" s="113"/>
    </row>
    <row r="60" spans="13:149" ht="12.75" customHeight="1">
      <c r="M60" s="6" t="s">
        <v>61</v>
      </c>
      <c r="N60" s="141"/>
      <c r="O60" s="141"/>
      <c r="P60" s="141"/>
      <c r="Q60" s="141"/>
      <c r="R60" s="141"/>
      <c r="S60" s="142"/>
      <c r="T60" s="143"/>
      <c r="U60" s="141"/>
      <c r="V60" s="2"/>
      <c r="W60" s="2"/>
      <c r="X60" s="5"/>
      <c r="AA60" s="67" t="s">
        <v>211</v>
      </c>
      <c r="AB60" s="28" t="s">
        <v>389</v>
      </c>
      <c r="AC60" s="28" t="s">
        <v>347</v>
      </c>
      <c r="AD60" s="68">
        <v>20.399999999999999</v>
      </c>
      <c r="AE60" s="4">
        <f t="shared" si="14"/>
        <v>450</v>
      </c>
      <c r="AF60" s="4">
        <f t="shared" si="15"/>
        <v>200</v>
      </c>
      <c r="AG60" s="4">
        <f t="shared" si="16"/>
        <v>6</v>
      </c>
      <c r="AH60" s="4">
        <f t="shared" si="17"/>
        <v>12</v>
      </c>
      <c r="AI60" s="13">
        <f t="shared" si="18"/>
        <v>670</v>
      </c>
      <c r="AJ60" s="13">
        <f t="shared" si="19"/>
        <v>250</v>
      </c>
      <c r="AK60" s="13">
        <f t="shared" si="20"/>
        <v>20</v>
      </c>
      <c r="AL60" s="13" t="str">
        <f t="shared" si="21"/>
        <v>670x250x20</v>
      </c>
      <c r="AM60" s="13" t="str">
        <f t="shared" si="22"/>
        <v>6M24</v>
      </c>
      <c r="AN60" s="67" t="s">
        <v>432</v>
      </c>
      <c r="AO60" s="69">
        <v>-140.57086425524355</v>
      </c>
      <c r="AP60" s="69">
        <v>4.8057397209759074</v>
      </c>
      <c r="AQ60" s="29">
        <v>5.2304101986032815E-14</v>
      </c>
      <c r="AR60" s="29"/>
      <c r="AS60" s="29"/>
      <c r="AT60" s="29"/>
      <c r="AU60" s="29"/>
      <c r="AV60" s="29"/>
      <c r="AW60" s="29"/>
      <c r="AX60" s="29"/>
      <c r="AY60" s="29"/>
      <c r="AZ60" s="29"/>
      <c r="BA60" s="140">
        <f t="shared" si="23"/>
        <v>3.7208352003200959E-16</v>
      </c>
      <c r="BB60" s="117">
        <f t="shared" si="2"/>
        <v>200</v>
      </c>
      <c r="BC60" s="117">
        <f t="shared" si="24"/>
        <v>535</v>
      </c>
      <c r="BD60" s="117">
        <f t="shared" si="25"/>
        <v>14.698421855063884</v>
      </c>
      <c r="BE60" s="117">
        <f t="shared" si="26"/>
        <v>315.88474132285529</v>
      </c>
      <c r="BF60" s="110">
        <f t="shared" si="27"/>
        <v>4.6530965039685519E-2</v>
      </c>
      <c r="BG60" s="4">
        <f t="shared" si="6"/>
        <v>2</v>
      </c>
      <c r="BH60" s="111">
        <f t="shared" si="38"/>
        <v>0</v>
      </c>
      <c r="BI60" s="112">
        <f t="shared" si="28"/>
        <v>0</v>
      </c>
      <c r="BJ60" s="112">
        <f t="shared" si="29"/>
        <v>57.1</v>
      </c>
      <c r="BK60" s="110">
        <f t="shared" si="30"/>
        <v>0.16175637393767706</v>
      </c>
      <c r="BL60" s="113" t="str">
        <f t="shared" si="31"/>
        <v>OK</v>
      </c>
      <c r="BM60" s="114">
        <f t="shared" si="32"/>
        <v>0.83922904032981505</v>
      </c>
      <c r="BN60" s="114">
        <f t="shared" si="33"/>
        <v>0.83922904032980949</v>
      </c>
      <c r="BO60" s="110">
        <f t="shared" si="34"/>
        <v>7.7170486467109431E-2</v>
      </c>
      <c r="BP60" s="113" t="str">
        <f t="shared" si="35"/>
        <v>OK</v>
      </c>
      <c r="BQ60" s="10">
        <f t="shared" si="12"/>
        <v>304.99199999999996</v>
      </c>
      <c r="BR60" s="110">
        <f t="shared" si="36"/>
        <v>1.575693697203831E-2</v>
      </c>
      <c r="BS60" s="113" t="str">
        <f t="shared" si="37"/>
        <v>OK</v>
      </c>
      <c r="DE60" s="4"/>
      <c r="DF60" s="4"/>
      <c r="DG60" s="4"/>
      <c r="DH60" s="4"/>
      <c r="DI60" s="13"/>
      <c r="DJ60" s="13"/>
      <c r="DK60" s="13"/>
      <c r="DL60" s="13"/>
      <c r="DM60" s="13"/>
      <c r="DR60" s="29"/>
      <c r="DS60" s="29"/>
      <c r="DT60" s="29"/>
      <c r="DU60" s="29"/>
      <c r="DV60" s="29"/>
      <c r="DW60" s="29"/>
      <c r="DX60" s="29"/>
      <c r="DY60" s="29"/>
      <c r="DZ60" s="29"/>
      <c r="EA60" s="140"/>
      <c r="EB60" s="117"/>
      <c r="EC60" s="117"/>
      <c r="ED60" s="117"/>
      <c r="EE60" s="117"/>
      <c r="EF60" s="110"/>
      <c r="EG60" s="4"/>
      <c r="EH60" s="111"/>
      <c r="EI60" s="112"/>
      <c r="EJ60" s="112"/>
      <c r="EK60" s="110"/>
      <c r="EL60" s="113"/>
      <c r="EM60" s="114"/>
      <c r="EN60" s="114"/>
      <c r="EO60" s="110"/>
      <c r="EP60" s="113"/>
      <c r="EQ60" s="10"/>
      <c r="ER60" s="110"/>
      <c r="ES60" s="113"/>
    </row>
    <row r="61" spans="13:149" ht="12.75" customHeight="1">
      <c r="M61" s="6"/>
      <c r="N61" s="141" t="str">
        <f>"- Loại tải trọng:"</f>
        <v>- Loại tải trọng:</v>
      </c>
      <c r="O61" s="141"/>
      <c r="P61" s="141"/>
      <c r="Q61" s="144"/>
      <c r="R61" s="141"/>
      <c r="S61" s="2"/>
      <c r="T61" s="2"/>
      <c r="U61" s="144" t="s">
        <v>76</v>
      </c>
      <c r="V61" s="33" t="s">
        <v>80</v>
      </c>
      <c r="W61" s="36">
        <f>VLOOKUP(U61,Data!$DF$2:$DG$5,2,FALSE)</f>
        <v>1.05</v>
      </c>
      <c r="X61" s="23"/>
      <c r="AA61" s="67" t="s">
        <v>211</v>
      </c>
      <c r="AB61" s="28" t="s">
        <v>389</v>
      </c>
      <c r="AC61" s="28" t="s">
        <v>347</v>
      </c>
      <c r="AD61" s="68">
        <v>20.399999999999999</v>
      </c>
      <c r="AE61" s="4">
        <f t="shared" si="14"/>
        <v>450</v>
      </c>
      <c r="AF61" s="4">
        <f t="shared" si="15"/>
        <v>200</v>
      </c>
      <c r="AG61" s="4">
        <f t="shared" si="16"/>
        <v>6</v>
      </c>
      <c r="AH61" s="4">
        <f t="shared" si="17"/>
        <v>12</v>
      </c>
      <c r="AI61" s="13">
        <f t="shared" si="18"/>
        <v>670</v>
      </c>
      <c r="AJ61" s="13">
        <f t="shared" si="19"/>
        <v>250</v>
      </c>
      <c r="AK61" s="13">
        <f t="shared" si="20"/>
        <v>20</v>
      </c>
      <c r="AL61" s="13" t="str">
        <f t="shared" si="21"/>
        <v>670x250x20</v>
      </c>
      <c r="AM61" s="13" t="str">
        <f t="shared" si="22"/>
        <v>6M24</v>
      </c>
      <c r="AN61" s="67" t="s">
        <v>433</v>
      </c>
      <c r="AO61" s="69">
        <v>-142.28473752950728</v>
      </c>
      <c r="AP61" s="69">
        <v>12.165587503233837</v>
      </c>
      <c r="AQ61" s="29">
        <v>7.1030742176498928E-13</v>
      </c>
      <c r="AR61" s="29"/>
      <c r="AS61" s="29"/>
      <c r="AT61" s="29"/>
      <c r="AU61" s="29"/>
      <c r="AV61" s="29"/>
      <c r="AW61" s="29"/>
      <c r="AX61" s="29"/>
      <c r="AY61" s="29"/>
      <c r="AZ61" s="29"/>
      <c r="BA61" s="140">
        <f t="shared" si="23"/>
        <v>4.9921547039975696E-15</v>
      </c>
      <c r="BB61" s="117">
        <f t="shared" si="2"/>
        <v>200</v>
      </c>
      <c r="BC61" s="117">
        <f t="shared" si="24"/>
        <v>535</v>
      </c>
      <c r="BD61" s="117">
        <f t="shared" si="25"/>
        <v>14.880191523955318</v>
      </c>
      <c r="BE61" s="117">
        <f t="shared" si="26"/>
        <v>315.88474132285529</v>
      </c>
      <c r="BF61" s="110">
        <f t="shared" si="27"/>
        <v>4.7106395394853118E-2</v>
      </c>
      <c r="BG61" s="4">
        <f t="shared" si="6"/>
        <v>2</v>
      </c>
      <c r="BH61" s="111">
        <f t="shared" si="38"/>
        <v>0</v>
      </c>
      <c r="BI61" s="112">
        <f t="shared" si="28"/>
        <v>0</v>
      </c>
      <c r="BJ61" s="112">
        <f t="shared" si="29"/>
        <v>57.1</v>
      </c>
      <c r="BK61" s="110">
        <f t="shared" si="30"/>
        <v>0.16175637393767706</v>
      </c>
      <c r="BL61" s="113" t="str">
        <f t="shared" si="31"/>
        <v>OK</v>
      </c>
      <c r="BM61" s="114">
        <f t="shared" si="32"/>
        <v>0.84946111957918591</v>
      </c>
      <c r="BN61" s="114">
        <f t="shared" si="33"/>
        <v>0.84946111957910997</v>
      </c>
      <c r="BO61" s="110">
        <f t="shared" si="34"/>
        <v>7.8111367317626287E-2</v>
      </c>
      <c r="BP61" s="113" t="str">
        <f t="shared" si="35"/>
        <v>OK</v>
      </c>
      <c r="BQ61" s="10">
        <f t="shared" si="12"/>
        <v>304.99199999999996</v>
      </c>
      <c r="BR61" s="110">
        <f t="shared" si="36"/>
        <v>3.988821839010151E-2</v>
      </c>
      <c r="BS61" s="113" t="str">
        <f t="shared" si="37"/>
        <v>OK</v>
      </c>
      <c r="DE61" s="4"/>
      <c r="DF61" s="4"/>
      <c r="DG61" s="4"/>
      <c r="DH61" s="4"/>
      <c r="DI61" s="13"/>
      <c r="DJ61" s="13"/>
      <c r="DK61" s="13"/>
      <c r="DL61" s="13"/>
      <c r="DM61" s="13"/>
      <c r="DR61" s="29"/>
      <c r="DS61" s="29"/>
      <c r="DT61" s="29"/>
      <c r="DU61" s="29"/>
      <c r="DV61" s="29"/>
      <c r="DW61" s="29"/>
      <c r="DX61" s="29"/>
      <c r="DY61" s="29"/>
      <c r="DZ61" s="29"/>
      <c r="EA61" s="140"/>
      <c r="EB61" s="117"/>
      <c r="EC61" s="117"/>
      <c r="ED61" s="117"/>
      <c r="EE61" s="117"/>
      <c r="EF61" s="110"/>
      <c r="EG61" s="4"/>
      <c r="EH61" s="111"/>
      <c r="EI61" s="112"/>
      <c r="EJ61" s="112"/>
      <c r="EK61" s="110"/>
      <c r="EL61" s="113"/>
      <c r="EM61" s="114"/>
      <c r="EN61" s="114"/>
      <c r="EO61" s="110"/>
      <c r="EP61" s="113"/>
      <c r="EQ61" s="10"/>
      <c r="ER61" s="110"/>
      <c r="ES61" s="113"/>
    </row>
    <row r="62" spans="13:149" ht="15" customHeight="1">
      <c r="M62" s="6"/>
      <c r="N62" s="141"/>
      <c r="O62" s="248" t="s">
        <v>135</v>
      </c>
      <c r="P62" s="249"/>
      <c r="Q62" s="181" t="s">
        <v>136</v>
      </c>
      <c r="R62" s="252" t="s">
        <v>137</v>
      </c>
      <c r="S62" s="252"/>
      <c r="T62" s="182" t="s">
        <v>138</v>
      </c>
      <c r="U62" s="182" t="s">
        <v>141</v>
      </c>
      <c r="V62" s="182" t="s">
        <v>170</v>
      </c>
      <c r="W62" s="2"/>
      <c r="X62" s="30"/>
      <c r="AA62" s="67" t="s">
        <v>211</v>
      </c>
      <c r="AB62" s="28" t="s">
        <v>389</v>
      </c>
      <c r="AC62" s="28" t="s">
        <v>347</v>
      </c>
      <c r="AD62" s="68">
        <v>20.399999999999999</v>
      </c>
      <c r="AE62" s="4">
        <f t="shared" si="14"/>
        <v>450</v>
      </c>
      <c r="AF62" s="4">
        <f t="shared" si="15"/>
        <v>200</v>
      </c>
      <c r="AG62" s="4">
        <f t="shared" si="16"/>
        <v>6</v>
      </c>
      <c r="AH62" s="4">
        <f t="shared" si="17"/>
        <v>12</v>
      </c>
      <c r="AI62" s="13">
        <f t="shared" si="18"/>
        <v>670</v>
      </c>
      <c r="AJ62" s="13">
        <f t="shared" si="19"/>
        <v>250</v>
      </c>
      <c r="AK62" s="13">
        <f t="shared" si="20"/>
        <v>20</v>
      </c>
      <c r="AL62" s="13" t="str">
        <f t="shared" si="21"/>
        <v>670x250x20</v>
      </c>
      <c r="AM62" s="13" t="str">
        <f t="shared" si="22"/>
        <v>6M24</v>
      </c>
      <c r="AN62" s="67" t="s">
        <v>434</v>
      </c>
      <c r="AO62" s="69">
        <v>-100.58137288416611</v>
      </c>
      <c r="AP62" s="69">
        <v>1.2476069635228872</v>
      </c>
      <c r="AQ62" s="29">
        <v>8.4182196933237177E-15</v>
      </c>
      <c r="AR62" s="29"/>
      <c r="AS62" s="29"/>
      <c r="AT62" s="29"/>
      <c r="AU62" s="29"/>
      <c r="AV62" s="29"/>
      <c r="AW62" s="29"/>
      <c r="AX62" s="29"/>
      <c r="AY62" s="29"/>
      <c r="AZ62" s="29"/>
      <c r="BA62" s="140">
        <f t="shared" si="23"/>
        <v>8.3695613332087905E-17</v>
      </c>
      <c r="BB62" s="117">
        <f t="shared" si="2"/>
        <v>200</v>
      </c>
      <c r="BC62" s="117">
        <f t="shared" si="24"/>
        <v>535</v>
      </c>
      <c r="BD62" s="117">
        <f t="shared" si="25"/>
        <v>10.475104736950811</v>
      </c>
      <c r="BE62" s="117">
        <f t="shared" si="26"/>
        <v>315.88474132285529</v>
      </c>
      <c r="BF62" s="110">
        <f t="shared" si="27"/>
        <v>3.3161160912943737E-2</v>
      </c>
      <c r="BG62" s="4">
        <f t="shared" si="6"/>
        <v>2</v>
      </c>
      <c r="BH62" s="111">
        <f t="shared" si="38"/>
        <v>0</v>
      </c>
      <c r="BI62" s="112">
        <f t="shared" si="28"/>
        <v>0</v>
      </c>
      <c r="BJ62" s="112">
        <f t="shared" si="29"/>
        <v>57.1</v>
      </c>
      <c r="BK62" s="110">
        <f t="shared" si="30"/>
        <v>0.16175637393767706</v>
      </c>
      <c r="BL62" s="113" t="str">
        <f t="shared" si="31"/>
        <v>OK</v>
      </c>
      <c r="BM62" s="114">
        <f t="shared" si="32"/>
        <v>0.60048580826367881</v>
      </c>
      <c r="BN62" s="114">
        <f t="shared" si="33"/>
        <v>0.60048580826367792</v>
      </c>
      <c r="BO62" s="110">
        <f t="shared" si="34"/>
        <v>5.5217085817349777E-2</v>
      </c>
      <c r="BP62" s="113" t="str">
        <f t="shared" si="35"/>
        <v>OK</v>
      </c>
      <c r="BQ62" s="10">
        <f t="shared" si="12"/>
        <v>304.99199999999996</v>
      </c>
      <c r="BR62" s="110">
        <f t="shared" si="36"/>
        <v>4.0906219295026996E-3</v>
      </c>
      <c r="BS62" s="113" t="str">
        <f t="shared" si="37"/>
        <v>OK</v>
      </c>
      <c r="DE62" s="4"/>
      <c r="DF62" s="4"/>
      <c r="DG62" s="4"/>
      <c r="DH62" s="4"/>
      <c r="DI62" s="13"/>
      <c r="DJ62" s="13"/>
      <c r="DK62" s="13"/>
      <c r="DL62" s="13"/>
      <c r="DM62" s="13"/>
      <c r="DR62" s="29"/>
      <c r="DS62" s="29"/>
      <c r="DT62" s="29"/>
      <c r="DU62" s="29"/>
      <c r="DV62" s="29"/>
      <c r="DW62" s="29"/>
      <c r="DX62" s="29"/>
      <c r="DY62" s="29"/>
      <c r="DZ62" s="29"/>
      <c r="EA62" s="140"/>
      <c r="EB62" s="117"/>
      <c r="EC62" s="117"/>
      <c r="ED62" s="117"/>
      <c r="EE62" s="117"/>
      <c r="EF62" s="110"/>
      <c r="EG62" s="4"/>
      <c r="EH62" s="111"/>
      <c r="EI62" s="112"/>
      <c r="EJ62" s="112"/>
      <c r="EK62" s="110"/>
      <c r="EL62" s="113"/>
      <c r="EM62" s="114"/>
      <c r="EN62" s="114"/>
      <c r="EO62" s="110"/>
      <c r="EP62" s="113"/>
      <c r="EQ62" s="10"/>
      <c r="ER62" s="110"/>
      <c r="ES62" s="113"/>
    </row>
    <row r="63" spans="13:149">
      <c r="M63" s="7"/>
      <c r="N63" s="2"/>
      <c r="O63" s="208" t="s">
        <v>380</v>
      </c>
      <c r="P63" s="208" t="s">
        <v>394</v>
      </c>
      <c r="Q63" s="183" t="s">
        <v>139</v>
      </c>
      <c r="R63" s="252"/>
      <c r="S63" s="252"/>
      <c r="T63" s="182" t="s">
        <v>140</v>
      </c>
      <c r="U63" s="182" t="s">
        <v>140</v>
      </c>
      <c r="V63" s="182" t="s">
        <v>171</v>
      </c>
      <c r="W63" s="2"/>
      <c r="X63" s="30"/>
      <c r="AA63" s="67" t="s">
        <v>211</v>
      </c>
      <c r="AB63" s="28" t="s">
        <v>390</v>
      </c>
      <c r="AC63" s="28" t="s">
        <v>347</v>
      </c>
      <c r="AD63" s="68">
        <v>20.399999999999999</v>
      </c>
      <c r="AE63" s="4">
        <f t="shared" si="14"/>
        <v>450</v>
      </c>
      <c r="AF63" s="4">
        <f t="shared" si="15"/>
        <v>200</v>
      </c>
      <c r="AG63" s="4">
        <f t="shared" si="16"/>
        <v>6</v>
      </c>
      <c r="AH63" s="4">
        <f t="shared" si="17"/>
        <v>12</v>
      </c>
      <c r="AI63" s="13">
        <f t="shared" si="18"/>
        <v>670</v>
      </c>
      <c r="AJ63" s="13">
        <f t="shared" si="19"/>
        <v>250</v>
      </c>
      <c r="AK63" s="13">
        <f t="shared" si="20"/>
        <v>20</v>
      </c>
      <c r="AL63" s="13" t="str">
        <f t="shared" si="21"/>
        <v>670x250x20</v>
      </c>
      <c r="AM63" s="13" t="str">
        <f t="shared" si="22"/>
        <v>6M24</v>
      </c>
      <c r="AN63" s="67" t="s">
        <v>435</v>
      </c>
      <c r="AO63" s="69">
        <v>-58.268951426505488</v>
      </c>
      <c r="AP63" s="69">
        <v>0.78826708978232918</v>
      </c>
      <c r="AQ63" s="29">
        <v>7.3265406005066917E-15</v>
      </c>
      <c r="AR63" s="29"/>
      <c r="AS63" s="29"/>
      <c r="AT63" s="29"/>
      <c r="AU63" s="29"/>
      <c r="AV63" s="29"/>
      <c r="AW63" s="29"/>
      <c r="AX63" s="29"/>
      <c r="AY63" s="29"/>
      <c r="AZ63" s="29"/>
      <c r="BA63" s="140">
        <f t="shared" si="23"/>
        <v>1.257366130871197E-16</v>
      </c>
      <c r="BB63" s="117">
        <f t="shared" si="2"/>
        <v>200</v>
      </c>
      <c r="BC63" s="117">
        <f t="shared" si="24"/>
        <v>535</v>
      </c>
      <c r="BD63" s="117">
        <f t="shared" si="25"/>
        <v>6.04317510668875</v>
      </c>
      <c r="BE63" s="117">
        <f t="shared" si="26"/>
        <v>315.88474132285529</v>
      </c>
      <c r="BF63" s="110">
        <f t="shared" si="27"/>
        <v>1.9130949729896013E-2</v>
      </c>
      <c r="BG63" s="4">
        <f t="shared" si="6"/>
        <v>2</v>
      </c>
      <c r="BH63" s="111">
        <f t="shared" si="38"/>
        <v>0</v>
      </c>
      <c r="BI63" s="112">
        <f t="shared" si="28"/>
        <v>0</v>
      </c>
      <c r="BJ63" s="112">
        <f t="shared" si="29"/>
        <v>57.1</v>
      </c>
      <c r="BK63" s="110">
        <f t="shared" si="30"/>
        <v>0.16175637393767706</v>
      </c>
      <c r="BL63" s="113" t="str">
        <f t="shared" si="31"/>
        <v>OK</v>
      </c>
      <c r="BM63" s="114">
        <f t="shared" si="32"/>
        <v>0.34787433687466002</v>
      </c>
      <c r="BN63" s="114">
        <f t="shared" si="33"/>
        <v>0.34787433687465924</v>
      </c>
      <c r="BO63" s="110">
        <f t="shared" si="34"/>
        <v>3.1988444770083682E-2</v>
      </c>
      <c r="BP63" s="113" t="str">
        <f t="shared" si="35"/>
        <v>OK</v>
      </c>
      <c r="BQ63" s="10">
        <f t="shared" si="12"/>
        <v>304.99199999999996</v>
      </c>
      <c r="BR63" s="110">
        <f t="shared" si="36"/>
        <v>2.584550053058209E-3</v>
      </c>
      <c r="BS63" s="113" t="str">
        <f t="shared" si="37"/>
        <v>OK</v>
      </c>
      <c r="DE63" s="4"/>
      <c r="DF63" s="4"/>
      <c r="DG63" s="4"/>
      <c r="DH63" s="4"/>
      <c r="DI63" s="13"/>
      <c r="DJ63" s="13"/>
      <c r="DK63" s="13"/>
      <c r="DL63" s="13"/>
      <c r="DM63" s="13"/>
      <c r="DR63" s="29"/>
      <c r="DS63" s="29"/>
      <c r="DT63" s="29"/>
      <c r="DU63" s="29"/>
      <c r="DV63" s="29"/>
      <c r="DW63" s="29"/>
      <c r="DX63" s="29"/>
      <c r="DY63" s="29"/>
      <c r="DZ63" s="29"/>
      <c r="EA63" s="140"/>
      <c r="EB63" s="117"/>
      <c r="EC63" s="117"/>
      <c r="ED63" s="117"/>
      <c r="EE63" s="117"/>
      <c r="EF63" s="110"/>
      <c r="EG63" s="4"/>
      <c r="EH63" s="111"/>
      <c r="EI63" s="112"/>
      <c r="EJ63" s="112"/>
      <c r="EK63" s="110"/>
      <c r="EL63" s="113"/>
      <c r="EM63" s="114"/>
      <c r="EN63" s="114"/>
      <c r="EO63" s="110"/>
      <c r="EP63" s="113"/>
      <c r="EQ63" s="10"/>
      <c r="ER63" s="110"/>
      <c r="ES63" s="113"/>
    </row>
    <row r="64" spans="13:149" ht="15" customHeight="1">
      <c r="M64" s="7"/>
      <c r="N64" s="2"/>
      <c r="O64" s="28">
        <v>2479</v>
      </c>
      <c r="P64" s="28" t="s">
        <v>347</v>
      </c>
      <c r="Q64" s="29">
        <v>20.399999999999999</v>
      </c>
      <c r="R64" s="247" t="s">
        <v>395</v>
      </c>
      <c r="S64" s="247"/>
      <c r="T64" s="29">
        <v>215.16457600257306</v>
      </c>
      <c r="U64" s="29">
        <v>19.427564353207799</v>
      </c>
      <c r="V64" s="29">
        <v>7.9093700214626807E-13</v>
      </c>
      <c r="W64" s="2"/>
      <c r="X64" s="37"/>
      <c r="AA64" s="67" t="s">
        <v>211</v>
      </c>
      <c r="AB64" s="28" t="s">
        <v>390</v>
      </c>
      <c r="AC64" s="28" t="s">
        <v>347</v>
      </c>
      <c r="AD64" s="68">
        <v>20.399999999999999</v>
      </c>
      <c r="AE64" s="4">
        <f t="shared" si="14"/>
        <v>450</v>
      </c>
      <c r="AF64" s="4">
        <f t="shared" si="15"/>
        <v>200</v>
      </c>
      <c r="AG64" s="4">
        <f t="shared" si="16"/>
        <v>6</v>
      </c>
      <c r="AH64" s="4">
        <f t="shared" si="17"/>
        <v>12</v>
      </c>
      <c r="AI64" s="13">
        <f t="shared" si="18"/>
        <v>670</v>
      </c>
      <c r="AJ64" s="13">
        <f t="shared" si="19"/>
        <v>250</v>
      </c>
      <c r="AK64" s="13">
        <f t="shared" si="20"/>
        <v>20</v>
      </c>
      <c r="AL64" s="13" t="str">
        <f t="shared" si="21"/>
        <v>670x250x20</v>
      </c>
      <c r="AM64" s="13" t="str">
        <f t="shared" si="22"/>
        <v>6M24</v>
      </c>
      <c r="AN64" s="67" t="s">
        <v>436</v>
      </c>
      <c r="AO64" s="69">
        <v>172.97014436463681</v>
      </c>
      <c r="AP64" s="69">
        <v>11.072617194345867</v>
      </c>
      <c r="AQ64" s="29">
        <v>4.2500775122440738E-13</v>
      </c>
      <c r="AR64" s="29"/>
      <c r="AS64" s="29"/>
      <c r="AT64" s="29"/>
      <c r="AU64" s="29"/>
      <c r="AV64" s="29"/>
      <c r="AW64" s="29"/>
      <c r="AX64" s="29"/>
      <c r="AY64" s="29"/>
      <c r="AZ64" s="29"/>
      <c r="BA64" s="140">
        <f t="shared" si="23"/>
        <v>2.457116242722515E-15</v>
      </c>
      <c r="BB64" s="117">
        <f t="shared" si="2"/>
        <v>200</v>
      </c>
      <c r="BC64" s="117">
        <f t="shared" si="24"/>
        <v>535</v>
      </c>
      <c r="BD64" s="117">
        <f t="shared" si="25"/>
        <v>18.145437049722318</v>
      </c>
      <c r="BE64" s="117">
        <f t="shared" si="26"/>
        <v>315.88474132285529</v>
      </c>
      <c r="BF64" s="110">
        <f t="shared" si="27"/>
        <v>5.7443221137346644E-2</v>
      </c>
      <c r="BG64" s="4">
        <f t="shared" si="6"/>
        <v>2</v>
      </c>
      <c r="BH64" s="111">
        <f t="shared" si="38"/>
        <v>119.37367683494011</v>
      </c>
      <c r="BI64" s="112">
        <f t="shared" si="28"/>
        <v>522.25983615286304</v>
      </c>
      <c r="BJ64" s="112">
        <f t="shared" si="29"/>
        <v>522.25983615286304</v>
      </c>
      <c r="BK64" s="110">
        <f t="shared" si="30"/>
        <v>1.4794896208296404</v>
      </c>
      <c r="BL64" s="113" t="str">
        <f t="shared" si="31"/>
        <v>Check</v>
      </c>
      <c r="BM64" s="114">
        <f t="shared" si="32"/>
        <v>1.0326575782963618</v>
      </c>
      <c r="BN64" s="114">
        <f t="shared" si="33"/>
        <v>1.0326575782963165</v>
      </c>
      <c r="BO64" s="110">
        <f t="shared" si="34"/>
        <v>9.495701869391833E-2</v>
      </c>
      <c r="BP64" s="113" t="str">
        <f t="shared" si="35"/>
        <v>OK</v>
      </c>
      <c r="BQ64" s="10">
        <f t="shared" si="12"/>
        <v>304.99199999999996</v>
      </c>
      <c r="BR64" s="110">
        <f t="shared" si="36"/>
        <v>0.39139937058985197</v>
      </c>
      <c r="BS64" s="113" t="str">
        <f t="shared" si="37"/>
        <v>OK</v>
      </c>
      <c r="DE64" s="4"/>
      <c r="DF64" s="4"/>
      <c r="DG64" s="4"/>
      <c r="DH64" s="4"/>
      <c r="DI64" s="13"/>
      <c r="DJ64" s="13"/>
      <c r="DK64" s="13"/>
      <c r="DL64" s="13"/>
      <c r="DM64" s="13"/>
      <c r="DR64" s="29"/>
      <c r="DS64" s="29"/>
      <c r="DT64" s="29"/>
      <c r="DU64" s="29"/>
      <c r="DV64" s="29"/>
      <c r="DW64" s="29"/>
      <c r="DX64" s="29"/>
      <c r="DY64" s="29"/>
      <c r="DZ64" s="29"/>
      <c r="EA64" s="140"/>
      <c r="EB64" s="117"/>
      <c r="EC64" s="117"/>
      <c r="ED64" s="117"/>
      <c r="EE64" s="117"/>
      <c r="EF64" s="110"/>
      <c r="EG64" s="4"/>
      <c r="EH64" s="111"/>
      <c r="EI64" s="112"/>
      <c r="EJ64" s="112"/>
      <c r="EK64" s="110"/>
      <c r="EL64" s="113"/>
      <c r="EM64" s="114"/>
      <c r="EN64" s="114"/>
      <c r="EO64" s="110"/>
      <c r="EP64" s="113"/>
      <c r="EQ64" s="10"/>
      <c r="ER64" s="110"/>
      <c r="ES64" s="113"/>
    </row>
    <row r="65" spans="13:149" ht="15" customHeight="1">
      <c r="M65" s="7"/>
      <c r="N65" s="2"/>
      <c r="O65" s="2"/>
      <c r="P65" s="2"/>
      <c r="Q65" s="2"/>
      <c r="R65" s="2"/>
      <c r="S65" s="2"/>
      <c r="T65" s="2"/>
      <c r="U65" s="2"/>
      <c r="V65" s="2"/>
      <c r="W65" s="2"/>
      <c r="X65" s="37"/>
      <c r="AA65" s="67" t="s">
        <v>211</v>
      </c>
      <c r="AB65" s="28" t="s">
        <v>390</v>
      </c>
      <c r="AC65" s="28" t="s">
        <v>347</v>
      </c>
      <c r="AD65" s="68">
        <v>20.399999999999999</v>
      </c>
      <c r="AE65" s="4">
        <f t="shared" si="14"/>
        <v>450</v>
      </c>
      <c r="AF65" s="4">
        <f t="shared" si="15"/>
        <v>200</v>
      </c>
      <c r="AG65" s="4">
        <f t="shared" si="16"/>
        <v>6</v>
      </c>
      <c r="AH65" s="4">
        <f t="shared" si="17"/>
        <v>12</v>
      </c>
      <c r="AI65" s="13">
        <f t="shared" si="18"/>
        <v>670</v>
      </c>
      <c r="AJ65" s="13">
        <f t="shared" si="19"/>
        <v>250</v>
      </c>
      <c r="AK65" s="13">
        <f t="shared" si="20"/>
        <v>20</v>
      </c>
      <c r="AL65" s="13" t="str">
        <f t="shared" si="21"/>
        <v>670x250x20</v>
      </c>
      <c r="AM65" s="13" t="str">
        <f t="shared" si="22"/>
        <v>6M24</v>
      </c>
      <c r="AN65" s="67" t="s">
        <v>437</v>
      </c>
      <c r="AO65" s="69">
        <v>171.45291041515262</v>
      </c>
      <c r="AP65" s="69">
        <v>10.806857249240466</v>
      </c>
      <c r="AQ65" s="29">
        <v>1.5178167309562762E-13</v>
      </c>
      <c r="AR65" s="29"/>
      <c r="AS65" s="29"/>
      <c r="AT65" s="29"/>
      <c r="AU65" s="29"/>
      <c r="AV65" s="29"/>
      <c r="AW65" s="29"/>
      <c r="AX65" s="29"/>
      <c r="AY65" s="29"/>
      <c r="AZ65" s="29"/>
      <c r="BA65" s="140">
        <f t="shared" si="23"/>
        <v>8.8526740507411946E-16</v>
      </c>
      <c r="BB65" s="117">
        <f t="shared" si="2"/>
        <v>200</v>
      </c>
      <c r="BC65" s="117">
        <f t="shared" si="24"/>
        <v>535</v>
      </c>
      <c r="BD65" s="117">
        <f t="shared" si="25"/>
        <v>17.983503008766206</v>
      </c>
      <c r="BE65" s="117">
        <f t="shared" si="26"/>
        <v>315.88474132285529</v>
      </c>
      <c r="BF65" s="110">
        <f t="shared" si="27"/>
        <v>5.6930584660263364E-2</v>
      </c>
      <c r="BG65" s="4">
        <f t="shared" si="6"/>
        <v>2</v>
      </c>
      <c r="BH65" s="111">
        <f t="shared" si="38"/>
        <v>118.32155441096506</v>
      </c>
      <c r="BI65" s="112">
        <f t="shared" si="28"/>
        <v>517.65680054797224</v>
      </c>
      <c r="BJ65" s="112">
        <f t="shared" si="29"/>
        <v>517.65680054797224</v>
      </c>
      <c r="BK65" s="110">
        <f t="shared" si="30"/>
        <v>1.4664498599092699</v>
      </c>
      <c r="BL65" s="113" t="str">
        <f t="shared" si="31"/>
        <v>Check</v>
      </c>
      <c r="BM65" s="114">
        <f t="shared" si="32"/>
        <v>1.0235994651650986</v>
      </c>
      <c r="BN65" s="114">
        <f t="shared" si="33"/>
        <v>1.0235994651650822</v>
      </c>
      <c r="BO65" s="110">
        <f t="shared" si="34"/>
        <v>9.412408875081367E-2</v>
      </c>
      <c r="BP65" s="113" t="str">
        <f t="shared" si="35"/>
        <v>OK</v>
      </c>
      <c r="BQ65" s="10">
        <f t="shared" si="12"/>
        <v>304.99199999999996</v>
      </c>
      <c r="BR65" s="110">
        <f t="shared" si="36"/>
        <v>0.3879496983886957</v>
      </c>
      <c r="BS65" s="113" t="str">
        <f t="shared" si="37"/>
        <v>OK</v>
      </c>
      <c r="DE65" s="4"/>
      <c r="DF65" s="4"/>
      <c r="DG65" s="4"/>
      <c r="DH65" s="4"/>
      <c r="DI65" s="13"/>
      <c r="DJ65" s="13"/>
      <c r="DK65" s="13"/>
      <c r="DL65" s="13"/>
      <c r="DM65" s="13"/>
      <c r="DR65" s="29"/>
      <c r="DS65" s="29"/>
      <c r="DT65" s="29"/>
      <c r="DU65" s="29"/>
      <c r="DV65" s="29"/>
      <c r="DW65" s="29"/>
      <c r="DX65" s="29"/>
      <c r="DY65" s="29"/>
      <c r="DZ65" s="29"/>
      <c r="EA65" s="140"/>
      <c r="EB65" s="117"/>
      <c r="EC65" s="117"/>
      <c r="ED65" s="117"/>
      <c r="EE65" s="117"/>
      <c r="EF65" s="110"/>
      <c r="EG65" s="4"/>
      <c r="EH65" s="111"/>
      <c r="EI65" s="112"/>
      <c r="EJ65" s="112"/>
      <c r="EK65" s="110"/>
      <c r="EL65" s="113"/>
      <c r="EM65" s="114"/>
      <c r="EN65" s="114"/>
      <c r="EO65" s="110"/>
      <c r="EP65" s="113"/>
      <c r="EQ65" s="10"/>
      <c r="ER65" s="110"/>
      <c r="ES65" s="113"/>
    </row>
    <row r="66" spans="13:149" ht="15" customHeight="1">
      <c r="M66" s="7"/>
      <c r="N66" s="2"/>
      <c r="O66" s="2"/>
      <c r="P66" s="2"/>
      <c r="Q66" s="2"/>
      <c r="R66" s="2"/>
      <c r="S66" s="2"/>
      <c r="T66" s="2"/>
      <c r="U66" s="2"/>
      <c r="V66" s="2"/>
      <c r="W66" s="2"/>
      <c r="X66" s="37"/>
      <c r="AA66" s="67" t="s">
        <v>211</v>
      </c>
      <c r="AB66" s="28" t="s">
        <v>390</v>
      </c>
      <c r="AC66" s="28" t="s">
        <v>347</v>
      </c>
      <c r="AD66" s="68">
        <v>20.399999999999999</v>
      </c>
      <c r="AE66" s="4">
        <f t="shared" si="14"/>
        <v>450</v>
      </c>
      <c r="AF66" s="4">
        <f t="shared" si="15"/>
        <v>200</v>
      </c>
      <c r="AG66" s="4">
        <f t="shared" si="16"/>
        <v>6</v>
      </c>
      <c r="AH66" s="4">
        <f t="shared" si="17"/>
        <v>12</v>
      </c>
      <c r="AI66" s="13">
        <f t="shared" si="18"/>
        <v>670</v>
      </c>
      <c r="AJ66" s="13">
        <f t="shared" si="19"/>
        <v>250</v>
      </c>
      <c r="AK66" s="13">
        <f t="shared" si="20"/>
        <v>20</v>
      </c>
      <c r="AL66" s="13" t="str">
        <f t="shared" si="21"/>
        <v>670x250x20</v>
      </c>
      <c r="AM66" s="13" t="str">
        <f t="shared" si="22"/>
        <v>6M24</v>
      </c>
      <c r="AN66" s="67" t="s">
        <v>438</v>
      </c>
      <c r="AO66" s="69">
        <v>84.793708557520873</v>
      </c>
      <c r="AP66" s="69">
        <v>8.182339553199796</v>
      </c>
      <c r="AQ66" s="29">
        <v>1.2781048778477663E-13</v>
      </c>
      <c r="AR66" s="29"/>
      <c r="AS66" s="29"/>
      <c r="AT66" s="29"/>
      <c r="AU66" s="29"/>
      <c r="AV66" s="29"/>
      <c r="AW66" s="29"/>
      <c r="AX66" s="29"/>
      <c r="AY66" s="29"/>
      <c r="AZ66" s="29"/>
      <c r="BA66" s="140">
        <f t="shared" si="23"/>
        <v>1.5073109781261046E-15</v>
      </c>
      <c r="BB66" s="117">
        <f t="shared" si="2"/>
        <v>200</v>
      </c>
      <c r="BC66" s="117">
        <f t="shared" si="24"/>
        <v>535</v>
      </c>
      <c r="BD66" s="117">
        <f t="shared" si="25"/>
        <v>8.8170918313430775</v>
      </c>
      <c r="BE66" s="117">
        <f t="shared" si="26"/>
        <v>315.88474132285529</v>
      </c>
      <c r="BF66" s="110">
        <f t="shared" si="27"/>
        <v>2.7912370171534879E-2</v>
      </c>
      <c r="BG66" s="4">
        <f t="shared" si="6"/>
        <v>2</v>
      </c>
      <c r="BH66" s="111">
        <f t="shared" si="38"/>
        <v>58.377833223069764</v>
      </c>
      <c r="BI66" s="112">
        <f t="shared" si="28"/>
        <v>255.40302035093021</v>
      </c>
      <c r="BJ66" s="112">
        <f t="shared" si="29"/>
        <v>255.40302035093021</v>
      </c>
      <c r="BK66" s="110">
        <f t="shared" si="30"/>
        <v>0.72352130411028381</v>
      </c>
      <c r="BL66" s="113" t="str">
        <f t="shared" si="31"/>
        <v>OK</v>
      </c>
      <c r="BM66" s="114">
        <f t="shared" si="32"/>
        <v>0.50623109586580306</v>
      </c>
      <c r="BN66" s="114">
        <f t="shared" si="33"/>
        <v>0.50623109586578929</v>
      </c>
      <c r="BO66" s="110">
        <f t="shared" si="34"/>
        <v>4.6549985826740511E-2</v>
      </c>
      <c r="BP66" s="113" t="str">
        <f t="shared" si="35"/>
        <v>OK</v>
      </c>
      <c r="BQ66" s="10">
        <f t="shared" si="12"/>
        <v>304.99199999999996</v>
      </c>
      <c r="BR66" s="110">
        <f t="shared" si="36"/>
        <v>0.19140775241012803</v>
      </c>
      <c r="BS66" s="113" t="str">
        <f t="shared" si="37"/>
        <v>OK</v>
      </c>
      <c r="DE66" s="4"/>
      <c r="DF66" s="4"/>
      <c r="DG66" s="4"/>
      <c r="DH66" s="4"/>
      <c r="DI66" s="13"/>
      <c r="DJ66" s="13"/>
      <c r="DK66" s="13"/>
      <c r="DL66" s="13"/>
      <c r="DM66" s="13"/>
      <c r="DR66" s="29"/>
      <c r="DS66" s="29"/>
      <c r="DT66" s="29"/>
      <c r="DU66" s="29"/>
      <c r="DV66" s="29"/>
      <c r="DW66" s="29"/>
      <c r="DX66" s="29"/>
      <c r="DY66" s="29"/>
      <c r="DZ66" s="29"/>
      <c r="EA66" s="140"/>
      <c r="EB66" s="117"/>
      <c r="EC66" s="117"/>
      <c r="ED66" s="117"/>
      <c r="EE66" s="117"/>
      <c r="EF66" s="110"/>
      <c r="EG66" s="4"/>
      <c r="EH66" s="111"/>
      <c r="EI66" s="112"/>
      <c r="EJ66" s="112"/>
      <c r="EK66" s="110"/>
      <c r="EL66" s="113"/>
      <c r="EM66" s="114"/>
      <c r="EN66" s="114"/>
      <c r="EO66" s="110"/>
      <c r="EP66" s="113"/>
      <c r="EQ66" s="10"/>
      <c r="ER66" s="110"/>
      <c r="ES66" s="113"/>
    </row>
    <row r="67" spans="13:149">
      <c r="M67" s="253" t="s">
        <v>382</v>
      </c>
      <c r="N67" s="254"/>
      <c r="O67" s="254"/>
      <c r="P67" s="2"/>
      <c r="Q67" s="2"/>
      <c r="R67" s="2"/>
      <c r="S67" s="2"/>
      <c r="T67" s="2"/>
      <c r="U67" s="2"/>
      <c r="V67" s="2"/>
      <c r="W67" s="2"/>
      <c r="X67" s="8"/>
      <c r="AA67" s="67" t="s">
        <v>211</v>
      </c>
      <c r="AB67" s="28" t="s">
        <v>390</v>
      </c>
      <c r="AC67" s="28" t="s">
        <v>347</v>
      </c>
      <c r="AD67" s="68">
        <v>20.399999999999999</v>
      </c>
      <c r="AE67" s="4">
        <f t="shared" si="14"/>
        <v>450</v>
      </c>
      <c r="AF67" s="4">
        <f t="shared" si="15"/>
        <v>200</v>
      </c>
      <c r="AG67" s="4">
        <f t="shared" si="16"/>
        <v>6</v>
      </c>
      <c r="AH67" s="4">
        <f t="shared" si="17"/>
        <v>12</v>
      </c>
      <c r="AI67" s="13">
        <f t="shared" si="18"/>
        <v>670</v>
      </c>
      <c r="AJ67" s="13">
        <f t="shared" si="19"/>
        <v>250</v>
      </c>
      <c r="AK67" s="13">
        <f t="shared" si="20"/>
        <v>20</v>
      </c>
      <c r="AL67" s="13" t="str">
        <f t="shared" si="21"/>
        <v>670x250x20</v>
      </c>
      <c r="AM67" s="13" t="str">
        <f t="shared" si="22"/>
        <v>6M24</v>
      </c>
      <c r="AN67" s="67" t="s">
        <v>439</v>
      </c>
      <c r="AO67" s="69">
        <v>83.3613252349992</v>
      </c>
      <c r="AP67" s="69">
        <v>8.7124048635851352</v>
      </c>
      <c r="AQ67" s="29">
        <v>1.2193254757090045E-13</v>
      </c>
      <c r="AR67" s="29"/>
      <c r="AS67" s="29"/>
      <c r="AT67" s="29"/>
      <c r="AU67" s="29"/>
      <c r="AV67" s="29"/>
      <c r="AW67" s="29"/>
      <c r="AX67" s="29"/>
      <c r="AY67" s="29"/>
      <c r="AZ67" s="29"/>
      <c r="BA67" s="140">
        <f t="shared" si="23"/>
        <v>1.4626992460492596E-15</v>
      </c>
      <c r="BB67" s="117">
        <f t="shared" si="2"/>
        <v>200</v>
      </c>
      <c r="BC67" s="117">
        <f t="shared" si="24"/>
        <v>535</v>
      </c>
      <c r="BD67" s="117">
        <f t="shared" si="25"/>
        <v>8.6669220544977179</v>
      </c>
      <c r="BE67" s="117">
        <f t="shared" si="26"/>
        <v>315.88474132285529</v>
      </c>
      <c r="BF67" s="110">
        <f t="shared" si="27"/>
        <v>2.7436975962189782E-2</v>
      </c>
      <c r="BG67" s="4">
        <f t="shared" si="6"/>
        <v>2</v>
      </c>
      <c r="BH67" s="111">
        <f t="shared" si="38"/>
        <v>57.389458841276713</v>
      </c>
      <c r="BI67" s="112">
        <f t="shared" si="28"/>
        <v>251.07888243058562</v>
      </c>
      <c r="BJ67" s="112">
        <f t="shared" si="29"/>
        <v>251.07888243058562</v>
      </c>
      <c r="BK67" s="110">
        <f t="shared" si="30"/>
        <v>0.7112716216163899</v>
      </c>
      <c r="BL67" s="113" t="str">
        <f t="shared" si="31"/>
        <v>OK</v>
      </c>
      <c r="BM67" s="114">
        <f t="shared" si="32"/>
        <v>0.49767955364179278</v>
      </c>
      <c r="BN67" s="114">
        <f t="shared" si="33"/>
        <v>0.49767955364177979</v>
      </c>
      <c r="BO67" s="110">
        <f t="shared" si="34"/>
        <v>4.5763637116486691E-2</v>
      </c>
      <c r="BP67" s="113" t="str">
        <f t="shared" si="35"/>
        <v>OK</v>
      </c>
      <c r="BQ67" s="10">
        <f t="shared" si="12"/>
        <v>304.99199999999996</v>
      </c>
      <c r="BR67" s="110">
        <f t="shared" si="36"/>
        <v>0.18816709566571163</v>
      </c>
      <c r="BS67" s="113" t="str">
        <f t="shared" si="37"/>
        <v>OK</v>
      </c>
      <c r="DE67" s="4"/>
      <c r="DF67" s="4"/>
      <c r="DG67" s="4"/>
      <c r="DH67" s="4"/>
      <c r="DI67" s="13"/>
      <c r="DJ67" s="13"/>
      <c r="DK67" s="13"/>
      <c r="DL67" s="13"/>
      <c r="DM67" s="13"/>
      <c r="DR67" s="29"/>
      <c r="DS67" s="29"/>
      <c r="DT67" s="29"/>
      <c r="DU67" s="29"/>
      <c r="DV67" s="29"/>
      <c r="DW67" s="29"/>
      <c r="DX67" s="29"/>
      <c r="DY67" s="29"/>
      <c r="DZ67" s="29"/>
      <c r="EA67" s="140"/>
      <c r="EB67" s="117"/>
      <c r="EC67" s="117"/>
      <c r="ED67" s="117"/>
      <c r="EE67" s="117"/>
      <c r="EF67" s="110"/>
      <c r="EG67" s="4"/>
      <c r="EH67" s="111"/>
      <c r="EI67" s="112"/>
      <c r="EJ67" s="112"/>
      <c r="EK67" s="110"/>
      <c r="EL67" s="113"/>
      <c r="EM67" s="114"/>
      <c r="EN67" s="114"/>
      <c r="EO67" s="110"/>
      <c r="EP67" s="113"/>
      <c r="EQ67" s="10"/>
      <c r="ER67" s="110"/>
      <c r="ES67" s="113"/>
    </row>
    <row r="68" spans="13:149" ht="12.75" customHeight="1">
      <c r="M68" s="6" t="s">
        <v>92</v>
      </c>
      <c r="N68" s="141"/>
      <c r="O68" s="141"/>
      <c r="P68" s="141"/>
      <c r="Q68" s="141"/>
      <c r="R68" s="141"/>
      <c r="S68" s="142"/>
      <c r="T68" s="143"/>
      <c r="U68" s="141"/>
      <c r="V68" s="2"/>
      <c r="W68" s="2"/>
      <c r="X68" s="5"/>
      <c r="AA68" s="67" t="s">
        <v>211</v>
      </c>
      <c r="AB68" s="28" t="s">
        <v>390</v>
      </c>
      <c r="AC68" s="28" t="s">
        <v>347</v>
      </c>
      <c r="AD68" s="68">
        <v>20.399999999999999</v>
      </c>
      <c r="AE68" s="4">
        <f t="shared" si="14"/>
        <v>450</v>
      </c>
      <c r="AF68" s="4">
        <f t="shared" si="15"/>
        <v>200</v>
      </c>
      <c r="AG68" s="4">
        <f t="shared" si="16"/>
        <v>6</v>
      </c>
      <c r="AH68" s="4">
        <f t="shared" si="17"/>
        <v>12</v>
      </c>
      <c r="AI68" s="13">
        <f t="shared" si="18"/>
        <v>670</v>
      </c>
      <c r="AJ68" s="13">
        <f t="shared" si="19"/>
        <v>250</v>
      </c>
      <c r="AK68" s="13">
        <f t="shared" si="20"/>
        <v>20</v>
      </c>
      <c r="AL68" s="13" t="str">
        <f t="shared" si="21"/>
        <v>670x250x20</v>
      </c>
      <c r="AM68" s="13" t="str">
        <f t="shared" si="22"/>
        <v>6M24</v>
      </c>
      <c r="AN68" s="67" t="s">
        <v>440</v>
      </c>
      <c r="AO68" s="69">
        <v>136.2703849117581</v>
      </c>
      <c r="AP68" s="69">
        <v>9.8887883581967344</v>
      </c>
      <c r="AQ68" s="29">
        <v>3.1421921621874937E-14</v>
      </c>
      <c r="AR68" s="29"/>
      <c r="AS68" s="29"/>
      <c r="AT68" s="29"/>
      <c r="AU68" s="29"/>
      <c r="AV68" s="29"/>
      <c r="AW68" s="29"/>
      <c r="AX68" s="29"/>
      <c r="AY68" s="29"/>
      <c r="AZ68" s="29"/>
      <c r="BA68" s="140">
        <f t="shared" si="23"/>
        <v>2.3058510946617054E-16</v>
      </c>
      <c r="BB68" s="117">
        <f t="shared" si="2"/>
        <v>200</v>
      </c>
      <c r="BC68" s="117">
        <f t="shared" si="24"/>
        <v>535</v>
      </c>
      <c r="BD68" s="117">
        <f t="shared" si="25"/>
        <v>14.242601711885413</v>
      </c>
      <c r="BE68" s="117">
        <f t="shared" si="26"/>
        <v>315.88474132285529</v>
      </c>
      <c r="BF68" s="110">
        <f t="shared" si="27"/>
        <v>4.5087969910292451E-2</v>
      </c>
      <c r="BG68" s="4">
        <f t="shared" si="6"/>
        <v>2</v>
      </c>
      <c r="BH68" s="111">
        <f t="shared" si="38"/>
        <v>93.949908058671355</v>
      </c>
      <c r="BI68" s="112">
        <f t="shared" si="28"/>
        <v>411.03084775668714</v>
      </c>
      <c r="BJ68" s="112">
        <f t="shared" si="29"/>
        <v>411.03084775668714</v>
      </c>
      <c r="BK68" s="110">
        <f t="shared" si="30"/>
        <v>1.16439333642121</v>
      </c>
      <c r="BL68" s="113" t="str">
        <f t="shared" si="31"/>
        <v>Check</v>
      </c>
      <c r="BM68" s="114">
        <f t="shared" si="32"/>
        <v>0.81355453678661727</v>
      </c>
      <c r="BN68" s="114">
        <f t="shared" si="33"/>
        <v>0.81355453678661394</v>
      </c>
      <c r="BO68" s="110">
        <f t="shared" si="34"/>
        <v>7.4809612578079748E-2</v>
      </c>
      <c r="BP68" s="113" t="str">
        <f t="shared" si="35"/>
        <v>OK</v>
      </c>
      <c r="BQ68" s="10">
        <f t="shared" si="12"/>
        <v>304.99199999999996</v>
      </c>
      <c r="BR68" s="110">
        <f t="shared" si="36"/>
        <v>0.30804056519079637</v>
      </c>
      <c r="BS68" s="113" t="str">
        <f t="shared" si="37"/>
        <v>OK</v>
      </c>
      <c r="DE68" s="4"/>
      <c r="DF68" s="4"/>
      <c r="DG68" s="4"/>
      <c r="DH68" s="4"/>
      <c r="DI68" s="13"/>
      <c r="DJ68" s="13"/>
      <c r="DK68" s="13"/>
      <c r="DL68" s="13"/>
      <c r="DM68" s="13"/>
      <c r="DR68" s="29"/>
      <c r="DS68" s="29"/>
      <c r="DT68" s="29"/>
      <c r="DU68" s="29"/>
      <c r="DV68" s="29"/>
      <c r="DW68" s="29"/>
      <c r="DX68" s="29"/>
      <c r="DY68" s="29"/>
      <c r="DZ68" s="29"/>
      <c r="EA68" s="140"/>
      <c r="EB68" s="117"/>
      <c r="EC68" s="117"/>
      <c r="ED68" s="117"/>
      <c r="EE68" s="117"/>
      <c r="EF68" s="110"/>
      <c r="EG68" s="4"/>
      <c r="EH68" s="111"/>
      <c r="EI68" s="112"/>
      <c r="EJ68" s="112"/>
      <c r="EK68" s="110"/>
      <c r="EL68" s="113"/>
      <c r="EM68" s="114"/>
      <c r="EN68" s="114"/>
      <c r="EO68" s="110"/>
      <c r="EP68" s="113"/>
      <c r="EQ68" s="10"/>
      <c r="ER68" s="110"/>
      <c r="ES68" s="113"/>
    </row>
    <row r="69" spans="13:149" ht="12.75" customHeight="1">
      <c r="M69" s="7" t="str">
        <f>"- Độ lệch tâm của điểm đặt tải trọng:"</f>
        <v>- Độ lệch tâm của điểm đặt tải trọng:</v>
      </c>
      <c r="N69" s="141"/>
      <c r="O69" s="141"/>
      <c r="P69" s="141"/>
      <c r="Q69" s="141"/>
      <c r="R69" s="141"/>
      <c r="S69" s="142"/>
      <c r="T69" s="143"/>
      <c r="U69" s="141"/>
      <c r="V69" s="33" t="s">
        <v>182</v>
      </c>
      <c r="W69" s="150">
        <f>ABS(V64/T64)</f>
        <v>3.6759629156465308E-15</v>
      </c>
      <c r="X69" s="23" t="s">
        <v>181</v>
      </c>
      <c r="AA69" s="67" t="s">
        <v>211</v>
      </c>
      <c r="AB69" s="28" t="s">
        <v>390</v>
      </c>
      <c r="AC69" s="28" t="s">
        <v>347</v>
      </c>
      <c r="AD69" s="68">
        <v>20.399999999999999</v>
      </c>
      <c r="AE69" s="4">
        <f t="shared" si="14"/>
        <v>450</v>
      </c>
      <c r="AF69" s="4">
        <f t="shared" si="15"/>
        <v>200</v>
      </c>
      <c r="AG69" s="4">
        <f t="shared" si="16"/>
        <v>6</v>
      </c>
      <c r="AH69" s="4">
        <f t="shared" si="17"/>
        <v>12</v>
      </c>
      <c r="AI69" s="13">
        <f t="shared" si="18"/>
        <v>670</v>
      </c>
      <c r="AJ69" s="13">
        <f t="shared" si="19"/>
        <v>250</v>
      </c>
      <c r="AK69" s="13">
        <f t="shared" si="20"/>
        <v>20</v>
      </c>
      <c r="AL69" s="13" t="str">
        <f t="shared" si="21"/>
        <v>670x250x20</v>
      </c>
      <c r="AM69" s="13" t="str">
        <f t="shared" si="22"/>
        <v>6M24</v>
      </c>
      <c r="AN69" s="67" t="s">
        <v>441</v>
      </c>
      <c r="AO69" s="69">
        <v>133.90357401819219</v>
      </c>
      <c r="AP69" s="69">
        <v>7.8436968224720793</v>
      </c>
      <c r="AQ69" s="29">
        <v>5.5942347047842079E-14</v>
      </c>
      <c r="AR69" s="29"/>
      <c r="AS69" s="29"/>
      <c r="AT69" s="29"/>
      <c r="AU69" s="29"/>
      <c r="AV69" s="29"/>
      <c r="AW69" s="29"/>
      <c r="AX69" s="29"/>
      <c r="AY69" s="29"/>
      <c r="AZ69" s="29"/>
      <c r="BA69" s="140">
        <f t="shared" si="23"/>
        <v>4.1778083563506474E-16</v>
      </c>
      <c r="BB69" s="117">
        <f t="shared" si="2"/>
        <v>200</v>
      </c>
      <c r="BC69" s="117">
        <f t="shared" si="24"/>
        <v>535</v>
      </c>
      <c r="BD69" s="117">
        <f t="shared" si="25"/>
        <v>13.991906769399861</v>
      </c>
      <c r="BE69" s="117">
        <f t="shared" si="26"/>
        <v>315.88474132285529</v>
      </c>
      <c r="BF69" s="110">
        <f t="shared" si="27"/>
        <v>4.4294342014764169E-2</v>
      </c>
      <c r="BG69" s="4">
        <f t="shared" si="6"/>
        <v>2</v>
      </c>
      <c r="BH69" s="111">
        <f t="shared" si="38"/>
        <v>92.312118028633336</v>
      </c>
      <c r="BI69" s="112">
        <f t="shared" si="28"/>
        <v>403.86551637527083</v>
      </c>
      <c r="BJ69" s="112">
        <f t="shared" si="29"/>
        <v>403.86551637527083</v>
      </c>
      <c r="BK69" s="110">
        <f t="shared" si="30"/>
        <v>1.1440949472387276</v>
      </c>
      <c r="BL69" s="113" t="str">
        <f t="shared" si="31"/>
        <v>Check</v>
      </c>
      <c r="BM69" s="114">
        <f t="shared" si="32"/>
        <v>0.79942432249667272</v>
      </c>
      <c r="BN69" s="114">
        <f t="shared" si="33"/>
        <v>0.79942432249666673</v>
      </c>
      <c r="BO69" s="110">
        <f t="shared" si="34"/>
        <v>7.3510282528429671E-2</v>
      </c>
      <c r="BP69" s="113" t="str">
        <f t="shared" si="35"/>
        <v>OK</v>
      </c>
      <c r="BQ69" s="10">
        <f t="shared" si="12"/>
        <v>304.99199999999996</v>
      </c>
      <c r="BR69" s="110">
        <f t="shared" si="36"/>
        <v>0.30267062096262637</v>
      </c>
      <c r="BS69" s="113" t="str">
        <f t="shared" si="37"/>
        <v>OK</v>
      </c>
      <c r="DE69" s="4"/>
      <c r="DF69" s="4"/>
      <c r="DG69" s="4"/>
      <c r="DH69" s="4"/>
      <c r="DI69" s="13"/>
      <c r="DJ69" s="13"/>
      <c r="DK69" s="13"/>
      <c r="DL69" s="13"/>
      <c r="DM69" s="13"/>
      <c r="DR69" s="29"/>
      <c r="DS69" s="29"/>
      <c r="DT69" s="29"/>
      <c r="DU69" s="29"/>
      <c r="DV69" s="29"/>
      <c r="DW69" s="29"/>
      <c r="DX69" s="29"/>
      <c r="DY69" s="29"/>
      <c r="DZ69" s="29"/>
      <c r="EA69" s="140"/>
      <c r="EB69" s="117"/>
      <c r="EC69" s="117"/>
      <c r="ED69" s="117"/>
      <c r="EE69" s="117"/>
      <c r="EF69" s="110"/>
      <c r="EG69" s="4"/>
      <c r="EH69" s="111"/>
      <c r="EI69" s="112"/>
      <c r="EJ69" s="112"/>
      <c r="EK69" s="110"/>
      <c r="EL69" s="113"/>
      <c r="EM69" s="114"/>
      <c r="EN69" s="114"/>
      <c r="EO69" s="110"/>
      <c r="EP69" s="113"/>
      <c r="EQ69" s="10"/>
      <c r="ER69" s="110"/>
      <c r="ES69" s="113"/>
    </row>
    <row r="70" spans="13:149" ht="12.75" customHeight="1">
      <c r="M70" s="7" t="str">
        <f>"- Khoảng cách từ trục của cột đến tâm nhóm bu lông chịu kéo:"</f>
        <v>- Khoảng cách từ trục của cột đến tâm nhóm bu lông chịu kéo:</v>
      </c>
      <c r="N70" s="141"/>
      <c r="O70" s="141"/>
      <c r="P70" s="141"/>
      <c r="Q70" s="141"/>
      <c r="R70" s="141"/>
      <c r="S70" s="142"/>
      <c r="T70" s="143"/>
      <c r="U70" s="32" t="s">
        <v>341</v>
      </c>
      <c r="V70" s="33" t="s">
        <v>183</v>
      </c>
      <c r="W70" s="151">
        <f>IF(U70="Trái",P53,T53)</f>
        <v>200</v>
      </c>
      <c r="X70" s="23" t="s">
        <v>1</v>
      </c>
      <c r="AA70" s="67" t="s">
        <v>211</v>
      </c>
      <c r="AB70" s="28" t="s">
        <v>390</v>
      </c>
      <c r="AC70" s="28" t="s">
        <v>347</v>
      </c>
      <c r="AD70" s="68">
        <v>20.399999999999999</v>
      </c>
      <c r="AE70" s="4">
        <f t="shared" si="14"/>
        <v>450</v>
      </c>
      <c r="AF70" s="4">
        <f t="shared" si="15"/>
        <v>200</v>
      </c>
      <c r="AG70" s="4">
        <f t="shared" si="16"/>
        <v>6</v>
      </c>
      <c r="AH70" s="4">
        <f t="shared" si="17"/>
        <v>12</v>
      </c>
      <c r="AI70" s="13">
        <f t="shared" si="18"/>
        <v>670</v>
      </c>
      <c r="AJ70" s="13">
        <f t="shared" si="19"/>
        <v>250</v>
      </c>
      <c r="AK70" s="13">
        <f t="shared" si="20"/>
        <v>20</v>
      </c>
      <c r="AL70" s="13" t="str">
        <f t="shared" si="21"/>
        <v>670x250x20</v>
      </c>
      <c r="AM70" s="13" t="str">
        <f t="shared" si="22"/>
        <v>6M24</v>
      </c>
      <c r="AN70" s="67" t="s">
        <v>442</v>
      </c>
      <c r="AO70" s="69">
        <v>48.056744797397322</v>
      </c>
      <c r="AP70" s="69">
        <v>4.8342507755876341</v>
      </c>
      <c r="AQ70" s="29">
        <v>2.3424355898610491E-13</v>
      </c>
      <c r="AR70" s="29"/>
      <c r="AS70" s="29"/>
      <c r="AT70" s="29"/>
      <c r="AU70" s="29"/>
      <c r="AV70" s="29"/>
      <c r="AW70" s="29"/>
      <c r="AX70" s="29"/>
      <c r="AY70" s="29"/>
      <c r="AZ70" s="29"/>
      <c r="BA70" s="140">
        <f t="shared" si="23"/>
        <v>4.8743118156182561E-15</v>
      </c>
      <c r="BB70" s="117">
        <f t="shared" si="2"/>
        <v>200</v>
      </c>
      <c r="BC70" s="117">
        <f t="shared" si="24"/>
        <v>535</v>
      </c>
      <c r="BD70" s="117">
        <f t="shared" si="25"/>
        <v>4.9790694878392969</v>
      </c>
      <c r="BE70" s="117">
        <f t="shared" si="26"/>
        <v>315.88474132285529</v>
      </c>
      <c r="BF70" s="110">
        <f t="shared" si="27"/>
        <v>1.5762298194550509E-2</v>
      </c>
      <c r="BG70" s="4">
        <f t="shared" si="6"/>
        <v>2</v>
      </c>
      <c r="BH70" s="111">
        <f t="shared" si="38"/>
        <v>33.05293584540739</v>
      </c>
      <c r="BI70" s="112">
        <f t="shared" si="28"/>
        <v>144.60659432365733</v>
      </c>
      <c r="BJ70" s="112">
        <f t="shared" si="29"/>
        <v>144.60659432365733</v>
      </c>
      <c r="BK70" s="110">
        <f t="shared" si="30"/>
        <v>0.40965040884888765</v>
      </c>
      <c r="BL70" s="113" t="str">
        <f t="shared" si="31"/>
        <v>OK</v>
      </c>
      <c r="BM70" s="114">
        <f t="shared" si="32"/>
        <v>0.28690593908895173</v>
      </c>
      <c r="BN70" s="114">
        <f t="shared" si="33"/>
        <v>0.28690593908892664</v>
      </c>
      <c r="BO70" s="110">
        <f t="shared" si="34"/>
        <v>2.6382155318524298E-2</v>
      </c>
      <c r="BP70" s="113" t="str">
        <f t="shared" si="35"/>
        <v>OK</v>
      </c>
      <c r="BQ70" s="10">
        <f t="shared" si="12"/>
        <v>304.99199999999996</v>
      </c>
      <c r="BR70" s="110">
        <f t="shared" si="36"/>
        <v>0.10837312403409727</v>
      </c>
      <c r="BS70" s="113" t="str">
        <f t="shared" si="37"/>
        <v>OK</v>
      </c>
      <c r="DE70" s="4"/>
      <c r="DF70" s="4"/>
      <c r="DG70" s="4"/>
      <c r="DH70" s="4"/>
      <c r="DI70" s="13"/>
      <c r="DJ70" s="13"/>
      <c r="DK70" s="13"/>
      <c r="DL70" s="13"/>
      <c r="DM70" s="13"/>
      <c r="DR70" s="29"/>
      <c r="DS70" s="29"/>
      <c r="DT70" s="29"/>
      <c r="DU70" s="29"/>
      <c r="DV70" s="29"/>
      <c r="DW70" s="29"/>
      <c r="DX70" s="29"/>
      <c r="DY70" s="29"/>
      <c r="DZ70" s="29"/>
      <c r="EA70" s="140"/>
      <c r="EB70" s="117"/>
      <c r="EC70" s="117"/>
      <c r="ED70" s="117"/>
      <c r="EE70" s="117"/>
      <c r="EF70" s="110"/>
      <c r="EG70" s="4"/>
      <c r="EH70" s="111"/>
      <c r="EI70" s="112"/>
      <c r="EJ70" s="112"/>
      <c r="EK70" s="110"/>
      <c r="EL70" s="113"/>
      <c r="EM70" s="114"/>
      <c r="EN70" s="114"/>
      <c r="EO70" s="110"/>
      <c r="EP70" s="113"/>
      <c r="EQ70" s="10"/>
      <c r="ER70" s="110"/>
      <c r="ES70" s="113"/>
    </row>
    <row r="71" spans="13:149" ht="12.75" customHeight="1">
      <c r="M71" s="7" t="str">
        <f>"- Khoảng cách từ hợp lực trong bu lông chịu kéo đến mép đối diện:"</f>
        <v>- Khoảng cách từ hợp lực trong bu lông chịu kéo đến mép đối diện:</v>
      </c>
      <c r="N71" s="141"/>
      <c r="O71" s="141"/>
      <c r="P71" s="141"/>
      <c r="Q71" s="141"/>
      <c r="R71" s="141"/>
      <c r="S71" s="142"/>
      <c r="T71" s="143"/>
      <c r="U71" s="141"/>
      <c r="V71" s="33" t="s">
        <v>344</v>
      </c>
      <c r="W71" s="151">
        <f>W47/2+W70</f>
        <v>535</v>
      </c>
      <c r="X71" s="23" t="s">
        <v>1</v>
      </c>
      <c r="AA71" s="67" t="s">
        <v>211</v>
      </c>
      <c r="AB71" s="28" t="s">
        <v>390</v>
      </c>
      <c r="AC71" s="28" t="s">
        <v>347</v>
      </c>
      <c r="AD71" s="68">
        <v>20.399999999999999</v>
      </c>
      <c r="AE71" s="4">
        <f t="shared" si="14"/>
        <v>450</v>
      </c>
      <c r="AF71" s="4">
        <f t="shared" si="15"/>
        <v>200</v>
      </c>
      <c r="AG71" s="4">
        <f t="shared" si="16"/>
        <v>6</v>
      </c>
      <c r="AH71" s="4">
        <f t="shared" si="17"/>
        <v>12</v>
      </c>
      <c r="AI71" s="13">
        <f t="shared" si="18"/>
        <v>670</v>
      </c>
      <c r="AJ71" s="13">
        <f t="shared" si="19"/>
        <v>250</v>
      </c>
      <c r="AK71" s="13">
        <f t="shared" si="20"/>
        <v>20</v>
      </c>
      <c r="AL71" s="13" t="str">
        <f t="shared" si="21"/>
        <v>670x250x20</v>
      </c>
      <c r="AM71" s="13" t="str">
        <f t="shared" si="22"/>
        <v>6M24</v>
      </c>
      <c r="AN71" s="67" t="s">
        <v>443</v>
      </c>
      <c r="AO71" s="69">
        <v>45.629237084666578</v>
      </c>
      <c r="AP71" s="69">
        <v>12.371781702464204</v>
      </c>
      <c r="AQ71" s="29">
        <v>4.826407267409192E-13</v>
      </c>
      <c r="AR71" s="29"/>
      <c r="AS71" s="29"/>
      <c r="AT71" s="29"/>
      <c r="AU71" s="29"/>
      <c r="AV71" s="29"/>
      <c r="AW71" s="29"/>
      <c r="AX71" s="29"/>
      <c r="AY71" s="29"/>
      <c r="AZ71" s="29"/>
      <c r="BA71" s="140">
        <f t="shared" si="23"/>
        <v>1.0577444585482837E-14</v>
      </c>
      <c r="BB71" s="117">
        <f t="shared" si="2"/>
        <v>200</v>
      </c>
      <c r="BC71" s="117">
        <f t="shared" si="24"/>
        <v>535</v>
      </c>
      <c r="BD71" s="117">
        <f t="shared" si="25"/>
        <v>4.7264388063440492</v>
      </c>
      <c r="BE71" s="117">
        <f t="shared" si="26"/>
        <v>315.88474132285529</v>
      </c>
      <c r="BF71" s="110">
        <f t="shared" si="27"/>
        <v>1.4962542307522583E-2</v>
      </c>
      <c r="BG71" s="4">
        <f t="shared" si="6"/>
        <v>2</v>
      </c>
      <c r="BH71" s="111">
        <f t="shared" si="38"/>
        <v>31.381288878831878</v>
      </c>
      <c r="BI71" s="112">
        <f t="shared" si="28"/>
        <v>137.29313884488948</v>
      </c>
      <c r="BJ71" s="112">
        <f t="shared" si="29"/>
        <v>137.29313884488948</v>
      </c>
      <c r="BK71" s="110">
        <f t="shared" si="30"/>
        <v>0.3889324046597436</v>
      </c>
      <c r="BL71" s="113" t="str">
        <f t="shared" si="31"/>
        <v>OK</v>
      </c>
      <c r="BM71" s="114">
        <f t="shared" si="32"/>
        <v>0.27241335572937853</v>
      </c>
      <c r="BN71" s="114">
        <f t="shared" si="33"/>
        <v>0.2724133557293269</v>
      </c>
      <c r="BO71" s="110">
        <f t="shared" si="34"/>
        <v>2.5049503975115267E-2</v>
      </c>
      <c r="BP71" s="113" t="str">
        <f t="shared" si="35"/>
        <v>OK</v>
      </c>
      <c r="BQ71" s="10">
        <f t="shared" si="12"/>
        <v>304.99199999999996</v>
      </c>
      <c r="BR71" s="110">
        <f t="shared" si="36"/>
        <v>0.10289217054490571</v>
      </c>
      <c r="BS71" s="113" t="str">
        <f t="shared" si="37"/>
        <v>OK</v>
      </c>
      <c r="DE71" s="4"/>
      <c r="DF71" s="4"/>
      <c r="DG71" s="4"/>
      <c r="DH71" s="4"/>
      <c r="DI71" s="13"/>
      <c r="DJ71" s="13"/>
      <c r="DK71" s="13"/>
      <c r="DL71" s="13"/>
      <c r="DM71" s="13"/>
      <c r="DR71" s="29"/>
      <c r="DS71" s="29"/>
      <c r="DT71" s="29"/>
      <c r="DU71" s="29"/>
      <c r="DV71" s="29"/>
      <c r="DW71" s="29"/>
      <c r="DX71" s="29"/>
      <c r="DY71" s="29"/>
      <c r="DZ71" s="29"/>
      <c r="EA71" s="140"/>
      <c r="EB71" s="117"/>
      <c r="EC71" s="117"/>
      <c r="ED71" s="117"/>
      <c r="EE71" s="117"/>
      <c r="EF71" s="110"/>
      <c r="EG71" s="4"/>
      <c r="EH71" s="111"/>
      <c r="EI71" s="112"/>
      <c r="EJ71" s="112"/>
      <c r="EK71" s="110"/>
      <c r="EL71" s="113"/>
      <c r="EM71" s="114"/>
      <c r="EN71" s="114"/>
      <c r="EO71" s="110"/>
      <c r="EP71" s="113"/>
      <c r="EQ71" s="10"/>
      <c r="ER71" s="110"/>
      <c r="ES71" s="113"/>
    </row>
    <row r="72" spans="13:149" ht="12.75" customHeight="1">
      <c r="M72" s="7" t="str">
        <f>"- Chiều cao vùng nén bê tông dưới bản đế:"</f>
        <v>- Chiều cao vùng nén bê tông dưới bản đế:</v>
      </c>
      <c r="N72" s="141"/>
      <c r="O72" s="141"/>
      <c r="P72" s="141"/>
      <c r="Q72" s="141"/>
      <c r="R72" s="141"/>
      <c r="S72" s="142"/>
      <c r="T72" s="143"/>
      <c r="U72" s="141"/>
      <c r="V72" s="33" t="s">
        <v>184</v>
      </c>
      <c r="W72" s="151">
        <f>IFERROR(W71 - (W71 ^ 2 - 2 * ABS(T64)*1000 *  (1000 *W69 + W70) / (W36 * W48)) ^ 0.5,"O/S")</f>
        <v>22.669343140256387</v>
      </c>
      <c r="X72" s="23" t="s">
        <v>1</v>
      </c>
      <c r="AA72" s="67" t="s">
        <v>211</v>
      </c>
      <c r="AB72" s="28" t="s">
        <v>390</v>
      </c>
      <c r="AC72" s="28" t="s">
        <v>347</v>
      </c>
      <c r="AD72" s="68">
        <v>20.399999999999999</v>
      </c>
      <c r="AE72" s="4">
        <f t="shared" si="14"/>
        <v>450</v>
      </c>
      <c r="AF72" s="4">
        <f t="shared" si="15"/>
        <v>200</v>
      </c>
      <c r="AG72" s="4">
        <f t="shared" si="16"/>
        <v>6</v>
      </c>
      <c r="AH72" s="4">
        <f t="shared" si="17"/>
        <v>12</v>
      </c>
      <c r="AI72" s="13">
        <f t="shared" si="18"/>
        <v>670</v>
      </c>
      <c r="AJ72" s="13">
        <f t="shared" si="19"/>
        <v>250</v>
      </c>
      <c r="AK72" s="13">
        <f t="shared" si="20"/>
        <v>20</v>
      </c>
      <c r="AL72" s="13" t="str">
        <f t="shared" si="21"/>
        <v>670x250x20</v>
      </c>
      <c r="AM72" s="13" t="str">
        <f t="shared" si="22"/>
        <v>6M24</v>
      </c>
      <c r="AN72" s="67" t="s">
        <v>444</v>
      </c>
      <c r="AO72" s="69">
        <v>-73.503372686437814</v>
      </c>
      <c r="AP72" s="69">
        <v>12.068753777608165</v>
      </c>
      <c r="AQ72" s="29">
        <v>7.0234656476230623E-14</v>
      </c>
      <c r="AR72" s="29"/>
      <c r="AS72" s="29"/>
      <c r="AT72" s="29"/>
      <c r="AU72" s="29"/>
      <c r="AV72" s="29"/>
      <c r="AW72" s="29"/>
      <c r="AX72" s="29"/>
      <c r="AY72" s="29"/>
      <c r="AZ72" s="29"/>
      <c r="BA72" s="140">
        <f t="shared" si="23"/>
        <v>9.5552971121268966E-16</v>
      </c>
      <c r="BB72" s="117">
        <f t="shared" si="2"/>
        <v>200</v>
      </c>
      <c r="BC72" s="117">
        <f t="shared" si="24"/>
        <v>535</v>
      </c>
      <c r="BD72" s="117">
        <f t="shared" si="25"/>
        <v>7.6345830319262404</v>
      </c>
      <c r="BE72" s="117">
        <f t="shared" si="26"/>
        <v>315.88474132285529</v>
      </c>
      <c r="BF72" s="110">
        <f t="shared" si="27"/>
        <v>2.4168888310192822E-2</v>
      </c>
      <c r="BG72" s="4">
        <f t="shared" si="6"/>
        <v>2</v>
      </c>
      <c r="BH72" s="111">
        <f t="shared" si="38"/>
        <v>0</v>
      </c>
      <c r="BI72" s="112">
        <f t="shared" si="28"/>
        <v>0</v>
      </c>
      <c r="BJ72" s="112">
        <f t="shared" si="29"/>
        <v>57.1</v>
      </c>
      <c r="BK72" s="110">
        <f t="shared" si="30"/>
        <v>0.16175637393767706</v>
      </c>
      <c r="BL72" s="113" t="str">
        <f t="shared" si="31"/>
        <v>OK</v>
      </c>
      <c r="BM72" s="114">
        <f t="shared" si="32"/>
        <v>0.43882610559067731</v>
      </c>
      <c r="BN72" s="114">
        <f t="shared" si="33"/>
        <v>0.43882610559066976</v>
      </c>
      <c r="BO72" s="110">
        <f t="shared" si="34"/>
        <v>4.0351825801441595E-2</v>
      </c>
      <c r="BP72" s="113" t="str">
        <f t="shared" si="35"/>
        <v>OK</v>
      </c>
      <c r="BQ72" s="10">
        <f t="shared" si="12"/>
        <v>304.99199999999996</v>
      </c>
      <c r="BR72" s="110">
        <f t="shared" si="36"/>
        <v>3.9570722437336607E-2</v>
      </c>
      <c r="BS72" s="113" t="str">
        <f t="shared" si="37"/>
        <v>OK</v>
      </c>
      <c r="DE72" s="4"/>
      <c r="DF72" s="4"/>
      <c r="DG72" s="4"/>
      <c r="DH72" s="4"/>
      <c r="DI72" s="13"/>
      <c r="DJ72" s="13"/>
      <c r="DK72" s="13"/>
      <c r="DL72" s="13"/>
      <c r="DM72" s="13"/>
      <c r="DR72" s="29"/>
      <c r="DS72" s="29"/>
      <c r="DT72" s="29"/>
      <c r="DU72" s="29"/>
      <c r="DV72" s="29"/>
      <c r="DW72" s="29"/>
      <c r="DX72" s="29"/>
      <c r="DY72" s="29"/>
      <c r="DZ72" s="29"/>
      <c r="EA72" s="140"/>
      <c r="EB72" s="117"/>
      <c r="EC72" s="117"/>
      <c r="ED72" s="117"/>
      <c r="EE72" s="117"/>
      <c r="EF72" s="110"/>
      <c r="EG72" s="4"/>
      <c r="EH72" s="111"/>
      <c r="EI72" s="112"/>
      <c r="EJ72" s="112"/>
      <c r="EK72" s="110"/>
      <c r="EL72" s="113"/>
      <c r="EM72" s="114"/>
      <c r="EN72" s="114"/>
      <c r="EO72" s="110"/>
      <c r="EP72" s="113"/>
      <c r="EQ72" s="10"/>
      <c r="ER72" s="110"/>
      <c r="ES72" s="113"/>
    </row>
    <row r="73" spans="13:149" ht="12.75" customHeight="1">
      <c r="M73" s="7" t="str">
        <f>"- Biến dạng tương đối:"</f>
        <v>- Biến dạng tương đối:</v>
      </c>
      <c r="N73" s="141"/>
      <c r="O73" s="141"/>
      <c r="P73" s="152" t="s">
        <v>185</v>
      </c>
      <c r="Q73" s="141">
        <f>(W18/1.15)/210000</f>
        <v>1.2422360248447205E-3</v>
      </c>
      <c r="R73" s="153" t="s">
        <v>186</v>
      </c>
      <c r="S73" s="141">
        <v>3.5000000000000001E-3</v>
      </c>
      <c r="T73" s="2"/>
      <c r="U73" s="2"/>
      <c r="V73" s="20" t="s">
        <v>187</v>
      </c>
      <c r="W73" s="154">
        <f>0.8/(1+Q73/S73)</f>
        <v>0.59043876882776691</v>
      </c>
      <c r="X73" s="5"/>
      <c r="AA73" s="67" t="s">
        <v>211</v>
      </c>
      <c r="AB73" s="28" t="s">
        <v>390</v>
      </c>
      <c r="AC73" s="28" t="s">
        <v>347</v>
      </c>
      <c r="AD73" s="68">
        <v>20.399999999999999</v>
      </c>
      <c r="AE73" s="4">
        <f t="shared" si="14"/>
        <v>450</v>
      </c>
      <c r="AF73" s="4">
        <f t="shared" si="15"/>
        <v>200</v>
      </c>
      <c r="AG73" s="4">
        <f t="shared" si="16"/>
        <v>6</v>
      </c>
      <c r="AH73" s="4">
        <f t="shared" si="17"/>
        <v>12</v>
      </c>
      <c r="AI73" s="13">
        <f t="shared" si="18"/>
        <v>670</v>
      </c>
      <c r="AJ73" s="13">
        <f t="shared" si="19"/>
        <v>250</v>
      </c>
      <c r="AK73" s="13">
        <f t="shared" si="20"/>
        <v>20</v>
      </c>
      <c r="AL73" s="13" t="str">
        <f t="shared" si="21"/>
        <v>670x250x20</v>
      </c>
      <c r="AM73" s="13" t="str">
        <f t="shared" si="22"/>
        <v>6M24</v>
      </c>
      <c r="AN73" s="67" t="s">
        <v>445</v>
      </c>
      <c r="AO73" s="69">
        <v>-77.749191193822838</v>
      </c>
      <c r="AP73" s="69">
        <v>15.368021979876275</v>
      </c>
      <c r="AQ73" s="29">
        <v>2.2003768152617242E-13</v>
      </c>
      <c r="AR73" s="29"/>
      <c r="AS73" s="29"/>
      <c r="AT73" s="29"/>
      <c r="AU73" s="29"/>
      <c r="AV73" s="29"/>
      <c r="AW73" s="29"/>
      <c r="AX73" s="29"/>
      <c r="AY73" s="29"/>
      <c r="AZ73" s="29"/>
      <c r="BA73" s="140">
        <f t="shared" si="23"/>
        <v>2.8300960839275506E-15</v>
      </c>
      <c r="BB73" s="117">
        <f t="shared" si="2"/>
        <v>200</v>
      </c>
      <c r="BC73" s="117">
        <f t="shared" si="24"/>
        <v>535</v>
      </c>
      <c r="BD73" s="117">
        <f t="shared" si="25"/>
        <v>8.0789633135241274</v>
      </c>
      <c r="BE73" s="117">
        <f t="shared" si="26"/>
        <v>315.88474132285529</v>
      </c>
      <c r="BF73" s="110">
        <f t="shared" si="27"/>
        <v>2.557566813671094E-2</v>
      </c>
      <c r="BG73" s="4">
        <f t="shared" si="6"/>
        <v>2</v>
      </c>
      <c r="BH73" s="111">
        <f t="shared" si="38"/>
        <v>0</v>
      </c>
      <c r="BI73" s="112">
        <f t="shared" si="28"/>
        <v>0</v>
      </c>
      <c r="BJ73" s="112">
        <f t="shared" si="29"/>
        <v>57.1</v>
      </c>
      <c r="BK73" s="110">
        <f t="shared" si="30"/>
        <v>0.16175637393767706</v>
      </c>
      <c r="BL73" s="113" t="str">
        <f t="shared" si="31"/>
        <v>OK</v>
      </c>
      <c r="BM73" s="114">
        <f t="shared" si="32"/>
        <v>0.46417427578402876</v>
      </c>
      <c r="BN73" s="114">
        <f t="shared" si="33"/>
        <v>0.46417427578400522</v>
      </c>
      <c r="BO73" s="110">
        <f t="shared" si="34"/>
        <v>4.2682692026117589E-2</v>
      </c>
      <c r="BP73" s="113" t="str">
        <f t="shared" si="35"/>
        <v>OK</v>
      </c>
      <c r="BQ73" s="10">
        <f t="shared" si="12"/>
        <v>304.99199999999996</v>
      </c>
      <c r="BR73" s="110">
        <f t="shared" si="36"/>
        <v>5.0388278970846044E-2</v>
      </c>
      <c r="BS73" s="113" t="str">
        <f t="shared" si="37"/>
        <v>OK</v>
      </c>
      <c r="DE73" s="4"/>
      <c r="DF73" s="4"/>
      <c r="DG73" s="4"/>
      <c r="DH73" s="4"/>
      <c r="DI73" s="13"/>
      <c r="DJ73" s="13"/>
      <c r="DK73" s="13"/>
      <c r="DL73" s="13"/>
      <c r="DM73" s="13"/>
      <c r="DR73" s="29"/>
      <c r="DS73" s="29"/>
      <c r="DT73" s="29"/>
      <c r="DU73" s="29"/>
      <c r="DV73" s="29"/>
      <c r="DW73" s="29"/>
      <c r="DX73" s="29"/>
      <c r="DY73" s="29"/>
      <c r="DZ73" s="29"/>
      <c r="EA73" s="140"/>
      <c r="EB73" s="117"/>
      <c r="EC73" s="117"/>
      <c r="ED73" s="117"/>
      <c r="EE73" s="117"/>
      <c r="EF73" s="110"/>
      <c r="EG73" s="4"/>
      <c r="EH73" s="111"/>
      <c r="EI73" s="112"/>
      <c r="EJ73" s="112"/>
      <c r="EK73" s="110"/>
      <c r="EL73" s="113"/>
      <c r="EM73" s="114"/>
      <c r="EN73" s="114"/>
      <c r="EO73" s="110"/>
      <c r="EP73" s="113"/>
      <c r="EQ73" s="10"/>
      <c r="ER73" s="110"/>
      <c r="ES73" s="113"/>
    </row>
    <row r="74" spans="13:149" ht="12.75" customHeight="1">
      <c r="M74" s="7" t="str">
        <f>"- Chiều cao giới hạn vùng nén:"</f>
        <v>- Chiều cao giới hạn vùng nén:</v>
      </c>
      <c r="N74" s="141"/>
      <c r="O74" s="141"/>
      <c r="P74" s="141"/>
      <c r="Q74" s="141"/>
      <c r="R74" s="141"/>
      <c r="S74" s="142"/>
      <c r="T74" s="143"/>
      <c r="U74" s="141"/>
      <c r="V74" s="33" t="s">
        <v>189</v>
      </c>
      <c r="W74" s="151">
        <f>$W$73*W71</f>
        <v>315.88474132285529</v>
      </c>
      <c r="X74" s="23" t="s">
        <v>1</v>
      </c>
      <c r="AA74" s="67" t="s">
        <v>211</v>
      </c>
      <c r="AB74" s="28" t="s">
        <v>390</v>
      </c>
      <c r="AC74" s="28" t="s">
        <v>347</v>
      </c>
      <c r="AD74" s="68">
        <v>20.399999999999999</v>
      </c>
      <c r="AE74" s="4">
        <f t="shared" si="14"/>
        <v>450</v>
      </c>
      <c r="AF74" s="4">
        <f t="shared" si="15"/>
        <v>200</v>
      </c>
      <c r="AG74" s="4">
        <f t="shared" si="16"/>
        <v>6</v>
      </c>
      <c r="AH74" s="4">
        <f t="shared" si="17"/>
        <v>12</v>
      </c>
      <c r="AI74" s="13">
        <f t="shared" si="18"/>
        <v>670</v>
      </c>
      <c r="AJ74" s="13">
        <f t="shared" si="19"/>
        <v>250</v>
      </c>
      <c r="AK74" s="13">
        <f t="shared" si="20"/>
        <v>20</v>
      </c>
      <c r="AL74" s="13" t="str">
        <f t="shared" si="21"/>
        <v>670x250x20</v>
      </c>
      <c r="AM74" s="13" t="str">
        <f t="shared" si="22"/>
        <v>6M24</v>
      </c>
      <c r="AN74" s="67" t="s">
        <v>446</v>
      </c>
      <c r="AO74" s="69">
        <v>127.08720742135293</v>
      </c>
      <c r="AP74" s="69">
        <v>11.758248962143114</v>
      </c>
      <c r="AQ74" s="29">
        <v>3.2328226883682431E-14</v>
      </c>
      <c r="AR74" s="29"/>
      <c r="AS74" s="29"/>
      <c r="AT74" s="29"/>
      <c r="AU74" s="29"/>
      <c r="AV74" s="29"/>
      <c r="AW74" s="29"/>
      <c r="AX74" s="29"/>
      <c r="AY74" s="29"/>
      <c r="AZ74" s="29"/>
      <c r="BA74" s="140">
        <f t="shared" si="23"/>
        <v>2.5437829298191588E-16</v>
      </c>
      <c r="BB74" s="117">
        <f t="shared" si="2"/>
        <v>200</v>
      </c>
      <c r="BC74" s="117">
        <f t="shared" si="24"/>
        <v>535</v>
      </c>
      <c r="BD74" s="117">
        <f t="shared" si="25"/>
        <v>13.27058353138807</v>
      </c>
      <c r="BE74" s="117">
        <f t="shared" si="26"/>
        <v>315.88474132285529</v>
      </c>
      <c r="BF74" s="110">
        <f t="shared" si="27"/>
        <v>4.2010840649705984E-2</v>
      </c>
      <c r="BG74" s="4">
        <f t="shared" si="6"/>
        <v>2</v>
      </c>
      <c r="BH74" s="111">
        <f t="shared" si="38"/>
        <v>87.596536361317334</v>
      </c>
      <c r="BI74" s="112">
        <f t="shared" si="28"/>
        <v>383.23484658076336</v>
      </c>
      <c r="BJ74" s="112">
        <f t="shared" si="29"/>
        <v>383.23484658076336</v>
      </c>
      <c r="BK74" s="110">
        <f t="shared" si="30"/>
        <v>1.0856511234582531</v>
      </c>
      <c r="BL74" s="113" t="str">
        <f t="shared" si="31"/>
        <v>Check</v>
      </c>
      <c r="BM74" s="114">
        <f t="shared" si="32"/>
        <v>0.7587295965453924</v>
      </c>
      <c r="BN74" s="114">
        <f t="shared" si="33"/>
        <v>0.75872959654538885</v>
      </c>
      <c r="BO74" s="110">
        <f t="shared" si="34"/>
        <v>6.9768238762794699E-2</v>
      </c>
      <c r="BP74" s="113" t="str">
        <f t="shared" si="35"/>
        <v>OK</v>
      </c>
      <c r="BQ74" s="10">
        <f t="shared" si="12"/>
        <v>304.99199999999996</v>
      </c>
      <c r="BR74" s="110">
        <f t="shared" si="36"/>
        <v>0.2872092919201728</v>
      </c>
      <c r="BS74" s="113" t="str">
        <f t="shared" si="37"/>
        <v>OK</v>
      </c>
      <c r="DE74" s="4"/>
      <c r="DF74" s="4"/>
      <c r="DG74" s="4"/>
      <c r="DH74" s="4"/>
      <c r="DI74" s="13"/>
      <c r="DJ74" s="13"/>
      <c r="DK74" s="13"/>
      <c r="DL74" s="13"/>
      <c r="DM74" s="13"/>
      <c r="DR74" s="29"/>
      <c r="DS74" s="29"/>
      <c r="DT74" s="29"/>
      <c r="DU74" s="29"/>
      <c r="DV74" s="29"/>
      <c r="DW74" s="29"/>
      <c r="DX74" s="29"/>
      <c r="DY74" s="29"/>
      <c r="DZ74" s="29"/>
      <c r="EA74" s="140"/>
      <c r="EB74" s="117"/>
      <c r="EC74" s="117"/>
      <c r="ED74" s="117"/>
      <c r="EE74" s="117"/>
      <c r="EF74" s="110"/>
      <c r="EG74" s="4"/>
      <c r="EH74" s="111"/>
      <c r="EI74" s="112"/>
      <c r="EJ74" s="112"/>
      <c r="EK74" s="110"/>
      <c r="EL74" s="113"/>
      <c r="EM74" s="114"/>
      <c r="EN74" s="114"/>
      <c r="EO74" s="110"/>
      <c r="EP74" s="113"/>
      <c r="EQ74" s="10"/>
      <c r="ER74" s="110"/>
      <c r="ES74" s="113"/>
    </row>
    <row r="75" spans="13:149" ht="12.75" customHeight="1">
      <c r="M75" s="7" t="str">
        <f>"- Kiểm tra điều kiện chiều cao của vùng nén:"</f>
        <v>- Kiểm tra điều kiện chiều cao của vùng nén:</v>
      </c>
      <c r="N75" s="141"/>
      <c r="O75" s="141"/>
      <c r="P75" s="141"/>
      <c r="Q75" s="141"/>
      <c r="R75" s="141"/>
      <c r="S75" s="142"/>
      <c r="T75" s="143"/>
      <c r="U75" s="141"/>
      <c r="V75" s="33" t="s">
        <v>188</v>
      </c>
      <c r="W75" s="155">
        <f>W72/W74</f>
        <v>7.1764603270554325E-2</v>
      </c>
      <c r="X75" s="12" t="str">
        <f>IF(W75&lt;=1,"OK","Check")</f>
        <v>OK</v>
      </c>
      <c r="AA75" s="67" t="s">
        <v>211</v>
      </c>
      <c r="AB75" s="28" t="s">
        <v>390</v>
      </c>
      <c r="AC75" s="28" t="s">
        <v>347</v>
      </c>
      <c r="AD75" s="68">
        <v>20.399999999999999</v>
      </c>
      <c r="AE75" s="4">
        <f t="shared" si="14"/>
        <v>450</v>
      </c>
      <c r="AF75" s="4">
        <f t="shared" si="15"/>
        <v>200</v>
      </c>
      <c r="AG75" s="4">
        <f t="shared" si="16"/>
        <v>6</v>
      </c>
      <c r="AH75" s="4">
        <f t="shared" si="17"/>
        <v>12</v>
      </c>
      <c r="AI75" s="13">
        <f t="shared" si="18"/>
        <v>670</v>
      </c>
      <c r="AJ75" s="13">
        <f t="shared" si="19"/>
        <v>250</v>
      </c>
      <c r="AK75" s="13">
        <f t="shared" si="20"/>
        <v>20</v>
      </c>
      <c r="AL75" s="13" t="str">
        <f t="shared" si="21"/>
        <v>670x250x20</v>
      </c>
      <c r="AM75" s="13" t="str">
        <f t="shared" si="22"/>
        <v>6M24</v>
      </c>
      <c r="AN75" s="67" t="s">
        <v>447</v>
      </c>
      <c r="AO75" s="69">
        <v>122.8413889139679</v>
      </c>
      <c r="AP75" s="69">
        <v>26.255176750802889</v>
      </c>
      <c r="AQ75" s="29">
        <v>3.1224787445941888E-13</v>
      </c>
      <c r="AR75" s="29"/>
      <c r="AS75" s="29"/>
      <c r="AT75" s="29"/>
      <c r="AU75" s="29"/>
      <c r="AV75" s="29"/>
      <c r="AW75" s="29"/>
      <c r="AX75" s="29"/>
      <c r="AY75" s="29"/>
      <c r="AZ75" s="29"/>
      <c r="BA75" s="140">
        <f t="shared" si="23"/>
        <v>2.5418784110142389E-15</v>
      </c>
      <c r="BB75" s="117">
        <f t="shared" si="2"/>
        <v>200</v>
      </c>
      <c r="BC75" s="117">
        <f t="shared" si="24"/>
        <v>535</v>
      </c>
      <c r="BD75" s="117">
        <f t="shared" si="25"/>
        <v>12.821785096469284</v>
      </c>
      <c r="BE75" s="117">
        <f t="shared" si="26"/>
        <v>315.88474132285529</v>
      </c>
      <c r="BF75" s="110">
        <f t="shared" si="27"/>
        <v>4.059007422382762E-2</v>
      </c>
      <c r="BG75" s="4">
        <f t="shared" si="6"/>
        <v>2</v>
      </c>
      <c r="BH75" s="111">
        <f t="shared" si="38"/>
        <v>84.66017994433453</v>
      </c>
      <c r="BI75" s="112">
        <f t="shared" si="28"/>
        <v>370.38828725646357</v>
      </c>
      <c r="BJ75" s="112">
        <f t="shared" si="29"/>
        <v>370.38828725646357</v>
      </c>
      <c r="BK75" s="110">
        <f t="shared" si="30"/>
        <v>1.0492586041259591</v>
      </c>
      <c r="BL75" s="113" t="str">
        <f t="shared" si="31"/>
        <v>Check</v>
      </c>
      <c r="BM75" s="114">
        <f t="shared" si="32"/>
        <v>0.73338142635206383</v>
      </c>
      <c r="BN75" s="114">
        <f t="shared" si="33"/>
        <v>0.73338142635203052</v>
      </c>
      <c r="BO75" s="110">
        <f t="shared" si="34"/>
        <v>6.7437372538120807E-2</v>
      </c>
      <c r="BP75" s="113" t="str">
        <f t="shared" si="35"/>
        <v>OK</v>
      </c>
      <c r="BQ75" s="10">
        <f t="shared" si="12"/>
        <v>304.99199999999996</v>
      </c>
      <c r="BR75" s="110">
        <f t="shared" si="36"/>
        <v>0.27758164130316382</v>
      </c>
      <c r="BS75" s="113" t="str">
        <f t="shared" si="37"/>
        <v>OK</v>
      </c>
      <c r="DE75" s="4"/>
      <c r="DF75" s="4"/>
      <c r="DG75" s="4"/>
      <c r="DH75" s="4"/>
      <c r="DI75" s="13"/>
      <c r="DJ75" s="13"/>
      <c r="DK75" s="13"/>
      <c r="DL75" s="13"/>
      <c r="DM75" s="13"/>
      <c r="DR75" s="29"/>
      <c r="DS75" s="29"/>
      <c r="DT75" s="29"/>
      <c r="DU75" s="29"/>
      <c r="DV75" s="29"/>
      <c r="DW75" s="29"/>
      <c r="DX75" s="29"/>
      <c r="DY75" s="29"/>
      <c r="DZ75" s="29"/>
      <c r="EA75" s="140"/>
      <c r="EB75" s="117"/>
      <c r="EC75" s="117"/>
      <c r="ED75" s="117"/>
      <c r="EE75" s="117"/>
      <c r="EF75" s="110"/>
      <c r="EG75" s="4"/>
      <c r="EH75" s="111"/>
      <c r="EI75" s="112"/>
      <c r="EJ75" s="112"/>
      <c r="EK75" s="110"/>
      <c r="EL75" s="113"/>
      <c r="EM75" s="114"/>
      <c r="EN75" s="114"/>
      <c r="EO75" s="110"/>
      <c r="EP75" s="113"/>
      <c r="EQ75" s="10"/>
      <c r="ER75" s="110"/>
      <c r="ES75" s="113"/>
    </row>
    <row r="76" spans="13:149" ht="12.75" customHeight="1">
      <c r="M76" s="7" t="str">
        <f>"- Số lượng bu lông chịu kéo nằm ở một phía chân cột:"</f>
        <v>- Số lượng bu lông chịu kéo nằm ở một phía chân cột:</v>
      </c>
      <c r="N76" s="141"/>
      <c r="O76" s="141"/>
      <c r="P76" s="141"/>
      <c r="Q76" s="141"/>
      <c r="R76" s="141"/>
      <c r="S76" s="142"/>
      <c r="T76" s="143"/>
      <c r="U76" s="141"/>
      <c r="V76" s="33" t="s">
        <v>125</v>
      </c>
      <c r="W76" s="34">
        <f>IF(U70="Trái",SUM(P51:R51),SUM(T51:V51))</f>
        <v>2</v>
      </c>
      <c r="X76" s="5"/>
      <c r="AA76" s="67" t="s">
        <v>211</v>
      </c>
      <c r="AB76" s="28" t="s">
        <v>390</v>
      </c>
      <c r="AC76" s="28" t="s">
        <v>347</v>
      </c>
      <c r="AD76" s="68">
        <v>20.399999999999999</v>
      </c>
      <c r="AE76" s="4">
        <f t="shared" si="14"/>
        <v>450</v>
      </c>
      <c r="AF76" s="4">
        <f t="shared" si="15"/>
        <v>200</v>
      </c>
      <c r="AG76" s="4">
        <f t="shared" si="16"/>
        <v>6</v>
      </c>
      <c r="AH76" s="4">
        <f t="shared" si="17"/>
        <v>12</v>
      </c>
      <c r="AI76" s="13">
        <f t="shared" si="18"/>
        <v>670</v>
      </c>
      <c r="AJ76" s="13">
        <f t="shared" si="19"/>
        <v>250</v>
      </c>
      <c r="AK76" s="13">
        <f t="shared" si="20"/>
        <v>20</v>
      </c>
      <c r="AL76" s="13" t="str">
        <f t="shared" si="21"/>
        <v>670x250x20</v>
      </c>
      <c r="AM76" s="13" t="str">
        <f t="shared" si="22"/>
        <v>6M24</v>
      </c>
      <c r="AN76" s="67" t="s">
        <v>448</v>
      </c>
      <c r="AO76" s="69">
        <v>125.59492790409493</v>
      </c>
      <c r="AP76" s="69">
        <v>5.5909576934949721</v>
      </c>
      <c r="AQ76" s="29">
        <v>1.0242577533140759E-12</v>
      </c>
      <c r="AR76" s="29"/>
      <c r="AS76" s="29"/>
      <c r="AT76" s="29"/>
      <c r="AU76" s="29"/>
      <c r="AV76" s="29"/>
      <c r="AW76" s="29"/>
      <c r="AX76" s="29"/>
      <c r="AY76" s="29"/>
      <c r="AZ76" s="29"/>
      <c r="BA76" s="140">
        <f t="shared" si="23"/>
        <v>8.1552477508980745E-15</v>
      </c>
      <c r="BB76" s="117">
        <f t="shared" si="2"/>
        <v>200</v>
      </c>
      <c r="BC76" s="117">
        <f t="shared" si="24"/>
        <v>535</v>
      </c>
      <c r="BD76" s="117">
        <f t="shared" si="25"/>
        <v>13.112800181188618</v>
      </c>
      <c r="BE76" s="117">
        <f t="shared" si="26"/>
        <v>315.88474132285529</v>
      </c>
      <c r="BF76" s="110">
        <f t="shared" si="27"/>
        <v>4.1511344062632204E-2</v>
      </c>
      <c r="BG76" s="4">
        <f t="shared" si="6"/>
        <v>2</v>
      </c>
      <c r="BH76" s="111">
        <f t="shared" si="38"/>
        <v>86.564414280451842</v>
      </c>
      <c r="BI76" s="112">
        <f t="shared" si="28"/>
        <v>378.71931247697677</v>
      </c>
      <c r="BJ76" s="112">
        <f t="shared" si="29"/>
        <v>378.71931247697677</v>
      </c>
      <c r="BK76" s="110">
        <f t="shared" si="30"/>
        <v>1.0728592421444101</v>
      </c>
      <c r="BL76" s="113" t="str">
        <f t="shared" si="31"/>
        <v>Check</v>
      </c>
      <c r="BM76" s="114">
        <f t="shared" si="32"/>
        <v>0.74982046509912892</v>
      </c>
      <c r="BN76" s="114">
        <f t="shared" si="33"/>
        <v>0.74982046509901945</v>
      </c>
      <c r="BO76" s="110">
        <f t="shared" si="34"/>
        <v>6.8949008284977367E-2</v>
      </c>
      <c r="BP76" s="113" t="str">
        <f t="shared" si="35"/>
        <v>OK</v>
      </c>
      <c r="BQ76" s="10">
        <f t="shared" si="12"/>
        <v>304.99199999999996</v>
      </c>
      <c r="BR76" s="110">
        <f t="shared" si="36"/>
        <v>0.2838251963345001</v>
      </c>
      <c r="BS76" s="113" t="str">
        <f t="shared" si="37"/>
        <v>OK</v>
      </c>
      <c r="DE76" s="4"/>
      <c r="DF76" s="4"/>
      <c r="DG76" s="4"/>
      <c r="DH76" s="4"/>
      <c r="DI76" s="13"/>
      <c r="DJ76" s="13"/>
      <c r="DK76" s="13"/>
      <c r="DL76" s="13"/>
      <c r="DM76" s="13"/>
      <c r="DR76" s="29"/>
      <c r="DS76" s="29"/>
      <c r="DT76" s="29"/>
      <c r="DU76" s="29"/>
      <c r="DV76" s="29"/>
      <c r="DW76" s="29"/>
      <c r="DX76" s="29"/>
      <c r="DY76" s="29"/>
      <c r="DZ76" s="29"/>
      <c r="EA76" s="140"/>
      <c r="EB76" s="117"/>
      <c r="EC76" s="117"/>
      <c r="ED76" s="117"/>
      <c r="EE76" s="117"/>
      <c r="EF76" s="110"/>
      <c r="EG76" s="4"/>
      <c r="EH76" s="111"/>
      <c r="EI76" s="112"/>
      <c r="EJ76" s="112"/>
      <c r="EK76" s="110"/>
      <c r="EL76" s="113"/>
      <c r="EM76" s="114"/>
      <c r="EN76" s="114"/>
      <c r="EO76" s="110"/>
      <c r="EP76" s="113"/>
      <c r="EQ76" s="10"/>
      <c r="ER76" s="110"/>
      <c r="ES76" s="113"/>
    </row>
    <row r="77" spans="13:149" ht="12.75" customHeight="1">
      <c r="M77" s="7" t="str">
        <f>"- Tải trọng tính toán tác dụng lên bu lông:"</f>
        <v>- Tải trọng tính toán tác dụng lên bu lông:</v>
      </c>
      <c r="N77" s="141"/>
      <c r="O77" s="141"/>
      <c r="P77" s="141"/>
      <c r="Q77" s="141"/>
      <c r="R77" s="141"/>
      <c r="S77" s="142"/>
      <c r="T77" s="143"/>
      <c r="U77" s="141"/>
      <c r="V77" s="33" t="s">
        <v>190</v>
      </c>
      <c r="W77" s="151">
        <f>MAX(($W$36*W48*W72/1000+T64)/W76,0)</f>
        <v>148.67047244300124</v>
      </c>
      <c r="X77" s="23" t="s">
        <v>70</v>
      </c>
      <c r="AA77" s="67" t="s">
        <v>211</v>
      </c>
      <c r="AB77" s="28" t="s">
        <v>390</v>
      </c>
      <c r="AC77" s="28" t="s">
        <v>347</v>
      </c>
      <c r="AD77" s="68">
        <v>20.399999999999999</v>
      </c>
      <c r="AE77" s="4">
        <f t="shared" si="14"/>
        <v>450</v>
      </c>
      <c r="AF77" s="4">
        <f t="shared" si="15"/>
        <v>200</v>
      </c>
      <c r="AG77" s="4">
        <f t="shared" si="16"/>
        <v>6</v>
      </c>
      <c r="AH77" s="4">
        <f t="shared" si="17"/>
        <v>12</v>
      </c>
      <c r="AI77" s="13">
        <f t="shared" si="18"/>
        <v>670</v>
      </c>
      <c r="AJ77" s="13">
        <f t="shared" si="19"/>
        <v>250</v>
      </c>
      <c r="AK77" s="13">
        <f t="shared" si="20"/>
        <v>20</v>
      </c>
      <c r="AL77" s="13" t="str">
        <f t="shared" si="21"/>
        <v>670x250x20</v>
      </c>
      <c r="AM77" s="13" t="str">
        <f t="shared" si="22"/>
        <v>6M24</v>
      </c>
      <c r="AN77" s="67" t="s">
        <v>449</v>
      </c>
      <c r="AO77" s="69">
        <v>121.34910939670991</v>
      </c>
      <c r="AP77" s="69">
        <v>26.033949570225218</v>
      </c>
      <c r="AQ77" s="29">
        <v>7.3398541531167289E-13</v>
      </c>
      <c r="AR77" s="29"/>
      <c r="AS77" s="29"/>
      <c r="AT77" s="29"/>
      <c r="AU77" s="29"/>
      <c r="AV77" s="29"/>
      <c r="AW77" s="29"/>
      <c r="AX77" s="29"/>
      <c r="AY77" s="29"/>
      <c r="AZ77" s="29"/>
      <c r="BA77" s="140">
        <f t="shared" si="23"/>
        <v>6.0485438991740401E-15</v>
      </c>
      <c r="BB77" s="117">
        <f t="shared" si="2"/>
        <v>200</v>
      </c>
      <c r="BC77" s="117">
        <f t="shared" si="24"/>
        <v>535</v>
      </c>
      <c r="BD77" s="117">
        <f t="shared" si="25"/>
        <v>12.664137315960375</v>
      </c>
      <c r="BE77" s="117">
        <f t="shared" si="26"/>
        <v>315.88474132285529</v>
      </c>
      <c r="BF77" s="110">
        <f t="shared" si="27"/>
        <v>4.0091006811300144E-2</v>
      </c>
      <c r="BG77" s="4">
        <f t="shared" si="6"/>
        <v>2</v>
      </c>
      <c r="BH77" s="111">
        <f t="shared" si="38"/>
        <v>83.628303583533125</v>
      </c>
      <c r="BI77" s="112">
        <f t="shared" si="28"/>
        <v>365.87382817795736</v>
      </c>
      <c r="BJ77" s="112">
        <f t="shared" si="29"/>
        <v>365.87382817795736</v>
      </c>
      <c r="BK77" s="110">
        <f t="shared" si="30"/>
        <v>1.036469768209511</v>
      </c>
      <c r="BL77" s="113" t="str">
        <f t="shared" si="31"/>
        <v>Check</v>
      </c>
      <c r="BM77" s="114">
        <f t="shared" si="32"/>
        <v>0.72447229490577003</v>
      </c>
      <c r="BN77" s="114">
        <f t="shared" si="33"/>
        <v>0.72447229490569165</v>
      </c>
      <c r="BO77" s="110">
        <f t="shared" si="34"/>
        <v>6.6618142060300686E-2</v>
      </c>
      <c r="BP77" s="113" t="str">
        <f t="shared" si="35"/>
        <v>OK</v>
      </c>
      <c r="BQ77" s="10">
        <f t="shared" si="12"/>
        <v>304.99199999999996</v>
      </c>
      <c r="BR77" s="110">
        <f t="shared" si="36"/>
        <v>0.27419835137817755</v>
      </c>
      <c r="BS77" s="113" t="str">
        <f t="shared" si="37"/>
        <v>OK</v>
      </c>
      <c r="DE77" s="4"/>
      <c r="DF77" s="4"/>
      <c r="DG77" s="4"/>
      <c r="DH77" s="4"/>
      <c r="DI77" s="13"/>
      <c r="DJ77" s="13"/>
      <c r="DK77" s="13"/>
      <c r="DL77" s="13"/>
      <c r="DM77" s="13"/>
      <c r="DR77" s="29"/>
      <c r="DS77" s="29"/>
      <c r="DT77" s="29"/>
      <c r="DU77" s="29"/>
      <c r="DV77" s="29"/>
      <c r="DW77" s="29"/>
      <c r="DX77" s="29"/>
      <c r="DY77" s="29"/>
      <c r="DZ77" s="29"/>
      <c r="EA77" s="140"/>
      <c r="EB77" s="117"/>
      <c r="EC77" s="117"/>
      <c r="ED77" s="117"/>
      <c r="EE77" s="117"/>
      <c r="EF77" s="110"/>
      <c r="EG77" s="4"/>
      <c r="EH77" s="111"/>
      <c r="EI77" s="112"/>
      <c r="EJ77" s="112"/>
      <c r="EK77" s="110"/>
      <c r="EL77" s="113"/>
      <c r="EM77" s="114"/>
      <c r="EN77" s="114"/>
      <c r="EO77" s="110"/>
      <c r="EP77" s="113"/>
      <c r="EQ77" s="10"/>
      <c r="ER77" s="110"/>
      <c r="ES77" s="113"/>
    </row>
    <row r="78" spans="13:149" ht="15">
      <c r="M78" s="7" t="str">
        <f>"- Diện tích tiết diện ngang tối thiểu theo điều kiện độ bền (L.1)"</f>
        <v>- Diện tích tiết diện ngang tối thiểu theo điều kiện độ bền (L.1)</v>
      </c>
      <c r="N78" s="156"/>
      <c r="O78" s="156"/>
      <c r="P78" s="33"/>
      <c r="Q78" s="148"/>
      <c r="R78" s="149"/>
      <c r="S78" s="2"/>
      <c r="T78" s="2"/>
      <c r="U78" s="2"/>
      <c r="V78" s="33" t="s">
        <v>93</v>
      </c>
      <c r="W78" s="151">
        <f>MAX((W61*W77*1000/W19),0)</f>
        <v>650.43331693813036</v>
      </c>
      <c r="X78" s="23" t="s">
        <v>46</v>
      </c>
      <c r="AA78" s="67" t="s">
        <v>211</v>
      </c>
      <c r="AB78" s="28" t="s">
        <v>390</v>
      </c>
      <c r="AC78" s="28" t="s">
        <v>347</v>
      </c>
      <c r="AD78" s="68">
        <v>20.399999999999999</v>
      </c>
      <c r="AE78" s="4">
        <f t="shared" si="14"/>
        <v>450</v>
      </c>
      <c r="AF78" s="4">
        <f t="shared" si="15"/>
        <v>200</v>
      </c>
      <c r="AG78" s="4">
        <f t="shared" si="16"/>
        <v>6</v>
      </c>
      <c r="AH78" s="4">
        <f t="shared" si="17"/>
        <v>12</v>
      </c>
      <c r="AI78" s="13">
        <f t="shared" si="18"/>
        <v>670</v>
      </c>
      <c r="AJ78" s="13">
        <f t="shared" si="19"/>
        <v>250</v>
      </c>
      <c r="AK78" s="13">
        <f t="shared" si="20"/>
        <v>20</v>
      </c>
      <c r="AL78" s="13" t="str">
        <f t="shared" si="21"/>
        <v>670x250x20</v>
      </c>
      <c r="AM78" s="13" t="str">
        <f t="shared" si="22"/>
        <v>6M24</v>
      </c>
      <c r="AN78" s="67" t="s">
        <v>450</v>
      </c>
      <c r="AO78" s="69">
        <v>38.911573638815547</v>
      </c>
      <c r="AP78" s="69">
        <v>8.9727898178789189</v>
      </c>
      <c r="AQ78" s="29">
        <v>4.5526593156794925E-14</v>
      </c>
      <c r="AR78" s="29"/>
      <c r="AS78" s="29"/>
      <c r="AT78" s="29"/>
      <c r="AU78" s="29"/>
      <c r="AV78" s="29"/>
      <c r="AW78" s="29"/>
      <c r="AX78" s="29"/>
      <c r="AY78" s="29"/>
      <c r="AZ78" s="29"/>
      <c r="BA78" s="140">
        <f t="shared" si="23"/>
        <v>1.1700013363474121E-15</v>
      </c>
      <c r="BB78" s="117">
        <f t="shared" si="2"/>
        <v>200</v>
      </c>
      <c r="BC78" s="117">
        <f t="shared" si="24"/>
        <v>535</v>
      </c>
      <c r="BD78" s="117">
        <f t="shared" si="25"/>
        <v>4.0279582541874106</v>
      </c>
      <c r="BE78" s="117">
        <f t="shared" si="26"/>
        <v>315.88474132285529</v>
      </c>
      <c r="BF78" s="110">
        <f t="shared" si="27"/>
        <v>1.2751354298783836E-2</v>
      </c>
      <c r="BG78" s="4">
        <f t="shared" si="6"/>
        <v>2</v>
      </c>
      <c r="BH78" s="111">
        <f t="shared" si="38"/>
        <v>26.756461155122455</v>
      </c>
      <c r="BI78" s="112">
        <f t="shared" si="28"/>
        <v>117.05951755366075</v>
      </c>
      <c r="BJ78" s="112">
        <f t="shared" si="29"/>
        <v>117.05951755366075</v>
      </c>
      <c r="BK78" s="110">
        <f t="shared" si="30"/>
        <v>0.33161336417467635</v>
      </c>
      <c r="BL78" s="113" t="str">
        <f t="shared" si="31"/>
        <v>OK</v>
      </c>
      <c r="BM78" s="114">
        <f t="shared" si="32"/>
        <v>0.23230790232128928</v>
      </c>
      <c r="BN78" s="114">
        <f t="shared" si="33"/>
        <v>0.2323079023212844</v>
      </c>
      <c r="BO78" s="110">
        <f t="shared" si="34"/>
        <v>2.1361646190463383E-2</v>
      </c>
      <c r="BP78" s="113" t="str">
        <f t="shared" si="35"/>
        <v>OK</v>
      </c>
      <c r="BQ78" s="10">
        <f t="shared" si="12"/>
        <v>304.99199999999996</v>
      </c>
      <c r="BR78" s="110">
        <f t="shared" si="36"/>
        <v>8.772840322081385E-2</v>
      </c>
      <c r="BS78" s="113" t="str">
        <f t="shared" si="37"/>
        <v>OK</v>
      </c>
      <c r="DE78" s="4"/>
      <c r="DF78" s="4"/>
      <c r="DG78" s="4"/>
      <c r="DH78" s="4"/>
      <c r="DI78" s="13"/>
      <c r="DJ78" s="13"/>
      <c r="DK78" s="13"/>
      <c r="DL78" s="13"/>
      <c r="DM78" s="13"/>
      <c r="DR78" s="29"/>
      <c r="DS78" s="29"/>
      <c r="DT78" s="29"/>
      <c r="DU78" s="29"/>
      <c r="DV78" s="29"/>
      <c r="DW78" s="29"/>
      <c r="DX78" s="29"/>
      <c r="DY78" s="29"/>
      <c r="DZ78" s="29"/>
      <c r="EA78" s="140"/>
      <c r="EB78" s="117"/>
      <c r="EC78" s="117"/>
      <c r="ED78" s="117"/>
      <c r="EE78" s="117"/>
      <c r="EF78" s="110"/>
      <c r="EG78" s="4"/>
      <c r="EH78" s="111"/>
      <c r="EI78" s="112"/>
      <c r="EJ78" s="112"/>
      <c r="EK78" s="110"/>
      <c r="EL78" s="113"/>
      <c r="EM78" s="114"/>
      <c r="EN78" s="114"/>
      <c r="EO78" s="110"/>
      <c r="EP78" s="113"/>
      <c r="EQ78" s="10"/>
      <c r="ER78" s="110"/>
      <c r="ES78" s="113"/>
    </row>
    <row r="79" spans="13:149">
      <c r="M79" s="7" t="str">
        <f>"- Diện tích tiết diện ngang tối thiểu theo chịu mỏi (L.2)"</f>
        <v>- Diện tích tiết diện ngang tối thiểu theo chịu mỏi (L.2)</v>
      </c>
      <c r="N79" s="156"/>
      <c r="O79" s="156"/>
      <c r="P79" s="33"/>
      <c r="Q79" s="148"/>
      <c r="R79" s="149"/>
      <c r="S79" s="2"/>
      <c r="T79" s="2"/>
      <c r="U79" s="2"/>
      <c r="V79" s="33"/>
      <c r="W79" s="157"/>
      <c r="X79" s="23"/>
      <c r="AA79" s="67" t="s">
        <v>211</v>
      </c>
      <c r="AB79" s="28" t="s">
        <v>390</v>
      </c>
      <c r="AC79" s="28" t="s">
        <v>347</v>
      </c>
      <c r="AD79" s="68">
        <v>20.399999999999999</v>
      </c>
      <c r="AE79" s="4">
        <f t="shared" si="14"/>
        <v>450</v>
      </c>
      <c r="AF79" s="4">
        <f t="shared" si="15"/>
        <v>200</v>
      </c>
      <c r="AG79" s="4">
        <f t="shared" si="16"/>
        <v>6</v>
      </c>
      <c r="AH79" s="4">
        <f t="shared" si="17"/>
        <v>12</v>
      </c>
      <c r="AI79" s="13">
        <f t="shared" si="18"/>
        <v>670</v>
      </c>
      <c r="AJ79" s="13">
        <f t="shared" si="19"/>
        <v>250</v>
      </c>
      <c r="AK79" s="13">
        <f t="shared" si="20"/>
        <v>20</v>
      </c>
      <c r="AL79" s="13" t="str">
        <f t="shared" si="21"/>
        <v>670x250x20</v>
      </c>
      <c r="AM79" s="13" t="str">
        <f t="shared" si="22"/>
        <v>6M24</v>
      </c>
      <c r="AN79" s="67" t="s">
        <v>451</v>
      </c>
      <c r="AO79" s="69">
        <v>34.665755131430522</v>
      </c>
      <c r="AP79" s="69">
        <v>21.233662510315753</v>
      </c>
      <c r="AQ79" s="29">
        <v>2.8237450598290761E-13</v>
      </c>
      <c r="AR79" s="29"/>
      <c r="AS79" s="29"/>
      <c r="AT79" s="29"/>
      <c r="AU79" s="29"/>
      <c r="AV79" s="29"/>
      <c r="AW79" s="29"/>
      <c r="AX79" s="29"/>
      <c r="AY79" s="29"/>
      <c r="AZ79" s="29"/>
      <c r="BA79" s="140">
        <f t="shared" si="23"/>
        <v>8.1456326254057602E-15</v>
      </c>
      <c r="BB79" s="117">
        <f t="shared" si="2"/>
        <v>200</v>
      </c>
      <c r="BC79" s="117">
        <f t="shared" si="24"/>
        <v>535</v>
      </c>
      <c r="BD79" s="117">
        <f t="shared" si="25"/>
        <v>3.5869655090529022</v>
      </c>
      <c r="BE79" s="117">
        <f t="shared" si="26"/>
        <v>315.88474132285529</v>
      </c>
      <c r="BF79" s="110">
        <f t="shared" si="27"/>
        <v>1.1355298435851905E-2</v>
      </c>
      <c r="BG79" s="4">
        <f t="shared" si="6"/>
        <v>2</v>
      </c>
      <c r="BH79" s="111">
        <f t="shared" si="38"/>
        <v>23.834252550873646</v>
      </c>
      <c r="BI79" s="112">
        <f t="shared" si="28"/>
        <v>104.27485491007221</v>
      </c>
      <c r="BJ79" s="112">
        <f t="shared" si="29"/>
        <v>104.27485491007221</v>
      </c>
      <c r="BK79" s="110">
        <f t="shared" si="30"/>
        <v>0.29539618954694674</v>
      </c>
      <c r="BL79" s="113" t="str">
        <f t="shared" si="31"/>
        <v>OK</v>
      </c>
      <c r="BM79" s="114">
        <f t="shared" si="32"/>
        <v>0.20695973212795851</v>
      </c>
      <c r="BN79" s="114">
        <f t="shared" si="33"/>
        <v>0.20695973212792831</v>
      </c>
      <c r="BO79" s="110">
        <f t="shared" si="34"/>
        <v>1.903077996578929E-2</v>
      </c>
      <c r="BP79" s="113" t="str">
        <f t="shared" si="35"/>
        <v>OK</v>
      </c>
      <c r="BQ79" s="10">
        <f t="shared" si="12"/>
        <v>304.99199999999996</v>
      </c>
      <c r="BR79" s="110">
        <f t="shared" si="36"/>
        <v>7.8147140091784861E-2</v>
      </c>
      <c r="BS79" s="113" t="str">
        <f t="shared" si="37"/>
        <v>OK</v>
      </c>
      <c r="DE79" s="4"/>
      <c r="DF79" s="4"/>
      <c r="DG79" s="4"/>
      <c r="DH79" s="4"/>
      <c r="DI79" s="13"/>
      <c r="DJ79" s="13"/>
      <c r="DK79" s="13"/>
      <c r="DL79" s="13"/>
      <c r="DM79" s="13"/>
      <c r="DR79" s="29"/>
      <c r="DS79" s="29"/>
      <c r="DT79" s="29"/>
      <c r="DU79" s="29"/>
      <c r="DV79" s="29"/>
      <c r="DW79" s="29"/>
      <c r="DX79" s="29"/>
      <c r="DY79" s="29"/>
      <c r="DZ79" s="29"/>
      <c r="EA79" s="140"/>
      <c r="EB79" s="117"/>
      <c r="EC79" s="117"/>
      <c r="ED79" s="117"/>
      <c r="EE79" s="117"/>
      <c r="EF79" s="110"/>
      <c r="EG79" s="4"/>
      <c r="EH79" s="111"/>
      <c r="EI79" s="112"/>
      <c r="EJ79" s="112"/>
      <c r="EK79" s="110"/>
      <c r="EL79" s="113"/>
      <c r="EM79" s="114"/>
      <c r="EN79" s="114"/>
      <c r="EO79" s="110"/>
      <c r="EP79" s="113"/>
      <c r="EQ79" s="10"/>
      <c r="ER79" s="110"/>
      <c r="ES79" s="113"/>
    </row>
    <row r="80" spans="13:149" ht="15">
      <c r="M80" s="26" t="s">
        <v>94</v>
      </c>
      <c r="N80" s="158">
        <f>VLOOKUP(W16,Data!$DH$2:$DN$7,5,FALSE)</f>
        <v>0.4</v>
      </c>
      <c r="O80" s="20" t="s">
        <v>102</v>
      </c>
      <c r="P80" s="158">
        <f>VLOOKUP(W44,Data!$V$4:$Z$15,5,FALSE)</f>
        <v>1.1000000000000001</v>
      </c>
      <c r="Q80" s="20" t="s">
        <v>103</v>
      </c>
      <c r="R80" s="159">
        <v>1</v>
      </c>
      <c r="S80" s="2"/>
      <c r="T80" s="2"/>
      <c r="U80" s="33" t="str">
        <f>IF(U61="Tải trọng động","","Không áp dụng")</f>
        <v>Không áp dụng</v>
      </c>
      <c r="V80" s="33" t="s">
        <v>93</v>
      </c>
      <c r="W80" s="157" t="str">
        <f>IF(U61="Tải trọng động",1.8*N80*P80*W77*1000/(R80*W19),"-")</f>
        <v>-</v>
      </c>
      <c r="X80" s="23" t="s">
        <v>46</v>
      </c>
      <c r="AA80" s="67" t="s">
        <v>211</v>
      </c>
      <c r="AB80" s="28" t="s">
        <v>390</v>
      </c>
      <c r="AC80" s="28" t="s">
        <v>347</v>
      </c>
      <c r="AD80" s="68">
        <v>20.399999999999999</v>
      </c>
      <c r="AE80" s="4">
        <f t="shared" si="14"/>
        <v>450</v>
      </c>
      <c r="AF80" s="4">
        <f t="shared" si="15"/>
        <v>200</v>
      </c>
      <c r="AG80" s="4">
        <f t="shared" si="16"/>
        <v>6</v>
      </c>
      <c r="AH80" s="4">
        <f t="shared" si="17"/>
        <v>12</v>
      </c>
      <c r="AI80" s="13">
        <f t="shared" si="18"/>
        <v>670</v>
      </c>
      <c r="AJ80" s="13">
        <f t="shared" si="19"/>
        <v>250</v>
      </c>
      <c r="AK80" s="13">
        <f t="shared" si="20"/>
        <v>20</v>
      </c>
      <c r="AL80" s="13" t="str">
        <f t="shared" si="21"/>
        <v>670x250x20</v>
      </c>
      <c r="AM80" s="13" t="str">
        <f t="shared" si="22"/>
        <v>6M24</v>
      </c>
      <c r="AN80" s="67" t="s">
        <v>452</v>
      </c>
      <c r="AO80" s="69">
        <v>37.50058984385398</v>
      </c>
      <c r="AP80" s="69">
        <v>8.4798819963471317</v>
      </c>
      <c r="AQ80" s="29">
        <v>3.9471382731477753E-13</v>
      </c>
      <c r="AR80" s="29"/>
      <c r="AS80" s="29"/>
      <c r="AT80" s="29"/>
      <c r="AU80" s="29"/>
      <c r="AV80" s="29"/>
      <c r="AW80" s="29"/>
      <c r="AX80" s="29"/>
      <c r="AY80" s="29"/>
      <c r="AZ80" s="29"/>
      <c r="BA80" s="140">
        <f t="shared" si="23"/>
        <v>1.0525536503780292E-14</v>
      </c>
      <c r="BB80" s="117">
        <f t="shared" si="2"/>
        <v>200</v>
      </c>
      <c r="BC80" s="117">
        <f t="shared" si="24"/>
        <v>535</v>
      </c>
      <c r="BD80" s="117">
        <f t="shared" si="25"/>
        <v>3.8813655318629117</v>
      </c>
      <c r="BE80" s="117">
        <f t="shared" si="26"/>
        <v>315.88474132285529</v>
      </c>
      <c r="BF80" s="110">
        <f t="shared" si="27"/>
        <v>1.2287284012543984E-2</v>
      </c>
      <c r="BG80" s="4">
        <f t="shared" si="6"/>
        <v>2</v>
      </c>
      <c r="BH80" s="111">
        <f t="shared" si="38"/>
        <v>25.785269948428517</v>
      </c>
      <c r="BI80" s="112">
        <f t="shared" si="28"/>
        <v>112.81055602437478</v>
      </c>
      <c r="BJ80" s="112">
        <f t="shared" si="29"/>
        <v>112.81055602437478</v>
      </c>
      <c r="BK80" s="110">
        <f t="shared" si="30"/>
        <v>0.31957664596140162</v>
      </c>
      <c r="BL80" s="113" t="str">
        <f t="shared" si="31"/>
        <v>OK</v>
      </c>
      <c r="BM80" s="114">
        <f t="shared" si="32"/>
        <v>0.22388411847079112</v>
      </c>
      <c r="BN80" s="114">
        <f t="shared" si="33"/>
        <v>0.22388411847074893</v>
      </c>
      <c r="BO80" s="110">
        <f t="shared" si="34"/>
        <v>2.0587045376624469E-2</v>
      </c>
      <c r="BP80" s="113" t="str">
        <f t="shared" si="35"/>
        <v>OK</v>
      </c>
      <c r="BQ80" s="10">
        <f t="shared" si="12"/>
        <v>304.99199999999996</v>
      </c>
      <c r="BR80" s="110">
        <f t="shared" si="36"/>
        <v>8.4544086233175039E-2</v>
      </c>
      <c r="BS80" s="113" t="str">
        <f t="shared" si="37"/>
        <v>OK</v>
      </c>
      <c r="DE80" s="4"/>
      <c r="DF80" s="4"/>
      <c r="DG80" s="4"/>
      <c r="DH80" s="4"/>
      <c r="DI80" s="13"/>
      <c r="DJ80" s="13"/>
      <c r="DK80" s="13"/>
      <c r="DL80" s="13"/>
      <c r="DM80" s="13"/>
      <c r="DR80" s="29"/>
      <c r="DS80" s="29"/>
      <c r="DT80" s="29"/>
      <c r="DU80" s="29"/>
      <c r="DV80" s="29"/>
      <c r="DW80" s="29"/>
      <c r="DX80" s="29"/>
      <c r="DY80" s="29"/>
      <c r="DZ80" s="29"/>
      <c r="EA80" s="140"/>
      <c r="EB80" s="117"/>
      <c r="EC80" s="117"/>
      <c r="ED80" s="117"/>
      <c r="EE80" s="117"/>
      <c r="EF80" s="110"/>
      <c r="EG80" s="4"/>
      <c r="EH80" s="111"/>
      <c r="EI80" s="112"/>
      <c r="EJ80" s="112"/>
      <c r="EK80" s="110"/>
      <c r="EL80" s="113"/>
      <c r="EM80" s="114"/>
      <c r="EN80" s="114"/>
      <c r="EO80" s="110"/>
      <c r="EP80" s="113"/>
      <c r="EQ80" s="10"/>
      <c r="ER80" s="110"/>
      <c r="ES80" s="113"/>
    </row>
    <row r="81" spans="13:149" ht="15">
      <c r="M81" s="7" t="str">
        <f>"- Diện tích tiết diện ngang tối thiểu:"</f>
        <v>- Diện tích tiết diện ngang tối thiểu:</v>
      </c>
      <c r="N81" s="156"/>
      <c r="O81" s="156"/>
      <c r="P81" s="33"/>
      <c r="Q81" s="148"/>
      <c r="R81" s="149"/>
      <c r="S81" s="2"/>
      <c r="T81" s="2"/>
      <c r="U81" s="2"/>
      <c r="V81" s="33" t="s">
        <v>104</v>
      </c>
      <c r="W81" s="151">
        <f>MAX(MAX(W78,IFERROR(VALUE(W80),0)),57.1)</f>
        <v>650.43331693813036</v>
      </c>
      <c r="X81" s="23" t="s">
        <v>46</v>
      </c>
      <c r="AA81" s="67" t="s">
        <v>211</v>
      </c>
      <c r="AB81" s="28" t="s">
        <v>390</v>
      </c>
      <c r="AC81" s="28" t="s">
        <v>347</v>
      </c>
      <c r="AD81" s="68">
        <v>20.399999999999999</v>
      </c>
      <c r="AE81" s="4">
        <f t="shared" si="14"/>
        <v>450</v>
      </c>
      <c r="AF81" s="4">
        <f t="shared" si="15"/>
        <v>200</v>
      </c>
      <c r="AG81" s="4">
        <f t="shared" si="16"/>
        <v>6</v>
      </c>
      <c r="AH81" s="4">
        <f t="shared" si="17"/>
        <v>12</v>
      </c>
      <c r="AI81" s="13">
        <f t="shared" si="18"/>
        <v>670</v>
      </c>
      <c r="AJ81" s="13">
        <f t="shared" si="19"/>
        <v>250</v>
      </c>
      <c r="AK81" s="13">
        <f t="shared" si="20"/>
        <v>20</v>
      </c>
      <c r="AL81" s="13" t="str">
        <f t="shared" si="21"/>
        <v>670x250x20</v>
      </c>
      <c r="AM81" s="13" t="str">
        <f t="shared" si="22"/>
        <v>6M24</v>
      </c>
      <c r="AN81" s="67" t="s">
        <v>453</v>
      </c>
      <c r="AO81" s="69">
        <v>33.254771336468956</v>
      </c>
      <c r="AP81" s="69">
        <v>21.036104342693875</v>
      </c>
      <c r="AQ81" s="29">
        <v>1.0444148931237449E-13</v>
      </c>
      <c r="AR81" s="29"/>
      <c r="AS81" s="29"/>
      <c r="AT81" s="29"/>
      <c r="AU81" s="29"/>
      <c r="AV81" s="29"/>
      <c r="AW81" s="29"/>
      <c r="AX81" s="29"/>
      <c r="AY81" s="29"/>
      <c r="AZ81" s="29"/>
      <c r="BA81" s="140">
        <f t="shared" si="23"/>
        <v>3.1406467437602973E-15</v>
      </c>
      <c r="BB81" s="117">
        <f t="shared" si="2"/>
        <v>200</v>
      </c>
      <c r="BC81" s="117">
        <f t="shared" si="24"/>
        <v>535</v>
      </c>
      <c r="BD81" s="117">
        <f t="shared" si="25"/>
        <v>3.4404944030644629</v>
      </c>
      <c r="BE81" s="117">
        <f t="shared" si="26"/>
        <v>315.88474132285529</v>
      </c>
      <c r="BF81" s="110">
        <f t="shared" si="27"/>
        <v>1.0891613151861768E-2</v>
      </c>
      <c r="BG81" s="4">
        <f t="shared" si="6"/>
        <v>2</v>
      </c>
      <c r="BH81" s="111">
        <f t="shared" si="38"/>
        <v>22.863281773788817</v>
      </c>
      <c r="BI81" s="112">
        <f t="shared" si="28"/>
        <v>100.02685776032608</v>
      </c>
      <c r="BJ81" s="112">
        <f t="shared" si="29"/>
        <v>100.02685776032608</v>
      </c>
      <c r="BK81" s="110">
        <f t="shared" si="30"/>
        <v>0.2833622032870427</v>
      </c>
      <c r="BL81" s="113" t="str">
        <f t="shared" si="31"/>
        <v>OK</v>
      </c>
      <c r="BM81" s="114">
        <f t="shared" si="32"/>
        <v>0.19853594827743218</v>
      </c>
      <c r="BN81" s="114">
        <f t="shared" si="33"/>
        <v>0.19853594827742102</v>
      </c>
      <c r="BO81" s="110">
        <f t="shared" si="34"/>
        <v>1.8256179151947785E-2</v>
      </c>
      <c r="BP81" s="113" t="str">
        <f t="shared" si="35"/>
        <v>OK</v>
      </c>
      <c r="BQ81" s="10">
        <f t="shared" si="12"/>
        <v>304.99199999999996</v>
      </c>
      <c r="BR81" s="110">
        <f t="shared" si="36"/>
        <v>7.4963545843133E-2</v>
      </c>
      <c r="BS81" s="113" t="str">
        <f t="shared" si="37"/>
        <v>OK</v>
      </c>
      <c r="DE81" s="4"/>
      <c r="DF81" s="4"/>
      <c r="DG81" s="4"/>
      <c r="DH81" s="4"/>
      <c r="DI81" s="13"/>
      <c r="DJ81" s="13"/>
      <c r="DK81" s="13"/>
      <c r="DL81" s="13"/>
      <c r="DM81" s="13"/>
      <c r="DR81" s="29"/>
      <c r="DS81" s="29"/>
      <c r="DT81" s="29"/>
      <c r="DU81" s="29"/>
      <c r="DV81" s="29"/>
      <c r="DW81" s="29"/>
      <c r="DX81" s="29"/>
      <c r="DY81" s="29"/>
      <c r="DZ81" s="29"/>
      <c r="EA81" s="140"/>
      <c r="EB81" s="117"/>
      <c r="EC81" s="117"/>
      <c r="ED81" s="117"/>
      <c r="EE81" s="117"/>
      <c r="EF81" s="110"/>
      <c r="EG81" s="4"/>
      <c r="EH81" s="111"/>
      <c r="EI81" s="112"/>
      <c r="EJ81" s="112"/>
      <c r="EK81" s="110"/>
      <c r="EL81" s="113"/>
      <c r="EM81" s="114"/>
      <c r="EN81" s="114"/>
      <c r="EO81" s="110"/>
      <c r="EP81" s="113"/>
      <c r="EQ81" s="10"/>
      <c r="ER81" s="110"/>
      <c r="ES81" s="113"/>
    </row>
    <row r="82" spans="13:149">
      <c r="M82" s="7" t="str">
        <f>"- Tỷ số huy động cấu kiện:"</f>
        <v>- Tỷ số huy động cấu kiện:</v>
      </c>
      <c r="N82" s="2"/>
      <c r="O82" s="2"/>
      <c r="P82" s="33"/>
      <c r="Q82" s="148"/>
      <c r="R82" s="149"/>
      <c r="S82" s="2"/>
      <c r="T82" s="2"/>
      <c r="U82" s="2"/>
      <c r="V82" s="33"/>
      <c r="W82" s="155">
        <f>W81/W45</f>
        <v>1.842587300108018</v>
      </c>
      <c r="X82" s="12" t="str">
        <f>IF(W82&lt;=1,"OK","Check")</f>
        <v>Check</v>
      </c>
      <c r="AA82" s="67" t="s">
        <v>211</v>
      </c>
      <c r="AB82" s="28" t="s">
        <v>390</v>
      </c>
      <c r="AC82" s="28" t="s">
        <v>347</v>
      </c>
      <c r="AD82" s="68">
        <v>20.399999999999999</v>
      </c>
      <c r="AE82" s="4">
        <f t="shared" si="14"/>
        <v>450</v>
      </c>
      <c r="AF82" s="4">
        <f t="shared" si="15"/>
        <v>200</v>
      </c>
      <c r="AG82" s="4">
        <f t="shared" si="16"/>
        <v>6</v>
      </c>
      <c r="AH82" s="4">
        <f t="shared" si="17"/>
        <v>12</v>
      </c>
      <c r="AI82" s="13">
        <f t="shared" si="18"/>
        <v>670</v>
      </c>
      <c r="AJ82" s="13">
        <f t="shared" si="19"/>
        <v>250</v>
      </c>
      <c r="AK82" s="13">
        <f t="shared" si="20"/>
        <v>20</v>
      </c>
      <c r="AL82" s="13" t="str">
        <f t="shared" si="21"/>
        <v>670x250x20</v>
      </c>
      <c r="AM82" s="13" t="str">
        <f t="shared" si="22"/>
        <v>6M24</v>
      </c>
      <c r="AN82" s="67" t="s">
        <v>454</v>
      </c>
      <c r="AO82" s="69">
        <v>90.383000533724072</v>
      </c>
      <c r="AP82" s="69">
        <v>8.1888783551591615</v>
      </c>
      <c r="AQ82" s="29">
        <v>4.750329355880818E-13</v>
      </c>
      <c r="AR82" s="29"/>
      <c r="AS82" s="29"/>
      <c r="AT82" s="29"/>
      <c r="AU82" s="29"/>
      <c r="AV82" s="29"/>
      <c r="AW82" s="29"/>
      <c r="AX82" s="29"/>
      <c r="AY82" s="29"/>
      <c r="AZ82" s="29"/>
      <c r="BA82" s="140">
        <f t="shared" si="23"/>
        <v>5.2557774446848067E-15</v>
      </c>
      <c r="BB82" s="117">
        <f t="shared" si="2"/>
        <v>200</v>
      </c>
      <c r="BC82" s="117">
        <f t="shared" si="24"/>
        <v>535</v>
      </c>
      <c r="BD82" s="117">
        <f t="shared" si="25"/>
        <v>9.4034785223726658</v>
      </c>
      <c r="BE82" s="117">
        <f t="shared" si="26"/>
        <v>315.88474132285529</v>
      </c>
      <c r="BF82" s="110">
        <f t="shared" si="27"/>
        <v>2.9768701340219795E-2</v>
      </c>
      <c r="BG82" s="4">
        <f t="shared" si="6"/>
        <v>2</v>
      </c>
      <c r="BH82" s="111">
        <f t="shared" si="38"/>
        <v>62.235305088662493</v>
      </c>
      <c r="BI82" s="112">
        <f t="shared" si="28"/>
        <v>272.2794597628984</v>
      </c>
      <c r="BJ82" s="112">
        <f t="shared" si="29"/>
        <v>272.2794597628984</v>
      </c>
      <c r="BK82" s="110">
        <f t="shared" si="30"/>
        <v>0.77132991434248843</v>
      </c>
      <c r="BL82" s="113" t="str">
        <f t="shared" si="31"/>
        <v>OK</v>
      </c>
      <c r="BM82" s="114">
        <f t="shared" si="32"/>
        <v>0.53960000318643786</v>
      </c>
      <c r="BN82" s="114">
        <f t="shared" si="33"/>
        <v>0.53960000318638701</v>
      </c>
      <c r="BO82" s="110">
        <f t="shared" si="34"/>
        <v>4.9618391097603479E-2</v>
      </c>
      <c r="BP82" s="113" t="str">
        <f t="shared" si="35"/>
        <v>OK</v>
      </c>
      <c r="BQ82" s="10">
        <f t="shared" si="12"/>
        <v>304.99199999999996</v>
      </c>
      <c r="BR82" s="110">
        <f t="shared" si="36"/>
        <v>0.20405553289483822</v>
      </c>
      <c r="BS82" s="113" t="str">
        <f t="shared" si="37"/>
        <v>OK</v>
      </c>
      <c r="DE82" s="4"/>
      <c r="DF82" s="4"/>
      <c r="DG82" s="4"/>
      <c r="DH82" s="4"/>
      <c r="DI82" s="13"/>
      <c r="DJ82" s="13"/>
      <c r="DK82" s="13"/>
      <c r="DL82" s="13"/>
      <c r="DM82" s="13"/>
      <c r="DR82" s="29"/>
      <c r="DS82" s="29"/>
      <c r="DT82" s="29"/>
      <c r="DU82" s="29"/>
      <c r="DV82" s="29"/>
      <c r="DW82" s="29"/>
      <c r="DX82" s="29"/>
      <c r="DY82" s="29"/>
      <c r="DZ82" s="29"/>
      <c r="EA82" s="140"/>
      <c r="EB82" s="117"/>
      <c r="EC82" s="117"/>
      <c r="ED82" s="117"/>
      <c r="EE82" s="117"/>
      <c r="EF82" s="110"/>
      <c r="EG82" s="4"/>
      <c r="EH82" s="111"/>
      <c r="EI82" s="112"/>
      <c r="EJ82" s="112"/>
      <c r="EK82" s="110"/>
      <c r="EL82" s="113"/>
      <c r="EM82" s="114"/>
      <c r="EN82" s="114"/>
      <c r="EO82" s="110"/>
      <c r="EP82" s="113"/>
      <c r="EQ82" s="10"/>
      <c r="ER82" s="110"/>
      <c r="ES82" s="113"/>
    </row>
    <row r="83" spans="13:149" ht="12.75" customHeight="1">
      <c r="M83" s="6" t="s">
        <v>165</v>
      </c>
      <c r="N83" s="141"/>
      <c r="O83" s="141"/>
      <c r="P83" s="141"/>
      <c r="Q83" s="141"/>
      <c r="R83" s="141"/>
      <c r="S83" s="142"/>
      <c r="T83" s="143"/>
      <c r="U83" s="141"/>
      <c r="V83" s="2"/>
      <c r="W83" s="2"/>
      <c r="X83" s="5"/>
      <c r="AA83" s="67" t="s">
        <v>211</v>
      </c>
      <c r="AB83" s="28" t="s">
        <v>390</v>
      </c>
      <c r="AC83" s="28" t="s">
        <v>347</v>
      </c>
      <c r="AD83" s="68">
        <v>20.399999999999999</v>
      </c>
      <c r="AE83" s="4">
        <f t="shared" si="14"/>
        <v>450</v>
      </c>
      <c r="AF83" s="4">
        <f t="shared" si="15"/>
        <v>200</v>
      </c>
      <c r="AG83" s="4">
        <f t="shared" si="16"/>
        <v>6</v>
      </c>
      <c r="AH83" s="4">
        <f t="shared" si="17"/>
        <v>12</v>
      </c>
      <c r="AI83" s="13">
        <f t="shared" si="18"/>
        <v>670</v>
      </c>
      <c r="AJ83" s="13">
        <f t="shared" si="19"/>
        <v>250</v>
      </c>
      <c r="AK83" s="13">
        <f t="shared" si="20"/>
        <v>20</v>
      </c>
      <c r="AL83" s="13" t="str">
        <f t="shared" si="21"/>
        <v>670x250x20</v>
      </c>
      <c r="AM83" s="13" t="str">
        <f t="shared" si="22"/>
        <v>6M24</v>
      </c>
      <c r="AN83" s="67" t="s">
        <v>455</v>
      </c>
      <c r="AO83" s="69">
        <v>86.137182026339048</v>
      </c>
      <c r="AP83" s="69">
        <v>25.065978923320813</v>
      </c>
      <c r="AQ83" s="29">
        <v>7.6530527359048484E-13</v>
      </c>
      <c r="AR83" s="29"/>
      <c r="AS83" s="29"/>
      <c r="AT83" s="29"/>
      <c r="AU83" s="29"/>
      <c r="AV83" s="29"/>
      <c r="AW83" s="29"/>
      <c r="AX83" s="29"/>
      <c r="AY83" s="29"/>
      <c r="AZ83" s="29"/>
      <c r="BA83" s="140">
        <f t="shared" si="23"/>
        <v>8.8847261494631851E-15</v>
      </c>
      <c r="BB83" s="117">
        <f t="shared" si="2"/>
        <v>200</v>
      </c>
      <c r="BC83" s="117">
        <f t="shared" si="24"/>
        <v>535</v>
      </c>
      <c r="BD83" s="117">
        <f t="shared" si="25"/>
        <v>8.9579793395384968</v>
      </c>
      <c r="BE83" s="117">
        <f t="shared" si="26"/>
        <v>315.88474132285529</v>
      </c>
      <c r="BF83" s="110">
        <f t="shared" si="27"/>
        <v>2.8358379395042838E-2</v>
      </c>
      <c r="BG83" s="4">
        <f t="shared" si="6"/>
        <v>2</v>
      </c>
      <c r="BH83" s="111">
        <f t="shared" si="38"/>
        <v>59.304928566083049</v>
      </c>
      <c r="BI83" s="112">
        <f t="shared" si="28"/>
        <v>259.45906247661338</v>
      </c>
      <c r="BJ83" s="112">
        <f t="shared" si="29"/>
        <v>259.45906247661338</v>
      </c>
      <c r="BK83" s="110">
        <f t="shared" si="30"/>
        <v>0.73501150843233254</v>
      </c>
      <c r="BL83" s="113" t="str">
        <f t="shared" si="31"/>
        <v>OK</v>
      </c>
      <c r="BM83" s="114">
        <f t="shared" si="32"/>
        <v>0.51425183299310984</v>
      </c>
      <c r="BN83" s="114">
        <f t="shared" si="33"/>
        <v>0.5142518329930279</v>
      </c>
      <c r="BO83" s="110">
        <f t="shared" si="34"/>
        <v>4.7287524872929643E-2</v>
      </c>
      <c r="BP83" s="113" t="str">
        <f t="shared" si="35"/>
        <v>OK</v>
      </c>
      <c r="BQ83" s="10">
        <f t="shared" si="12"/>
        <v>304.99199999999996</v>
      </c>
      <c r="BR83" s="110">
        <f t="shared" si="36"/>
        <v>0.19444748900326256</v>
      </c>
      <c r="BS83" s="113" t="str">
        <f t="shared" si="37"/>
        <v>OK</v>
      </c>
      <c r="DE83" s="4"/>
      <c r="DF83" s="4"/>
      <c r="DG83" s="4"/>
      <c r="DH83" s="4"/>
      <c r="DI83" s="13"/>
      <c r="DJ83" s="13"/>
      <c r="DK83" s="13"/>
      <c r="DL83" s="13"/>
      <c r="DM83" s="13"/>
      <c r="DR83" s="29"/>
      <c r="DS83" s="29"/>
      <c r="DT83" s="29"/>
      <c r="DU83" s="29"/>
      <c r="DV83" s="29"/>
      <c r="DW83" s="29"/>
      <c r="DX83" s="29"/>
      <c r="DY83" s="29"/>
      <c r="DZ83" s="29"/>
      <c r="EA83" s="140"/>
      <c r="EB83" s="117"/>
      <c r="EC83" s="117"/>
      <c r="ED83" s="117"/>
      <c r="EE83" s="117"/>
      <c r="EF83" s="110"/>
      <c r="EG83" s="4"/>
      <c r="EH83" s="111"/>
      <c r="EI83" s="112"/>
      <c r="EJ83" s="112"/>
      <c r="EK83" s="110"/>
      <c r="EL83" s="113"/>
      <c r="EM83" s="114"/>
      <c r="EN83" s="114"/>
      <c r="EO83" s="110"/>
      <c r="EP83" s="113"/>
      <c r="EQ83" s="10"/>
      <c r="ER83" s="110"/>
      <c r="ES83" s="113"/>
    </row>
    <row r="84" spans="13:149" ht="15">
      <c r="M84" s="7" t="str">
        <f>"- Tỉ số cường độ chịu kéo tính toán của bê tông:"</f>
        <v>- Tỉ số cường độ chịu kéo tính toán của bê tông:</v>
      </c>
      <c r="N84" s="156"/>
      <c r="O84" s="156"/>
      <c r="P84" s="33"/>
      <c r="Q84" s="148"/>
      <c r="R84" s="149"/>
      <c r="S84" s="2"/>
      <c r="T84" s="2"/>
      <c r="U84" s="2"/>
      <c r="V84" s="33" t="s">
        <v>106</v>
      </c>
      <c r="W84" s="154">
        <f>0.66/VLOOKUP(W35,Data!BJ5:BQ21,6,FALSE)</f>
        <v>0.62857142857142856</v>
      </c>
      <c r="X84" s="23"/>
      <c r="AA84" s="67" t="s">
        <v>211</v>
      </c>
      <c r="AB84" s="28" t="s">
        <v>390</v>
      </c>
      <c r="AC84" s="28" t="s">
        <v>347</v>
      </c>
      <c r="AD84" s="68">
        <v>20.399999999999999</v>
      </c>
      <c r="AE84" s="4">
        <f t="shared" si="14"/>
        <v>450</v>
      </c>
      <c r="AF84" s="4">
        <f t="shared" si="15"/>
        <v>200</v>
      </c>
      <c r="AG84" s="4">
        <f t="shared" si="16"/>
        <v>6</v>
      </c>
      <c r="AH84" s="4">
        <f t="shared" si="17"/>
        <v>12</v>
      </c>
      <c r="AI84" s="13">
        <f t="shared" si="18"/>
        <v>670</v>
      </c>
      <c r="AJ84" s="13">
        <f t="shared" si="19"/>
        <v>250</v>
      </c>
      <c r="AK84" s="13">
        <f t="shared" si="20"/>
        <v>20</v>
      </c>
      <c r="AL84" s="13" t="str">
        <f t="shared" si="21"/>
        <v>670x250x20</v>
      </c>
      <c r="AM84" s="13" t="str">
        <f t="shared" si="22"/>
        <v>6M24</v>
      </c>
      <c r="AN84" s="67" t="s">
        <v>456</v>
      </c>
      <c r="AO84" s="69">
        <v>88.016483956453868</v>
      </c>
      <c r="AP84" s="69">
        <v>19.642016055576221</v>
      </c>
      <c r="AQ84" s="29">
        <v>3.6805617471854348E-13</v>
      </c>
      <c r="AR84" s="29"/>
      <c r="AS84" s="29"/>
      <c r="AT84" s="29"/>
      <c r="AU84" s="29"/>
      <c r="AV84" s="29"/>
      <c r="AW84" s="29"/>
      <c r="AX84" s="29"/>
      <c r="AY84" s="29"/>
      <c r="AZ84" s="29"/>
      <c r="BA84" s="140">
        <f t="shared" si="23"/>
        <v>4.1816732295354944E-15</v>
      </c>
      <c r="BB84" s="117">
        <f t="shared" si="2"/>
        <v>200</v>
      </c>
      <c r="BC84" s="117">
        <f t="shared" si="24"/>
        <v>535</v>
      </c>
      <c r="BD84" s="117">
        <f t="shared" si="25"/>
        <v>9.1551214920118582</v>
      </c>
      <c r="BE84" s="117">
        <f t="shared" si="26"/>
        <v>315.88474132285529</v>
      </c>
      <c r="BF84" s="110">
        <f t="shared" si="27"/>
        <v>2.8982474600299585E-2</v>
      </c>
      <c r="BG84" s="4">
        <f t="shared" si="6"/>
        <v>2</v>
      </c>
      <c r="BH84" s="111">
        <f t="shared" si="38"/>
        <v>60.601899682498427</v>
      </c>
      <c r="BI84" s="112">
        <f t="shared" si="28"/>
        <v>265.13331111093061</v>
      </c>
      <c r="BJ84" s="112">
        <f t="shared" si="29"/>
        <v>265.13331111093061</v>
      </c>
      <c r="BK84" s="110">
        <f t="shared" si="30"/>
        <v>0.7510858671697751</v>
      </c>
      <c r="BL84" s="113" t="str">
        <f t="shared" si="31"/>
        <v>OK</v>
      </c>
      <c r="BM84" s="114">
        <f t="shared" si="32"/>
        <v>0.5254715460086995</v>
      </c>
      <c r="BN84" s="114">
        <f t="shared" si="33"/>
        <v>0.5254715460086602</v>
      </c>
      <c r="BO84" s="110">
        <f t="shared" si="34"/>
        <v>4.8319222621489612E-2</v>
      </c>
      <c r="BP84" s="113" t="str">
        <f t="shared" si="35"/>
        <v>OK</v>
      </c>
      <c r="BQ84" s="10">
        <f t="shared" si="12"/>
        <v>304.99199999999996</v>
      </c>
      <c r="BR84" s="110">
        <f t="shared" si="36"/>
        <v>0.19869996485972891</v>
      </c>
      <c r="BS84" s="113" t="str">
        <f t="shared" si="37"/>
        <v>OK</v>
      </c>
      <c r="DE84" s="4"/>
      <c r="DF84" s="4"/>
      <c r="DG84" s="4"/>
      <c r="DH84" s="4"/>
      <c r="DI84" s="13"/>
      <c r="DJ84" s="13"/>
      <c r="DK84" s="13"/>
      <c r="DL84" s="13"/>
      <c r="DM84" s="13"/>
      <c r="DR84" s="29"/>
      <c r="DS84" s="29"/>
      <c r="DT84" s="29"/>
      <c r="DU84" s="29"/>
      <c r="DV84" s="29"/>
      <c r="DW84" s="29"/>
      <c r="DX84" s="29"/>
      <c r="DY84" s="29"/>
      <c r="DZ84" s="29"/>
      <c r="EA84" s="140"/>
      <c r="EB84" s="117"/>
      <c r="EC84" s="117"/>
      <c r="ED84" s="117"/>
      <c r="EE84" s="117"/>
      <c r="EF84" s="110"/>
      <c r="EG84" s="4"/>
      <c r="EH84" s="111"/>
      <c r="EI84" s="112"/>
      <c r="EJ84" s="112"/>
      <c r="EK84" s="110"/>
      <c r="EL84" s="113"/>
      <c r="EM84" s="114"/>
      <c r="EN84" s="114"/>
      <c r="EO84" s="110"/>
      <c r="EP84" s="113"/>
      <c r="EQ84" s="10"/>
      <c r="ER84" s="110"/>
      <c r="ES84" s="113"/>
    </row>
    <row r="85" spans="13:149" ht="15">
      <c r="M85" s="7" t="str">
        <f>"- Tỉ số cường độ chịu kéo tính toán của thép bu lông:"</f>
        <v>- Tỉ số cường độ chịu kéo tính toán của thép bu lông:</v>
      </c>
      <c r="N85" s="156"/>
      <c r="O85" s="156"/>
      <c r="P85" s="33"/>
      <c r="Q85" s="148"/>
      <c r="R85" s="149"/>
      <c r="S85" s="2"/>
      <c r="T85" s="2"/>
      <c r="U85" s="2"/>
      <c r="V85" s="33" t="s">
        <v>105</v>
      </c>
      <c r="W85" s="150">
        <f>W19/(235/1.05)</f>
        <v>1.0723404255319149</v>
      </c>
      <c r="X85" s="23"/>
      <c r="AA85" s="67" t="s">
        <v>211</v>
      </c>
      <c r="AB85" s="28" t="s">
        <v>390</v>
      </c>
      <c r="AC85" s="28" t="s">
        <v>347</v>
      </c>
      <c r="AD85" s="68">
        <v>20.399999999999999</v>
      </c>
      <c r="AE85" s="4">
        <f t="shared" si="14"/>
        <v>450</v>
      </c>
      <c r="AF85" s="4">
        <f t="shared" si="15"/>
        <v>200</v>
      </c>
      <c r="AG85" s="4">
        <f t="shared" si="16"/>
        <v>6</v>
      </c>
      <c r="AH85" s="4">
        <f t="shared" si="17"/>
        <v>12</v>
      </c>
      <c r="AI85" s="13">
        <f t="shared" si="18"/>
        <v>670</v>
      </c>
      <c r="AJ85" s="13">
        <f t="shared" si="19"/>
        <v>250</v>
      </c>
      <c r="AK85" s="13">
        <f t="shared" si="20"/>
        <v>20</v>
      </c>
      <c r="AL85" s="13" t="str">
        <f t="shared" si="21"/>
        <v>670x250x20</v>
      </c>
      <c r="AM85" s="13" t="str">
        <f t="shared" si="22"/>
        <v>6M24</v>
      </c>
      <c r="AN85" s="67" t="s">
        <v>457</v>
      </c>
      <c r="AO85" s="69">
        <v>83.770665449068844</v>
      </c>
      <c r="AP85" s="69">
        <v>8.1380141222502083</v>
      </c>
      <c r="AQ85" s="29">
        <v>7.7783836716140439E-14</v>
      </c>
      <c r="AR85" s="29"/>
      <c r="AS85" s="29"/>
      <c r="AT85" s="29"/>
      <c r="AU85" s="29"/>
      <c r="AV85" s="29"/>
      <c r="AW85" s="29"/>
      <c r="AX85" s="29"/>
      <c r="AY85" s="29"/>
      <c r="AZ85" s="29"/>
      <c r="BA85" s="140">
        <f t="shared" si="23"/>
        <v>9.2853311238683786E-16</v>
      </c>
      <c r="BB85" s="117">
        <f t="shared" si="2"/>
        <v>200</v>
      </c>
      <c r="BC85" s="117">
        <f t="shared" si="24"/>
        <v>535</v>
      </c>
      <c r="BD85" s="117">
        <f t="shared" si="25"/>
        <v>8.7098325407924904</v>
      </c>
      <c r="BE85" s="117">
        <f t="shared" si="26"/>
        <v>315.88474132285529</v>
      </c>
      <c r="BF85" s="110">
        <f t="shared" si="27"/>
        <v>2.7572818187791035E-2</v>
      </c>
      <c r="BG85" s="4">
        <f t="shared" si="6"/>
        <v>2</v>
      </c>
      <c r="BH85" s="111">
        <f t="shared" si="38"/>
        <v>57.671904204720811</v>
      </c>
      <c r="BI85" s="112">
        <f t="shared" si="28"/>
        <v>252.31458089565359</v>
      </c>
      <c r="BJ85" s="112">
        <f t="shared" si="29"/>
        <v>252.31458089565359</v>
      </c>
      <c r="BK85" s="110">
        <f t="shared" si="30"/>
        <v>0.71477218384037844</v>
      </c>
      <c r="BL85" s="113" t="str">
        <f t="shared" si="31"/>
        <v>OK</v>
      </c>
      <c r="BM85" s="114">
        <f t="shared" si="32"/>
        <v>0.5001233758153405</v>
      </c>
      <c r="BN85" s="114">
        <f t="shared" si="33"/>
        <v>0.50012337581533228</v>
      </c>
      <c r="BO85" s="110">
        <f t="shared" si="34"/>
        <v>4.5988356396812917E-2</v>
      </c>
      <c r="BP85" s="113" t="str">
        <f t="shared" si="35"/>
        <v>OK</v>
      </c>
      <c r="BQ85" s="10">
        <f t="shared" si="12"/>
        <v>304.99199999999996</v>
      </c>
      <c r="BR85" s="110">
        <f t="shared" si="36"/>
        <v>0.18909317032814243</v>
      </c>
      <c r="BS85" s="113" t="str">
        <f t="shared" si="37"/>
        <v>OK</v>
      </c>
      <c r="DE85" s="4"/>
      <c r="DF85" s="4"/>
      <c r="DG85" s="4"/>
      <c r="DH85" s="4"/>
      <c r="DI85" s="13"/>
      <c r="DJ85" s="13"/>
      <c r="DK85" s="13"/>
      <c r="DL85" s="13"/>
      <c r="DM85" s="13"/>
      <c r="DR85" s="29"/>
      <c r="DS85" s="29"/>
      <c r="DT85" s="29"/>
      <c r="DU85" s="29"/>
      <c r="DV85" s="29"/>
      <c r="DW85" s="29"/>
      <c r="DX85" s="29"/>
      <c r="DY85" s="29"/>
      <c r="DZ85" s="29"/>
      <c r="EA85" s="140"/>
      <c r="EB85" s="117"/>
      <c r="EC85" s="117"/>
      <c r="ED85" s="117"/>
      <c r="EE85" s="117"/>
      <c r="EF85" s="110"/>
      <c r="EG85" s="4"/>
      <c r="EH85" s="111"/>
      <c r="EI85" s="112"/>
      <c r="EJ85" s="112"/>
      <c r="EK85" s="110"/>
      <c r="EL85" s="113"/>
      <c r="EM85" s="114"/>
      <c r="EN85" s="114"/>
      <c r="EO85" s="110"/>
      <c r="EP85" s="113"/>
      <c r="EQ85" s="10"/>
      <c r="ER85" s="110"/>
      <c r="ES85" s="113"/>
    </row>
    <row r="86" spans="13:149">
      <c r="M86" s="7" t="str">
        <f>"- Chiều sâu ngàm tối thiểu H (Bê tông B12.5 &amp; mác thép S235C):"</f>
        <v>- Chiều sâu ngàm tối thiểu H (Bê tông B12.5 &amp; mác thép S235C):</v>
      </c>
      <c r="N86" s="156"/>
      <c r="O86" s="156"/>
      <c r="P86" s="33"/>
      <c r="Q86" s="33"/>
      <c r="R86" s="149"/>
      <c r="S86" s="2"/>
      <c r="T86" s="33" t="str">
        <f>VLOOKUP(W16,Data!$DH$2:$DN$7,2,FALSE)</f>
        <v>25db</v>
      </c>
      <c r="U86" s="149" t="s">
        <v>110</v>
      </c>
      <c r="V86" s="33" t="s">
        <v>109</v>
      </c>
      <c r="W86" s="151">
        <f>IFERROR(VALUE(LEFT(T86,2)),VALUE(LEFT(T86,1)))*W44</f>
        <v>600</v>
      </c>
      <c r="X86" s="23" t="s">
        <v>1</v>
      </c>
      <c r="AA86" s="67" t="s">
        <v>211</v>
      </c>
      <c r="AB86" s="28" t="s">
        <v>390</v>
      </c>
      <c r="AC86" s="28" t="s">
        <v>347</v>
      </c>
      <c r="AD86" s="68">
        <v>20.399999999999999</v>
      </c>
      <c r="AE86" s="4">
        <f t="shared" si="14"/>
        <v>450</v>
      </c>
      <c r="AF86" s="4">
        <f t="shared" si="15"/>
        <v>200</v>
      </c>
      <c r="AG86" s="4">
        <f t="shared" si="16"/>
        <v>6</v>
      </c>
      <c r="AH86" s="4">
        <f t="shared" si="17"/>
        <v>12</v>
      </c>
      <c r="AI86" s="13">
        <f t="shared" si="18"/>
        <v>670</v>
      </c>
      <c r="AJ86" s="13">
        <f t="shared" si="19"/>
        <v>250</v>
      </c>
      <c r="AK86" s="13">
        <f t="shared" si="20"/>
        <v>20</v>
      </c>
      <c r="AL86" s="13" t="str">
        <f t="shared" si="21"/>
        <v>670x250x20</v>
      </c>
      <c r="AM86" s="13" t="str">
        <f t="shared" si="22"/>
        <v>6M24</v>
      </c>
      <c r="AN86" s="67" t="s">
        <v>458</v>
      </c>
      <c r="AO86" s="69">
        <v>2.1693899414426832</v>
      </c>
      <c r="AP86" s="69">
        <v>7.4259456883333428</v>
      </c>
      <c r="AQ86" s="29">
        <v>1.2678862383020114E-13</v>
      </c>
      <c r="AR86" s="29"/>
      <c r="AS86" s="29"/>
      <c r="AT86" s="29"/>
      <c r="AU86" s="29"/>
      <c r="AV86" s="29"/>
      <c r="AW86" s="29"/>
      <c r="AX86" s="29"/>
      <c r="AY86" s="29"/>
      <c r="AZ86" s="29"/>
      <c r="BA86" s="140">
        <f t="shared" si="23"/>
        <v>5.8444367887999167E-14</v>
      </c>
      <c r="BB86" s="117">
        <f t="shared" si="2"/>
        <v>200</v>
      </c>
      <c r="BC86" s="117">
        <f t="shared" si="24"/>
        <v>535</v>
      </c>
      <c r="BD86" s="117">
        <f t="shared" si="25"/>
        <v>0.2237673185688891</v>
      </c>
      <c r="BE86" s="117">
        <f t="shared" si="26"/>
        <v>315.88474132285529</v>
      </c>
      <c r="BF86" s="110">
        <f t="shared" si="27"/>
        <v>7.0838280327122213E-4</v>
      </c>
      <c r="BG86" s="4">
        <f t="shared" si="6"/>
        <v>2</v>
      </c>
      <c r="BH86" s="111">
        <f t="shared" si="38"/>
        <v>1.4902732356274531</v>
      </c>
      <c r="BI86" s="112">
        <f t="shared" si="28"/>
        <v>6.5199454058701072</v>
      </c>
      <c r="BJ86" s="112">
        <f t="shared" si="29"/>
        <v>57.1</v>
      </c>
      <c r="BK86" s="110">
        <f t="shared" si="30"/>
        <v>0.16175637393767706</v>
      </c>
      <c r="BL86" s="113" t="str">
        <f t="shared" si="31"/>
        <v>OK</v>
      </c>
      <c r="BM86" s="114">
        <f t="shared" si="32"/>
        <v>1.2951581739963096E-2</v>
      </c>
      <c r="BN86" s="114">
        <f t="shared" si="33"/>
        <v>1.2951581739949538E-2</v>
      </c>
      <c r="BO86" s="110">
        <f t="shared" si="34"/>
        <v>1.1909500450540777E-3</v>
      </c>
      <c r="BP86" s="113" t="str">
        <f t="shared" si="35"/>
        <v>OK</v>
      </c>
      <c r="BQ86" s="10">
        <f t="shared" si="12"/>
        <v>304.99199999999996</v>
      </c>
      <c r="BR86" s="110">
        <f t="shared" si="36"/>
        <v>2.4348001548674534E-2</v>
      </c>
      <c r="BS86" s="113" t="str">
        <f t="shared" si="37"/>
        <v>OK</v>
      </c>
      <c r="DE86" s="4"/>
      <c r="DF86" s="4"/>
      <c r="DG86" s="4"/>
      <c r="DH86" s="4"/>
      <c r="DI86" s="13"/>
      <c r="DJ86" s="13"/>
      <c r="DK86" s="13"/>
      <c r="DL86" s="13"/>
      <c r="DM86" s="13"/>
      <c r="DR86" s="29"/>
      <c r="DS86" s="29"/>
      <c r="DT86" s="29"/>
      <c r="DU86" s="29"/>
      <c r="DV86" s="29"/>
      <c r="DW86" s="29"/>
      <c r="DX86" s="29"/>
      <c r="DY86" s="29"/>
      <c r="DZ86" s="29"/>
      <c r="EA86" s="140"/>
      <c r="EB86" s="117"/>
      <c r="EC86" s="117"/>
      <c r="ED86" s="117"/>
      <c r="EE86" s="117"/>
      <c r="EF86" s="110"/>
      <c r="EG86" s="4"/>
      <c r="EH86" s="111"/>
      <c r="EI86" s="112"/>
      <c r="EJ86" s="112"/>
      <c r="EK86" s="110"/>
      <c r="EL86" s="113"/>
      <c r="EM86" s="114"/>
      <c r="EN86" s="114"/>
      <c r="EO86" s="110"/>
      <c r="EP86" s="113"/>
      <c r="EQ86" s="10"/>
      <c r="ER86" s="110"/>
      <c r="ES86" s="113"/>
    </row>
    <row r="87" spans="13:149" ht="15">
      <c r="M87" s="7" t="s">
        <v>111</v>
      </c>
      <c r="N87" s="156"/>
      <c r="O87" s="156"/>
      <c r="P87" s="33"/>
      <c r="Q87" s="33"/>
      <c r="R87" s="149"/>
      <c r="S87" s="2"/>
      <c r="T87" s="2"/>
      <c r="U87" s="2"/>
      <c r="V87" s="33" t="s">
        <v>112</v>
      </c>
      <c r="W87" s="151">
        <f>W86*W84*W85</f>
        <v>404.42553191489355</v>
      </c>
      <c r="X87" s="23" t="s">
        <v>1</v>
      </c>
      <c r="AA87" s="67" t="s">
        <v>211</v>
      </c>
      <c r="AB87" s="28" t="s">
        <v>390</v>
      </c>
      <c r="AC87" s="28" t="s">
        <v>347</v>
      </c>
      <c r="AD87" s="68">
        <v>20.399999999999999</v>
      </c>
      <c r="AE87" s="4">
        <f t="shared" si="14"/>
        <v>450</v>
      </c>
      <c r="AF87" s="4">
        <f t="shared" si="15"/>
        <v>200</v>
      </c>
      <c r="AG87" s="4">
        <f t="shared" si="16"/>
        <v>6</v>
      </c>
      <c r="AH87" s="4">
        <f t="shared" si="17"/>
        <v>12</v>
      </c>
      <c r="AI87" s="13">
        <f t="shared" si="18"/>
        <v>670</v>
      </c>
      <c r="AJ87" s="13">
        <f t="shared" si="19"/>
        <v>250</v>
      </c>
      <c r="AK87" s="13">
        <f t="shared" si="20"/>
        <v>20</v>
      </c>
      <c r="AL87" s="13" t="str">
        <f t="shared" si="21"/>
        <v>670x250x20</v>
      </c>
      <c r="AM87" s="13" t="str">
        <f t="shared" si="22"/>
        <v>6M24</v>
      </c>
      <c r="AN87" s="67" t="s">
        <v>459</v>
      </c>
      <c r="AO87" s="69">
        <v>-2.0764285659423414</v>
      </c>
      <c r="AP87" s="69">
        <v>20.010830069151098</v>
      </c>
      <c r="AQ87" s="29">
        <v>4.1706096183260418E-13</v>
      </c>
      <c r="AR87" s="29"/>
      <c r="AS87" s="29"/>
      <c r="AT87" s="29"/>
      <c r="AU87" s="29"/>
      <c r="AV87" s="29"/>
      <c r="AW87" s="29"/>
      <c r="AX87" s="29"/>
      <c r="AY87" s="29"/>
      <c r="AZ87" s="29"/>
      <c r="BA87" s="140">
        <f t="shared" si="23"/>
        <v>2.008549529096515E-13</v>
      </c>
      <c r="BB87" s="117">
        <f t="shared" ref="BB87:BB102" si="39">$W$70</f>
        <v>200</v>
      </c>
      <c r="BC87" s="117">
        <f t="shared" si="24"/>
        <v>535</v>
      </c>
      <c r="BD87" s="117">
        <f t="shared" si="25"/>
        <v>0.21417665770547956</v>
      </c>
      <c r="BE87" s="117">
        <f t="shared" si="26"/>
        <v>315.88474132285529</v>
      </c>
      <c r="BF87" s="110">
        <f t="shared" si="27"/>
        <v>6.7802153661666333E-4</v>
      </c>
      <c r="BG87" s="4">
        <f t="shared" ref="BG87:BG102" si="40">$W$76</f>
        <v>2</v>
      </c>
      <c r="BH87" s="111">
        <f t="shared" si="38"/>
        <v>0</v>
      </c>
      <c r="BI87" s="112">
        <f t="shared" si="28"/>
        <v>0</v>
      </c>
      <c r="BJ87" s="112">
        <f t="shared" si="29"/>
        <v>57.1</v>
      </c>
      <c r="BK87" s="110">
        <f t="shared" si="30"/>
        <v>0.16175637393767706</v>
      </c>
      <c r="BL87" s="113" t="str">
        <f t="shared" si="31"/>
        <v>OK</v>
      </c>
      <c r="BM87" s="114">
        <f t="shared" si="32"/>
        <v>1.2396588453409411E-2</v>
      </c>
      <c r="BN87" s="114">
        <f t="shared" si="33"/>
        <v>1.2396588453364814E-2</v>
      </c>
      <c r="BO87" s="110">
        <f t="shared" si="34"/>
        <v>1.1399161796238539E-3</v>
      </c>
      <c r="BP87" s="113" t="str">
        <f t="shared" si="35"/>
        <v>OK</v>
      </c>
      <c r="BQ87" s="10">
        <f t="shared" ref="BQ87:BQ102" si="41">0.6*$W$45*$S$120*$W$46/1000</f>
        <v>304.99199999999996</v>
      </c>
      <c r="BR87" s="110">
        <f t="shared" si="36"/>
        <v>6.5610999859508121E-2</v>
      </c>
      <c r="BS87" s="113" t="str">
        <f t="shared" si="37"/>
        <v>OK</v>
      </c>
      <c r="DE87" s="4"/>
      <c r="DF87" s="4"/>
      <c r="DG87" s="4"/>
      <c r="DH87" s="4"/>
      <c r="DI87" s="13"/>
      <c r="DJ87" s="13"/>
      <c r="DK87" s="13"/>
      <c r="DL87" s="13"/>
      <c r="DM87" s="13"/>
      <c r="DR87" s="29"/>
      <c r="DS87" s="29"/>
      <c r="DT87" s="29"/>
      <c r="DU87" s="29"/>
      <c r="DV87" s="29"/>
      <c r="DW87" s="29"/>
      <c r="DX87" s="29"/>
      <c r="DY87" s="29"/>
      <c r="DZ87" s="29"/>
      <c r="EA87" s="140"/>
      <c r="EB87" s="117"/>
      <c r="EC87" s="117"/>
      <c r="ED87" s="117"/>
      <c r="EE87" s="117"/>
      <c r="EF87" s="110"/>
      <c r="EG87" s="4"/>
      <c r="EH87" s="111"/>
      <c r="EI87" s="112"/>
      <c r="EJ87" s="112"/>
      <c r="EK87" s="110"/>
      <c r="EL87" s="113"/>
      <c r="EM87" s="114"/>
      <c r="EN87" s="114"/>
      <c r="EO87" s="110"/>
      <c r="EP87" s="113"/>
      <c r="EQ87" s="10"/>
      <c r="ER87" s="110"/>
      <c r="ES87" s="113"/>
    </row>
    <row r="88" spans="13:149">
      <c r="M88" s="6" t="s">
        <v>113</v>
      </c>
      <c r="N88" s="2"/>
      <c r="O88" s="2"/>
      <c r="P88" s="33"/>
      <c r="Q88" s="148"/>
      <c r="R88" s="149"/>
      <c r="S88" s="2"/>
      <c r="T88" s="2"/>
      <c r="U88" s="2"/>
      <c r="V88" s="2"/>
      <c r="W88" s="2"/>
      <c r="X88" s="8"/>
      <c r="AA88" s="67" t="s">
        <v>211</v>
      </c>
      <c r="AB88" s="28" t="s">
        <v>390</v>
      </c>
      <c r="AC88" s="28" t="s">
        <v>347</v>
      </c>
      <c r="AD88" s="68">
        <v>20.399999999999999</v>
      </c>
      <c r="AE88" s="4">
        <f t="shared" ref="AE88:AE102" si="42">$W$39</f>
        <v>450</v>
      </c>
      <c r="AF88" s="4">
        <f t="shared" ref="AF88:AF102" si="43">$W$40</f>
        <v>200</v>
      </c>
      <c r="AG88" s="4">
        <f t="shared" ref="AG88:AG102" si="44">$W$41</f>
        <v>6</v>
      </c>
      <c r="AH88" s="4">
        <f t="shared" ref="AH88:AH102" si="45">$W$42</f>
        <v>12</v>
      </c>
      <c r="AI88" s="13">
        <f t="shared" ref="AI88:AI102" si="46">$W$47</f>
        <v>670</v>
      </c>
      <c r="AJ88" s="13">
        <f t="shared" ref="AJ88:AJ102" si="47">$W$48</f>
        <v>250</v>
      </c>
      <c r="AK88" s="13">
        <f t="shared" ref="AK88:AK102" si="48">$W$49</f>
        <v>20</v>
      </c>
      <c r="AL88" s="13" t="str">
        <f t="shared" ref="AL88:AL102" si="49">AI88&amp;"x"&amp;AJ88&amp;"x"&amp;AK88</f>
        <v>670x250x20</v>
      </c>
      <c r="AM88" s="13" t="str">
        <f t="shared" ref="AM88:AM102" si="50">$W$46&amp;"M"&amp;$W$44</f>
        <v>6M24</v>
      </c>
      <c r="AN88" s="67" t="s">
        <v>460</v>
      </c>
      <c r="AO88" s="69">
        <v>-0.25717288408529804</v>
      </c>
      <c r="AP88" s="69">
        <v>24.633051445063927</v>
      </c>
      <c r="AQ88" s="29">
        <v>1.2391688292826694E-12</v>
      </c>
      <c r="AR88" s="29"/>
      <c r="AS88" s="29"/>
      <c r="AT88" s="29"/>
      <c r="AU88" s="29"/>
      <c r="AV88" s="29"/>
      <c r="AW88" s="29"/>
      <c r="AX88" s="29"/>
      <c r="AY88" s="29"/>
      <c r="AZ88" s="29"/>
      <c r="BA88" s="140">
        <f t="shared" ref="BA88:BA102" si="51">ABS(AQ88/AO88)</f>
        <v>4.8184272369542156E-12</v>
      </c>
      <c r="BB88" s="117">
        <f t="shared" si="39"/>
        <v>200</v>
      </c>
      <c r="BC88" s="117">
        <f t="shared" ref="BC88:BC102" si="52">AI88/2+BB88</f>
        <v>535</v>
      </c>
      <c r="BD88" s="117">
        <f t="shared" ref="BD88:BD102" si="53">IFERROR(BC88 - (BC88 ^ 2 - 2 * ABS(AO88)*1000 *  (1000 *BA88 + BB88) / ($W$36 * AJ88)) ^ 0.5,"O/S")</f>
        <v>2.6521870060264519E-2</v>
      </c>
      <c r="BE88" s="117">
        <f t="shared" ref="BE88:BE102" si="54">$W$73*BC88</f>
        <v>315.88474132285529</v>
      </c>
      <c r="BF88" s="110">
        <f t="shared" ref="BF88:BF102" si="55">BD88/BE88</f>
        <v>8.3960592554096803E-5</v>
      </c>
      <c r="BG88" s="4">
        <f t="shared" si="40"/>
        <v>2</v>
      </c>
      <c r="BH88" s="111">
        <f t="shared" ref="BH88:BH102" si="56">MAX(($W$36*AJ88*BD88/1000+AO88)/BG88,0)</f>
        <v>0</v>
      </c>
      <c r="BI88" s="112">
        <f t="shared" ref="BI88:BI102" si="57">MAX(($W$61*BH88*1000/$W$19),0)</f>
        <v>0</v>
      </c>
      <c r="BJ88" s="112">
        <f t="shared" ref="BJ88:BJ102" si="58">MAX(MAX(BI88,IFERROR(VALUE($W$80),0)),57.1)</f>
        <v>57.1</v>
      </c>
      <c r="BK88" s="110">
        <f t="shared" ref="BK88:BK102" si="59">BJ88/$W$45</f>
        <v>0.16175637393767706</v>
      </c>
      <c r="BL88" s="113" t="str">
        <f t="shared" ref="BL88:BL102" si="60">IF(BK88&lt;=1,"OK","Check")</f>
        <v>OK</v>
      </c>
      <c r="BM88" s="114">
        <f t="shared" ref="BM88:BM102" si="61">ABS(AO88)/(AI88*AJ88)*1000+6*ABS(AQ88*1000000)/(AJ88*AI88^2)</f>
        <v>1.5353605020680303E-3</v>
      </c>
      <c r="BN88" s="114">
        <f t="shared" ref="BN88:BN102" si="62">ABS(AO88)/(AI88*AJ88)*1000-6*ABS(AQ88*1000000)/(AJ88*AI88^2)</f>
        <v>1.5353605019355282E-3</v>
      </c>
      <c r="BO88" s="110">
        <f t="shared" ref="BO88:BO102" si="63">BM88/$W$91</f>
        <v>1.4118257490280738E-4</v>
      </c>
      <c r="BP88" s="113" t="str">
        <f t="shared" ref="BP88:BP102" si="64">IF(BO88&lt;=1,"OK","Check")</f>
        <v>OK</v>
      </c>
      <c r="BQ88" s="10">
        <f t="shared" si="41"/>
        <v>304.99199999999996</v>
      </c>
      <c r="BR88" s="110">
        <f t="shared" ref="BR88:BR102" si="65">MAX(ABS(BH88),ABS(AP88))/BQ88</f>
        <v>8.0766221556840601E-2</v>
      </c>
      <c r="BS88" s="113" t="str">
        <f t="shared" ref="BS88:BS102" si="66">IF(BR88&lt;=1,"OK","Check")</f>
        <v>OK</v>
      </c>
      <c r="DE88" s="4"/>
      <c r="DF88" s="4"/>
      <c r="DG88" s="4"/>
      <c r="DH88" s="4"/>
      <c r="DI88" s="13"/>
      <c r="DJ88" s="13"/>
      <c r="DK88" s="13"/>
      <c r="DL88" s="13"/>
      <c r="DM88" s="13"/>
      <c r="DR88" s="29"/>
      <c r="DS88" s="29"/>
      <c r="DT88" s="29"/>
      <c r="DU88" s="29"/>
      <c r="DV88" s="29"/>
      <c r="DW88" s="29"/>
      <c r="DX88" s="29"/>
      <c r="DY88" s="29"/>
      <c r="DZ88" s="29"/>
      <c r="EA88" s="140"/>
      <c r="EB88" s="117"/>
      <c r="EC88" s="117"/>
      <c r="ED88" s="117"/>
      <c r="EE88" s="117"/>
      <c r="EF88" s="110"/>
      <c r="EG88" s="4"/>
      <c r="EH88" s="111"/>
      <c r="EI88" s="112"/>
      <c r="EJ88" s="112"/>
      <c r="EK88" s="110"/>
      <c r="EL88" s="113"/>
      <c r="EM88" s="114"/>
      <c r="EN88" s="114"/>
      <c r="EO88" s="110"/>
      <c r="EP88" s="113"/>
      <c r="EQ88" s="10"/>
      <c r="ER88" s="110"/>
      <c r="ES88" s="113"/>
    </row>
    <row r="89" spans="13:149" ht="15.6">
      <c r="M89" s="7" t="str">
        <f>"- Ứng suất dưới bản đế:"</f>
        <v>- Ứng suất dưới bản đế:</v>
      </c>
      <c r="N89" s="2"/>
      <c r="O89" s="2"/>
      <c r="P89" s="33"/>
      <c r="Q89" s="148"/>
      <c r="R89" s="20"/>
      <c r="S89" s="149"/>
      <c r="T89" s="149"/>
      <c r="U89" s="149"/>
      <c r="V89" s="20" t="s">
        <v>172</v>
      </c>
      <c r="W89" s="160">
        <f>ABS(T64)/(W47*W48)*1000+6*ABS(V64*1000000)/(W48*W47^2)</f>
        <v>1.2845646328512246</v>
      </c>
      <c r="X89" s="8" t="s">
        <v>20</v>
      </c>
      <c r="AA89" s="67" t="s">
        <v>211</v>
      </c>
      <c r="AB89" s="28" t="s">
        <v>390</v>
      </c>
      <c r="AC89" s="28" t="s">
        <v>347</v>
      </c>
      <c r="AD89" s="68">
        <v>20.399999999999999</v>
      </c>
      <c r="AE89" s="4">
        <f t="shared" si="42"/>
        <v>450</v>
      </c>
      <c r="AF89" s="4">
        <f t="shared" si="43"/>
        <v>200</v>
      </c>
      <c r="AG89" s="4">
        <f t="shared" si="44"/>
        <v>6</v>
      </c>
      <c r="AH89" s="4">
        <f t="shared" si="45"/>
        <v>12</v>
      </c>
      <c r="AI89" s="13">
        <f t="shared" si="46"/>
        <v>670</v>
      </c>
      <c r="AJ89" s="13">
        <f t="shared" si="47"/>
        <v>250</v>
      </c>
      <c r="AK89" s="13">
        <f t="shared" si="48"/>
        <v>20</v>
      </c>
      <c r="AL89" s="13" t="str">
        <f t="shared" si="49"/>
        <v>670x250x20</v>
      </c>
      <c r="AM89" s="13" t="str">
        <f t="shared" si="50"/>
        <v>6M24</v>
      </c>
      <c r="AN89" s="67" t="s">
        <v>461</v>
      </c>
      <c r="AO89" s="69">
        <v>-4.5029913914703226</v>
      </c>
      <c r="AP89" s="69">
        <v>5.3200765445143432</v>
      </c>
      <c r="AQ89" s="29">
        <v>9.4889649128026641E-13</v>
      </c>
      <c r="AR89" s="29"/>
      <c r="AS89" s="29"/>
      <c r="AT89" s="29"/>
      <c r="AU89" s="29"/>
      <c r="AV89" s="29"/>
      <c r="AW89" s="29"/>
      <c r="AX89" s="29"/>
      <c r="AY89" s="29"/>
      <c r="AZ89" s="29"/>
      <c r="BA89" s="140">
        <f t="shared" si="51"/>
        <v>2.1072580620022715E-13</v>
      </c>
      <c r="BB89" s="117">
        <f t="shared" si="39"/>
        <v>200</v>
      </c>
      <c r="BC89" s="117">
        <f t="shared" si="52"/>
        <v>535</v>
      </c>
      <c r="BD89" s="117">
        <f t="shared" si="53"/>
        <v>0.4645772343187673</v>
      </c>
      <c r="BE89" s="117">
        <f t="shared" si="54"/>
        <v>315.88474132285529</v>
      </c>
      <c r="BF89" s="110">
        <f t="shared" si="55"/>
        <v>1.4707175546790289E-3</v>
      </c>
      <c r="BG89" s="4">
        <f t="shared" si="40"/>
        <v>2</v>
      </c>
      <c r="BH89" s="111">
        <f t="shared" si="56"/>
        <v>0</v>
      </c>
      <c r="BI89" s="112">
        <f t="shared" si="57"/>
        <v>0</v>
      </c>
      <c r="BJ89" s="112">
        <f t="shared" si="58"/>
        <v>57.1</v>
      </c>
      <c r="BK89" s="110">
        <f t="shared" si="59"/>
        <v>0.16175637393767706</v>
      </c>
      <c r="BL89" s="113" t="str">
        <f t="shared" si="60"/>
        <v>OK</v>
      </c>
      <c r="BM89" s="114">
        <f t="shared" si="61"/>
        <v>2.6883530695395938E-2</v>
      </c>
      <c r="BN89" s="114">
        <f t="shared" si="62"/>
        <v>2.6883530695294477E-2</v>
      </c>
      <c r="BO89" s="110">
        <f t="shared" si="63"/>
        <v>2.4720487995766381E-3</v>
      </c>
      <c r="BP89" s="113" t="str">
        <f t="shared" si="64"/>
        <v>OK</v>
      </c>
      <c r="BQ89" s="10">
        <f t="shared" si="41"/>
        <v>304.99199999999996</v>
      </c>
      <c r="BR89" s="110">
        <f t="shared" si="65"/>
        <v>1.7443331446445623E-2</v>
      </c>
      <c r="BS89" s="113" t="str">
        <f t="shared" si="66"/>
        <v>OK</v>
      </c>
      <c r="DE89" s="4"/>
      <c r="DF89" s="4"/>
      <c r="DG89" s="4"/>
      <c r="DH89" s="4"/>
      <c r="DI89" s="13"/>
      <c r="DJ89" s="13"/>
      <c r="DK89" s="13"/>
      <c r="DL89" s="13"/>
      <c r="DM89" s="13"/>
      <c r="DR89" s="29"/>
      <c r="DS89" s="29"/>
      <c r="DT89" s="29"/>
      <c r="DU89" s="29"/>
      <c r="DV89" s="29"/>
      <c r="DW89" s="29"/>
      <c r="DX89" s="29"/>
      <c r="DY89" s="29"/>
      <c r="DZ89" s="29"/>
      <c r="EA89" s="140"/>
      <c r="EB89" s="117"/>
      <c r="EC89" s="117"/>
      <c r="ED89" s="117"/>
      <c r="EE89" s="117"/>
      <c r="EF89" s="110"/>
      <c r="EG89" s="4"/>
      <c r="EH89" s="111"/>
      <c r="EI89" s="112"/>
      <c r="EJ89" s="112"/>
      <c r="EK89" s="110"/>
      <c r="EL89" s="113"/>
      <c r="EM89" s="114"/>
      <c r="EN89" s="114"/>
      <c r="EO89" s="110"/>
      <c r="EP89" s="113"/>
      <c r="EQ89" s="10"/>
      <c r="ER89" s="110"/>
      <c r="ES89" s="113"/>
    </row>
    <row r="90" spans="13:149" ht="15.6">
      <c r="M90" s="7"/>
      <c r="N90" s="2"/>
      <c r="O90" s="2"/>
      <c r="P90" s="33"/>
      <c r="Q90" s="148"/>
      <c r="R90" s="20"/>
      <c r="S90" s="149"/>
      <c r="T90" s="149"/>
      <c r="U90" s="149"/>
      <c r="V90" s="20" t="s">
        <v>173</v>
      </c>
      <c r="W90" s="160">
        <f>ABS(T64)/(W47*W48)*1000-6*ABS(V64*1000000)/(W48*W47^2)</f>
        <v>1.2845646328511402</v>
      </c>
      <c r="X90" s="8" t="s">
        <v>20</v>
      </c>
      <c r="AA90" s="67" t="s">
        <v>211</v>
      </c>
      <c r="AB90" s="28" t="s">
        <v>390</v>
      </c>
      <c r="AC90" s="28" t="s">
        <v>347</v>
      </c>
      <c r="AD90" s="68">
        <v>20.399999999999999</v>
      </c>
      <c r="AE90" s="4">
        <f t="shared" si="42"/>
        <v>450</v>
      </c>
      <c r="AF90" s="4">
        <f t="shared" si="43"/>
        <v>200</v>
      </c>
      <c r="AG90" s="4">
        <f t="shared" si="44"/>
        <v>6</v>
      </c>
      <c r="AH90" s="4">
        <f t="shared" si="45"/>
        <v>12</v>
      </c>
      <c r="AI90" s="13">
        <f t="shared" si="46"/>
        <v>670</v>
      </c>
      <c r="AJ90" s="13">
        <f t="shared" si="47"/>
        <v>250</v>
      </c>
      <c r="AK90" s="13">
        <f t="shared" si="48"/>
        <v>20</v>
      </c>
      <c r="AL90" s="13" t="str">
        <f t="shared" si="49"/>
        <v>670x250x20</v>
      </c>
      <c r="AM90" s="13" t="str">
        <f t="shared" si="50"/>
        <v>6M24</v>
      </c>
      <c r="AN90" s="67" t="s">
        <v>462</v>
      </c>
      <c r="AO90" s="69">
        <v>-171.53069361727714</v>
      </c>
      <c r="AP90" s="69">
        <v>12.056071188617025</v>
      </c>
      <c r="AQ90" s="29">
        <v>5.8847949661112448E-14</v>
      </c>
      <c r="AR90" s="29"/>
      <c r="AS90" s="29"/>
      <c r="AT90" s="29"/>
      <c r="AU90" s="29"/>
      <c r="AV90" s="29"/>
      <c r="AW90" s="29"/>
      <c r="AX90" s="29"/>
      <c r="AY90" s="29"/>
      <c r="AZ90" s="29"/>
      <c r="BA90" s="140">
        <f t="shared" si="51"/>
        <v>3.4307533200101915E-16</v>
      </c>
      <c r="BB90" s="117">
        <f t="shared" si="39"/>
        <v>200</v>
      </c>
      <c r="BC90" s="117">
        <f t="shared" si="52"/>
        <v>535</v>
      </c>
      <c r="BD90" s="117">
        <f t="shared" si="53"/>
        <v>17.991803559112782</v>
      </c>
      <c r="BE90" s="117">
        <f t="shared" si="54"/>
        <v>315.88474132285529</v>
      </c>
      <c r="BF90" s="110">
        <f t="shared" si="55"/>
        <v>5.6956861809048125E-2</v>
      </c>
      <c r="BG90" s="4">
        <f t="shared" si="40"/>
        <v>2</v>
      </c>
      <c r="BH90" s="111">
        <f t="shared" si="56"/>
        <v>0</v>
      </c>
      <c r="BI90" s="112">
        <f t="shared" si="57"/>
        <v>0</v>
      </c>
      <c r="BJ90" s="112">
        <f t="shared" si="58"/>
        <v>57.1</v>
      </c>
      <c r="BK90" s="110">
        <f t="shared" si="59"/>
        <v>0.16175637393767706</v>
      </c>
      <c r="BL90" s="113" t="str">
        <f t="shared" si="60"/>
        <v>OK</v>
      </c>
      <c r="BM90" s="114">
        <f t="shared" si="61"/>
        <v>1.0240638424912099</v>
      </c>
      <c r="BN90" s="114">
        <f t="shared" si="62"/>
        <v>1.0240638424912036</v>
      </c>
      <c r="BO90" s="110">
        <f t="shared" si="63"/>
        <v>9.4166790114134244E-2</v>
      </c>
      <c r="BP90" s="113" t="str">
        <f t="shared" si="64"/>
        <v>OK</v>
      </c>
      <c r="BQ90" s="10">
        <f t="shared" si="41"/>
        <v>304.99199999999996</v>
      </c>
      <c r="BR90" s="110">
        <f t="shared" si="65"/>
        <v>3.952913908763845E-2</v>
      </c>
      <c r="BS90" s="113" t="str">
        <f t="shared" si="66"/>
        <v>OK</v>
      </c>
      <c r="DE90" s="4"/>
      <c r="DF90" s="4"/>
      <c r="DG90" s="4"/>
      <c r="DH90" s="4"/>
      <c r="DI90" s="13"/>
      <c r="DJ90" s="13"/>
      <c r="DK90" s="13"/>
      <c r="DL90" s="13"/>
      <c r="DM90" s="13"/>
      <c r="DR90" s="29"/>
      <c r="DS90" s="29"/>
      <c r="DT90" s="29"/>
      <c r="DU90" s="29"/>
      <c r="DV90" s="29"/>
      <c r="DW90" s="29"/>
      <c r="DX90" s="29"/>
      <c r="DY90" s="29"/>
      <c r="DZ90" s="29"/>
      <c r="EA90" s="140"/>
      <c r="EB90" s="117"/>
      <c r="EC90" s="117"/>
      <c r="ED90" s="117"/>
      <c r="EE90" s="117"/>
      <c r="EF90" s="110"/>
      <c r="EG90" s="4"/>
      <c r="EH90" s="111"/>
      <c r="EI90" s="112"/>
      <c r="EJ90" s="112"/>
      <c r="EK90" s="110"/>
      <c r="EL90" s="113"/>
      <c r="EM90" s="114"/>
      <c r="EN90" s="114"/>
      <c r="EO90" s="110"/>
      <c r="EP90" s="113"/>
      <c r="EQ90" s="10"/>
      <c r="ER90" s="110"/>
      <c r="ES90" s="113"/>
    </row>
    <row r="91" spans="13:149" ht="15">
      <c r="M91" s="7" t="str">
        <f>"- Cường độ chịu nén cục bộ của bê tông:"</f>
        <v>- Cường độ chịu nén cục bộ của bê tông:</v>
      </c>
      <c r="N91" s="2"/>
      <c r="O91" s="2"/>
      <c r="P91" s="33"/>
      <c r="Q91" s="148"/>
      <c r="R91" s="20" t="s">
        <v>62</v>
      </c>
      <c r="S91" s="158">
        <v>1</v>
      </c>
      <c r="T91" s="20" t="s">
        <v>69</v>
      </c>
      <c r="U91" s="158">
        <v>0.75</v>
      </c>
      <c r="V91" s="20" t="s">
        <v>175</v>
      </c>
      <c r="W91" s="160">
        <f>S91*W36*U91</f>
        <v>10.875</v>
      </c>
      <c r="X91" s="8" t="s">
        <v>20</v>
      </c>
      <c r="AA91" s="67" t="s">
        <v>211</v>
      </c>
      <c r="AB91" s="28" t="s">
        <v>390</v>
      </c>
      <c r="AC91" s="28" t="s">
        <v>347</v>
      </c>
      <c r="AD91" s="68">
        <v>20.399999999999999</v>
      </c>
      <c r="AE91" s="4">
        <f t="shared" si="42"/>
        <v>450</v>
      </c>
      <c r="AF91" s="4">
        <f t="shared" si="43"/>
        <v>200</v>
      </c>
      <c r="AG91" s="4">
        <f t="shared" si="44"/>
        <v>6</v>
      </c>
      <c r="AH91" s="4">
        <f t="shared" si="45"/>
        <v>12</v>
      </c>
      <c r="AI91" s="13">
        <f t="shared" si="46"/>
        <v>670</v>
      </c>
      <c r="AJ91" s="13">
        <f t="shared" si="47"/>
        <v>250</v>
      </c>
      <c r="AK91" s="13">
        <f t="shared" si="48"/>
        <v>20</v>
      </c>
      <c r="AL91" s="13" t="str">
        <f t="shared" si="49"/>
        <v>670x250x20</v>
      </c>
      <c r="AM91" s="13" t="str">
        <f t="shared" si="50"/>
        <v>6M24</v>
      </c>
      <c r="AN91" s="67" t="s">
        <v>463</v>
      </c>
      <c r="AO91" s="69">
        <v>-175.77651212466216</v>
      </c>
      <c r="AP91" s="69">
        <v>15.380704568867415</v>
      </c>
      <c r="AQ91" s="29">
        <v>2.3142438834129059E-13</v>
      </c>
      <c r="AR91" s="29"/>
      <c r="AS91" s="29"/>
      <c r="AT91" s="29"/>
      <c r="AU91" s="29"/>
      <c r="AV91" s="29"/>
      <c r="AW91" s="29"/>
      <c r="AX91" s="29"/>
      <c r="AY91" s="29"/>
      <c r="AZ91" s="29"/>
      <c r="BA91" s="140">
        <f t="shared" si="51"/>
        <v>1.316583117641807E-15</v>
      </c>
      <c r="BB91" s="117">
        <f t="shared" si="39"/>
        <v>200</v>
      </c>
      <c r="BC91" s="117">
        <f t="shared" si="52"/>
        <v>535</v>
      </c>
      <c r="BD91" s="117">
        <f t="shared" si="53"/>
        <v>18.445093842000915</v>
      </c>
      <c r="BE91" s="117">
        <f t="shared" si="54"/>
        <v>315.88474132285529</v>
      </c>
      <c r="BF91" s="110">
        <f t="shared" si="55"/>
        <v>5.8391848130292558E-2</v>
      </c>
      <c r="BG91" s="4">
        <f t="shared" si="40"/>
        <v>2</v>
      </c>
      <c r="BH91" s="111">
        <f t="shared" si="56"/>
        <v>0</v>
      </c>
      <c r="BI91" s="112">
        <f t="shared" si="57"/>
        <v>0</v>
      </c>
      <c r="BJ91" s="112">
        <f t="shared" si="58"/>
        <v>57.1</v>
      </c>
      <c r="BK91" s="110">
        <f t="shared" si="59"/>
        <v>0.16175637393767706</v>
      </c>
      <c r="BL91" s="113" t="str">
        <f t="shared" si="60"/>
        <v>OK</v>
      </c>
      <c r="BM91" s="114">
        <f t="shared" si="61"/>
        <v>1.0494120126845627</v>
      </c>
      <c r="BN91" s="114">
        <f t="shared" si="62"/>
        <v>1.0494120126845379</v>
      </c>
      <c r="BO91" s="110">
        <f t="shared" si="63"/>
        <v>9.649765633881037E-2</v>
      </c>
      <c r="BP91" s="113" t="str">
        <f t="shared" si="64"/>
        <v>OK</v>
      </c>
      <c r="BQ91" s="10">
        <f t="shared" si="41"/>
        <v>304.99199999999996</v>
      </c>
      <c r="BR91" s="110">
        <f t="shared" si="65"/>
        <v>5.0429862320544201E-2</v>
      </c>
      <c r="BS91" s="113" t="str">
        <f t="shared" si="66"/>
        <v>OK</v>
      </c>
      <c r="DI91" s="13"/>
      <c r="DJ91" s="13"/>
      <c r="DK91" s="13"/>
      <c r="DL91" s="13"/>
      <c r="DM91" s="13"/>
      <c r="DR91" s="29"/>
      <c r="DS91" s="29"/>
      <c r="DT91" s="29"/>
      <c r="DU91" s="29"/>
      <c r="DV91" s="29"/>
      <c r="DW91" s="29"/>
      <c r="DX91" s="29"/>
      <c r="DY91" s="29"/>
      <c r="DZ91" s="29"/>
      <c r="EA91" s="140"/>
      <c r="EB91" s="117"/>
      <c r="EC91" s="117"/>
      <c r="ED91" s="117"/>
      <c r="EE91" s="117"/>
      <c r="EF91" s="110"/>
      <c r="EG91" s="4"/>
      <c r="EH91" s="111"/>
      <c r="EI91" s="112"/>
      <c r="EJ91" s="112"/>
      <c r="EK91" s="110"/>
      <c r="EL91" s="113"/>
      <c r="EM91" s="114"/>
      <c r="EN91" s="114"/>
      <c r="EO91" s="110"/>
      <c r="EP91" s="113"/>
      <c r="EQ91" s="114"/>
      <c r="ER91" s="110"/>
      <c r="ES91" s="113"/>
    </row>
    <row r="92" spans="13:149" ht="15">
      <c r="M92" s="7" t="str">
        <f>"- Tỷ số huy động cấu kiện:"</f>
        <v>- Tỷ số huy động cấu kiện:</v>
      </c>
      <c r="N92" s="2"/>
      <c r="O92" s="2"/>
      <c r="P92" s="33"/>
      <c r="Q92" s="148"/>
      <c r="R92" s="149"/>
      <c r="S92" s="2"/>
      <c r="T92" s="2"/>
      <c r="U92" s="2"/>
      <c r="V92" s="20" t="s">
        <v>174</v>
      </c>
      <c r="W92" s="155">
        <f>W89/W91</f>
        <v>0.11812088577942295</v>
      </c>
      <c r="X92" s="12" t="str">
        <f>IF(W92&lt;=1,"OK","Check")</f>
        <v>OK</v>
      </c>
      <c r="AA92" s="67" t="s">
        <v>211</v>
      </c>
      <c r="AB92" s="28" t="s">
        <v>390</v>
      </c>
      <c r="AC92" s="28" t="s">
        <v>347</v>
      </c>
      <c r="AD92" s="68">
        <v>20.399999999999999</v>
      </c>
      <c r="AE92" s="4">
        <f t="shared" si="42"/>
        <v>450</v>
      </c>
      <c r="AF92" s="4">
        <f t="shared" si="43"/>
        <v>200</v>
      </c>
      <c r="AG92" s="4">
        <f t="shared" si="44"/>
        <v>6</v>
      </c>
      <c r="AH92" s="4">
        <f t="shared" si="45"/>
        <v>12</v>
      </c>
      <c r="AI92" s="13">
        <f t="shared" si="46"/>
        <v>670</v>
      </c>
      <c r="AJ92" s="13">
        <f t="shared" si="47"/>
        <v>250</v>
      </c>
      <c r="AK92" s="13">
        <f t="shared" si="48"/>
        <v>20</v>
      </c>
      <c r="AL92" s="13" t="str">
        <f t="shared" si="49"/>
        <v>670x250x20</v>
      </c>
      <c r="AM92" s="13" t="str">
        <f t="shared" si="50"/>
        <v>6M24</v>
      </c>
      <c r="AN92" s="67" t="s">
        <v>464</v>
      </c>
      <c r="AO92" s="69">
        <v>-101.62384692914908</v>
      </c>
      <c r="AP92" s="69">
        <v>19.430872387248897</v>
      </c>
      <c r="AQ92" s="29">
        <v>5.6840661282517976E-14</v>
      </c>
      <c r="AR92" s="29"/>
      <c r="AS92" s="29"/>
      <c r="AT92" s="29"/>
      <c r="AU92" s="29"/>
      <c r="AV92" s="29"/>
      <c r="AW92" s="29"/>
      <c r="AX92" s="29"/>
      <c r="AY92" s="29"/>
      <c r="AZ92" s="29"/>
      <c r="BA92" s="140">
        <f t="shared" si="51"/>
        <v>5.5932404647254303E-16</v>
      </c>
      <c r="BB92" s="117">
        <f t="shared" si="39"/>
        <v>200</v>
      </c>
      <c r="BC92" s="117">
        <f t="shared" si="52"/>
        <v>535</v>
      </c>
      <c r="BD92" s="117">
        <f t="shared" si="53"/>
        <v>10.584769355469689</v>
      </c>
      <c r="BE92" s="117">
        <f t="shared" si="54"/>
        <v>315.88474132285529</v>
      </c>
      <c r="BF92" s="110">
        <f t="shared" si="55"/>
        <v>3.3508327471415744E-2</v>
      </c>
      <c r="BG92" s="4">
        <f t="shared" si="40"/>
        <v>2</v>
      </c>
      <c r="BH92" s="111">
        <f t="shared" si="56"/>
        <v>0</v>
      </c>
      <c r="BI92" s="112">
        <f t="shared" si="57"/>
        <v>0</v>
      </c>
      <c r="BJ92" s="112">
        <f t="shared" si="58"/>
        <v>57.1</v>
      </c>
      <c r="BK92" s="110">
        <f t="shared" si="59"/>
        <v>0.16175637393767706</v>
      </c>
      <c r="BL92" s="113" t="str">
        <f t="shared" si="60"/>
        <v>OK</v>
      </c>
      <c r="BM92" s="114">
        <f t="shared" si="61"/>
        <v>0.60670953390537063</v>
      </c>
      <c r="BN92" s="114">
        <f t="shared" si="62"/>
        <v>0.60670953390536464</v>
      </c>
      <c r="BO92" s="110">
        <f t="shared" si="63"/>
        <v>5.5789382428080056E-2</v>
      </c>
      <c r="BP92" s="113" t="str">
        <f t="shared" si="64"/>
        <v>OK</v>
      </c>
      <c r="BQ92" s="10">
        <f t="shared" si="41"/>
        <v>304.99199999999996</v>
      </c>
      <c r="BR92" s="110">
        <f t="shared" si="65"/>
        <v>6.370944938637374E-2</v>
      </c>
      <c r="BS92" s="113" t="str">
        <f t="shared" si="66"/>
        <v>OK</v>
      </c>
      <c r="DI92" s="13"/>
      <c r="DJ92" s="13"/>
      <c r="DK92" s="13"/>
      <c r="DL92" s="13"/>
      <c r="DM92" s="13"/>
      <c r="DR92" s="29"/>
      <c r="DS92" s="29"/>
      <c r="DT92" s="29"/>
      <c r="DU92" s="29"/>
      <c r="DV92" s="29"/>
      <c r="DW92" s="29"/>
      <c r="DX92" s="29"/>
      <c r="DY92" s="29"/>
      <c r="DZ92" s="29"/>
      <c r="EA92" s="140"/>
      <c r="EB92" s="117"/>
      <c r="EC92" s="117"/>
      <c r="ED92" s="117"/>
      <c r="EE92" s="117"/>
      <c r="EF92" s="110"/>
      <c r="EG92" s="4"/>
      <c r="EH92" s="111"/>
      <c r="EI92" s="112"/>
      <c r="EJ92" s="112"/>
      <c r="EK92" s="110"/>
      <c r="EL92" s="113"/>
      <c r="EM92" s="114"/>
      <c r="EN92" s="114"/>
      <c r="EO92" s="110"/>
      <c r="EP92" s="113"/>
      <c r="EQ92" s="114"/>
      <c r="ER92" s="110"/>
      <c r="ES92" s="113"/>
    </row>
    <row r="93" spans="13:149">
      <c r="M93" s="6" t="s">
        <v>121</v>
      </c>
      <c r="N93" s="2"/>
      <c r="O93" s="2"/>
      <c r="P93" s="33"/>
      <c r="Q93" s="148"/>
      <c r="R93" s="149"/>
      <c r="S93" s="2"/>
      <c r="T93" s="2"/>
      <c r="U93" s="2"/>
      <c r="V93" s="2"/>
      <c r="W93" s="2"/>
      <c r="X93" s="8"/>
      <c r="AA93" s="67" t="s">
        <v>211</v>
      </c>
      <c r="AB93" s="28" t="s">
        <v>390</v>
      </c>
      <c r="AC93" s="28" t="s">
        <v>347</v>
      </c>
      <c r="AD93" s="68">
        <v>20.399999999999999</v>
      </c>
      <c r="AE93" s="4">
        <f t="shared" si="42"/>
        <v>450</v>
      </c>
      <c r="AF93" s="4">
        <f t="shared" si="43"/>
        <v>200</v>
      </c>
      <c r="AG93" s="4">
        <f t="shared" si="44"/>
        <v>6</v>
      </c>
      <c r="AH93" s="4">
        <f t="shared" si="45"/>
        <v>12</v>
      </c>
      <c r="AI93" s="13">
        <f t="shared" si="46"/>
        <v>670</v>
      </c>
      <c r="AJ93" s="13">
        <f t="shared" si="47"/>
        <v>250</v>
      </c>
      <c r="AK93" s="13">
        <f t="shared" si="48"/>
        <v>20</v>
      </c>
      <c r="AL93" s="13" t="str">
        <f t="shared" si="49"/>
        <v>670x250x20</v>
      </c>
      <c r="AM93" s="13" t="str">
        <f t="shared" si="50"/>
        <v>6M24</v>
      </c>
      <c r="AN93" s="67" t="s">
        <v>465</v>
      </c>
      <c r="AO93" s="69">
        <v>-108.41715654096512</v>
      </c>
      <c r="AP93" s="69">
        <v>24.467968824726213</v>
      </c>
      <c r="AQ93" s="29">
        <v>4.075950795213269E-13</v>
      </c>
      <c r="AR93" s="29"/>
      <c r="AS93" s="29"/>
      <c r="AT93" s="29"/>
      <c r="AU93" s="29"/>
      <c r="AV93" s="29"/>
      <c r="AW93" s="29"/>
      <c r="AX93" s="29"/>
      <c r="AY93" s="29"/>
      <c r="AZ93" s="29"/>
      <c r="BA93" s="140">
        <f t="shared" si="51"/>
        <v>3.759507189872834E-15</v>
      </c>
      <c r="BB93" s="117">
        <f t="shared" si="39"/>
        <v>200</v>
      </c>
      <c r="BC93" s="117">
        <f t="shared" si="52"/>
        <v>535</v>
      </c>
      <c r="BD93" s="117">
        <f t="shared" si="53"/>
        <v>11.299964145408808</v>
      </c>
      <c r="BE93" s="117">
        <f t="shared" si="54"/>
        <v>315.88474132285529</v>
      </c>
      <c r="BF93" s="110">
        <f t="shared" si="55"/>
        <v>3.5772427937123721E-2</v>
      </c>
      <c r="BG93" s="4">
        <f t="shared" si="40"/>
        <v>2</v>
      </c>
      <c r="BH93" s="111">
        <f t="shared" si="56"/>
        <v>0</v>
      </c>
      <c r="BI93" s="112">
        <f t="shared" si="57"/>
        <v>0</v>
      </c>
      <c r="BJ93" s="112">
        <f t="shared" si="58"/>
        <v>57.1</v>
      </c>
      <c r="BK93" s="110">
        <f t="shared" si="59"/>
        <v>0.16175637393767706</v>
      </c>
      <c r="BL93" s="113" t="str">
        <f t="shared" si="60"/>
        <v>OK</v>
      </c>
      <c r="BM93" s="114">
        <f t="shared" si="61"/>
        <v>0.64726660621473897</v>
      </c>
      <c r="BN93" s="114">
        <f t="shared" si="62"/>
        <v>0.64726660621469545</v>
      </c>
      <c r="BO93" s="110">
        <f t="shared" si="63"/>
        <v>5.9518768387562204E-2</v>
      </c>
      <c r="BP93" s="113" t="str">
        <f t="shared" si="64"/>
        <v>OK</v>
      </c>
      <c r="BQ93" s="10">
        <f t="shared" si="41"/>
        <v>304.99199999999996</v>
      </c>
      <c r="BR93" s="110">
        <f t="shared" si="65"/>
        <v>8.0224952866718532E-2</v>
      </c>
      <c r="BS93" s="113" t="str">
        <f t="shared" si="66"/>
        <v>OK</v>
      </c>
      <c r="DI93" s="13"/>
      <c r="DJ93" s="13"/>
      <c r="DK93" s="13"/>
      <c r="DL93" s="13"/>
      <c r="DM93" s="13"/>
      <c r="DR93" s="29"/>
      <c r="DS93" s="29"/>
      <c r="DT93" s="29"/>
      <c r="DU93" s="29"/>
      <c r="DV93" s="29"/>
      <c r="DW93" s="29"/>
      <c r="DX93" s="29"/>
      <c r="DY93" s="29"/>
      <c r="DZ93" s="29"/>
      <c r="EA93" s="140"/>
      <c r="EB93" s="117"/>
      <c r="EC93" s="117"/>
      <c r="ED93" s="117"/>
      <c r="EE93" s="117"/>
      <c r="EF93" s="110"/>
      <c r="EG93" s="4"/>
      <c r="EH93" s="111"/>
      <c r="EI93" s="112"/>
      <c r="EJ93" s="112"/>
      <c r="EK93" s="110"/>
      <c r="EL93" s="113"/>
      <c r="EM93" s="114"/>
      <c r="EN93" s="114"/>
      <c r="EO93" s="110"/>
      <c r="EP93" s="113"/>
      <c r="EQ93" s="114"/>
      <c r="ER93" s="110"/>
      <c r="ES93" s="113"/>
    </row>
    <row r="94" spans="13:149">
      <c r="M94" s="6" t="s">
        <v>343</v>
      </c>
      <c r="N94" s="2"/>
      <c r="O94" s="2"/>
      <c r="P94" s="2"/>
      <c r="Q94" s="2"/>
      <c r="R94" s="2"/>
      <c r="S94" s="2"/>
      <c r="T94" s="2"/>
      <c r="U94" s="2"/>
      <c r="V94" s="2"/>
      <c r="W94" s="2"/>
      <c r="X94" s="8"/>
      <c r="AA94" s="67" t="s">
        <v>211</v>
      </c>
      <c r="AB94" s="28" t="s">
        <v>390</v>
      </c>
      <c r="AC94" s="28" t="s">
        <v>347</v>
      </c>
      <c r="AD94" s="68">
        <v>20.399999999999999</v>
      </c>
      <c r="AE94" s="4">
        <f t="shared" si="42"/>
        <v>450</v>
      </c>
      <c r="AF94" s="4">
        <f t="shared" si="43"/>
        <v>200</v>
      </c>
      <c r="AG94" s="4">
        <f t="shared" si="44"/>
        <v>6</v>
      </c>
      <c r="AH94" s="4">
        <f t="shared" si="45"/>
        <v>12</v>
      </c>
      <c r="AI94" s="13">
        <f t="shared" si="46"/>
        <v>670</v>
      </c>
      <c r="AJ94" s="13">
        <f t="shared" si="47"/>
        <v>250</v>
      </c>
      <c r="AK94" s="13">
        <f t="shared" si="48"/>
        <v>20</v>
      </c>
      <c r="AL94" s="13" t="str">
        <f t="shared" si="49"/>
        <v>670x250x20</v>
      </c>
      <c r="AM94" s="13" t="str">
        <f t="shared" si="50"/>
        <v>6M24</v>
      </c>
      <c r="AN94" s="67" t="s">
        <v>466</v>
      </c>
      <c r="AO94" s="69">
        <v>-60.15260662194644</v>
      </c>
      <c r="AP94" s="69">
        <v>6.4588941794962835</v>
      </c>
      <c r="AQ94" s="29">
        <v>3.4900407646432552E-13</v>
      </c>
      <c r="AR94" s="29"/>
      <c r="AS94" s="29"/>
      <c r="AT94" s="29"/>
      <c r="AU94" s="29"/>
      <c r="AV94" s="29"/>
      <c r="AW94" s="29"/>
      <c r="AX94" s="29"/>
      <c r="AY94" s="29"/>
      <c r="AZ94" s="29"/>
      <c r="BA94" s="140">
        <f t="shared" si="51"/>
        <v>5.8019776043585907E-15</v>
      </c>
      <c r="BB94" s="117">
        <f t="shared" si="39"/>
        <v>200</v>
      </c>
      <c r="BC94" s="117">
        <f t="shared" si="52"/>
        <v>535</v>
      </c>
      <c r="BD94" s="117">
        <f t="shared" si="53"/>
        <v>6.2396847403919082</v>
      </c>
      <c r="BE94" s="117">
        <f t="shared" si="54"/>
        <v>315.88474132285529</v>
      </c>
      <c r="BF94" s="110">
        <f t="shared" si="55"/>
        <v>1.9753042563124421E-2</v>
      </c>
      <c r="BG94" s="4">
        <f t="shared" si="40"/>
        <v>2</v>
      </c>
      <c r="BH94" s="111">
        <f t="shared" si="56"/>
        <v>0</v>
      </c>
      <c r="BI94" s="112">
        <f t="shared" si="57"/>
        <v>0</v>
      </c>
      <c r="BJ94" s="112">
        <f t="shared" si="58"/>
        <v>57.1</v>
      </c>
      <c r="BK94" s="110">
        <f t="shared" si="59"/>
        <v>0.16175637393767706</v>
      </c>
      <c r="BL94" s="113" t="str">
        <f t="shared" si="60"/>
        <v>OK</v>
      </c>
      <c r="BM94" s="114">
        <f t="shared" si="61"/>
        <v>0.35912003953402727</v>
      </c>
      <c r="BN94" s="114">
        <f t="shared" si="62"/>
        <v>0.35912003953398997</v>
      </c>
      <c r="BO94" s="110">
        <f t="shared" si="63"/>
        <v>3.3022532370945039E-2</v>
      </c>
      <c r="BP94" s="113" t="str">
        <f t="shared" si="64"/>
        <v>OK</v>
      </c>
      <c r="BQ94" s="10">
        <f t="shared" si="41"/>
        <v>304.99199999999996</v>
      </c>
      <c r="BR94" s="110">
        <f t="shared" si="65"/>
        <v>2.1177257696911016E-2</v>
      </c>
      <c r="BS94" s="113" t="str">
        <f t="shared" si="66"/>
        <v>OK</v>
      </c>
      <c r="DI94" s="13"/>
      <c r="DJ94" s="13"/>
      <c r="DK94" s="13"/>
      <c r="DL94" s="13"/>
      <c r="DM94" s="13"/>
      <c r="DR94" s="29"/>
      <c r="DS94" s="29"/>
      <c r="DT94" s="29"/>
      <c r="DU94" s="29"/>
      <c r="DV94" s="29"/>
      <c r="DW94" s="29"/>
      <c r="DX94" s="29"/>
      <c r="DY94" s="29"/>
      <c r="DZ94" s="29"/>
      <c r="EA94" s="140"/>
      <c r="EB94" s="117"/>
      <c r="EC94" s="117"/>
      <c r="ED94" s="117"/>
      <c r="EE94" s="117"/>
      <c r="EF94" s="110"/>
      <c r="EG94" s="4"/>
      <c r="EH94" s="111"/>
      <c r="EI94" s="112"/>
      <c r="EJ94" s="112"/>
      <c r="EK94" s="110"/>
      <c r="EL94" s="113"/>
      <c r="EM94" s="114"/>
      <c r="EN94" s="114"/>
      <c r="EO94" s="110"/>
      <c r="EP94" s="113"/>
      <c r="EQ94" s="114"/>
      <c r="ER94" s="110"/>
      <c r="ES94" s="113"/>
    </row>
    <row r="95" spans="13:149" ht="15">
      <c r="M95" s="6"/>
      <c r="N95" s="2"/>
      <c r="O95" s="2"/>
      <c r="P95" s="229" t="s">
        <v>73</v>
      </c>
      <c r="Q95" s="186" t="s">
        <v>116</v>
      </c>
      <c r="R95" s="186" t="s">
        <v>117</v>
      </c>
      <c r="S95" s="231" t="s">
        <v>115</v>
      </c>
      <c r="T95" s="187" t="s">
        <v>179</v>
      </c>
      <c r="U95" s="186" t="s">
        <v>177</v>
      </c>
      <c r="V95" s="2"/>
      <c r="W95" s="2"/>
      <c r="X95" s="8"/>
      <c r="AA95" s="67" t="s">
        <v>211</v>
      </c>
      <c r="AB95" s="28" t="s">
        <v>390</v>
      </c>
      <c r="AC95" s="28" t="s">
        <v>347</v>
      </c>
      <c r="AD95" s="68">
        <v>20.399999999999999</v>
      </c>
      <c r="AE95" s="4">
        <f t="shared" si="42"/>
        <v>450</v>
      </c>
      <c r="AF95" s="4">
        <f t="shared" si="43"/>
        <v>200</v>
      </c>
      <c r="AG95" s="4">
        <f t="shared" si="44"/>
        <v>6</v>
      </c>
      <c r="AH95" s="4">
        <f t="shared" si="45"/>
        <v>12</v>
      </c>
      <c r="AI95" s="13">
        <f t="shared" si="46"/>
        <v>670</v>
      </c>
      <c r="AJ95" s="13">
        <f t="shared" si="47"/>
        <v>250</v>
      </c>
      <c r="AK95" s="13">
        <f t="shared" si="48"/>
        <v>20</v>
      </c>
      <c r="AL95" s="13" t="str">
        <f t="shared" si="49"/>
        <v>670x250x20</v>
      </c>
      <c r="AM95" s="13" t="str">
        <f t="shared" si="50"/>
        <v>6M24</v>
      </c>
      <c r="AN95" s="67" t="s">
        <v>467</v>
      </c>
      <c r="AO95" s="69">
        <v>-60.835445272401536</v>
      </c>
      <c r="AP95" s="69">
        <v>5.5705725683130822</v>
      </c>
      <c r="AQ95" s="29">
        <v>7.6515423676211031E-13</v>
      </c>
      <c r="AR95" s="29"/>
      <c r="AS95" s="29"/>
      <c r="AT95" s="29"/>
      <c r="AU95" s="29"/>
      <c r="AV95" s="29"/>
      <c r="AW95" s="29"/>
      <c r="AX95" s="29"/>
      <c r="AY95" s="29"/>
      <c r="AZ95" s="29"/>
      <c r="BA95" s="140">
        <f t="shared" si="51"/>
        <v>1.2577441215988409E-14</v>
      </c>
      <c r="BB95" s="117">
        <f t="shared" si="39"/>
        <v>200</v>
      </c>
      <c r="BC95" s="117">
        <f t="shared" si="52"/>
        <v>535</v>
      </c>
      <c r="BD95" s="117">
        <f t="shared" si="53"/>
        <v>6.3109389439891856</v>
      </c>
      <c r="BE95" s="117">
        <f t="shared" si="54"/>
        <v>315.88474132285529</v>
      </c>
      <c r="BF95" s="110">
        <f t="shared" si="55"/>
        <v>1.9978612824286389E-2</v>
      </c>
      <c r="BG95" s="4">
        <f t="shared" si="40"/>
        <v>2</v>
      </c>
      <c r="BH95" s="111">
        <f t="shared" si="56"/>
        <v>0</v>
      </c>
      <c r="BI95" s="112">
        <f t="shared" si="57"/>
        <v>0</v>
      </c>
      <c r="BJ95" s="112">
        <f t="shared" si="58"/>
        <v>57.1</v>
      </c>
      <c r="BK95" s="110">
        <f t="shared" si="59"/>
        <v>0.16175637393767706</v>
      </c>
      <c r="BL95" s="113" t="str">
        <f t="shared" si="60"/>
        <v>OK</v>
      </c>
      <c r="BM95" s="114">
        <f t="shared" si="61"/>
        <v>0.36319668819348289</v>
      </c>
      <c r="BN95" s="114">
        <f t="shared" si="62"/>
        <v>0.36319668819340106</v>
      </c>
      <c r="BO95" s="110">
        <f t="shared" si="63"/>
        <v>3.339739661549268E-2</v>
      </c>
      <c r="BP95" s="113" t="str">
        <f t="shared" si="64"/>
        <v>OK</v>
      </c>
      <c r="BQ95" s="10">
        <f t="shared" si="41"/>
        <v>304.99199999999996</v>
      </c>
      <c r="BR95" s="110">
        <f t="shared" si="65"/>
        <v>1.82646514279492E-2</v>
      </c>
      <c r="BS95" s="113" t="str">
        <f t="shared" si="66"/>
        <v>OK</v>
      </c>
      <c r="DI95" s="13"/>
      <c r="DJ95" s="13"/>
      <c r="DK95" s="13"/>
      <c r="DL95" s="13"/>
      <c r="DM95" s="13"/>
      <c r="DR95" s="29"/>
      <c r="DS95" s="29"/>
      <c r="DT95" s="29"/>
      <c r="DU95" s="29"/>
      <c r="DV95" s="29"/>
      <c r="DW95" s="29"/>
      <c r="DX95" s="29"/>
      <c r="DY95" s="29"/>
      <c r="DZ95" s="29"/>
      <c r="EA95" s="140"/>
      <c r="EB95" s="117"/>
      <c r="EC95" s="117"/>
      <c r="ED95" s="117"/>
      <c r="EE95" s="117"/>
      <c r="EF95" s="110"/>
      <c r="EG95" s="4"/>
      <c r="EH95" s="111"/>
      <c r="EI95" s="112"/>
      <c r="EJ95" s="112"/>
      <c r="EK95" s="110"/>
      <c r="EL95" s="113"/>
      <c r="EM95" s="114"/>
      <c r="EN95" s="114"/>
      <c r="EO95" s="110"/>
      <c r="EP95" s="113"/>
      <c r="EQ95" s="114"/>
      <c r="ER95" s="110"/>
      <c r="ES95" s="113"/>
    </row>
    <row r="96" spans="13:149">
      <c r="M96" s="6"/>
      <c r="N96" s="2"/>
      <c r="O96" s="2"/>
      <c r="P96" s="230"/>
      <c r="Q96" s="188" t="s">
        <v>178</v>
      </c>
      <c r="R96" s="188" t="s">
        <v>178</v>
      </c>
      <c r="S96" s="232"/>
      <c r="T96" s="189" t="s">
        <v>20</v>
      </c>
      <c r="U96" s="190" t="s">
        <v>71</v>
      </c>
      <c r="V96" s="2"/>
      <c r="W96" s="2"/>
      <c r="X96" s="8"/>
      <c r="AA96" s="67" t="s">
        <v>211</v>
      </c>
      <c r="AB96" s="28" t="s">
        <v>390</v>
      </c>
      <c r="AC96" s="28" t="s">
        <v>347</v>
      </c>
      <c r="AD96" s="68">
        <v>20.399999999999999</v>
      </c>
      <c r="AE96" s="4">
        <f t="shared" si="42"/>
        <v>450</v>
      </c>
      <c r="AF96" s="4">
        <f t="shared" si="43"/>
        <v>200</v>
      </c>
      <c r="AG96" s="4">
        <f t="shared" si="44"/>
        <v>6</v>
      </c>
      <c r="AH96" s="4">
        <f t="shared" si="45"/>
        <v>12</v>
      </c>
      <c r="AI96" s="13">
        <f t="shared" si="46"/>
        <v>670</v>
      </c>
      <c r="AJ96" s="13">
        <f t="shared" si="47"/>
        <v>250</v>
      </c>
      <c r="AK96" s="13">
        <f t="shared" si="48"/>
        <v>20</v>
      </c>
      <c r="AL96" s="13" t="str">
        <f t="shared" si="49"/>
        <v>670x250x20</v>
      </c>
      <c r="AM96" s="13" t="str">
        <f t="shared" si="50"/>
        <v>6M24</v>
      </c>
      <c r="AN96" s="67" t="s">
        <v>468</v>
      </c>
      <c r="AO96" s="69">
        <v>-104.25246657132809</v>
      </c>
      <c r="AP96" s="69">
        <v>5.0052570494965494</v>
      </c>
      <c r="AQ96" s="29">
        <v>6.1099204558706007E-14</v>
      </c>
      <c r="AR96" s="29"/>
      <c r="AS96" s="29"/>
      <c r="AT96" s="29"/>
      <c r="AU96" s="29"/>
      <c r="AV96" s="29"/>
      <c r="AW96" s="29"/>
      <c r="AX96" s="29"/>
      <c r="AY96" s="29"/>
      <c r="AZ96" s="29"/>
      <c r="BA96" s="140">
        <f t="shared" si="51"/>
        <v>5.8606963046675524E-16</v>
      </c>
      <c r="BB96" s="117">
        <f t="shared" si="39"/>
        <v>200</v>
      </c>
      <c r="BC96" s="117">
        <f t="shared" si="52"/>
        <v>535</v>
      </c>
      <c r="BD96" s="117">
        <f t="shared" si="53"/>
        <v>10.861392806492518</v>
      </c>
      <c r="BE96" s="117">
        <f t="shared" si="54"/>
        <v>315.88474132285529</v>
      </c>
      <c r="BF96" s="110">
        <f t="shared" si="55"/>
        <v>3.4384037548022772E-2</v>
      </c>
      <c r="BG96" s="4">
        <f t="shared" si="40"/>
        <v>2</v>
      </c>
      <c r="BH96" s="111">
        <f t="shared" si="56"/>
        <v>0</v>
      </c>
      <c r="BI96" s="112">
        <f t="shared" si="57"/>
        <v>0</v>
      </c>
      <c r="BJ96" s="112">
        <f t="shared" si="58"/>
        <v>57.1</v>
      </c>
      <c r="BK96" s="110">
        <f t="shared" si="59"/>
        <v>0.16175637393767706</v>
      </c>
      <c r="BL96" s="113" t="str">
        <f t="shared" si="60"/>
        <v>OK</v>
      </c>
      <c r="BM96" s="114">
        <f t="shared" si="61"/>
        <v>0.62240278550046946</v>
      </c>
      <c r="BN96" s="114">
        <f t="shared" si="62"/>
        <v>0.62240278550046302</v>
      </c>
      <c r="BO96" s="110">
        <f t="shared" si="63"/>
        <v>5.7232440046020183E-2</v>
      </c>
      <c r="BP96" s="113" t="str">
        <f t="shared" si="64"/>
        <v>OK</v>
      </c>
      <c r="BQ96" s="10">
        <f t="shared" si="41"/>
        <v>304.99199999999996</v>
      </c>
      <c r="BR96" s="110">
        <f t="shared" si="65"/>
        <v>1.6411109306134423E-2</v>
      </c>
      <c r="BS96" s="113" t="str">
        <f t="shared" si="66"/>
        <v>OK</v>
      </c>
      <c r="DI96" s="13"/>
      <c r="DJ96" s="13"/>
      <c r="DK96" s="13"/>
      <c r="DL96" s="13"/>
      <c r="DM96" s="13"/>
      <c r="DR96" s="29"/>
      <c r="DS96" s="29"/>
      <c r="DT96" s="29"/>
      <c r="DU96" s="29"/>
      <c r="DV96" s="29"/>
      <c r="DW96" s="29"/>
      <c r="DX96" s="29"/>
      <c r="DY96" s="29"/>
      <c r="DZ96" s="29"/>
      <c r="EA96" s="140"/>
      <c r="EB96" s="117"/>
      <c r="EC96" s="117"/>
      <c r="ED96" s="117"/>
      <c r="EE96" s="117"/>
      <c r="EF96" s="110"/>
      <c r="EG96" s="4"/>
      <c r="EH96" s="111"/>
      <c r="EI96" s="112"/>
      <c r="EJ96" s="112"/>
      <c r="EK96" s="110"/>
      <c r="EL96" s="113"/>
      <c r="EM96" s="114"/>
      <c r="EN96" s="114"/>
      <c r="EO96" s="110"/>
      <c r="EP96" s="113"/>
      <c r="EQ96" s="114"/>
      <c r="ER96" s="110"/>
      <c r="ES96" s="113"/>
    </row>
    <row r="97" spans="13:149">
      <c r="M97" s="6"/>
      <c r="N97" s="2"/>
      <c r="O97" s="2"/>
      <c r="P97" s="44" t="s">
        <v>74</v>
      </c>
      <c r="Q97" s="45">
        <f>(W39-2*W42)/(Q58+1)</f>
        <v>142</v>
      </c>
      <c r="R97" s="44">
        <f>S58</f>
        <v>97</v>
      </c>
      <c r="S97" s="46">
        <f>noisuy1chieu(R97/Q97,Data!$DD$5:$DD$16,Data!$DE$5:$DE$16)</f>
        <v>6.1647891998291016E-2</v>
      </c>
      <c r="T97" s="47">
        <f>FindUsBase(W89, W90, W47, (W47-W39)/2)</f>
        <v>1.2845646142959595</v>
      </c>
      <c r="U97" s="46">
        <f>S97*T97*Q97^2/1000000</f>
        <v>1.596801287038412E-3</v>
      </c>
      <c r="V97" s="2"/>
      <c r="W97" s="2"/>
      <c r="X97" s="8"/>
      <c r="AA97" s="67" t="s">
        <v>211</v>
      </c>
      <c r="AB97" s="28" t="s">
        <v>390</v>
      </c>
      <c r="AC97" s="28" t="s">
        <v>347</v>
      </c>
      <c r="AD97" s="68">
        <v>20.399999999999999</v>
      </c>
      <c r="AE97" s="4">
        <f t="shared" si="42"/>
        <v>450</v>
      </c>
      <c r="AF97" s="4">
        <f t="shared" si="43"/>
        <v>200</v>
      </c>
      <c r="AG97" s="4">
        <f t="shared" si="44"/>
        <v>6</v>
      </c>
      <c r="AH97" s="4">
        <f t="shared" si="45"/>
        <v>12</v>
      </c>
      <c r="AI97" s="13">
        <f t="shared" si="46"/>
        <v>670</v>
      </c>
      <c r="AJ97" s="13">
        <f t="shared" si="47"/>
        <v>250</v>
      </c>
      <c r="AK97" s="13">
        <f t="shared" si="48"/>
        <v>20</v>
      </c>
      <c r="AL97" s="13" t="str">
        <f t="shared" si="49"/>
        <v>670x250x20</v>
      </c>
      <c r="AM97" s="13" t="str">
        <f t="shared" si="50"/>
        <v>6M24</v>
      </c>
      <c r="AN97" s="67" t="s">
        <v>469</v>
      </c>
      <c r="AO97" s="69">
        <v>-104.90954339295374</v>
      </c>
      <c r="AP97" s="69">
        <v>4.7582670976824204</v>
      </c>
      <c r="AQ97" s="29">
        <v>7.5220129290084428E-14</v>
      </c>
      <c r="AR97" s="29"/>
      <c r="AS97" s="29"/>
      <c r="AT97" s="29"/>
      <c r="AU97" s="29"/>
      <c r="AV97" s="29"/>
      <c r="AW97" s="29"/>
      <c r="AX97" s="29"/>
      <c r="AY97" s="29"/>
      <c r="AZ97" s="29"/>
      <c r="BA97" s="140">
        <f t="shared" si="51"/>
        <v>7.1699987300808898E-16</v>
      </c>
      <c r="BB97" s="117">
        <f t="shared" si="39"/>
        <v>200</v>
      </c>
      <c r="BC97" s="117">
        <f t="shared" si="52"/>
        <v>535</v>
      </c>
      <c r="BD97" s="117">
        <f t="shared" si="53"/>
        <v>10.930563262694363</v>
      </c>
      <c r="BE97" s="117">
        <f t="shared" si="54"/>
        <v>315.88474132285529</v>
      </c>
      <c r="BF97" s="110">
        <f t="shared" si="55"/>
        <v>3.4603011265816726E-2</v>
      </c>
      <c r="BG97" s="4">
        <f t="shared" si="40"/>
        <v>2</v>
      </c>
      <c r="BH97" s="111">
        <f t="shared" si="56"/>
        <v>0</v>
      </c>
      <c r="BI97" s="112">
        <f t="shared" si="57"/>
        <v>0</v>
      </c>
      <c r="BJ97" s="112">
        <f t="shared" si="58"/>
        <v>57.1</v>
      </c>
      <c r="BK97" s="110">
        <f t="shared" si="59"/>
        <v>0.16175637393767706</v>
      </c>
      <c r="BL97" s="113" t="str">
        <f t="shared" si="60"/>
        <v>OK</v>
      </c>
      <c r="BM97" s="114">
        <f t="shared" si="61"/>
        <v>0.62632563219674275</v>
      </c>
      <c r="BN97" s="114">
        <f t="shared" si="62"/>
        <v>0.62632563219673476</v>
      </c>
      <c r="BO97" s="110">
        <f t="shared" si="63"/>
        <v>5.7593161581309678E-2</v>
      </c>
      <c r="BP97" s="113" t="str">
        <f t="shared" si="64"/>
        <v>OK</v>
      </c>
      <c r="BQ97" s="10">
        <f t="shared" si="41"/>
        <v>304.99199999999996</v>
      </c>
      <c r="BR97" s="110">
        <f t="shared" si="65"/>
        <v>1.5601284944137621E-2</v>
      </c>
      <c r="BS97" s="113" t="str">
        <f t="shared" si="66"/>
        <v>OK</v>
      </c>
      <c r="DI97" s="13"/>
      <c r="DJ97" s="13"/>
      <c r="DK97" s="13"/>
      <c r="DL97" s="13"/>
      <c r="DM97" s="13"/>
      <c r="DR97" s="29"/>
      <c r="DS97" s="29"/>
      <c r="DT97" s="29"/>
      <c r="DU97" s="29"/>
      <c r="DV97" s="29"/>
      <c r="DW97" s="29"/>
      <c r="DX97" s="29"/>
      <c r="DY97" s="29"/>
      <c r="DZ97" s="29"/>
      <c r="EA97" s="140"/>
      <c r="EB97" s="117"/>
      <c r="EC97" s="117"/>
      <c r="ED97" s="117"/>
      <c r="EE97" s="117"/>
      <c r="EF97" s="110"/>
      <c r="EG97" s="4"/>
      <c r="EH97" s="111"/>
      <c r="EI97" s="112"/>
      <c r="EJ97" s="112"/>
      <c r="EK97" s="110"/>
      <c r="EL97" s="113"/>
      <c r="EM97" s="114"/>
      <c r="EN97" s="114"/>
      <c r="EO97" s="110"/>
      <c r="EP97" s="113"/>
      <c r="EQ97" s="114"/>
      <c r="ER97" s="110"/>
      <c r="ES97" s="113"/>
    </row>
    <row r="98" spans="13:149">
      <c r="M98" s="6" t="s">
        <v>345</v>
      </c>
      <c r="N98" s="2"/>
      <c r="O98" s="2"/>
      <c r="P98" s="33"/>
      <c r="Q98" s="148"/>
      <c r="R98" s="149"/>
      <c r="S98" s="2"/>
      <c r="T98" s="2"/>
      <c r="U98" s="2"/>
      <c r="V98" s="2"/>
      <c r="W98" s="2"/>
      <c r="X98" s="8"/>
      <c r="AA98" s="67" t="s">
        <v>211</v>
      </c>
      <c r="AB98" s="28" t="s">
        <v>390</v>
      </c>
      <c r="AC98" s="28" t="s">
        <v>347</v>
      </c>
      <c r="AD98" s="68">
        <v>20.399999999999999</v>
      </c>
      <c r="AE98" s="4">
        <f t="shared" si="42"/>
        <v>450</v>
      </c>
      <c r="AF98" s="4">
        <f t="shared" si="43"/>
        <v>200</v>
      </c>
      <c r="AG98" s="4">
        <f t="shared" si="44"/>
        <v>6</v>
      </c>
      <c r="AH98" s="4">
        <f t="shared" si="45"/>
        <v>12</v>
      </c>
      <c r="AI98" s="13">
        <f t="shared" si="46"/>
        <v>670</v>
      </c>
      <c r="AJ98" s="13">
        <f t="shared" si="47"/>
        <v>250</v>
      </c>
      <c r="AK98" s="13">
        <f t="shared" si="48"/>
        <v>20</v>
      </c>
      <c r="AL98" s="13" t="str">
        <f t="shared" si="49"/>
        <v>670x250x20</v>
      </c>
      <c r="AM98" s="13" t="str">
        <f t="shared" si="50"/>
        <v>6M24</v>
      </c>
      <c r="AN98" s="67" t="s">
        <v>470</v>
      </c>
      <c r="AO98" s="69">
        <v>-78.511122830771654</v>
      </c>
      <c r="AP98" s="69">
        <v>5.0105592647438471</v>
      </c>
      <c r="AQ98" s="29">
        <v>4.7036428545546891E-13</v>
      </c>
      <c r="AR98" s="29"/>
      <c r="AS98" s="29"/>
      <c r="AT98" s="29"/>
      <c r="AU98" s="29"/>
      <c r="AV98" s="29"/>
      <c r="AW98" s="29"/>
      <c r="AX98" s="29"/>
      <c r="AY98" s="29"/>
      <c r="AZ98" s="29"/>
      <c r="BA98" s="140">
        <f t="shared" si="51"/>
        <v>5.9910528406188366E-15</v>
      </c>
      <c r="BB98" s="117">
        <f t="shared" si="39"/>
        <v>200</v>
      </c>
      <c r="BC98" s="117">
        <f t="shared" si="52"/>
        <v>535</v>
      </c>
      <c r="BD98" s="117">
        <f t="shared" si="53"/>
        <v>8.1587490641618388</v>
      </c>
      <c r="BE98" s="117">
        <f t="shared" si="54"/>
        <v>315.88474132285529</v>
      </c>
      <c r="BF98" s="110">
        <f t="shared" si="55"/>
        <v>2.5828246815578385E-2</v>
      </c>
      <c r="BG98" s="4">
        <f t="shared" si="40"/>
        <v>2</v>
      </c>
      <c r="BH98" s="111">
        <f t="shared" si="56"/>
        <v>0</v>
      </c>
      <c r="BI98" s="112">
        <f t="shared" si="57"/>
        <v>0</v>
      </c>
      <c r="BJ98" s="112">
        <f t="shared" si="58"/>
        <v>57.1</v>
      </c>
      <c r="BK98" s="110">
        <f t="shared" si="59"/>
        <v>0.16175637393767706</v>
      </c>
      <c r="BL98" s="113" t="str">
        <f t="shared" si="60"/>
        <v>OK</v>
      </c>
      <c r="BM98" s="114">
        <f t="shared" si="61"/>
        <v>0.46872312137776639</v>
      </c>
      <c r="BN98" s="114">
        <f t="shared" si="62"/>
        <v>0.4687231213777161</v>
      </c>
      <c r="BO98" s="110">
        <f t="shared" si="63"/>
        <v>4.3100976678415302E-2</v>
      </c>
      <c r="BP98" s="113" t="str">
        <f t="shared" si="64"/>
        <v>OK</v>
      </c>
      <c r="BQ98" s="10">
        <f t="shared" si="41"/>
        <v>304.99199999999996</v>
      </c>
      <c r="BR98" s="110">
        <f t="shared" si="65"/>
        <v>1.6428494074414567E-2</v>
      </c>
      <c r="BS98" s="113" t="str">
        <f t="shared" si="66"/>
        <v>OK</v>
      </c>
      <c r="DI98" s="13"/>
      <c r="DJ98" s="13"/>
      <c r="DK98" s="13"/>
      <c r="DL98" s="13"/>
      <c r="DM98" s="13"/>
      <c r="DR98" s="29"/>
      <c r="DS98" s="29"/>
      <c r="DT98" s="29"/>
      <c r="DU98" s="29"/>
      <c r="DV98" s="29"/>
      <c r="DW98" s="29"/>
      <c r="DX98" s="29"/>
      <c r="DY98" s="29"/>
      <c r="DZ98" s="29"/>
      <c r="EA98" s="140"/>
      <c r="EB98" s="117"/>
      <c r="EC98" s="117"/>
      <c r="ED98" s="117"/>
      <c r="EE98" s="117"/>
      <c r="EF98" s="110"/>
      <c r="EG98" s="4"/>
      <c r="EH98" s="111"/>
      <c r="EI98" s="112"/>
      <c r="EJ98" s="112"/>
      <c r="EK98" s="110"/>
      <c r="EL98" s="113"/>
      <c r="EM98" s="114"/>
      <c r="EN98" s="114"/>
      <c r="EO98" s="110"/>
      <c r="EP98" s="113"/>
      <c r="EQ98" s="114"/>
      <c r="ER98" s="110"/>
      <c r="ES98" s="113"/>
    </row>
    <row r="99" spans="13:149" ht="15">
      <c r="M99" s="6"/>
      <c r="N99" s="2"/>
      <c r="O99" s="2"/>
      <c r="P99" s="229" t="s">
        <v>73</v>
      </c>
      <c r="Q99" s="186" t="s">
        <v>116</v>
      </c>
      <c r="R99" s="186" t="s">
        <v>117</v>
      </c>
      <c r="S99" s="231" t="s">
        <v>115</v>
      </c>
      <c r="T99" s="187" t="s">
        <v>179</v>
      </c>
      <c r="U99" s="186" t="s">
        <v>177</v>
      </c>
      <c r="V99" s="2"/>
      <c r="W99" s="2"/>
      <c r="X99" s="8"/>
      <c r="AA99" s="67" t="s">
        <v>211</v>
      </c>
      <c r="AB99" s="28" t="s">
        <v>390</v>
      </c>
      <c r="AC99" s="28" t="s">
        <v>347</v>
      </c>
      <c r="AD99" s="68">
        <v>20.399999999999999</v>
      </c>
      <c r="AE99" s="4">
        <f t="shared" si="42"/>
        <v>450</v>
      </c>
      <c r="AF99" s="4">
        <f t="shared" si="43"/>
        <v>200</v>
      </c>
      <c r="AG99" s="4">
        <f t="shared" si="44"/>
        <v>6</v>
      </c>
      <c r="AH99" s="4">
        <f t="shared" si="45"/>
        <v>12</v>
      </c>
      <c r="AI99" s="13">
        <f t="shared" si="46"/>
        <v>670</v>
      </c>
      <c r="AJ99" s="13">
        <f t="shared" si="47"/>
        <v>250</v>
      </c>
      <c r="AK99" s="13">
        <f t="shared" si="48"/>
        <v>20</v>
      </c>
      <c r="AL99" s="13" t="str">
        <f t="shared" si="49"/>
        <v>670x250x20</v>
      </c>
      <c r="AM99" s="13" t="str">
        <f t="shared" si="50"/>
        <v>6M24</v>
      </c>
      <c r="AN99" s="67" t="s">
        <v>471</v>
      </c>
      <c r="AO99" s="69">
        <v>-79.68638747206748</v>
      </c>
      <c r="AP99" s="69">
        <v>4.6062095148352364</v>
      </c>
      <c r="AQ99" s="29">
        <v>1.0841836150855327E-13</v>
      </c>
      <c r="AR99" s="29"/>
      <c r="AS99" s="29"/>
      <c r="AT99" s="29"/>
      <c r="AU99" s="29"/>
      <c r="AV99" s="29"/>
      <c r="AW99" s="29"/>
      <c r="AX99" s="29"/>
      <c r="AY99" s="29"/>
      <c r="AZ99" s="29"/>
      <c r="BA99" s="140">
        <f t="shared" si="51"/>
        <v>1.3605631394265078E-15</v>
      </c>
      <c r="BB99" s="117">
        <f t="shared" si="39"/>
        <v>200</v>
      </c>
      <c r="BC99" s="117">
        <f t="shared" si="52"/>
        <v>535</v>
      </c>
      <c r="BD99" s="117">
        <f t="shared" si="53"/>
        <v>8.2818407217888534</v>
      </c>
      <c r="BE99" s="117">
        <f t="shared" si="54"/>
        <v>315.88474132285529</v>
      </c>
      <c r="BF99" s="110">
        <f t="shared" si="55"/>
        <v>2.6217919507939318E-2</v>
      </c>
      <c r="BG99" s="4">
        <f t="shared" si="40"/>
        <v>2</v>
      </c>
      <c r="BH99" s="111">
        <f t="shared" si="56"/>
        <v>0</v>
      </c>
      <c r="BI99" s="112">
        <f t="shared" si="57"/>
        <v>0</v>
      </c>
      <c r="BJ99" s="112">
        <f t="shared" si="58"/>
        <v>57.1</v>
      </c>
      <c r="BK99" s="110">
        <f t="shared" si="59"/>
        <v>0.16175637393767706</v>
      </c>
      <c r="BL99" s="113" t="str">
        <f t="shared" si="60"/>
        <v>OK</v>
      </c>
      <c r="BM99" s="114">
        <f t="shared" si="61"/>
        <v>0.47573962669891606</v>
      </c>
      <c r="BN99" s="114">
        <f t="shared" si="62"/>
        <v>0.47573962669890452</v>
      </c>
      <c r="BO99" s="110">
        <f t="shared" si="63"/>
        <v>4.3746172570015271E-2</v>
      </c>
      <c r="BP99" s="113" t="str">
        <f t="shared" si="64"/>
        <v>OK</v>
      </c>
      <c r="BQ99" s="10">
        <f t="shared" si="41"/>
        <v>304.99199999999996</v>
      </c>
      <c r="BR99" s="110">
        <f t="shared" si="65"/>
        <v>1.5102722415129699E-2</v>
      </c>
      <c r="BS99" s="113" t="str">
        <f t="shared" si="66"/>
        <v>OK</v>
      </c>
      <c r="DI99" s="13"/>
      <c r="DJ99" s="13"/>
      <c r="DK99" s="13"/>
      <c r="DL99" s="13"/>
      <c r="DM99" s="13"/>
      <c r="DR99" s="29"/>
      <c r="DS99" s="29"/>
      <c r="DT99" s="29"/>
      <c r="DU99" s="29"/>
      <c r="DV99" s="29"/>
      <c r="DW99" s="29"/>
      <c r="DX99" s="29"/>
      <c r="DY99" s="29"/>
      <c r="DZ99" s="29"/>
      <c r="EA99" s="140"/>
      <c r="EB99" s="117"/>
      <c r="EC99" s="117"/>
      <c r="ED99" s="117"/>
      <c r="EE99" s="117"/>
      <c r="EF99" s="110"/>
      <c r="EG99" s="4"/>
      <c r="EH99" s="111"/>
      <c r="EI99" s="112"/>
      <c r="EJ99" s="112"/>
      <c r="EK99" s="110"/>
      <c r="EL99" s="113"/>
      <c r="EM99" s="114"/>
      <c r="EN99" s="114"/>
      <c r="EO99" s="110"/>
      <c r="EP99" s="113"/>
      <c r="EQ99" s="114"/>
      <c r="ER99" s="110"/>
      <c r="ES99" s="113"/>
    </row>
    <row r="100" spans="13:149">
      <c r="M100" s="6"/>
      <c r="N100" s="2"/>
      <c r="O100" s="2"/>
      <c r="P100" s="230"/>
      <c r="Q100" s="188" t="s">
        <v>178</v>
      </c>
      <c r="R100" s="188" t="s">
        <v>178</v>
      </c>
      <c r="S100" s="232"/>
      <c r="T100" s="189" t="s">
        <v>20</v>
      </c>
      <c r="U100" s="190" t="s">
        <v>71</v>
      </c>
      <c r="V100" s="2"/>
      <c r="W100" s="2"/>
      <c r="X100" s="8"/>
      <c r="AA100" s="67" t="s">
        <v>211</v>
      </c>
      <c r="AB100" s="28" t="s">
        <v>390</v>
      </c>
      <c r="AC100" s="28" t="s">
        <v>347</v>
      </c>
      <c r="AD100" s="68">
        <v>20.399999999999999</v>
      </c>
      <c r="AE100" s="4">
        <f t="shared" si="42"/>
        <v>450</v>
      </c>
      <c r="AF100" s="4">
        <f t="shared" si="43"/>
        <v>200</v>
      </c>
      <c r="AG100" s="4">
        <f t="shared" si="44"/>
        <v>6</v>
      </c>
      <c r="AH100" s="4">
        <f t="shared" si="45"/>
        <v>12</v>
      </c>
      <c r="AI100" s="13">
        <f t="shared" si="46"/>
        <v>670</v>
      </c>
      <c r="AJ100" s="13">
        <f t="shared" si="47"/>
        <v>250</v>
      </c>
      <c r="AK100" s="13">
        <f t="shared" si="48"/>
        <v>20</v>
      </c>
      <c r="AL100" s="13" t="str">
        <f t="shared" si="49"/>
        <v>670x250x20</v>
      </c>
      <c r="AM100" s="13" t="str">
        <f t="shared" si="50"/>
        <v>6M24</v>
      </c>
      <c r="AN100" s="67" t="s">
        <v>472</v>
      </c>
      <c r="AO100" s="69">
        <v>-122.59934128336133</v>
      </c>
      <c r="AP100" s="69">
        <v>2.6550324517726613</v>
      </c>
      <c r="AQ100" s="29">
        <v>3.5803361556175038E-15</v>
      </c>
      <c r="AR100" s="29"/>
      <c r="AS100" s="29"/>
      <c r="AT100" s="29"/>
      <c r="AU100" s="29"/>
      <c r="AV100" s="29"/>
      <c r="AW100" s="29"/>
      <c r="AX100" s="29"/>
      <c r="AY100" s="29"/>
      <c r="AZ100" s="29"/>
      <c r="BA100" s="140">
        <f t="shared" si="51"/>
        <v>2.9203551325307263E-17</v>
      </c>
      <c r="BB100" s="117">
        <f t="shared" si="39"/>
        <v>200</v>
      </c>
      <c r="BC100" s="117">
        <f t="shared" si="52"/>
        <v>535</v>
      </c>
      <c r="BD100" s="117">
        <f t="shared" si="53"/>
        <v>12.796211404106202</v>
      </c>
      <c r="BE100" s="117">
        <f t="shared" si="54"/>
        <v>315.88474132285529</v>
      </c>
      <c r="BF100" s="110">
        <f t="shared" si="55"/>
        <v>4.0509115288438764E-2</v>
      </c>
      <c r="BG100" s="4">
        <f t="shared" si="40"/>
        <v>2</v>
      </c>
      <c r="BH100" s="111">
        <f t="shared" si="56"/>
        <v>0</v>
      </c>
      <c r="BI100" s="112">
        <f t="shared" si="57"/>
        <v>0</v>
      </c>
      <c r="BJ100" s="112">
        <f t="shared" si="58"/>
        <v>57.1</v>
      </c>
      <c r="BK100" s="110">
        <f t="shared" si="59"/>
        <v>0.16175637393767706</v>
      </c>
      <c r="BL100" s="113" t="str">
        <f t="shared" si="60"/>
        <v>OK</v>
      </c>
      <c r="BM100" s="114">
        <f t="shared" si="61"/>
        <v>0.73193636587081412</v>
      </c>
      <c r="BN100" s="114">
        <f t="shared" si="62"/>
        <v>0.73193636587081368</v>
      </c>
      <c r="BO100" s="110">
        <f t="shared" si="63"/>
        <v>6.730449341340819E-2</v>
      </c>
      <c r="BP100" s="113" t="str">
        <f t="shared" si="64"/>
        <v>OK</v>
      </c>
      <c r="BQ100" s="10">
        <f t="shared" si="41"/>
        <v>304.99199999999996</v>
      </c>
      <c r="BR100" s="110">
        <f t="shared" si="65"/>
        <v>8.7052527665403088E-3</v>
      </c>
      <c r="BS100" s="113" t="str">
        <f t="shared" si="66"/>
        <v>OK</v>
      </c>
      <c r="DI100" s="13"/>
      <c r="DJ100" s="13"/>
      <c r="DK100" s="13"/>
      <c r="DL100" s="13"/>
      <c r="DM100" s="13"/>
      <c r="DR100" s="29"/>
      <c r="DS100" s="29"/>
      <c r="DT100" s="29"/>
      <c r="DU100" s="29"/>
      <c r="DV100" s="29"/>
      <c r="DW100" s="29"/>
      <c r="DX100" s="29"/>
      <c r="DY100" s="29"/>
      <c r="DZ100" s="29"/>
      <c r="EA100" s="140"/>
      <c r="EB100" s="117"/>
      <c r="EC100" s="117"/>
      <c r="ED100" s="117"/>
      <c r="EE100" s="117"/>
      <c r="EF100" s="110"/>
      <c r="EG100" s="4"/>
      <c r="EH100" s="111"/>
      <c r="EI100" s="112"/>
      <c r="EJ100" s="112"/>
      <c r="EK100" s="110"/>
      <c r="EL100" s="113"/>
      <c r="EM100" s="114"/>
      <c r="EN100" s="114"/>
      <c r="EO100" s="110"/>
      <c r="EP100" s="113"/>
      <c r="EQ100" s="114"/>
      <c r="ER100" s="110"/>
      <c r="ES100" s="113"/>
    </row>
    <row r="101" spans="13:149">
      <c r="M101" s="6"/>
      <c r="N101" s="2"/>
      <c r="O101" s="2"/>
      <c r="P101" s="39" t="s">
        <v>346</v>
      </c>
      <c r="Q101" s="40" t="str">
        <f>IF(Q59=0,(W47-W39)/2,"-")</f>
        <v>-</v>
      </c>
      <c r="R101" s="41" t="s">
        <v>347</v>
      </c>
      <c r="S101" s="43" t="str">
        <f>IF(Q59=0,0.5,"-")</f>
        <v>-</v>
      </c>
      <c r="T101" s="43" t="str">
        <f>IF(Q59=0,W89,"-")</f>
        <v>-</v>
      </c>
      <c r="U101" s="42" t="str">
        <f>IFERROR(S101*T101*Q101^2/1000000,"-")</f>
        <v>-</v>
      </c>
      <c r="V101" s="2"/>
      <c r="W101" s="2"/>
      <c r="X101" s="8"/>
      <c r="AA101" s="67" t="s">
        <v>211</v>
      </c>
      <c r="AB101" s="28" t="s">
        <v>390</v>
      </c>
      <c r="AC101" s="28" t="s">
        <v>347</v>
      </c>
      <c r="AD101" s="68">
        <v>20.399999999999999</v>
      </c>
      <c r="AE101" s="4">
        <f t="shared" si="42"/>
        <v>450</v>
      </c>
      <c r="AF101" s="4">
        <f t="shared" si="43"/>
        <v>200</v>
      </c>
      <c r="AG101" s="4">
        <f t="shared" si="44"/>
        <v>6</v>
      </c>
      <c r="AH101" s="4">
        <f t="shared" si="45"/>
        <v>12</v>
      </c>
      <c r="AI101" s="13">
        <f t="shared" si="46"/>
        <v>670</v>
      </c>
      <c r="AJ101" s="13">
        <f t="shared" si="47"/>
        <v>250</v>
      </c>
      <c r="AK101" s="13">
        <f t="shared" si="48"/>
        <v>20</v>
      </c>
      <c r="AL101" s="13" t="str">
        <f t="shared" si="49"/>
        <v>670x250x20</v>
      </c>
      <c r="AM101" s="13" t="str">
        <f t="shared" si="50"/>
        <v>6M24</v>
      </c>
      <c r="AN101" s="67" t="s">
        <v>473</v>
      </c>
      <c r="AO101" s="69">
        <v>-123.81117542113222</v>
      </c>
      <c r="AP101" s="69">
        <v>6.2227148313997986</v>
      </c>
      <c r="AQ101" s="29">
        <v>4.91379076334795E-13</v>
      </c>
      <c r="AR101" s="29"/>
      <c r="AS101" s="29"/>
      <c r="AT101" s="29"/>
      <c r="AU101" s="29"/>
      <c r="AV101" s="29"/>
      <c r="AW101" s="29"/>
      <c r="AX101" s="29"/>
      <c r="AY101" s="29"/>
      <c r="AZ101" s="29"/>
      <c r="BA101" s="140">
        <f t="shared" si="51"/>
        <v>3.9687780579048274E-15</v>
      </c>
      <c r="BB101" s="117">
        <f t="shared" si="39"/>
        <v>200</v>
      </c>
      <c r="BC101" s="117">
        <f t="shared" si="52"/>
        <v>535</v>
      </c>
      <c r="BD101" s="117">
        <f t="shared" si="53"/>
        <v>12.924261055056036</v>
      </c>
      <c r="BE101" s="117">
        <f t="shared" si="54"/>
        <v>315.88474132285529</v>
      </c>
      <c r="BF101" s="110">
        <f t="shared" si="55"/>
        <v>4.0914483557933486E-2</v>
      </c>
      <c r="BG101" s="4">
        <f t="shared" si="40"/>
        <v>2</v>
      </c>
      <c r="BH101" s="111">
        <f t="shared" si="56"/>
        <v>0</v>
      </c>
      <c r="BI101" s="112">
        <f t="shared" si="57"/>
        <v>0</v>
      </c>
      <c r="BJ101" s="112">
        <f t="shared" si="58"/>
        <v>57.1</v>
      </c>
      <c r="BK101" s="110">
        <f t="shared" si="59"/>
        <v>0.16175637393767706</v>
      </c>
      <c r="BL101" s="113" t="str">
        <f t="shared" si="60"/>
        <v>OK</v>
      </c>
      <c r="BM101" s="114">
        <f t="shared" si="61"/>
        <v>0.73917119654409924</v>
      </c>
      <c r="BN101" s="114">
        <f t="shared" si="62"/>
        <v>0.73917119654404662</v>
      </c>
      <c r="BO101" s="110">
        <f t="shared" si="63"/>
        <v>6.7969765199457396E-2</v>
      </c>
      <c r="BP101" s="113" t="str">
        <f t="shared" si="64"/>
        <v>OK</v>
      </c>
      <c r="BQ101" s="10">
        <f t="shared" si="41"/>
        <v>304.99199999999996</v>
      </c>
      <c r="BR101" s="110">
        <f t="shared" si="65"/>
        <v>2.0402878866986017E-2</v>
      </c>
      <c r="BS101" s="113" t="str">
        <f t="shared" si="66"/>
        <v>OK</v>
      </c>
      <c r="DI101" s="13"/>
      <c r="DJ101" s="13"/>
      <c r="DK101" s="13"/>
      <c r="DL101" s="13"/>
      <c r="DM101" s="13"/>
      <c r="DR101" s="29"/>
      <c r="DS101" s="29"/>
      <c r="DT101" s="29"/>
      <c r="DU101" s="29"/>
      <c r="DV101" s="29"/>
      <c r="DW101" s="29"/>
      <c r="DX101" s="29"/>
      <c r="DY101" s="29"/>
      <c r="DZ101" s="29"/>
      <c r="EA101" s="140"/>
      <c r="EB101" s="117"/>
      <c r="EC101" s="117"/>
      <c r="ED101" s="117"/>
      <c r="EE101" s="117"/>
      <c r="EF101" s="110"/>
      <c r="EG101" s="4"/>
      <c r="EH101" s="111"/>
      <c r="EI101" s="112"/>
      <c r="EJ101" s="112"/>
      <c r="EK101" s="110"/>
      <c r="EL101" s="113"/>
      <c r="EM101" s="114"/>
      <c r="EN101" s="114"/>
      <c r="EO101" s="110"/>
      <c r="EP101" s="113"/>
      <c r="EQ101" s="114"/>
      <c r="ER101" s="110"/>
      <c r="ES101" s="113"/>
    </row>
    <row r="102" spans="13:149">
      <c r="M102" s="6"/>
      <c r="N102" s="2"/>
      <c r="O102" s="2"/>
      <c r="P102" s="134" t="s">
        <v>176</v>
      </c>
      <c r="Q102" s="135">
        <f>IF(Q59=0,"-",SQRT(((W47-W39)/2)^2+(W48/(Q59+1))^2))</f>
        <v>166.50825805346713</v>
      </c>
      <c r="R102" s="136">
        <f>IF(Q102="-","-",((W47-W39)/2)*(W48/(Q59+1))/Q102)</f>
        <v>82.57848686150308</v>
      </c>
      <c r="S102" s="137">
        <f>IFERROR(noisuy1chieu(R102/Q102,Data!$DD$5:$DD$16,Data!$DE$5:$DE$16),"-")</f>
        <v>4.8000000417232513E-2</v>
      </c>
      <c r="T102" s="138">
        <f>IF(Q59=0,"-",W89)</f>
        <v>1.2845646328512246</v>
      </c>
      <c r="U102" s="137">
        <f>IFERROR(S102*T102*Q102^2/1000000,"-")</f>
        <v>1.7094986282579598E-3</v>
      </c>
      <c r="V102" s="2"/>
      <c r="W102" s="2"/>
      <c r="X102" s="8"/>
      <c r="AA102" s="67" t="s">
        <v>211</v>
      </c>
      <c r="AB102" s="28" t="s">
        <v>390</v>
      </c>
      <c r="AC102" s="28" t="s">
        <v>347</v>
      </c>
      <c r="AD102" s="68">
        <v>20.399999999999999</v>
      </c>
      <c r="AE102" s="4">
        <f t="shared" si="42"/>
        <v>450</v>
      </c>
      <c r="AF102" s="4">
        <f t="shared" si="43"/>
        <v>200</v>
      </c>
      <c r="AG102" s="4">
        <f t="shared" si="44"/>
        <v>6</v>
      </c>
      <c r="AH102" s="4">
        <f t="shared" si="45"/>
        <v>12</v>
      </c>
      <c r="AI102" s="13">
        <f t="shared" si="46"/>
        <v>670</v>
      </c>
      <c r="AJ102" s="13">
        <f t="shared" si="47"/>
        <v>250</v>
      </c>
      <c r="AK102" s="13">
        <f t="shared" si="48"/>
        <v>20</v>
      </c>
      <c r="AL102" s="13" t="str">
        <f t="shared" si="49"/>
        <v>670x250x20</v>
      </c>
      <c r="AM102" s="13" t="str">
        <f t="shared" si="50"/>
        <v>6M24</v>
      </c>
      <c r="AN102" s="67" t="s">
        <v>474</v>
      </c>
      <c r="AO102" s="69">
        <v>-90.640591107897137</v>
      </c>
      <c r="AP102" s="69">
        <v>1.2261932507725106</v>
      </c>
      <c r="AQ102" s="29">
        <v>2.0239150534691625E-14</v>
      </c>
      <c r="AR102" s="29"/>
      <c r="AS102" s="29"/>
      <c r="AT102" s="29"/>
      <c r="AU102" s="29"/>
      <c r="AV102" s="29"/>
      <c r="AW102" s="29"/>
      <c r="AX102" s="29"/>
      <c r="AY102" s="29"/>
      <c r="AZ102" s="29"/>
      <c r="BA102" s="140">
        <f t="shared" si="51"/>
        <v>2.2329014283015052E-16</v>
      </c>
      <c r="BB102" s="117">
        <f t="shared" si="39"/>
        <v>200</v>
      </c>
      <c r="BC102" s="117">
        <f t="shared" si="52"/>
        <v>535</v>
      </c>
      <c r="BD102" s="117">
        <f t="shared" si="53"/>
        <v>9.4305187685578176</v>
      </c>
      <c r="BE102" s="117">
        <f t="shared" si="54"/>
        <v>315.88474132285529</v>
      </c>
      <c r="BF102" s="110">
        <f t="shared" si="55"/>
        <v>2.9854302962102237E-2</v>
      </c>
      <c r="BG102" s="4">
        <f t="shared" si="40"/>
        <v>2</v>
      </c>
      <c r="BH102" s="111">
        <f t="shared" si="56"/>
        <v>0</v>
      </c>
      <c r="BI102" s="112">
        <f t="shared" si="57"/>
        <v>0</v>
      </c>
      <c r="BJ102" s="112">
        <f t="shared" si="58"/>
        <v>57.1</v>
      </c>
      <c r="BK102" s="110">
        <f t="shared" si="59"/>
        <v>0.16175637393767706</v>
      </c>
      <c r="BL102" s="113" t="str">
        <f t="shared" si="60"/>
        <v>OK</v>
      </c>
      <c r="BM102" s="114">
        <f t="shared" si="61"/>
        <v>0.54113785736058106</v>
      </c>
      <c r="BN102" s="114">
        <f t="shared" si="62"/>
        <v>0.54113785736057884</v>
      </c>
      <c r="BO102" s="110">
        <f t="shared" si="63"/>
        <v>4.9759802975685614E-2</v>
      </c>
      <c r="BP102" s="113" t="str">
        <f t="shared" si="64"/>
        <v>OK</v>
      </c>
      <c r="BQ102" s="10">
        <f t="shared" si="41"/>
        <v>304.99199999999996</v>
      </c>
      <c r="BR102" s="110">
        <f t="shared" si="65"/>
        <v>4.0204111936460981E-3</v>
      </c>
      <c r="BS102" s="113" t="str">
        <f t="shared" si="66"/>
        <v>OK</v>
      </c>
      <c r="DI102" s="13"/>
      <c r="DJ102" s="13"/>
      <c r="DK102" s="13"/>
      <c r="DL102" s="13"/>
      <c r="DM102" s="13"/>
      <c r="DR102" s="29"/>
      <c r="DS102" s="29"/>
      <c r="DT102" s="29"/>
      <c r="DU102" s="29"/>
      <c r="DV102" s="29"/>
      <c r="DW102" s="29"/>
      <c r="DX102" s="29"/>
      <c r="DY102" s="29"/>
      <c r="DZ102" s="29"/>
      <c r="EA102" s="140"/>
      <c r="EB102" s="117"/>
      <c r="EC102" s="117"/>
      <c r="ED102" s="117"/>
      <c r="EE102" s="117"/>
      <c r="EF102" s="110"/>
      <c r="EG102" s="4"/>
      <c r="EH102" s="111"/>
      <c r="EI102" s="112"/>
      <c r="EJ102" s="112"/>
      <c r="EK102" s="110"/>
      <c r="EL102" s="113"/>
      <c r="EM102" s="114"/>
      <c r="EN102" s="114"/>
      <c r="EO102" s="110"/>
      <c r="EP102" s="113"/>
      <c r="EQ102" s="114"/>
      <c r="ER102" s="110"/>
      <c r="ES102" s="113"/>
    </row>
    <row r="103" spans="13:149">
      <c r="M103" s="6"/>
      <c r="N103" s="2"/>
      <c r="O103" s="2"/>
      <c r="P103" s="44" t="s">
        <v>74</v>
      </c>
      <c r="Q103" s="45" t="str">
        <f>IF(Q59&gt;=2,W48/(Q59+1),"-")</f>
        <v>-</v>
      </c>
      <c r="R103" s="44" t="str">
        <f>IF(Q59&gt;=2,((W47-W39)/2),"-")</f>
        <v>-</v>
      </c>
      <c r="S103" s="46" t="str">
        <f>IFERROR(noisuy1chieu(R103/Q103,Data!$DD$5:$DD$16,Data!$DE$5:$DE$16),"-")</f>
        <v>-</v>
      </c>
      <c r="T103" s="47" t="str">
        <f>IF(Q59&gt;=2,W89,"-")</f>
        <v>-</v>
      </c>
      <c r="U103" s="46" t="str">
        <f>IFERROR(S103*T103*Q103^2/1000000,"-")</f>
        <v>-</v>
      </c>
      <c r="V103" s="2"/>
      <c r="W103" s="2"/>
      <c r="X103" s="8"/>
      <c r="AI103" s="13"/>
      <c r="AJ103" s="13"/>
      <c r="AK103" s="13"/>
      <c r="AL103" s="13"/>
      <c r="AM103" s="13"/>
      <c r="AR103" s="29"/>
      <c r="AS103" s="29"/>
      <c r="AT103" s="29"/>
      <c r="AU103" s="29"/>
      <c r="AV103" s="29"/>
      <c r="AW103" s="29"/>
      <c r="AX103" s="29"/>
      <c r="AY103" s="29"/>
      <c r="AZ103" s="29"/>
      <c r="BA103" s="140"/>
      <c r="BB103" s="117"/>
      <c r="BC103" s="117"/>
      <c r="BD103" s="117"/>
      <c r="BE103" s="117"/>
      <c r="BF103" s="110"/>
      <c r="BG103" s="4"/>
      <c r="BH103" s="111"/>
      <c r="BI103" s="112"/>
      <c r="BJ103" s="112"/>
      <c r="BK103" s="110"/>
      <c r="BL103" s="113"/>
      <c r="BM103" s="114"/>
      <c r="BN103" s="114"/>
      <c r="BO103" s="110"/>
      <c r="BP103" s="113"/>
      <c r="BQ103" s="114"/>
      <c r="BR103" s="110"/>
      <c r="BS103" s="113"/>
      <c r="DI103" s="13"/>
      <c r="DJ103" s="13"/>
      <c r="DK103" s="13"/>
      <c r="DL103" s="13"/>
      <c r="DM103" s="13"/>
      <c r="DR103" s="29"/>
      <c r="DS103" s="29"/>
      <c r="DT103" s="29"/>
      <c r="DU103" s="29"/>
      <c r="DV103" s="29"/>
      <c r="DW103" s="29"/>
      <c r="DX103" s="29"/>
      <c r="DY103" s="29"/>
      <c r="DZ103" s="29"/>
      <c r="EA103" s="140"/>
      <c r="EB103" s="117"/>
      <c r="EC103" s="117"/>
      <c r="ED103" s="117"/>
      <c r="EE103" s="117"/>
      <c r="EF103" s="110"/>
      <c r="EG103" s="4"/>
      <c r="EH103" s="111"/>
      <c r="EI103" s="112"/>
      <c r="EJ103" s="112"/>
      <c r="EK103" s="110"/>
      <c r="EL103" s="113"/>
      <c r="EM103" s="114"/>
      <c r="EN103" s="114"/>
      <c r="EO103" s="110"/>
      <c r="EP103" s="113"/>
      <c r="EQ103" s="114"/>
      <c r="ER103" s="110"/>
      <c r="ES103" s="113"/>
    </row>
    <row r="104" spans="13:149" ht="15">
      <c r="M104" s="7" t="str">
        <f>"- Moment uốn trong bản đế:"</f>
        <v>- Moment uốn trong bản đế:</v>
      </c>
      <c r="N104" s="2"/>
      <c r="O104" s="2"/>
      <c r="P104" s="2"/>
      <c r="Q104" s="2"/>
      <c r="R104" s="2"/>
      <c r="S104" s="2"/>
      <c r="T104" s="2"/>
      <c r="U104" s="2"/>
      <c r="V104" s="33" t="s">
        <v>118</v>
      </c>
      <c r="W104" s="161">
        <f>MAX(IFERROR(VALUE(U97),0),IFERROR(VALUE(U101),0),IFERROR(VALUE(U102),0),IFERROR(VALUE(U103),0))</f>
        <v>1.7094986282579598E-3</v>
      </c>
      <c r="X104" s="8" t="s">
        <v>119</v>
      </c>
      <c r="AI104" s="13"/>
      <c r="AJ104" s="13"/>
      <c r="AK104" s="13"/>
      <c r="AL104" s="13"/>
      <c r="AM104" s="13"/>
      <c r="AR104" s="29"/>
      <c r="AS104" s="29"/>
      <c r="AT104" s="29"/>
      <c r="AU104" s="29"/>
      <c r="AV104" s="29"/>
      <c r="AW104" s="29"/>
      <c r="AX104" s="29"/>
      <c r="AY104" s="29"/>
      <c r="AZ104" s="29"/>
      <c r="BA104" s="140"/>
      <c r="BB104" s="117"/>
      <c r="BC104" s="117"/>
      <c r="BD104" s="117"/>
      <c r="BE104" s="117"/>
      <c r="BF104" s="110"/>
      <c r="BG104" s="4"/>
      <c r="BH104" s="111"/>
      <c r="BI104" s="112"/>
      <c r="BJ104" s="112"/>
      <c r="BK104" s="110"/>
      <c r="BL104" s="113"/>
      <c r="BM104" s="114"/>
      <c r="BN104" s="114"/>
      <c r="BO104" s="110"/>
      <c r="BP104" s="113"/>
      <c r="BQ104" s="114"/>
      <c r="BR104" s="110"/>
      <c r="BS104" s="113"/>
      <c r="DI104" s="13"/>
      <c r="DJ104" s="13"/>
      <c r="DK104" s="13"/>
      <c r="DL104" s="13"/>
      <c r="DM104" s="13"/>
      <c r="DR104" s="29"/>
      <c r="DS104" s="29"/>
      <c r="DT104" s="29"/>
      <c r="DU104" s="29"/>
      <c r="DV104" s="29"/>
      <c r="DW104" s="29"/>
      <c r="DX104" s="29"/>
      <c r="DY104" s="29"/>
      <c r="DZ104" s="29"/>
      <c r="EA104" s="140"/>
      <c r="EB104" s="117"/>
      <c r="EC104" s="117"/>
      <c r="ED104" s="117"/>
      <c r="EE104" s="117"/>
      <c r="EF104" s="110"/>
      <c r="EG104" s="4"/>
      <c r="EH104" s="111"/>
      <c r="EI104" s="112"/>
      <c r="EJ104" s="112"/>
      <c r="EK104" s="110"/>
      <c r="EL104" s="113"/>
      <c r="EM104" s="114"/>
      <c r="EN104" s="114"/>
      <c r="EO104" s="110"/>
      <c r="EP104" s="113"/>
      <c r="EQ104" s="114"/>
      <c r="ER104" s="110"/>
      <c r="ES104" s="113"/>
    </row>
    <row r="105" spans="13:149" ht="15">
      <c r="M105" s="7" t="str">
        <f>"- Chiều dày tối thiểu của bản đế:"</f>
        <v>- Chiều dày tối thiểu của bản đế:</v>
      </c>
      <c r="N105" s="2"/>
      <c r="O105" s="2"/>
      <c r="P105" s="2"/>
      <c r="Q105" s="2"/>
      <c r="R105" s="2"/>
      <c r="S105" s="2"/>
      <c r="T105" s="2"/>
      <c r="U105" s="2"/>
      <c r="V105" s="33" t="s">
        <v>348</v>
      </c>
      <c r="W105" s="162">
        <f>SQRT((6*W104)/(W25*W26))*1000</f>
        <v>6.1151682309763871</v>
      </c>
      <c r="X105" s="8" t="s">
        <v>1</v>
      </c>
      <c r="AI105" s="13"/>
      <c r="AJ105" s="13"/>
      <c r="AK105" s="13"/>
      <c r="AL105" s="13"/>
      <c r="AM105" s="13"/>
      <c r="AR105" s="29"/>
      <c r="AS105" s="29"/>
      <c r="AT105" s="29"/>
      <c r="AU105" s="29"/>
      <c r="AV105" s="29"/>
      <c r="AW105" s="29"/>
      <c r="AX105" s="29"/>
      <c r="AY105" s="29"/>
      <c r="AZ105" s="29"/>
      <c r="BA105" s="140"/>
      <c r="BB105" s="117"/>
      <c r="BC105" s="117"/>
      <c r="BD105" s="117"/>
      <c r="BE105" s="117"/>
      <c r="BF105" s="110"/>
      <c r="BG105" s="4"/>
      <c r="BH105" s="111"/>
      <c r="BI105" s="112"/>
      <c r="BJ105" s="112"/>
      <c r="BK105" s="110"/>
      <c r="BL105" s="113"/>
      <c r="BM105" s="114"/>
      <c r="BN105" s="114"/>
      <c r="BO105" s="110"/>
      <c r="BP105" s="113"/>
      <c r="BQ105" s="114"/>
      <c r="BR105" s="110"/>
      <c r="BS105" s="113"/>
      <c r="DI105" s="13"/>
      <c r="DJ105" s="13"/>
      <c r="DK105" s="13"/>
      <c r="DL105" s="13"/>
      <c r="DM105" s="13"/>
      <c r="DR105" s="29"/>
      <c r="DS105" s="29"/>
      <c r="DT105" s="29"/>
      <c r="DU105" s="29"/>
      <c r="DV105" s="29"/>
      <c r="DW105" s="29"/>
      <c r="DX105" s="29"/>
      <c r="DY105" s="29"/>
      <c r="DZ105" s="29"/>
      <c r="EA105" s="140"/>
      <c r="EB105" s="117"/>
      <c r="EC105" s="117"/>
      <c r="ED105" s="117"/>
      <c r="EE105" s="117"/>
      <c r="EF105" s="110"/>
      <c r="EG105" s="4"/>
      <c r="EH105" s="111"/>
      <c r="EI105" s="112"/>
      <c r="EJ105" s="112"/>
      <c r="EK105" s="110"/>
      <c r="EL105" s="113"/>
      <c r="EM105" s="114"/>
      <c r="EN105" s="114"/>
      <c r="EO105" s="110"/>
      <c r="EP105" s="113"/>
      <c r="EQ105" s="114"/>
      <c r="ER105" s="110"/>
      <c r="ES105" s="113"/>
    </row>
    <row r="106" spans="13:149">
      <c r="M106" s="7" t="str">
        <f>"- Tỷ số huy động cấu kiện:"</f>
        <v>- Tỷ số huy động cấu kiện:</v>
      </c>
      <c r="N106" s="2"/>
      <c r="O106" s="2"/>
      <c r="P106" s="2"/>
      <c r="Q106" s="2"/>
      <c r="R106" s="2"/>
      <c r="S106" s="2"/>
      <c r="T106" s="2"/>
      <c r="U106" s="2"/>
      <c r="V106" s="33"/>
      <c r="W106" s="155">
        <f>W105/W49</f>
        <v>0.30575841154881933</v>
      </c>
      <c r="X106" s="12" t="str">
        <f>IF(W106&lt;=1,"OK","Check")</f>
        <v>OK</v>
      </c>
      <c r="AI106" s="13"/>
      <c r="AJ106" s="13"/>
      <c r="AK106" s="13"/>
      <c r="AL106" s="13"/>
      <c r="AM106" s="13"/>
      <c r="AR106" s="29"/>
      <c r="AS106" s="29"/>
      <c r="AT106" s="29"/>
      <c r="AU106" s="29"/>
      <c r="AV106" s="29"/>
      <c r="AW106" s="29"/>
      <c r="AX106" s="29"/>
      <c r="AY106" s="29"/>
      <c r="AZ106" s="29"/>
      <c r="BA106" s="140"/>
      <c r="BB106" s="117"/>
      <c r="BC106" s="117"/>
      <c r="BD106" s="117"/>
      <c r="BE106" s="117"/>
      <c r="BF106" s="110"/>
      <c r="BG106" s="4"/>
      <c r="BH106" s="111"/>
      <c r="BI106" s="112"/>
      <c r="BJ106" s="112"/>
      <c r="BK106" s="110"/>
      <c r="BL106" s="113"/>
      <c r="BM106" s="114"/>
      <c r="BN106" s="114"/>
      <c r="BO106" s="110"/>
      <c r="BP106" s="113"/>
      <c r="BQ106" s="114"/>
      <c r="BR106" s="110"/>
      <c r="BS106" s="113"/>
      <c r="DI106" s="13"/>
      <c r="DJ106" s="13"/>
      <c r="DK106" s="13"/>
      <c r="DL106" s="13"/>
      <c r="DM106" s="13"/>
      <c r="DR106" s="29"/>
      <c r="DS106" s="29"/>
      <c r="DT106" s="29"/>
      <c r="DU106" s="29"/>
      <c r="DV106" s="29"/>
      <c r="DW106" s="29"/>
      <c r="DX106" s="29"/>
      <c r="DY106" s="29"/>
      <c r="DZ106" s="29"/>
      <c r="EA106" s="140"/>
      <c r="EB106" s="117"/>
      <c r="EC106" s="117"/>
      <c r="ED106" s="117"/>
      <c r="EE106" s="117"/>
      <c r="EF106" s="110"/>
      <c r="EG106" s="4"/>
      <c r="EH106" s="111"/>
      <c r="EI106" s="112"/>
      <c r="EJ106" s="112"/>
      <c r="EK106" s="110"/>
      <c r="EL106" s="113"/>
      <c r="EM106" s="114"/>
      <c r="EN106" s="114"/>
      <c r="EO106" s="110"/>
      <c r="EP106" s="113"/>
      <c r="EQ106" s="114"/>
      <c r="ER106" s="110"/>
      <c r="ES106" s="113"/>
    </row>
    <row r="107" spans="13:149">
      <c r="M107" s="6" t="s">
        <v>362</v>
      </c>
      <c r="N107" s="2"/>
      <c r="O107" s="2"/>
      <c r="P107" s="33"/>
      <c r="Q107" s="148"/>
      <c r="R107" s="149"/>
      <c r="S107" s="2"/>
      <c r="T107" s="2"/>
      <c r="U107" s="2"/>
      <c r="V107" s="2"/>
      <c r="W107" s="2"/>
      <c r="X107" s="8"/>
      <c r="AI107" s="13"/>
      <c r="AJ107" s="13"/>
      <c r="AK107" s="13"/>
      <c r="AL107" s="13"/>
      <c r="AM107" s="13"/>
      <c r="AR107" s="29"/>
      <c r="AS107" s="29"/>
      <c r="AT107" s="29"/>
      <c r="AU107" s="29"/>
      <c r="AV107" s="29"/>
      <c r="AW107" s="29"/>
      <c r="AX107" s="29"/>
      <c r="AY107" s="29"/>
      <c r="AZ107" s="29"/>
      <c r="BA107" s="140"/>
      <c r="BB107" s="117"/>
      <c r="BC107" s="117"/>
      <c r="BD107" s="117"/>
      <c r="BE107" s="117"/>
      <c r="BF107" s="110"/>
      <c r="BG107" s="4"/>
      <c r="BH107" s="111"/>
      <c r="BI107" s="112"/>
      <c r="BJ107" s="112"/>
      <c r="BK107" s="110"/>
      <c r="BL107" s="113"/>
      <c r="BM107" s="114"/>
      <c r="BN107" s="114"/>
      <c r="BO107" s="110"/>
      <c r="BP107" s="113"/>
      <c r="BQ107" s="114"/>
      <c r="BR107" s="110"/>
      <c r="BS107" s="113"/>
      <c r="DI107" s="13"/>
      <c r="DJ107" s="13"/>
      <c r="DK107" s="13"/>
      <c r="DL107" s="13"/>
      <c r="DM107" s="13"/>
      <c r="DR107" s="29"/>
      <c r="DS107" s="29"/>
      <c r="DT107" s="29"/>
      <c r="DU107" s="29"/>
      <c r="DV107" s="29"/>
      <c r="DW107" s="29"/>
      <c r="DX107" s="29"/>
      <c r="DY107" s="29"/>
      <c r="DZ107" s="29"/>
      <c r="EA107" s="140"/>
      <c r="EB107" s="117"/>
      <c r="EC107" s="117"/>
      <c r="ED107" s="117"/>
      <c r="EE107" s="117"/>
      <c r="EF107" s="110"/>
      <c r="EG107" s="4"/>
      <c r="EH107" s="111"/>
      <c r="EI107" s="112"/>
      <c r="EJ107" s="112"/>
      <c r="EK107" s="110"/>
      <c r="EL107" s="113"/>
      <c r="EM107" s="114"/>
      <c r="EN107" s="114"/>
      <c r="EO107" s="110"/>
      <c r="EP107" s="113"/>
      <c r="EQ107" s="114"/>
      <c r="ER107" s="110"/>
      <c r="ES107" s="113"/>
    </row>
    <row r="108" spans="13:149">
      <c r="M108" s="6"/>
      <c r="N108" s="2"/>
      <c r="O108" s="2"/>
      <c r="P108" s="33"/>
      <c r="Q108" s="148"/>
      <c r="R108" s="149"/>
      <c r="S108" s="2"/>
      <c r="T108" s="2"/>
      <c r="U108" s="2"/>
      <c r="V108" s="2"/>
      <c r="W108" s="2"/>
      <c r="X108" s="8"/>
      <c r="AI108" s="13"/>
      <c r="AJ108" s="13"/>
      <c r="AK108" s="13"/>
      <c r="AL108" s="13"/>
      <c r="AM108" s="13"/>
      <c r="AR108" s="29"/>
      <c r="AS108" s="29"/>
      <c r="AT108" s="29"/>
      <c r="AU108" s="29"/>
      <c r="AV108" s="29"/>
      <c r="AW108" s="29"/>
      <c r="AX108" s="29"/>
      <c r="AY108" s="29"/>
      <c r="AZ108" s="29"/>
      <c r="BA108" s="140"/>
      <c r="BB108" s="117"/>
      <c r="BC108" s="117"/>
      <c r="BD108" s="117"/>
      <c r="BE108" s="117"/>
      <c r="BF108" s="110"/>
      <c r="BG108" s="4"/>
      <c r="BH108" s="111"/>
      <c r="BI108" s="112"/>
      <c r="BJ108" s="112"/>
      <c r="BK108" s="110"/>
      <c r="BL108" s="113"/>
      <c r="BM108" s="114"/>
      <c r="BN108" s="114"/>
      <c r="BO108" s="110"/>
      <c r="BP108" s="113"/>
      <c r="BQ108" s="114"/>
      <c r="BR108" s="110"/>
      <c r="BS108" s="113"/>
      <c r="DI108" s="13"/>
      <c r="DJ108" s="13"/>
      <c r="DK108" s="13"/>
      <c r="DL108" s="13"/>
      <c r="DM108" s="13"/>
      <c r="DR108" s="29"/>
      <c r="DS108" s="29"/>
      <c r="DT108" s="29"/>
      <c r="DU108" s="29"/>
      <c r="DV108" s="29"/>
      <c r="DW108" s="29"/>
      <c r="DX108" s="29"/>
      <c r="DY108" s="29"/>
      <c r="DZ108" s="29"/>
      <c r="EA108" s="140"/>
      <c r="EB108" s="117"/>
      <c r="EC108" s="117"/>
      <c r="ED108" s="117"/>
      <c r="EE108" s="117"/>
      <c r="EF108" s="110"/>
      <c r="EG108" s="4"/>
      <c r="EH108" s="111"/>
      <c r="EI108" s="112"/>
      <c r="EJ108" s="112"/>
      <c r="EK108" s="110"/>
      <c r="EL108" s="113"/>
      <c r="EM108" s="114"/>
      <c r="EN108" s="114"/>
      <c r="EO108" s="110"/>
      <c r="EP108" s="113"/>
      <c r="EQ108" s="114"/>
      <c r="ER108" s="110"/>
      <c r="ES108" s="113"/>
    </row>
    <row r="109" spans="13:149">
      <c r="M109" s="6"/>
      <c r="N109" s="2"/>
      <c r="O109" s="2"/>
      <c r="P109" s="33"/>
      <c r="Q109" s="148"/>
      <c r="R109" s="149"/>
      <c r="S109" s="2"/>
      <c r="T109" s="2"/>
      <c r="U109" s="2"/>
      <c r="V109" s="2"/>
      <c r="W109" s="2"/>
      <c r="X109" s="8"/>
      <c r="AI109" s="13"/>
      <c r="AJ109" s="13"/>
      <c r="AK109" s="13"/>
      <c r="AL109" s="13"/>
      <c r="AM109" s="13"/>
      <c r="AR109" s="29"/>
      <c r="AS109" s="29"/>
      <c r="AT109" s="29"/>
      <c r="AU109" s="29"/>
      <c r="AV109" s="29"/>
      <c r="AW109" s="29"/>
      <c r="AX109" s="29"/>
      <c r="AY109" s="29"/>
      <c r="AZ109" s="29"/>
      <c r="BA109" s="140"/>
      <c r="BB109" s="117"/>
      <c r="BC109" s="117"/>
      <c r="BD109" s="117"/>
      <c r="BE109" s="117"/>
      <c r="BF109" s="110"/>
      <c r="BG109" s="4"/>
      <c r="BH109" s="111"/>
      <c r="BI109" s="112"/>
      <c r="BJ109" s="112"/>
      <c r="BK109" s="110"/>
      <c r="BL109" s="113"/>
      <c r="BM109" s="114"/>
      <c r="BN109" s="114"/>
      <c r="BO109" s="110"/>
      <c r="BP109" s="113"/>
      <c r="BQ109" s="114"/>
      <c r="BR109" s="110"/>
      <c r="BS109" s="113"/>
      <c r="DI109" s="13"/>
      <c r="DJ109" s="13"/>
      <c r="DK109" s="13"/>
      <c r="DL109" s="13"/>
      <c r="DM109" s="13"/>
      <c r="DR109" s="29"/>
      <c r="DS109" s="29"/>
      <c r="DT109" s="29"/>
      <c r="DU109" s="29"/>
      <c r="DV109" s="29"/>
      <c r="DW109" s="29"/>
      <c r="DX109" s="29"/>
      <c r="DY109" s="29"/>
      <c r="DZ109" s="29"/>
      <c r="EA109" s="140"/>
      <c r="EB109" s="117"/>
      <c r="EC109" s="117"/>
      <c r="ED109" s="117"/>
      <c r="EE109" s="117"/>
      <c r="EF109" s="110"/>
      <c r="EG109" s="4"/>
      <c r="EH109" s="111"/>
      <c r="EI109" s="112"/>
      <c r="EJ109" s="112"/>
      <c r="EK109" s="110"/>
      <c r="EL109" s="113"/>
      <c r="EM109" s="114"/>
      <c r="EN109" s="114"/>
      <c r="EO109" s="110"/>
      <c r="EP109" s="113"/>
      <c r="EQ109" s="114"/>
      <c r="ER109" s="110"/>
      <c r="ES109" s="113"/>
    </row>
    <row r="110" spans="13:149">
      <c r="M110" s="6"/>
      <c r="N110" s="2"/>
      <c r="O110" s="2"/>
      <c r="P110" s="33"/>
      <c r="Q110" s="148"/>
      <c r="R110" s="149"/>
      <c r="S110" s="2"/>
      <c r="T110" s="2"/>
      <c r="U110" s="2"/>
      <c r="V110" s="2"/>
      <c r="W110" s="2"/>
      <c r="X110" s="8"/>
      <c r="AI110" s="13"/>
      <c r="AJ110" s="13"/>
      <c r="AK110" s="13"/>
      <c r="AL110" s="13"/>
      <c r="AM110" s="13"/>
      <c r="AR110" s="29"/>
      <c r="AS110" s="29"/>
      <c r="AT110" s="29"/>
      <c r="AU110" s="29"/>
      <c r="AV110" s="29"/>
      <c r="AW110" s="29"/>
      <c r="AX110" s="29"/>
      <c r="AY110" s="29"/>
      <c r="AZ110" s="29"/>
      <c r="BA110" s="140"/>
      <c r="BB110" s="117"/>
      <c r="BC110" s="117"/>
      <c r="BD110" s="117"/>
      <c r="BE110" s="117"/>
      <c r="BF110" s="110"/>
      <c r="BG110" s="4"/>
      <c r="BH110" s="111"/>
      <c r="BI110" s="112"/>
      <c r="BJ110" s="112"/>
      <c r="BK110" s="110"/>
      <c r="BL110" s="113"/>
      <c r="BM110" s="114"/>
      <c r="BN110" s="114"/>
      <c r="BO110" s="110"/>
      <c r="BP110" s="113"/>
      <c r="BQ110" s="114"/>
      <c r="BR110" s="110"/>
      <c r="BS110" s="113"/>
      <c r="DI110" s="13"/>
      <c r="DJ110" s="13"/>
      <c r="DK110" s="13"/>
      <c r="DL110" s="13"/>
      <c r="DM110" s="13"/>
      <c r="DR110" s="29"/>
      <c r="DS110" s="29"/>
      <c r="DT110" s="29"/>
      <c r="DU110" s="29"/>
      <c r="DV110" s="29"/>
      <c r="DW110" s="29"/>
      <c r="DX110" s="29"/>
      <c r="DY110" s="29"/>
      <c r="DZ110" s="29"/>
      <c r="EA110" s="140"/>
      <c r="EB110" s="117"/>
      <c r="EC110" s="117"/>
      <c r="ED110" s="117"/>
      <c r="EE110" s="117"/>
      <c r="EF110" s="110"/>
      <c r="EG110" s="4"/>
      <c r="EH110" s="111"/>
      <c r="EI110" s="112"/>
      <c r="EJ110" s="112"/>
      <c r="EK110" s="110"/>
      <c r="EL110" s="113"/>
      <c r="EM110" s="114"/>
      <c r="EN110" s="114"/>
      <c r="EO110" s="110"/>
      <c r="EP110" s="113"/>
      <c r="EQ110" s="114"/>
      <c r="ER110" s="110"/>
      <c r="ES110" s="113"/>
    </row>
    <row r="111" spans="13:149">
      <c r="M111" s="6"/>
      <c r="N111" s="2"/>
      <c r="O111" s="2"/>
      <c r="P111" s="33"/>
      <c r="Q111" s="148"/>
      <c r="R111" s="149"/>
      <c r="S111" s="2"/>
      <c r="T111" s="2"/>
      <c r="U111" s="2"/>
      <c r="V111" s="2"/>
      <c r="W111" s="2"/>
      <c r="X111" s="8"/>
      <c r="AI111" s="13"/>
      <c r="AJ111" s="13"/>
      <c r="AK111" s="13"/>
      <c r="AL111" s="13"/>
      <c r="AM111" s="13"/>
      <c r="AR111" s="29"/>
      <c r="AS111" s="29"/>
      <c r="AT111" s="29"/>
      <c r="AU111" s="29"/>
      <c r="AV111" s="29"/>
      <c r="AW111" s="29"/>
      <c r="AX111" s="29"/>
      <c r="AY111" s="29"/>
      <c r="AZ111" s="29"/>
      <c r="BA111" s="140"/>
      <c r="BB111" s="117"/>
      <c r="BC111" s="117"/>
      <c r="BD111" s="117"/>
      <c r="BE111" s="117"/>
      <c r="BF111" s="110"/>
      <c r="BG111" s="4"/>
      <c r="BH111" s="111"/>
      <c r="BI111" s="112"/>
      <c r="BJ111" s="112"/>
      <c r="BK111" s="110"/>
      <c r="BL111" s="113"/>
      <c r="BM111" s="114"/>
      <c r="BN111" s="114"/>
      <c r="BO111" s="110"/>
      <c r="BP111" s="113"/>
      <c r="BQ111" s="114"/>
      <c r="BR111" s="110"/>
      <c r="BS111" s="113"/>
      <c r="DI111" s="13"/>
      <c r="DJ111" s="13"/>
      <c r="DK111" s="13"/>
      <c r="DL111" s="13"/>
      <c r="DM111" s="13"/>
      <c r="DR111" s="29"/>
      <c r="DS111" s="29"/>
      <c r="DT111" s="29"/>
      <c r="DU111" s="29"/>
      <c r="DV111" s="29"/>
      <c r="DW111" s="29"/>
      <c r="DX111" s="29"/>
      <c r="DY111" s="29"/>
      <c r="DZ111" s="29"/>
      <c r="EA111" s="140"/>
      <c r="EB111" s="117"/>
      <c r="EC111" s="117"/>
      <c r="ED111" s="117"/>
      <c r="EE111" s="117"/>
      <c r="EF111" s="110"/>
      <c r="EG111" s="4"/>
      <c r="EH111" s="111"/>
      <c r="EI111" s="112"/>
      <c r="EJ111" s="112"/>
      <c r="EK111" s="110"/>
      <c r="EL111" s="113"/>
      <c r="EM111" s="114"/>
      <c r="EN111" s="114"/>
      <c r="EO111" s="110"/>
      <c r="EP111" s="113"/>
      <c r="EQ111" s="114"/>
      <c r="ER111" s="110"/>
      <c r="ES111" s="113"/>
    </row>
    <row r="112" spans="13:149">
      <c r="M112" s="6"/>
      <c r="N112" s="2"/>
      <c r="O112" s="2"/>
      <c r="P112" s="33"/>
      <c r="Q112" s="148"/>
      <c r="R112" s="149"/>
      <c r="S112" s="2"/>
      <c r="T112" s="2"/>
      <c r="U112" s="2"/>
      <c r="V112" s="2"/>
      <c r="W112" s="2"/>
      <c r="X112" s="8"/>
      <c r="AI112" s="13"/>
      <c r="AJ112" s="13"/>
      <c r="AK112" s="13"/>
      <c r="AL112" s="13"/>
      <c r="AM112" s="13"/>
      <c r="AR112" s="29"/>
      <c r="AS112" s="29"/>
      <c r="AT112" s="29"/>
      <c r="AU112" s="29"/>
      <c r="AV112" s="29"/>
      <c r="AW112" s="29"/>
      <c r="AX112" s="29"/>
      <c r="AY112" s="29"/>
      <c r="AZ112" s="29"/>
      <c r="BA112" s="140"/>
      <c r="BB112" s="117"/>
      <c r="BC112" s="117"/>
      <c r="BD112" s="117"/>
      <c r="BE112" s="117"/>
      <c r="BF112" s="110"/>
      <c r="BG112" s="4"/>
      <c r="BH112" s="111"/>
      <c r="BI112" s="112"/>
      <c r="BJ112" s="112"/>
      <c r="BK112" s="110"/>
      <c r="BL112" s="113"/>
      <c r="BM112" s="114"/>
      <c r="BN112" s="114"/>
      <c r="BO112" s="110"/>
      <c r="BP112" s="113"/>
      <c r="BQ112" s="114"/>
      <c r="BR112" s="110"/>
      <c r="BS112" s="113"/>
      <c r="DI112" s="13"/>
      <c r="DJ112" s="13"/>
      <c r="DK112" s="13"/>
      <c r="DL112" s="13"/>
      <c r="DM112" s="13"/>
      <c r="DR112" s="29"/>
      <c r="DS112" s="29"/>
      <c r="DT112" s="29"/>
      <c r="DU112" s="29"/>
      <c r="DV112" s="29"/>
      <c r="DW112" s="29"/>
      <c r="DX112" s="29"/>
      <c r="DY112" s="29"/>
      <c r="DZ112" s="29"/>
      <c r="EA112" s="140"/>
      <c r="EB112" s="117"/>
      <c r="EC112" s="117"/>
      <c r="ED112" s="117"/>
      <c r="EE112" s="117"/>
      <c r="EF112" s="110"/>
      <c r="EG112" s="4"/>
      <c r="EH112" s="111"/>
      <c r="EI112" s="112"/>
      <c r="EJ112" s="112"/>
      <c r="EK112" s="110"/>
      <c r="EL112" s="113"/>
      <c r="EM112" s="114"/>
      <c r="EN112" s="114"/>
      <c r="EO112" s="110"/>
      <c r="EP112" s="113"/>
      <c r="EQ112" s="114"/>
      <c r="ER112" s="110"/>
      <c r="ES112" s="113"/>
    </row>
    <row r="113" spans="13:149">
      <c r="M113" s="6"/>
      <c r="N113" s="2"/>
      <c r="O113" s="2"/>
      <c r="P113" s="33"/>
      <c r="Q113" s="148"/>
      <c r="R113" s="149"/>
      <c r="S113" s="2"/>
      <c r="T113" s="2"/>
      <c r="U113" s="2"/>
      <c r="V113" s="2"/>
      <c r="W113" s="2"/>
      <c r="X113" s="8"/>
      <c r="AI113" s="13"/>
      <c r="AJ113" s="13"/>
      <c r="AK113" s="13"/>
      <c r="AL113" s="13"/>
      <c r="AM113" s="13"/>
      <c r="AR113" s="29"/>
      <c r="AS113" s="29"/>
      <c r="AT113" s="29"/>
      <c r="AU113" s="29"/>
      <c r="AV113" s="29"/>
      <c r="AW113" s="29"/>
      <c r="AX113" s="29"/>
      <c r="AY113" s="29"/>
      <c r="AZ113" s="29"/>
      <c r="BA113" s="140"/>
      <c r="BB113" s="117"/>
      <c r="BC113" s="117"/>
      <c r="BD113" s="117"/>
      <c r="BE113" s="117"/>
      <c r="BF113" s="110"/>
      <c r="BG113" s="4"/>
      <c r="BH113" s="111"/>
      <c r="BI113" s="112"/>
      <c r="BJ113" s="112"/>
      <c r="BK113" s="110"/>
      <c r="BL113" s="113"/>
      <c r="BM113" s="114"/>
      <c r="BN113" s="114"/>
      <c r="BO113" s="110"/>
      <c r="BP113" s="113"/>
      <c r="BQ113" s="114"/>
      <c r="BR113" s="110"/>
      <c r="BS113" s="113"/>
      <c r="DI113" s="13"/>
      <c r="DJ113" s="13"/>
      <c r="DK113" s="13"/>
      <c r="DL113" s="13"/>
      <c r="DM113" s="13"/>
      <c r="DR113" s="29"/>
      <c r="DS113" s="29"/>
      <c r="DT113" s="29"/>
      <c r="DU113" s="29"/>
      <c r="DV113" s="29"/>
      <c r="DW113" s="29"/>
      <c r="DX113" s="29"/>
      <c r="DY113" s="29"/>
      <c r="DZ113" s="29"/>
      <c r="EA113" s="140"/>
      <c r="EB113" s="117"/>
      <c r="EC113" s="117"/>
      <c r="ED113" s="117"/>
      <c r="EE113" s="117"/>
      <c r="EF113" s="110"/>
      <c r="EG113" s="4"/>
      <c r="EH113" s="111"/>
      <c r="EI113" s="112"/>
      <c r="EJ113" s="112"/>
      <c r="EK113" s="110"/>
      <c r="EL113" s="113"/>
      <c r="EM113" s="114"/>
      <c r="EN113" s="114"/>
      <c r="EO113" s="110"/>
      <c r="EP113" s="113"/>
      <c r="EQ113" s="114"/>
      <c r="ER113" s="110"/>
      <c r="ES113" s="113"/>
    </row>
    <row r="114" spans="13:149">
      <c r="M114" s="6"/>
      <c r="N114" s="2"/>
      <c r="O114" s="2"/>
      <c r="P114" s="33"/>
      <c r="Q114" s="148"/>
      <c r="R114" s="149"/>
      <c r="S114" s="2"/>
      <c r="T114" s="2"/>
      <c r="U114" s="2"/>
      <c r="V114" s="2"/>
      <c r="W114" s="2"/>
      <c r="X114" s="8"/>
      <c r="AI114" s="13"/>
      <c r="AJ114" s="13"/>
      <c r="AK114" s="13"/>
      <c r="AL114" s="13"/>
      <c r="AM114" s="13"/>
      <c r="AR114" s="29"/>
      <c r="AS114" s="29"/>
      <c r="AT114" s="29"/>
      <c r="AU114" s="29"/>
      <c r="AV114" s="29"/>
      <c r="AW114" s="29"/>
      <c r="AX114" s="29"/>
      <c r="AY114" s="29"/>
      <c r="AZ114" s="29"/>
      <c r="BA114" s="140"/>
      <c r="BB114" s="117"/>
      <c r="BC114" s="117"/>
      <c r="BD114" s="117"/>
      <c r="BE114" s="117"/>
      <c r="BF114" s="110"/>
      <c r="BG114" s="4"/>
      <c r="BH114" s="111"/>
      <c r="BI114" s="112"/>
      <c r="BJ114" s="112"/>
      <c r="BK114" s="110"/>
      <c r="BL114" s="113"/>
      <c r="BM114" s="114"/>
      <c r="BN114" s="114"/>
      <c r="BO114" s="110"/>
      <c r="BP114" s="113"/>
      <c r="BQ114" s="114"/>
      <c r="BR114" s="110"/>
      <c r="BS114" s="113"/>
      <c r="DI114" s="13"/>
      <c r="DJ114" s="13"/>
      <c r="DK114" s="13"/>
      <c r="DL114" s="13"/>
      <c r="DM114" s="13"/>
      <c r="DR114" s="29"/>
      <c r="DS114" s="29"/>
      <c r="DT114" s="29"/>
      <c r="DU114" s="29"/>
      <c r="DV114" s="29"/>
      <c r="DW114" s="29"/>
      <c r="DX114" s="29"/>
      <c r="DY114" s="29"/>
      <c r="DZ114" s="29"/>
      <c r="EA114" s="140"/>
      <c r="EB114" s="117"/>
      <c r="EC114" s="117"/>
      <c r="ED114" s="117"/>
      <c r="EE114" s="117"/>
      <c r="EF114" s="110"/>
      <c r="EG114" s="4"/>
      <c r="EH114" s="111"/>
      <c r="EI114" s="112"/>
      <c r="EJ114" s="112"/>
      <c r="EK114" s="110"/>
      <c r="EL114" s="113"/>
      <c r="EM114" s="114"/>
      <c r="EN114" s="114"/>
      <c r="EO114" s="110"/>
      <c r="EP114" s="113"/>
      <c r="EQ114" s="114"/>
      <c r="ER114" s="110"/>
      <c r="ES114" s="113"/>
    </row>
    <row r="115" spans="13:149">
      <c r="M115" s="6"/>
      <c r="N115" s="2"/>
      <c r="O115" s="2"/>
      <c r="P115" s="33"/>
      <c r="Q115" s="148"/>
      <c r="R115" s="149"/>
      <c r="S115" s="2"/>
      <c r="T115" s="2"/>
      <c r="U115" s="2"/>
      <c r="V115" s="2"/>
      <c r="W115" s="2"/>
      <c r="X115" s="8"/>
      <c r="AI115" s="13"/>
      <c r="AJ115" s="13"/>
      <c r="AK115" s="13"/>
      <c r="AL115" s="13"/>
      <c r="AM115" s="13"/>
      <c r="AR115" s="29"/>
      <c r="AS115" s="29"/>
      <c r="AT115" s="29"/>
      <c r="AU115" s="29"/>
      <c r="AV115" s="29"/>
      <c r="AW115" s="29"/>
      <c r="AX115" s="29"/>
      <c r="AY115" s="29"/>
      <c r="AZ115" s="29"/>
      <c r="BA115" s="140"/>
      <c r="BB115" s="117"/>
      <c r="BC115" s="117"/>
      <c r="BD115" s="117"/>
      <c r="BE115" s="117"/>
      <c r="BF115" s="110"/>
      <c r="BG115" s="4"/>
      <c r="BH115" s="111"/>
      <c r="BI115" s="112"/>
      <c r="BJ115" s="112"/>
      <c r="BK115" s="110"/>
      <c r="BL115" s="113"/>
      <c r="BM115" s="114"/>
      <c r="BN115" s="114"/>
      <c r="BO115" s="110"/>
      <c r="BP115" s="113"/>
      <c r="BQ115" s="114"/>
      <c r="BR115" s="110"/>
      <c r="BS115" s="113"/>
      <c r="DI115" s="13"/>
      <c r="DJ115" s="13"/>
      <c r="DK115" s="13"/>
      <c r="DL115" s="13"/>
      <c r="DM115" s="13"/>
      <c r="DR115" s="29"/>
      <c r="DS115" s="29"/>
      <c r="DT115" s="29"/>
      <c r="DU115" s="29"/>
      <c r="DV115" s="29"/>
      <c r="DW115" s="29"/>
      <c r="DX115" s="29"/>
      <c r="DY115" s="29"/>
      <c r="DZ115" s="29"/>
      <c r="EA115" s="140"/>
      <c r="EB115" s="117"/>
      <c r="EC115" s="117"/>
      <c r="ED115" s="117"/>
      <c r="EE115" s="117"/>
      <c r="EF115" s="110"/>
      <c r="EG115" s="4"/>
      <c r="EH115" s="111"/>
      <c r="EI115" s="112"/>
      <c r="EJ115" s="112"/>
      <c r="EK115" s="110"/>
      <c r="EL115" s="113"/>
      <c r="EM115" s="114"/>
      <c r="EN115" s="114"/>
      <c r="EO115" s="110"/>
      <c r="EP115" s="113"/>
      <c r="EQ115" s="114"/>
      <c r="ER115" s="110"/>
      <c r="ES115" s="113"/>
    </row>
    <row r="116" spans="13:149">
      <c r="M116" s="215" t="s">
        <v>363</v>
      </c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7"/>
      <c r="AI116" s="13"/>
      <c r="AJ116" s="13"/>
      <c r="AK116" s="13"/>
      <c r="AL116" s="13"/>
      <c r="AM116" s="13"/>
      <c r="AR116" s="29"/>
      <c r="AS116" s="29"/>
      <c r="AT116" s="29"/>
      <c r="AU116" s="29"/>
      <c r="AV116" s="29"/>
      <c r="AW116" s="29"/>
      <c r="AX116" s="29"/>
      <c r="AY116" s="29"/>
      <c r="AZ116" s="29"/>
      <c r="BA116" s="140"/>
      <c r="BB116" s="117"/>
      <c r="BC116" s="117"/>
      <c r="BD116" s="117"/>
      <c r="BE116" s="117"/>
      <c r="BF116" s="110"/>
      <c r="BG116" s="4"/>
      <c r="BH116" s="111"/>
      <c r="BI116" s="112"/>
      <c r="BJ116" s="112"/>
      <c r="BK116" s="110"/>
      <c r="BL116" s="113"/>
      <c r="BM116" s="114"/>
      <c r="BN116" s="114"/>
      <c r="BO116" s="110"/>
      <c r="BP116" s="113"/>
      <c r="BQ116" s="114"/>
      <c r="BR116" s="110"/>
      <c r="BS116" s="113"/>
      <c r="DI116" s="13"/>
      <c r="DJ116" s="13"/>
      <c r="DK116" s="13"/>
      <c r="DL116" s="13"/>
      <c r="DM116" s="13"/>
      <c r="DR116" s="29"/>
      <c r="DS116" s="29"/>
      <c r="DT116" s="29"/>
      <c r="DU116" s="29"/>
      <c r="DV116" s="29"/>
      <c r="DW116" s="29"/>
      <c r="DX116" s="29"/>
      <c r="DY116" s="29"/>
      <c r="DZ116" s="29"/>
      <c r="EA116" s="140"/>
      <c r="EB116" s="117"/>
      <c r="EC116" s="117"/>
      <c r="ED116" s="117"/>
      <c r="EE116" s="117"/>
      <c r="EF116" s="110"/>
      <c r="EG116" s="4"/>
      <c r="EH116" s="111"/>
      <c r="EI116" s="112"/>
      <c r="EJ116" s="112"/>
      <c r="EK116" s="110"/>
      <c r="EL116" s="113"/>
      <c r="EM116" s="114"/>
      <c r="EN116" s="114"/>
      <c r="EO116" s="110"/>
      <c r="EP116" s="113"/>
      <c r="EQ116" s="114"/>
      <c r="ER116" s="110"/>
      <c r="ES116" s="113"/>
    </row>
    <row r="117" spans="13:149">
      <c r="M117" s="215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7"/>
      <c r="AI117" s="13"/>
      <c r="AJ117" s="13"/>
      <c r="AK117" s="13"/>
      <c r="AL117" s="13"/>
      <c r="AM117" s="13"/>
      <c r="AR117" s="29"/>
      <c r="AS117" s="29"/>
      <c r="AT117" s="29"/>
      <c r="AU117" s="29"/>
      <c r="AV117" s="29"/>
      <c r="AW117" s="29"/>
      <c r="AX117" s="29"/>
      <c r="AY117" s="29"/>
      <c r="AZ117" s="29"/>
      <c r="BA117" s="140"/>
      <c r="BB117" s="117"/>
      <c r="BC117" s="117"/>
      <c r="BD117" s="117"/>
      <c r="BE117" s="117"/>
      <c r="BF117" s="110"/>
      <c r="BG117" s="4"/>
      <c r="BH117" s="111"/>
      <c r="BI117" s="112"/>
      <c r="BJ117" s="112"/>
      <c r="BK117" s="110"/>
      <c r="BL117" s="113"/>
      <c r="BM117" s="114"/>
      <c r="BN117" s="114"/>
      <c r="BO117" s="110"/>
      <c r="BP117" s="113"/>
      <c r="BQ117" s="114"/>
      <c r="BR117" s="110"/>
      <c r="BS117" s="113"/>
      <c r="DI117" s="13"/>
      <c r="DJ117" s="13"/>
      <c r="DK117" s="13"/>
      <c r="DL117" s="13"/>
      <c r="DM117" s="13"/>
      <c r="DR117" s="29"/>
      <c r="DS117" s="29"/>
      <c r="DT117" s="29"/>
      <c r="DU117" s="29"/>
      <c r="DV117" s="29"/>
      <c r="DW117" s="29"/>
      <c r="DX117" s="29"/>
      <c r="DY117" s="29"/>
      <c r="DZ117" s="29"/>
      <c r="EA117" s="140"/>
      <c r="EB117" s="117"/>
      <c r="EC117" s="117"/>
      <c r="ED117" s="117"/>
      <c r="EE117" s="117"/>
      <c r="EF117" s="110"/>
      <c r="EG117" s="4"/>
      <c r="EH117" s="111"/>
      <c r="EI117" s="112"/>
      <c r="EJ117" s="112"/>
      <c r="EK117" s="110"/>
      <c r="EL117" s="113"/>
      <c r="EM117" s="114"/>
      <c r="EN117" s="114"/>
      <c r="EO117" s="110"/>
      <c r="EP117" s="113"/>
      <c r="EQ117" s="114"/>
      <c r="ER117" s="110"/>
      <c r="ES117" s="113"/>
    </row>
    <row r="118" spans="13:149">
      <c r="M118" s="7" t="s">
        <v>364</v>
      </c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8"/>
      <c r="AI118" s="13"/>
      <c r="AJ118" s="13"/>
      <c r="AK118" s="13"/>
      <c r="AL118" s="13"/>
      <c r="AM118" s="13"/>
      <c r="AR118" s="29"/>
      <c r="AS118" s="29"/>
      <c r="AT118" s="29"/>
      <c r="AU118" s="29"/>
      <c r="AV118" s="29"/>
      <c r="AW118" s="29"/>
      <c r="AX118" s="29"/>
      <c r="AY118" s="29"/>
      <c r="AZ118" s="29"/>
      <c r="BA118" s="140"/>
      <c r="BB118" s="117"/>
      <c r="BC118" s="117"/>
      <c r="BD118" s="117"/>
      <c r="BE118" s="117"/>
      <c r="BF118" s="110"/>
      <c r="BG118" s="4"/>
      <c r="BH118" s="111"/>
      <c r="BI118" s="112"/>
      <c r="BJ118" s="112"/>
      <c r="BK118" s="110"/>
      <c r="BL118" s="113"/>
      <c r="BM118" s="114"/>
      <c r="BN118" s="114"/>
      <c r="BO118" s="110"/>
      <c r="BP118" s="113"/>
      <c r="BQ118" s="114"/>
      <c r="BR118" s="110"/>
      <c r="BS118" s="113"/>
      <c r="DI118" s="13"/>
      <c r="DJ118" s="13"/>
      <c r="DK118" s="13"/>
      <c r="DL118" s="13"/>
      <c r="DM118" s="13"/>
      <c r="DR118" s="29"/>
      <c r="DS118" s="29"/>
      <c r="DT118" s="29"/>
      <c r="DU118" s="29"/>
      <c r="DV118" s="29"/>
      <c r="DW118" s="29"/>
      <c r="DX118" s="29"/>
      <c r="DY118" s="29"/>
      <c r="DZ118" s="29"/>
      <c r="EA118" s="140"/>
      <c r="EB118" s="117"/>
      <c r="EC118" s="117"/>
      <c r="ED118" s="117"/>
      <c r="EE118" s="117"/>
      <c r="EF118" s="110"/>
      <c r="EG118" s="4"/>
      <c r="EH118" s="111"/>
      <c r="EI118" s="112"/>
      <c r="EJ118" s="112"/>
      <c r="EK118" s="110"/>
      <c r="EL118" s="113"/>
      <c r="EM118" s="114"/>
      <c r="EN118" s="114"/>
      <c r="EO118" s="110"/>
      <c r="EP118" s="113"/>
      <c r="EQ118" s="114"/>
      <c r="ER118" s="110"/>
      <c r="ES118" s="113"/>
    </row>
    <row r="119" spans="13:149">
      <c r="M119" s="7" t="str">
        <f>"- Lực tính toán:"</f>
        <v>- Lực tính toán:</v>
      </c>
      <c r="N119" s="2"/>
      <c r="O119" s="2"/>
      <c r="P119" s="2"/>
      <c r="Q119" s="33"/>
      <c r="R119" s="33" t="s">
        <v>365</v>
      </c>
      <c r="S119" s="160">
        <f>W77</f>
        <v>148.67047244300124</v>
      </c>
      <c r="T119" s="2" t="s">
        <v>70</v>
      </c>
      <c r="U119" s="2"/>
      <c r="V119" s="33" t="s">
        <v>366</v>
      </c>
      <c r="W119" s="160">
        <f>ABS(U64)</f>
        <v>19.427564353207799</v>
      </c>
      <c r="X119" s="8" t="s">
        <v>70</v>
      </c>
      <c r="AI119" s="13"/>
      <c r="AJ119" s="13"/>
      <c r="AK119" s="13"/>
      <c r="AL119" s="13"/>
      <c r="AM119" s="13"/>
      <c r="AR119" s="29"/>
      <c r="AS119" s="29"/>
      <c r="AT119" s="29"/>
      <c r="AU119" s="29"/>
      <c r="AV119" s="29"/>
      <c r="AW119" s="29"/>
      <c r="AX119" s="29"/>
      <c r="AY119" s="29"/>
      <c r="AZ119" s="29"/>
      <c r="BA119" s="140"/>
      <c r="BB119" s="117"/>
      <c r="BC119" s="117"/>
      <c r="BD119" s="117"/>
      <c r="BE119" s="117"/>
      <c r="BF119" s="110"/>
      <c r="BG119" s="4"/>
      <c r="BH119" s="111"/>
      <c r="BI119" s="112"/>
      <c r="BJ119" s="112"/>
      <c r="BK119" s="110"/>
      <c r="BL119" s="113"/>
      <c r="BM119" s="114"/>
      <c r="BN119" s="114"/>
      <c r="BO119" s="110"/>
      <c r="BP119" s="113"/>
      <c r="BQ119" s="114"/>
      <c r="BR119" s="110"/>
      <c r="BS119" s="113"/>
      <c r="DI119" s="13"/>
      <c r="DJ119" s="13"/>
      <c r="DK119" s="13"/>
      <c r="DL119" s="13"/>
      <c r="DM119" s="13"/>
      <c r="DR119" s="29"/>
      <c r="DS119" s="29"/>
      <c r="DT119" s="29"/>
      <c r="DU119" s="29"/>
      <c r="DV119" s="29"/>
      <c r="DW119" s="29"/>
      <c r="DX119" s="29"/>
      <c r="DY119" s="29"/>
      <c r="DZ119" s="29"/>
      <c r="EA119" s="140"/>
      <c r="EB119" s="117"/>
      <c r="EC119" s="117"/>
      <c r="ED119" s="117"/>
      <c r="EE119" s="117"/>
      <c r="EF119" s="110"/>
      <c r="EG119" s="4"/>
      <c r="EH119" s="111"/>
      <c r="EI119" s="112"/>
      <c r="EJ119" s="112"/>
      <c r="EK119" s="110"/>
      <c r="EL119" s="113"/>
      <c r="EM119" s="114"/>
      <c r="EN119" s="114"/>
      <c r="EO119" s="110"/>
      <c r="EP119" s="113"/>
      <c r="EQ119" s="114"/>
      <c r="ER119" s="110"/>
      <c r="ES119" s="113"/>
    </row>
    <row r="120" spans="13:149" ht="15">
      <c r="M120" s="7" t="str">
        <f>"- Hệ số:"</f>
        <v>- Hệ số:</v>
      </c>
      <c r="N120" s="2"/>
      <c r="O120" s="33" t="s">
        <v>124</v>
      </c>
      <c r="P120" s="34">
        <f>W45</f>
        <v>353</v>
      </c>
      <c r="Q120" s="2" t="s">
        <v>46</v>
      </c>
      <c r="R120" s="33" t="s">
        <v>367</v>
      </c>
      <c r="S120" s="34">
        <f>$W$19</f>
        <v>240</v>
      </c>
      <c r="T120" s="2" t="s">
        <v>20</v>
      </c>
      <c r="U120" s="2"/>
      <c r="V120" s="33" t="s">
        <v>125</v>
      </c>
      <c r="W120" s="34">
        <f>W46</f>
        <v>6</v>
      </c>
      <c r="X120" s="8"/>
      <c r="AI120" s="13"/>
      <c r="AJ120" s="13"/>
      <c r="AK120" s="13"/>
      <c r="AL120" s="13"/>
      <c r="AM120" s="13"/>
      <c r="AR120" s="29"/>
      <c r="AS120" s="29"/>
      <c r="AT120" s="29"/>
      <c r="AU120" s="29"/>
      <c r="AV120" s="29"/>
      <c r="AW120" s="29"/>
      <c r="AX120" s="29"/>
      <c r="AY120" s="29"/>
      <c r="AZ120" s="29"/>
      <c r="BA120" s="140"/>
      <c r="BB120" s="117"/>
      <c r="BC120" s="117"/>
      <c r="BD120" s="117"/>
      <c r="BE120" s="117"/>
      <c r="BF120" s="110"/>
      <c r="BG120" s="4"/>
      <c r="BH120" s="111"/>
      <c r="BI120" s="112"/>
      <c r="BJ120" s="112"/>
      <c r="BK120" s="110"/>
      <c r="BL120" s="113"/>
      <c r="BM120" s="114"/>
      <c r="BN120" s="114"/>
      <c r="BO120" s="110"/>
      <c r="BP120" s="113"/>
      <c r="BQ120" s="114"/>
      <c r="BR120" s="110"/>
      <c r="BS120" s="113"/>
      <c r="DI120" s="13"/>
      <c r="DJ120" s="13"/>
      <c r="DK120" s="13"/>
      <c r="DL120" s="13"/>
      <c r="DM120" s="13"/>
      <c r="DR120" s="29"/>
      <c r="DS120" s="29"/>
      <c r="DT120" s="29"/>
      <c r="DU120" s="29"/>
      <c r="DV120" s="29"/>
      <c r="DW120" s="29"/>
      <c r="DX120" s="29"/>
      <c r="DY120" s="29"/>
      <c r="DZ120" s="29"/>
      <c r="EA120" s="140"/>
      <c r="EB120" s="117"/>
      <c r="EC120" s="117"/>
      <c r="ED120" s="117"/>
      <c r="EE120" s="117"/>
      <c r="EF120" s="110"/>
      <c r="EG120" s="4"/>
      <c r="EH120" s="111"/>
      <c r="EI120" s="112"/>
      <c r="EJ120" s="112"/>
      <c r="EK120" s="110"/>
      <c r="EL120" s="113"/>
      <c r="EM120" s="114"/>
      <c r="EN120" s="114"/>
      <c r="EO120" s="110"/>
      <c r="EP120" s="113"/>
      <c r="EQ120" s="114"/>
      <c r="ER120" s="110"/>
      <c r="ES120" s="113"/>
    </row>
    <row r="121" spans="13:149" ht="15">
      <c r="M121" s="7" t="str">
        <f>"- Lực trượt giới hạn:"</f>
        <v>- Lực trượt giới hạn:</v>
      </c>
      <c r="N121" s="2"/>
      <c r="O121" s="2"/>
      <c r="P121" s="2"/>
      <c r="Q121" s="2"/>
      <c r="R121" s="2"/>
      <c r="S121" s="2"/>
      <c r="T121" s="2"/>
      <c r="U121" s="2"/>
      <c r="V121" s="33" t="s">
        <v>368</v>
      </c>
      <c r="W121" s="160">
        <f>0.6*P120*S120*W120/1000</f>
        <v>304.99199999999996</v>
      </c>
      <c r="X121" s="8" t="s">
        <v>70</v>
      </c>
      <c r="AI121" s="13"/>
      <c r="AJ121" s="13"/>
      <c r="AK121" s="13"/>
      <c r="AL121" s="13"/>
      <c r="AM121" s="13"/>
      <c r="AR121" s="29"/>
      <c r="AS121" s="29"/>
      <c r="AT121" s="29"/>
      <c r="AU121" s="29"/>
      <c r="AV121" s="29"/>
      <c r="AW121" s="29"/>
      <c r="AX121" s="29"/>
      <c r="AY121" s="29"/>
      <c r="AZ121" s="29"/>
      <c r="BA121" s="140"/>
      <c r="BB121" s="117"/>
      <c r="BC121" s="117"/>
      <c r="BD121" s="117"/>
      <c r="BE121" s="117"/>
      <c r="BF121" s="110"/>
      <c r="BG121" s="4"/>
      <c r="BH121" s="111"/>
      <c r="BI121" s="112"/>
      <c r="BJ121" s="112"/>
      <c r="BK121" s="110"/>
      <c r="BL121" s="113"/>
      <c r="BM121" s="114"/>
      <c r="BN121" s="114"/>
      <c r="BO121" s="110"/>
      <c r="BP121" s="113"/>
      <c r="BQ121" s="114"/>
      <c r="BR121" s="110"/>
      <c r="BS121" s="113"/>
      <c r="DI121" s="13"/>
      <c r="DJ121" s="13"/>
      <c r="DK121" s="13"/>
      <c r="DL121" s="13"/>
      <c r="DM121" s="13"/>
      <c r="DR121" s="29"/>
      <c r="DS121" s="29"/>
      <c r="DT121" s="29"/>
      <c r="DU121" s="29"/>
      <c r="DV121" s="29"/>
      <c r="DW121" s="29"/>
      <c r="DX121" s="29"/>
      <c r="DY121" s="29"/>
      <c r="DZ121" s="29"/>
      <c r="EA121" s="140"/>
      <c r="EB121" s="117"/>
      <c r="EC121" s="117"/>
      <c r="ED121" s="117"/>
      <c r="EE121" s="117"/>
      <c r="EF121" s="110"/>
      <c r="EG121" s="4"/>
      <c r="EH121" s="111"/>
      <c r="EI121" s="112"/>
      <c r="EJ121" s="112"/>
      <c r="EK121" s="110"/>
      <c r="EL121" s="113"/>
      <c r="EM121" s="114"/>
      <c r="EN121" s="114"/>
      <c r="EO121" s="110"/>
      <c r="EP121" s="113"/>
      <c r="EQ121" s="114"/>
      <c r="ER121" s="110"/>
      <c r="ES121" s="113"/>
    </row>
    <row r="122" spans="13:149" ht="15">
      <c r="M122" s="7" t="str">
        <f>"- Tỷ số huy động cấu kiện:"</f>
        <v>- Tỷ số huy động cấu kiện:</v>
      </c>
      <c r="N122" s="2"/>
      <c r="O122" s="2"/>
      <c r="P122" s="33"/>
      <c r="Q122" s="148"/>
      <c r="R122" s="149"/>
      <c r="S122" s="2"/>
      <c r="T122" s="2"/>
      <c r="U122" s="2"/>
      <c r="V122" s="33" t="s">
        <v>369</v>
      </c>
      <c r="W122" s="155">
        <f>MAX(S119,W119)/W121</f>
        <v>0.48745695770053399</v>
      </c>
      <c r="X122" s="12" t="str">
        <f>IF(W122&lt;=1,"OK","Shear key")</f>
        <v>OK</v>
      </c>
      <c r="AI122" s="13"/>
      <c r="AJ122" s="13"/>
      <c r="AK122" s="13"/>
      <c r="AL122" s="13"/>
      <c r="AM122" s="13"/>
      <c r="AR122" s="29"/>
      <c r="AS122" s="29"/>
      <c r="AT122" s="29"/>
      <c r="AU122" s="29"/>
      <c r="AV122" s="29"/>
      <c r="AW122" s="29"/>
      <c r="AX122" s="29"/>
      <c r="AY122" s="29"/>
      <c r="AZ122" s="29"/>
      <c r="BA122" s="140"/>
      <c r="BB122" s="117"/>
      <c r="BC122" s="117"/>
      <c r="BD122" s="117"/>
      <c r="BE122" s="117"/>
      <c r="BF122" s="110"/>
      <c r="BG122" s="4"/>
      <c r="BH122" s="111"/>
      <c r="BI122" s="112"/>
      <c r="BJ122" s="112"/>
      <c r="BK122" s="110"/>
      <c r="BL122" s="113"/>
      <c r="BM122" s="114"/>
      <c r="BN122" s="114"/>
      <c r="BO122" s="110"/>
      <c r="BP122" s="113"/>
      <c r="BQ122" s="114"/>
      <c r="BR122" s="110"/>
      <c r="BS122" s="113"/>
      <c r="DI122" s="13"/>
      <c r="DJ122" s="13"/>
      <c r="DK122" s="13"/>
      <c r="DL122" s="13"/>
      <c r="DM122" s="13"/>
      <c r="DR122" s="29"/>
      <c r="DS122" s="29"/>
      <c r="DT122" s="29"/>
      <c r="DU122" s="29"/>
      <c r="DV122" s="29"/>
      <c r="DW122" s="29"/>
      <c r="DX122" s="29"/>
      <c r="DY122" s="29"/>
      <c r="DZ122" s="29"/>
      <c r="EA122" s="140"/>
      <c r="EB122" s="117"/>
      <c r="EC122" s="117"/>
      <c r="ED122" s="117"/>
      <c r="EE122" s="117"/>
      <c r="EF122" s="110"/>
      <c r="EG122" s="4"/>
      <c r="EH122" s="111"/>
      <c r="EI122" s="112"/>
      <c r="EJ122" s="112"/>
      <c r="EK122" s="110"/>
      <c r="EL122" s="113"/>
      <c r="EM122" s="114"/>
      <c r="EN122" s="114"/>
      <c r="EO122" s="110"/>
      <c r="EP122" s="113"/>
      <c r="EQ122" s="114"/>
      <c r="ER122" s="110"/>
      <c r="ES122" s="113"/>
    </row>
    <row r="123" spans="13:149">
      <c r="M123" s="6" t="s">
        <v>349</v>
      </c>
      <c r="N123" s="2"/>
      <c r="O123" s="2"/>
      <c r="P123" s="33"/>
      <c r="Q123" s="148"/>
      <c r="R123" s="149"/>
      <c r="S123" s="2"/>
      <c r="T123" s="2"/>
      <c r="U123" s="2"/>
      <c r="V123" s="2"/>
      <c r="W123" s="2"/>
      <c r="X123" s="8"/>
      <c r="AI123" s="13"/>
      <c r="AJ123" s="13"/>
      <c r="AK123" s="13"/>
      <c r="AL123" s="13"/>
      <c r="AM123" s="13"/>
      <c r="AR123" s="29"/>
      <c r="AS123" s="29"/>
      <c r="AT123" s="29"/>
      <c r="AU123" s="29"/>
      <c r="AV123" s="29"/>
      <c r="AW123" s="29"/>
      <c r="AX123" s="29"/>
      <c r="AY123" s="29"/>
      <c r="AZ123" s="29"/>
      <c r="BA123" s="140"/>
      <c r="BB123" s="117"/>
      <c r="BC123" s="117"/>
      <c r="BD123" s="117"/>
      <c r="BE123" s="117"/>
      <c r="BF123" s="110"/>
      <c r="BG123" s="4"/>
      <c r="BH123" s="111"/>
      <c r="BI123" s="112"/>
      <c r="BJ123" s="112"/>
      <c r="BK123" s="110"/>
      <c r="BL123" s="113"/>
      <c r="BM123" s="114"/>
      <c r="BN123" s="114"/>
      <c r="BO123" s="110"/>
      <c r="BP123" s="113"/>
      <c r="BQ123" s="114"/>
      <c r="BR123" s="110"/>
      <c r="BS123" s="113"/>
      <c r="DI123" s="13"/>
      <c r="DJ123" s="13"/>
      <c r="DK123" s="13"/>
      <c r="DL123" s="13"/>
      <c r="DM123" s="13"/>
      <c r="DR123" s="29"/>
      <c r="DS123" s="29"/>
      <c r="DT123" s="29"/>
      <c r="DU123" s="29"/>
      <c r="DV123" s="29"/>
      <c r="DW123" s="29"/>
      <c r="DX123" s="29"/>
      <c r="DY123" s="29"/>
      <c r="DZ123" s="29"/>
      <c r="EA123" s="140"/>
      <c r="EB123" s="117"/>
      <c r="EC123" s="117"/>
      <c r="ED123" s="117"/>
      <c r="EE123" s="117"/>
      <c r="EF123" s="110"/>
      <c r="EG123" s="4"/>
      <c r="EH123" s="111"/>
      <c r="EI123" s="112"/>
      <c r="EJ123" s="112"/>
      <c r="EK123" s="110"/>
      <c r="EL123" s="113"/>
      <c r="EM123" s="114"/>
      <c r="EN123" s="114"/>
      <c r="EO123" s="110"/>
      <c r="EP123" s="113"/>
      <c r="EQ123" s="114"/>
      <c r="ER123" s="110"/>
      <c r="ES123" s="113"/>
    </row>
    <row r="124" spans="13:149">
      <c r="M124" s="7" t="s">
        <v>146</v>
      </c>
      <c r="N124" s="2"/>
      <c r="O124" s="2"/>
      <c r="P124" s="2"/>
      <c r="Q124" s="2"/>
      <c r="R124" s="2"/>
      <c r="S124" s="2"/>
      <c r="T124" s="2"/>
      <c r="U124" s="2"/>
      <c r="V124" s="165"/>
      <c r="W124" s="165"/>
      <c r="X124" s="12"/>
      <c r="AI124" s="13"/>
      <c r="AJ124" s="13"/>
      <c r="AK124" s="13"/>
      <c r="AL124" s="13"/>
      <c r="AM124" s="13"/>
      <c r="AR124" s="29"/>
      <c r="AS124" s="29"/>
      <c r="AT124" s="29"/>
      <c r="AU124" s="29"/>
      <c r="AV124" s="29"/>
      <c r="AW124" s="29"/>
      <c r="AX124" s="29"/>
      <c r="AY124" s="29"/>
      <c r="AZ124" s="29"/>
      <c r="BA124" s="140"/>
      <c r="BB124" s="117"/>
      <c r="BC124" s="117"/>
      <c r="BD124" s="117"/>
      <c r="BE124" s="117"/>
      <c r="BF124" s="110"/>
      <c r="BG124" s="4"/>
      <c r="BH124" s="111"/>
      <c r="BI124" s="112"/>
      <c r="BJ124" s="112"/>
      <c r="BK124" s="110"/>
      <c r="BL124" s="113"/>
      <c r="BM124" s="114"/>
      <c r="BN124" s="114"/>
      <c r="BO124" s="110"/>
      <c r="BP124" s="113"/>
      <c r="BQ124" s="114"/>
      <c r="BR124" s="110"/>
      <c r="BS124" s="113"/>
      <c r="DI124" s="13"/>
      <c r="DJ124" s="13"/>
      <c r="DK124" s="13"/>
      <c r="DL124" s="13"/>
      <c r="DM124" s="13"/>
      <c r="DR124" s="29"/>
      <c r="DS124" s="29"/>
      <c r="DT124" s="29"/>
      <c r="DU124" s="29"/>
      <c r="DV124" s="29"/>
      <c r="DW124" s="29"/>
      <c r="DX124" s="29"/>
      <c r="DY124" s="29"/>
      <c r="DZ124" s="29"/>
      <c r="EA124" s="140"/>
      <c r="EB124" s="117"/>
      <c r="EC124" s="117"/>
      <c r="ED124" s="117"/>
      <c r="EE124" s="117"/>
      <c r="EF124" s="110"/>
      <c r="EG124" s="4"/>
      <c r="EH124" s="111"/>
      <c r="EI124" s="112"/>
      <c r="EJ124" s="112"/>
      <c r="EK124" s="110"/>
      <c r="EL124" s="113"/>
      <c r="EM124" s="114"/>
      <c r="EN124" s="114"/>
      <c r="EO124" s="110"/>
      <c r="EP124" s="113"/>
      <c r="EQ124" s="114"/>
      <c r="ER124" s="110"/>
      <c r="ES124" s="113"/>
    </row>
    <row r="125" spans="13:149">
      <c r="M125" s="31" t="s">
        <v>156</v>
      </c>
      <c r="N125" s="2"/>
      <c r="O125" s="2"/>
      <c r="P125" s="2"/>
      <c r="Q125" s="2"/>
      <c r="R125" s="2"/>
      <c r="S125" s="2"/>
      <c r="T125" s="2"/>
      <c r="U125" s="2"/>
      <c r="V125" s="165"/>
      <c r="W125" s="165"/>
      <c r="X125" s="12"/>
      <c r="AI125" s="13"/>
      <c r="AJ125" s="13"/>
      <c r="AK125" s="13"/>
      <c r="AL125" s="13"/>
      <c r="AM125" s="13"/>
      <c r="AR125" s="29"/>
      <c r="AS125" s="29"/>
      <c r="AT125" s="29"/>
      <c r="AU125" s="29"/>
      <c r="AV125" s="29"/>
      <c r="AW125" s="29"/>
      <c r="AX125" s="29"/>
      <c r="AY125" s="29"/>
      <c r="AZ125" s="29"/>
      <c r="BA125" s="140"/>
      <c r="BB125" s="117"/>
      <c r="BC125" s="117"/>
      <c r="BD125" s="117"/>
      <c r="BE125" s="117"/>
      <c r="BF125" s="110"/>
      <c r="BG125" s="4"/>
      <c r="BH125" s="111"/>
      <c r="BI125" s="112"/>
      <c r="BJ125" s="112"/>
      <c r="BK125" s="110"/>
      <c r="BL125" s="113"/>
      <c r="BM125" s="114"/>
      <c r="BN125" s="114"/>
      <c r="BO125" s="110"/>
      <c r="BP125" s="113"/>
      <c r="BQ125" s="114"/>
      <c r="BR125" s="110"/>
      <c r="BS125" s="113"/>
      <c r="DI125" s="13"/>
      <c r="DJ125" s="13"/>
      <c r="DK125" s="13"/>
      <c r="DL125" s="13"/>
      <c r="DM125" s="13"/>
      <c r="DR125" s="29"/>
      <c r="DS125" s="29"/>
      <c r="DT125" s="29"/>
      <c r="DU125" s="29"/>
      <c r="DV125" s="29"/>
      <c r="DW125" s="29"/>
      <c r="DX125" s="29"/>
      <c r="DY125" s="29"/>
      <c r="DZ125" s="29"/>
      <c r="EA125" s="140"/>
      <c r="EB125" s="117"/>
      <c r="EC125" s="117"/>
      <c r="ED125" s="117"/>
      <c r="EE125" s="117"/>
      <c r="EF125" s="110"/>
      <c r="EG125" s="4"/>
      <c r="EH125" s="111"/>
      <c r="EI125" s="112"/>
      <c r="EJ125" s="112"/>
      <c r="EK125" s="110"/>
      <c r="EL125" s="113"/>
      <c r="EM125" s="114"/>
      <c r="EN125" s="114"/>
      <c r="EO125" s="110"/>
      <c r="EP125" s="113"/>
      <c r="EQ125" s="114"/>
      <c r="ER125" s="110"/>
      <c r="ES125" s="113"/>
    </row>
    <row r="126" spans="13:149" ht="15">
      <c r="M126" s="7" t="str">
        <f>"- Ứng suất phản lực bê tông móng để tính sườn đế:"</f>
        <v>- Ứng suất phản lực bê tông móng để tính sườn đế:</v>
      </c>
      <c r="N126" s="2"/>
      <c r="O126" s="2"/>
      <c r="P126" s="2"/>
      <c r="Q126" s="166"/>
      <c r="R126" s="166"/>
      <c r="S126" s="167"/>
      <c r="T126" s="34"/>
      <c r="U126" s="2"/>
      <c r="V126" s="20" t="s">
        <v>195</v>
      </c>
      <c r="W126" s="160">
        <f>IF(Q58=0,"-",FindUsBase(W89, W90, W47, (W47-W39)/2+W39/(Q58+1)))</f>
        <v>1.2845646142959595</v>
      </c>
      <c r="X126" s="8" t="s">
        <v>20</v>
      </c>
      <c r="AI126" s="13"/>
      <c r="AJ126" s="13"/>
      <c r="AK126" s="13"/>
      <c r="AL126" s="13"/>
      <c r="AM126" s="13"/>
      <c r="AR126" s="29"/>
      <c r="AS126" s="29"/>
      <c r="AT126" s="29"/>
      <c r="AU126" s="29"/>
      <c r="AV126" s="29"/>
      <c r="AW126" s="29"/>
      <c r="AX126" s="29"/>
      <c r="AY126" s="29"/>
      <c r="AZ126" s="29"/>
      <c r="BA126" s="140"/>
      <c r="BB126" s="117"/>
      <c r="BC126" s="117"/>
      <c r="BD126" s="117"/>
      <c r="BE126" s="117"/>
      <c r="BF126" s="110"/>
      <c r="BG126" s="4"/>
      <c r="BH126" s="111"/>
      <c r="BI126" s="112"/>
      <c r="BJ126" s="112"/>
      <c r="BK126" s="110"/>
      <c r="BL126" s="113"/>
      <c r="BM126" s="114"/>
      <c r="BN126" s="114"/>
      <c r="BO126" s="110"/>
      <c r="BP126" s="113"/>
      <c r="BQ126" s="114"/>
      <c r="BR126" s="110"/>
      <c r="BS126" s="113"/>
      <c r="DI126" s="13"/>
      <c r="DJ126" s="13"/>
      <c r="DK126" s="13"/>
      <c r="DL126" s="13"/>
      <c r="DM126" s="13"/>
      <c r="DR126" s="29"/>
      <c r="DS126" s="29"/>
      <c r="DT126" s="29"/>
      <c r="DU126" s="29"/>
      <c r="DV126" s="29"/>
      <c r="DW126" s="29"/>
      <c r="DX126" s="29"/>
      <c r="DY126" s="29"/>
      <c r="DZ126" s="29"/>
      <c r="EA126" s="140"/>
      <c r="EB126" s="117"/>
      <c r="EC126" s="117"/>
      <c r="ED126" s="117"/>
      <c r="EE126" s="117"/>
      <c r="EF126" s="110"/>
      <c r="EG126" s="4"/>
      <c r="EH126" s="111"/>
      <c r="EI126" s="112"/>
      <c r="EJ126" s="112"/>
      <c r="EK126" s="110"/>
      <c r="EL126" s="113"/>
      <c r="EM126" s="114"/>
      <c r="EN126" s="114"/>
      <c r="EO126" s="110"/>
      <c r="EP126" s="113"/>
      <c r="EQ126" s="114"/>
      <c r="ER126" s="110"/>
      <c r="ES126" s="113"/>
    </row>
    <row r="127" spans="13:149" ht="15">
      <c r="M127" s="7" t="str">
        <f>"- Bề rộng chịu tải của sườn:"</f>
        <v>- Bề rộng chịu tải của sườn:</v>
      </c>
      <c r="N127" s="2"/>
      <c r="O127" s="2"/>
      <c r="P127" s="2"/>
      <c r="Q127" s="166"/>
      <c r="R127" s="166"/>
      <c r="S127" s="166"/>
      <c r="T127" s="2"/>
      <c r="U127" s="2"/>
      <c r="V127" s="33" t="s">
        <v>169</v>
      </c>
      <c r="W127" s="147">
        <f>IF(Q58=0,"-",W39/2)</f>
        <v>225</v>
      </c>
      <c r="X127" s="8" t="s">
        <v>1</v>
      </c>
      <c r="AI127" s="13"/>
      <c r="AJ127" s="13"/>
      <c r="AK127" s="13"/>
      <c r="AL127" s="13"/>
      <c r="AM127" s="13"/>
      <c r="AR127" s="29"/>
      <c r="AS127" s="29"/>
      <c r="AT127" s="29"/>
      <c r="AU127" s="29"/>
      <c r="AV127" s="29"/>
      <c r="AW127" s="29"/>
      <c r="AX127" s="29"/>
      <c r="AY127" s="29"/>
      <c r="AZ127" s="29"/>
      <c r="BA127" s="140"/>
      <c r="BB127" s="117"/>
      <c r="BC127" s="117"/>
      <c r="BD127" s="117"/>
      <c r="BE127" s="117"/>
      <c r="BF127" s="110"/>
      <c r="BG127" s="4"/>
      <c r="BH127" s="111"/>
      <c r="BI127" s="112"/>
      <c r="BJ127" s="112"/>
      <c r="BK127" s="110"/>
      <c r="BL127" s="113"/>
      <c r="BM127" s="114"/>
      <c r="BN127" s="114"/>
      <c r="BO127" s="110"/>
      <c r="BP127" s="113"/>
      <c r="BQ127" s="114"/>
      <c r="BR127" s="110"/>
      <c r="BS127" s="113"/>
      <c r="DI127" s="13"/>
      <c r="DJ127" s="13"/>
      <c r="DK127" s="13"/>
      <c r="DL127" s="13"/>
      <c r="DM127" s="13"/>
      <c r="DR127" s="29"/>
      <c r="DS127" s="29"/>
      <c r="DT127" s="29"/>
      <c r="DU127" s="29"/>
      <c r="DV127" s="29"/>
      <c r="DW127" s="29"/>
      <c r="DX127" s="29"/>
      <c r="DY127" s="29"/>
      <c r="DZ127" s="29"/>
      <c r="EA127" s="140"/>
      <c r="EB127" s="117"/>
      <c r="EC127" s="117"/>
      <c r="ED127" s="117"/>
      <c r="EE127" s="117"/>
      <c r="EF127" s="110"/>
      <c r="EG127" s="4"/>
      <c r="EH127" s="111"/>
      <c r="EI127" s="112"/>
      <c r="EJ127" s="112"/>
      <c r="EK127" s="110"/>
      <c r="EL127" s="113"/>
      <c r="EM127" s="114"/>
      <c r="EN127" s="114"/>
      <c r="EO127" s="110"/>
      <c r="EP127" s="113"/>
      <c r="EQ127" s="114"/>
      <c r="ER127" s="110"/>
      <c r="ES127" s="113"/>
    </row>
    <row r="128" spans="13:149" ht="15">
      <c r="M128" s="7" t="str">
        <f>"- Tải trọng tác dụng lên sườn:"</f>
        <v>- Tải trọng tác dụng lên sườn:</v>
      </c>
      <c r="N128" s="2"/>
      <c r="O128" s="2"/>
      <c r="P128" s="2"/>
      <c r="Q128" s="166"/>
      <c r="R128" s="166"/>
      <c r="S128" s="166"/>
      <c r="T128" s="33"/>
      <c r="U128" s="2"/>
      <c r="V128" s="33" t="s">
        <v>147</v>
      </c>
      <c r="W128" s="147">
        <f>IF(Q58=0,"-",W126*W127)</f>
        <v>289.02703821659088</v>
      </c>
      <c r="X128" s="8" t="s">
        <v>148</v>
      </c>
      <c r="AI128" s="13"/>
      <c r="AJ128" s="13"/>
      <c r="AK128" s="13"/>
      <c r="AL128" s="13"/>
      <c r="AM128" s="13"/>
      <c r="AR128" s="29"/>
      <c r="AS128" s="29"/>
      <c r="AT128" s="29"/>
      <c r="AU128" s="29"/>
      <c r="AV128" s="29"/>
      <c r="AW128" s="29"/>
      <c r="AX128" s="29"/>
      <c r="AY128" s="29"/>
      <c r="AZ128" s="29"/>
      <c r="BA128" s="140"/>
      <c r="BB128" s="117"/>
      <c r="BC128" s="117"/>
      <c r="BD128" s="117"/>
      <c r="BE128" s="117"/>
      <c r="BF128" s="110"/>
      <c r="BG128" s="4"/>
      <c r="BH128" s="111"/>
      <c r="BI128" s="112"/>
      <c r="BJ128" s="112"/>
      <c r="BK128" s="110"/>
      <c r="BL128" s="113"/>
      <c r="BM128" s="114"/>
      <c r="BN128" s="114"/>
      <c r="BO128" s="110"/>
      <c r="BP128" s="113"/>
      <c r="BQ128" s="114"/>
      <c r="BR128" s="110"/>
      <c r="BS128" s="113"/>
      <c r="DI128" s="13"/>
      <c r="DJ128" s="13"/>
      <c r="DK128" s="13"/>
      <c r="DL128" s="13"/>
      <c r="DM128" s="13"/>
      <c r="DR128" s="29"/>
      <c r="DS128" s="29"/>
      <c r="DT128" s="29"/>
      <c r="DU128" s="29"/>
      <c r="DV128" s="29"/>
      <c r="DW128" s="29"/>
      <c r="DX128" s="29"/>
      <c r="DY128" s="29"/>
      <c r="DZ128" s="29"/>
      <c r="EA128" s="140"/>
      <c r="EB128" s="117"/>
      <c r="EC128" s="117"/>
      <c r="ED128" s="117"/>
      <c r="EE128" s="117"/>
      <c r="EF128" s="110"/>
      <c r="EG128" s="4"/>
      <c r="EH128" s="111"/>
      <c r="EI128" s="112"/>
      <c r="EJ128" s="112"/>
      <c r="EK128" s="110"/>
      <c r="EL128" s="113"/>
      <c r="EM128" s="114"/>
      <c r="EN128" s="114"/>
      <c r="EO128" s="110"/>
      <c r="EP128" s="113"/>
      <c r="EQ128" s="114"/>
      <c r="ER128" s="110"/>
      <c r="ES128" s="113"/>
    </row>
    <row r="129" spans="13:149" ht="15">
      <c r="M129" s="7" t="str">
        <f>"- Moment lớn nhất sườn đế:"</f>
        <v>- Moment lớn nhất sườn đế:</v>
      </c>
      <c r="N129" s="2"/>
      <c r="O129" s="2"/>
      <c r="P129" s="2"/>
      <c r="Q129" s="166"/>
      <c r="R129" s="166"/>
      <c r="S129" s="166"/>
      <c r="T129" s="2"/>
      <c r="U129" s="2"/>
      <c r="V129" s="33" t="s">
        <v>149</v>
      </c>
      <c r="W129" s="168">
        <f>IF(Q58=0,"-",W128*(S58/1000)^2/2)</f>
        <v>1.3597277012899518</v>
      </c>
      <c r="X129" s="8" t="s">
        <v>71</v>
      </c>
      <c r="AI129" s="13"/>
      <c r="AJ129" s="13"/>
      <c r="AK129" s="13"/>
      <c r="AL129" s="13"/>
      <c r="AM129" s="13"/>
      <c r="AR129" s="29"/>
      <c r="AS129" s="29"/>
      <c r="AT129" s="29"/>
      <c r="AU129" s="29"/>
      <c r="AV129" s="29"/>
      <c r="AW129" s="29"/>
      <c r="AX129" s="29"/>
      <c r="AY129" s="29"/>
      <c r="AZ129" s="29"/>
      <c r="BA129" s="140"/>
      <c r="BB129" s="117"/>
      <c r="BC129" s="117"/>
      <c r="BD129" s="117"/>
      <c r="BE129" s="117"/>
      <c r="BF129" s="110"/>
      <c r="BG129" s="4"/>
      <c r="BH129" s="111"/>
      <c r="BI129" s="112"/>
      <c r="BJ129" s="112"/>
      <c r="BK129" s="110"/>
      <c r="BL129" s="113"/>
      <c r="BM129" s="114"/>
      <c r="BN129" s="114"/>
      <c r="BO129" s="110"/>
      <c r="BP129" s="113"/>
      <c r="BQ129" s="114"/>
      <c r="BR129" s="110"/>
      <c r="BS129" s="113"/>
      <c r="DI129" s="13"/>
      <c r="DJ129" s="13"/>
      <c r="DK129" s="13"/>
      <c r="DL129" s="13"/>
      <c r="DM129" s="13"/>
      <c r="DR129" s="29"/>
      <c r="DS129" s="29"/>
      <c r="DT129" s="29"/>
      <c r="DU129" s="29"/>
      <c r="DV129" s="29"/>
      <c r="DW129" s="29"/>
      <c r="DX129" s="29"/>
      <c r="DY129" s="29"/>
      <c r="DZ129" s="29"/>
      <c r="EA129" s="140"/>
      <c r="EB129" s="117"/>
      <c r="EC129" s="117"/>
      <c r="ED129" s="117"/>
      <c r="EE129" s="117"/>
      <c r="EF129" s="110"/>
      <c r="EG129" s="4"/>
      <c r="EH129" s="111"/>
      <c r="EI129" s="112"/>
      <c r="EJ129" s="112"/>
      <c r="EK129" s="110"/>
      <c r="EL129" s="113"/>
      <c r="EM129" s="114"/>
      <c r="EN129" s="114"/>
      <c r="EO129" s="110"/>
      <c r="EP129" s="113"/>
      <c r="EQ129" s="114"/>
      <c r="ER129" s="110"/>
      <c r="ES129" s="113"/>
    </row>
    <row r="130" spans="13:149" ht="15">
      <c r="M130" s="7" t="str">
        <f>"- Lực cắt lớn nhất sườn đế:"</f>
        <v>- Lực cắt lớn nhất sườn đế:</v>
      </c>
      <c r="N130" s="2"/>
      <c r="O130" s="2"/>
      <c r="P130" s="2"/>
      <c r="Q130" s="2"/>
      <c r="R130" s="2"/>
      <c r="S130" s="2"/>
      <c r="T130" s="2"/>
      <c r="U130" s="2"/>
      <c r="V130" s="33" t="s">
        <v>150</v>
      </c>
      <c r="W130" s="168">
        <f>IF(Q58=0,"-",W128*S58/1000)</f>
        <v>28.035622707009317</v>
      </c>
      <c r="X130" s="8" t="s">
        <v>70</v>
      </c>
      <c r="AI130" s="13"/>
      <c r="AJ130" s="13"/>
      <c r="AK130" s="13"/>
      <c r="AL130" s="13"/>
      <c r="AM130" s="13"/>
      <c r="AR130" s="29"/>
      <c r="AS130" s="29"/>
      <c r="AT130" s="29"/>
      <c r="AU130" s="29"/>
      <c r="AV130" s="29"/>
      <c r="AW130" s="29"/>
      <c r="AX130" s="29"/>
      <c r="AY130" s="29"/>
      <c r="AZ130" s="29"/>
      <c r="BA130" s="140"/>
      <c r="BB130" s="117"/>
      <c r="BC130" s="117"/>
      <c r="BD130" s="117"/>
      <c r="BE130" s="117"/>
      <c r="BF130" s="110"/>
      <c r="BG130" s="4"/>
      <c r="BH130" s="111"/>
      <c r="BI130" s="112"/>
      <c r="BJ130" s="112"/>
      <c r="BK130" s="110"/>
      <c r="BL130" s="113"/>
      <c r="BM130" s="114"/>
      <c r="BN130" s="114"/>
      <c r="BO130" s="110"/>
      <c r="BP130" s="113"/>
      <c r="BQ130" s="114"/>
      <c r="BR130" s="110"/>
      <c r="BS130" s="113"/>
      <c r="DI130" s="13"/>
      <c r="DJ130" s="13"/>
      <c r="DK130" s="13"/>
      <c r="DL130" s="13"/>
      <c r="DM130" s="13"/>
      <c r="DR130" s="29"/>
      <c r="DS130" s="29"/>
      <c r="DT130" s="29"/>
      <c r="DU130" s="29"/>
      <c r="DV130" s="29"/>
      <c r="DW130" s="29"/>
      <c r="DX130" s="29"/>
      <c r="DY130" s="29"/>
      <c r="DZ130" s="29"/>
      <c r="EA130" s="140"/>
      <c r="EB130" s="117"/>
      <c r="EC130" s="117"/>
      <c r="ED130" s="117"/>
      <c r="EE130" s="117"/>
      <c r="EF130" s="110"/>
      <c r="EG130" s="4"/>
      <c r="EH130" s="111"/>
      <c r="EI130" s="112"/>
      <c r="EJ130" s="112"/>
      <c r="EK130" s="110"/>
      <c r="EL130" s="113"/>
      <c r="EM130" s="114"/>
      <c r="EN130" s="114"/>
      <c r="EO130" s="110"/>
      <c r="EP130" s="113"/>
      <c r="EQ130" s="114"/>
      <c r="ER130" s="110"/>
      <c r="ES130" s="113"/>
    </row>
    <row r="131" spans="13:149" ht="15" customHeight="1">
      <c r="M131" s="7" t="str">
        <f>"- Ứng suất sườn đế:"</f>
        <v>- Ứng suất sườn đế:</v>
      </c>
      <c r="N131" s="2"/>
      <c r="O131" s="2"/>
      <c r="P131" s="169" t="s">
        <v>151</v>
      </c>
      <c r="Q131" s="162">
        <f>IF(Q58=0,"-",6*W129/(R58*T58^2)*1000000)</f>
        <v>33.993192532248798</v>
      </c>
      <c r="R131" s="169" t="s">
        <v>152</v>
      </c>
      <c r="S131" s="170">
        <f>IF(Q58=0,"-",W130*1000/(R58*T58))</f>
        <v>23.363018922507763</v>
      </c>
      <c r="T131" s="149" t="s">
        <v>20</v>
      </c>
      <c r="U131" s="2"/>
      <c r="V131" s="169" t="s">
        <v>153</v>
      </c>
      <c r="W131" s="160">
        <f>IF(Q58=0,"-",SQRT(Q131^2+3*S131^2))</f>
        <v>52.849116341287129</v>
      </c>
      <c r="X131" s="30" t="s">
        <v>20</v>
      </c>
      <c r="AI131" s="13"/>
      <c r="AJ131" s="13"/>
      <c r="AK131" s="13"/>
      <c r="AL131" s="13"/>
      <c r="AM131" s="13"/>
      <c r="AR131" s="29"/>
      <c r="AS131" s="29"/>
      <c r="AT131" s="29"/>
      <c r="AU131" s="29"/>
      <c r="AV131" s="29"/>
      <c r="AW131" s="29"/>
      <c r="AX131" s="29"/>
      <c r="AY131" s="29"/>
      <c r="AZ131" s="29"/>
      <c r="BA131" s="140"/>
      <c r="BB131" s="117"/>
      <c r="BC131" s="117"/>
      <c r="BD131" s="117"/>
      <c r="BE131" s="117"/>
      <c r="BF131" s="110"/>
      <c r="BG131" s="4"/>
      <c r="BH131" s="111"/>
      <c r="BI131" s="112"/>
      <c r="BJ131" s="112"/>
      <c r="BK131" s="110"/>
      <c r="BL131" s="113"/>
      <c r="BM131" s="114"/>
      <c r="BN131" s="114"/>
      <c r="BO131" s="110"/>
      <c r="BP131" s="113"/>
      <c r="BQ131" s="114"/>
      <c r="BR131" s="110"/>
      <c r="BS131" s="113"/>
      <c r="DI131" s="13"/>
      <c r="DJ131" s="13"/>
      <c r="DK131" s="13"/>
      <c r="DL131" s="13"/>
      <c r="DM131" s="13"/>
      <c r="DR131" s="29"/>
      <c r="DS131" s="29"/>
      <c r="DT131" s="29"/>
      <c r="DU131" s="29"/>
      <c r="DV131" s="29"/>
      <c r="DW131" s="29"/>
      <c r="DX131" s="29"/>
      <c r="DY131" s="29"/>
      <c r="DZ131" s="29"/>
      <c r="EA131" s="140"/>
      <c r="EB131" s="117"/>
      <c r="EC131" s="117"/>
      <c r="ED131" s="117"/>
      <c r="EE131" s="117"/>
      <c r="EF131" s="110"/>
      <c r="EG131" s="4"/>
      <c r="EH131" s="111"/>
      <c r="EI131" s="112"/>
      <c r="EJ131" s="112"/>
      <c r="EK131" s="110"/>
      <c r="EL131" s="113"/>
      <c r="EM131" s="114"/>
      <c r="EN131" s="114"/>
      <c r="EO131" s="110"/>
      <c r="EP131" s="113"/>
      <c r="EQ131" s="114"/>
      <c r="ER131" s="110"/>
      <c r="ES131" s="113"/>
    </row>
    <row r="132" spans="13:149" ht="15" customHeight="1">
      <c r="M132" s="7" t="str">
        <f>"- Tỷ số huy động cấu kiện:"</f>
        <v>- Tỷ số huy động cấu kiện:</v>
      </c>
      <c r="N132" s="2"/>
      <c r="O132" s="2"/>
      <c r="P132" s="169"/>
      <c r="Q132" s="170"/>
      <c r="R132" s="171" t="s">
        <v>155</v>
      </c>
      <c r="S132" s="162">
        <f>IF(Q58=0,"-",1.15*1*W25)</f>
        <v>262.85714285714283</v>
      </c>
      <c r="T132" s="149" t="s">
        <v>20</v>
      </c>
      <c r="U132" s="2"/>
      <c r="V132" s="169" t="s">
        <v>154</v>
      </c>
      <c r="W132" s="155">
        <f>IF(Q58=0,"-",W131/S132)</f>
        <v>0.20105642086359235</v>
      </c>
      <c r="X132" s="12" t="str">
        <f>IF(W132="-","",IF(W132&lt;=1,"OK","Check"))</f>
        <v>OK</v>
      </c>
      <c r="AI132" s="13"/>
      <c r="AJ132" s="13"/>
      <c r="AK132" s="13"/>
      <c r="AL132" s="13"/>
      <c r="AM132" s="13"/>
      <c r="AR132" s="29"/>
      <c r="AS132" s="29"/>
      <c r="AT132" s="29"/>
      <c r="AU132" s="29"/>
      <c r="AV132" s="29"/>
      <c r="AW132" s="29"/>
      <c r="AX132" s="29"/>
      <c r="AY132" s="29"/>
      <c r="AZ132" s="29"/>
      <c r="BA132" s="140"/>
      <c r="BB132" s="117"/>
      <c r="BC132" s="117"/>
      <c r="BD132" s="117"/>
      <c r="BE132" s="117"/>
      <c r="BF132" s="110"/>
      <c r="BG132" s="4"/>
      <c r="BH132" s="111"/>
      <c r="BI132" s="112"/>
      <c r="BJ132" s="112"/>
      <c r="BK132" s="110"/>
      <c r="BL132" s="113"/>
      <c r="BM132" s="114"/>
      <c r="BN132" s="114"/>
      <c r="BO132" s="110"/>
      <c r="BP132" s="113"/>
      <c r="BQ132" s="114"/>
      <c r="BR132" s="110"/>
      <c r="BS132" s="113"/>
      <c r="DI132" s="13"/>
      <c r="DJ132" s="13"/>
      <c r="DK132" s="13"/>
      <c r="DL132" s="13"/>
      <c r="DM132" s="13"/>
      <c r="DR132" s="29"/>
      <c r="DS132" s="29"/>
      <c r="DT132" s="29"/>
      <c r="DU132" s="29"/>
      <c r="DV132" s="29"/>
      <c r="DW132" s="29"/>
      <c r="DX132" s="29"/>
      <c r="DY132" s="29"/>
      <c r="DZ132" s="29"/>
      <c r="EA132" s="140"/>
      <c r="EB132" s="117"/>
      <c r="EC132" s="117"/>
      <c r="ED132" s="117"/>
      <c r="EE132" s="117"/>
      <c r="EF132" s="110"/>
      <c r="EG132" s="4"/>
      <c r="EH132" s="111"/>
      <c r="EI132" s="112"/>
      <c r="EJ132" s="112"/>
      <c r="EK132" s="110"/>
      <c r="EL132" s="113"/>
      <c r="EM132" s="114"/>
      <c r="EN132" s="114"/>
      <c r="EO132" s="110"/>
      <c r="EP132" s="113"/>
      <c r="EQ132" s="114"/>
      <c r="ER132" s="110"/>
      <c r="ES132" s="113"/>
    </row>
    <row r="133" spans="13:149">
      <c r="M133" s="31" t="s">
        <v>157</v>
      </c>
      <c r="N133" s="2"/>
      <c r="O133" s="2"/>
      <c r="P133" s="2"/>
      <c r="Q133" s="2"/>
      <c r="R133" s="2"/>
      <c r="S133" s="2"/>
      <c r="T133" s="2"/>
      <c r="U133" s="2"/>
      <c r="V133" s="165"/>
      <c r="W133" s="38"/>
      <c r="X133" s="12"/>
      <c r="AI133" s="13"/>
      <c r="AJ133" s="13"/>
      <c r="AK133" s="13"/>
      <c r="AL133" s="13"/>
      <c r="AM133" s="13"/>
      <c r="AR133" s="29"/>
      <c r="AS133" s="29"/>
      <c r="AT133" s="29"/>
      <c r="AU133" s="29"/>
      <c r="AV133" s="29"/>
      <c r="AW133" s="29"/>
      <c r="AX133" s="29"/>
      <c r="AY133" s="29"/>
      <c r="AZ133" s="29"/>
      <c r="BA133" s="140"/>
      <c r="BB133" s="117"/>
      <c r="BC133" s="117"/>
      <c r="BD133" s="117"/>
      <c r="BE133" s="117"/>
      <c r="BF133" s="110"/>
      <c r="BG133" s="4"/>
      <c r="BH133" s="111"/>
      <c r="BI133" s="112"/>
      <c r="BJ133" s="112"/>
      <c r="BK133" s="110"/>
      <c r="BL133" s="113"/>
      <c r="BM133" s="114"/>
      <c r="BN133" s="114"/>
      <c r="BO133" s="110"/>
      <c r="BP133" s="113"/>
      <c r="BQ133" s="114"/>
      <c r="BR133" s="110"/>
      <c r="BS133" s="113"/>
      <c r="DI133" s="13"/>
      <c r="DJ133" s="13"/>
      <c r="DK133" s="13"/>
      <c r="DL133" s="13"/>
      <c r="DM133" s="13"/>
      <c r="DR133" s="29"/>
      <c r="DS133" s="29"/>
      <c r="DT133" s="29"/>
      <c r="DU133" s="29"/>
      <c r="DV133" s="29"/>
      <c r="DW133" s="29"/>
      <c r="DX133" s="29"/>
      <c r="DY133" s="29"/>
      <c r="DZ133" s="29"/>
      <c r="EA133" s="140"/>
      <c r="EB133" s="117"/>
      <c r="EC133" s="117"/>
      <c r="ED133" s="117"/>
      <c r="EE133" s="117"/>
      <c r="EF133" s="110"/>
      <c r="EG133" s="4"/>
      <c r="EH133" s="111"/>
      <c r="EI133" s="112"/>
      <c r="EJ133" s="112"/>
      <c r="EK133" s="110"/>
      <c r="EL133" s="113"/>
      <c r="EM133" s="114"/>
      <c r="EN133" s="114"/>
      <c r="EO133" s="110"/>
      <c r="EP133" s="113"/>
      <c r="EQ133" s="114"/>
      <c r="ER133" s="110"/>
      <c r="ES133" s="113"/>
    </row>
    <row r="134" spans="13:149" ht="15">
      <c r="M134" s="7" t="str">
        <f>"- Moment quán tính của tiết diện đường hàn:"</f>
        <v>- Moment quán tính của tiết diện đường hàn:</v>
      </c>
      <c r="N134" s="2"/>
      <c r="O134" s="2"/>
      <c r="P134" s="2"/>
      <c r="Q134" s="2"/>
      <c r="R134" s="2"/>
      <c r="S134" s="2"/>
      <c r="T134" s="2"/>
      <c r="U134" s="2"/>
      <c r="V134" s="33" t="s">
        <v>160</v>
      </c>
      <c r="W134" s="172">
        <f>IF(Q58=0,"-",2*(U58*T58^3/12))</f>
        <v>8000000</v>
      </c>
      <c r="X134" s="8" t="s">
        <v>158</v>
      </c>
      <c r="AI134" s="13"/>
      <c r="AJ134" s="13"/>
      <c r="AK134" s="13"/>
      <c r="AL134" s="13"/>
      <c r="AM134" s="13"/>
      <c r="AR134" s="29"/>
      <c r="AS134" s="29"/>
      <c r="AT134" s="29"/>
      <c r="AU134" s="29"/>
      <c r="AV134" s="29"/>
      <c r="AW134" s="29"/>
      <c r="AX134" s="29"/>
      <c r="AY134" s="29"/>
      <c r="AZ134" s="29"/>
      <c r="BA134" s="140"/>
      <c r="BB134" s="117"/>
      <c r="BC134" s="117"/>
      <c r="BD134" s="117"/>
      <c r="BE134" s="117"/>
      <c r="BF134" s="110"/>
      <c r="BG134" s="4"/>
      <c r="BH134" s="111"/>
      <c r="BI134" s="112"/>
      <c r="BJ134" s="112"/>
      <c r="BK134" s="110"/>
      <c r="BL134" s="113"/>
      <c r="BM134" s="114"/>
      <c r="BN134" s="114"/>
      <c r="BO134" s="110"/>
      <c r="BP134" s="113"/>
      <c r="BQ134" s="114"/>
      <c r="BR134" s="110"/>
      <c r="BS134" s="113"/>
      <c r="DI134" s="13"/>
      <c r="DJ134" s="13"/>
      <c r="DK134" s="13"/>
      <c r="DL134" s="13"/>
      <c r="DM134" s="13"/>
      <c r="DR134" s="29"/>
      <c r="DS134" s="29"/>
      <c r="DT134" s="29"/>
      <c r="DU134" s="29"/>
      <c r="DV134" s="29"/>
      <c r="DW134" s="29"/>
      <c r="DX134" s="29"/>
      <c r="DY134" s="29"/>
      <c r="DZ134" s="29"/>
      <c r="EA134" s="140"/>
      <c r="EB134" s="117"/>
      <c r="EC134" s="117"/>
      <c r="ED134" s="117"/>
      <c r="EE134" s="117"/>
      <c r="EF134" s="110"/>
      <c r="EG134" s="4"/>
      <c r="EH134" s="111"/>
      <c r="EI134" s="112"/>
      <c r="EJ134" s="112"/>
      <c r="EK134" s="110"/>
      <c r="EL134" s="113"/>
      <c r="EM134" s="114"/>
      <c r="EN134" s="114"/>
      <c r="EO134" s="110"/>
      <c r="EP134" s="113"/>
      <c r="EQ134" s="114"/>
      <c r="ER134" s="110"/>
      <c r="ES134" s="113"/>
    </row>
    <row r="135" spans="13:149" ht="15">
      <c r="M135" s="7" t="str">
        <f>"- Moment chống uốn theo kim loại đường hàn:"</f>
        <v>- Moment chống uốn theo kim loại đường hàn:</v>
      </c>
      <c r="N135" s="2"/>
      <c r="O135" s="2"/>
      <c r="P135" s="2"/>
      <c r="Q135" s="2"/>
      <c r="R135" s="2"/>
      <c r="S135" s="2"/>
      <c r="T135" s="2"/>
      <c r="U135" s="2"/>
      <c r="V135" s="33" t="s">
        <v>161</v>
      </c>
      <c r="W135" s="173">
        <f>IF(Q58=0,"-",U30*(W134/(T58/2)))</f>
        <v>56000</v>
      </c>
      <c r="X135" s="8" t="s">
        <v>159</v>
      </c>
      <c r="AI135" s="13"/>
      <c r="AJ135" s="13"/>
      <c r="AK135" s="13"/>
      <c r="AL135" s="13"/>
      <c r="AM135" s="13"/>
      <c r="AR135" s="29"/>
      <c r="AS135" s="29"/>
      <c r="AT135" s="29"/>
      <c r="AU135" s="29"/>
      <c r="AV135" s="29"/>
      <c r="AW135" s="29"/>
      <c r="AX135" s="29"/>
      <c r="AY135" s="29"/>
      <c r="AZ135" s="29"/>
      <c r="BA135" s="140"/>
      <c r="BB135" s="117"/>
      <c r="BC135" s="117"/>
      <c r="BD135" s="117"/>
      <c r="BE135" s="117"/>
      <c r="BF135" s="110"/>
      <c r="BG135" s="4"/>
      <c r="BH135" s="111"/>
      <c r="BI135" s="112"/>
      <c r="BJ135" s="112"/>
      <c r="BK135" s="110"/>
      <c r="BL135" s="113"/>
      <c r="BM135" s="114"/>
      <c r="BN135" s="114"/>
      <c r="BO135" s="110"/>
      <c r="BP135" s="113"/>
      <c r="BQ135" s="114"/>
      <c r="BR135" s="110"/>
      <c r="BS135" s="113"/>
      <c r="DI135" s="13"/>
      <c r="DJ135" s="13"/>
      <c r="DK135" s="13"/>
      <c r="DL135" s="13"/>
      <c r="DM135" s="13"/>
      <c r="DR135" s="29"/>
      <c r="DS135" s="29"/>
      <c r="DT135" s="29"/>
      <c r="DU135" s="29"/>
      <c r="DV135" s="29"/>
      <c r="DW135" s="29"/>
      <c r="DX135" s="29"/>
      <c r="DY135" s="29"/>
      <c r="DZ135" s="29"/>
      <c r="EA135" s="140"/>
      <c r="EB135" s="117"/>
      <c r="EC135" s="117"/>
      <c r="ED135" s="117"/>
      <c r="EE135" s="117"/>
      <c r="EF135" s="110"/>
      <c r="EG135" s="4"/>
      <c r="EH135" s="111"/>
      <c r="EI135" s="112"/>
      <c r="EJ135" s="112"/>
      <c r="EK135" s="110"/>
      <c r="EL135" s="113"/>
      <c r="EM135" s="114"/>
      <c r="EN135" s="114"/>
      <c r="EO135" s="110"/>
      <c r="EP135" s="113"/>
      <c r="EQ135" s="114"/>
      <c r="ER135" s="110"/>
      <c r="ES135" s="113"/>
    </row>
    <row r="136" spans="13:149" ht="15">
      <c r="M136" s="7" t="str">
        <f>"- Tỷ số huy động theo kim loại đường hàn:"</f>
        <v>- Tỷ số huy động theo kim loại đường hàn:</v>
      </c>
      <c r="N136" s="2"/>
      <c r="O136" s="2"/>
      <c r="P136" s="169"/>
      <c r="Q136" s="170"/>
      <c r="R136" s="171"/>
      <c r="S136" s="162"/>
      <c r="T136" s="149"/>
      <c r="U136" s="2"/>
      <c r="V136" s="169" t="s">
        <v>162</v>
      </c>
      <c r="W136" s="155">
        <f>IF(Q58=0,"-",W129*1000000/(W135*W30*W32))</f>
        <v>0.13489362115971745</v>
      </c>
      <c r="X136" s="12" t="str">
        <f>IF(W136="-","",IF(R58=0,"-",IF(W136&lt;=1,"OK","Check")))</f>
        <v>OK</v>
      </c>
      <c r="AI136" s="13"/>
      <c r="AJ136" s="13"/>
      <c r="AK136" s="13"/>
      <c r="AL136" s="13"/>
      <c r="AM136" s="13"/>
      <c r="AR136" s="29"/>
      <c r="AS136" s="29"/>
      <c r="AT136" s="29"/>
      <c r="AU136" s="29"/>
      <c r="AV136" s="29"/>
      <c r="AW136" s="29"/>
      <c r="AX136" s="29"/>
      <c r="AY136" s="29"/>
      <c r="AZ136" s="29"/>
      <c r="BA136" s="140"/>
      <c r="BB136" s="117"/>
      <c r="BC136" s="117"/>
      <c r="BD136" s="117"/>
      <c r="BE136" s="117"/>
      <c r="BF136" s="110"/>
      <c r="BG136" s="4"/>
      <c r="BH136" s="111"/>
      <c r="BI136" s="112"/>
      <c r="BJ136" s="112"/>
      <c r="BK136" s="110"/>
      <c r="BL136" s="113"/>
      <c r="BM136" s="114"/>
      <c r="BN136" s="114"/>
      <c r="BO136" s="110"/>
      <c r="BP136" s="113"/>
      <c r="BQ136" s="114"/>
      <c r="BR136" s="110"/>
      <c r="BS136" s="113"/>
      <c r="DI136" s="13"/>
      <c r="DJ136" s="13"/>
      <c r="DK136" s="13"/>
      <c r="DL136" s="13"/>
      <c r="DM136" s="13"/>
      <c r="DR136" s="29"/>
      <c r="DS136" s="29"/>
      <c r="DT136" s="29"/>
      <c r="DU136" s="29"/>
      <c r="DV136" s="29"/>
      <c r="DW136" s="29"/>
      <c r="DX136" s="29"/>
      <c r="DY136" s="29"/>
      <c r="DZ136" s="29"/>
      <c r="EA136" s="140"/>
      <c r="EB136" s="117"/>
      <c r="EC136" s="117"/>
      <c r="ED136" s="117"/>
      <c r="EE136" s="117"/>
      <c r="EF136" s="110"/>
      <c r="EG136" s="4"/>
      <c r="EH136" s="111"/>
      <c r="EI136" s="112"/>
      <c r="EJ136" s="112"/>
      <c r="EK136" s="110"/>
      <c r="EL136" s="113"/>
      <c r="EM136" s="114"/>
      <c r="EN136" s="114"/>
      <c r="EO136" s="110"/>
      <c r="EP136" s="113"/>
      <c r="EQ136" s="114"/>
      <c r="ER136" s="110"/>
      <c r="ES136" s="113"/>
    </row>
    <row r="137" spans="13:149" ht="15">
      <c r="M137" s="7" t="str">
        <f>"- Moment chống uốn theo kim loại kim loại biên nóng chảy:"</f>
        <v>- Moment chống uốn theo kim loại kim loại biên nóng chảy:</v>
      </c>
      <c r="N137" s="2"/>
      <c r="O137" s="2"/>
      <c r="P137" s="2"/>
      <c r="Q137" s="2"/>
      <c r="R137" s="2"/>
      <c r="S137" s="2"/>
      <c r="T137" s="2"/>
      <c r="U137" s="2"/>
      <c r="V137" s="33" t="s">
        <v>163</v>
      </c>
      <c r="W137" s="173">
        <f>IF(Q58=0,"-",U31*(W134/(T58/2)))</f>
        <v>80000</v>
      </c>
      <c r="X137" s="8" t="s">
        <v>159</v>
      </c>
      <c r="AI137" s="13"/>
      <c r="AJ137" s="13"/>
      <c r="AK137" s="13"/>
      <c r="AL137" s="13"/>
      <c r="AM137" s="13"/>
      <c r="AR137" s="29"/>
      <c r="AS137" s="29"/>
      <c r="AT137" s="29"/>
      <c r="AU137" s="29"/>
      <c r="AV137" s="29"/>
      <c r="AW137" s="29"/>
      <c r="AX137" s="29"/>
      <c r="AY137" s="29"/>
      <c r="AZ137" s="29"/>
      <c r="BA137" s="140"/>
      <c r="BB137" s="117"/>
      <c r="BC137" s="117"/>
      <c r="BD137" s="117"/>
      <c r="BE137" s="117"/>
      <c r="BF137" s="110"/>
      <c r="BG137" s="4"/>
      <c r="BH137" s="111"/>
      <c r="BI137" s="112"/>
      <c r="BJ137" s="112"/>
      <c r="BK137" s="110"/>
      <c r="BL137" s="113"/>
      <c r="BM137" s="114"/>
      <c r="BN137" s="114"/>
      <c r="BO137" s="110"/>
      <c r="BP137" s="113"/>
      <c r="BQ137" s="114"/>
      <c r="BR137" s="110"/>
      <c r="BS137" s="113"/>
      <c r="DI137" s="13"/>
      <c r="DJ137" s="13"/>
      <c r="DK137" s="13"/>
      <c r="DL137" s="13"/>
      <c r="DM137" s="13"/>
      <c r="DR137" s="29"/>
      <c r="DS137" s="29"/>
      <c r="DT137" s="29"/>
      <c r="DU137" s="29"/>
      <c r="DV137" s="29"/>
      <c r="DW137" s="29"/>
      <c r="DX137" s="29"/>
      <c r="DY137" s="29"/>
      <c r="DZ137" s="29"/>
      <c r="EA137" s="140"/>
      <c r="EB137" s="117"/>
      <c r="EC137" s="117"/>
      <c r="ED137" s="117"/>
      <c r="EE137" s="117"/>
      <c r="EF137" s="110"/>
      <c r="EG137" s="4"/>
      <c r="EH137" s="111"/>
      <c r="EI137" s="112"/>
      <c r="EJ137" s="112"/>
      <c r="EK137" s="110"/>
      <c r="EL137" s="113"/>
      <c r="EM137" s="114"/>
      <c r="EN137" s="114"/>
      <c r="EO137" s="110"/>
      <c r="EP137" s="113"/>
      <c r="EQ137" s="114"/>
      <c r="ER137" s="110"/>
      <c r="ES137" s="113"/>
    </row>
    <row r="138" spans="13:149" ht="15">
      <c r="M138" s="7" t="str">
        <f>"- Tỷ số huy động theo kim loại biên nóng chảy:"</f>
        <v>- Tỷ số huy động theo kim loại biên nóng chảy:</v>
      </c>
      <c r="N138" s="2"/>
      <c r="O138" s="2"/>
      <c r="P138" s="169"/>
      <c r="Q138" s="170"/>
      <c r="R138" s="171"/>
      <c r="S138" s="162"/>
      <c r="T138" s="149"/>
      <c r="U138" s="2"/>
      <c r="V138" s="169" t="s">
        <v>164</v>
      </c>
      <c r="W138" s="155">
        <f>IF(Q58=0,"-",W129*1000000/(W137*W31*W32))</f>
        <v>9.9395299801897055E-2</v>
      </c>
      <c r="X138" s="12" t="str">
        <f>IF(W138="-","",IF(R58=0,"-",IF(W138&lt;=1,"OK","Check")))</f>
        <v>OK</v>
      </c>
      <c r="AI138" s="13"/>
      <c r="AJ138" s="13"/>
      <c r="AK138" s="13"/>
      <c r="AL138" s="13"/>
      <c r="AM138" s="13"/>
      <c r="AR138" s="29"/>
      <c r="AS138" s="29"/>
      <c r="AT138" s="29"/>
      <c r="AU138" s="29"/>
      <c r="AV138" s="29"/>
      <c r="AW138" s="29"/>
      <c r="AX138" s="29"/>
      <c r="AY138" s="29"/>
      <c r="AZ138" s="29"/>
      <c r="BA138" s="140"/>
      <c r="BB138" s="117"/>
      <c r="BC138" s="117"/>
      <c r="BD138" s="117"/>
      <c r="BE138" s="117"/>
      <c r="BF138" s="110"/>
      <c r="BG138" s="4"/>
      <c r="BH138" s="111"/>
      <c r="BI138" s="112"/>
      <c r="BJ138" s="112"/>
      <c r="BK138" s="110"/>
      <c r="BL138" s="113"/>
      <c r="BM138" s="114"/>
      <c r="BN138" s="114"/>
      <c r="BO138" s="110"/>
      <c r="BP138" s="113"/>
      <c r="BQ138" s="114"/>
      <c r="BR138" s="110"/>
      <c r="BS138" s="113"/>
      <c r="DI138" s="13"/>
      <c r="DJ138" s="13"/>
      <c r="DK138" s="13"/>
      <c r="DL138" s="13"/>
      <c r="DM138" s="13"/>
      <c r="DR138" s="29"/>
      <c r="DS138" s="29"/>
      <c r="DT138" s="29"/>
      <c r="DU138" s="29"/>
      <c r="DV138" s="29"/>
      <c r="DW138" s="29"/>
      <c r="DX138" s="29"/>
      <c r="DY138" s="29"/>
      <c r="DZ138" s="29"/>
      <c r="EA138" s="140"/>
      <c r="EB138" s="117"/>
      <c r="EC138" s="117"/>
      <c r="ED138" s="117"/>
      <c r="EE138" s="117"/>
      <c r="EF138" s="110"/>
      <c r="EG138" s="4"/>
      <c r="EH138" s="111"/>
      <c r="EI138" s="112"/>
      <c r="EJ138" s="112"/>
      <c r="EK138" s="110"/>
      <c r="EL138" s="113"/>
      <c r="EM138" s="114"/>
      <c r="EN138" s="114"/>
      <c r="EO138" s="110"/>
      <c r="EP138" s="113"/>
      <c r="EQ138" s="114"/>
      <c r="ER138" s="110"/>
      <c r="ES138" s="113"/>
    </row>
    <row r="139" spans="13:149">
      <c r="M139" s="6" t="s">
        <v>350</v>
      </c>
      <c r="N139" s="2"/>
      <c r="O139" s="2"/>
      <c r="P139" s="33"/>
      <c r="Q139" s="148"/>
      <c r="R139" s="149"/>
      <c r="S139" s="2"/>
      <c r="T139" s="2"/>
      <c r="U139" s="2"/>
      <c r="V139" s="2"/>
      <c r="W139" s="2"/>
      <c r="X139" s="8"/>
      <c r="AI139" s="13"/>
      <c r="AJ139" s="13"/>
      <c r="AK139" s="13"/>
      <c r="AL139" s="13"/>
      <c r="AM139" s="13"/>
      <c r="AR139" s="29"/>
      <c r="AS139" s="29"/>
      <c r="AT139" s="29"/>
      <c r="AU139" s="29"/>
      <c r="AV139" s="29"/>
      <c r="AW139" s="29"/>
      <c r="AX139" s="29"/>
      <c r="AY139" s="29"/>
      <c r="AZ139" s="29"/>
      <c r="BA139" s="140"/>
      <c r="BB139" s="117"/>
      <c r="BC139" s="117"/>
      <c r="BD139" s="117"/>
      <c r="BE139" s="117"/>
      <c r="BF139" s="110"/>
      <c r="BG139" s="4"/>
      <c r="BH139" s="111"/>
      <c r="BI139" s="112"/>
      <c r="BJ139" s="112"/>
      <c r="BK139" s="110"/>
      <c r="BL139" s="113"/>
      <c r="BM139" s="114"/>
      <c r="BN139" s="114"/>
      <c r="BO139" s="110"/>
      <c r="BP139" s="113"/>
      <c r="BQ139" s="114"/>
      <c r="BR139" s="110"/>
      <c r="BS139" s="113"/>
      <c r="DI139" s="13"/>
      <c r="DJ139" s="13"/>
      <c r="DK139" s="13"/>
      <c r="DL139" s="13"/>
      <c r="DM139" s="13"/>
      <c r="DR139" s="29"/>
      <c r="DS139" s="29"/>
      <c r="DT139" s="29"/>
      <c r="DU139" s="29"/>
      <c r="DV139" s="29"/>
      <c r="DW139" s="29"/>
      <c r="DX139" s="29"/>
      <c r="DY139" s="29"/>
      <c r="DZ139" s="29"/>
      <c r="EA139" s="140"/>
      <c r="EB139" s="117"/>
      <c r="EC139" s="117"/>
      <c r="ED139" s="117"/>
      <c r="EE139" s="117"/>
      <c r="EF139" s="110"/>
      <c r="EG139" s="4"/>
      <c r="EH139" s="111"/>
      <c r="EI139" s="112"/>
      <c r="EJ139" s="112"/>
      <c r="EK139" s="110"/>
      <c r="EL139" s="113"/>
      <c r="EM139" s="114"/>
      <c r="EN139" s="114"/>
      <c r="EO139" s="110"/>
      <c r="EP139" s="113"/>
      <c r="EQ139" s="114"/>
      <c r="ER139" s="110"/>
      <c r="ES139" s="113"/>
    </row>
    <row r="140" spans="13:149">
      <c r="M140" s="7" t="s">
        <v>146</v>
      </c>
      <c r="N140" s="2"/>
      <c r="O140" s="2"/>
      <c r="P140" s="2"/>
      <c r="Q140" s="2"/>
      <c r="R140" s="2"/>
      <c r="S140" s="2"/>
      <c r="T140" s="2"/>
      <c r="U140" s="2"/>
      <c r="V140" s="165"/>
      <c r="W140" s="165"/>
      <c r="X140" s="12"/>
      <c r="AI140" s="13"/>
      <c r="AJ140" s="13"/>
      <c r="AK140" s="13"/>
      <c r="AL140" s="13"/>
      <c r="AM140" s="13"/>
      <c r="AR140" s="29"/>
      <c r="AS140" s="29"/>
      <c r="AT140" s="29"/>
      <c r="AU140" s="29"/>
      <c r="AV140" s="29"/>
      <c r="AW140" s="29"/>
      <c r="AX140" s="29"/>
      <c r="AY140" s="29"/>
      <c r="AZ140" s="29"/>
      <c r="BA140" s="140"/>
      <c r="BB140" s="117"/>
      <c r="BC140" s="117"/>
      <c r="BD140" s="117"/>
      <c r="BE140" s="117"/>
      <c r="BF140" s="110"/>
      <c r="BG140" s="4"/>
      <c r="BH140" s="111"/>
      <c r="BI140" s="112"/>
      <c r="BJ140" s="112"/>
      <c r="BK140" s="110"/>
      <c r="BL140" s="113"/>
      <c r="BM140" s="114"/>
      <c r="BN140" s="114"/>
      <c r="BO140" s="110"/>
      <c r="BP140" s="113"/>
      <c r="BQ140" s="114"/>
      <c r="BR140" s="110"/>
      <c r="BS140" s="113"/>
      <c r="DI140" s="13"/>
      <c r="DJ140" s="13"/>
      <c r="DK140" s="13"/>
      <c r="DL140" s="13"/>
      <c r="DM140" s="13"/>
      <c r="DR140" s="29"/>
      <c r="DS140" s="29"/>
      <c r="DT140" s="29"/>
      <c r="DU140" s="29"/>
      <c r="DV140" s="29"/>
      <c r="DW140" s="29"/>
      <c r="DX140" s="29"/>
      <c r="DY140" s="29"/>
      <c r="DZ140" s="29"/>
      <c r="EA140" s="140"/>
      <c r="EB140" s="117"/>
      <c r="EC140" s="117"/>
      <c r="ED140" s="117"/>
      <c r="EE140" s="117"/>
      <c r="EF140" s="110"/>
      <c r="EG140" s="4"/>
      <c r="EH140" s="111"/>
      <c r="EI140" s="112"/>
      <c r="EJ140" s="112"/>
      <c r="EK140" s="110"/>
      <c r="EL140" s="113"/>
      <c r="EM140" s="114"/>
      <c r="EN140" s="114"/>
      <c r="EO140" s="110"/>
      <c r="EP140" s="113"/>
      <c r="EQ140" s="114"/>
      <c r="ER140" s="110"/>
      <c r="ES140" s="113"/>
    </row>
    <row r="141" spans="13:149">
      <c r="M141" s="31" t="s">
        <v>156</v>
      </c>
      <c r="N141" s="2"/>
      <c r="O141" s="2"/>
      <c r="P141" s="2"/>
      <c r="Q141" s="2"/>
      <c r="R141" s="2"/>
      <c r="S141" s="2"/>
      <c r="T141" s="2"/>
      <c r="U141" s="2"/>
      <c r="V141" s="165"/>
      <c r="W141" s="165"/>
      <c r="X141" s="12"/>
      <c r="AI141" s="13"/>
      <c r="AJ141" s="13"/>
      <c r="AK141" s="13"/>
      <c r="AL141" s="13"/>
      <c r="AM141" s="13"/>
      <c r="AR141" s="29"/>
      <c r="AS141" s="29"/>
      <c r="AT141" s="29"/>
      <c r="AU141" s="29"/>
      <c r="AV141" s="29"/>
      <c r="AW141" s="29"/>
      <c r="AX141" s="29"/>
      <c r="AY141" s="29"/>
      <c r="AZ141" s="29"/>
      <c r="BA141" s="140"/>
      <c r="BB141" s="117"/>
      <c r="BC141" s="117"/>
      <c r="BD141" s="117"/>
      <c r="BE141" s="117"/>
      <c r="BF141" s="110"/>
      <c r="BG141" s="4"/>
      <c r="BH141" s="111"/>
      <c r="BI141" s="112"/>
      <c r="BJ141" s="112"/>
      <c r="BK141" s="110"/>
      <c r="BL141" s="113"/>
      <c r="BM141" s="114"/>
      <c r="BN141" s="114"/>
      <c r="BO141" s="110"/>
      <c r="BP141" s="113"/>
      <c r="BQ141" s="114"/>
      <c r="BR141" s="110"/>
      <c r="BS141" s="113"/>
      <c r="DI141" s="13"/>
      <c r="DJ141" s="13"/>
      <c r="DK141" s="13"/>
      <c r="DL141" s="13"/>
      <c r="DM141" s="13"/>
      <c r="DR141" s="29"/>
      <c r="DS141" s="29"/>
      <c r="DT141" s="29"/>
      <c r="DU141" s="29"/>
      <c r="DV141" s="29"/>
      <c r="DW141" s="29"/>
      <c r="DX141" s="29"/>
      <c r="DY141" s="29"/>
      <c r="DZ141" s="29"/>
      <c r="EA141" s="140"/>
      <c r="EB141" s="117"/>
      <c r="EC141" s="117"/>
      <c r="ED141" s="117"/>
      <c r="EE141" s="117"/>
      <c r="EF141" s="110"/>
      <c r="EG141" s="4"/>
      <c r="EH141" s="111"/>
      <c r="EI141" s="112"/>
      <c r="EJ141" s="112"/>
      <c r="EK141" s="110"/>
      <c r="EL141" s="113"/>
      <c r="EM141" s="114"/>
      <c r="EN141" s="114"/>
      <c r="EO141" s="110"/>
      <c r="EP141" s="113"/>
      <c r="EQ141" s="114"/>
      <c r="ER141" s="110"/>
      <c r="ES141" s="113"/>
    </row>
    <row r="142" spans="13:149" ht="15">
      <c r="M142" s="7" t="str">
        <f>"- Ứng suất phản lực bê tông móng để tính sườn đế:"</f>
        <v>- Ứng suất phản lực bê tông móng để tính sườn đế:</v>
      </c>
      <c r="N142" s="2"/>
      <c r="O142" s="2"/>
      <c r="P142" s="2"/>
      <c r="Q142" s="166"/>
      <c r="R142" s="166"/>
      <c r="S142" s="167"/>
      <c r="T142" s="34"/>
      <c r="U142" s="2"/>
      <c r="V142" s="20" t="s">
        <v>195</v>
      </c>
      <c r="W142" s="160">
        <f>IF(Q59=0,"-",W89)</f>
        <v>1.2845646328512246</v>
      </c>
      <c r="X142" s="8" t="s">
        <v>20</v>
      </c>
      <c r="AI142" s="13"/>
      <c r="AJ142" s="13"/>
      <c r="AK142" s="13"/>
      <c r="AL142" s="13"/>
      <c r="AM142" s="13"/>
      <c r="AR142" s="29"/>
      <c r="AS142" s="29"/>
      <c r="AT142" s="29"/>
      <c r="AU142" s="29"/>
      <c r="AV142" s="29"/>
      <c r="AW142" s="29"/>
      <c r="AX142" s="29"/>
      <c r="AY142" s="29"/>
      <c r="AZ142" s="29"/>
      <c r="BA142" s="140"/>
      <c r="BB142" s="117"/>
      <c r="BC142" s="117"/>
      <c r="BD142" s="117"/>
      <c r="BE142" s="117"/>
      <c r="BF142" s="110"/>
      <c r="BG142" s="4"/>
      <c r="BH142" s="111"/>
      <c r="BI142" s="112"/>
      <c r="BJ142" s="112"/>
      <c r="BK142" s="110"/>
      <c r="BL142" s="113"/>
      <c r="BM142" s="114"/>
      <c r="BN142" s="114"/>
      <c r="BO142" s="110"/>
      <c r="BP142" s="113"/>
      <c r="BQ142" s="114"/>
      <c r="BR142" s="110"/>
      <c r="BS142" s="113"/>
      <c r="DI142" s="13"/>
      <c r="DJ142" s="13"/>
      <c r="DK142" s="13"/>
      <c r="DL142" s="13"/>
      <c r="DM142" s="13"/>
      <c r="DR142" s="29"/>
      <c r="DS142" s="29"/>
      <c r="DT142" s="29"/>
      <c r="DU142" s="29"/>
      <c r="DV142" s="29"/>
      <c r="DW142" s="29"/>
      <c r="DX142" s="29"/>
      <c r="DY142" s="29"/>
      <c r="DZ142" s="29"/>
      <c r="EA142" s="140"/>
      <c r="EB142" s="117"/>
      <c r="EC142" s="117"/>
      <c r="ED142" s="117"/>
      <c r="EE142" s="117"/>
      <c r="EF142" s="110"/>
      <c r="EG142" s="4"/>
      <c r="EH142" s="111"/>
      <c r="EI142" s="112"/>
      <c r="EJ142" s="112"/>
      <c r="EK142" s="110"/>
      <c r="EL142" s="113"/>
      <c r="EM142" s="114"/>
      <c r="EN142" s="114"/>
      <c r="EO142" s="110"/>
      <c r="EP142" s="113"/>
      <c r="EQ142" s="114"/>
      <c r="ER142" s="110"/>
      <c r="ES142" s="113"/>
    </row>
    <row r="143" spans="13:149" ht="15">
      <c r="M143" s="7" t="str">
        <f>"- Bề rộng chịu tải của sườn:"</f>
        <v>- Bề rộng chịu tải của sườn:</v>
      </c>
      <c r="N143" s="2"/>
      <c r="O143" s="2"/>
      <c r="P143" s="2"/>
      <c r="Q143" s="166"/>
      <c r="R143" s="166"/>
      <c r="S143" s="166"/>
      <c r="T143" s="2"/>
      <c r="U143" s="2"/>
      <c r="V143" s="33" t="s">
        <v>169</v>
      </c>
      <c r="W143" s="147">
        <f>IF(Q59=0,"-",1.5*S59)</f>
        <v>165</v>
      </c>
      <c r="X143" s="8" t="s">
        <v>1</v>
      </c>
      <c r="AI143" s="13"/>
      <c r="AJ143" s="13"/>
      <c r="AK143" s="13"/>
      <c r="AL143" s="13"/>
      <c r="AM143" s="13"/>
      <c r="AR143" s="29"/>
      <c r="AS143" s="29"/>
      <c r="AT143" s="29"/>
      <c r="AU143" s="29"/>
      <c r="AV143" s="29"/>
      <c r="AW143" s="29"/>
      <c r="AX143" s="29"/>
      <c r="AY143" s="29"/>
      <c r="AZ143" s="29"/>
      <c r="BA143" s="140"/>
      <c r="BB143" s="117"/>
      <c r="BC143" s="117"/>
      <c r="BD143" s="117"/>
      <c r="BE143" s="117"/>
      <c r="BF143" s="110"/>
      <c r="BG143" s="4"/>
      <c r="BH143" s="111"/>
      <c r="BI143" s="112"/>
      <c r="BJ143" s="112"/>
      <c r="BK143" s="110"/>
      <c r="BL143" s="113"/>
      <c r="BM143" s="114"/>
      <c r="BN143" s="114"/>
      <c r="BO143" s="110"/>
      <c r="BP143" s="113"/>
      <c r="BQ143" s="114"/>
      <c r="BR143" s="110"/>
      <c r="BS143" s="113"/>
      <c r="DI143" s="13"/>
      <c r="DJ143" s="13"/>
      <c r="DK143" s="13"/>
      <c r="DL143" s="13"/>
      <c r="DM143" s="13"/>
      <c r="DR143" s="29"/>
      <c r="DS143" s="29"/>
      <c r="DT143" s="29"/>
      <c r="DU143" s="29"/>
      <c r="DV143" s="29"/>
      <c r="DW143" s="29"/>
      <c r="DX143" s="29"/>
      <c r="DY143" s="29"/>
      <c r="DZ143" s="29"/>
      <c r="EA143" s="140"/>
      <c r="EB143" s="117"/>
      <c r="EC143" s="117"/>
      <c r="ED143" s="117"/>
      <c r="EE143" s="117"/>
      <c r="EF143" s="110"/>
      <c r="EG143" s="4"/>
      <c r="EH143" s="111"/>
      <c r="EI143" s="112"/>
      <c r="EJ143" s="112"/>
      <c r="EK143" s="110"/>
      <c r="EL143" s="113"/>
      <c r="EM143" s="114"/>
      <c r="EN143" s="114"/>
      <c r="EO143" s="110"/>
      <c r="EP143" s="113"/>
      <c r="EQ143" s="114"/>
      <c r="ER143" s="110"/>
      <c r="ES143" s="113"/>
    </row>
    <row r="144" spans="13:149" ht="15">
      <c r="M144" s="7" t="str">
        <f>"- Tải trọng tác dụng lên sườn:"</f>
        <v>- Tải trọng tác dụng lên sườn:</v>
      </c>
      <c r="N144" s="2"/>
      <c r="O144" s="2"/>
      <c r="P144" s="2"/>
      <c r="Q144" s="166"/>
      <c r="R144" s="166"/>
      <c r="S144" s="166"/>
      <c r="T144" s="33"/>
      <c r="U144" s="2"/>
      <c r="V144" s="33" t="s">
        <v>147</v>
      </c>
      <c r="W144" s="147">
        <f>IF(Q59=0,"-",W142*W143)</f>
        <v>211.95316442045205</v>
      </c>
      <c r="X144" s="8" t="s">
        <v>148</v>
      </c>
      <c r="AI144" s="13"/>
      <c r="AJ144" s="13"/>
      <c r="AK144" s="13"/>
      <c r="AL144" s="13"/>
      <c r="AM144" s="13"/>
      <c r="AR144" s="29"/>
      <c r="AS144" s="29"/>
      <c r="AT144" s="29"/>
      <c r="AU144" s="29"/>
      <c r="AV144" s="29"/>
      <c r="AW144" s="29"/>
      <c r="AX144" s="29"/>
      <c r="AY144" s="29"/>
      <c r="AZ144" s="29"/>
      <c r="BA144" s="140"/>
      <c r="BB144" s="117"/>
      <c r="BC144" s="117"/>
      <c r="BD144" s="117"/>
      <c r="BE144" s="117"/>
      <c r="BF144" s="110"/>
      <c r="BG144" s="4"/>
      <c r="BH144" s="111"/>
      <c r="BI144" s="112"/>
      <c r="BJ144" s="112"/>
      <c r="BK144" s="110"/>
      <c r="BL144" s="113"/>
      <c r="BM144" s="114"/>
      <c r="BN144" s="114"/>
      <c r="BO144" s="110"/>
      <c r="BP144" s="113"/>
      <c r="BQ144" s="114"/>
      <c r="BR144" s="110"/>
      <c r="BS144" s="113"/>
      <c r="DI144" s="13"/>
      <c r="DJ144" s="13"/>
      <c r="DK144" s="13"/>
      <c r="DL144" s="13"/>
      <c r="DM144" s="13"/>
      <c r="DR144" s="29"/>
      <c r="DS144" s="29"/>
      <c r="DT144" s="29"/>
      <c r="DU144" s="29"/>
      <c r="DV144" s="29"/>
      <c r="DW144" s="29"/>
      <c r="DX144" s="29"/>
      <c r="DY144" s="29"/>
      <c r="DZ144" s="29"/>
      <c r="EA144" s="140"/>
      <c r="EB144" s="117"/>
      <c r="EC144" s="117"/>
      <c r="ED144" s="117"/>
      <c r="EE144" s="117"/>
      <c r="EF144" s="110"/>
      <c r="EG144" s="4"/>
      <c r="EH144" s="111"/>
      <c r="EI144" s="112"/>
      <c r="EJ144" s="112"/>
      <c r="EK144" s="110"/>
      <c r="EL144" s="113"/>
      <c r="EM144" s="114"/>
      <c r="EN144" s="114"/>
      <c r="EO144" s="110"/>
      <c r="EP144" s="113"/>
      <c r="EQ144" s="114"/>
      <c r="ER144" s="110"/>
      <c r="ES144" s="113"/>
    </row>
    <row r="145" spans="13:149" ht="15">
      <c r="M145" s="7" t="str">
        <f>"- Moment lớn nhất sườn đế:"</f>
        <v>- Moment lớn nhất sườn đế:</v>
      </c>
      <c r="N145" s="2"/>
      <c r="O145" s="2"/>
      <c r="P145" s="2"/>
      <c r="Q145" s="166"/>
      <c r="R145" s="166"/>
      <c r="S145" s="166"/>
      <c r="T145" s="2"/>
      <c r="U145" s="2"/>
      <c r="V145" s="33" t="s">
        <v>149</v>
      </c>
      <c r="W145" s="168">
        <f>IF(Q59=0,"-",W144*(S59/1000)^2/2)</f>
        <v>1.2823166447437349</v>
      </c>
      <c r="X145" s="8" t="s">
        <v>71</v>
      </c>
      <c r="AI145" s="13"/>
      <c r="AJ145" s="13"/>
      <c r="AK145" s="13"/>
      <c r="AL145" s="13"/>
      <c r="AM145" s="13"/>
      <c r="AR145" s="29"/>
      <c r="AS145" s="29"/>
      <c r="AT145" s="29"/>
      <c r="AU145" s="29"/>
      <c r="AV145" s="29"/>
      <c r="AW145" s="29"/>
      <c r="AX145" s="29"/>
      <c r="AY145" s="29"/>
      <c r="AZ145" s="29"/>
      <c r="BA145" s="140"/>
      <c r="BB145" s="117"/>
      <c r="BC145" s="117"/>
      <c r="BD145" s="117"/>
      <c r="BE145" s="117"/>
      <c r="BF145" s="110"/>
      <c r="BG145" s="4"/>
      <c r="BH145" s="111"/>
      <c r="BI145" s="112"/>
      <c r="BJ145" s="112"/>
      <c r="BK145" s="110"/>
      <c r="BL145" s="113"/>
      <c r="BM145" s="114"/>
      <c r="BN145" s="114"/>
      <c r="BO145" s="110"/>
      <c r="BP145" s="113"/>
      <c r="BQ145" s="114"/>
      <c r="BR145" s="110"/>
      <c r="BS145" s="113"/>
      <c r="DI145" s="13"/>
      <c r="DJ145" s="13"/>
      <c r="DK145" s="13"/>
      <c r="DL145" s="13"/>
      <c r="DM145" s="13"/>
      <c r="DR145" s="29"/>
      <c r="DS145" s="29"/>
      <c r="DT145" s="29"/>
      <c r="DU145" s="29"/>
      <c r="DV145" s="29"/>
      <c r="DW145" s="29"/>
      <c r="DX145" s="29"/>
      <c r="DY145" s="29"/>
      <c r="DZ145" s="29"/>
      <c r="EA145" s="140"/>
      <c r="EB145" s="117"/>
      <c r="EC145" s="117"/>
      <c r="ED145" s="117"/>
      <c r="EE145" s="117"/>
      <c r="EF145" s="110"/>
      <c r="EG145" s="4"/>
      <c r="EH145" s="111"/>
      <c r="EI145" s="112"/>
      <c r="EJ145" s="112"/>
      <c r="EK145" s="110"/>
      <c r="EL145" s="113"/>
      <c r="EM145" s="114"/>
      <c r="EN145" s="114"/>
      <c r="EO145" s="110"/>
      <c r="EP145" s="113"/>
      <c r="EQ145" s="114"/>
      <c r="ER145" s="110"/>
      <c r="ES145" s="113"/>
    </row>
    <row r="146" spans="13:149" ht="15">
      <c r="M146" s="7" t="str">
        <f>"- Lực cắt lớn nhất sườn đế:"</f>
        <v>- Lực cắt lớn nhất sườn đế:</v>
      </c>
      <c r="N146" s="2"/>
      <c r="O146" s="2"/>
      <c r="P146" s="2"/>
      <c r="Q146" s="2"/>
      <c r="R146" s="2"/>
      <c r="S146" s="2"/>
      <c r="T146" s="2"/>
      <c r="U146" s="2"/>
      <c r="V146" s="33" t="s">
        <v>150</v>
      </c>
      <c r="W146" s="168">
        <f>IF(Q59=0,"-",W144*S59/1000)</f>
        <v>23.314848086249729</v>
      </c>
      <c r="X146" s="8" t="s">
        <v>70</v>
      </c>
      <c r="AI146" s="13"/>
      <c r="AJ146" s="13"/>
      <c r="AK146" s="13"/>
      <c r="AL146" s="13"/>
      <c r="AM146" s="13"/>
      <c r="AR146" s="29"/>
      <c r="AS146" s="29"/>
      <c r="AT146" s="29"/>
      <c r="AU146" s="29"/>
      <c r="AV146" s="29"/>
      <c r="AW146" s="29"/>
      <c r="AX146" s="29"/>
      <c r="AY146" s="29"/>
      <c r="AZ146" s="29"/>
      <c r="BA146" s="140"/>
      <c r="BB146" s="117"/>
      <c r="BC146" s="117"/>
      <c r="BD146" s="117"/>
      <c r="BE146" s="117"/>
      <c r="BF146" s="110"/>
      <c r="BG146" s="4"/>
      <c r="BH146" s="111"/>
      <c r="BI146" s="112"/>
      <c r="BJ146" s="112"/>
      <c r="BK146" s="110"/>
      <c r="BL146" s="113"/>
      <c r="BM146" s="114"/>
      <c r="BN146" s="114"/>
      <c r="BO146" s="110"/>
      <c r="BP146" s="113"/>
      <c r="BQ146" s="114"/>
      <c r="BR146" s="110"/>
      <c r="BS146" s="113"/>
      <c r="DI146" s="13"/>
      <c r="DJ146" s="13"/>
      <c r="DK146" s="13"/>
      <c r="DL146" s="13"/>
      <c r="DM146" s="13"/>
      <c r="DR146" s="29"/>
      <c r="DS146" s="29"/>
      <c r="DT146" s="29"/>
      <c r="DU146" s="29"/>
      <c r="DV146" s="29"/>
      <c r="DW146" s="29"/>
      <c r="DX146" s="29"/>
      <c r="DY146" s="29"/>
      <c r="DZ146" s="29"/>
      <c r="EA146" s="140"/>
      <c r="EB146" s="117"/>
      <c r="EC146" s="117"/>
      <c r="ED146" s="117"/>
      <c r="EE146" s="117"/>
      <c r="EF146" s="110"/>
      <c r="EG146" s="4"/>
      <c r="EH146" s="111"/>
      <c r="EI146" s="112"/>
      <c r="EJ146" s="112"/>
      <c r="EK146" s="110"/>
      <c r="EL146" s="113"/>
      <c r="EM146" s="114"/>
      <c r="EN146" s="114"/>
      <c r="EO146" s="110"/>
      <c r="EP146" s="113"/>
      <c r="EQ146" s="114"/>
      <c r="ER146" s="110"/>
      <c r="ES146" s="113"/>
    </row>
    <row r="147" spans="13:149" ht="15" customHeight="1">
      <c r="M147" s="7" t="str">
        <f>"- Ứng suất sườn đế:"</f>
        <v>- Ứng suất sườn đế:</v>
      </c>
      <c r="N147" s="2"/>
      <c r="O147" s="2"/>
      <c r="P147" s="169" t="s">
        <v>151</v>
      </c>
      <c r="Q147" s="162">
        <f>IF(Q59=0,"-",6*W145/(R59*T59^2)*1000000)</f>
        <v>32.057916118593376</v>
      </c>
      <c r="R147" s="169" t="s">
        <v>152</v>
      </c>
      <c r="S147" s="170">
        <f>IF(Q59=0,"-",W146*1000/(R59*T59))</f>
        <v>19.429040071874773</v>
      </c>
      <c r="T147" s="149" t="s">
        <v>20</v>
      </c>
      <c r="U147" s="2"/>
      <c r="V147" s="169" t="s">
        <v>153</v>
      </c>
      <c r="W147" s="160">
        <f>IF(Q59=0,"-",SQRT(Q147^2+3*S147^2))</f>
        <v>46.477658936421442</v>
      </c>
      <c r="X147" s="30" t="s">
        <v>20</v>
      </c>
      <c r="AI147" s="13"/>
      <c r="AJ147" s="13"/>
      <c r="AK147" s="13"/>
      <c r="AL147" s="13"/>
      <c r="AM147" s="13"/>
      <c r="AR147" s="29"/>
      <c r="AS147" s="29"/>
      <c r="AT147" s="29"/>
      <c r="AU147" s="29"/>
      <c r="AV147" s="29"/>
      <c r="AW147" s="29"/>
      <c r="AX147" s="29"/>
      <c r="AY147" s="29"/>
      <c r="AZ147" s="29"/>
      <c r="BA147" s="140"/>
      <c r="BB147" s="117"/>
      <c r="BC147" s="117"/>
      <c r="BD147" s="117"/>
      <c r="BE147" s="117"/>
      <c r="BF147" s="110"/>
      <c r="BG147" s="4"/>
      <c r="BH147" s="111"/>
      <c r="BI147" s="112"/>
      <c r="BJ147" s="112"/>
      <c r="BK147" s="110"/>
      <c r="BL147" s="113"/>
      <c r="BM147" s="114"/>
      <c r="BN147" s="114"/>
      <c r="BO147" s="110"/>
      <c r="BP147" s="113"/>
      <c r="BQ147" s="114"/>
      <c r="BR147" s="110"/>
      <c r="BS147" s="113"/>
      <c r="DI147" s="13"/>
      <c r="DJ147" s="13"/>
      <c r="DK147" s="13"/>
      <c r="DL147" s="13"/>
      <c r="DM147" s="13"/>
      <c r="DR147" s="29"/>
      <c r="DS147" s="29"/>
      <c r="DT147" s="29"/>
      <c r="DU147" s="29"/>
      <c r="DV147" s="29"/>
      <c r="DW147" s="29"/>
      <c r="DX147" s="29"/>
      <c r="DY147" s="29"/>
      <c r="DZ147" s="29"/>
      <c r="EA147" s="140"/>
      <c r="EB147" s="117"/>
      <c r="EC147" s="117"/>
      <c r="ED147" s="117"/>
      <c r="EE147" s="117"/>
      <c r="EF147" s="110"/>
      <c r="EG147" s="4"/>
      <c r="EH147" s="111"/>
      <c r="EI147" s="112"/>
      <c r="EJ147" s="112"/>
      <c r="EK147" s="110"/>
      <c r="EL147" s="113"/>
      <c r="EM147" s="114"/>
      <c r="EN147" s="114"/>
      <c r="EO147" s="110"/>
      <c r="EP147" s="113"/>
      <c r="EQ147" s="114"/>
      <c r="ER147" s="110"/>
      <c r="ES147" s="113"/>
    </row>
    <row r="148" spans="13:149" ht="15" customHeight="1">
      <c r="M148" s="7" t="str">
        <f>"- Tỷ số huy động cấu kiện:"</f>
        <v>- Tỷ số huy động cấu kiện:</v>
      </c>
      <c r="N148" s="2"/>
      <c r="O148" s="2"/>
      <c r="P148" s="169"/>
      <c r="Q148" s="170"/>
      <c r="R148" s="171" t="s">
        <v>155</v>
      </c>
      <c r="S148" s="162">
        <f>IF(Q59=0,"-",1.15*1*W25)</f>
        <v>262.85714285714283</v>
      </c>
      <c r="T148" s="149" t="s">
        <v>20</v>
      </c>
      <c r="U148" s="2"/>
      <c r="V148" s="169" t="s">
        <v>154</v>
      </c>
      <c r="W148" s="155">
        <f>IF(Q59=0,"-",W147/S148)</f>
        <v>0.17681718073638594</v>
      </c>
      <c r="X148" s="12" t="str">
        <f>IF(W148="-","",IF(R59=0,"-",IF(W148&lt;=1,"OK","Check")))</f>
        <v>OK</v>
      </c>
      <c r="AI148" s="13"/>
      <c r="AJ148" s="13"/>
      <c r="AK148" s="13"/>
      <c r="AL148" s="13"/>
      <c r="AM148" s="13"/>
      <c r="AR148" s="29"/>
      <c r="AS148" s="29"/>
      <c r="AT148" s="29"/>
      <c r="AU148" s="29"/>
      <c r="AV148" s="29"/>
      <c r="AW148" s="29"/>
      <c r="AX148" s="29"/>
      <c r="AY148" s="29"/>
      <c r="AZ148" s="29"/>
      <c r="BA148" s="140"/>
      <c r="BB148" s="117"/>
      <c r="BC148" s="117"/>
      <c r="BD148" s="117"/>
      <c r="BE148" s="117"/>
      <c r="BF148" s="110"/>
      <c r="BG148" s="4"/>
      <c r="BH148" s="111"/>
      <c r="BI148" s="112"/>
      <c r="BJ148" s="112"/>
      <c r="BK148" s="110"/>
      <c r="BL148" s="113"/>
      <c r="BM148" s="114"/>
      <c r="BN148" s="114"/>
      <c r="BO148" s="110"/>
      <c r="BP148" s="113"/>
      <c r="BQ148" s="114"/>
      <c r="BR148" s="110"/>
      <c r="BS148" s="113"/>
      <c r="DI148" s="13"/>
      <c r="DJ148" s="13"/>
      <c r="DK148" s="13"/>
      <c r="DL148" s="13"/>
      <c r="DM148" s="13"/>
      <c r="DR148" s="29"/>
      <c r="DS148" s="29"/>
      <c r="DT148" s="29"/>
      <c r="DU148" s="29"/>
      <c r="DV148" s="29"/>
      <c r="DW148" s="29"/>
      <c r="DX148" s="29"/>
      <c r="DY148" s="29"/>
      <c r="DZ148" s="29"/>
      <c r="EA148" s="140"/>
      <c r="EB148" s="117"/>
      <c r="EC148" s="117"/>
      <c r="ED148" s="117"/>
      <c r="EE148" s="117"/>
      <c r="EF148" s="110"/>
      <c r="EG148" s="4"/>
      <c r="EH148" s="111"/>
      <c r="EI148" s="112"/>
      <c r="EJ148" s="112"/>
      <c r="EK148" s="110"/>
      <c r="EL148" s="113"/>
      <c r="EM148" s="114"/>
      <c r="EN148" s="114"/>
      <c r="EO148" s="110"/>
      <c r="EP148" s="113"/>
      <c r="EQ148" s="114"/>
      <c r="ER148" s="110"/>
      <c r="ES148" s="113"/>
    </row>
    <row r="149" spans="13:149">
      <c r="M149" s="31" t="s">
        <v>157</v>
      </c>
      <c r="N149" s="2"/>
      <c r="O149" s="2"/>
      <c r="P149" s="2"/>
      <c r="Q149" s="2"/>
      <c r="R149" s="2"/>
      <c r="S149" s="2"/>
      <c r="T149" s="2"/>
      <c r="U149" s="2"/>
      <c r="V149" s="165"/>
      <c r="W149" s="38"/>
      <c r="X149" s="12"/>
      <c r="AI149" s="13"/>
      <c r="AJ149" s="13"/>
      <c r="AK149" s="13"/>
      <c r="AL149" s="13"/>
      <c r="AM149" s="13"/>
      <c r="AR149" s="29"/>
      <c r="AS149" s="29"/>
      <c r="AT149" s="29"/>
      <c r="AU149" s="29"/>
      <c r="AV149" s="29"/>
      <c r="AW149" s="29"/>
      <c r="AX149" s="29"/>
      <c r="AY149" s="29"/>
      <c r="AZ149" s="29"/>
      <c r="BA149" s="140"/>
      <c r="BB149" s="117"/>
      <c r="BC149" s="117"/>
      <c r="BD149" s="117"/>
      <c r="BE149" s="117"/>
      <c r="BF149" s="110"/>
      <c r="BG149" s="4"/>
      <c r="BH149" s="111"/>
      <c r="BI149" s="112"/>
      <c r="BJ149" s="112"/>
      <c r="BK149" s="110"/>
      <c r="BL149" s="113"/>
      <c r="BM149" s="114"/>
      <c r="BN149" s="114"/>
      <c r="BO149" s="110"/>
      <c r="BP149" s="113"/>
      <c r="BQ149" s="114"/>
      <c r="BR149" s="110"/>
      <c r="BS149" s="113"/>
      <c r="DI149" s="13"/>
      <c r="DJ149" s="13"/>
      <c r="DK149" s="13"/>
      <c r="DL149" s="13"/>
      <c r="DM149" s="13"/>
      <c r="DR149" s="29"/>
      <c r="DS149" s="29"/>
      <c r="DT149" s="29"/>
      <c r="DU149" s="29"/>
      <c r="DV149" s="29"/>
      <c r="DW149" s="29"/>
      <c r="DX149" s="29"/>
      <c r="DY149" s="29"/>
      <c r="DZ149" s="29"/>
      <c r="EA149" s="140"/>
      <c r="EB149" s="117"/>
      <c r="EC149" s="117"/>
      <c r="ED149" s="117"/>
      <c r="EE149" s="117"/>
      <c r="EF149" s="110"/>
      <c r="EG149" s="4"/>
      <c r="EH149" s="111"/>
      <c r="EI149" s="112"/>
      <c r="EJ149" s="112"/>
      <c r="EK149" s="110"/>
      <c r="EL149" s="113"/>
      <c r="EM149" s="114"/>
      <c r="EN149" s="114"/>
      <c r="EO149" s="110"/>
      <c r="EP149" s="113"/>
      <c r="EQ149" s="114"/>
      <c r="ER149" s="110"/>
      <c r="ES149" s="113"/>
    </row>
    <row r="150" spans="13:149" ht="15">
      <c r="M150" s="7" t="str">
        <f>"- Moment quán tính của tiết diện đường hàn:"</f>
        <v>- Moment quán tính của tiết diện đường hàn:</v>
      </c>
      <c r="N150" s="2"/>
      <c r="O150" s="2"/>
      <c r="P150" s="2"/>
      <c r="Q150" s="2"/>
      <c r="R150" s="2"/>
      <c r="S150" s="2"/>
      <c r="T150" s="2"/>
      <c r="U150" s="2"/>
      <c r="V150" s="33" t="s">
        <v>160</v>
      </c>
      <c r="W150" s="172">
        <f>IF(Q59=0,"-",2*(U59*T59^3/12))</f>
        <v>8000000</v>
      </c>
      <c r="X150" s="8" t="s">
        <v>158</v>
      </c>
      <c r="AI150" s="13"/>
      <c r="AJ150" s="13"/>
      <c r="AK150" s="13"/>
      <c r="AL150" s="13"/>
      <c r="AM150" s="13"/>
      <c r="AR150" s="29"/>
      <c r="AS150" s="29"/>
      <c r="AT150" s="29"/>
      <c r="AU150" s="29"/>
      <c r="AV150" s="29"/>
      <c r="AW150" s="29"/>
      <c r="AX150" s="29"/>
      <c r="AY150" s="29"/>
      <c r="AZ150" s="29"/>
      <c r="BA150" s="140"/>
      <c r="BB150" s="117"/>
      <c r="BC150" s="117"/>
      <c r="BD150" s="117"/>
      <c r="BE150" s="117"/>
      <c r="BF150" s="110"/>
      <c r="BG150" s="4"/>
      <c r="BH150" s="111"/>
      <c r="BI150" s="112"/>
      <c r="BJ150" s="112"/>
      <c r="BK150" s="110"/>
      <c r="BL150" s="113"/>
      <c r="BM150" s="114"/>
      <c r="BN150" s="114"/>
      <c r="BO150" s="110"/>
      <c r="BP150" s="113"/>
      <c r="BQ150" s="114"/>
      <c r="BR150" s="110"/>
      <c r="BS150" s="113"/>
      <c r="DI150" s="13"/>
      <c r="DJ150" s="13"/>
      <c r="DK150" s="13"/>
      <c r="DL150" s="13"/>
      <c r="DM150" s="13"/>
      <c r="DR150" s="29"/>
      <c r="DS150" s="29"/>
      <c r="DT150" s="29"/>
      <c r="DU150" s="29"/>
      <c r="DV150" s="29"/>
      <c r="DW150" s="29"/>
      <c r="DX150" s="29"/>
      <c r="DY150" s="29"/>
      <c r="DZ150" s="29"/>
      <c r="EA150" s="140"/>
      <c r="EB150" s="117"/>
      <c r="EC150" s="117"/>
      <c r="ED150" s="117"/>
      <c r="EE150" s="117"/>
      <c r="EF150" s="110"/>
      <c r="EG150" s="4"/>
      <c r="EH150" s="111"/>
      <c r="EI150" s="112"/>
      <c r="EJ150" s="112"/>
      <c r="EK150" s="110"/>
      <c r="EL150" s="113"/>
      <c r="EM150" s="114"/>
      <c r="EN150" s="114"/>
      <c r="EO150" s="110"/>
      <c r="EP150" s="113"/>
      <c r="EQ150" s="114"/>
      <c r="ER150" s="110"/>
      <c r="ES150" s="113"/>
    </row>
    <row r="151" spans="13:149" ht="15">
      <c r="M151" s="7" t="str">
        <f>"- Moment chống uốn theo kim loại đường hàn:"</f>
        <v>- Moment chống uốn theo kim loại đường hàn:</v>
      </c>
      <c r="N151" s="2"/>
      <c r="O151" s="2"/>
      <c r="P151" s="2"/>
      <c r="Q151" s="2"/>
      <c r="R151" s="2"/>
      <c r="S151" s="2"/>
      <c r="T151" s="2"/>
      <c r="U151" s="2"/>
      <c r="V151" s="33" t="s">
        <v>161</v>
      </c>
      <c r="W151" s="173">
        <f>IF(Q59=0,"-",U30*(W150/(T59/2)))</f>
        <v>56000</v>
      </c>
      <c r="X151" s="8" t="s">
        <v>159</v>
      </c>
      <c r="AI151" s="13"/>
      <c r="AJ151" s="13"/>
      <c r="AK151" s="13"/>
      <c r="AL151" s="13"/>
      <c r="AM151" s="13"/>
      <c r="AR151" s="29"/>
      <c r="AS151" s="29"/>
      <c r="AT151" s="29"/>
      <c r="AU151" s="29"/>
      <c r="AV151" s="29"/>
      <c r="AW151" s="29"/>
      <c r="AX151" s="29"/>
      <c r="AY151" s="29"/>
      <c r="AZ151" s="29"/>
      <c r="BA151" s="140"/>
      <c r="BB151" s="117"/>
      <c r="BC151" s="117"/>
      <c r="BD151" s="117"/>
      <c r="BE151" s="117"/>
      <c r="BF151" s="110"/>
      <c r="BG151" s="4"/>
      <c r="BH151" s="111"/>
      <c r="BI151" s="112"/>
      <c r="BJ151" s="112"/>
      <c r="BK151" s="110"/>
      <c r="BL151" s="113"/>
      <c r="BM151" s="114"/>
      <c r="BN151" s="114"/>
      <c r="BO151" s="110"/>
      <c r="BP151" s="113"/>
      <c r="BQ151" s="114"/>
      <c r="BR151" s="110"/>
      <c r="BS151" s="113"/>
      <c r="DI151" s="13"/>
      <c r="DJ151" s="13"/>
      <c r="DK151" s="13"/>
      <c r="DL151" s="13"/>
      <c r="DM151" s="13"/>
      <c r="DR151" s="29"/>
      <c r="DS151" s="29"/>
      <c r="DT151" s="29"/>
      <c r="DU151" s="29"/>
      <c r="DV151" s="29"/>
      <c r="DW151" s="29"/>
      <c r="DX151" s="29"/>
      <c r="DY151" s="29"/>
      <c r="DZ151" s="29"/>
      <c r="EA151" s="140"/>
      <c r="EB151" s="117"/>
      <c r="EC151" s="117"/>
      <c r="ED151" s="117"/>
      <c r="EE151" s="117"/>
      <c r="EF151" s="110"/>
      <c r="EG151" s="4"/>
      <c r="EH151" s="111"/>
      <c r="EI151" s="112"/>
      <c r="EJ151" s="112"/>
      <c r="EK151" s="110"/>
      <c r="EL151" s="113"/>
      <c r="EM151" s="114"/>
      <c r="EN151" s="114"/>
      <c r="EO151" s="110"/>
      <c r="EP151" s="113"/>
      <c r="EQ151" s="114"/>
      <c r="ER151" s="110"/>
      <c r="ES151" s="113"/>
    </row>
    <row r="152" spans="13:149" ht="15">
      <c r="M152" s="7" t="str">
        <f>"- Tỷ số huy động theo kim loại đường hàn:"</f>
        <v>- Tỷ số huy động theo kim loại đường hàn:</v>
      </c>
      <c r="N152" s="2"/>
      <c r="O152" s="2"/>
      <c r="P152" s="169"/>
      <c r="Q152" s="170"/>
      <c r="R152" s="171"/>
      <c r="S152" s="162"/>
      <c r="T152" s="149"/>
      <c r="U152" s="2"/>
      <c r="V152" s="169" t="s">
        <v>162</v>
      </c>
      <c r="W152" s="155">
        <f>IF(Q59=0,"-",W145*1000000/(W151*W30*W32))</f>
        <v>0.12721395285156101</v>
      </c>
      <c r="X152" s="12" t="str">
        <f>IF(W152="-","",IF(R59=0,"-",IF(W152&lt;=1,"OK","Check")))</f>
        <v>OK</v>
      </c>
      <c r="AI152" s="13"/>
      <c r="AJ152" s="13"/>
      <c r="AK152" s="13"/>
      <c r="AL152" s="13"/>
      <c r="AM152" s="13"/>
      <c r="AR152" s="29"/>
      <c r="AS152" s="29"/>
      <c r="AT152" s="29"/>
      <c r="AU152" s="29"/>
      <c r="AV152" s="29"/>
      <c r="AW152" s="29"/>
      <c r="AX152" s="29"/>
      <c r="AY152" s="29"/>
      <c r="AZ152" s="29"/>
      <c r="BA152" s="140"/>
      <c r="BB152" s="117"/>
      <c r="BC152" s="117"/>
      <c r="BD152" s="117"/>
      <c r="BE152" s="117"/>
      <c r="BF152" s="110"/>
      <c r="BG152" s="4"/>
      <c r="BH152" s="111"/>
      <c r="BI152" s="112"/>
      <c r="BJ152" s="112"/>
      <c r="BK152" s="110"/>
      <c r="BL152" s="113"/>
      <c r="BM152" s="114"/>
      <c r="BN152" s="114"/>
      <c r="BO152" s="110"/>
      <c r="BP152" s="113"/>
      <c r="BQ152" s="114"/>
      <c r="BR152" s="110"/>
      <c r="BS152" s="113"/>
      <c r="DI152" s="13"/>
      <c r="DJ152" s="13"/>
      <c r="DK152" s="13"/>
      <c r="DL152" s="13"/>
      <c r="DM152" s="13"/>
      <c r="DR152" s="29"/>
      <c r="DS152" s="29"/>
      <c r="DT152" s="29"/>
      <c r="DU152" s="29"/>
      <c r="DV152" s="29"/>
      <c r="DW152" s="29"/>
      <c r="DX152" s="29"/>
      <c r="DY152" s="29"/>
      <c r="DZ152" s="29"/>
      <c r="EA152" s="140"/>
      <c r="EB152" s="117"/>
      <c r="EC152" s="117"/>
      <c r="ED152" s="117"/>
      <c r="EE152" s="117"/>
      <c r="EF152" s="110"/>
      <c r="EG152" s="4"/>
      <c r="EH152" s="111"/>
      <c r="EI152" s="112"/>
      <c r="EJ152" s="112"/>
      <c r="EK152" s="110"/>
      <c r="EL152" s="113"/>
      <c r="EM152" s="114"/>
      <c r="EN152" s="114"/>
      <c r="EO152" s="110"/>
      <c r="EP152" s="113"/>
      <c r="EQ152" s="114"/>
      <c r="ER152" s="110"/>
      <c r="ES152" s="113"/>
    </row>
    <row r="153" spans="13:149" ht="15">
      <c r="M153" s="7" t="str">
        <f>"- Moment chống uốn theo kim loại kim loại biên nóng chảy:"</f>
        <v>- Moment chống uốn theo kim loại kim loại biên nóng chảy:</v>
      </c>
      <c r="N153" s="2"/>
      <c r="O153" s="2"/>
      <c r="P153" s="2"/>
      <c r="Q153" s="2"/>
      <c r="R153" s="2"/>
      <c r="S153" s="2"/>
      <c r="T153" s="2"/>
      <c r="U153" s="2"/>
      <c r="V153" s="33" t="s">
        <v>163</v>
      </c>
      <c r="W153" s="173">
        <f>IF(Q59=0,"-",U31*(W150/(T59/2)))</f>
        <v>80000</v>
      </c>
      <c r="X153" s="8" t="s">
        <v>159</v>
      </c>
      <c r="AI153" s="13"/>
      <c r="AJ153" s="13"/>
      <c r="AK153" s="13"/>
      <c r="AL153" s="13"/>
      <c r="AM153" s="13"/>
      <c r="AR153" s="29"/>
      <c r="AS153" s="29"/>
      <c r="AT153" s="29"/>
      <c r="AU153" s="29"/>
      <c r="AV153" s="29"/>
      <c r="AW153" s="29"/>
      <c r="AX153" s="29"/>
      <c r="AY153" s="29"/>
      <c r="AZ153" s="29"/>
      <c r="BA153" s="140"/>
      <c r="BB153" s="117"/>
      <c r="BC153" s="117"/>
      <c r="BD153" s="117"/>
      <c r="BE153" s="117"/>
      <c r="BF153" s="110"/>
      <c r="BG153" s="4"/>
      <c r="BH153" s="111"/>
      <c r="BI153" s="112"/>
      <c r="BJ153" s="112"/>
      <c r="BK153" s="110"/>
      <c r="BL153" s="113"/>
      <c r="BM153" s="114"/>
      <c r="BN153" s="114"/>
      <c r="BO153" s="110"/>
      <c r="BP153" s="113"/>
      <c r="BQ153" s="114"/>
      <c r="BR153" s="110"/>
      <c r="BS153" s="113"/>
      <c r="DI153" s="13"/>
      <c r="DJ153" s="13"/>
      <c r="DK153" s="13"/>
      <c r="DL153" s="13"/>
      <c r="DM153" s="13"/>
      <c r="DR153" s="29"/>
      <c r="DS153" s="29"/>
      <c r="DT153" s="29"/>
      <c r="DU153" s="29"/>
      <c r="DV153" s="29"/>
      <c r="DW153" s="29"/>
      <c r="DX153" s="29"/>
      <c r="DY153" s="29"/>
      <c r="DZ153" s="29"/>
      <c r="EA153" s="140"/>
      <c r="EB153" s="117"/>
      <c r="EC153" s="117"/>
      <c r="ED153" s="117"/>
      <c r="EE153" s="117"/>
      <c r="EF153" s="110"/>
      <c r="EG153" s="4"/>
      <c r="EH153" s="111"/>
      <c r="EI153" s="112"/>
      <c r="EJ153" s="112"/>
      <c r="EK153" s="110"/>
      <c r="EL153" s="113"/>
      <c r="EM153" s="114"/>
      <c r="EN153" s="114"/>
      <c r="EO153" s="110"/>
      <c r="EP153" s="113"/>
      <c r="EQ153" s="114"/>
      <c r="ER153" s="110"/>
      <c r="ES153" s="113"/>
    </row>
    <row r="154" spans="13:149" ht="15">
      <c r="M154" s="7" t="str">
        <f>"- Tỷ số huy động theo kim loại biên nóng chảy:"</f>
        <v>- Tỷ số huy động theo kim loại biên nóng chảy:</v>
      </c>
      <c r="N154" s="2"/>
      <c r="O154" s="2"/>
      <c r="P154" s="169"/>
      <c r="Q154" s="170"/>
      <c r="R154" s="171"/>
      <c r="S154" s="162"/>
      <c r="T154" s="149"/>
      <c r="U154" s="2"/>
      <c r="V154" s="169" t="s">
        <v>164</v>
      </c>
      <c r="W154" s="155">
        <f>IF(Q59=0,"-",W145*1000000/(W153*W31*W32))</f>
        <v>9.373659683799232E-2</v>
      </c>
      <c r="X154" s="12" t="str">
        <f>IF(W154="-","",IF(R59=0,"-",IF(W154&lt;=1,"OK","Check")))</f>
        <v>OK</v>
      </c>
      <c r="AI154" s="13"/>
      <c r="AJ154" s="13"/>
      <c r="AK154" s="13"/>
      <c r="AL154" s="13"/>
      <c r="AM154" s="13"/>
      <c r="AR154" s="29"/>
      <c r="AS154" s="29"/>
      <c r="AT154" s="29"/>
      <c r="AU154" s="29"/>
      <c r="AV154" s="29"/>
      <c r="AW154" s="29"/>
      <c r="AX154" s="29"/>
      <c r="AY154" s="29"/>
      <c r="AZ154" s="29"/>
      <c r="BA154" s="140"/>
      <c r="BB154" s="117"/>
      <c r="BC154" s="117"/>
      <c r="BD154" s="117"/>
      <c r="BE154" s="117"/>
      <c r="BF154" s="110"/>
      <c r="BG154" s="4"/>
      <c r="BH154" s="111"/>
      <c r="BI154" s="112"/>
      <c r="BJ154" s="112"/>
      <c r="BK154" s="110"/>
      <c r="BL154" s="113"/>
      <c r="BM154" s="114"/>
      <c r="BN154" s="114"/>
      <c r="BO154" s="110"/>
      <c r="BP154" s="113"/>
      <c r="BQ154" s="114"/>
      <c r="BR154" s="110"/>
      <c r="BS154" s="113"/>
      <c r="DI154" s="13"/>
      <c r="DJ154" s="13"/>
      <c r="DK154" s="13"/>
      <c r="DL154" s="13"/>
      <c r="DM154" s="13"/>
      <c r="DR154" s="29"/>
      <c r="DS154" s="29"/>
      <c r="DT154" s="29"/>
      <c r="DU154" s="29"/>
      <c r="DV154" s="29"/>
      <c r="DW154" s="29"/>
      <c r="DX154" s="29"/>
      <c r="DY154" s="29"/>
      <c r="DZ154" s="29"/>
      <c r="EA154" s="140"/>
      <c r="EB154" s="117"/>
      <c r="EC154" s="117"/>
      <c r="ED154" s="117"/>
      <c r="EE154" s="117"/>
      <c r="EF154" s="110"/>
      <c r="EG154" s="4"/>
      <c r="EH154" s="111"/>
      <c r="EI154" s="112"/>
      <c r="EJ154" s="112"/>
      <c r="EK154" s="110"/>
      <c r="EL154" s="113"/>
      <c r="EM154" s="114"/>
      <c r="EN154" s="114"/>
      <c r="EO154" s="110"/>
      <c r="EP154" s="113"/>
      <c r="EQ154" s="114"/>
      <c r="ER154" s="110"/>
      <c r="ES154" s="113"/>
    </row>
    <row r="155" spans="13:149">
      <c r="M155" s="6" t="s">
        <v>309</v>
      </c>
      <c r="N155" s="2"/>
      <c r="O155" s="2"/>
      <c r="P155" s="33"/>
      <c r="Q155" s="148"/>
      <c r="R155" s="149"/>
      <c r="S155" s="2"/>
      <c r="T155" s="2"/>
      <c r="U155" s="2"/>
      <c r="V155" s="2"/>
      <c r="W155" s="2"/>
      <c r="X155" s="8"/>
      <c r="AI155" s="13"/>
      <c r="AJ155" s="13"/>
      <c r="AK155" s="13"/>
      <c r="AL155" s="13"/>
      <c r="AM155" s="13"/>
      <c r="AR155" s="29"/>
      <c r="AS155" s="29"/>
      <c r="AT155" s="29"/>
      <c r="AU155" s="29"/>
      <c r="AV155" s="29"/>
      <c r="AW155" s="29"/>
      <c r="AX155" s="29"/>
      <c r="AY155" s="29"/>
      <c r="AZ155" s="29"/>
      <c r="BA155" s="140"/>
      <c r="BB155" s="117"/>
      <c r="BC155" s="117"/>
      <c r="BD155" s="117"/>
      <c r="BE155" s="117"/>
      <c r="BF155" s="110"/>
      <c r="BG155" s="4"/>
      <c r="BH155" s="111"/>
      <c r="BI155" s="112"/>
      <c r="BJ155" s="112"/>
      <c r="BK155" s="110"/>
      <c r="BL155" s="113"/>
      <c r="BM155" s="114"/>
      <c r="BN155" s="114"/>
      <c r="BO155" s="110"/>
      <c r="BP155" s="113"/>
      <c r="BQ155" s="114"/>
      <c r="BR155" s="110"/>
      <c r="BS155" s="113"/>
      <c r="DI155" s="13"/>
      <c r="DJ155" s="13"/>
      <c r="DK155" s="13"/>
      <c r="DL155" s="13"/>
      <c r="DM155" s="13"/>
      <c r="DR155" s="29"/>
      <c r="DS155" s="29"/>
      <c r="DT155" s="29"/>
      <c r="DU155" s="29"/>
      <c r="DV155" s="29"/>
      <c r="DW155" s="29"/>
      <c r="DX155" s="29"/>
      <c r="DY155" s="29"/>
      <c r="DZ155" s="29"/>
      <c r="EA155" s="140"/>
      <c r="EB155" s="117"/>
      <c r="EC155" s="117"/>
      <c r="ED155" s="117"/>
      <c r="EE155" s="117"/>
      <c r="EF155" s="110"/>
      <c r="EG155" s="4"/>
      <c r="EH155" s="111"/>
      <c r="EI155" s="112"/>
      <c r="EJ155" s="112"/>
      <c r="EK155" s="110"/>
      <c r="EL155" s="113"/>
      <c r="EM155" s="114"/>
      <c r="EN155" s="114"/>
      <c r="EO155" s="110"/>
      <c r="EP155" s="113"/>
      <c r="EQ155" s="114"/>
      <c r="ER155" s="110"/>
      <c r="ES155" s="113"/>
    </row>
    <row r="156" spans="13:149" ht="15">
      <c r="M156" s="7" t="str">
        <f>"- Lực dọc do các đường hàn bản cánh chịu:"</f>
        <v>- Lực dọc do các đường hàn bản cánh chịu:</v>
      </c>
      <c r="N156" s="2"/>
      <c r="O156" s="2"/>
      <c r="P156" s="163"/>
      <c r="Q156" s="158"/>
      <c r="R156" s="164"/>
      <c r="S156" s="158"/>
      <c r="T156" s="2"/>
      <c r="U156" s="149"/>
      <c r="V156" s="33" t="s">
        <v>196</v>
      </c>
      <c r="W156" s="162">
        <f>ABS(V64*1000)/W39+ABS(T64)/2</f>
        <v>107.58228800128829</v>
      </c>
      <c r="X156" s="8" t="s">
        <v>70</v>
      </c>
      <c r="AI156" s="13"/>
      <c r="AJ156" s="13"/>
      <c r="AK156" s="13"/>
      <c r="AL156" s="13"/>
      <c r="AM156" s="13"/>
      <c r="AR156" s="29"/>
      <c r="AS156" s="29"/>
      <c r="AT156" s="29"/>
      <c r="AU156" s="29"/>
      <c r="AV156" s="29"/>
      <c r="AW156" s="29"/>
      <c r="AX156" s="29"/>
      <c r="AY156" s="29"/>
      <c r="AZ156" s="29"/>
      <c r="BA156" s="140"/>
      <c r="BB156" s="117"/>
      <c r="BC156" s="117"/>
      <c r="BD156" s="117"/>
      <c r="BE156" s="117"/>
      <c r="BF156" s="110"/>
      <c r="BG156" s="4"/>
      <c r="BH156" s="111"/>
      <c r="BI156" s="112"/>
      <c r="BJ156" s="112"/>
      <c r="BK156" s="110"/>
      <c r="BL156" s="113"/>
      <c r="BM156" s="114"/>
      <c r="BN156" s="114"/>
      <c r="BO156" s="110"/>
      <c r="BP156" s="113"/>
      <c r="BQ156" s="114"/>
      <c r="BR156" s="110"/>
      <c r="BS156" s="113"/>
      <c r="DI156" s="13"/>
      <c r="DJ156" s="13"/>
      <c r="DK156" s="13"/>
      <c r="DL156" s="13"/>
      <c r="DM156" s="13"/>
      <c r="DR156" s="29"/>
      <c r="DS156" s="29"/>
      <c r="DT156" s="29"/>
      <c r="DU156" s="29"/>
      <c r="DV156" s="29"/>
      <c r="DW156" s="29"/>
      <c r="DX156" s="29"/>
      <c r="DY156" s="29"/>
      <c r="DZ156" s="29"/>
      <c r="EA156" s="140"/>
      <c r="EB156" s="117"/>
      <c r="EC156" s="117"/>
      <c r="ED156" s="117"/>
      <c r="EE156" s="117"/>
      <c r="EF156" s="110"/>
      <c r="EG156" s="4"/>
      <c r="EH156" s="111"/>
      <c r="EI156" s="112"/>
      <c r="EJ156" s="112"/>
      <c r="EK156" s="110"/>
      <c r="EL156" s="113"/>
      <c r="EM156" s="114"/>
      <c r="EN156" s="114"/>
      <c r="EO156" s="110"/>
      <c r="EP156" s="113"/>
      <c r="EQ156" s="114"/>
      <c r="ER156" s="110"/>
      <c r="ES156" s="113"/>
    </row>
    <row r="157" spans="13:149" ht="15">
      <c r="M157" s="7" t="str">
        <f>"- Tỷ số huy động đối với đường hàn bản cánh:"</f>
        <v>- Tỷ số huy động đối với đường hàn bản cánh:</v>
      </c>
      <c r="N157" s="2"/>
      <c r="O157" s="2"/>
      <c r="P157" s="2"/>
      <c r="Q157" s="2"/>
      <c r="R157" s="20" t="s">
        <v>142</v>
      </c>
      <c r="S157" s="34">
        <f>2*((W48-R59)/2-10)+2*((W40-W41)/2-10)+2*((W48-W40)/2-10)</f>
        <v>428</v>
      </c>
      <c r="T157" s="2" t="s">
        <v>1</v>
      </c>
      <c r="U157" s="2"/>
      <c r="V157" s="33" t="s">
        <v>144</v>
      </c>
      <c r="W157" s="155">
        <f>W156*1000/(W54*S157*W33)</f>
        <v>0.33248741532317261</v>
      </c>
      <c r="X157" s="12" t="str">
        <f>IF(W157&lt;=1,"OK","Check")</f>
        <v>OK</v>
      </c>
      <c r="AI157" s="13"/>
      <c r="AJ157" s="13"/>
      <c r="AK157" s="13"/>
      <c r="AL157" s="13"/>
      <c r="AM157" s="13"/>
      <c r="AR157" s="29"/>
      <c r="AS157" s="29"/>
      <c r="AT157" s="29"/>
      <c r="AU157" s="29"/>
      <c r="AV157" s="29"/>
      <c r="AW157" s="29"/>
      <c r="AX157" s="29"/>
      <c r="AY157" s="29"/>
      <c r="AZ157" s="29"/>
      <c r="BA157" s="140"/>
      <c r="BB157" s="117"/>
      <c r="BC157" s="117"/>
      <c r="BD157" s="117"/>
      <c r="BE157" s="117"/>
      <c r="BF157" s="110"/>
      <c r="BG157" s="4"/>
      <c r="BH157" s="111"/>
      <c r="BI157" s="112"/>
      <c r="BJ157" s="112"/>
      <c r="BK157" s="110"/>
      <c r="BL157" s="113"/>
      <c r="BM157" s="114"/>
      <c r="BN157" s="114"/>
      <c r="BO157" s="110"/>
      <c r="BP157" s="113"/>
      <c r="BQ157" s="114"/>
      <c r="BR157" s="110"/>
      <c r="BS157" s="113"/>
      <c r="DI157" s="13"/>
      <c r="DJ157" s="13"/>
      <c r="DK157" s="13"/>
      <c r="DL157" s="13"/>
      <c r="DM157" s="13"/>
      <c r="DR157" s="29"/>
      <c r="DS157" s="29"/>
      <c r="DT157" s="29"/>
      <c r="DU157" s="29"/>
      <c r="DV157" s="29"/>
      <c r="DW157" s="29"/>
      <c r="DX157" s="29"/>
      <c r="DY157" s="29"/>
      <c r="DZ157" s="29"/>
      <c r="EA157" s="140"/>
      <c r="EB157" s="117"/>
      <c r="EC157" s="117"/>
      <c r="ED157" s="117"/>
      <c r="EE157" s="117"/>
      <c r="EF157" s="110"/>
      <c r="EG157" s="4"/>
      <c r="EH157" s="111"/>
      <c r="EI157" s="112"/>
      <c r="EJ157" s="112"/>
      <c r="EK157" s="110"/>
      <c r="EL157" s="113"/>
      <c r="EM157" s="114"/>
      <c r="EN157" s="114"/>
      <c r="EO157" s="110"/>
      <c r="EP157" s="113"/>
      <c r="EQ157" s="114"/>
      <c r="ER157" s="110"/>
      <c r="ES157" s="113"/>
    </row>
    <row r="158" spans="13:149" ht="15">
      <c r="M158" s="7" t="str">
        <f>"- Tỷ số huy động đối với đường hàn bản bụng:"</f>
        <v>- Tỷ số huy động đối với đường hàn bản bụng:</v>
      </c>
      <c r="N158" s="2"/>
      <c r="O158" s="2"/>
      <c r="P158" s="2"/>
      <c r="Q158" s="2"/>
      <c r="R158" s="20" t="s">
        <v>142</v>
      </c>
      <c r="S158" s="34">
        <f>2*(W39-2*W42-R58)-20+4*(S59-10)</f>
        <v>1220</v>
      </c>
      <c r="T158" s="2" t="s">
        <v>1</v>
      </c>
      <c r="U158" s="2"/>
      <c r="V158" s="33" t="s">
        <v>145</v>
      </c>
      <c r="W158" s="155">
        <f>ABS(U64)*1000/(W55*S158*W33)</f>
        <v>2.1063800365608249E-2</v>
      </c>
      <c r="X158" s="12" t="str">
        <f>IF(W158&lt;=1,"OK","Check")</f>
        <v>OK</v>
      </c>
      <c r="AI158" s="13"/>
      <c r="AJ158" s="13"/>
      <c r="AK158" s="13"/>
      <c r="AL158" s="13"/>
      <c r="AM158" s="13"/>
      <c r="AR158" s="29"/>
      <c r="AS158" s="29"/>
      <c r="AT158" s="29"/>
      <c r="AU158" s="29"/>
      <c r="AV158" s="29"/>
      <c r="AW158" s="29"/>
      <c r="AX158" s="29"/>
      <c r="AY158" s="29"/>
      <c r="AZ158" s="29"/>
      <c r="BA158" s="140"/>
      <c r="BB158" s="117"/>
      <c r="BC158" s="117"/>
      <c r="BD158" s="117"/>
      <c r="BE158" s="117"/>
      <c r="BF158" s="110"/>
      <c r="BG158" s="4"/>
      <c r="BH158" s="111"/>
      <c r="BI158" s="112"/>
      <c r="BJ158" s="112"/>
      <c r="BK158" s="110"/>
      <c r="BL158" s="113"/>
      <c r="BM158" s="114"/>
      <c r="BN158" s="114"/>
      <c r="BO158" s="110"/>
      <c r="BP158" s="113"/>
      <c r="BQ158" s="114"/>
      <c r="BR158" s="110"/>
      <c r="BS158" s="113"/>
      <c r="DI158" s="13"/>
      <c r="DJ158" s="13"/>
      <c r="DK158" s="13"/>
      <c r="DL158" s="13"/>
      <c r="DM158" s="13"/>
      <c r="DR158" s="29"/>
      <c r="DS158" s="29"/>
      <c r="DT158" s="29"/>
      <c r="DU158" s="29"/>
      <c r="DV158" s="29"/>
      <c r="DW158" s="29"/>
      <c r="DX158" s="29"/>
      <c r="DY158" s="29"/>
      <c r="DZ158" s="29"/>
      <c r="EA158" s="140"/>
      <c r="EB158" s="117"/>
      <c r="EC158" s="117"/>
      <c r="ED158" s="117"/>
      <c r="EE158" s="117"/>
      <c r="EF158" s="110"/>
      <c r="EG158" s="4"/>
      <c r="EH158" s="111"/>
      <c r="EI158" s="112"/>
      <c r="EJ158" s="112"/>
      <c r="EK158" s="110"/>
      <c r="EL158" s="113"/>
      <c r="EM158" s="114"/>
      <c r="EN158" s="114"/>
      <c r="EO158" s="110"/>
      <c r="EP158" s="113"/>
      <c r="EQ158" s="114"/>
      <c r="ER158" s="110"/>
      <c r="ES158" s="113"/>
    </row>
    <row r="159" spans="13:149" ht="12.75" customHeight="1">
      <c r="M159" s="7"/>
      <c r="N159" s="2"/>
      <c r="O159" s="2"/>
      <c r="P159" s="169"/>
      <c r="Q159" s="170"/>
      <c r="R159" s="171"/>
      <c r="S159" s="162"/>
      <c r="T159" s="149"/>
      <c r="U159" s="2"/>
      <c r="V159" s="169"/>
      <c r="W159" s="2"/>
      <c r="X159" s="12"/>
      <c r="AI159" s="13"/>
      <c r="AJ159" s="13"/>
      <c r="AK159" s="13"/>
      <c r="AL159" s="13"/>
      <c r="AM159" s="13"/>
      <c r="AR159" s="29"/>
      <c r="AS159" s="29"/>
      <c r="AT159" s="29"/>
      <c r="AU159" s="29"/>
      <c r="AV159" s="29"/>
      <c r="AW159" s="29"/>
      <c r="AX159" s="29"/>
      <c r="AY159" s="29"/>
      <c r="AZ159" s="29"/>
      <c r="BA159" s="140"/>
      <c r="BB159" s="117"/>
      <c r="BC159" s="117"/>
      <c r="BD159" s="117"/>
      <c r="BE159" s="117"/>
      <c r="BF159" s="110"/>
      <c r="BG159" s="4"/>
      <c r="BH159" s="111"/>
      <c r="BI159" s="112"/>
      <c r="BJ159" s="112"/>
      <c r="BK159" s="110"/>
      <c r="BL159" s="113"/>
      <c r="BM159" s="114"/>
      <c r="BN159" s="114"/>
      <c r="BO159" s="110"/>
      <c r="BP159" s="113"/>
      <c r="BQ159" s="114"/>
      <c r="BR159" s="110"/>
      <c r="BS159" s="113"/>
      <c r="DI159" s="13"/>
      <c r="DJ159" s="13"/>
      <c r="DK159" s="13"/>
      <c r="DL159" s="13"/>
      <c r="DM159" s="13"/>
      <c r="DR159" s="29"/>
      <c r="DS159" s="29"/>
      <c r="DT159" s="29"/>
      <c r="DU159" s="29"/>
      <c r="DV159" s="29"/>
      <c r="DW159" s="29"/>
      <c r="DX159" s="29"/>
      <c r="DY159" s="29"/>
      <c r="DZ159" s="29"/>
      <c r="EA159" s="140"/>
      <c r="EB159" s="117"/>
      <c r="EC159" s="117"/>
      <c r="ED159" s="117"/>
      <c r="EE159" s="117"/>
      <c r="EF159" s="110"/>
      <c r="EG159" s="4"/>
      <c r="EH159" s="111"/>
      <c r="EI159" s="112"/>
      <c r="EJ159" s="112"/>
      <c r="EK159" s="110"/>
      <c r="EL159" s="113"/>
      <c r="EM159" s="114"/>
      <c r="EN159" s="114"/>
      <c r="EO159" s="110"/>
      <c r="EP159" s="113"/>
      <c r="EQ159" s="114"/>
      <c r="ER159" s="110"/>
      <c r="ES159" s="113"/>
    </row>
    <row r="160" spans="13:149">
      <c r="M160" s="17" t="s">
        <v>27</v>
      </c>
      <c r="N160" s="2"/>
      <c r="O160" s="2"/>
      <c r="P160" s="165"/>
      <c r="Q160" s="174"/>
      <c r="R160" s="34"/>
      <c r="S160" s="34"/>
      <c r="T160" s="160"/>
      <c r="U160" s="20"/>
      <c r="V160" s="33"/>
      <c r="W160" s="2"/>
      <c r="X160" s="8"/>
      <c r="AI160" s="13"/>
      <c r="AJ160" s="13"/>
      <c r="AK160" s="13"/>
      <c r="AL160" s="13"/>
      <c r="AM160" s="13"/>
      <c r="AR160" s="29"/>
      <c r="AS160" s="29"/>
      <c r="AT160" s="29"/>
      <c r="AU160" s="29"/>
      <c r="AV160" s="29"/>
      <c r="AW160" s="29"/>
      <c r="AX160" s="29"/>
      <c r="AY160" s="29"/>
      <c r="AZ160" s="29"/>
      <c r="BA160" s="140"/>
      <c r="BB160" s="117"/>
      <c r="BC160" s="117"/>
      <c r="BD160" s="117"/>
      <c r="BE160" s="117"/>
      <c r="BF160" s="110"/>
      <c r="BG160" s="4"/>
      <c r="BH160" s="111"/>
      <c r="BI160" s="112"/>
      <c r="BJ160" s="112"/>
      <c r="BK160" s="110"/>
      <c r="BL160" s="113"/>
      <c r="BM160" s="114"/>
      <c r="BN160" s="114"/>
      <c r="BO160" s="110"/>
      <c r="BP160" s="113"/>
      <c r="BQ160" s="114"/>
      <c r="BR160" s="110"/>
      <c r="BS160" s="113"/>
      <c r="DI160" s="13"/>
      <c r="DJ160" s="13"/>
      <c r="DK160" s="13"/>
      <c r="DL160" s="13"/>
      <c r="DM160" s="13"/>
      <c r="DR160" s="29"/>
      <c r="DS160" s="29"/>
      <c r="DT160" s="29"/>
      <c r="DU160" s="29"/>
      <c r="DV160" s="29"/>
      <c r="DW160" s="29"/>
      <c r="DX160" s="29"/>
      <c r="DY160" s="29"/>
      <c r="DZ160" s="29"/>
      <c r="EA160" s="140"/>
      <c r="EB160" s="117"/>
      <c r="EC160" s="117"/>
      <c r="ED160" s="117"/>
      <c r="EE160" s="117"/>
      <c r="EF160" s="110"/>
      <c r="EG160" s="4"/>
      <c r="EH160" s="111"/>
      <c r="EI160" s="112"/>
      <c r="EJ160" s="112"/>
      <c r="EK160" s="110"/>
      <c r="EL160" s="113"/>
      <c r="EM160" s="114"/>
      <c r="EN160" s="114"/>
      <c r="EO160" s="110"/>
      <c r="EP160" s="113"/>
      <c r="EQ160" s="114"/>
      <c r="ER160" s="110"/>
      <c r="ES160" s="113"/>
    </row>
    <row r="161" spans="13:149">
      <c r="M161" s="197" t="s">
        <v>370</v>
      </c>
      <c r="N161" s="198"/>
      <c r="O161" s="198"/>
      <c r="P161" s="198"/>
      <c r="Q161" s="198"/>
      <c r="R161" s="198"/>
      <c r="S161" s="198"/>
      <c r="T161" s="198"/>
      <c r="U161" s="198"/>
      <c r="V161" s="198"/>
      <c r="W161" s="198"/>
      <c r="X161" s="199"/>
      <c r="AI161" s="13"/>
      <c r="AJ161" s="13"/>
      <c r="AK161" s="13"/>
      <c r="AL161" s="13"/>
      <c r="AM161" s="13"/>
      <c r="AR161" s="29"/>
      <c r="AS161" s="29"/>
      <c r="AT161" s="29"/>
      <c r="AU161" s="29"/>
      <c r="AV161" s="29"/>
      <c r="AW161" s="29"/>
      <c r="AX161" s="29"/>
      <c r="AY161" s="29"/>
      <c r="AZ161" s="29"/>
      <c r="BA161" s="140"/>
      <c r="BB161" s="117"/>
      <c r="BC161" s="117"/>
      <c r="BD161" s="117"/>
      <c r="BE161" s="117"/>
      <c r="BF161" s="110"/>
      <c r="BG161" s="4"/>
      <c r="BH161" s="111"/>
      <c r="BI161" s="112"/>
      <c r="BJ161" s="112"/>
      <c r="BK161" s="110"/>
      <c r="BL161" s="113"/>
      <c r="BM161" s="114"/>
      <c r="BN161" s="114"/>
      <c r="BO161" s="110"/>
      <c r="BP161" s="113"/>
      <c r="BQ161" s="114"/>
      <c r="BR161" s="110"/>
      <c r="BS161" s="113"/>
      <c r="DI161" s="13"/>
      <c r="DJ161" s="13"/>
      <c r="DK161" s="13"/>
      <c r="DL161" s="13"/>
      <c r="DM161" s="13"/>
      <c r="DR161" s="29"/>
      <c r="DS161" s="29"/>
      <c r="DT161" s="29"/>
      <c r="DU161" s="29"/>
      <c r="DV161" s="29"/>
      <c r="DW161" s="29"/>
      <c r="DX161" s="29"/>
      <c r="DY161" s="29"/>
      <c r="DZ161" s="29"/>
      <c r="EA161" s="140"/>
      <c r="EB161" s="117"/>
      <c r="EC161" s="117"/>
      <c r="ED161" s="117"/>
      <c r="EE161" s="117"/>
      <c r="EF161" s="110"/>
      <c r="EG161" s="4"/>
      <c r="EH161" s="111"/>
      <c r="EI161" s="112"/>
      <c r="EJ161" s="112"/>
      <c r="EK161" s="110"/>
      <c r="EL161" s="113"/>
      <c r="EM161" s="114"/>
      <c r="EN161" s="114"/>
      <c r="EO161" s="110"/>
      <c r="EP161" s="113"/>
      <c r="EQ161" s="114"/>
      <c r="ER161" s="110"/>
      <c r="ES161" s="113"/>
    </row>
    <row r="162" spans="13:149">
      <c r="M162" s="200" t="s">
        <v>371</v>
      </c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8"/>
      <c r="AI162" s="13"/>
      <c r="AJ162" s="13"/>
      <c r="AK162" s="13"/>
      <c r="AL162" s="13"/>
      <c r="AM162" s="13"/>
      <c r="AR162" s="29"/>
      <c r="AS162" s="29"/>
      <c r="AT162" s="29"/>
      <c r="AU162" s="29"/>
      <c r="AV162" s="29"/>
      <c r="AW162" s="29"/>
      <c r="AX162" s="29"/>
      <c r="AY162" s="29"/>
      <c r="AZ162" s="29"/>
      <c r="BA162" s="140"/>
      <c r="BB162" s="117"/>
      <c r="BC162" s="117"/>
      <c r="BD162" s="117"/>
      <c r="BE162" s="117"/>
      <c r="BF162" s="110"/>
      <c r="BG162" s="4"/>
      <c r="BH162" s="111"/>
      <c r="BI162" s="112"/>
      <c r="BJ162" s="112"/>
      <c r="BK162" s="110"/>
      <c r="BL162" s="113"/>
      <c r="BM162" s="114"/>
      <c r="BN162" s="114"/>
      <c r="BO162" s="110"/>
      <c r="BP162" s="113"/>
      <c r="BQ162" s="114"/>
      <c r="BR162" s="110"/>
      <c r="BS162" s="113"/>
      <c r="DI162" s="13"/>
      <c r="DJ162" s="13"/>
      <c r="DK162" s="13"/>
      <c r="DL162" s="13"/>
      <c r="DM162" s="13"/>
      <c r="DR162" s="29"/>
      <c r="DS162" s="29"/>
      <c r="DT162" s="29"/>
      <c r="DU162" s="29"/>
      <c r="DV162" s="29"/>
      <c r="DW162" s="29"/>
      <c r="DX162" s="29"/>
      <c r="DY162" s="29"/>
      <c r="DZ162" s="29"/>
      <c r="EA162" s="140"/>
      <c r="EB162" s="117"/>
      <c r="EC162" s="117"/>
      <c r="ED162" s="117"/>
      <c r="EE162" s="117"/>
      <c r="EF162" s="110"/>
      <c r="EG162" s="4"/>
      <c r="EH162" s="111"/>
      <c r="EI162" s="112"/>
      <c r="EJ162" s="112"/>
      <c r="EK162" s="110"/>
      <c r="EL162" s="113"/>
      <c r="EM162" s="114"/>
      <c r="EN162" s="114"/>
      <c r="EO162" s="110"/>
      <c r="EP162" s="113"/>
      <c r="EQ162" s="114"/>
      <c r="ER162" s="110"/>
      <c r="ES162" s="113"/>
    </row>
    <row r="163" spans="13:149">
      <c r="M163" s="200" t="s">
        <v>372</v>
      </c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8"/>
      <c r="AI163" s="13"/>
      <c r="AJ163" s="13"/>
      <c r="AK163" s="13"/>
      <c r="AL163" s="13"/>
      <c r="AM163" s="13"/>
      <c r="AR163" s="29"/>
      <c r="AS163" s="29"/>
      <c r="AT163" s="29"/>
      <c r="AU163" s="29"/>
      <c r="AV163" s="29"/>
      <c r="AW163" s="29"/>
      <c r="AX163" s="29"/>
      <c r="AY163" s="29"/>
      <c r="AZ163" s="29"/>
      <c r="BA163" s="140"/>
      <c r="BB163" s="117"/>
      <c r="BC163" s="117"/>
      <c r="BD163" s="117"/>
      <c r="BE163" s="117"/>
      <c r="BF163" s="110"/>
      <c r="BG163" s="4"/>
      <c r="BH163" s="111"/>
      <c r="BI163" s="112"/>
      <c r="BJ163" s="112"/>
      <c r="BK163" s="110"/>
      <c r="BL163" s="113"/>
      <c r="BM163" s="114"/>
      <c r="BN163" s="114"/>
      <c r="BO163" s="110"/>
      <c r="BP163" s="113"/>
      <c r="BQ163" s="114"/>
      <c r="BR163" s="110"/>
      <c r="BS163" s="113"/>
      <c r="DI163" s="13"/>
      <c r="DJ163" s="13"/>
      <c r="DK163" s="13"/>
      <c r="DL163" s="13"/>
      <c r="DM163" s="13"/>
      <c r="DR163" s="29"/>
      <c r="DS163" s="29"/>
      <c r="DT163" s="29"/>
      <c r="DU163" s="29"/>
      <c r="DV163" s="29"/>
      <c r="DW163" s="29"/>
      <c r="DX163" s="29"/>
      <c r="DY163" s="29"/>
      <c r="DZ163" s="29"/>
      <c r="EA163" s="140"/>
      <c r="EB163" s="117"/>
      <c r="EC163" s="117"/>
      <c r="ED163" s="117"/>
      <c r="EE163" s="117"/>
      <c r="EF163" s="110"/>
      <c r="EG163" s="4"/>
      <c r="EH163" s="111"/>
      <c r="EI163" s="112"/>
      <c r="EJ163" s="112"/>
      <c r="EK163" s="110"/>
      <c r="EL163" s="113"/>
      <c r="EM163" s="114"/>
      <c r="EN163" s="114"/>
      <c r="EO163" s="110"/>
      <c r="EP163" s="113"/>
      <c r="EQ163" s="114"/>
      <c r="ER163" s="110"/>
      <c r="ES163" s="113"/>
    </row>
    <row r="164" spans="13:149">
      <c r="M164" s="201" t="s">
        <v>373</v>
      </c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15"/>
      <c r="AI164" s="13"/>
      <c r="AJ164" s="13"/>
      <c r="AK164" s="13"/>
      <c r="AL164" s="13"/>
      <c r="AM164" s="13"/>
      <c r="AR164" s="29"/>
      <c r="AS164" s="29"/>
      <c r="AT164" s="29"/>
      <c r="AU164" s="29"/>
      <c r="AV164" s="29"/>
      <c r="AW164" s="29"/>
      <c r="AX164" s="29"/>
      <c r="AY164" s="29"/>
      <c r="AZ164" s="29"/>
      <c r="BA164" s="140"/>
      <c r="BB164" s="117"/>
      <c r="BC164" s="117"/>
      <c r="BD164" s="117"/>
      <c r="BE164" s="117"/>
      <c r="BF164" s="110"/>
      <c r="BG164" s="4"/>
      <c r="BH164" s="111"/>
      <c r="BI164" s="112"/>
      <c r="BJ164" s="112"/>
      <c r="BK164" s="110"/>
      <c r="BL164" s="113"/>
      <c r="BM164" s="114"/>
      <c r="BN164" s="114"/>
      <c r="BO164" s="110"/>
      <c r="BP164" s="113"/>
      <c r="BQ164" s="114"/>
      <c r="BR164" s="110"/>
      <c r="BS164" s="113"/>
      <c r="DI164" s="13"/>
      <c r="DJ164" s="13"/>
      <c r="DK164" s="13"/>
      <c r="DL164" s="13"/>
      <c r="DM164" s="13"/>
      <c r="DR164" s="29"/>
      <c r="DS164" s="29"/>
      <c r="DT164" s="29"/>
      <c r="DU164" s="29"/>
      <c r="DV164" s="29"/>
      <c r="DW164" s="29"/>
      <c r="DX164" s="29"/>
      <c r="DY164" s="29"/>
      <c r="DZ164" s="29"/>
      <c r="EA164" s="140"/>
      <c r="EB164" s="117"/>
      <c r="EC164" s="117"/>
      <c r="ED164" s="117"/>
      <c r="EE164" s="117"/>
      <c r="EF164" s="110"/>
      <c r="EG164" s="4"/>
      <c r="EH164" s="111"/>
      <c r="EI164" s="112"/>
      <c r="EJ164" s="112"/>
      <c r="EK164" s="110"/>
      <c r="EL164" s="113"/>
      <c r="EM164" s="114"/>
      <c r="EN164" s="114"/>
      <c r="EO164" s="110"/>
      <c r="EP164" s="113"/>
      <c r="EQ164" s="114"/>
      <c r="ER164" s="110"/>
      <c r="ES164" s="113"/>
    </row>
    <row r="165" spans="13:149">
      <c r="AI165" s="13"/>
      <c r="AJ165" s="13"/>
      <c r="AK165" s="13"/>
      <c r="AL165" s="13"/>
      <c r="AM165" s="13"/>
      <c r="AR165" s="29"/>
      <c r="AS165" s="29"/>
      <c r="AT165" s="29"/>
      <c r="AU165" s="29"/>
      <c r="AV165" s="29"/>
      <c r="AW165" s="29"/>
      <c r="AX165" s="29"/>
      <c r="AY165" s="29"/>
      <c r="AZ165" s="29"/>
      <c r="BA165" s="140"/>
      <c r="BB165" s="117"/>
      <c r="BC165" s="117"/>
      <c r="BD165" s="117"/>
      <c r="BE165" s="117"/>
      <c r="BF165" s="110"/>
      <c r="BG165" s="4"/>
      <c r="BH165" s="111"/>
      <c r="BI165" s="112"/>
      <c r="BJ165" s="112"/>
      <c r="BK165" s="110"/>
      <c r="BL165" s="113"/>
      <c r="BM165" s="114"/>
      <c r="BN165" s="114"/>
      <c r="BO165" s="110"/>
      <c r="BP165" s="113"/>
      <c r="BQ165" s="114"/>
      <c r="BR165" s="110"/>
      <c r="BS165" s="113"/>
      <c r="DI165" s="13"/>
      <c r="DJ165" s="13"/>
      <c r="DK165" s="13"/>
      <c r="DL165" s="13"/>
      <c r="DM165" s="13"/>
      <c r="DR165" s="29"/>
      <c r="DS165" s="29"/>
      <c r="DT165" s="29"/>
      <c r="DU165" s="29"/>
      <c r="DV165" s="29"/>
      <c r="DW165" s="29"/>
      <c r="DX165" s="29"/>
      <c r="DY165" s="29"/>
      <c r="DZ165" s="29"/>
      <c r="EA165" s="140"/>
      <c r="EB165" s="117"/>
      <c r="EC165" s="117"/>
      <c r="ED165" s="117"/>
      <c r="EE165" s="117"/>
      <c r="EF165" s="110"/>
      <c r="EG165" s="4"/>
      <c r="EH165" s="111"/>
      <c r="EI165" s="112"/>
      <c r="EJ165" s="112"/>
      <c r="EK165" s="110"/>
      <c r="EL165" s="113"/>
      <c r="EM165" s="114"/>
      <c r="EN165" s="114"/>
      <c r="EO165" s="110"/>
      <c r="EP165" s="113"/>
      <c r="EQ165" s="114"/>
      <c r="ER165" s="110"/>
      <c r="ES165" s="113"/>
    </row>
    <row r="166" spans="13:149">
      <c r="AI166" s="13"/>
      <c r="AJ166" s="13"/>
      <c r="AK166" s="13"/>
      <c r="AL166" s="13"/>
      <c r="AM166" s="13"/>
      <c r="AR166" s="29"/>
      <c r="AS166" s="29"/>
      <c r="AT166" s="29"/>
      <c r="AU166" s="29"/>
      <c r="AV166" s="29"/>
      <c r="AW166" s="29"/>
      <c r="AX166" s="29"/>
      <c r="AY166" s="29"/>
      <c r="AZ166" s="29"/>
      <c r="BA166" s="140"/>
      <c r="BB166" s="117"/>
      <c r="BC166" s="117"/>
      <c r="BD166" s="117"/>
      <c r="BE166" s="117"/>
      <c r="BF166" s="110"/>
      <c r="BG166" s="4"/>
      <c r="BH166" s="111"/>
      <c r="BI166" s="112"/>
      <c r="BJ166" s="112"/>
      <c r="BK166" s="110"/>
      <c r="BL166" s="113"/>
      <c r="BM166" s="114"/>
      <c r="BN166" s="114"/>
      <c r="BO166" s="110"/>
      <c r="BP166" s="113"/>
      <c r="BQ166" s="114"/>
      <c r="BR166" s="110"/>
      <c r="BS166" s="113"/>
      <c r="DI166" s="13"/>
      <c r="DJ166" s="13"/>
      <c r="DK166" s="13"/>
      <c r="DL166" s="13"/>
      <c r="DM166" s="13"/>
      <c r="DR166" s="29"/>
      <c r="DS166" s="29"/>
      <c r="DT166" s="29"/>
      <c r="DU166" s="29"/>
      <c r="DV166" s="29"/>
      <c r="DW166" s="29"/>
      <c r="DX166" s="29"/>
      <c r="DY166" s="29"/>
      <c r="DZ166" s="29"/>
      <c r="EA166" s="140"/>
      <c r="EB166" s="117"/>
      <c r="EC166" s="117"/>
      <c r="ED166" s="117"/>
      <c r="EE166" s="117"/>
      <c r="EF166" s="110"/>
      <c r="EG166" s="4"/>
      <c r="EH166" s="111"/>
      <c r="EI166" s="112"/>
      <c r="EJ166" s="112"/>
      <c r="EK166" s="110"/>
      <c r="EL166" s="113"/>
      <c r="EM166" s="114"/>
      <c r="EN166" s="114"/>
      <c r="EO166" s="110"/>
      <c r="EP166" s="113"/>
      <c r="EQ166" s="114"/>
      <c r="ER166" s="110"/>
      <c r="ES166" s="113"/>
    </row>
    <row r="167" spans="13:149">
      <c r="AI167" s="13"/>
      <c r="AJ167" s="13"/>
      <c r="AK167" s="13"/>
      <c r="AL167" s="13"/>
      <c r="AM167" s="13"/>
      <c r="AR167" s="29"/>
      <c r="AS167" s="29"/>
      <c r="AT167" s="29"/>
      <c r="AU167" s="29"/>
      <c r="AV167" s="29"/>
      <c r="AW167" s="29"/>
      <c r="AX167" s="29"/>
      <c r="AY167" s="29"/>
      <c r="AZ167" s="29"/>
      <c r="BA167" s="140"/>
      <c r="BB167" s="117"/>
      <c r="BC167" s="117"/>
      <c r="BD167" s="117"/>
      <c r="BE167" s="117"/>
      <c r="BF167" s="110"/>
      <c r="BG167" s="4"/>
      <c r="BH167" s="111"/>
      <c r="BI167" s="112"/>
      <c r="BJ167" s="112"/>
      <c r="BK167" s="110"/>
      <c r="BL167" s="113"/>
      <c r="BM167" s="114"/>
      <c r="BN167" s="114"/>
      <c r="BO167" s="110"/>
      <c r="BP167" s="113"/>
      <c r="BQ167" s="114"/>
      <c r="BR167" s="110"/>
      <c r="BS167" s="113"/>
      <c r="DI167" s="13"/>
      <c r="DJ167" s="13"/>
      <c r="DK167" s="13"/>
      <c r="DL167" s="13"/>
      <c r="DM167" s="13"/>
      <c r="DR167" s="29"/>
      <c r="DS167" s="29"/>
      <c r="DT167" s="29"/>
      <c r="DU167" s="29"/>
      <c r="DV167" s="29"/>
      <c r="DW167" s="29"/>
      <c r="DX167" s="29"/>
      <c r="DY167" s="29"/>
      <c r="DZ167" s="29"/>
      <c r="EA167" s="140"/>
      <c r="EB167" s="117"/>
      <c r="EC167" s="117"/>
      <c r="ED167" s="117"/>
      <c r="EE167" s="117"/>
      <c r="EF167" s="110"/>
      <c r="EG167" s="4"/>
      <c r="EH167" s="111"/>
      <c r="EI167" s="112"/>
      <c r="EJ167" s="112"/>
      <c r="EK167" s="110"/>
      <c r="EL167" s="113"/>
      <c r="EM167" s="114"/>
      <c r="EN167" s="114"/>
      <c r="EO167" s="110"/>
      <c r="EP167" s="113"/>
      <c r="EQ167" s="114"/>
      <c r="ER167" s="110"/>
      <c r="ES167" s="113"/>
    </row>
    <row r="168" spans="13:149">
      <c r="AI168" s="13"/>
      <c r="AJ168" s="13"/>
      <c r="AK168" s="13"/>
      <c r="AL168" s="13"/>
      <c r="AM168" s="13"/>
      <c r="AR168" s="29"/>
      <c r="AS168" s="29"/>
      <c r="AT168" s="29"/>
      <c r="AU168" s="29"/>
      <c r="AV168" s="29"/>
      <c r="AW168" s="29"/>
      <c r="AX168" s="29"/>
      <c r="AY168" s="29"/>
      <c r="AZ168" s="29"/>
      <c r="BA168" s="140"/>
      <c r="BB168" s="117"/>
      <c r="BC168" s="117"/>
      <c r="BD168" s="117"/>
      <c r="BE168" s="117"/>
      <c r="BF168" s="110"/>
      <c r="BG168" s="4"/>
      <c r="BH168" s="111"/>
      <c r="BI168" s="112"/>
      <c r="BJ168" s="112"/>
      <c r="BK168" s="110"/>
      <c r="BL168" s="113"/>
      <c r="BM168" s="114"/>
      <c r="BN168" s="114"/>
      <c r="BO168" s="110"/>
      <c r="BP168" s="113"/>
      <c r="BQ168" s="114"/>
      <c r="BR168" s="110"/>
      <c r="BS168" s="113"/>
      <c r="DI168" s="13"/>
      <c r="DJ168" s="13"/>
      <c r="DK168" s="13"/>
      <c r="DL168" s="13"/>
      <c r="DM168" s="13"/>
      <c r="DR168" s="29"/>
      <c r="DS168" s="29"/>
      <c r="DT168" s="29"/>
      <c r="DU168" s="29"/>
      <c r="DV168" s="29"/>
      <c r="DW168" s="29"/>
      <c r="DX168" s="29"/>
      <c r="DY168" s="29"/>
      <c r="DZ168" s="29"/>
      <c r="EA168" s="140"/>
      <c r="EB168" s="117"/>
      <c r="EC168" s="117"/>
      <c r="ED168" s="117"/>
      <c r="EE168" s="117"/>
      <c r="EF168" s="110"/>
      <c r="EG168" s="4"/>
      <c r="EH168" s="111"/>
      <c r="EI168" s="112"/>
      <c r="EJ168" s="112"/>
      <c r="EK168" s="110"/>
      <c r="EL168" s="113"/>
      <c r="EM168" s="114"/>
      <c r="EN168" s="114"/>
      <c r="EO168" s="110"/>
      <c r="EP168" s="113"/>
      <c r="EQ168" s="114"/>
      <c r="ER168" s="110"/>
      <c r="ES168" s="113"/>
    </row>
    <row r="169" spans="13:149">
      <c r="AI169" s="13"/>
      <c r="AJ169" s="13"/>
      <c r="AK169" s="13"/>
      <c r="AL169" s="13"/>
      <c r="AM169" s="13"/>
      <c r="AR169" s="29"/>
      <c r="AS169" s="29"/>
      <c r="AT169" s="29"/>
      <c r="AU169" s="29"/>
      <c r="AV169" s="29"/>
      <c r="AW169" s="29"/>
      <c r="AX169" s="29"/>
      <c r="AY169" s="29"/>
      <c r="AZ169" s="29"/>
      <c r="BA169" s="140"/>
      <c r="BB169" s="117"/>
      <c r="BC169" s="117"/>
      <c r="BD169" s="117"/>
      <c r="BE169" s="117"/>
      <c r="BF169" s="110"/>
      <c r="BG169" s="4"/>
      <c r="BH169" s="111"/>
      <c r="BI169" s="112"/>
      <c r="BJ169" s="112"/>
      <c r="BK169" s="110"/>
      <c r="BL169" s="113"/>
      <c r="BM169" s="114"/>
      <c r="BN169" s="114"/>
      <c r="BO169" s="110"/>
      <c r="BP169" s="113"/>
      <c r="BQ169" s="114"/>
      <c r="BR169" s="110"/>
      <c r="BS169" s="113"/>
      <c r="DI169" s="13"/>
      <c r="DJ169" s="13"/>
      <c r="DK169" s="13"/>
      <c r="DL169" s="13"/>
      <c r="DM169" s="13"/>
      <c r="DR169" s="29"/>
      <c r="DS169" s="29"/>
      <c r="DT169" s="29"/>
      <c r="DU169" s="29"/>
      <c r="DV169" s="29"/>
      <c r="DW169" s="29"/>
      <c r="DX169" s="29"/>
      <c r="DY169" s="29"/>
      <c r="DZ169" s="29"/>
      <c r="EA169" s="140"/>
      <c r="EB169" s="117"/>
      <c r="EC169" s="117"/>
      <c r="ED169" s="117"/>
      <c r="EE169" s="117"/>
      <c r="EF169" s="110"/>
      <c r="EG169" s="4"/>
      <c r="EH169" s="111"/>
      <c r="EI169" s="112"/>
      <c r="EJ169" s="112"/>
      <c r="EK169" s="110"/>
      <c r="EL169" s="113"/>
      <c r="EM169" s="114"/>
      <c r="EN169" s="114"/>
      <c r="EO169" s="110"/>
      <c r="EP169" s="113"/>
      <c r="EQ169" s="114"/>
      <c r="ER169" s="110"/>
      <c r="ES169" s="113"/>
    </row>
    <row r="170" spans="13:149">
      <c r="AI170" s="13"/>
      <c r="AJ170" s="13"/>
      <c r="AK170" s="13"/>
      <c r="AL170" s="13"/>
      <c r="AM170" s="13"/>
      <c r="AR170" s="29"/>
      <c r="AS170" s="29"/>
      <c r="AT170" s="29"/>
      <c r="AU170" s="29"/>
      <c r="AV170" s="29"/>
      <c r="AW170" s="29"/>
      <c r="AX170" s="29"/>
      <c r="AY170" s="29"/>
      <c r="AZ170" s="29"/>
      <c r="BA170" s="140"/>
      <c r="BB170" s="117"/>
      <c r="BC170" s="117"/>
      <c r="BD170" s="117"/>
      <c r="BE170" s="117"/>
      <c r="BF170" s="110"/>
      <c r="BG170" s="4"/>
      <c r="BH170" s="111"/>
      <c r="BI170" s="112"/>
      <c r="BJ170" s="112"/>
      <c r="BK170" s="110"/>
      <c r="BL170" s="113"/>
      <c r="BM170" s="114"/>
      <c r="BN170" s="114"/>
      <c r="BO170" s="110"/>
      <c r="BP170" s="113"/>
      <c r="BQ170" s="114"/>
      <c r="BR170" s="110"/>
      <c r="BS170" s="113"/>
      <c r="DI170" s="13"/>
      <c r="DJ170" s="13"/>
      <c r="DK170" s="13"/>
      <c r="DL170" s="13"/>
      <c r="DM170" s="13"/>
      <c r="DR170" s="29"/>
      <c r="DS170" s="29"/>
      <c r="DT170" s="29"/>
      <c r="DU170" s="29"/>
      <c r="DV170" s="29"/>
      <c r="DW170" s="29"/>
      <c r="DX170" s="29"/>
      <c r="DY170" s="29"/>
      <c r="DZ170" s="29"/>
      <c r="EA170" s="140"/>
      <c r="EB170" s="117"/>
      <c r="EC170" s="117"/>
      <c r="ED170" s="117"/>
      <c r="EE170" s="117"/>
      <c r="EF170" s="110"/>
      <c r="EG170" s="4"/>
      <c r="EH170" s="111"/>
      <c r="EI170" s="112"/>
      <c r="EJ170" s="112"/>
      <c r="EK170" s="110"/>
      <c r="EL170" s="113"/>
      <c r="EM170" s="114"/>
      <c r="EN170" s="114"/>
      <c r="EO170" s="110"/>
      <c r="EP170" s="113"/>
      <c r="EQ170" s="114"/>
      <c r="ER170" s="110"/>
      <c r="ES170" s="113"/>
    </row>
    <row r="171" spans="13:149">
      <c r="AI171" s="13"/>
      <c r="AJ171" s="13"/>
      <c r="AK171" s="13"/>
      <c r="AL171" s="13"/>
      <c r="AM171" s="13"/>
      <c r="AR171" s="29"/>
      <c r="AS171" s="29"/>
      <c r="AT171" s="29"/>
      <c r="AU171" s="29"/>
      <c r="AV171" s="29"/>
      <c r="AW171" s="29"/>
      <c r="AX171" s="29"/>
      <c r="AY171" s="29"/>
      <c r="AZ171" s="29"/>
      <c r="BA171" s="140"/>
      <c r="BB171" s="117"/>
      <c r="BC171" s="117"/>
      <c r="BD171" s="117"/>
      <c r="BE171" s="117"/>
      <c r="BF171" s="110"/>
      <c r="BG171" s="4"/>
      <c r="BH171" s="111"/>
      <c r="BI171" s="112"/>
      <c r="BJ171" s="112"/>
      <c r="BK171" s="110"/>
      <c r="BL171" s="113"/>
      <c r="BM171" s="114"/>
      <c r="BN171" s="114"/>
      <c r="BO171" s="110"/>
      <c r="BP171" s="113"/>
      <c r="BQ171" s="114"/>
      <c r="BR171" s="110"/>
      <c r="BS171" s="113"/>
      <c r="DI171" s="13"/>
      <c r="DJ171" s="13"/>
      <c r="DK171" s="13"/>
      <c r="DL171" s="13"/>
      <c r="DM171" s="13"/>
      <c r="DR171" s="29"/>
      <c r="DS171" s="29"/>
      <c r="DT171" s="29"/>
      <c r="DU171" s="29"/>
      <c r="DV171" s="29"/>
      <c r="DW171" s="29"/>
      <c r="DX171" s="29"/>
      <c r="DY171" s="29"/>
      <c r="DZ171" s="29"/>
      <c r="EA171" s="140"/>
      <c r="EB171" s="117"/>
      <c r="EC171" s="117"/>
      <c r="ED171" s="117"/>
      <c r="EE171" s="117"/>
      <c r="EF171" s="110"/>
      <c r="EG171" s="4"/>
      <c r="EH171" s="111"/>
      <c r="EI171" s="112"/>
      <c r="EJ171" s="112"/>
      <c r="EK171" s="110"/>
      <c r="EL171" s="113"/>
      <c r="EM171" s="114"/>
      <c r="EN171" s="114"/>
      <c r="EO171" s="110"/>
      <c r="EP171" s="113"/>
      <c r="EQ171" s="114"/>
      <c r="ER171" s="110"/>
      <c r="ES171" s="113"/>
    </row>
    <row r="172" spans="13:149">
      <c r="AI172" s="13"/>
      <c r="AJ172" s="13"/>
      <c r="AK172" s="13"/>
      <c r="AL172" s="13"/>
      <c r="AM172" s="13"/>
      <c r="AR172" s="29"/>
      <c r="AS172" s="29"/>
      <c r="AT172" s="29"/>
      <c r="AU172" s="29"/>
      <c r="AV172" s="29"/>
      <c r="AW172" s="29"/>
      <c r="AX172" s="29"/>
      <c r="AY172" s="29"/>
      <c r="AZ172" s="29"/>
      <c r="BA172" s="140"/>
      <c r="BB172" s="117"/>
      <c r="BC172" s="117"/>
      <c r="BD172" s="117"/>
      <c r="BE172" s="117"/>
      <c r="BF172" s="110"/>
      <c r="BG172" s="4"/>
      <c r="BH172" s="111"/>
      <c r="BI172" s="112"/>
      <c r="BJ172" s="112"/>
      <c r="BK172" s="110"/>
      <c r="BL172" s="113"/>
      <c r="BM172" s="114"/>
      <c r="BN172" s="114"/>
      <c r="BO172" s="110"/>
      <c r="BP172" s="113"/>
      <c r="BQ172" s="114"/>
      <c r="BR172" s="110"/>
      <c r="BS172" s="113"/>
      <c r="DI172" s="13"/>
      <c r="DJ172" s="13"/>
      <c r="DK172" s="13"/>
      <c r="DL172" s="13"/>
      <c r="DM172" s="13"/>
      <c r="DR172" s="29"/>
      <c r="DS172" s="29"/>
      <c r="DT172" s="29"/>
      <c r="DU172" s="29"/>
      <c r="DV172" s="29"/>
      <c r="DW172" s="29"/>
      <c r="DX172" s="29"/>
      <c r="DY172" s="29"/>
      <c r="DZ172" s="29"/>
      <c r="EA172" s="140"/>
      <c r="EB172" s="117"/>
      <c r="EC172" s="117"/>
      <c r="ED172" s="117"/>
      <c r="EE172" s="117"/>
      <c r="EF172" s="110"/>
      <c r="EG172" s="4"/>
      <c r="EH172" s="111"/>
      <c r="EI172" s="112"/>
      <c r="EJ172" s="112"/>
      <c r="EK172" s="110"/>
      <c r="EL172" s="113"/>
      <c r="EM172" s="114"/>
      <c r="EN172" s="114"/>
      <c r="EO172" s="110"/>
      <c r="EP172" s="113"/>
      <c r="EQ172" s="114"/>
      <c r="ER172" s="110"/>
      <c r="ES172" s="113"/>
    </row>
    <row r="173" spans="13:149">
      <c r="AI173" s="13"/>
      <c r="AJ173" s="13"/>
      <c r="AK173" s="13"/>
      <c r="AL173" s="13"/>
      <c r="AM173" s="13"/>
      <c r="AR173" s="29"/>
      <c r="AS173" s="29"/>
      <c r="AT173" s="29"/>
      <c r="AU173" s="29"/>
      <c r="AV173" s="29"/>
      <c r="AW173" s="29"/>
      <c r="AX173" s="29"/>
      <c r="AY173" s="29"/>
      <c r="AZ173" s="29"/>
      <c r="BA173" s="140"/>
      <c r="BB173" s="117"/>
      <c r="BC173" s="117"/>
      <c r="BD173" s="117"/>
      <c r="BE173" s="117"/>
      <c r="BF173" s="110"/>
      <c r="BG173" s="4"/>
      <c r="BH173" s="111"/>
      <c r="BI173" s="112"/>
      <c r="BJ173" s="112"/>
      <c r="BK173" s="110"/>
      <c r="BL173" s="113"/>
      <c r="BM173" s="114"/>
      <c r="BN173" s="114"/>
      <c r="BO173" s="110"/>
      <c r="BP173" s="113"/>
      <c r="BQ173" s="114"/>
      <c r="BR173" s="110"/>
      <c r="BS173" s="113"/>
      <c r="DI173" s="13"/>
      <c r="DJ173" s="13"/>
      <c r="DK173" s="13"/>
      <c r="DL173" s="13"/>
      <c r="DM173" s="13"/>
      <c r="DR173" s="29"/>
      <c r="DS173" s="29"/>
      <c r="DT173" s="29"/>
      <c r="DU173" s="29"/>
      <c r="DV173" s="29"/>
      <c r="DW173" s="29"/>
      <c r="DX173" s="29"/>
      <c r="DY173" s="29"/>
      <c r="DZ173" s="29"/>
      <c r="EA173" s="140"/>
      <c r="EB173" s="117"/>
      <c r="EC173" s="117"/>
      <c r="ED173" s="117"/>
      <c r="EE173" s="117"/>
      <c r="EF173" s="110"/>
      <c r="EG173" s="4"/>
      <c r="EH173" s="111"/>
      <c r="EI173" s="112"/>
      <c r="EJ173" s="112"/>
      <c r="EK173" s="110"/>
      <c r="EL173" s="113"/>
      <c r="EM173" s="114"/>
      <c r="EN173" s="114"/>
      <c r="EO173" s="110"/>
      <c r="EP173" s="113"/>
      <c r="EQ173" s="114"/>
      <c r="ER173" s="110"/>
      <c r="ES173" s="113"/>
    </row>
    <row r="174" spans="13:149">
      <c r="AI174" s="13"/>
      <c r="AJ174" s="13"/>
      <c r="AK174" s="13"/>
      <c r="AL174" s="13"/>
      <c r="AM174" s="13"/>
      <c r="AR174" s="29"/>
      <c r="AS174" s="29"/>
      <c r="AT174" s="29"/>
      <c r="AU174" s="29"/>
      <c r="AV174" s="29"/>
      <c r="AW174" s="29"/>
      <c r="AX174" s="29"/>
      <c r="AY174" s="29"/>
      <c r="AZ174" s="29"/>
      <c r="BA174" s="140"/>
      <c r="BB174" s="117"/>
      <c r="BC174" s="117"/>
      <c r="BD174" s="117"/>
      <c r="BE174" s="117"/>
      <c r="BF174" s="110"/>
      <c r="BG174" s="4"/>
      <c r="BH174" s="111"/>
      <c r="BI174" s="112"/>
      <c r="BJ174" s="112"/>
      <c r="BK174" s="110"/>
      <c r="BL174" s="113"/>
      <c r="BM174" s="114"/>
      <c r="BN174" s="114"/>
      <c r="BO174" s="110"/>
      <c r="BP174" s="113"/>
      <c r="BQ174" s="114"/>
      <c r="BR174" s="110"/>
      <c r="BS174" s="113"/>
      <c r="DI174" s="13"/>
      <c r="DJ174" s="13"/>
      <c r="DK174" s="13"/>
      <c r="DL174" s="13"/>
      <c r="DM174" s="13"/>
      <c r="DR174" s="29"/>
      <c r="DS174" s="29"/>
      <c r="DT174" s="29"/>
      <c r="DU174" s="29"/>
      <c r="DV174" s="29"/>
      <c r="DW174" s="29"/>
      <c r="DX174" s="29"/>
      <c r="DY174" s="29"/>
      <c r="DZ174" s="29"/>
      <c r="EA174" s="140"/>
      <c r="EB174" s="117"/>
      <c r="EC174" s="117"/>
      <c r="ED174" s="117"/>
      <c r="EE174" s="117"/>
      <c r="EF174" s="110"/>
      <c r="EG174" s="4"/>
      <c r="EH174" s="111"/>
      <c r="EI174" s="112"/>
      <c r="EJ174" s="112"/>
      <c r="EK174" s="110"/>
      <c r="EL174" s="113"/>
      <c r="EM174" s="114"/>
      <c r="EN174" s="114"/>
      <c r="EO174" s="110"/>
      <c r="EP174" s="113"/>
      <c r="EQ174" s="114"/>
      <c r="ER174" s="110"/>
      <c r="ES174" s="113"/>
    </row>
    <row r="175" spans="13:149">
      <c r="AI175" s="13"/>
      <c r="AJ175" s="13"/>
      <c r="AK175" s="13"/>
      <c r="AL175" s="13"/>
      <c r="AM175" s="13"/>
      <c r="AR175" s="29"/>
      <c r="AS175" s="29"/>
      <c r="AT175" s="29"/>
      <c r="AU175" s="29"/>
      <c r="AV175" s="29"/>
      <c r="AW175" s="29"/>
      <c r="AX175" s="29"/>
      <c r="AY175" s="29"/>
      <c r="AZ175" s="29"/>
      <c r="BA175" s="140"/>
      <c r="BB175" s="117"/>
      <c r="BC175" s="117"/>
      <c r="BD175" s="117"/>
      <c r="BE175" s="117"/>
      <c r="BF175" s="110"/>
      <c r="BG175" s="4"/>
      <c r="BH175" s="111"/>
      <c r="BI175" s="112"/>
      <c r="BJ175" s="112"/>
      <c r="BK175" s="110"/>
      <c r="BL175" s="113"/>
      <c r="BM175" s="114"/>
      <c r="BN175" s="114"/>
      <c r="BO175" s="110"/>
      <c r="BP175" s="113"/>
      <c r="BQ175" s="114"/>
      <c r="BR175" s="110"/>
      <c r="BS175" s="113"/>
      <c r="DI175" s="13"/>
      <c r="DJ175" s="13"/>
      <c r="DK175" s="13"/>
      <c r="DL175" s="13"/>
      <c r="DM175" s="13"/>
      <c r="DR175" s="29"/>
      <c r="DS175" s="29"/>
      <c r="DT175" s="29"/>
      <c r="DU175" s="29"/>
      <c r="DV175" s="29"/>
      <c r="DW175" s="29"/>
      <c r="DX175" s="29"/>
      <c r="DY175" s="29"/>
      <c r="DZ175" s="29"/>
      <c r="EA175" s="140"/>
      <c r="EB175" s="117"/>
      <c r="EC175" s="117"/>
      <c r="ED175" s="117"/>
      <c r="EE175" s="117"/>
      <c r="EF175" s="110"/>
      <c r="EG175" s="4"/>
      <c r="EH175" s="111"/>
      <c r="EI175" s="112"/>
      <c r="EJ175" s="112"/>
      <c r="EK175" s="110"/>
      <c r="EL175" s="113"/>
      <c r="EM175" s="114"/>
      <c r="EN175" s="114"/>
      <c r="EO175" s="110"/>
      <c r="EP175" s="113"/>
      <c r="EQ175" s="114"/>
      <c r="ER175" s="110"/>
      <c r="ES175" s="113"/>
    </row>
    <row r="176" spans="13:149">
      <c r="AI176" s="13"/>
      <c r="AJ176" s="13"/>
      <c r="AK176" s="13"/>
      <c r="AL176" s="13"/>
      <c r="AM176" s="13"/>
      <c r="AR176" s="29"/>
      <c r="AS176" s="29"/>
      <c r="AT176" s="29"/>
      <c r="AU176" s="29"/>
      <c r="AV176" s="29"/>
      <c r="AW176" s="29"/>
      <c r="AX176" s="29"/>
      <c r="AY176" s="29"/>
      <c r="AZ176" s="29"/>
      <c r="BA176" s="140"/>
      <c r="BB176" s="117"/>
      <c r="BC176" s="117"/>
      <c r="BD176" s="117"/>
      <c r="BE176" s="117"/>
      <c r="BF176" s="110"/>
      <c r="BG176" s="4"/>
      <c r="BH176" s="111"/>
      <c r="BI176" s="112"/>
      <c r="BJ176" s="112"/>
      <c r="BK176" s="110"/>
      <c r="BL176" s="113"/>
      <c r="BM176" s="114"/>
      <c r="BN176" s="114"/>
      <c r="BO176" s="110"/>
      <c r="BP176" s="113"/>
      <c r="BQ176" s="114"/>
      <c r="BR176" s="110"/>
      <c r="BS176" s="113"/>
      <c r="DI176" s="13"/>
      <c r="DJ176" s="13"/>
      <c r="DK176" s="13"/>
      <c r="DL176" s="13"/>
      <c r="DM176" s="13"/>
      <c r="DR176" s="29"/>
      <c r="DS176" s="29"/>
      <c r="DT176" s="29"/>
      <c r="DU176" s="29"/>
      <c r="DV176" s="29"/>
      <c r="DW176" s="29"/>
      <c r="DX176" s="29"/>
      <c r="DY176" s="29"/>
      <c r="DZ176" s="29"/>
      <c r="EA176" s="140"/>
      <c r="EB176" s="117"/>
      <c r="EC176" s="117"/>
      <c r="ED176" s="117"/>
      <c r="EE176" s="117"/>
      <c r="EF176" s="110"/>
      <c r="EG176" s="4"/>
      <c r="EH176" s="111"/>
      <c r="EI176" s="112"/>
      <c r="EJ176" s="112"/>
      <c r="EK176" s="110"/>
      <c r="EL176" s="113"/>
      <c r="EM176" s="114"/>
      <c r="EN176" s="114"/>
      <c r="EO176" s="110"/>
      <c r="EP176" s="113"/>
      <c r="EQ176" s="114"/>
      <c r="ER176" s="110"/>
      <c r="ES176" s="113"/>
    </row>
    <row r="177" spans="35:149">
      <c r="AI177" s="13"/>
      <c r="AJ177" s="13"/>
      <c r="AK177" s="13"/>
      <c r="AL177" s="13"/>
      <c r="AM177" s="13"/>
      <c r="AR177" s="29"/>
      <c r="AS177" s="29"/>
      <c r="AT177" s="29"/>
      <c r="AU177" s="29"/>
      <c r="AV177" s="29"/>
      <c r="AW177" s="29"/>
      <c r="AX177" s="29"/>
      <c r="AY177" s="29"/>
      <c r="AZ177" s="29"/>
      <c r="BA177" s="140"/>
      <c r="BB177" s="117"/>
      <c r="BC177" s="117"/>
      <c r="BD177" s="117"/>
      <c r="BE177" s="117"/>
      <c r="BF177" s="110"/>
      <c r="BG177" s="4"/>
      <c r="BH177" s="111"/>
      <c r="BI177" s="112"/>
      <c r="BJ177" s="112"/>
      <c r="BK177" s="110"/>
      <c r="BL177" s="113"/>
      <c r="BM177" s="114"/>
      <c r="BN177" s="114"/>
      <c r="BO177" s="110"/>
      <c r="BP177" s="113"/>
      <c r="BQ177" s="114"/>
      <c r="BR177" s="110"/>
      <c r="BS177" s="113"/>
      <c r="DI177" s="13"/>
      <c r="DJ177" s="13"/>
      <c r="DK177" s="13"/>
      <c r="DL177" s="13"/>
      <c r="DM177" s="13"/>
      <c r="DR177" s="29"/>
      <c r="DS177" s="29"/>
      <c r="DT177" s="29"/>
      <c r="DU177" s="29"/>
      <c r="DV177" s="29"/>
      <c r="DW177" s="29"/>
      <c r="DX177" s="29"/>
      <c r="DY177" s="29"/>
      <c r="DZ177" s="29"/>
      <c r="EA177" s="140"/>
      <c r="EB177" s="117"/>
      <c r="EC177" s="117"/>
      <c r="ED177" s="117"/>
      <c r="EE177" s="117"/>
      <c r="EF177" s="110"/>
      <c r="EG177" s="4"/>
      <c r="EH177" s="111"/>
      <c r="EI177" s="112"/>
      <c r="EJ177" s="112"/>
      <c r="EK177" s="110"/>
      <c r="EL177" s="113"/>
      <c r="EM177" s="114"/>
      <c r="EN177" s="114"/>
      <c r="EO177" s="110"/>
      <c r="EP177" s="113"/>
      <c r="EQ177" s="114"/>
      <c r="ER177" s="110"/>
      <c r="ES177" s="113"/>
    </row>
    <row r="178" spans="35:149">
      <c r="AI178" s="13"/>
      <c r="AJ178" s="13"/>
      <c r="AK178" s="13"/>
      <c r="AL178" s="13"/>
      <c r="AM178" s="13"/>
      <c r="AR178" s="29"/>
      <c r="AS178" s="29"/>
      <c r="AT178" s="29"/>
      <c r="AU178" s="29"/>
      <c r="AV178" s="29"/>
      <c r="AW178" s="29"/>
      <c r="AX178" s="29"/>
      <c r="AY178" s="29"/>
      <c r="AZ178" s="29"/>
      <c r="BA178" s="140"/>
      <c r="BB178" s="117"/>
      <c r="BC178" s="117"/>
      <c r="BD178" s="117"/>
      <c r="BE178" s="117"/>
      <c r="BF178" s="110"/>
      <c r="BG178" s="4"/>
      <c r="BH178" s="111"/>
      <c r="BI178" s="112"/>
      <c r="BJ178" s="112"/>
      <c r="BK178" s="110"/>
      <c r="BL178" s="113"/>
      <c r="BM178" s="114"/>
      <c r="BN178" s="114"/>
      <c r="BO178" s="110"/>
      <c r="BP178" s="113"/>
      <c r="BQ178" s="114"/>
      <c r="BR178" s="110"/>
      <c r="BS178" s="113"/>
      <c r="DI178" s="13"/>
      <c r="DJ178" s="13"/>
      <c r="DK178" s="13"/>
      <c r="DL178" s="13"/>
      <c r="DM178" s="13"/>
      <c r="DR178" s="29"/>
      <c r="DS178" s="29"/>
      <c r="DT178" s="29"/>
      <c r="DU178" s="29"/>
      <c r="DV178" s="29"/>
      <c r="DW178" s="29"/>
      <c r="DX178" s="29"/>
      <c r="DY178" s="29"/>
      <c r="DZ178" s="29"/>
      <c r="EA178" s="140"/>
      <c r="EB178" s="117"/>
      <c r="EC178" s="117"/>
      <c r="ED178" s="117"/>
      <c r="EE178" s="117"/>
      <c r="EF178" s="110"/>
      <c r="EG178" s="4"/>
      <c r="EH178" s="111"/>
      <c r="EI178" s="112"/>
      <c r="EJ178" s="112"/>
      <c r="EK178" s="110"/>
      <c r="EL178" s="113"/>
      <c r="EM178" s="114"/>
      <c r="EN178" s="114"/>
      <c r="EO178" s="110"/>
      <c r="EP178" s="113"/>
      <c r="EQ178" s="114"/>
      <c r="ER178" s="110"/>
      <c r="ES178" s="113"/>
    </row>
    <row r="179" spans="35:149">
      <c r="AI179" s="13"/>
      <c r="AJ179" s="13"/>
      <c r="AK179" s="13"/>
      <c r="AL179" s="13"/>
      <c r="AM179" s="13"/>
      <c r="AR179" s="29"/>
      <c r="AS179" s="29"/>
      <c r="AT179" s="29"/>
      <c r="AU179" s="29"/>
      <c r="AV179" s="29"/>
      <c r="AW179" s="29"/>
      <c r="AX179" s="29"/>
      <c r="AY179" s="29"/>
      <c r="AZ179" s="29"/>
      <c r="BA179" s="140"/>
      <c r="BB179" s="117"/>
      <c r="BC179" s="117"/>
      <c r="BD179" s="117"/>
      <c r="BE179" s="117"/>
      <c r="BF179" s="110"/>
      <c r="BG179" s="4"/>
      <c r="BH179" s="111"/>
      <c r="BI179" s="112"/>
      <c r="BJ179" s="112"/>
      <c r="BK179" s="110"/>
      <c r="BL179" s="113"/>
      <c r="BM179" s="114"/>
      <c r="BN179" s="114"/>
      <c r="BO179" s="110"/>
      <c r="BP179" s="113"/>
      <c r="BQ179" s="114"/>
      <c r="BR179" s="110"/>
      <c r="BS179" s="113"/>
      <c r="DI179" s="13"/>
      <c r="DJ179" s="13"/>
      <c r="DK179" s="13"/>
      <c r="DL179" s="13"/>
      <c r="DM179" s="13"/>
      <c r="DR179" s="29"/>
      <c r="DS179" s="29"/>
      <c r="DT179" s="29"/>
      <c r="DU179" s="29"/>
      <c r="DV179" s="29"/>
      <c r="DW179" s="29"/>
      <c r="DX179" s="29"/>
      <c r="DY179" s="29"/>
      <c r="DZ179" s="29"/>
      <c r="EA179" s="140"/>
      <c r="EB179" s="117"/>
      <c r="EC179" s="117"/>
      <c r="ED179" s="117"/>
      <c r="EE179" s="117"/>
      <c r="EF179" s="110"/>
      <c r="EG179" s="4"/>
      <c r="EH179" s="111"/>
      <c r="EI179" s="112"/>
      <c r="EJ179" s="112"/>
      <c r="EK179" s="110"/>
      <c r="EL179" s="113"/>
      <c r="EM179" s="114"/>
      <c r="EN179" s="114"/>
      <c r="EO179" s="110"/>
      <c r="EP179" s="113"/>
      <c r="EQ179" s="114"/>
      <c r="ER179" s="110"/>
      <c r="ES179" s="113"/>
    </row>
    <row r="180" spans="35:149">
      <c r="AI180" s="13"/>
      <c r="AJ180" s="13"/>
      <c r="AK180" s="13"/>
      <c r="AL180" s="13"/>
      <c r="AM180" s="13"/>
      <c r="AR180" s="29"/>
      <c r="AS180" s="29"/>
      <c r="AT180" s="29"/>
      <c r="AU180" s="29"/>
      <c r="AV180" s="29"/>
      <c r="AW180" s="29"/>
      <c r="AX180" s="29"/>
      <c r="AY180" s="29"/>
      <c r="AZ180" s="29"/>
      <c r="BA180" s="140"/>
      <c r="BB180" s="117"/>
      <c r="BC180" s="117"/>
      <c r="BD180" s="117"/>
      <c r="BE180" s="117"/>
      <c r="BF180" s="110"/>
      <c r="BG180" s="4"/>
      <c r="BH180" s="111"/>
      <c r="BI180" s="112"/>
      <c r="BJ180" s="112"/>
      <c r="BK180" s="110"/>
      <c r="BL180" s="113"/>
      <c r="BM180" s="114"/>
      <c r="BN180" s="114"/>
      <c r="BO180" s="110"/>
      <c r="BP180" s="113"/>
      <c r="BQ180" s="114"/>
      <c r="BR180" s="110"/>
      <c r="BS180" s="113"/>
      <c r="DI180" s="13"/>
      <c r="DJ180" s="13"/>
      <c r="DK180" s="13"/>
      <c r="DL180" s="13"/>
      <c r="DM180" s="13"/>
      <c r="DR180" s="29"/>
      <c r="DS180" s="29"/>
      <c r="DT180" s="29"/>
      <c r="DU180" s="29"/>
      <c r="DV180" s="29"/>
      <c r="DW180" s="29"/>
      <c r="DX180" s="29"/>
      <c r="DY180" s="29"/>
      <c r="DZ180" s="29"/>
      <c r="EA180" s="140"/>
      <c r="EB180" s="117"/>
      <c r="EC180" s="117"/>
      <c r="ED180" s="117"/>
      <c r="EE180" s="117"/>
      <c r="EF180" s="110"/>
      <c r="EG180" s="4"/>
      <c r="EH180" s="111"/>
      <c r="EI180" s="112"/>
      <c r="EJ180" s="112"/>
      <c r="EK180" s="110"/>
      <c r="EL180" s="113"/>
      <c r="EM180" s="114"/>
      <c r="EN180" s="114"/>
      <c r="EO180" s="110"/>
      <c r="EP180" s="113"/>
      <c r="EQ180" s="114"/>
      <c r="ER180" s="110"/>
      <c r="ES180" s="113"/>
    </row>
    <row r="181" spans="35:149">
      <c r="AI181" s="13"/>
      <c r="AJ181" s="13"/>
      <c r="AK181" s="13"/>
      <c r="AL181" s="13"/>
      <c r="AM181" s="13"/>
      <c r="AR181" s="29"/>
      <c r="AS181" s="29"/>
      <c r="AT181" s="29"/>
      <c r="AU181" s="29"/>
      <c r="AV181" s="29"/>
      <c r="AW181" s="29"/>
      <c r="AX181" s="29"/>
      <c r="AY181" s="29"/>
      <c r="AZ181" s="29"/>
      <c r="BA181" s="140"/>
      <c r="BB181" s="117"/>
      <c r="BC181" s="117"/>
      <c r="BD181" s="117"/>
      <c r="BE181" s="117"/>
      <c r="BF181" s="110"/>
      <c r="BG181" s="4"/>
      <c r="BH181" s="111"/>
      <c r="BI181" s="112"/>
      <c r="BJ181" s="112"/>
      <c r="BK181" s="110"/>
      <c r="BL181" s="113"/>
      <c r="BM181" s="114"/>
      <c r="BN181" s="114"/>
      <c r="BO181" s="110"/>
      <c r="BP181" s="113"/>
      <c r="BQ181" s="114"/>
      <c r="BR181" s="110"/>
      <c r="BS181" s="113"/>
      <c r="DI181" s="13"/>
      <c r="DJ181" s="13"/>
      <c r="DK181" s="13"/>
      <c r="DL181" s="13"/>
      <c r="DM181" s="13"/>
      <c r="DR181" s="29"/>
      <c r="DS181" s="29"/>
      <c r="DT181" s="29"/>
      <c r="DU181" s="29"/>
      <c r="DV181" s="29"/>
      <c r="DW181" s="29"/>
      <c r="DX181" s="29"/>
      <c r="DY181" s="29"/>
      <c r="DZ181" s="29"/>
      <c r="EA181" s="140"/>
      <c r="EB181" s="117"/>
      <c r="EC181" s="117"/>
      <c r="ED181" s="117"/>
      <c r="EE181" s="117"/>
      <c r="EF181" s="110"/>
      <c r="EG181" s="4"/>
      <c r="EH181" s="111"/>
      <c r="EI181" s="112"/>
      <c r="EJ181" s="112"/>
      <c r="EK181" s="110"/>
      <c r="EL181" s="113"/>
      <c r="EM181" s="114"/>
      <c r="EN181" s="114"/>
      <c r="EO181" s="110"/>
      <c r="EP181" s="113"/>
      <c r="EQ181" s="114"/>
      <c r="ER181" s="110"/>
      <c r="ES181" s="113"/>
    </row>
    <row r="182" spans="35:149">
      <c r="AI182" s="13"/>
      <c r="AJ182" s="13"/>
      <c r="AK182" s="13"/>
      <c r="AL182" s="13"/>
      <c r="AM182" s="13"/>
      <c r="AR182" s="29"/>
      <c r="AS182" s="29"/>
      <c r="AT182" s="29"/>
      <c r="AU182" s="29"/>
      <c r="AV182" s="29"/>
      <c r="AW182" s="29"/>
      <c r="AX182" s="29"/>
      <c r="AY182" s="29"/>
      <c r="AZ182" s="29"/>
      <c r="BA182" s="140"/>
      <c r="BB182" s="117"/>
      <c r="BC182" s="117"/>
      <c r="BD182" s="117"/>
      <c r="BE182" s="117"/>
      <c r="BF182" s="110"/>
      <c r="BG182" s="4"/>
      <c r="BH182" s="111"/>
      <c r="BI182" s="112"/>
      <c r="BJ182" s="112"/>
      <c r="BK182" s="110"/>
      <c r="BL182" s="113"/>
      <c r="BM182" s="114"/>
      <c r="BN182" s="114"/>
      <c r="BO182" s="110"/>
      <c r="BP182" s="113"/>
      <c r="BQ182" s="114"/>
      <c r="BR182" s="110"/>
      <c r="BS182" s="113"/>
      <c r="DI182" s="13"/>
      <c r="DJ182" s="13"/>
      <c r="DK182" s="13"/>
      <c r="DL182" s="13"/>
      <c r="DM182" s="13"/>
      <c r="DR182" s="29"/>
      <c r="DS182" s="29"/>
      <c r="DT182" s="29"/>
      <c r="DU182" s="29"/>
      <c r="DV182" s="29"/>
      <c r="DW182" s="29"/>
      <c r="DX182" s="29"/>
      <c r="DY182" s="29"/>
      <c r="DZ182" s="29"/>
      <c r="EA182" s="140"/>
      <c r="EB182" s="117"/>
      <c r="EC182" s="117"/>
      <c r="ED182" s="117"/>
      <c r="EE182" s="117"/>
      <c r="EF182" s="110"/>
      <c r="EG182" s="4"/>
      <c r="EH182" s="111"/>
      <c r="EI182" s="112"/>
      <c r="EJ182" s="112"/>
      <c r="EK182" s="110"/>
      <c r="EL182" s="113"/>
      <c r="EM182" s="114"/>
      <c r="EN182" s="114"/>
      <c r="EO182" s="110"/>
      <c r="EP182" s="113"/>
      <c r="EQ182" s="114"/>
      <c r="ER182" s="110"/>
      <c r="ES182" s="113"/>
    </row>
    <row r="183" spans="35:149">
      <c r="AI183" s="13"/>
      <c r="AJ183" s="13"/>
      <c r="AK183" s="13"/>
      <c r="AL183" s="13"/>
      <c r="AM183" s="13"/>
      <c r="AR183" s="29"/>
      <c r="AS183" s="29"/>
      <c r="AT183" s="29"/>
      <c r="AU183" s="29"/>
      <c r="AV183" s="29"/>
      <c r="AW183" s="29"/>
      <c r="AX183" s="29"/>
      <c r="AY183" s="29"/>
      <c r="AZ183" s="29"/>
      <c r="BA183" s="140"/>
      <c r="BB183" s="117"/>
      <c r="BC183" s="117"/>
      <c r="BD183" s="117"/>
      <c r="BE183" s="117"/>
      <c r="BF183" s="110"/>
      <c r="BG183" s="4"/>
      <c r="BH183" s="111"/>
      <c r="BI183" s="112"/>
      <c r="BJ183" s="112"/>
      <c r="BK183" s="110"/>
      <c r="BL183" s="113"/>
      <c r="BM183" s="114"/>
      <c r="BN183" s="114"/>
      <c r="BO183" s="110"/>
      <c r="BP183" s="113"/>
      <c r="BQ183" s="114"/>
      <c r="BR183" s="110"/>
      <c r="BS183" s="113"/>
      <c r="DI183" s="13"/>
      <c r="DJ183" s="13"/>
      <c r="DK183" s="13"/>
      <c r="DL183" s="13"/>
      <c r="DM183" s="13"/>
      <c r="DR183" s="29"/>
      <c r="DS183" s="29"/>
      <c r="DT183" s="29"/>
      <c r="DU183" s="29"/>
      <c r="DV183" s="29"/>
      <c r="DW183" s="29"/>
      <c r="DX183" s="29"/>
      <c r="DY183" s="29"/>
      <c r="DZ183" s="29"/>
      <c r="EA183" s="140"/>
      <c r="EB183" s="117"/>
      <c r="EC183" s="117"/>
      <c r="ED183" s="117"/>
      <c r="EE183" s="117"/>
      <c r="EF183" s="110"/>
      <c r="EG183" s="4"/>
      <c r="EH183" s="111"/>
      <c r="EI183" s="112"/>
      <c r="EJ183" s="112"/>
      <c r="EK183" s="110"/>
      <c r="EL183" s="113"/>
      <c r="EM183" s="114"/>
      <c r="EN183" s="114"/>
      <c r="EO183" s="110"/>
      <c r="EP183" s="113"/>
      <c r="EQ183" s="114"/>
      <c r="ER183" s="110"/>
      <c r="ES183" s="113"/>
    </row>
    <row r="184" spans="35:149">
      <c r="AI184" s="13"/>
      <c r="AJ184" s="13"/>
      <c r="AK184" s="13"/>
      <c r="AL184" s="13"/>
      <c r="AM184" s="13"/>
      <c r="AR184" s="29"/>
      <c r="AS184" s="29"/>
      <c r="AT184" s="29"/>
      <c r="AU184" s="29"/>
      <c r="AV184" s="29"/>
      <c r="AW184" s="29"/>
      <c r="AX184" s="29"/>
      <c r="AY184" s="29"/>
      <c r="AZ184" s="29"/>
      <c r="BA184" s="140"/>
      <c r="BB184" s="117"/>
      <c r="BC184" s="117"/>
      <c r="BD184" s="117"/>
      <c r="BE184" s="117"/>
      <c r="BF184" s="110"/>
      <c r="BG184" s="4"/>
      <c r="BH184" s="111"/>
      <c r="BI184" s="112"/>
      <c r="BJ184" s="112"/>
      <c r="BK184" s="110"/>
      <c r="BL184" s="113"/>
      <c r="BM184" s="114"/>
      <c r="BN184" s="114"/>
      <c r="BO184" s="110"/>
      <c r="BP184" s="113"/>
      <c r="BQ184" s="114"/>
      <c r="BR184" s="110"/>
      <c r="BS184" s="113"/>
      <c r="DI184" s="13"/>
      <c r="DJ184" s="13"/>
      <c r="DK184" s="13"/>
      <c r="DL184" s="13"/>
      <c r="DM184" s="13"/>
      <c r="DR184" s="29"/>
      <c r="DS184" s="29"/>
      <c r="DT184" s="29"/>
      <c r="DU184" s="29"/>
      <c r="DV184" s="29"/>
      <c r="DW184" s="29"/>
      <c r="DX184" s="29"/>
      <c r="DY184" s="29"/>
      <c r="DZ184" s="29"/>
      <c r="EA184" s="140"/>
      <c r="EB184" s="117"/>
      <c r="EC184" s="117"/>
      <c r="ED184" s="117"/>
      <c r="EE184" s="117"/>
      <c r="EF184" s="110"/>
      <c r="EG184" s="4"/>
      <c r="EH184" s="111"/>
      <c r="EI184" s="112"/>
      <c r="EJ184" s="112"/>
      <c r="EK184" s="110"/>
      <c r="EL184" s="113"/>
      <c r="EM184" s="114"/>
      <c r="EN184" s="114"/>
      <c r="EO184" s="110"/>
      <c r="EP184" s="113"/>
      <c r="EQ184" s="114"/>
      <c r="ER184" s="110"/>
      <c r="ES184" s="113"/>
    </row>
    <row r="185" spans="35:149">
      <c r="AI185" s="13"/>
      <c r="AJ185" s="13"/>
      <c r="AK185" s="13"/>
      <c r="AL185" s="13"/>
      <c r="AM185" s="13"/>
      <c r="AR185" s="29"/>
      <c r="AS185" s="29"/>
      <c r="AT185" s="29"/>
      <c r="AU185" s="29"/>
      <c r="AV185" s="29"/>
      <c r="AW185" s="29"/>
      <c r="AX185" s="29"/>
      <c r="AY185" s="29"/>
      <c r="AZ185" s="29"/>
      <c r="BA185" s="140"/>
      <c r="BB185" s="117"/>
      <c r="BC185" s="117"/>
      <c r="BD185" s="117"/>
      <c r="BE185" s="117"/>
      <c r="BF185" s="110"/>
      <c r="BG185" s="4"/>
      <c r="BH185" s="111"/>
      <c r="BI185" s="112"/>
      <c r="BJ185" s="112"/>
      <c r="BK185" s="110"/>
      <c r="BL185" s="113"/>
      <c r="BM185" s="114"/>
      <c r="BN185" s="114"/>
      <c r="BO185" s="110"/>
      <c r="BP185" s="113"/>
      <c r="BQ185" s="114"/>
      <c r="BR185" s="110"/>
      <c r="BS185" s="113"/>
      <c r="DI185" s="13"/>
      <c r="DJ185" s="13"/>
      <c r="DK185" s="13"/>
      <c r="DL185" s="13"/>
      <c r="DM185" s="13"/>
      <c r="DR185" s="29"/>
      <c r="DS185" s="29"/>
      <c r="DT185" s="29"/>
      <c r="DU185" s="29"/>
      <c r="DV185" s="29"/>
      <c r="DW185" s="29"/>
      <c r="DX185" s="29"/>
      <c r="DY185" s="29"/>
      <c r="DZ185" s="29"/>
      <c r="EA185" s="140"/>
      <c r="EB185" s="117"/>
      <c r="EC185" s="117"/>
      <c r="ED185" s="117"/>
      <c r="EE185" s="117"/>
      <c r="EF185" s="110"/>
      <c r="EG185" s="4"/>
      <c r="EH185" s="111"/>
      <c r="EI185" s="112"/>
      <c r="EJ185" s="112"/>
      <c r="EK185" s="110"/>
      <c r="EL185" s="113"/>
      <c r="EM185" s="114"/>
      <c r="EN185" s="114"/>
      <c r="EO185" s="110"/>
      <c r="EP185" s="113"/>
      <c r="EQ185" s="114"/>
      <c r="ER185" s="110"/>
      <c r="ES185" s="113"/>
    </row>
    <row r="186" spans="35:149">
      <c r="AI186" s="13"/>
      <c r="AJ186" s="13"/>
      <c r="AK186" s="13"/>
      <c r="AL186" s="13"/>
      <c r="AM186" s="13"/>
      <c r="AR186" s="29"/>
      <c r="AS186" s="29"/>
      <c r="AT186" s="29"/>
      <c r="AU186" s="29"/>
      <c r="AV186" s="29"/>
      <c r="AW186" s="29"/>
      <c r="AX186" s="29"/>
      <c r="AY186" s="29"/>
      <c r="AZ186" s="29"/>
      <c r="BA186" s="140"/>
      <c r="BB186" s="117"/>
      <c r="BC186" s="117"/>
      <c r="BD186" s="117"/>
      <c r="BE186" s="117"/>
      <c r="BF186" s="110"/>
      <c r="BG186" s="4"/>
      <c r="BH186" s="111"/>
      <c r="BI186" s="112"/>
      <c r="BJ186" s="112"/>
      <c r="BK186" s="110"/>
      <c r="BL186" s="113"/>
      <c r="BM186" s="114"/>
      <c r="BN186" s="114"/>
      <c r="BO186" s="110"/>
      <c r="BP186" s="113"/>
      <c r="BQ186" s="114"/>
      <c r="BR186" s="110"/>
      <c r="BS186" s="113"/>
      <c r="DI186" s="13"/>
      <c r="DJ186" s="13"/>
      <c r="DK186" s="13"/>
      <c r="DL186" s="13"/>
      <c r="DM186" s="13"/>
      <c r="DR186" s="29"/>
      <c r="DS186" s="29"/>
      <c r="DT186" s="29"/>
      <c r="DU186" s="29"/>
      <c r="DV186" s="29"/>
      <c r="DW186" s="29"/>
      <c r="DX186" s="29"/>
      <c r="DY186" s="29"/>
      <c r="DZ186" s="29"/>
      <c r="EA186" s="140"/>
      <c r="EB186" s="117"/>
      <c r="EC186" s="117"/>
      <c r="ED186" s="117"/>
      <c r="EE186" s="117"/>
      <c r="EF186" s="110"/>
      <c r="EG186" s="4"/>
      <c r="EH186" s="111"/>
      <c r="EI186" s="112"/>
      <c r="EJ186" s="112"/>
      <c r="EK186" s="110"/>
      <c r="EL186" s="113"/>
      <c r="EM186" s="114"/>
      <c r="EN186" s="114"/>
      <c r="EO186" s="110"/>
      <c r="EP186" s="113"/>
      <c r="EQ186" s="114"/>
      <c r="ER186" s="110"/>
      <c r="ES186" s="113"/>
    </row>
    <row r="187" spans="35:149">
      <c r="AI187" s="13"/>
      <c r="AJ187" s="13"/>
      <c r="AK187" s="13"/>
      <c r="AL187" s="13"/>
      <c r="AM187" s="13"/>
      <c r="AR187" s="29"/>
      <c r="AS187" s="29"/>
      <c r="AT187" s="29"/>
      <c r="AU187" s="29"/>
      <c r="AV187" s="29"/>
      <c r="AW187" s="29"/>
      <c r="AX187" s="29"/>
      <c r="AY187" s="29"/>
      <c r="AZ187" s="29"/>
      <c r="BA187" s="140"/>
      <c r="BB187" s="117"/>
      <c r="BC187" s="117"/>
      <c r="BD187" s="117"/>
      <c r="BE187" s="117"/>
      <c r="BF187" s="110"/>
      <c r="BG187" s="4"/>
      <c r="BH187" s="111"/>
      <c r="BI187" s="112"/>
      <c r="BJ187" s="112"/>
      <c r="BK187" s="110"/>
      <c r="BL187" s="113"/>
      <c r="BM187" s="114"/>
      <c r="BN187" s="114"/>
      <c r="BO187" s="110"/>
      <c r="BP187" s="113"/>
      <c r="BQ187" s="114"/>
      <c r="BR187" s="110"/>
      <c r="BS187" s="113"/>
      <c r="DI187" s="13"/>
      <c r="DJ187" s="13"/>
      <c r="DK187" s="13"/>
      <c r="DL187" s="13"/>
      <c r="DM187" s="13"/>
      <c r="DR187" s="29"/>
      <c r="DS187" s="29"/>
      <c r="DT187" s="29"/>
      <c r="DU187" s="29"/>
      <c r="DV187" s="29"/>
      <c r="DW187" s="29"/>
      <c r="DX187" s="29"/>
      <c r="DY187" s="29"/>
      <c r="DZ187" s="29"/>
      <c r="EA187" s="140"/>
      <c r="EB187" s="117"/>
      <c r="EC187" s="117"/>
      <c r="ED187" s="117"/>
      <c r="EE187" s="117"/>
      <c r="EF187" s="110"/>
      <c r="EG187" s="4"/>
      <c r="EH187" s="111"/>
      <c r="EI187" s="112"/>
      <c r="EJ187" s="112"/>
      <c r="EK187" s="110"/>
      <c r="EL187" s="113"/>
      <c r="EM187" s="114"/>
      <c r="EN187" s="114"/>
      <c r="EO187" s="110"/>
      <c r="EP187" s="113"/>
      <c r="EQ187" s="114"/>
      <c r="ER187" s="110"/>
      <c r="ES187" s="113"/>
    </row>
    <row r="188" spans="35:149">
      <c r="AI188" s="13"/>
      <c r="AJ188" s="13"/>
      <c r="AK188" s="13"/>
      <c r="AL188" s="13"/>
      <c r="AM188" s="13"/>
      <c r="AR188" s="29"/>
      <c r="AS188" s="29"/>
      <c r="AT188" s="29"/>
      <c r="AU188" s="29"/>
      <c r="AV188" s="29"/>
      <c r="AW188" s="29"/>
      <c r="AX188" s="29"/>
      <c r="AY188" s="29"/>
      <c r="AZ188" s="29"/>
      <c r="BA188" s="140"/>
      <c r="BB188" s="117"/>
      <c r="BC188" s="117"/>
      <c r="BD188" s="117"/>
      <c r="BE188" s="117"/>
      <c r="BF188" s="110"/>
      <c r="BG188" s="4"/>
      <c r="BH188" s="111"/>
      <c r="BI188" s="112"/>
      <c r="BJ188" s="112"/>
      <c r="BK188" s="110"/>
      <c r="BL188" s="113"/>
      <c r="BM188" s="114"/>
      <c r="BN188" s="114"/>
      <c r="BO188" s="110"/>
      <c r="BP188" s="113"/>
      <c r="BQ188" s="114"/>
      <c r="BR188" s="110"/>
      <c r="BS188" s="113"/>
      <c r="DI188" s="13"/>
      <c r="DJ188" s="13"/>
      <c r="DK188" s="13"/>
      <c r="DL188" s="13"/>
      <c r="DM188" s="13"/>
      <c r="DR188" s="29"/>
      <c r="DS188" s="29"/>
      <c r="DT188" s="29"/>
      <c r="DU188" s="29"/>
      <c r="DV188" s="29"/>
      <c r="DW188" s="29"/>
      <c r="DX188" s="29"/>
      <c r="DY188" s="29"/>
      <c r="DZ188" s="29"/>
      <c r="EA188" s="140"/>
      <c r="EB188" s="117"/>
      <c r="EC188" s="117"/>
      <c r="ED188" s="117"/>
      <c r="EE188" s="117"/>
      <c r="EF188" s="110"/>
      <c r="EG188" s="4"/>
      <c r="EH188" s="111"/>
      <c r="EI188" s="112"/>
      <c r="EJ188" s="112"/>
      <c r="EK188" s="110"/>
      <c r="EL188" s="113"/>
      <c r="EM188" s="114"/>
      <c r="EN188" s="114"/>
      <c r="EO188" s="110"/>
      <c r="EP188" s="113"/>
      <c r="EQ188" s="114"/>
      <c r="ER188" s="110"/>
      <c r="ES188" s="113"/>
    </row>
    <row r="189" spans="35:149">
      <c r="AI189" s="13"/>
      <c r="AJ189" s="13"/>
      <c r="AK189" s="13"/>
      <c r="AL189" s="13"/>
      <c r="AM189" s="13"/>
      <c r="AR189" s="29"/>
      <c r="AS189" s="29"/>
      <c r="AT189" s="29"/>
      <c r="AU189" s="29"/>
      <c r="AV189" s="29"/>
      <c r="AW189" s="29"/>
      <c r="AX189" s="29"/>
      <c r="AY189" s="29"/>
      <c r="AZ189" s="29"/>
      <c r="BA189" s="140"/>
      <c r="BB189" s="117"/>
      <c r="BC189" s="117"/>
      <c r="BD189" s="117"/>
      <c r="BE189" s="117"/>
      <c r="BF189" s="110"/>
      <c r="BG189" s="4"/>
      <c r="BH189" s="111"/>
      <c r="BI189" s="112"/>
      <c r="BJ189" s="112"/>
      <c r="BK189" s="110"/>
      <c r="BL189" s="113"/>
      <c r="BM189" s="114"/>
      <c r="BN189" s="114"/>
      <c r="BO189" s="110"/>
      <c r="BP189" s="113"/>
      <c r="BQ189" s="114"/>
      <c r="BR189" s="110"/>
      <c r="BS189" s="113"/>
      <c r="DI189" s="13"/>
      <c r="DJ189" s="13"/>
      <c r="DK189" s="13"/>
      <c r="DL189" s="13"/>
      <c r="DM189" s="13"/>
      <c r="DR189" s="29"/>
      <c r="DS189" s="29"/>
      <c r="DT189" s="29"/>
      <c r="DU189" s="29"/>
      <c r="DV189" s="29"/>
      <c r="DW189" s="29"/>
      <c r="DX189" s="29"/>
      <c r="DY189" s="29"/>
      <c r="DZ189" s="29"/>
      <c r="EA189" s="140"/>
      <c r="EB189" s="117"/>
      <c r="EC189" s="117"/>
      <c r="ED189" s="117"/>
      <c r="EE189" s="117"/>
      <c r="EF189" s="110"/>
      <c r="EG189" s="4"/>
      <c r="EH189" s="111"/>
      <c r="EI189" s="112"/>
      <c r="EJ189" s="112"/>
      <c r="EK189" s="110"/>
      <c r="EL189" s="113"/>
      <c r="EM189" s="114"/>
      <c r="EN189" s="114"/>
      <c r="EO189" s="110"/>
      <c r="EP189" s="113"/>
      <c r="EQ189" s="114"/>
      <c r="ER189" s="110"/>
      <c r="ES189" s="113"/>
    </row>
    <row r="190" spans="35:149">
      <c r="AI190" s="13"/>
      <c r="AJ190" s="13"/>
      <c r="AK190" s="13"/>
      <c r="AL190" s="13"/>
      <c r="AM190" s="13"/>
      <c r="AR190" s="29"/>
      <c r="AS190" s="29"/>
      <c r="AT190" s="29"/>
      <c r="AU190" s="29"/>
      <c r="AV190" s="29"/>
      <c r="AW190" s="29"/>
      <c r="AX190" s="29"/>
      <c r="AY190" s="29"/>
      <c r="AZ190" s="29"/>
      <c r="BA190" s="140"/>
      <c r="BB190" s="117"/>
      <c r="BC190" s="117"/>
      <c r="BD190" s="117"/>
      <c r="BE190" s="117"/>
      <c r="BF190" s="110"/>
      <c r="BG190" s="4"/>
      <c r="BH190" s="111"/>
      <c r="BI190" s="112"/>
      <c r="BJ190" s="112"/>
      <c r="BK190" s="110"/>
      <c r="BL190" s="113"/>
      <c r="BM190" s="114"/>
      <c r="BN190" s="114"/>
      <c r="BO190" s="110"/>
      <c r="BP190" s="113"/>
      <c r="BQ190" s="114"/>
      <c r="BR190" s="110"/>
      <c r="BS190" s="113"/>
      <c r="DI190" s="13"/>
      <c r="DJ190" s="13"/>
      <c r="DK190" s="13"/>
      <c r="DL190" s="13"/>
      <c r="DM190" s="13"/>
      <c r="DR190" s="29"/>
      <c r="DS190" s="29"/>
      <c r="DT190" s="29"/>
      <c r="DU190" s="29"/>
      <c r="DV190" s="29"/>
      <c r="DW190" s="29"/>
      <c r="DX190" s="29"/>
      <c r="DY190" s="29"/>
      <c r="DZ190" s="29"/>
      <c r="EA190" s="140"/>
      <c r="EB190" s="117"/>
      <c r="EC190" s="117"/>
      <c r="ED190" s="117"/>
      <c r="EE190" s="117"/>
      <c r="EF190" s="110"/>
      <c r="EG190" s="4"/>
      <c r="EH190" s="111"/>
      <c r="EI190" s="112"/>
      <c r="EJ190" s="112"/>
      <c r="EK190" s="110"/>
      <c r="EL190" s="113"/>
      <c r="EM190" s="114"/>
      <c r="EN190" s="114"/>
      <c r="EO190" s="110"/>
      <c r="EP190" s="113"/>
      <c r="EQ190" s="114"/>
      <c r="ER190" s="110"/>
      <c r="ES190" s="113"/>
    </row>
    <row r="191" spans="35:149">
      <c r="AI191" s="13"/>
      <c r="AJ191" s="13"/>
      <c r="AK191" s="13"/>
      <c r="AL191" s="13"/>
      <c r="AM191" s="13"/>
      <c r="AR191" s="29"/>
      <c r="AS191" s="29"/>
      <c r="AT191" s="29"/>
      <c r="AU191" s="29"/>
      <c r="AV191" s="29"/>
      <c r="AW191" s="29"/>
      <c r="AX191" s="29"/>
      <c r="AY191" s="29"/>
      <c r="AZ191" s="29"/>
      <c r="BA191" s="140"/>
      <c r="BB191" s="117"/>
      <c r="BC191" s="117"/>
      <c r="BD191" s="117"/>
      <c r="BE191" s="117"/>
      <c r="BF191" s="110"/>
      <c r="BG191" s="4"/>
      <c r="BH191" s="111"/>
      <c r="BI191" s="112"/>
      <c r="BJ191" s="112"/>
      <c r="BK191" s="110"/>
      <c r="BL191" s="113"/>
      <c r="BM191" s="114"/>
      <c r="BN191" s="114"/>
      <c r="BO191" s="110"/>
      <c r="BP191" s="113"/>
      <c r="BQ191" s="114"/>
      <c r="BR191" s="110"/>
      <c r="BS191" s="113"/>
      <c r="DI191" s="13"/>
      <c r="DJ191" s="13"/>
      <c r="DK191" s="13"/>
      <c r="DL191" s="13"/>
      <c r="DM191" s="13"/>
      <c r="DR191" s="29"/>
      <c r="DS191" s="29"/>
      <c r="DT191" s="29"/>
      <c r="DU191" s="29"/>
      <c r="DV191" s="29"/>
      <c r="DW191" s="29"/>
      <c r="DX191" s="29"/>
      <c r="DY191" s="29"/>
      <c r="DZ191" s="29"/>
      <c r="EA191" s="140"/>
      <c r="EB191" s="117"/>
      <c r="EC191" s="117"/>
      <c r="ED191" s="117"/>
      <c r="EE191" s="117"/>
      <c r="EF191" s="110"/>
      <c r="EG191" s="4"/>
      <c r="EH191" s="111"/>
      <c r="EI191" s="112"/>
      <c r="EJ191" s="112"/>
      <c r="EK191" s="110"/>
      <c r="EL191" s="113"/>
      <c r="EM191" s="114"/>
      <c r="EN191" s="114"/>
      <c r="EO191" s="110"/>
      <c r="EP191" s="113"/>
      <c r="EQ191" s="114"/>
      <c r="ER191" s="110"/>
      <c r="ES191" s="113"/>
    </row>
    <row r="192" spans="35:149">
      <c r="AI192" s="13"/>
      <c r="AJ192" s="13"/>
      <c r="AK192" s="13"/>
      <c r="AL192" s="13"/>
      <c r="AM192" s="13"/>
      <c r="AR192" s="29"/>
      <c r="AS192" s="29"/>
      <c r="AT192" s="29"/>
      <c r="AU192" s="29"/>
      <c r="AV192" s="29"/>
      <c r="AW192" s="29"/>
      <c r="AX192" s="29"/>
      <c r="AY192" s="29"/>
      <c r="AZ192" s="29"/>
      <c r="BA192" s="140"/>
      <c r="BB192" s="117"/>
      <c r="BC192" s="117"/>
      <c r="BD192" s="117"/>
      <c r="BE192" s="117"/>
      <c r="BF192" s="110"/>
      <c r="BG192" s="4"/>
      <c r="BH192" s="111"/>
      <c r="BI192" s="112"/>
      <c r="BJ192" s="112"/>
      <c r="BK192" s="110"/>
      <c r="BL192" s="113"/>
      <c r="BM192" s="114"/>
      <c r="BN192" s="114"/>
      <c r="BO192" s="110"/>
      <c r="BP192" s="113"/>
      <c r="BQ192" s="114"/>
      <c r="BR192" s="110"/>
      <c r="BS192" s="113"/>
      <c r="DI192" s="13"/>
      <c r="DJ192" s="13"/>
      <c r="DK192" s="13"/>
      <c r="DL192" s="13"/>
      <c r="DM192" s="13"/>
      <c r="DR192" s="29"/>
      <c r="DS192" s="29"/>
      <c r="DT192" s="29"/>
      <c r="DU192" s="29"/>
      <c r="DV192" s="29"/>
      <c r="DW192" s="29"/>
      <c r="DX192" s="29"/>
      <c r="DY192" s="29"/>
      <c r="DZ192" s="29"/>
      <c r="EA192" s="140"/>
      <c r="EB192" s="117"/>
      <c r="EC192" s="117"/>
      <c r="ED192" s="117"/>
      <c r="EE192" s="117"/>
      <c r="EF192" s="110"/>
      <c r="EG192" s="4"/>
      <c r="EH192" s="111"/>
      <c r="EI192" s="112"/>
      <c r="EJ192" s="112"/>
      <c r="EK192" s="110"/>
      <c r="EL192" s="113"/>
      <c r="EM192" s="114"/>
      <c r="EN192" s="114"/>
      <c r="EO192" s="110"/>
      <c r="EP192" s="113"/>
      <c r="EQ192" s="114"/>
      <c r="ER192" s="110"/>
      <c r="ES192" s="113"/>
    </row>
    <row r="193" spans="35:149">
      <c r="AI193" s="13"/>
      <c r="AJ193" s="13"/>
      <c r="AK193" s="13"/>
      <c r="AL193" s="13"/>
      <c r="AM193" s="13"/>
      <c r="AR193" s="29"/>
      <c r="AS193" s="29"/>
      <c r="AT193" s="29"/>
      <c r="AU193" s="29"/>
      <c r="AV193" s="29"/>
      <c r="AW193" s="29"/>
      <c r="AX193" s="29"/>
      <c r="AY193" s="29"/>
      <c r="AZ193" s="29"/>
      <c r="BA193" s="140"/>
      <c r="BB193" s="117"/>
      <c r="BC193" s="117"/>
      <c r="BD193" s="117"/>
      <c r="BE193" s="117"/>
      <c r="BF193" s="110"/>
      <c r="BG193" s="4"/>
      <c r="BH193" s="111"/>
      <c r="BI193" s="112"/>
      <c r="BJ193" s="112"/>
      <c r="BK193" s="110"/>
      <c r="BL193" s="113"/>
      <c r="BM193" s="114"/>
      <c r="BN193" s="114"/>
      <c r="BO193" s="110"/>
      <c r="BP193" s="113"/>
      <c r="BQ193" s="114"/>
      <c r="BR193" s="110"/>
      <c r="BS193" s="113"/>
      <c r="DI193" s="13"/>
      <c r="DJ193" s="13"/>
      <c r="DK193" s="13"/>
      <c r="DL193" s="13"/>
      <c r="DM193" s="13"/>
      <c r="DR193" s="29"/>
      <c r="DS193" s="29"/>
      <c r="DT193" s="29"/>
      <c r="DU193" s="29"/>
      <c r="DV193" s="29"/>
      <c r="DW193" s="29"/>
      <c r="DX193" s="29"/>
      <c r="DY193" s="29"/>
      <c r="DZ193" s="29"/>
      <c r="EA193" s="140"/>
      <c r="EB193" s="117"/>
      <c r="EC193" s="117"/>
      <c r="ED193" s="117"/>
      <c r="EE193" s="117"/>
      <c r="EF193" s="110"/>
      <c r="EG193" s="4"/>
      <c r="EH193" s="111"/>
      <c r="EI193" s="112"/>
      <c r="EJ193" s="112"/>
      <c r="EK193" s="110"/>
      <c r="EL193" s="113"/>
      <c r="EM193" s="114"/>
      <c r="EN193" s="114"/>
      <c r="EO193" s="110"/>
      <c r="EP193" s="113"/>
      <c r="EQ193" s="114"/>
      <c r="ER193" s="110"/>
      <c r="ES193" s="113"/>
    </row>
    <row r="194" spans="35:149">
      <c r="AI194" s="13"/>
      <c r="AJ194" s="13"/>
      <c r="AK194" s="13"/>
      <c r="AL194" s="13"/>
      <c r="AM194" s="13"/>
      <c r="AR194" s="29"/>
      <c r="AS194" s="29"/>
      <c r="AT194" s="29"/>
      <c r="AU194" s="29"/>
      <c r="AV194" s="29"/>
      <c r="AW194" s="29"/>
      <c r="AX194" s="29"/>
      <c r="AY194" s="29"/>
      <c r="AZ194" s="29"/>
      <c r="BA194" s="140"/>
      <c r="BB194" s="117"/>
      <c r="BC194" s="117"/>
      <c r="BD194" s="117"/>
      <c r="BE194" s="117"/>
      <c r="BF194" s="110"/>
      <c r="BG194" s="4"/>
      <c r="BH194" s="111"/>
      <c r="BI194" s="112"/>
      <c r="BJ194" s="112"/>
      <c r="BK194" s="110"/>
      <c r="BL194" s="113"/>
      <c r="BM194" s="114"/>
      <c r="BN194" s="114"/>
      <c r="BO194" s="110"/>
      <c r="BP194" s="113"/>
      <c r="BQ194" s="114"/>
      <c r="BR194" s="110"/>
      <c r="BS194" s="113"/>
      <c r="DI194" s="13"/>
      <c r="DJ194" s="13"/>
      <c r="DK194" s="13"/>
      <c r="DL194" s="13"/>
      <c r="DM194" s="13"/>
      <c r="DR194" s="29"/>
      <c r="DS194" s="29"/>
      <c r="DT194" s="29"/>
      <c r="DU194" s="29"/>
      <c r="DV194" s="29"/>
      <c r="DW194" s="29"/>
      <c r="DX194" s="29"/>
      <c r="DY194" s="29"/>
      <c r="DZ194" s="29"/>
      <c r="EA194" s="140"/>
      <c r="EB194" s="117"/>
      <c r="EC194" s="117"/>
      <c r="ED194" s="117"/>
      <c r="EE194" s="117"/>
      <c r="EF194" s="110"/>
      <c r="EG194" s="4"/>
      <c r="EH194" s="111"/>
      <c r="EI194" s="112"/>
      <c r="EJ194" s="112"/>
      <c r="EK194" s="110"/>
      <c r="EL194" s="113"/>
      <c r="EM194" s="114"/>
      <c r="EN194" s="114"/>
      <c r="EO194" s="110"/>
      <c r="EP194" s="113"/>
      <c r="EQ194" s="114"/>
      <c r="ER194" s="110"/>
      <c r="ES194" s="113"/>
    </row>
    <row r="195" spans="35:149">
      <c r="AI195" s="13"/>
      <c r="AJ195" s="13"/>
      <c r="AK195" s="13"/>
      <c r="AL195" s="13"/>
      <c r="AM195" s="13"/>
      <c r="AR195" s="29"/>
      <c r="AS195" s="29"/>
      <c r="AT195" s="29"/>
      <c r="AU195" s="29"/>
      <c r="AV195" s="29"/>
      <c r="AW195" s="29"/>
      <c r="AX195" s="29"/>
      <c r="AY195" s="29"/>
      <c r="AZ195" s="29"/>
      <c r="BA195" s="140"/>
      <c r="BB195" s="117"/>
      <c r="BC195" s="117"/>
      <c r="BD195" s="117"/>
      <c r="BE195" s="117"/>
      <c r="BF195" s="110"/>
      <c r="BG195" s="4"/>
      <c r="BH195" s="111"/>
      <c r="BI195" s="112"/>
      <c r="BJ195" s="112"/>
      <c r="BK195" s="110"/>
      <c r="BL195" s="113"/>
      <c r="BM195" s="114"/>
      <c r="BN195" s="114"/>
      <c r="BO195" s="110"/>
      <c r="BP195" s="113"/>
      <c r="BQ195" s="114"/>
      <c r="BR195" s="110"/>
      <c r="BS195" s="113"/>
      <c r="DI195" s="13"/>
      <c r="DJ195" s="13"/>
      <c r="DK195" s="13"/>
      <c r="DL195" s="13"/>
      <c r="DM195" s="13"/>
      <c r="DR195" s="29"/>
      <c r="DS195" s="29"/>
      <c r="DT195" s="29"/>
      <c r="DU195" s="29"/>
      <c r="DV195" s="29"/>
      <c r="DW195" s="29"/>
      <c r="DX195" s="29"/>
      <c r="DY195" s="29"/>
      <c r="DZ195" s="29"/>
      <c r="EA195" s="140"/>
      <c r="EB195" s="117"/>
      <c r="EC195" s="117"/>
      <c r="ED195" s="117"/>
      <c r="EE195" s="117"/>
      <c r="EF195" s="110"/>
      <c r="EG195" s="4"/>
      <c r="EH195" s="111"/>
      <c r="EI195" s="112"/>
      <c r="EJ195" s="112"/>
      <c r="EK195" s="110"/>
      <c r="EL195" s="113"/>
      <c r="EM195" s="114"/>
      <c r="EN195" s="114"/>
      <c r="EO195" s="110"/>
      <c r="EP195" s="113"/>
      <c r="EQ195" s="114"/>
      <c r="ER195" s="110"/>
      <c r="ES195" s="113"/>
    </row>
    <row r="196" spans="35:149">
      <c r="AI196" s="13"/>
      <c r="AJ196" s="13"/>
      <c r="AK196" s="13"/>
      <c r="AL196" s="13"/>
      <c r="AM196" s="13"/>
      <c r="AR196" s="29"/>
      <c r="AS196" s="29"/>
      <c r="AT196" s="29"/>
      <c r="AU196" s="29"/>
      <c r="AV196" s="29"/>
      <c r="AW196" s="29"/>
      <c r="AX196" s="29"/>
      <c r="AY196" s="29"/>
      <c r="AZ196" s="29"/>
      <c r="BA196" s="140"/>
      <c r="BB196" s="117"/>
      <c r="BC196" s="117"/>
      <c r="BD196" s="117"/>
      <c r="BE196" s="117"/>
      <c r="BF196" s="110"/>
      <c r="BG196" s="4"/>
      <c r="BH196" s="111"/>
      <c r="BI196" s="112"/>
      <c r="BJ196" s="112"/>
      <c r="BK196" s="110"/>
      <c r="BL196" s="113"/>
      <c r="BM196" s="114"/>
      <c r="BN196" s="114"/>
      <c r="BO196" s="110"/>
      <c r="BP196" s="113"/>
      <c r="BQ196" s="114"/>
      <c r="BR196" s="110"/>
      <c r="BS196" s="113"/>
      <c r="DI196" s="13"/>
      <c r="DJ196" s="13"/>
      <c r="DK196" s="13"/>
      <c r="DL196" s="13"/>
      <c r="DM196" s="13"/>
      <c r="DR196" s="29"/>
      <c r="DS196" s="29"/>
      <c r="DT196" s="29"/>
      <c r="DU196" s="29"/>
      <c r="DV196" s="29"/>
      <c r="DW196" s="29"/>
      <c r="DX196" s="29"/>
      <c r="DY196" s="29"/>
      <c r="DZ196" s="29"/>
      <c r="EA196" s="140"/>
      <c r="EB196" s="117"/>
      <c r="EC196" s="117"/>
      <c r="ED196" s="117"/>
      <c r="EE196" s="117"/>
      <c r="EF196" s="110"/>
      <c r="EG196" s="4"/>
      <c r="EH196" s="111"/>
      <c r="EI196" s="112"/>
      <c r="EJ196" s="112"/>
      <c r="EK196" s="110"/>
      <c r="EL196" s="113"/>
      <c r="EM196" s="114"/>
      <c r="EN196" s="114"/>
      <c r="EO196" s="110"/>
      <c r="EP196" s="113"/>
      <c r="EQ196" s="114"/>
      <c r="ER196" s="110"/>
      <c r="ES196" s="113"/>
    </row>
    <row r="197" spans="35:149">
      <c r="AI197" s="13"/>
      <c r="AJ197" s="13"/>
      <c r="AK197" s="13"/>
      <c r="AL197" s="13"/>
      <c r="AM197" s="13"/>
      <c r="AR197" s="29"/>
      <c r="AS197" s="29"/>
      <c r="AT197" s="29"/>
      <c r="AU197" s="29"/>
      <c r="AV197" s="29"/>
      <c r="AW197" s="29"/>
      <c r="AX197" s="29"/>
      <c r="AY197" s="29"/>
      <c r="AZ197" s="29"/>
      <c r="BA197" s="140"/>
      <c r="BB197" s="117"/>
      <c r="BC197" s="117"/>
      <c r="BD197" s="117"/>
      <c r="BE197" s="117"/>
      <c r="BF197" s="110"/>
      <c r="BG197" s="4"/>
      <c r="BH197" s="111"/>
      <c r="BI197" s="112"/>
      <c r="BJ197" s="112"/>
      <c r="BK197" s="110"/>
      <c r="BL197" s="113"/>
      <c r="BM197" s="114"/>
      <c r="BN197" s="114"/>
      <c r="BO197" s="110"/>
      <c r="BP197" s="113"/>
      <c r="BQ197" s="114"/>
      <c r="BR197" s="110"/>
      <c r="BS197" s="113"/>
      <c r="DI197" s="13"/>
      <c r="DJ197" s="13"/>
      <c r="DK197" s="13"/>
      <c r="DL197" s="13"/>
      <c r="DM197" s="13"/>
      <c r="DR197" s="29"/>
      <c r="DS197" s="29"/>
      <c r="DT197" s="29"/>
      <c r="DU197" s="29"/>
      <c r="DV197" s="29"/>
      <c r="DW197" s="29"/>
      <c r="DX197" s="29"/>
      <c r="DY197" s="29"/>
      <c r="DZ197" s="29"/>
      <c r="EA197" s="140"/>
      <c r="EB197" s="117"/>
      <c r="EC197" s="117"/>
      <c r="ED197" s="117"/>
      <c r="EE197" s="117"/>
      <c r="EF197" s="110"/>
      <c r="EG197" s="4"/>
      <c r="EH197" s="111"/>
      <c r="EI197" s="112"/>
      <c r="EJ197" s="112"/>
      <c r="EK197" s="110"/>
      <c r="EL197" s="113"/>
      <c r="EM197" s="114"/>
      <c r="EN197" s="114"/>
      <c r="EO197" s="110"/>
      <c r="EP197" s="113"/>
      <c r="EQ197" s="114"/>
      <c r="ER197" s="110"/>
      <c r="ES197" s="113"/>
    </row>
    <row r="198" spans="35:149">
      <c r="AI198" s="13"/>
      <c r="AJ198" s="13"/>
      <c r="AK198" s="13"/>
      <c r="AL198" s="13"/>
      <c r="AM198" s="13"/>
      <c r="AR198" s="29"/>
      <c r="AS198" s="29"/>
      <c r="AT198" s="29"/>
      <c r="AU198" s="29"/>
      <c r="AV198" s="29"/>
      <c r="AW198" s="29"/>
      <c r="AX198" s="29"/>
      <c r="AY198" s="29"/>
      <c r="AZ198" s="29"/>
      <c r="BA198" s="140"/>
      <c r="BB198" s="117"/>
      <c r="BC198" s="117"/>
      <c r="BD198" s="117"/>
      <c r="BE198" s="117"/>
      <c r="BF198" s="110"/>
      <c r="BG198" s="4"/>
      <c r="BH198" s="111"/>
      <c r="BI198" s="112"/>
      <c r="BJ198" s="112"/>
      <c r="BK198" s="110"/>
      <c r="BL198" s="113"/>
      <c r="BM198" s="114"/>
      <c r="BN198" s="114"/>
      <c r="BO198" s="110"/>
      <c r="BP198" s="113"/>
      <c r="BQ198" s="114"/>
      <c r="BR198" s="110"/>
      <c r="BS198" s="113"/>
      <c r="DI198" s="13"/>
      <c r="DJ198" s="13"/>
      <c r="DK198" s="13"/>
      <c r="DL198" s="13"/>
      <c r="DM198" s="13"/>
      <c r="DR198" s="29"/>
      <c r="DS198" s="29"/>
      <c r="DT198" s="29"/>
      <c r="DU198" s="29"/>
      <c r="DV198" s="29"/>
      <c r="DW198" s="29"/>
      <c r="DX198" s="29"/>
      <c r="DY198" s="29"/>
      <c r="DZ198" s="29"/>
      <c r="EA198" s="140"/>
      <c r="EB198" s="117"/>
      <c r="EC198" s="117"/>
      <c r="ED198" s="117"/>
      <c r="EE198" s="117"/>
      <c r="EF198" s="110"/>
      <c r="EG198" s="4"/>
      <c r="EH198" s="111"/>
      <c r="EI198" s="112"/>
      <c r="EJ198" s="112"/>
      <c r="EK198" s="110"/>
      <c r="EL198" s="113"/>
      <c r="EM198" s="114"/>
      <c r="EN198" s="114"/>
      <c r="EO198" s="110"/>
      <c r="EP198" s="113"/>
      <c r="EQ198" s="114"/>
      <c r="ER198" s="110"/>
      <c r="ES198" s="113"/>
    </row>
    <row r="199" spans="35:149">
      <c r="AI199" s="13"/>
      <c r="AJ199" s="13"/>
      <c r="AK199" s="13"/>
      <c r="AL199" s="13"/>
      <c r="AM199" s="13"/>
      <c r="AR199" s="29"/>
      <c r="AS199" s="29"/>
      <c r="AT199" s="29"/>
      <c r="AU199" s="29"/>
      <c r="AV199" s="29"/>
      <c r="AW199" s="29"/>
      <c r="AX199" s="29"/>
      <c r="AY199" s="29"/>
      <c r="AZ199" s="29"/>
      <c r="BA199" s="140"/>
      <c r="BB199" s="117"/>
      <c r="BC199" s="117"/>
      <c r="BD199" s="117"/>
      <c r="BE199" s="117"/>
      <c r="BF199" s="110"/>
      <c r="BG199" s="4"/>
      <c r="BH199" s="111"/>
      <c r="BI199" s="112"/>
      <c r="BJ199" s="112"/>
      <c r="BK199" s="110"/>
      <c r="BL199" s="113"/>
      <c r="BM199" s="114"/>
      <c r="BN199" s="114"/>
      <c r="BO199" s="110"/>
      <c r="BP199" s="113"/>
      <c r="BQ199" s="114"/>
      <c r="BR199" s="110"/>
      <c r="BS199" s="113"/>
      <c r="DI199" s="13"/>
      <c r="DJ199" s="13"/>
      <c r="DK199" s="13"/>
      <c r="DL199" s="13"/>
      <c r="DM199" s="13"/>
      <c r="DR199" s="29"/>
      <c r="DS199" s="29"/>
      <c r="DT199" s="29"/>
      <c r="DU199" s="29"/>
      <c r="DV199" s="29"/>
      <c r="DW199" s="29"/>
      <c r="DX199" s="29"/>
      <c r="DY199" s="29"/>
      <c r="DZ199" s="29"/>
      <c r="EA199" s="140"/>
      <c r="EB199" s="117"/>
      <c r="EC199" s="117"/>
      <c r="ED199" s="117"/>
      <c r="EE199" s="117"/>
      <c r="EF199" s="110"/>
      <c r="EG199" s="4"/>
      <c r="EH199" s="111"/>
      <c r="EI199" s="112"/>
      <c r="EJ199" s="112"/>
      <c r="EK199" s="110"/>
      <c r="EL199" s="113"/>
      <c r="EM199" s="114"/>
      <c r="EN199" s="114"/>
      <c r="EO199" s="110"/>
      <c r="EP199" s="113"/>
      <c r="EQ199" s="114"/>
      <c r="ER199" s="110"/>
      <c r="ES199" s="113"/>
    </row>
    <row r="200" spans="35:149">
      <c r="AI200" s="13"/>
      <c r="AJ200" s="13"/>
      <c r="AK200" s="13"/>
      <c r="AL200" s="13"/>
      <c r="AM200" s="13"/>
      <c r="AR200" s="29"/>
      <c r="AS200" s="29"/>
      <c r="AT200" s="29"/>
      <c r="AU200" s="29"/>
      <c r="AV200" s="29"/>
      <c r="AW200" s="29"/>
      <c r="AX200" s="29"/>
      <c r="AY200" s="29"/>
      <c r="AZ200" s="29"/>
      <c r="BA200" s="140"/>
      <c r="BB200" s="117"/>
      <c r="BC200" s="117"/>
      <c r="BD200" s="117"/>
      <c r="BE200" s="117"/>
      <c r="BF200" s="110"/>
      <c r="BG200" s="4"/>
      <c r="BH200" s="111"/>
      <c r="BI200" s="112"/>
      <c r="BJ200" s="112"/>
      <c r="BK200" s="110"/>
      <c r="BL200" s="113"/>
      <c r="BM200" s="114"/>
      <c r="BN200" s="114"/>
      <c r="BO200" s="110"/>
      <c r="BP200" s="113"/>
      <c r="BQ200" s="114"/>
      <c r="BR200" s="110"/>
      <c r="BS200" s="113"/>
      <c r="DI200" s="13"/>
      <c r="DJ200" s="13"/>
      <c r="DK200" s="13"/>
      <c r="DL200" s="13"/>
      <c r="DM200" s="13"/>
      <c r="DR200" s="29"/>
      <c r="DS200" s="29"/>
      <c r="DT200" s="29"/>
      <c r="DU200" s="29"/>
      <c r="DV200" s="29"/>
      <c r="DW200" s="29"/>
      <c r="DX200" s="29"/>
      <c r="DY200" s="29"/>
      <c r="DZ200" s="29"/>
      <c r="EA200" s="140"/>
      <c r="EB200" s="117"/>
      <c r="EC200" s="117"/>
      <c r="ED200" s="117"/>
      <c r="EE200" s="117"/>
      <c r="EF200" s="110"/>
      <c r="EG200" s="4"/>
      <c r="EH200" s="111"/>
      <c r="EI200" s="112"/>
      <c r="EJ200" s="112"/>
      <c r="EK200" s="110"/>
      <c r="EL200" s="113"/>
      <c r="EM200" s="114"/>
      <c r="EN200" s="114"/>
      <c r="EO200" s="110"/>
      <c r="EP200" s="113"/>
      <c r="EQ200" s="114"/>
      <c r="ER200" s="110"/>
      <c r="ES200" s="113"/>
    </row>
    <row r="201" spans="35:149">
      <c r="AI201" s="13"/>
      <c r="AJ201" s="13"/>
      <c r="AK201" s="13"/>
      <c r="AL201" s="13"/>
      <c r="AM201" s="13"/>
      <c r="AR201" s="29"/>
      <c r="AS201" s="29"/>
      <c r="AT201" s="29"/>
      <c r="AU201" s="29"/>
      <c r="AV201" s="29"/>
      <c r="AW201" s="29"/>
      <c r="AX201" s="29"/>
      <c r="AY201" s="29"/>
      <c r="AZ201" s="29"/>
      <c r="BA201" s="140"/>
      <c r="BB201" s="117"/>
      <c r="BC201" s="117"/>
      <c r="BD201" s="117"/>
      <c r="BE201" s="117"/>
      <c r="BF201" s="110"/>
      <c r="BG201" s="4"/>
      <c r="BH201" s="111"/>
      <c r="BI201" s="112"/>
      <c r="BJ201" s="112"/>
      <c r="BK201" s="110"/>
      <c r="BL201" s="113"/>
      <c r="BM201" s="114"/>
      <c r="BN201" s="114"/>
      <c r="BO201" s="110"/>
      <c r="BP201" s="113"/>
      <c r="BQ201" s="114"/>
      <c r="BR201" s="110"/>
      <c r="BS201" s="113"/>
      <c r="DI201" s="13"/>
      <c r="DJ201" s="13"/>
      <c r="DK201" s="13"/>
      <c r="DL201" s="13"/>
      <c r="DM201" s="13"/>
      <c r="DR201" s="29"/>
      <c r="DS201" s="29"/>
      <c r="DT201" s="29"/>
      <c r="DU201" s="29"/>
      <c r="DV201" s="29"/>
      <c r="DW201" s="29"/>
      <c r="DX201" s="29"/>
      <c r="DY201" s="29"/>
      <c r="DZ201" s="29"/>
      <c r="EA201" s="140"/>
      <c r="EB201" s="117"/>
      <c r="EC201" s="117"/>
      <c r="ED201" s="117"/>
      <c r="EE201" s="117"/>
      <c r="EF201" s="110"/>
      <c r="EG201" s="4"/>
      <c r="EH201" s="111"/>
      <c r="EI201" s="112"/>
      <c r="EJ201" s="112"/>
      <c r="EK201" s="110"/>
      <c r="EL201" s="113"/>
      <c r="EM201" s="114"/>
      <c r="EN201" s="114"/>
      <c r="EO201" s="110"/>
      <c r="EP201" s="113"/>
      <c r="EQ201" s="114"/>
      <c r="ER201" s="110"/>
      <c r="ES201" s="113"/>
    </row>
    <row r="202" spans="35:149">
      <c r="AI202" s="13"/>
      <c r="AJ202" s="13"/>
      <c r="AK202" s="13"/>
      <c r="AL202" s="13"/>
      <c r="AM202" s="13"/>
      <c r="AR202" s="29"/>
      <c r="AS202" s="29"/>
      <c r="AT202" s="29"/>
      <c r="AU202" s="29"/>
      <c r="AV202" s="29"/>
      <c r="AW202" s="29"/>
      <c r="AX202" s="29"/>
      <c r="AY202" s="29"/>
      <c r="AZ202" s="29"/>
      <c r="BA202" s="140"/>
      <c r="BB202" s="117"/>
      <c r="BC202" s="117"/>
      <c r="BD202" s="117"/>
      <c r="BE202" s="117"/>
      <c r="BF202" s="110"/>
      <c r="BG202" s="4"/>
      <c r="BH202" s="111"/>
      <c r="BI202" s="112"/>
      <c r="BJ202" s="112"/>
      <c r="BK202" s="110"/>
      <c r="BL202" s="113"/>
      <c r="BM202" s="114"/>
      <c r="BN202" s="114"/>
      <c r="BO202" s="110"/>
      <c r="BP202" s="113"/>
      <c r="BQ202" s="114"/>
      <c r="BR202" s="110"/>
      <c r="BS202" s="113"/>
      <c r="DI202" s="13"/>
      <c r="DJ202" s="13"/>
      <c r="DK202" s="13"/>
      <c r="DL202" s="13"/>
      <c r="DM202" s="13"/>
      <c r="DR202" s="29"/>
      <c r="DS202" s="29"/>
      <c r="DT202" s="29"/>
      <c r="DU202" s="29"/>
      <c r="DV202" s="29"/>
      <c r="DW202" s="29"/>
      <c r="DX202" s="29"/>
      <c r="DY202" s="29"/>
      <c r="DZ202" s="29"/>
      <c r="EA202" s="140"/>
      <c r="EB202" s="117"/>
      <c r="EC202" s="117"/>
      <c r="ED202" s="117"/>
      <c r="EE202" s="117"/>
      <c r="EF202" s="110"/>
      <c r="EG202" s="4"/>
      <c r="EH202" s="111"/>
      <c r="EI202" s="112"/>
      <c r="EJ202" s="112"/>
      <c r="EK202" s="110"/>
      <c r="EL202" s="113"/>
      <c r="EM202" s="114"/>
      <c r="EN202" s="114"/>
      <c r="EO202" s="110"/>
      <c r="EP202" s="113"/>
      <c r="EQ202" s="114"/>
      <c r="ER202" s="110"/>
      <c r="ES202" s="113"/>
    </row>
    <row r="203" spans="35:149">
      <c r="AI203" s="13"/>
      <c r="AJ203" s="13"/>
      <c r="AK203" s="13"/>
      <c r="AL203" s="13"/>
      <c r="AM203" s="13"/>
      <c r="AR203" s="29"/>
      <c r="AS203" s="29"/>
      <c r="AT203" s="29"/>
      <c r="AU203" s="29"/>
      <c r="AV203" s="29"/>
      <c r="AW203" s="29"/>
      <c r="AX203" s="29"/>
      <c r="AY203" s="29"/>
      <c r="AZ203" s="29"/>
      <c r="BA203" s="140"/>
      <c r="BB203" s="117"/>
      <c r="BC203" s="117"/>
      <c r="BD203" s="117"/>
      <c r="BE203" s="117"/>
      <c r="BF203" s="110"/>
      <c r="BG203" s="4"/>
      <c r="BH203" s="111"/>
      <c r="BI203" s="112"/>
      <c r="BJ203" s="112"/>
      <c r="BK203" s="110"/>
      <c r="BL203" s="113"/>
      <c r="BM203" s="114"/>
      <c r="BN203" s="114"/>
      <c r="BO203" s="110"/>
      <c r="BP203" s="113"/>
      <c r="BQ203" s="114"/>
      <c r="BR203" s="110"/>
      <c r="BS203" s="113"/>
      <c r="DI203" s="13"/>
      <c r="DJ203" s="13"/>
      <c r="DK203" s="13"/>
      <c r="DL203" s="13"/>
      <c r="DM203" s="13"/>
      <c r="DR203" s="29"/>
      <c r="DS203" s="29"/>
      <c r="DT203" s="29"/>
      <c r="DU203" s="29"/>
      <c r="DV203" s="29"/>
      <c r="DW203" s="29"/>
      <c r="DX203" s="29"/>
      <c r="DY203" s="29"/>
      <c r="DZ203" s="29"/>
      <c r="EA203" s="140"/>
      <c r="EB203" s="117"/>
      <c r="EC203" s="117"/>
      <c r="ED203" s="117"/>
      <c r="EE203" s="117"/>
      <c r="EF203" s="110"/>
      <c r="EG203" s="4"/>
      <c r="EH203" s="111"/>
      <c r="EI203" s="112"/>
      <c r="EJ203" s="112"/>
      <c r="EK203" s="110"/>
      <c r="EL203" s="113"/>
      <c r="EM203" s="114"/>
      <c r="EN203" s="114"/>
      <c r="EO203" s="110"/>
      <c r="EP203" s="113"/>
      <c r="EQ203" s="114"/>
      <c r="ER203" s="110"/>
      <c r="ES203" s="113"/>
    </row>
    <row r="204" spans="35:149">
      <c r="AI204" s="13"/>
      <c r="AJ204" s="13"/>
      <c r="AK204" s="13"/>
      <c r="AL204" s="13"/>
      <c r="AM204" s="13"/>
      <c r="AR204" s="29"/>
      <c r="AS204" s="29"/>
      <c r="AT204" s="29"/>
      <c r="AU204" s="29"/>
      <c r="AV204" s="29"/>
      <c r="AW204" s="29"/>
      <c r="AX204" s="29"/>
      <c r="AY204" s="29"/>
      <c r="AZ204" s="29"/>
      <c r="BA204" s="140"/>
      <c r="BB204" s="117"/>
      <c r="BC204" s="117"/>
      <c r="BD204" s="117"/>
      <c r="BE204" s="117"/>
      <c r="BF204" s="110"/>
      <c r="BG204" s="4"/>
      <c r="BH204" s="111"/>
      <c r="BI204" s="112"/>
      <c r="BJ204" s="112"/>
      <c r="BK204" s="110"/>
      <c r="BL204" s="113"/>
      <c r="BM204" s="114"/>
      <c r="BN204" s="114"/>
      <c r="BO204" s="110"/>
      <c r="BP204" s="113"/>
      <c r="BQ204" s="114"/>
      <c r="BR204" s="110"/>
      <c r="BS204" s="113"/>
      <c r="DI204" s="13"/>
      <c r="DJ204" s="13"/>
      <c r="DK204" s="13"/>
      <c r="DL204" s="13"/>
      <c r="DM204" s="13"/>
      <c r="DR204" s="29"/>
      <c r="DS204" s="29"/>
      <c r="DT204" s="29"/>
      <c r="DU204" s="29"/>
      <c r="DV204" s="29"/>
      <c r="DW204" s="29"/>
      <c r="DX204" s="29"/>
      <c r="DY204" s="29"/>
      <c r="DZ204" s="29"/>
      <c r="EA204" s="140"/>
      <c r="EB204" s="117"/>
      <c r="EC204" s="117"/>
      <c r="ED204" s="117"/>
      <c r="EE204" s="117"/>
      <c r="EF204" s="110"/>
      <c r="EG204" s="4"/>
      <c r="EH204" s="111"/>
      <c r="EI204" s="112"/>
      <c r="EJ204" s="112"/>
      <c r="EK204" s="110"/>
      <c r="EL204" s="113"/>
      <c r="EM204" s="114"/>
      <c r="EN204" s="114"/>
      <c r="EO204" s="110"/>
      <c r="EP204" s="113"/>
      <c r="EQ204" s="114"/>
      <c r="ER204" s="110"/>
      <c r="ES204" s="113"/>
    </row>
    <row r="205" spans="35:149">
      <c r="AI205" s="13"/>
      <c r="AJ205" s="13"/>
      <c r="AK205" s="13"/>
      <c r="AL205" s="13"/>
      <c r="AM205" s="13"/>
      <c r="AR205" s="29"/>
      <c r="AS205" s="29"/>
      <c r="AT205" s="29"/>
      <c r="AU205" s="29"/>
      <c r="AV205" s="29"/>
      <c r="AW205" s="29"/>
      <c r="AX205" s="29"/>
      <c r="AY205" s="29"/>
      <c r="AZ205" s="29"/>
      <c r="BA205" s="140"/>
      <c r="BB205" s="117"/>
      <c r="BC205" s="117"/>
      <c r="BD205" s="117"/>
      <c r="BE205" s="117"/>
      <c r="BF205" s="110"/>
      <c r="BG205" s="4"/>
      <c r="BH205" s="111"/>
      <c r="BI205" s="112"/>
      <c r="BJ205" s="112"/>
      <c r="BK205" s="110"/>
      <c r="BL205" s="113"/>
      <c r="BM205" s="114"/>
      <c r="BN205" s="114"/>
      <c r="BO205" s="110"/>
      <c r="BP205" s="113"/>
      <c r="BQ205" s="114"/>
      <c r="BR205" s="110"/>
      <c r="BS205" s="113"/>
      <c r="DI205" s="13"/>
      <c r="DJ205" s="13"/>
      <c r="DK205" s="13"/>
      <c r="DL205" s="13"/>
      <c r="DM205" s="13"/>
      <c r="DR205" s="29"/>
      <c r="DS205" s="29"/>
      <c r="DT205" s="29"/>
      <c r="DU205" s="29"/>
      <c r="DV205" s="29"/>
      <c r="DW205" s="29"/>
      <c r="DX205" s="29"/>
      <c r="DY205" s="29"/>
      <c r="DZ205" s="29"/>
      <c r="EA205" s="140"/>
      <c r="EB205" s="117"/>
      <c r="EC205" s="117"/>
      <c r="ED205" s="117"/>
      <c r="EE205" s="117"/>
      <c r="EF205" s="110"/>
      <c r="EG205" s="4"/>
      <c r="EH205" s="111"/>
      <c r="EI205" s="112"/>
      <c r="EJ205" s="112"/>
      <c r="EK205" s="110"/>
      <c r="EL205" s="113"/>
      <c r="EM205" s="114"/>
      <c r="EN205" s="114"/>
      <c r="EO205" s="110"/>
      <c r="EP205" s="113"/>
      <c r="EQ205" s="114"/>
      <c r="ER205" s="110"/>
      <c r="ES205" s="113"/>
    </row>
    <row r="206" spans="35:149">
      <c r="AI206" s="13"/>
      <c r="AJ206" s="13"/>
      <c r="AK206" s="13"/>
      <c r="AL206" s="13"/>
      <c r="AM206" s="13"/>
      <c r="AR206" s="29"/>
      <c r="AS206" s="29"/>
      <c r="AT206" s="29"/>
      <c r="AU206" s="29"/>
      <c r="AV206" s="29"/>
      <c r="AW206" s="29"/>
      <c r="AX206" s="29"/>
      <c r="AY206" s="29"/>
      <c r="AZ206" s="29"/>
      <c r="BA206" s="140"/>
      <c r="BB206" s="117"/>
      <c r="BC206" s="117"/>
      <c r="BD206" s="117"/>
      <c r="BE206" s="117"/>
      <c r="BF206" s="110"/>
      <c r="BG206" s="4"/>
      <c r="BH206" s="111"/>
      <c r="BI206" s="112"/>
      <c r="BJ206" s="112"/>
      <c r="BK206" s="110"/>
      <c r="BL206" s="113"/>
      <c r="BM206" s="114"/>
      <c r="BN206" s="114"/>
      <c r="BO206" s="110"/>
      <c r="BP206" s="113"/>
      <c r="BQ206" s="114"/>
      <c r="BR206" s="110"/>
      <c r="BS206" s="113"/>
      <c r="DI206" s="13"/>
      <c r="DJ206" s="13"/>
      <c r="DK206" s="13"/>
      <c r="DL206" s="13"/>
      <c r="DM206" s="13"/>
      <c r="DR206" s="29"/>
      <c r="DS206" s="29"/>
      <c r="DT206" s="29"/>
      <c r="DU206" s="29"/>
      <c r="DV206" s="29"/>
      <c r="DW206" s="29"/>
      <c r="DX206" s="29"/>
      <c r="DY206" s="29"/>
      <c r="DZ206" s="29"/>
      <c r="EA206" s="140"/>
      <c r="EB206" s="117"/>
      <c r="EC206" s="117"/>
      <c r="ED206" s="117"/>
      <c r="EE206" s="117"/>
      <c r="EF206" s="110"/>
      <c r="EG206" s="4"/>
      <c r="EH206" s="111"/>
      <c r="EI206" s="112"/>
      <c r="EJ206" s="112"/>
      <c r="EK206" s="110"/>
      <c r="EL206" s="113"/>
      <c r="EM206" s="114"/>
      <c r="EN206" s="114"/>
      <c r="EO206" s="110"/>
      <c r="EP206" s="113"/>
      <c r="EQ206" s="114"/>
      <c r="ER206" s="110"/>
      <c r="ES206" s="113"/>
    </row>
    <row r="207" spans="35:149">
      <c r="AI207" s="13"/>
      <c r="AJ207" s="13"/>
      <c r="AK207" s="13"/>
      <c r="AL207" s="13"/>
      <c r="AM207" s="13"/>
      <c r="AR207" s="29"/>
      <c r="AS207" s="29"/>
      <c r="AT207" s="29"/>
      <c r="AU207" s="29"/>
      <c r="AV207" s="29"/>
      <c r="AW207" s="29"/>
      <c r="AX207" s="29"/>
      <c r="AY207" s="29"/>
      <c r="AZ207" s="29"/>
      <c r="BA207" s="140"/>
      <c r="BB207" s="117"/>
      <c r="BC207" s="117"/>
      <c r="BD207" s="117"/>
      <c r="BE207" s="117"/>
      <c r="BF207" s="110"/>
      <c r="BG207" s="4"/>
      <c r="BH207" s="111"/>
      <c r="BI207" s="112"/>
      <c r="BJ207" s="112"/>
      <c r="BK207" s="110"/>
      <c r="BL207" s="113"/>
      <c r="BM207" s="114"/>
      <c r="BN207" s="114"/>
      <c r="BO207" s="110"/>
      <c r="BP207" s="113"/>
      <c r="BQ207" s="114"/>
      <c r="BR207" s="110"/>
      <c r="BS207" s="113"/>
      <c r="DI207" s="13"/>
      <c r="DJ207" s="13"/>
      <c r="DK207" s="13"/>
      <c r="DL207" s="13"/>
      <c r="DM207" s="13"/>
      <c r="DR207" s="29"/>
      <c r="DS207" s="29"/>
      <c r="DT207" s="29"/>
      <c r="DU207" s="29"/>
      <c r="DV207" s="29"/>
      <c r="DW207" s="29"/>
      <c r="DX207" s="29"/>
      <c r="DY207" s="29"/>
      <c r="DZ207" s="29"/>
      <c r="EA207" s="140"/>
      <c r="EB207" s="117"/>
      <c r="EC207" s="117"/>
      <c r="ED207" s="117"/>
      <c r="EE207" s="117"/>
      <c r="EF207" s="110"/>
      <c r="EG207" s="4"/>
      <c r="EH207" s="111"/>
      <c r="EI207" s="112"/>
      <c r="EJ207" s="112"/>
      <c r="EK207" s="110"/>
      <c r="EL207" s="113"/>
      <c r="EM207" s="114"/>
      <c r="EN207" s="114"/>
      <c r="EO207" s="110"/>
      <c r="EP207" s="113"/>
      <c r="EQ207" s="114"/>
      <c r="ER207" s="110"/>
      <c r="ES207" s="113"/>
    </row>
    <row r="208" spans="35:149">
      <c r="AI208" s="13"/>
      <c r="AJ208" s="13"/>
      <c r="AK208" s="13"/>
      <c r="AL208" s="13"/>
      <c r="AM208" s="13"/>
      <c r="AR208" s="29"/>
      <c r="AS208" s="29"/>
      <c r="AT208" s="29"/>
      <c r="AU208" s="29"/>
      <c r="AV208" s="29"/>
      <c r="AW208" s="29"/>
      <c r="AX208" s="29"/>
      <c r="AY208" s="29"/>
      <c r="AZ208" s="29"/>
      <c r="BA208" s="140"/>
      <c r="BB208" s="117"/>
      <c r="BC208" s="117"/>
      <c r="BD208" s="117"/>
      <c r="BE208" s="117"/>
      <c r="BF208" s="110"/>
      <c r="BG208" s="4"/>
      <c r="BH208" s="111"/>
      <c r="BI208" s="112"/>
      <c r="BJ208" s="112"/>
      <c r="BK208" s="110"/>
      <c r="BL208" s="113"/>
      <c r="BM208" s="114"/>
      <c r="BN208" s="114"/>
      <c r="BO208" s="110"/>
      <c r="BP208" s="113"/>
      <c r="BQ208" s="114"/>
      <c r="BR208" s="110"/>
      <c r="BS208" s="113"/>
      <c r="DI208" s="13"/>
      <c r="DJ208" s="13"/>
      <c r="DK208" s="13"/>
      <c r="DL208" s="13"/>
      <c r="DM208" s="13"/>
      <c r="DR208" s="29"/>
      <c r="DS208" s="29"/>
      <c r="DT208" s="29"/>
      <c r="DU208" s="29"/>
      <c r="DV208" s="29"/>
      <c r="DW208" s="29"/>
      <c r="DX208" s="29"/>
      <c r="DY208" s="29"/>
      <c r="DZ208" s="29"/>
      <c r="EA208" s="140"/>
      <c r="EB208" s="117"/>
      <c r="EC208" s="117"/>
      <c r="ED208" s="117"/>
      <c r="EE208" s="117"/>
      <c r="EF208" s="110"/>
      <c r="EG208" s="4"/>
      <c r="EH208" s="111"/>
      <c r="EI208" s="112"/>
      <c r="EJ208" s="112"/>
      <c r="EK208" s="110"/>
      <c r="EL208" s="113"/>
      <c r="EM208" s="114"/>
      <c r="EN208" s="114"/>
      <c r="EO208" s="110"/>
      <c r="EP208" s="113"/>
      <c r="EQ208" s="114"/>
      <c r="ER208" s="110"/>
      <c r="ES208" s="113"/>
    </row>
    <row r="209" spans="35:149">
      <c r="AI209" s="13"/>
      <c r="AJ209" s="13"/>
      <c r="AK209" s="13"/>
      <c r="AL209" s="13"/>
      <c r="AM209" s="13"/>
      <c r="AR209" s="29"/>
      <c r="AS209" s="29"/>
      <c r="AT209" s="29"/>
      <c r="AU209" s="29"/>
      <c r="AV209" s="29"/>
      <c r="AW209" s="29"/>
      <c r="AX209" s="29"/>
      <c r="AY209" s="29"/>
      <c r="AZ209" s="29"/>
      <c r="BA209" s="140"/>
      <c r="BB209" s="117"/>
      <c r="BC209" s="117"/>
      <c r="BD209" s="117"/>
      <c r="BE209" s="117"/>
      <c r="BF209" s="110"/>
      <c r="BG209" s="4"/>
      <c r="BH209" s="111"/>
      <c r="BI209" s="112"/>
      <c r="BJ209" s="112"/>
      <c r="BK209" s="110"/>
      <c r="BL209" s="113"/>
      <c r="BM209" s="114"/>
      <c r="BN209" s="114"/>
      <c r="BO209" s="110"/>
      <c r="BP209" s="113"/>
      <c r="BQ209" s="114"/>
      <c r="BR209" s="110"/>
      <c r="BS209" s="113"/>
      <c r="DI209" s="13"/>
      <c r="DJ209" s="13"/>
      <c r="DK209" s="13"/>
      <c r="DL209" s="13"/>
      <c r="DM209" s="13"/>
      <c r="DR209" s="29"/>
      <c r="DS209" s="29"/>
      <c r="DT209" s="29"/>
      <c r="DU209" s="29"/>
      <c r="DV209" s="29"/>
      <c r="DW209" s="29"/>
      <c r="DX209" s="29"/>
      <c r="DY209" s="29"/>
      <c r="DZ209" s="29"/>
      <c r="EA209" s="140"/>
      <c r="EB209" s="117"/>
      <c r="EC209" s="117"/>
      <c r="ED209" s="117"/>
      <c r="EE209" s="117"/>
      <c r="EF209" s="110"/>
      <c r="EG209" s="4"/>
      <c r="EH209" s="111"/>
      <c r="EI209" s="112"/>
      <c r="EJ209" s="112"/>
      <c r="EK209" s="110"/>
      <c r="EL209" s="113"/>
      <c r="EM209" s="114"/>
      <c r="EN209" s="114"/>
      <c r="EO209" s="110"/>
      <c r="EP209" s="113"/>
      <c r="EQ209" s="114"/>
      <c r="ER209" s="110"/>
      <c r="ES209" s="113"/>
    </row>
    <row r="210" spans="35:149">
      <c r="AI210" s="13"/>
      <c r="AJ210" s="13"/>
      <c r="AK210" s="13"/>
      <c r="AL210" s="13"/>
      <c r="AM210" s="13"/>
      <c r="AR210" s="29"/>
      <c r="AS210" s="29"/>
      <c r="AT210" s="29"/>
      <c r="AU210" s="29"/>
      <c r="AV210" s="29"/>
      <c r="AW210" s="29"/>
      <c r="AX210" s="29"/>
      <c r="AY210" s="29"/>
      <c r="AZ210" s="29"/>
      <c r="BA210" s="140"/>
      <c r="BB210" s="117"/>
      <c r="BC210" s="117"/>
      <c r="BD210" s="117"/>
      <c r="BE210" s="117"/>
      <c r="BF210" s="110"/>
      <c r="BG210" s="4"/>
      <c r="BH210" s="111"/>
      <c r="BI210" s="112"/>
      <c r="BJ210" s="112"/>
      <c r="BK210" s="110"/>
      <c r="BL210" s="113"/>
      <c r="BM210" s="114"/>
      <c r="BN210" s="114"/>
      <c r="BO210" s="110"/>
      <c r="BP210" s="113"/>
      <c r="BQ210" s="114"/>
      <c r="BR210" s="110"/>
      <c r="BS210" s="113"/>
      <c r="DI210" s="13"/>
      <c r="DJ210" s="13"/>
      <c r="DK210" s="13"/>
      <c r="DL210" s="13"/>
      <c r="DM210" s="13"/>
      <c r="DR210" s="29"/>
      <c r="DS210" s="29"/>
      <c r="DT210" s="29"/>
      <c r="DU210" s="29"/>
      <c r="DV210" s="29"/>
      <c r="DW210" s="29"/>
      <c r="DX210" s="29"/>
      <c r="DY210" s="29"/>
      <c r="DZ210" s="29"/>
      <c r="EA210" s="140"/>
      <c r="EB210" s="117"/>
      <c r="EC210" s="117"/>
      <c r="ED210" s="117"/>
      <c r="EE210" s="117"/>
      <c r="EF210" s="110"/>
      <c r="EG210" s="4"/>
      <c r="EH210" s="111"/>
      <c r="EI210" s="112"/>
      <c r="EJ210" s="112"/>
      <c r="EK210" s="110"/>
      <c r="EL210" s="113"/>
      <c r="EM210" s="114"/>
      <c r="EN210" s="114"/>
      <c r="EO210" s="110"/>
      <c r="EP210" s="113"/>
      <c r="EQ210" s="114"/>
      <c r="ER210" s="110"/>
      <c r="ES210" s="113"/>
    </row>
    <row r="211" spans="35:149">
      <c r="AI211" s="13"/>
      <c r="AJ211" s="13"/>
      <c r="AK211" s="13"/>
      <c r="AL211" s="13"/>
      <c r="AM211" s="13"/>
      <c r="AR211" s="29"/>
      <c r="AS211" s="29"/>
      <c r="AT211" s="29"/>
      <c r="AU211" s="29"/>
      <c r="AV211" s="29"/>
      <c r="AW211" s="29"/>
      <c r="AX211" s="29"/>
      <c r="AY211" s="29"/>
      <c r="AZ211" s="29"/>
      <c r="BA211" s="140"/>
      <c r="BB211" s="117"/>
      <c r="BC211" s="117"/>
      <c r="BD211" s="117"/>
      <c r="BE211" s="117"/>
      <c r="BF211" s="110"/>
      <c r="BG211" s="4"/>
      <c r="BH211" s="111"/>
      <c r="BI211" s="112"/>
      <c r="BJ211" s="112"/>
      <c r="BK211" s="110"/>
      <c r="BL211" s="113"/>
      <c r="BM211" s="114"/>
      <c r="BN211" s="114"/>
      <c r="BO211" s="110"/>
      <c r="BP211" s="113"/>
      <c r="BQ211" s="114"/>
      <c r="BR211" s="110"/>
      <c r="BS211" s="113"/>
      <c r="DI211" s="13"/>
      <c r="DJ211" s="13"/>
      <c r="DK211" s="13"/>
      <c r="DL211" s="13"/>
      <c r="DM211" s="13"/>
      <c r="DR211" s="29"/>
      <c r="DS211" s="29"/>
      <c r="DT211" s="29"/>
      <c r="DU211" s="29"/>
      <c r="DV211" s="29"/>
      <c r="DW211" s="29"/>
      <c r="DX211" s="29"/>
      <c r="DY211" s="29"/>
      <c r="DZ211" s="29"/>
      <c r="EA211" s="140"/>
      <c r="EB211" s="117"/>
      <c r="EC211" s="117"/>
      <c r="ED211" s="117"/>
      <c r="EE211" s="117"/>
      <c r="EF211" s="110"/>
      <c r="EG211" s="4"/>
      <c r="EH211" s="111"/>
      <c r="EI211" s="112"/>
      <c r="EJ211" s="112"/>
      <c r="EK211" s="110"/>
      <c r="EL211" s="113"/>
      <c r="EM211" s="114"/>
      <c r="EN211" s="114"/>
      <c r="EO211" s="110"/>
      <c r="EP211" s="113"/>
      <c r="EQ211" s="114"/>
      <c r="ER211" s="110"/>
      <c r="ES211" s="113"/>
    </row>
    <row r="212" spans="35:149">
      <c r="AI212" s="13"/>
      <c r="AJ212" s="13"/>
      <c r="AK212" s="13"/>
      <c r="AL212" s="13"/>
      <c r="AM212" s="13"/>
      <c r="AR212" s="29"/>
      <c r="AS212" s="29"/>
      <c r="AT212" s="29"/>
      <c r="AU212" s="29"/>
      <c r="AV212" s="29"/>
      <c r="AW212" s="29"/>
      <c r="AX212" s="29"/>
      <c r="AY212" s="29"/>
      <c r="AZ212" s="29"/>
      <c r="BA212" s="140"/>
      <c r="BB212" s="117"/>
      <c r="BC212" s="117"/>
      <c r="BD212" s="117"/>
      <c r="BE212" s="117"/>
      <c r="BF212" s="110"/>
      <c r="BG212" s="4"/>
      <c r="BH212" s="111"/>
      <c r="BI212" s="112"/>
      <c r="BJ212" s="112"/>
      <c r="BK212" s="110"/>
      <c r="BL212" s="113"/>
      <c r="BM212" s="114"/>
      <c r="BN212" s="114"/>
      <c r="BO212" s="110"/>
      <c r="BP212" s="113"/>
      <c r="BQ212" s="114"/>
      <c r="BR212" s="110"/>
      <c r="BS212" s="113"/>
      <c r="DI212" s="13"/>
      <c r="DJ212" s="13"/>
      <c r="DK212" s="13"/>
      <c r="DL212" s="13"/>
      <c r="DM212" s="13"/>
      <c r="DR212" s="29"/>
      <c r="DS212" s="29"/>
      <c r="DT212" s="29"/>
      <c r="DU212" s="29"/>
      <c r="DV212" s="29"/>
      <c r="DW212" s="29"/>
      <c r="DX212" s="29"/>
      <c r="DY212" s="29"/>
      <c r="DZ212" s="29"/>
      <c r="EA212" s="140"/>
      <c r="EB212" s="117"/>
      <c r="EC212" s="117"/>
      <c r="ED212" s="117"/>
      <c r="EE212" s="117"/>
      <c r="EF212" s="110"/>
      <c r="EG212" s="4"/>
      <c r="EH212" s="111"/>
      <c r="EI212" s="112"/>
      <c r="EJ212" s="112"/>
      <c r="EK212" s="110"/>
      <c r="EL212" s="113"/>
      <c r="EM212" s="114"/>
      <c r="EN212" s="114"/>
      <c r="EO212" s="110"/>
      <c r="EP212" s="113"/>
      <c r="EQ212" s="114"/>
      <c r="ER212" s="110"/>
      <c r="ES212" s="113"/>
    </row>
    <row r="213" spans="35:149">
      <c r="AI213" s="13"/>
      <c r="AJ213" s="13"/>
      <c r="AK213" s="13"/>
      <c r="AL213" s="13"/>
      <c r="AM213" s="13"/>
      <c r="AR213" s="29"/>
      <c r="AS213" s="29"/>
      <c r="AT213" s="29"/>
      <c r="AU213" s="29"/>
      <c r="AV213" s="29"/>
      <c r="AW213" s="29"/>
      <c r="AX213" s="29"/>
      <c r="AY213" s="29"/>
      <c r="AZ213" s="29"/>
      <c r="BA213" s="140"/>
      <c r="BB213" s="117"/>
      <c r="BC213" s="117"/>
      <c r="BD213" s="117"/>
      <c r="BE213" s="117"/>
      <c r="BF213" s="110"/>
      <c r="BG213" s="4"/>
      <c r="BH213" s="111"/>
      <c r="BI213" s="112"/>
      <c r="BJ213" s="112"/>
      <c r="BK213" s="110"/>
      <c r="BL213" s="113"/>
      <c r="BM213" s="114"/>
      <c r="BN213" s="114"/>
      <c r="BO213" s="110"/>
      <c r="BP213" s="113"/>
      <c r="BQ213" s="114"/>
      <c r="BR213" s="110"/>
      <c r="BS213" s="113"/>
      <c r="DI213" s="13"/>
      <c r="DJ213" s="13"/>
      <c r="DK213" s="13"/>
      <c r="DL213" s="13"/>
      <c r="DM213" s="13"/>
      <c r="DR213" s="29"/>
      <c r="DS213" s="29"/>
      <c r="DT213" s="29"/>
      <c r="DU213" s="29"/>
      <c r="DV213" s="29"/>
      <c r="DW213" s="29"/>
      <c r="DX213" s="29"/>
      <c r="DY213" s="29"/>
      <c r="DZ213" s="29"/>
      <c r="EA213" s="140"/>
      <c r="EB213" s="117"/>
      <c r="EC213" s="117"/>
      <c r="ED213" s="117"/>
      <c r="EE213" s="117"/>
      <c r="EF213" s="110"/>
      <c r="EG213" s="4"/>
      <c r="EH213" s="111"/>
      <c r="EI213" s="112"/>
      <c r="EJ213" s="112"/>
      <c r="EK213" s="110"/>
      <c r="EL213" s="113"/>
      <c r="EM213" s="114"/>
      <c r="EN213" s="114"/>
      <c r="EO213" s="110"/>
      <c r="EP213" s="113"/>
      <c r="EQ213" s="114"/>
      <c r="ER213" s="110"/>
      <c r="ES213" s="113"/>
    </row>
    <row r="214" spans="35:149">
      <c r="AI214" s="13"/>
      <c r="AJ214" s="13"/>
      <c r="AK214" s="13"/>
      <c r="AL214" s="13"/>
      <c r="AM214" s="13"/>
      <c r="AR214" s="29"/>
      <c r="AS214" s="29"/>
      <c r="AT214" s="29"/>
      <c r="AU214" s="29"/>
      <c r="AV214" s="29"/>
      <c r="AW214" s="29"/>
      <c r="AX214" s="29"/>
      <c r="AY214" s="29"/>
      <c r="AZ214" s="29"/>
      <c r="BA214" s="140"/>
      <c r="BB214" s="117"/>
      <c r="BC214" s="117"/>
      <c r="BD214" s="117"/>
      <c r="BE214" s="117"/>
      <c r="BF214" s="110"/>
      <c r="BG214" s="4"/>
      <c r="BH214" s="111"/>
      <c r="BI214" s="112"/>
      <c r="BJ214" s="112"/>
      <c r="BK214" s="110"/>
      <c r="BL214" s="113"/>
      <c r="BM214" s="114"/>
      <c r="BN214" s="114"/>
      <c r="BO214" s="110"/>
      <c r="BP214" s="113"/>
      <c r="BQ214" s="114"/>
      <c r="BR214" s="110"/>
      <c r="BS214" s="113"/>
      <c r="DI214" s="13"/>
      <c r="DJ214" s="13"/>
      <c r="DK214" s="13"/>
      <c r="DL214" s="13"/>
      <c r="DM214" s="13"/>
      <c r="DR214" s="29"/>
      <c r="DS214" s="29"/>
      <c r="DT214" s="29"/>
      <c r="DU214" s="29"/>
      <c r="DV214" s="29"/>
      <c r="DW214" s="29"/>
      <c r="DX214" s="29"/>
      <c r="DY214" s="29"/>
      <c r="DZ214" s="29"/>
      <c r="EA214" s="140"/>
      <c r="EB214" s="117"/>
      <c r="EC214" s="117"/>
      <c r="ED214" s="117"/>
      <c r="EE214" s="117"/>
      <c r="EF214" s="110"/>
      <c r="EG214" s="4"/>
      <c r="EH214" s="111"/>
      <c r="EI214" s="112"/>
      <c r="EJ214" s="112"/>
      <c r="EK214" s="110"/>
      <c r="EL214" s="113"/>
      <c r="EM214" s="114"/>
      <c r="EN214" s="114"/>
      <c r="EO214" s="110"/>
      <c r="EP214" s="113"/>
      <c r="EQ214" s="114"/>
      <c r="ER214" s="110"/>
      <c r="ES214" s="113"/>
    </row>
    <row r="215" spans="35:149">
      <c r="AI215" s="13"/>
      <c r="AJ215" s="13"/>
      <c r="AK215" s="13"/>
      <c r="AL215" s="13"/>
      <c r="AM215" s="13"/>
      <c r="AR215" s="29"/>
      <c r="AS215" s="29"/>
      <c r="AT215" s="29"/>
      <c r="AU215" s="29"/>
      <c r="AV215" s="29"/>
      <c r="AW215" s="29"/>
      <c r="AX215" s="29"/>
      <c r="AY215" s="29"/>
      <c r="AZ215" s="29"/>
      <c r="BA215" s="140"/>
      <c r="BB215" s="117"/>
      <c r="BC215" s="117"/>
      <c r="BD215" s="117"/>
      <c r="BE215" s="117"/>
      <c r="BF215" s="110"/>
      <c r="BG215" s="4"/>
      <c r="BH215" s="111"/>
      <c r="BI215" s="112"/>
      <c r="BJ215" s="112"/>
      <c r="BK215" s="110"/>
      <c r="BL215" s="113"/>
      <c r="BM215" s="114"/>
      <c r="BN215" s="114"/>
      <c r="BO215" s="110"/>
      <c r="BP215" s="113"/>
      <c r="BQ215" s="114"/>
      <c r="BR215" s="110"/>
      <c r="BS215" s="113"/>
      <c r="DI215" s="13"/>
      <c r="DJ215" s="13"/>
      <c r="DK215" s="13"/>
      <c r="DL215" s="13"/>
      <c r="DM215" s="13"/>
      <c r="DR215" s="29"/>
      <c r="DS215" s="29"/>
      <c r="DT215" s="29"/>
      <c r="DU215" s="29"/>
      <c r="DV215" s="29"/>
      <c r="DW215" s="29"/>
      <c r="DX215" s="29"/>
      <c r="DY215" s="29"/>
      <c r="DZ215" s="29"/>
      <c r="EA215" s="140"/>
      <c r="EB215" s="117"/>
      <c r="EC215" s="117"/>
      <c r="ED215" s="117"/>
      <c r="EE215" s="117"/>
      <c r="EF215" s="110"/>
      <c r="EG215" s="4"/>
      <c r="EH215" s="111"/>
      <c r="EI215" s="112"/>
      <c r="EJ215" s="112"/>
      <c r="EK215" s="110"/>
      <c r="EL215" s="113"/>
      <c r="EM215" s="114"/>
      <c r="EN215" s="114"/>
      <c r="EO215" s="110"/>
      <c r="EP215" s="113"/>
      <c r="EQ215" s="114"/>
      <c r="ER215" s="110"/>
      <c r="ES215" s="113"/>
    </row>
    <row r="216" spans="35:149">
      <c r="AI216" s="13"/>
      <c r="AJ216" s="13"/>
      <c r="AK216" s="13"/>
      <c r="AL216" s="13"/>
      <c r="AM216" s="13"/>
      <c r="AR216" s="29"/>
      <c r="AS216" s="29"/>
      <c r="AT216" s="29"/>
      <c r="AU216" s="29"/>
      <c r="AV216" s="29"/>
      <c r="AW216" s="29"/>
      <c r="AX216" s="29"/>
      <c r="AY216" s="29"/>
      <c r="AZ216" s="29"/>
      <c r="BA216" s="140"/>
      <c r="BB216" s="117"/>
      <c r="BC216" s="117"/>
      <c r="BD216" s="117"/>
      <c r="BE216" s="117"/>
      <c r="BF216" s="110"/>
      <c r="BG216" s="4"/>
      <c r="BH216" s="111"/>
      <c r="BI216" s="112"/>
      <c r="BJ216" s="112"/>
      <c r="BK216" s="110"/>
      <c r="BL216" s="113"/>
      <c r="BM216" s="114"/>
      <c r="BN216" s="114"/>
      <c r="BO216" s="110"/>
      <c r="BP216" s="113"/>
      <c r="BQ216" s="114"/>
      <c r="BR216" s="110"/>
      <c r="BS216" s="113"/>
      <c r="DI216" s="13"/>
      <c r="DJ216" s="13"/>
      <c r="DK216" s="13"/>
      <c r="DL216" s="13"/>
      <c r="DM216" s="13"/>
      <c r="DR216" s="29"/>
      <c r="DS216" s="29"/>
      <c r="DT216" s="29"/>
      <c r="DU216" s="29"/>
      <c r="DV216" s="29"/>
      <c r="DW216" s="29"/>
      <c r="DX216" s="29"/>
      <c r="DY216" s="29"/>
      <c r="DZ216" s="29"/>
      <c r="EA216" s="140"/>
      <c r="EB216" s="117"/>
      <c r="EC216" s="117"/>
      <c r="ED216" s="117"/>
      <c r="EE216" s="117"/>
      <c r="EF216" s="110"/>
      <c r="EG216" s="4"/>
      <c r="EH216" s="111"/>
      <c r="EI216" s="112"/>
      <c r="EJ216" s="112"/>
      <c r="EK216" s="110"/>
      <c r="EL216" s="113"/>
      <c r="EM216" s="114"/>
      <c r="EN216" s="114"/>
      <c r="EO216" s="110"/>
      <c r="EP216" s="113"/>
      <c r="EQ216" s="114"/>
      <c r="ER216" s="110"/>
      <c r="ES216" s="113"/>
    </row>
    <row r="217" spans="35:149">
      <c r="AI217" s="13"/>
      <c r="AJ217" s="13"/>
      <c r="AK217" s="13"/>
      <c r="AL217" s="13"/>
      <c r="AM217" s="13"/>
      <c r="AR217" s="29"/>
      <c r="AS217" s="29"/>
      <c r="AT217" s="29"/>
      <c r="AU217" s="29"/>
      <c r="AV217" s="29"/>
      <c r="AW217" s="29"/>
      <c r="AX217" s="29"/>
      <c r="AY217" s="29"/>
      <c r="AZ217" s="29"/>
      <c r="BA217" s="140"/>
      <c r="BB217" s="117"/>
      <c r="BC217" s="117"/>
      <c r="BD217" s="117"/>
      <c r="BE217" s="117"/>
      <c r="BF217" s="110"/>
      <c r="BG217" s="4"/>
      <c r="BH217" s="111"/>
      <c r="BI217" s="112"/>
      <c r="BJ217" s="112"/>
      <c r="BK217" s="110"/>
      <c r="BL217" s="113"/>
      <c r="BM217" s="114"/>
      <c r="BN217" s="114"/>
      <c r="BO217" s="110"/>
      <c r="BP217" s="113"/>
      <c r="BQ217" s="114"/>
      <c r="BR217" s="110"/>
      <c r="BS217" s="113"/>
      <c r="DI217" s="13"/>
      <c r="DJ217" s="13"/>
      <c r="DK217" s="13"/>
      <c r="DL217" s="13"/>
      <c r="DM217" s="13"/>
      <c r="DR217" s="29"/>
      <c r="DS217" s="29"/>
      <c r="DT217" s="29"/>
      <c r="DU217" s="29"/>
      <c r="DV217" s="29"/>
      <c r="DW217" s="29"/>
      <c r="DX217" s="29"/>
      <c r="DY217" s="29"/>
      <c r="DZ217" s="29"/>
      <c r="EA217" s="140"/>
      <c r="EB217" s="117"/>
      <c r="EC217" s="117"/>
      <c r="ED217" s="117"/>
      <c r="EE217" s="117"/>
      <c r="EF217" s="110"/>
      <c r="EG217" s="4"/>
      <c r="EH217" s="111"/>
      <c r="EI217" s="112"/>
      <c r="EJ217" s="112"/>
      <c r="EK217" s="110"/>
      <c r="EL217" s="113"/>
      <c r="EM217" s="114"/>
      <c r="EN217" s="114"/>
      <c r="EO217" s="110"/>
      <c r="EP217" s="113"/>
      <c r="EQ217" s="114"/>
      <c r="ER217" s="110"/>
      <c r="ES217" s="113"/>
    </row>
    <row r="218" spans="35:149">
      <c r="AI218" s="13"/>
      <c r="AJ218" s="13"/>
      <c r="AK218" s="13"/>
      <c r="AL218" s="13"/>
      <c r="AM218" s="13"/>
      <c r="AR218" s="29"/>
      <c r="AS218" s="29"/>
      <c r="AT218" s="29"/>
      <c r="AU218" s="29"/>
      <c r="AV218" s="29"/>
      <c r="AW218" s="29"/>
      <c r="AX218" s="29"/>
      <c r="AY218" s="29"/>
      <c r="AZ218" s="29"/>
      <c r="BA218" s="140"/>
      <c r="BB218" s="117"/>
      <c r="BC218" s="117"/>
      <c r="BD218" s="117"/>
      <c r="BE218" s="117"/>
      <c r="BF218" s="110"/>
      <c r="BG218" s="4"/>
      <c r="BH218" s="111"/>
      <c r="BI218" s="112"/>
      <c r="BJ218" s="112"/>
      <c r="BK218" s="110"/>
      <c r="BL218" s="113"/>
      <c r="BM218" s="114"/>
      <c r="BN218" s="114"/>
      <c r="BO218" s="110"/>
      <c r="BP218" s="113"/>
      <c r="BQ218" s="114"/>
      <c r="BR218" s="110"/>
      <c r="BS218" s="113"/>
      <c r="DI218" s="13"/>
      <c r="DJ218" s="13"/>
      <c r="DK218" s="13"/>
      <c r="DL218" s="13"/>
      <c r="DM218" s="13"/>
      <c r="DR218" s="29"/>
      <c r="DS218" s="29"/>
      <c r="DT218" s="29"/>
      <c r="DU218" s="29"/>
      <c r="DV218" s="29"/>
      <c r="DW218" s="29"/>
      <c r="DX218" s="29"/>
      <c r="DY218" s="29"/>
      <c r="DZ218" s="29"/>
      <c r="EA218" s="140"/>
      <c r="EB218" s="117"/>
      <c r="EC218" s="117"/>
      <c r="ED218" s="117"/>
      <c r="EE218" s="117"/>
      <c r="EF218" s="110"/>
      <c r="EG218" s="4"/>
      <c r="EH218" s="111"/>
      <c r="EI218" s="112"/>
      <c r="EJ218" s="112"/>
      <c r="EK218" s="110"/>
      <c r="EL218" s="113"/>
      <c r="EM218" s="114"/>
      <c r="EN218" s="114"/>
      <c r="EO218" s="110"/>
      <c r="EP218" s="113"/>
      <c r="EQ218" s="114"/>
      <c r="ER218" s="110"/>
      <c r="ES218" s="113"/>
    </row>
    <row r="219" spans="35:149">
      <c r="AI219" s="13"/>
      <c r="AJ219" s="13"/>
      <c r="AK219" s="13"/>
      <c r="AL219" s="13"/>
      <c r="AM219" s="13"/>
      <c r="AR219" s="29"/>
      <c r="AS219" s="29"/>
      <c r="AT219" s="29"/>
      <c r="AU219" s="29"/>
      <c r="AV219" s="29"/>
      <c r="AW219" s="29"/>
      <c r="AX219" s="29"/>
      <c r="AY219" s="29"/>
      <c r="AZ219" s="29"/>
      <c r="BA219" s="140"/>
      <c r="BB219" s="117"/>
      <c r="BC219" s="117"/>
      <c r="BD219" s="117"/>
      <c r="BE219" s="117"/>
      <c r="BF219" s="110"/>
      <c r="BG219" s="4"/>
      <c r="BH219" s="111"/>
      <c r="BI219" s="112"/>
      <c r="BJ219" s="112"/>
      <c r="BK219" s="110"/>
      <c r="BL219" s="113"/>
      <c r="BM219" s="114"/>
      <c r="BN219" s="114"/>
      <c r="BO219" s="110"/>
      <c r="BP219" s="113"/>
      <c r="BQ219" s="114"/>
      <c r="BR219" s="110"/>
      <c r="BS219" s="113"/>
      <c r="DI219" s="13"/>
      <c r="DJ219" s="13"/>
      <c r="DK219" s="13"/>
      <c r="DL219" s="13"/>
      <c r="DM219" s="13"/>
      <c r="DR219" s="29"/>
      <c r="DS219" s="29"/>
      <c r="DT219" s="29"/>
      <c r="DU219" s="29"/>
      <c r="DV219" s="29"/>
      <c r="DW219" s="29"/>
      <c r="DX219" s="29"/>
      <c r="DY219" s="29"/>
      <c r="DZ219" s="29"/>
      <c r="EA219" s="140"/>
      <c r="EB219" s="117"/>
      <c r="EC219" s="117"/>
      <c r="ED219" s="117"/>
      <c r="EE219" s="117"/>
      <c r="EF219" s="110"/>
      <c r="EG219" s="4"/>
      <c r="EH219" s="111"/>
      <c r="EI219" s="112"/>
      <c r="EJ219" s="112"/>
      <c r="EK219" s="110"/>
      <c r="EL219" s="113"/>
      <c r="EM219" s="114"/>
      <c r="EN219" s="114"/>
      <c r="EO219" s="110"/>
      <c r="EP219" s="113"/>
      <c r="EQ219" s="114"/>
      <c r="ER219" s="110"/>
      <c r="ES219" s="113"/>
    </row>
    <row r="220" spans="35:149">
      <c r="AI220" s="13"/>
      <c r="AJ220" s="13"/>
      <c r="AK220" s="13"/>
      <c r="AL220" s="13"/>
      <c r="AM220" s="13"/>
      <c r="AR220" s="29"/>
      <c r="AS220" s="29"/>
      <c r="AT220" s="29"/>
      <c r="AU220" s="29"/>
      <c r="AV220" s="29"/>
      <c r="AW220" s="29"/>
      <c r="AX220" s="29"/>
      <c r="AY220" s="29"/>
      <c r="AZ220" s="29"/>
      <c r="BA220" s="140"/>
      <c r="BB220" s="117"/>
      <c r="BC220" s="117"/>
      <c r="BD220" s="117"/>
      <c r="BE220" s="117"/>
      <c r="BF220" s="110"/>
      <c r="BG220" s="4"/>
      <c r="BH220" s="111"/>
      <c r="BI220" s="112"/>
      <c r="BJ220" s="112"/>
      <c r="BK220" s="110"/>
      <c r="BL220" s="113"/>
      <c r="BM220" s="114"/>
      <c r="BN220" s="114"/>
      <c r="BO220" s="110"/>
      <c r="BP220" s="113"/>
      <c r="BQ220" s="114"/>
      <c r="BR220" s="110"/>
      <c r="BS220" s="113"/>
      <c r="DI220" s="13"/>
      <c r="DJ220" s="13"/>
      <c r="DK220" s="13"/>
      <c r="DL220" s="13"/>
      <c r="DM220" s="13"/>
      <c r="DR220" s="29"/>
      <c r="DS220" s="29"/>
      <c r="DT220" s="29"/>
      <c r="DU220" s="29"/>
      <c r="DV220" s="29"/>
      <c r="DW220" s="29"/>
      <c r="DX220" s="29"/>
      <c r="DY220" s="29"/>
      <c r="DZ220" s="29"/>
      <c r="EA220" s="140"/>
      <c r="EB220" s="117"/>
      <c r="EC220" s="117"/>
      <c r="ED220" s="117"/>
      <c r="EE220" s="117"/>
      <c r="EF220" s="110"/>
      <c r="EG220" s="4"/>
      <c r="EH220" s="111"/>
      <c r="EI220" s="112"/>
      <c r="EJ220" s="112"/>
      <c r="EK220" s="110"/>
      <c r="EL220" s="113"/>
      <c r="EM220" s="114"/>
      <c r="EN220" s="114"/>
      <c r="EO220" s="110"/>
      <c r="EP220" s="113"/>
      <c r="EQ220" s="114"/>
      <c r="ER220" s="110"/>
      <c r="ES220" s="113"/>
    </row>
    <row r="221" spans="35:149">
      <c r="AI221" s="13"/>
      <c r="AJ221" s="13"/>
      <c r="AK221" s="13"/>
      <c r="AL221" s="13"/>
      <c r="AM221" s="13"/>
      <c r="AR221" s="29"/>
      <c r="AS221" s="29"/>
      <c r="AT221" s="29"/>
      <c r="AU221" s="29"/>
      <c r="AV221" s="29"/>
      <c r="AW221" s="29"/>
      <c r="AX221" s="29"/>
      <c r="AY221" s="29"/>
      <c r="AZ221" s="29"/>
      <c r="BA221" s="140"/>
      <c r="BB221" s="117"/>
      <c r="BC221" s="117"/>
      <c r="BD221" s="117"/>
      <c r="BE221" s="117"/>
      <c r="BF221" s="110"/>
      <c r="BG221" s="4"/>
      <c r="BH221" s="111"/>
      <c r="BI221" s="112"/>
      <c r="BJ221" s="112"/>
      <c r="BK221" s="110"/>
      <c r="BL221" s="113"/>
      <c r="BM221" s="114"/>
      <c r="BN221" s="114"/>
      <c r="BO221" s="110"/>
      <c r="BP221" s="113"/>
      <c r="BQ221" s="114"/>
      <c r="BR221" s="110"/>
      <c r="BS221" s="113"/>
      <c r="DI221" s="13"/>
      <c r="DJ221" s="13"/>
      <c r="DK221" s="13"/>
      <c r="DL221" s="13"/>
      <c r="DM221" s="13"/>
      <c r="DR221" s="29"/>
      <c r="DS221" s="29"/>
      <c r="DT221" s="29"/>
      <c r="DU221" s="29"/>
      <c r="DV221" s="29"/>
      <c r="DW221" s="29"/>
      <c r="DX221" s="29"/>
      <c r="DY221" s="29"/>
      <c r="DZ221" s="29"/>
      <c r="EA221" s="140"/>
      <c r="EB221" s="117"/>
      <c r="EC221" s="117"/>
      <c r="ED221" s="117"/>
      <c r="EE221" s="117"/>
      <c r="EF221" s="110"/>
      <c r="EG221" s="4"/>
      <c r="EH221" s="111"/>
      <c r="EI221" s="112"/>
      <c r="EJ221" s="112"/>
      <c r="EK221" s="110"/>
      <c r="EL221" s="113"/>
      <c r="EM221" s="114"/>
      <c r="EN221" s="114"/>
      <c r="EO221" s="110"/>
      <c r="EP221" s="113"/>
      <c r="EQ221" s="114"/>
      <c r="ER221" s="110"/>
      <c r="ES221" s="113"/>
    </row>
    <row r="222" spans="35:149">
      <c r="AI222" s="13"/>
      <c r="AJ222" s="13"/>
      <c r="AK222" s="13"/>
      <c r="AL222" s="13"/>
      <c r="AM222" s="13"/>
      <c r="AR222" s="29"/>
      <c r="AS222" s="29"/>
      <c r="AT222" s="29"/>
      <c r="AU222" s="29"/>
      <c r="AV222" s="29"/>
      <c r="AW222" s="29"/>
      <c r="AX222" s="29"/>
      <c r="AY222" s="29"/>
      <c r="AZ222" s="29"/>
      <c r="BA222" s="140"/>
      <c r="BB222" s="117"/>
      <c r="BC222" s="117"/>
      <c r="BD222" s="117"/>
      <c r="BE222" s="117"/>
      <c r="BF222" s="110"/>
      <c r="BG222" s="4"/>
      <c r="BH222" s="111"/>
      <c r="BI222" s="112"/>
      <c r="BJ222" s="112"/>
      <c r="BK222" s="110"/>
      <c r="BL222" s="113"/>
      <c r="BM222" s="114"/>
      <c r="BN222" s="114"/>
      <c r="BO222" s="110"/>
      <c r="BP222" s="113"/>
      <c r="BQ222" s="114"/>
      <c r="BR222" s="110"/>
      <c r="BS222" s="113"/>
      <c r="DI222" s="13"/>
      <c r="DJ222" s="13"/>
      <c r="DK222" s="13"/>
      <c r="DL222" s="13"/>
      <c r="DM222" s="13"/>
      <c r="DR222" s="29"/>
      <c r="DS222" s="29"/>
      <c r="DT222" s="29"/>
      <c r="DU222" s="29"/>
      <c r="DV222" s="29"/>
      <c r="DW222" s="29"/>
      <c r="DX222" s="29"/>
      <c r="DY222" s="29"/>
      <c r="DZ222" s="29"/>
      <c r="EA222" s="140"/>
      <c r="EB222" s="117"/>
      <c r="EC222" s="117"/>
      <c r="ED222" s="117"/>
      <c r="EE222" s="117"/>
      <c r="EF222" s="110"/>
      <c r="EG222" s="4"/>
      <c r="EH222" s="111"/>
      <c r="EI222" s="112"/>
      <c r="EJ222" s="112"/>
      <c r="EK222" s="110"/>
      <c r="EL222" s="113"/>
      <c r="EM222" s="114"/>
      <c r="EN222" s="114"/>
      <c r="EO222" s="110"/>
      <c r="EP222" s="113"/>
      <c r="EQ222" s="114"/>
      <c r="ER222" s="110"/>
      <c r="ES222" s="113"/>
    </row>
    <row r="223" spans="35:149">
      <c r="AI223" s="13"/>
      <c r="AJ223" s="13"/>
      <c r="AK223" s="13"/>
      <c r="AL223" s="13"/>
      <c r="AM223" s="13"/>
      <c r="AR223" s="29"/>
      <c r="AS223" s="29"/>
      <c r="AT223" s="29"/>
      <c r="AU223" s="29"/>
      <c r="AV223" s="29"/>
      <c r="AW223" s="29"/>
      <c r="AX223" s="29"/>
      <c r="AY223" s="29"/>
      <c r="AZ223" s="29"/>
      <c r="BA223" s="140"/>
      <c r="BB223" s="117"/>
      <c r="BC223" s="117"/>
      <c r="BD223" s="117"/>
      <c r="BE223" s="117"/>
      <c r="BF223" s="110"/>
      <c r="BG223" s="4"/>
      <c r="BH223" s="111"/>
      <c r="BI223" s="112"/>
      <c r="BJ223" s="112"/>
      <c r="BK223" s="110"/>
      <c r="BL223" s="113"/>
      <c r="BM223" s="114"/>
      <c r="BN223" s="114"/>
      <c r="BO223" s="110"/>
      <c r="BP223" s="113"/>
      <c r="BQ223" s="114"/>
      <c r="BR223" s="110"/>
      <c r="BS223" s="113"/>
      <c r="DI223" s="13"/>
      <c r="DJ223" s="13"/>
      <c r="DK223" s="13"/>
      <c r="DL223" s="13"/>
      <c r="DM223" s="13"/>
      <c r="DR223" s="29"/>
      <c r="DS223" s="29"/>
      <c r="DT223" s="29"/>
      <c r="DU223" s="29"/>
      <c r="DV223" s="29"/>
      <c r="DW223" s="29"/>
      <c r="DX223" s="29"/>
      <c r="DY223" s="29"/>
      <c r="DZ223" s="29"/>
      <c r="EA223" s="140"/>
      <c r="EB223" s="117"/>
      <c r="EC223" s="117"/>
      <c r="ED223" s="117"/>
      <c r="EE223" s="117"/>
      <c r="EF223" s="110"/>
      <c r="EG223" s="4"/>
      <c r="EH223" s="111"/>
      <c r="EI223" s="112"/>
      <c r="EJ223" s="112"/>
      <c r="EK223" s="110"/>
      <c r="EL223" s="113"/>
      <c r="EM223" s="114"/>
      <c r="EN223" s="114"/>
      <c r="EO223" s="110"/>
      <c r="EP223" s="113"/>
      <c r="EQ223" s="114"/>
      <c r="ER223" s="110"/>
      <c r="ES223" s="113"/>
    </row>
    <row r="224" spans="35:149">
      <c r="AI224" s="13"/>
      <c r="AJ224" s="13"/>
      <c r="AK224" s="13"/>
      <c r="AL224" s="13"/>
      <c r="AM224" s="13"/>
      <c r="AR224" s="29"/>
      <c r="AS224" s="29"/>
      <c r="AT224" s="29"/>
      <c r="AU224" s="29"/>
      <c r="AV224" s="29"/>
      <c r="AW224" s="29"/>
      <c r="AX224" s="29"/>
      <c r="AY224" s="29"/>
      <c r="AZ224" s="29"/>
      <c r="BA224" s="140"/>
      <c r="BB224" s="117"/>
      <c r="BC224" s="117"/>
      <c r="BD224" s="117"/>
      <c r="BE224" s="117"/>
      <c r="BF224" s="110"/>
      <c r="BG224" s="4"/>
      <c r="BH224" s="111"/>
      <c r="BI224" s="112"/>
      <c r="BJ224" s="112"/>
      <c r="BK224" s="110"/>
      <c r="BL224" s="113"/>
      <c r="BM224" s="114"/>
      <c r="BN224" s="114"/>
      <c r="BO224" s="110"/>
      <c r="BP224" s="113"/>
      <c r="BQ224" s="114"/>
      <c r="BR224" s="110"/>
      <c r="BS224" s="113"/>
      <c r="DI224" s="13"/>
      <c r="DJ224" s="13"/>
      <c r="DK224" s="13"/>
      <c r="DL224" s="13"/>
      <c r="DM224" s="13"/>
      <c r="DR224" s="29"/>
      <c r="DS224" s="29"/>
      <c r="DT224" s="29"/>
      <c r="DU224" s="29"/>
      <c r="DV224" s="29"/>
      <c r="DW224" s="29"/>
      <c r="DX224" s="29"/>
      <c r="DY224" s="29"/>
      <c r="DZ224" s="29"/>
      <c r="EA224" s="140"/>
      <c r="EB224" s="117"/>
      <c r="EC224" s="117"/>
      <c r="ED224" s="117"/>
      <c r="EE224" s="117"/>
      <c r="EF224" s="110"/>
      <c r="EG224" s="4"/>
      <c r="EH224" s="111"/>
      <c r="EI224" s="112"/>
      <c r="EJ224" s="112"/>
      <c r="EK224" s="110"/>
      <c r="EL224" s="113"/>
      <c r="EM224" s="114"/>
      <c r="EN224" s="114"/>
      <c r="EO224" s="110"/>
      <c r="EP224" s="113"/>
      <c r="EQ224" s="114"/>
      <c r="ER224" s="110"/>
      <c r="ES224" s="113"/>
    </row>
    <row r="225" spans="35:149">
      <c r="AI225" s="13"/>
      <c r="AJ225" s="13"/>
      <c r="AK225" s="13"/>
      <c r="AL225" s="13"/>
      <c r="AM225" s="13"/>
      <c r="AR225" s="29"/>
      <c r="AS225" s="29"/>
      <c r="AT225" s="29"/>
      <c r="AU225" s="29"/>
      <c r="AV225" s="29"/>
      <c r="AW225" s="29"/>
      <c r="AX225" s="29"/>
      <c r="AY225" s="29"/>
      <c r="AZ225" s="29"/>
      <c r="BA225" s="140"/>
      <c r="BB225" s="117"/>
      <c r="BC225" s="117"/>
      <c r="BD225" s="117"/>
      <c r="BE225" s="117"/>
      <c r="BF225" s="110"/>
      <c r="BG225" s="4"/>
      <c r="BH225" s="111"/>
      <c r="BI225" s="112"/>
      <c r="BJ225" s="112"/>
      <c r="BK225" s="110"/>
      <c r="BL225" s="113"/>
      <c r="BM225" s="114"/>
      <c r="BN225" s="114"/>
      <c r="BO225" s="110"/>
      <c r="BP225" s="113"/>
      <c r="BQ225" s="114"/>
      <c r="BR225" s="110"/>
      <c r="BS225" s="113"/>
      <c r="DI225" s="13"/>
      <c r="DJ225" s="13"/>
      <c r="DK225" s="13"/>
      <c r="DL225" s="13"/>
      <c r="DM225" s="13"/>
      <c r="DR225" s="29"/>
      <c r="DS225" s="29"/>
      <c r="DT225" s="29"/>
      <c r="DU225" s="29"/>
      <c r="DV225" s="29"/>
      <c r="DW225" s="29"/>
      <c r="DX225" s="29"/>
      <c r="DY225" s="29"/>
      <c r="DZ225" s="29"/>
      <c r="EA225" s="140"/>
      <c r="EB225" s="117"/>
      <c r="EC225" s="117"/>
      <c r="ED225" s="117"/>
      <c r="EE225" s="117"/>
      <c r="EF225" s="110"/>
      <c r="EG225" s="4"/>
      <c r="EH225" s="111"/>
      <c r="EI225" s="112"/>
      <c r="EJ225" s="112"/>
      <c r="EK225" s="110"/>
      <c r="EL225" s="113"/>
      <c r="EM225" s="114"/>
      <c r="EN225" s="114"/>
      <c r="EO225" s="110"/>
      <c r="EP225" s="113"/>
      <c r="EQ225" s="114"/>
      <c r="ER225" s="110"/>
      <c r="ES225" s="113"/>
    </row>
    <row r="226" spans="35:149">
      <c r="AI226" s="13"/>
      <c r="AJ226" s="13"/>
      <c r="AK226" s="13"/>
      <c r="AL226" s="13"/>
      <c r="AM226" s="13"/>
      <c r="AR226" s="29"/>
      <c r="AS226" s="29"/>
      <c r="AT226" s="29"/>
      <c r="AU226" s="29"/>
      <c r="AV226" s="29"/>
      <c r="AW226" s="29"/>
      <c r="AX226" s="29"/>
      <c r="AY226" s="29"/>
      <c r="AZ226" s="29"/>
      <c r="BA226" s="140"/>
      <c r="BB226" s="117"/>
      <c r="BC226" s="117"/>
      <c r="BD226" s="117"/>
      <c r="BE226" s="117"/>
      <c r="BF226" s="110"/>
      <c r="BG226" s="4"/>
      <c r="BH226" s="111"/>
      <c r="BI226" s="112"/>
      <c r="BJ226" s="112"/>
      <c r="BK226" s="110"/>
      <c r="BL226" s="113"/>
      <c r="BM226" s="114"/>
      <c r="BN226" s="114"/>
      <c r="BO226" s="110"/>
      <c r="BP226" s="113"/>
      <c r="BQ226" s="114"/>
      <c r="BR226" s="110"/>
      <c r="BS226" s="113"/>
      <c r="DI226" s="13"/>
      <c r="DJ226" s="13"/>
      <c r="DK226" s="13"/>
      <c r="DL226" s="13"/>
      <c r="DM226" s="13"/>
      <c r="DR226" s="29"/>
      <c r="DS226" s="29"/>
      <c r="DT226" s="29"/>
      <c r="DU226" s="29"/>
      <c r="DV226" s="29"/>
      <c r="DW226" s="29"/>
      <c r="DX226" s="29"/>
      <c r="DY226" s="29"/>
      <c r="DZ226" s="29"/>
      <c r="EA226" s="140"/>
      <c r="EB226" s="117"/>
      <c r="EC226" s="117"/>
      <c r="ED226" s="117"/>
      <c r="EE226" s="117"/>
      <c r="EF226" s="110"/>
      <c r="EG226" s="4"/>
      <c r="EH226" s="111"/>
      <c r="EI226" s="112"/>
      <c r="EJ226" s="112"/>
      <c r="EK226" s="110"/>
      <c r="EL226" s="113"/>
      <c r="EM226" s="114"/>
      <c r="EN226" s="114"/>
      <c r="EO226" s="110"/>
      <c r="EP226" s="113"/>
      <c r="EQ226" s="114"/>
      <c r="ER226" s="110"/>
      <c r="ES226" s="113"/>
    </row>
    <row r="227" spans="35:149">
      <c r="AI227" s="13"/>
      <c r="AJ227" s="13"/>
      <c r="AK227" s="13"/>
      <c r="AL227" s="13"/>
      <c r="AM227" s="13"/>
      <c r="AR227" s="29"/>
      <c r="AS227" s="29"/>
      <c r="AT227" s="29"/>
      <c r="AU227" s="29"/>
      <c r="AV227" s="29"/>
      <c r="AW227" s="29"/>
      <c r="AX227" s="29"/>
      <c r="AY227" s="29"/>
      <c r="AZ227" s="29"/>
      <c r="BA227" s="140"/>
      <c r="BB227" s="117"/>
      <c r="BC227" s="117"/>
      <c r="BD227" s="117"/>
      <c r="BE227" s="117"/>
      <c r="BF227" s="110"/>
      <c r="BG227" s="4"/>
      <c r="BH227" s="111"/>
      <c r="BI227" s="112"/>
      <c r="BJ227" s="112"/>
      <c r="BK227" s="110"/>
      <c r="BL227" s="113"/>
      <c r="BM227" s="114"/>
      <c r="BN227" s="114"/>
      <c r="BO227" s="110"/>
      <c r="BP227" s="113"/>
      <c r="BQ227" s="114"/>
      <c r="BR227" s="110"/>
      <c r="BS227" s="113"/>
      <c r="DI227" s="13"/>
      <c r="DJ227" s="13"/>
      <c r="DK227" s="13"/>
      <c r="DL227" s="13"/>
      <c r="DM227" s="13"/>
      <c r="DR227" s="29"/>
      <c r="DS227" s="29"/>
      <c r="DT227" s="29"/>
      <c r="DU227" s="29"/>
      <c r="DV227" s="29"/>
      <c r="DW227" s="29"/>
      <c r="DX227" s="29"/>
      <c r="DY227" s="29"/>
      <c r="DZ227" s="29"/>
      <c r="EA227" s="140"/>
      <c r="EB227" s="117"/>
      <c r="EC227" s="117"/>
      <c r="ED227" s="117"/>
      <c r="EE227" s="117"/>
      <c r="EF227" s="110"/>
      <c r="EG227" s="4"/>
      <c r="EH227" s="111"/>
      <c r="EI227" s="112"/>
      <c r="EJ227" s="112"/>
      <c r="EK227" s="110"/>
      <c r="EL227" s="113"/>
      <c r="EM227" s="114"/>
      <c r="EN227" s="114"/>
      <c r="EO227" s="110"/>
      <c r="EP227" s="113"/>
      <c r="EQ227" s="114"/>
      <c r="ER227" s="110"/>
      <c r="ES227" s="113"/>
    </row>
    <row r="228" spans="35:149">
      <c r="AI228" s="13"/>
      <c r="AJ228" s="13"/>
      <c r="AK228" s="13"/>
      <c r="AL228" s="13"/>
      <c r="AM228" s="13"/>
      <c r="AR228" s="29"/>
      <c r="AS228" s="29"/>
      <c r="AT228" s="29"/>
      <c r="AU228" s="29"/>
      <c r="AV228" s="29"/>
      <c r="AW228" s="29"/>
      <c r="AX228" s="29"/>
      <c r="AY228" s="29"/>
      <c r="AZ228" s="29"/>
      <c r="BA228" s="140"/>
      <c r="BB228" s="117"/>
      <c r="BC228" s="117"/>
      <c r="BD228" s="117"/>
      <c r="BE228" s="117"/>
      <c r="BF228" s="110"/>
      <c r="BG228" s="4"/>
      <c r="BH228" s="111"/>
      <c r="BI228" s="112"/>
      <c r="BJ228" s="112"/>
      <c r="BK228" s="110"/>
      <c r="BL228" s="113"/>
      <c r="BM228" s="114"/>
      <c r="BN228" s="114"/>
      <c r="BO228" s="110"/>
      <c r="BP228" s="113"/>
      <c r="BQ228" s="114"/>
      <c r="BR228" s="110"/>
      <c r="BS228" s="113"/>
      <c r="DI228" s="13"/>
      <c r="DJ228" s="13"/>
      <c r="DK228" s="13"/>
      <c r="DL228" s="13"/>
      <c r="DM228" s="13"/>
      <c r="DR228" s="29"/>
      <c r="DS228" s="29"/>
      <c r="DT228" s="29"/>
      <c r="DU228" s="29"/>
      <c r="DV228" s="29"/>
      <c r="DW228" s="29"/>
      <c r="DX228" s="29"/>
      <c r="DY228" s="29"/>
      <c r="DZ228" s="29"/>
      <c r="EA228" s="140"/>
      <c r="EB228" s="117"/>
      <c r="EC228" s="117"/>
      <c r="ED228" s="117"/>
      <c r="EE228" s="117"/>
      <c r="EF228" s="110"/>
      <c r="EG228" s="4"/>
      <c r="EH228" s="111"/>
      <c r="EI228" s="112"/>
      <c r="EJ228" s="112"/>
      <c r="EK228" s="110"/>
      <c r="EL228" s="113"/>
      <c r="EM228" s="114"/>
      <c r="EN228" s="114"/>
      <c r="EO228" s="110"/>
      <c r="EP228" s="113"/>
      <c r="EQ228" s="114"/>
      <c r="ER228" s="110"/>
      <c r="ES228" s="113"/>
    </row>
    <row r="229" spans="35:149">
      <c r="AI229" s="13"/>
      <c r="AJ229" s="13"/>
      <c r="AK229" s="13"/>
      <c r="AL229" s="13"/>
      <c r="AM229" s="13"/>
      <c r="AR229" s="29"/>
      <c r="AS229" s="29"/>
      <c r="AT229" s="29"/>
      <c r="AU229" s="29"/>
      <c r="AV229" s="29"/>
      <c r="AW229" s="29"/>
      <c r="AX229" s="29"/>
      <c r="AY229" s="29"/>
      <c r="AZ229" s="29"/>
      <c r="BA229" s="140"/>
      <c r="BB229" s="117"/>
      <c r="BC229" s="117"/>
      <c r="BD229" s="117"/>
      <c r="BE229" s="117"/>
      <c r="BF229" s="110"/>
      <c r="BG229" s="4"/>
      <c r="BH229" s="111"/>
      <c r="BI229" s="112"/>
      <c r="BJ229" s="112"/>
      <c r="BK229" s="110"/>
      <c r="BL229" s="113"/>
      <c r="BM229" s="114"/>
      <c r="BN229" s="114"/>
      <c r="BO229" s="110"/>
      <c r="BP229" s="113"/>
      <c r="BQ229" s="114"/>
      <c r="BR229" s="110"/>
      <c r="BS229" s="113"/>
      <c r="DI229" s="13"/>
      <c r="DJ229" s="13"/>
      <c r="DK229" s="13"/>
      <c r="DL229" s="13"/>
      <c r="DM229" s="13"/>
      <c r="DR229" s="29"/>
      <c r="DS229" s="29"/>
      <c r="DT229" s="29"/>
      <c r="DU229" s="29"/>
      <c r="DV229" s="29"/>
      <c r="DW229" s="29"/>
      <c r="DX229" s="29"/>
      <c r="DY229" s="29"/>
      <c r="DZ229" s="29"/>
      <c r="EA229" s="140"/>
      <c r="EB229" s="117"/>
      <c r="EC229" s="117"/>
      <c r="ED229" s="117"/>
      <c r="EE229" s="117"/>
      <c r="EF229" s="110"/>
      <c r="EG229" s="4"/>
      <c r="EH229" s="111"/>
      <c r="EI229" s="112"/>
      <c r="EJ229" s="112"/>
      <c r="EK229" s="110"/>
      <c r="EL229" s="113"/>
      <c r="EM229" s="114"/>
      <c r="EN229" s="114"/>
      <c r="EO229" s="110"/>
      <c r="EP229" s="113"/>
      <c r="EQ229" s="114"/>
      <c r="ER229" s="110"/>
      <c r="ES229" s="113"/>
    </row>
    <row r="230" spans="35:149">
      <c r="AI230" s="13"/>
      <c r="AJ230" s="13"/>
      <c r="AK230" s="13"/>
      <c r="AL230" s="13"/>
      <c r="AM230" s="13"/>
      <c r="AR230" s="29"/>
      <c r="AS230" s="29"/>
      <c r="AT230" s="29"/>
      <c r="AU230" s="29"/>
      <c r="AV230" s="29"/>
      <c r="AW230" s="29"/>
      <c r="AX230" s="29"/>
      <c r="AY230" s="29"/>
      <c r="AZ230" s="29"/>
      <c r="BA230" s="140"/>
      <c r="BB230" s="117"/>
      <c r="BC230" s="117"/>
      <c r="BD230" s="117"/>
      <c r="BE230" s="117"/>
      <c r="BF230" s="110"/>
      <c r="BG230" s="4"/>
      <c r="BH230" s="111"/>
      <c r="BI230" s="112"/>
      <c r="BJ230" s="112"/>
      <c r="BK230" s="110"/>
      <c r="BL230" s="113"/>
      <c r="BM230" s="114"/>
      <c r="BN230" s="114"/>
      <c r="BO230" s="110"/>
      <c r="BP230" s="113"/>
      <c r="BQ230" s="114"/>
      <c r="BR230" s="110"/>
      <c r="BS230" s="113"/>
      <c r="DI230" s="13"/>
      <c r="DJ230" s="13"/>
      <c r="DK230" s="13"/>
      <c r="DL230" s="13"/>
      <c r="DM230" s="13"/>
      <c r="DR230" s="29"/>
      <c r="DS230" s="29"/>
      <c r="DT230" s="29"/>
      <c r="DU230" s="29"/>
      <c r="DV230" s="29"/>
      <c r="DW230" s="29"/>
      <c r="DX230" s="29"/>
      <c r="DY230" s="29"/>
      <c r="DZ230" s="29"/>
      <c r="EA230" s="140"/>
      <c r="EB230" s="117"/>
      <c r="EC230" s="117"/>
      <c r="ED230" s="117"/>
      <c r="EE230" s="117"/>
      <c r="EF230" s="110"/>
      <c r="EG230" s="4"/>
      <c r="EH230" s="111"/>
      <c r="EI230" s="112"/>
      <c r="EJ230" s="112"/>
      <c r="EK230" s="110"/>
      <c r="EL230" s="113"/>
      <c r="EM230" s="114"/>
      <c r="EN230" s="114"/>
      <c r="EO230" s="110"/>
      <c r="EP230" s="113"/>
      <c r="EQ230" s="114"/>
      <c r="ER230" s="110"/>
      <c r="ES230" s="113"/>
    </row>
    <row r="231" spans="35:149">
      <c r="AI231" s="13"/>
      <c r="AJ231" s="13"/>
      <c r="AK231" s="13"/>
      <c r="AL231" s="13"/>
      <c r="AM231" s="13"/>
      <c r="AR231" s="29"/>
      <c r="AS231" s="29"/>
      <c r="AT231" s="29"/>
      <c r="AU231" s="29"/>
      <c r="AV231" s="29"/>
      <c r="AW231" s="29"/>
      <c r="AX231" s="29"/>
      <c r="AY231" s="29"/>
      <c r="AZ231" s="29"/>
      <c r="BA231" s="140"/>
      <c r="BB231" s="117"/>
      <c r="BC231" s="117"/>
      <c r="BD231" s="117"/>
      <c r="BE231" s="117"/>
      <c r="BF231" s="110"/>
      <c r="BG231" s="4"/>
      <c r="BH231" s="111"/>
      <c r="BI231" s="112"/>
      <c r="BJ231" s="112"/>
      <c r="BK231" s="110"/>
      <c r="BL231" s="113"/>
      <c r="BM231" s="114"/>
      <c r="BN231" s="114"/>
      <c r="BO231" s="110"/>
      <c r="BP231" s="113"/>
      <c r="BQ231" s="114"/>
      <c r="BR231" s="110"/>
      <c r="BS231" s="113"/>
      <c r="DI231" s="13"/>
      <c r="DJ231" s="13"/>
      <c r="DK231" s="13"/>
      <c r="DL231" s="13"/>
      <c r="DM231" s="13"/>
      <c r="DR231" s="29"/>
      <c r="DS231" s="29"/>
      <c r="DT231" s="29"/>
      <c r="DU231" s="29"/>
      <c r="DV231" s="29"/>
      <c r="DW231" s="29"/>
      <c r="DX231" s="29"/>
      <c r="DY231" s="29"/>
      <c r="DZ231" s="29"/>
      <c r="EA231" s="140"/>
      <c r="EB231" s="117"/>
      <c r="EC231" s="117"/>
      <c r="ED231" s="117"/>
      <c r="EE231" s="117"/>
      <c r="EF231" s="110"/>
      <c r="EG231" s="4"/>
      <c r="EH231" s="111"/>
      <c r="EI231" s="112"/>
      <c r="EJ231" s="112"/>
      <c r="EK231" s="110"/>
      <c r="EL231" s="113"/>
      <c r="EM231" s="114"/>
      <c r="EN231" s="114"/>
      <c r="EO231" s="110"/>
      <c r="EP231" s="113"/>
      <c r="EQ231" s="114"/>
      <c r="ER231" s="110"/>
      <c r="ES231" s="113"/>
    </row>
    <row r="232" spans="35:149">
      <c r="AI232" s="13"/>
      <c r="AJ232" s="13"/>
      <c r="AK232" s="13"/>
      <c r="AL232" s="13"/>
      <c r="AM232" s="13"/>
      <c r="AR232" s="29"/>
      <c r="AS232" s="29"/>
      <c r="AT232" s="29"/>
      <c r="AU232" s="29"/>
      <c r="AV232" s="29"/>
      <c r="AW232" s="29"/>
      <c r="AX232" s="29"/>
      <c r="AY232" s="29"/>
      <c r="AZ232" s="29"/>
      <c r="BA232" s="140"/>
      <c r="BB232" s="117"/>
      <c r="BC232" s="117"/>
      <c r="BD232" s="117"/>
      <c r="BE232" s="117"/>
      <c r="BF232" s="110"/>
      <c r="BG232" s="4"/>
      <c r="BH232" s="111"/>
      <c r="BI232" s="112"/>
      <c r="BJ232" s="112"/>
      <c r="BK232" s="110"/>
      <c r="BL232" s="113"/>
      <c r="BM232" s="114"/>
      <c r="BN232" s="114"/>
      <c r="BO232" s="110"/>
      <c r="BP232" s="113"/>
      <c r="BQ232" s="114"/>
      <c r="BR232" s="110"/>
      <c r="BS232" s="113"/>
      <c r="DI232" s="13"/>
      <c r="DJ232" s="13"/>
      <c r="DK232" s="13"/>
      <c r="DL232" s="13"/>
      <c r="DM232" s="13"/>
      <c r="DR232" s="29"/>
      <c r="DS232" s="29"/>
      <c r="DT232" s="29"/>
      <c r="DU232" s="29"/>
      <c r="DV232" s="29"/>
      <c r="DW232" s="29"/>
      <c r="DX232" s="29"/>
      <c r="DY232" s="29"/>
      <c r="DZ232" s="29"/>
      <c r="EA232" s="140"/>
      <c r="EB232" s="117"/>
      <c r="EC232" s="117"/>
      <c r="ED232" s="117"/>
      <c r="EE232" s="117"/>
      <c r="EF232" s="110"/>
      <c r="EG232" s="4"/>
      <c r="EH232" s="111"/>
      <c r="EI232" s="112"/>
      <c r="EJ232" s="112"/>
      <c r="EK232" s="110"/>
      <c r="EL232" s="113"/>
      <c r="EM232" s="114"/>
      <c r="EN232" s="114"/>
      <c r="EO232" s="110"/>
      <c r="EP232" s="113"/>
      <c r="EQ232" s="114"/>
      <c r="ER232" s="110"/>
      <c r="ES232" s="113"/>
    </row>
    <row r="233" spans="35:149">
      <c r="AI233" s="13"/>
      <c r="AJ233" s="13"/>
      <c r="AK233" s="13"/>
      <c r="AL233" s="13"/>
      <c r="AM233" s="13"/>
      <c r="AR233" s="29"/>
      <c r="AS233" s="29"/>
      <c r="AT233" s="29"/>
      <c r="AU233" s="29"/>
      <c r="AV233" s="29"/>
      <c r="AW233" s="29"/>
      <c r="AX233" s="29"/>
      <c r="AY233" s="29"/>
      <c r="AZ233" s="29"/>
      <c r="BA233" s="140"/>
      <c r="BB233" s="117"/>
      <c r="BC233" s="117"/>
      <c r="BD233" s="117"/>
      <c r="BE233" s="117"/>
      <c r="BF233" s="110"/>
      <c r="BG233" s="4"/>
      <c r="BH233" s="111"/>
      <c r="BI233" s="112"/>
      <c r="BJ233" s="112"/>
      <c r="BK233" s="110"/>
      <c r="BL233" s="113"/>
      <c r="BM233" s="114"/>
      <c r="BN233" s="114"/>
      <c r="BO233" s="110"/>
      <c r="BP233" s="113"/>
      <c r="BQ233" s="114"/>
      <c r="BR233" s="110"/>
      <c r="BS233" s="113"/>
      <c r="DI233" s="13"/>
      <c r="DJ233" s="13"/>
      <c r="DK233" s="13"/>
      <c r="DL233" s="13"/>
      <c r="DM233" s="13"/>
      <c r="DR233" s="29"/>
      <c r="DS233" s="29"/>
      <c r="DT233" s="29"/>
      <c r="DU233" s="29"/>
      <c r="DV233" s="29"/>
      <c r="DW233" s="29"/>
      <c r="DX233" s="29"/>
      <c r="DY233" s="29"/>
      <c r="DZ233" s="29"/>
      <c r="EA233" s="140"/>
      <c r="EB233" s="117"/>
      <c r="EC233" s="117"/>
      <c r="ED233" s="117"/>
      <c r="EE233" s="117"/>
      <c r="EF233" s="110"/>
      <c r="EG233" s="4"/>
      <c r="EH233" s="111"/>
      <c r="EI233" s="112"/>
      <c r="EJ233" s="112"/>
      <c r="EK233" s="110"/>
      <c r="EL233" s="113"/>
      <c r="EM233" s="114"/>
      <c r="EN233" s="114"/>
      <c r="EO233" s="110"/>
      <c r="EP233" s="113"/>
      <c r="EQ233" s="114"/>
      <c r="ER233" s="110"/>
      <c r="ES233" s="113"/>
    </row>
    <row r="234" spans="35:149">
      <c r="AI234" s="13"/>
      <c r="AJ234" s="13"/>
      <c r="AK234" s="13"/>
      <c r="AL234" s="13"/>
      <c r="AM234" s="13"/>
      <c r="AR234" s="29"/>
      <c r="AS234" s="29"/>
      <c r="AT234" s="29"/>
      <c r="AU234" s="29"/>
      <c r="AV234" s="29"/>
      <c r="AW234" s="29"/>
      <c r="AX234" s="29"/>
      <c r="AY234" s="29"/>
      <c r="AZ234" s="29"/>
      <c r="BA234" s="140"/>
      <c r="BB234" s="117"/>
      <c r="BC234" s="117"/>
      <c r="BD234" s="117"/>
      <c r="BE234" s="117"/>
      <c r="BF234" s="110"/>
      <c r="BG234" s="4"/>
      <c r="BH234" s="111"/>
      <c r="BI234" s="112"/>
      <c r="BJ234" s="112"/>
      <c r="BK234" s="110"/>
      <c r="BL234" s="113"/>
      <c r="BM234" s="114"/>
      <c r="BN234" s="114"/>
      <c r="BO234" s="110"/>
      <c r="BP234" s="113"/>
      <c r="BQ234" s="114"/>
      <c r="BR234" s="110"/>
      <c r="BS234" s="113"/>
      <c r="DI234" s="13"/>
      <c r="DJ234" s="13"/>
      <c r="DK234" s="13"/>
      <c r="DL234" s="13"/>
      <c r="DM234" s="13"/>
      <c r="DR234" s="29"/>
      <c r="DS234" s="29"/>
      <c r="DT234" s="29"/>
      <c r="DU234" s="29"/>
      <c r="DV234" s="29"/>
      <c r="DW234" s="29"/>
      <c r="DX234" s="29"/>
      <c r="DY234" s="29"/>
      <c r="DZ234" s="29"/>
      <c r="EA234" s="140"/>
      <c r="EB234" s="117"/>
      <c r="EC234" s="117"/>
      <c r="ED234" s="117"/>
      <c r="EE234" s="117"/>
      <c r="EF234" s="110"/>
      <c r="EG234" s="4"/>
      <c r="EH234" s="111"/>
      <c r="EI234" s="112"/>
      <c r="EJ234" s="112"/>
      <c r="EK234" s="110"/>
      <c r="EL234" s="113"/>
      <c r="EM234" s="114"/>
      <c r="EN234" s="114"/>
      <c r="EO234" s="110"/>
      <c r="EP234" s="113"/>
      <c r="EQ234" s="114"/>
      <c r="ER234" s="110"/>
      <c r="ES234" s="113"/>
    </row>
    <row r="235" spans="35:149">
      <c r="AI235" s="13"/>
      <c r="AJ235" s="13"/>
      <c r="AK235" s="13"/>
      <c r="AL235" s="13"/>
      <c r="AM235" s="13"/>
      <c r="AR235" s="29"/>
      <c r="AS235" s="29"/>
      <c r="AT235" s="29"/>
      <c r="AU235" s="29"/>
      <c r="AV235" s="29"/>
      <c r="AW235" s="29"/>
      <c r="AX235" s="29"/>
      <c r="AY235" s="29"/>
      <c r="AZ235" s="29"/>
      <c r="BA235" s="140"/>
      <c r="BB235" s="117"/>
      <c r="BC235" s="117"/>
      <c r="BD235" s="117"/>
      <c r="BE235" s="117"/>
      <c r="BF235" s="110"/>
      <c r="BG235" s="4"/>
      <c r="BH235" s="111"/>
      <c r="BI235" s="112"/>
      <c r="BJ235" s="112"/>
      <c r="BK235" s="110"/>
      <c r="BL235" s="113"/>
      <c r="BM235" s="114"/>
      <c r="BN235" s="114"/>
      <c r="BO235" s="110"/>
      <c r="BP235" s="113"/>
      <c r="BQ235" s="114"/>
      <c r="BR235" s="110"/>
      <c r="BS235" s="113"/>
      <c r="DI235" s="13"/>
      <c r="DJ235" s="13"/>
      <c r="DK235" s="13"/>
      <c r="DL235" s="13"/>
      <c r="DM235" s="13"/>
      <c r="DR235" s="29"/>
      <c r="DS235" s="29"/>
      <c r="DT235" s="29"/>
      <c r="DU235" s="29"/>
      <c r="DV235" s="29"/>
      <c r="DW235" s="29"/>
      <c r="DX235" s="29"/>
      <c r="DY235" s="29"/>
      <c r="DZ235" s="29"/>
      <c r="EA235" s="140"/>
      <c r="EB235" s="117"/>
      <c r="EC235" s="117"/>
      <c r="ED235" s="117"/>
      <c r="EE235" s="117"/>
      <c r="EF235" s="110"/>
      <c r="EG235" s="4"/>
      <c r="EH235" s="111"/>
      <c r="EI235" s="112"/>
      <c r="EJ235" s="112"/>
      <c r="EK235" s="110"/>
      <c r="EL235" s="113"/>
      <c r="EM235" s="114"/>
      <c r="EN235" s="114"/>
      <c r="EO235" s="110"/>
      <c r="EP235" s="113"/>
      <c r="EQ235" s="114"/>
      <c r="ER235" s="110"/>
      <c r="ES235" s="113"/>
    </row>
    <row r="236" spans="35:149">
      <c r="AI236" s="13"/>
      <c r="AJ236" s="13"/>
      <c r="AK236" s="13"/>
      <c r="AL236" s="13"/>
      <c r="AM236" s="13"/>
      <c r="AR236" s="29"/>
      <c r="AS236" s="29"/>
      <c r="AT236" s="29"/>
      <c r="AU236" s="29"/>
      <c r="AV236" s="29"/>
      <c r="AW236" s="29"/>
      <c r="AX236" s="29"/>
      <c r="AY236" s="29"/>
      <c r="AZ236" s="29"/>
      <c r="BA236" s="140"/>
      <c r="BB236" s="117"/>
      <c r="BC236" s="117"/>
      <c r="BD236" s="117"/>
      <c r="BE236" s="117"/>
      <c r="BF236" s="110"/>
      <c r="BG236" s="4"/>
      <c r="BH236" s="111"/>
      <c r="BI236" s="112"/>
      <c r="BJ236" s="112"/>
      <c r="BK236" s="110"/>
      <c r="BL236" s="113"/>
      <c r="BM236" s="114"/>
      <c r="BN236" s="114"/>
      <c r="BO236" s="110"/>
      <c r="BP236" s="113"/>
      <c r="BQ236" s="114"/>
      <c r="BR236" s="110"/>
      <c r="BS236" s="113"/>
      <c r="DI236" s="13"/>
      <c r="DJ236" s="13"/>
      <c r="DK236" s="13"/>
      <c r="DL236" s="13"/>
      <c r="DM236" s="13"/>
      <c r="DR236" s="29"/>
      <c r="DS236" s="29"/>
      <c r="DT236" s="29"/>
      <c r="DU236" s="29"/>
      <c r="DV236" s="29"/>
      <c r="DW236" s="29"/>
      <c r="DX236" s="29"/>
      <c r="DY236" s="29"/>
      <c r="DZ236" s="29"/>
      <c r="EA236" s="140"/>
      <c r="EB236" s="117"/>
      <c r="EC236" s="117"/>
      <c r="ED236" s="117"/>
      <c r="EE236" s="117"/>
      <c r="EF236" s="110"/>
      <c r="EG236" s="4"/>
      <c r="EH236" s="111"/>
      <c r="EI236" s="112"/>
      <c r="EJ236" s="112"/>
      <c r="EK236" s="110"/>
      <c r="EL236" s="113"/>
      <c r="EM236" s="114"/>
      <c r="EN236" s="114"/>
      <c r="EO236" s="110"/>
      <c r="EP236" s="113"/>
      <c r="EQ236" s="114"/>
      <c r="ER236" s="110"/>
      <c r="ES236" s="113"/>
    </row>
    <row r="237" spans="35:149">
      <c r="AI237" s="13"/>
      <c r="AJ237" s="13"/>
      <c r="AK237" s="13"/>
      <c r="AL237" s="13"/>
      <c r="AM237" s="13"/>
      <c r="AR237" s="29"/>
      <c r="AS237" s="29"/>
      <c r="AT237" s="29"/>
      <c r="AU237" s="29"/>
      <c r="AV237" s="29"/>
      <c r="AW237" s="29"/>
      <c r="AX237" s="29"/>
      <c r="AY237" s="29"/>
      <c r="AZ237" s="29"/>
      <c r="BA237" s="140"/>
      <c r="BB237" s="117"/>
      <c r="BC237" s="117"/>
      <c r="BD237" s="117"/>
      <c r="BE237" s="117"/>
      <c r="BF237" s="110"/>
      <c r="BG237" s="4"/>
      <c r="BH237" s="111"/>
      <c r="BI237" s="112"/>
      <c r="BJ237" s="112"/>
      <c r="BK237" s="110"/>
      <c r="BL237" s="113"/>
      <c r="BM237" s="114"/>
      <c r="BN237" s="114"/>
      <c r="BO237" s="110"/>
      <c r="BP237" s="113"/>
      <c r="BQ237" s="114"/>
      <c r="BR237" s="110"/>
      <c r="BS237" s="113"/>
      <c r="DI237" s="13"/>
      <c r="DJ237" s="13"/>
      <c r="DK237" s="13"/>
      <c r="DL237" s="13"/>
      <c r="DM237" s="13"/>
      <c r="DR237" s="29"/>
      <c r="DS237" s="29"/>
      <c r="DT237" s="29"/>
      <c r="DU237" s="29"/>
      <c r="DV237" s="29"/>
      <c r="DW237" s="29"/>
      <c r="DX237" s="29"/>
      <c r="DY237" s="29"/>
      <c r="DZ237" s="29"/>
      <c r="EA237" s="140"/>
      <c r="EB237" s="117"/>
      <c r="EC237" s="117"/>
      <c r="ED237" s="117"/>
      <c r="EE237" s="117"/>
      <c r="EF237" s="110"/>
      <c r="EG237" s="4"/>
      <c r="EH237" s="111"/>
      <c r="EI237" s="112"/>
      <c r="EJ237" s="112"/>
      <c r="EK237" s="110"/>
      <c r="EL237" s="113"/>
      <c r="EM237" s="114"/>
      <c r="EN237" s="114"/>
      <c r="EO237" s="110"/>
      <c r="EP237" s="113"/>
      <c r="EQ237" s="114"/>
      <c r="ER237" s="110"/>
      <c r="ES237" s="113"/>
    </row>
    <row r="238" spans="35:149">
      <c r="AI238" s="13"/>
      <c r="AJ238" s="13"/>
      <c r="AK238" s="13"/>
      <c r="AL238" s="13"/>
      <c r="AM238" s="13"/>
      <c r="AR238" s="29"/>
      <c r="AS238" s="29"/>
      <c r="AT238" s="29"/>
      <c r="AU238" s="29"/>
      <c r="AV238" s="29"/>
      <c r="AW238" s="29"/>
      <c r="AX238" s="29"/>
      <c r="AY238" s="29"/>
      <c r="AZ238" s="29"/>
      <c r="BA238" s="140"/>
      <c r="BB238" s="117"/>
      <c r="BC238" s="117"/>
      <c r="BD238" s="117"/>
      <c r="BE238" s="117"/>
      <c r="BF238" s="110"/>
      <c r="BG238" s="4"/>
      <c r="BH238" s="111"/>
      <c r="BI238" s="112"/>
      <c r="BJ238" s="112"/>
      <c r="BK238" s="110"/>
      <c r="BL238" s="113"/>
      <c r="BM238" s="114"/>
      <c r="BN238" s="114"/>
      <c r="BO238" s="110"/>
      <c r="BP238" s="113"/>
      <c r="BQ238" s="114"/>
      <c r="BR238" s="110"/>
      <c r="BS238" s="113"/>
      <c r="DI238" s="13"/>
      <c r="DJ238" s="13"/>
      <c r="DK238" s="13"/>
      <c r="DL238" s="13"/>
      <c r="DM238" s="13"/>
      <c r="DR238" s="29"/>
      <c r="DS238" s="29"/>
      <c r="DT238" s="29"/>
      <c r="DU238" s="29"/>
      <c r="DV238" s="29"/>
      <c r="DW238" s="29"/>
      <c r="DX238" s="29"/>
      <c r="DY238" s="29"/>
      <c r="DZ238" s="29"/>
      <c r="EA238" s="140"/>
      <c r="EB238" s="117"/>
      <c r="EC238" s="117"/>
      <c r="ED238" s="117"/>
      <c r="EE238" s="117"/>
      <c r="EF238" s="110"/>
      <c r="EG238" s="4"/>
      <c r="EH238" s="111"/>
      <c r="EI238" s="112"/>
      <c r="EJ238" s="112"/>
      <c r="EK238" s="110"/>
      <c r="EL238" s="113"/>
      <c r="EM238" s="114"/>
      <c r="EN238" s="114"/>
      <c r="EO238" s="110"/>
      <c r="EP238" s="113"/>
      <c r="EQ238" s="114"/>
      <c r="ER238" s="110"/>
      <c r="ES238" s="113"/>
    </row>
    <row r="239" spans="35:149">
      <c r="AI239" s="13"/>
      <c r="AJ239" s="13"/>
      <c r="AK239" s="13"/>
      <c r="AL239" s="13"/>
      <c r="AM239" s="13"/>
      <c r="AR239" s="29"/>
      <c r="AS239" s="29"/>
      <c r="AT239" s="29"/>
      <c r="AU239" s="29"/>
      <c r="AV239" s="29"/>
      <c r="AW239" s="29"/>
      <c r="AX239" s="29"/>
      <c r="AY239" s="29"/>
      <c r="AZ239" s="29"/>
      <c r="BA239" s="140"/>
      <c r="BB239" s="117"/>
      <c r="BC239" s="117"/>
      <c r="BD239" s="117"/>
      <c r="BE239" s="117"/>
      <c r="BF239" s="110"/>
      <c r="BG239" s="4"/>
      <c r="BH239" s="111"/>
      <c r="BI239" s="112"/>
      <c r="BJ239" s="112"/>
      <c r="BK239" s="110"/>
      <c r="BL239" s="113"/>
      <c r="BM239" s="114"/>
      <c r="BN239" s="114"/>
      <c r="BO239" s="110"/>
      <c r="BP239" s="113"/>
      <c r="BQ239" s="114"/>
      <c r="BR239" s="110"/>
      <c r="BS239" s="113"/>
      <c r="DI239" s="13"/>
      <c r="DJ239" s="13"/>
      <c r="DK239" s="13"/>
      <c r="DL239" s="13"/>
      <c r="DM239" s="13"/>
      <c r="DR239" s="29"/>
      <c r="DS239" s="29"/>
      <c r="DT239" s="29"/>
      <c r="DU239" s="29"/>
      <c r="DV239" s="29"/>
      <c r="DW239" s="29"/>
      <c r="DX239" s="29"/>
      <c r="DY239" s="29"/>
      <c r="DZ239" s="29"/>
      <c r="EA239" s="140"/>
      <c r="EB239" s="117"/>
      <c r="EC239" s="117"/>
      <c r="ED239" s="117"/>
      <c r="EE239" s="117"/>
      <c r="EF239" s="110"/>
      <c r="EG239" s="4"/>
      <c r="EH239" s="111"/>
      <c r="EI239" s="112"/>
      <c r="EJ239" s="112"/>
      <c r="EK239" s="110"/>
      <c r="EL239" s="113"/>
      <c r="EM239" s="114"/>
      <c r="EN239" s="114"/>
      <c r="EO239" s="110"/>
      <c r="EP239" s="113"/>
      <c r="EQ239" s="114"/>
      <c r="ER239" s="110"/>
      <c r="ES239" s="113"/>
    </row>
    <row r="240" spans="35:149">
      <c r="AI240" s="13"/>
      <c r="AJ240" s="13"/>
      <c r="AK240" s="13"/>
      <c r="AL240" s="13"/>
      <c r="AM240" s="13"/>
      <c r="AR240" s="29"/>
      <c r="AS240" s="29"/>
      <c r="AT240" s="29"/>
      <c r="AU240" s="29"/>
      <c r="AV240" s="29"/>
      <c r="AW240" s="29"/>
      <c r="AX240" s="29"/>
      <c r="AY240" s="29"/>
      <c r="AZ240" s="29"/>
      <c r="BA240" s="140"/>
      <c r="BB240" s="117"/>
      <c r="BC240" s="117"/>
      <c r="BD240" s="117"/>
      <c r="BE240" s="117"/>
      <c r="BF240" s="110"/>
      <c r="BG240" s="4"/>
      <c r="BH240" s="111"/>
      <c r="BI240" s="112"/>
      <c r="BJ240" s="112"/>
      <c r="BK240" s="110"/>
      <c r="BL240" s="113"/>
      <c r="BM240" s="114"/>
      <c r="BN240" s="114"/>
      <c r="BO240" s="110"/>
      <c r="BP240" s="113"/>
      <c r="BQ240" s="114"/>
      <c r="BR240" s="110"/>
      <c r="BS240" s="113"/>
      <c r="DI240" s="13"/>
      <c r="DJ240" s="13"/>
      <c r="DK240" s="13"/>
      <c r="DL240" s="13"/>
      <c r="DM240" s="13"/>
      <c r="DR240" s="29"/>
      <c r="DS240" s="29"/>
      <c r="DT240" s="29"/>
      <c r="DU240" s="29"/>
      <c r="DV240" s="29"/>
      <c r="DW240" s="29"/>
      <c r="DX240" s="29"/>
      <c r="DY240" s="29"/>
      <c r="DZ240" s="29"/>
      <c r="EA240" s="140"/>
      <c r="EB240" s="117"/>
      <c r="EC240" s="117"/>
      <c r="ED240" s="117"/>
      <c r="EE240" s="117"/>
      <c r="EF240" s="110"/>
      <c r="EG240" s="4"/>
      <c r="EH240" s="111"/>
      <c r="EI240" s="112"/>
      <c r="EJ240" s="112"/>
      <c r="EK240" s="110"/>
      <c r="EL240" s="113"/>
      <c r="EM240" s="114"/>
      <c r="EN240" s="114"/>
      <c r="EO240" s="110"/>
      <c r="EP240" s="113"/>
      <c r="EQ240" s="114"/>
      <c r="ER240" s="110"/>
      <c r="ES240" s="113"/>
    </row>
    <row r="241" spans="35:149">
      <c r="AI241" s="13"/>
      <c r="AJ241" s="13"/>
      <c r="AK241" s="13"/>
      <c r="AL241" s="13"/>
      <c r="AM241" s="13"/>
      <c r="AR241" s="29"/>
      <c r="AS241" s="29"/>
      <c r="AT241" s="29"/>
      <c r="AU241" s="29"/>
      <c r="AV241" s="29"/>
      <c r="AW241" s="29"/>
      <c r="AX241" s="29"/>
      <c r="AY241" s="29"/>
      <c r="AZ241" s="29"/>
      <c r="BA241" s="140"/>
      <c r="BB241" s="117"/>
      <c r="BC241" s="117"/>
      <c r="BD241" s="117"/>
      <c r="BE241" s="117"/>
      <c r="BF241" s="110"/>
      <c r="BG241" s="4"/>
      <c r="BH241" s="111"/>
      <c r="BI241" s="112"/>
      <c r="BJ241" s="112"/>
      <c r="BK241" s="110"/>
      <c r="BL241" s="113"/>
      <c r="BM241" s="114"/>
      <c r="BN241" s="114"/>
      <c r="BO241" s="110"/>
      <c r="BP241" s="113"/>
      <c r="BQ241" s="114"/>
      <c r="BR241" s="110"/>
      <c r="BS241" s="113"/>
      <c r="DI241" s="13"/>
      <c r="DJ241" s="13"/>
      <c r="DK241" s="13"/>
      <c r="DL241" s="13"/>
      <c r="DM241" s="13"/>
      <c r="DR241" s="29"/>
      <c r="DS241" s="29"/>
      <c r="DT241" s="29"/>
      <c r="DU241" s="29"/>
      <c r="DV241" s="29"/>
      <c r="DW241" s="29"/>
      <c r="DX241" s="29"/>
      <c r="DY241" s="29"/>
      <c r="DZ241" s="29"/>
      <c r="EA241" s="140"/>
      <c r="EB241" s="117"/>
      <c r="EC241" s="117"/>
      <c r="ED241" s="117"/>
      <c r="EE241" s="117"/>
      <c r="EF241" s="110"/>
      <c r="EG241" s="4"/>
      <c r="EH241" s="111"/>
      <c r="EI241" s="112"/>
      <c r="EJ241" s="112"/>
      <c r="EK241" s="110"/>
      <c r="EL241" s="113"/>
      <c r="EM241" s="114"/>
      <c r="EN241" s="114"/>
      <c r="EO241" s="110"/>
      <c r="EP241" s="113"/>
      <c r="EQ241" s="114"/>
      <c r="ER241" s="110"/>
      <c r="ES241" s="113"/>
    </row>
    <row r="242" spans="35:149">
      <c r="AI242" s="13"/>
      <c r="AJ242" s="13"/>
      <c r="AK242" s="13"/>
      <c r="AL242" s="13"/>
      <c r="AM242" s="13"/>
      <c r="AR242" s="29"/>
      <c r="AS242" s="29"/>
      <c r="AT242" s="29"/>
      <c r="AU242" s="29"/>
      <c r="AV242" s="29"/>
      <c r="AW242" s="29"/>
      <c r="AX242" s="29"/>
      <c r="AY242" s="29"/>
      <c r="AZ242" s="29"/>
      <c r="BA242" s="140"/>
      <c r="BB242" s="117"/>
      <c r="BC242" s="117"/>
      <c r="BD242" s="117"/>
      <c r="BE242" s="117"/>
      <c r="BF242" s="110"/>
      <c r="BG242" s="4"/>
      <c r="BH242" s="111"/>
      <c r="BI242" s="112"/>
      <c r="BJ242" s="112"/>
      <c r="BK242" s="110"/>
      <c r="BL242" s="113"/>
      <c r="BM242" s="114"/>
      <c r="BN242" s="114"/>
      <c r="BO242" s="110"/>
      <c r="BP242" s="113"/>
      <c r="BQ242" s="114"/>
      <c r="BR242" s="110"/>
      <c r="BS242" s="113"/>
      <c r="DI242" s="13"/>
      <c r="DJ242" s="13"/>
      <c r="DK242" s="13"/>
      <c r="DL242" s="13"/>
      <c r="DM242" s="13"/>
      <c r="DR242" s="29"/>
      <c r="DS242" s="29"/>
      <c r="DT242" s="29"/>
      <c r="DU242" s="29"/>
      <c r="DV242" s="29"/>
      <c r="DW242" s="29"/>
      <c r="DX242" s="29"/>
      <c r="DY242" s="29"/>
      <c r="DZ242" s="29"/>
      <c r="EA242" s="140"/>
      <c r="EB242" s="117"/>
      <c r="EC242" s="117"/>
      <c r="ED242" s="117"/>
      <c r="EE242" s="117"/>
      <c r="EF242" s="110"/>
      <c r="EG242" s="4"/>
      <c r="EH242" s="111"/>
      <c r="EI242" s="112"/>
      <c r="EJ242" s="112"/>
      <c r="EK242" s="110"/>
      <c r="EL242" s="113"/>
      <c r="EM242" s="114"/>
      <c r="EN242" s="114"/>
      <c r="EO242" s="110"/>
      <c r="EP242" s="113"/>
      <c r="EQ242" s="114"/>
      <c r="ER242" s="110"/>
      <c r="ES242" s="113"/>
    </row>
    <row r="243" spans="35:149">
      <c r="AI243" s="13"/>
      <c r="AJ243" s="13"/>
      <c r="AK243" s="13"/>
      <c r="AL243" s="13"/>
      <c r="AM243" s="13"/>
      <c r="AR243" s="29"/>
      <c r="AS243" s="29"/>
      <c r="AT243" s="29"/>
      <c r="AU243" s="29"/>
      <c r="AV243" s="29"/>
      <c r="AW243" s="29"/>
      <c r="AX243" s="29"/>
      <c r="AY243" s="29"/>
      <c r="AZ243" s="29"/>
      <c r="BA243" s="140"/>
      <c r="BB243" s="117"/>
      <c r="BC243" s="117"/>
      <c r="BD243" s="117"/>
      <c r="BE243" s="117"/>
      <c r="BF243" s="110"/>
      <c r="BG243" s="4"/>
      <c r="BH243" s="111"/>
      <c r="BI243" s="112"/>
      <c r="BJ243" s="112"/>
      <c r="BK243" s="110"/>
      <c r="BL243" s="113"/>
      <c r="BM243" s="114"/>
      <c r="BN243" s="114"/>
      <c r="BO243" s="110"/>
      <c r="BP243" s="113"/>
      <c r="BQ243" s="114"/>
      <c r="BR243" s="110"/>
      <c r="BS243" s="113"/>
      <c r="DI243" s="13"/>
      <c r="DJ243" s="13"/>
      <c r="DK243" s="13"/>
      <c r="DL243" s="13"/>
      <c r="DM243" s="13"/>
      <c r="DR243" s="29"/>
      <c r="DS243" s="29"/>
      <c r="DT243" s="29"/>
      <c r="DU243" s="29"/>
      <c r="DV243" s="29"/>
      <c r="DW243" s="29"/>
      <c r="DX243" s="29"/>
      <c r="DY243" s="29"/>
      <c r="DZ243" s="29"/>
      <c r="EA243" s="140"/>
      <c r="EB243" s="117"/>
      <c r="EC243" s="117"/>
      <c r="ED243" s="117"/>
      <c r="EE243" s="117"/>
      <c r="EF243" s="110"/>
      <c r="EG243" s="4"/>
      <c r="EH243" s="111"/>
      <c r="EI243" s="112"/>
      <c r="EJ243" s="112"/>
      <c r="EK243" s="110"/>
      <c r="EL243" s="113"/>
      <c r="EM243" s="114"/>
      <c r="EN243" s="114"/>
      <c r="EO243" s="110"/>
      <c r="EP243" s="113"/>
      <c r="EQ243" s="114"/>
      <c r="ER243" s="110"/>
      <c r="ES243" s="113"/>
    </row>
    <row r="244" spans="35:149">
      <c r="AI244" s="13"/>
      <c r="AJ244" s="13"/>
      <c r="AK244" s="13"/>
      <c r="AL244" s="13"/>
      <c r="AM244" s="13"/>
      <c r="AR244" s="29"/>
      <c r="AS244" s="29"/>
      <c r="AT244" s="29"/>
      <c r="AU244" s="29"/>
      <c r="AV244" s="29"/>
      <c r="AW244" s="29"/>
      <c r="AX244" s="29"/>
      <c r="AY244" s="29"/>
      <c r="AZ244" s="29"/>
      <c r="BA244" s="140"/>
      <c r="BB244" s="117"/>
      <c r="BC244" s="117"/>
      <c r="BD244" s="117"/>
      <c r="BE244" s="117"/>
      <c r="BF244" s="110"/>
      <c r="BG244" s="4"/>
      <c r="BH244" s="111"/>
      <c r="BI244" s="112"/>
      <c r="BJ244" s="112"/>
      <c r="BK244" s="110"/>
      <c r="BL244" s="113"/>
      <c r="BM244" s="114"/>
      <c r="BN244" s="114"/>
      <c r="BO244" s="110"/>
      <c r="BP244" s="113"/>
      <c r="BQ244" s="114"/>
      <c r="BR244" s="110"/>
      <c r="BS244" s="113"/>
      <c r="DI244" s="13"/>
      <c r="DJ244" s="13"/>
      <c r="DK244" s="13"/>
      <c r="DL244" s="13"/>
      <c r="DM244" s="13"/>
      <c r="DR244" s="29"/>
      <c r="DS244" s="29"/>
      <c r="DT244" s="29"/>
      <c r="DU244" s="29"/>
      <c r="DV244" s="29"/>
      <c r="DW244" s="29"/>
      <c r="DX244" s="29"/>
      <c r="DY244" s="29"/>
      <c r="DZ244" s="29"/>
      <c r="EA244" s="140"/>
      <c r="EB244" s="117"/>
      <c r="EC244" s="117"/>
      <c r="ED244" s="117"/>
      <c r="EE244" s="117"/>
      <c r="EF244" s="110"/>
      <c r="EG244" s="4"/>
      <c r="EH244" s="111"/>
      <c r="EI244" s="112"/>
      <c r="EJ244" s="112"/>
      <c r="EK244" s="110"/>
      <c r="EL244" s="113"/>
      <c r="EM244" s="114"/>
      <c r="EN244" s="114"/>
      <c r="EO244" s="110"/>
      <c r="EP244" s="113"/>
      <c r="EQ244" s="114"/>
      <c r="ER244" s="110"/>
      <c r="ES244" s="113"/>
    </row>
    <row r="245" spans="35:149">
      <c r="AI245" s="13"/>
      <c r="AJ245" s="13"/>
      <c r="AK245" s="13"/>
      <c r="AL245" s="13"/>
      <c r="AM245" s="13"/>
      <c r="AR245" s="29"/>
      <c r="AS245" s="29"/>
      <c r="AT245" s="29"/>
      <c r="AU245" s="29"/>
      <c r="AV245" s="29"/>
      <c r="AW245" s="29"/>
      <c r="AX245" s="29"/>
      <c r="AY245" s="29"/>
      <c r="AZ245" s="29"/>
      <c r="BA245" s="140"/>
      <c r="BB245" s="117"/>
      <c r="BC245" s="117"/>
      <c r="BD245" s="117"/>
      <c r="BE245" s="117"/>
      <c r="BF245" s="110"/>
      <c r="BG245" s="4"/>
      <c r="BH245" s="111"/>
      <c r="BI245" s="112"/>
      <c r="BJ245" s="112"/>
      <c r="BK245" s="110"/>
      <c r="BL245" s="113"/>
      <c r="BM245" s="114"/>
      <c r="BN245" s="114"/>
      <c r="BO245" s="110"/>
      <c r="BP245" s="113"/>
      <c r="BQ245" s="114"/>
      <c r="BR245" s="110"/>
      <c r="BS245" s="113"/>
      <c r="DI245" s="13"/>
      <c r="DJ245" s="13"/>
      <c r="DK245" s="13"/>
      <c r="DL245" s="13"/>
      <c r="DM245" s="13"/>
      <c r="DR245" s="29"/>
      <c r="DS245" s="29"/>
      <c r="DT245" s="29"/>
      <c r="DU245" s="29"/>
      <c r="DV245" s="29"/>
      <c r="DW245" s="29"/>
      <c r="DX245" s="29"/>
      <c r="DY245" s="29"/>
      <c r="DZ245" s="29"/>
      <c r="EA245" s="140"/>
      <c r="EB245" s="117"/>
      <c r="EC245" s="117"/>
      <c r="ED245" s="117"/>
      <c r="EE245" s="117"/>
      <c r="EF245" s="110"/>
      <c r="EG245" s="4"/>
      <c r="EH245" s="111"/>
      <c r="EI245" s="112"/>
      <c r="EJ245" s="112"/>
      <c r="EK245" s="110"/>
      <c r="EL245" s="113"/>
      <c r="EM245" s="114"/>
      <c r="EN245" s="114"/>
      <c r="EO245" s="110"/>
      <c r="EP245" s="113"/>
      <c r="EQ245" s="114"/>
      <c r="ER245" s="110"/>
      <c r="ES245" s="113"/>
    </row>
    <row r="246" spans="35:149">
      <c r="AI246" s="13"/>
      <c r="AJ246" s="13"/>
      <c r="AK246" s="13"/>
      <c r="AL246" s="13"/>
      <c r="AM246" s="13"/>
      <c r="AR246" s="29"/>
      <c r="AS246" s="29"/>
      <c r="AT246" s="29"/>
      <c r="AU246" s="29"/>
      <c r="AV246" s="29"/>
      <c r="AW246" s="29"/>
      <c r="AX246" s="29"/>
      <c r="AY246" s="29"/>
      <c r="AZ246" s="29"/>
      <c r="BA246" s="140"/>
      <c r="BB246" s="117"/>
      <c r="BC246" s="117"/>
      <c r="BD246" s="117"/>
      <c r="BE246" s="117"/>
      <c r="BF246" s="110"/>
      <c r="BG246" s="4"/>
      <c r="BH246" s="111"/>
      <c r="BI246" s="112"/>
      <c r="BJ246" s="112"/>
      <c r="BK246" s="110"/>
      <c r="BL246" s="113"/>
      <c r="BM246" s="114"/>
      <c r="BN246" s="114"/>
      <c r="BO246" s="110"/>
      <c r="BP246" s="113"/>
      <c r="BQ246" s="114"/>
      <c r="BR246" s="110"/>
      <c r="BS246" s="113"/>
      <c r="DI246" s="13"/>
      <c r="DJ246" s="13"/>
      <c r="DK246" s="13"/>
      <c r="DL246" s="13"/>
      <c r="DM246" s="13"/>
      <c r="DR246" s="29"/>
      <c r="DS246" s="29"/>
      <c r="DT246" s="29"/>
      <c r="DU246" s="29"/>
      <c r="DV246" s="29"/>
      <c r="DW246" s="29"/>
      <c r="DX246" s="29"/>
      <c r="DY246" s="29"/>
      <c r="DZ246" s="29"/>
      <c r="EA246" s="140"/>
      <c r="EB246" s="117"/>
      <c r="EC246" s="117"/>
      <c r="ED246" s="117"/>
      <c r="EE246" s="117"/>
      <c r="EF246" s="110"/>
      <c r="EG246" s="4"/>
      <c r="EH246" s="111"/>
      <c r="EI246" s="112"/>
      <c r="EJ246" s="112"/>
      <c r="EK246" s="110"/>
      <c r="EL246" s="113"/>
      <c r="EM246" s="114"/>
      <c r="EN246" s="114"/>
      <c r="EO246" s="110"/>
      <c r="EP246" s="113"/>
      <c r="EQ246" s="114"/>
      <c r="ER246" s="110"/>
      <c r="ES246" s="113"/>
    </row>
    <row r="247" spans="35:149">
      <c r="AI247" s="13"/>
      <c r="AJ247" s="13"/>
      <c r="AK247" s="13"/>
      <c r="AL247" s="13"/>
      <c r="AM247" s="13"/>
      <c r="AR247" s="29"/>
      <c r="AS247" s="29"/>
      <c r="AT247" s="29"/>
      <c r="AU247" s="29"/>
      <c r="AV247" s="29"/>
      <c r="AW247" s="29"/>
      <c r="AX247" s="29"/>
      <c r="AY247" s="29"/>
      <c r="AZ247" s="29"/>
      <c r="BA247" s="140"/>
      <c r="BB247" s="117"/>
      <c r="BC247" s="117"/>
      <c r="BD247" s="117"/>
      <c r="BE247" s="117"/>
      <c r="BF247" s="110"/>
      <c r="BG247" s="4"/>
      <c r="BH247" s="111"/>
      <c r="BI247" s="112"/>
      <c r="BJ247" s="112"/>
      <c r="BK247" s="110"/>
      <c r="BL247" s="113"/>
      <c r="BM247" s="114"/>
      <c r="BN247" s="114"/>
      <c r="BO247" s="110"/>
      <c r="BP247" s="113"/>
      <c r="BQ247" s="114"/>
      <c r="BR247" s="110"/>
      <c r="BS247" s="113"/>
      <c r="DI247" s="13"/>
      <c r="DJ247" s="13"/>
      <c r="DK247" s="13"/>
      <c r="DL247" s="13"/>
      <c r="DM247" s="13"/>
      <c r="DR247" s="29"/>
      <c r="DS247" s="29"/>
      <c r="DT247" s="29"/>
      <c r="DU247" s="29"/>
      <c r="DV247" s="29"/>
      <c r="DW247" s="29"/>
      <c r="DX247" s="29"/>
      <c r="DY247" s="29"/>
      <c r="DZ247" s="29"/>
      <c r="EA247" s="140"/>
      <c r="EB247" s="117"/>
      <c r="EC247" s="117"/>
      <c r="ED247" s="117"/>
      <c r="EE247" s="117"/>
      <c r="EF247" s="110"/>
      <c r="EG247" s="4"/>
      <c r="EH247" s="111"/>
      <c r="EI247" s="112"/>
      <c r="EJ247" s="112"/>
      <c r="EK247" s="110"/>
      <c r="EL247" s="113"/>
      <c r="EM247" s="114"/>
      <c r="EN247" s="114"/>
      <c r="EO247" s="110"/>
      <c r="EP247" s="113"/>
      <c r="EQ247" s="114"/>
      <c r="ER247" s="110"/>
      <c r="ES247" s="113"/>
    </row>
    <row r="248" spans="35:149">
      <c r="AI248" s="13"/>
      <c r="AJ248" s="13"/>
      <c r="AK248" s="13"/>
      <c r="AL248" s="13"/>
      <c r="AM248" s="13"/>
      <c r="AR248" s="29"/>
      <c r="AS248" s="29"/>
      <c r="AT248" s="29"/>
      <c r="AU248" s="29"/>
      <c r="AV248" s="29"/>
      <c r="AW248" s="29"/>
      <c r="AX248" s="29"/>
      <c r="AY248" s="29"/>
      <c r="AZ248" s="29"/>
      <c r="BA248" s="140"/>
      <c r="BB248" s="117"/>
      <c r="BC248" s="117"/>
      <c r="BD248" s="117"/>
      <c r="BE248" s="117"/>
      <c r="BF248" s="110"/>
      <c r="BG248" s="4"/>
      <c r="BH248" s="111"/>
      <c r="BI248" s="112"/>
      <c r="BJ248" s="112"/>
      <c r="BK248" s="110"/>
      <c r="BL248" s="113"/>
      <c r="BM248" s="114"/>
      <c r="BN248" s="114"/>
      <c r="BO248" s="110"/>
      <c r="BP248" s="113"/>
      <c r="BQ248" s="114"/>
      <c r="BR248" s="110"/>
      <c r="BS248" s="113"/>
      <c r="DI248" s="13"/>
      <c r="DJ248" s="13"/>
      <c r="DK248" s="13"/>
      <c r="DL248" s="13"/>
      <c r="DM248" s="13"/>
      <c r="DR248" s="29"/>
      <c r="DS248" s="29"/>
      <c r="DT248" s="29"/>
      <c r="DU248" s="29"/>
      <c r="DV248" s="29"/>
      <c r="DW248" s="29"/>
      <c r="DX248" s="29"/>
      <c r="DY248" s="29"/>
      <c r="DZ248" s="29"/>
      <c r="EA248" s="140"/>
      <c r="EB248" s="117"/>
      <c r="EC248" s="117"/>
      <c r="ED248" s="117"/>
      <c r="EE248" s="117"/>
      <c r="EF248" s="110"/>
      <c r="EG248" s="4"/>
      <c r="EH248" s="111"/>
      <c r="EI248" s="112"/>
      <c r="EJ248" s="112"/>
      <c r="EK248" s="110"/>
      <c r="EL248" s="113"/>
      <c r="EM248" s="114"/>
      <c r="EN248" s="114"/>
      <c r="EO248" s="110"/>
      <c r="EP248" s="113"/>
      <c r="EQ248" s="114"/>
      <c r="ER248" s="110"/>
      <c r="ES248" s="113"/>
    </row>
    <row r="249" spans="35:149">
      <c r="AI249" s="13"/>
      <c r="AJ249" s="13"/>
      <c r="AK249" s="13"/>
      <c r="AL249" s="13"/>
      <c r="AM249" s="13"/>
      <c r="AR249" s="29"/>
      <c r="AS249" s="29"/>
      <c r="AT249" s="29"/>
      <c r="AU249" s="29"/>
      <c r="AV249" s="29"/>
      <c r="AW249" s="29"/>
      <c r="AX249" s="29"/>
      <c r="AY249" s="29"/>
      <c r="AZ249" s="29"/>
      <c r="BA249" s="140"/>
      <c r="BB249" s="117"/>
      <c r="BC249" s="117"/>
      <c r="BD249" s="117"/>
      <c r="BE249" s="117"/>
      <c r="BF249" s="110"/>
      <c r="BG249" s="4"/>
      <c r="BH249" s="111"/>
      <c r="BI249" s="112"/>
      <c r="BJ249" s="112"/>
      <c r="BK249" s="110"/>
      <c r="BL249" s="113"/>
      <c r="BM249" s="114"/>
      <c r="BN249" s="114"/>
      <c r="BO249" s="110"/>
      <c r="BP249" s="113"/>
      <c r="BQ249" s="114"/>
      <c r="BR249" s="110"/>
      <c r="BS249" s="113"/>
      <c r="DI249" s="13"/>
      <c r="DJ249" s="13"/>
      <c r="DK249" s="13"/>
      <c r="DL249" s="13"/>
      <c r="DM249" s="13"/>
      <c r="DR249" s="29"/>
      <c r="DS249" s="29"/>
      <c r="DT249" s="29"/>
      <c r="DU249" s="29"/>
      <c r="DV249" s="29"/>
      <c r="DW249" s="29"/>
      <c r="DX249" s="29"/>
      <c r="DY249" s="29"/>
      <c r="DZ249" s="29"/>
      <c r="EA249" s="140"/>
      <c r="EB249" s="117"/>
      <c r="EC249" s="117"/>
      <c r="ED249" s="117"/>
      <c r="EE249" s="117"/>
      <c r="EF249" s="110"/>
      <c r="EG249" s="4"/>
      <c r="EH249" s="111"/>
      <c r="EI249" s="112"/>
      <c r="EJ249" s="112"/>
      <c r="EK249" s="110"/>
      <c r="EL249" s="113"/>
      <c r="EM249" s="114"/>
      <c r="EN249" s="114"/>
      <c r="EO249" s="110"/>
      <c r="EP249" s="113"/>
      <c r="EQ249" s="114"/>
      <c r="ER249" s="110"/>
      <c r="ES249" s="113"/>
    </row>
    <row r="250" spans="35:149">
      <c r="AI250" s="13"/>
      <c r="AJ250" s="13"/>
      <c r="AK250" s="13"/>
      <c r="AL250" s="13"/>
      <c r="AM250" s="13"/>
      <c r="AR250" s="29"/>
      <c r="AS250" s="29"/>
      <c r="AT250" s="29"/>
      <c r="AU250" s="29"/>
      <c r="AV250" s="29"/>
      <c r="AW250" s="29"/>
      <c r="AX250" s="29"/>
      <c r="AY250" s="29"/>
      <c r="AZ250" s="29"/>
      <c r="BA250" s="140"/>
      <c r="BB250" s="117"/>
      <c r="BC250" s="117"/>
      <c r="BD250" s="117"/>
      <c r="BE250" s="117"/>
      <c r="BF250" s="110"/>
      <c r="BG250" s="4"/>
      <c r="BH250" s="111"/>
      <c r="BI250" s="112"/>
      <c r="BJ250" s="112"/>
      <c r="BK250" s="110"/>
      <c r="BL250" s="113"/>
      <c r="BM250" s="114"/>
      <c r="BN250" s="114"/>
      <c r="BO250" s="110"/>
      <c r="BP250" s="113"/>
      <c r="BQ250" s="114"/>
      <c r="BR250" s="110"/>
      <c r="BS250" s="113"/>
      <c r="DI250" s="13"/>
      <c r="DJ250" s="13"/>
      <c r="DK250" s="13"/>
      <c r="DL250" s="13"/>
      <c r="DM250" s="13"/>
      <c r="DR250" s="29"/>
      <c r="DS250" s="29"/>
      <c r="DT250" s="29"/>
      <c r="DU250" s="29"/>
      <c r="DV250" s="29"/>
      <c r="DW250" s="29"/>
      <c r="DX250" s="29"/>
      <c r="DY250" s="29"/>
      <c r="DZ250" s="29"/>
      <c r="EA250" s="140"/>
      <c r="EB250" s="117"/>
      <c r="EC250" s="117"/>
      <c r="ED250" s="117"/>
      <c r="EE250" s="117"/>
      <c r="EF250" s="110"/>
      <c r="EG250" s="4"/>
      <c r="EH250" s="111"/>
      <c r="EI250" s="112"/>
      <c r="EJ250" s="112"/>
      <c r="EK250" s="110"/>
      <c r="EL250" s="113"/>
      <c r="EM250" s="114"/>
      <c r="EN250" s="114"/>
      <c r="EO250" s="110"/>
      <c r="EP250" s="113"/>
      <c r="EQ250" s="114"/>
      <c r="ER250" s="110"/>
      <c r="ES250" s="113"/>
    </row>
    <row r="251" spans="35:149">
      <c r="AI251" s="13"/>
      <c r="AJ251" s="13"/>
      <c r="AK251" s="13"/>
      <c r="AL251" s="13"/>
      <c r="AM251" s="13"/>
      <c r="AR251" s="29"/>
      <c r="AS251" s="29"/>
      <c r="AT251" s="29"/>
      <c r="AU251" s="29"/>
      <c r="AV251" s="29"/>
      <c r="AW251" s="29"/>
      <c r="AX251" s="29"/>
      <c r="AY251" s="29"/>
      <c r="AZ251" s="29"/>
      <c r="BA251" s="140"/>
      <c r="BB251" s="117"/>
      <c r="BC251" s="117"/>
      <c r="BD251" s="117"/>
      <c r="BE251" s="117"/>
      <c r="BF251" s="110"/>
      <c r="BG251" s="4"/>
      <c r="BH251" s="111"/>
      <c r="BI251" s="112"/>
      <c r="BJ251" s="112"/>
      <c r="BK251" s="110"/>
      <c r="BL251" s="113"/>
      <c r="BM251" s="114"/>
      <c r="BN251" s="114"/>
      <c r="BO251" s="110"/>
      <c r="BP251" s="113"/>
      <c r="BQ251" s="114"/>
      <c r="BR251" s="110"/>
      <c r="BS251" s="113"/>
      <c r="DI251" s="13"/>
      <c r="DJ251" s="13"/>
      <c r="DK251" s="13"/>
      <c r="DL251" s="13"/>
      <c r="DM251" s="13"/>
      <c r="DR251" s="29"/>
      <c r="DS251" s="29"/>
      <c r="DT251" s="29"/>
      <c r="DU251" s="29"/>
      <c r="DV251" s="29"/>
      <c r="DW251" s="29"/>
      <c r="DX251" s="29"/>
      <c r="DY251" s="29"/>
      <c r="DZ251" s="29"/>
      <c r="EA251" s="140"/>
      <c r="EB251" s="117"/>
      <c r="EC251" s="117"/>
      <c r="ED251" s="117"/>
      <c r="EE251" s="117"/>
      <c r="EF251" s="110"/>
      <c r="EG251" s="4"/>
      <c r="EH251" s="111"/>
      <c r="EI251" s="112"/>
      <c r="EJ251" s="112"/>
      <c r="EK251" s="110"/>
      <c r="EL251" s="113"/>
      <c r="EM251" s="114"/>
      <c r="EN251" s="114"/>
      <c r="EO251" s="110"/>
      <c r="EP251" s="113"/>
      <c r="EQ251" s="114"/>
      <c r="ER251" s="110"/>
      <c r="ES251" s="113"/>
    </row>
    <row r="252" spans="35:149">
      <c r="AI252" s="13"/>
      <c r="AJ252" s="13"/>
      <c r="AK252" s="13"/>
      <c r="AL252" s="13"/>
      <c r="AM252" s="13"/>
      <c r="AR252" s="29"/>
      <c r="AS252" s="29"/>
      <c r="AT252" s="29"/>
      <c r="AU252" s="29"/>
      <c r="AV252" s="29"/>
      <c r="AW252" s="29"/>
      <c r="AX252" s="29"/>
      <c r="AY252" s="29"/>
      <c r="AZ252" s="29"/>
      <c r="BA252" s="140"/>
      <c r="BB252" s="117"/>
      <c r="BC252" s="117"/>
      <c r="BD252" s="117"/>
      <c r="BE252" s="117"/>
      <c r="BF252" s="110"/>
      <c r="BG252" s="4"/>
      <c r="BH252" s="111"/>
      <c r="BI252" s="112"/>
      <c r="BJ252" s="112"/>
      <c r="BK252" s="110"/>
      <c r="BL252" s="113"/>
      <c r="BM252" s="114"/>
      <c r="BN252" s="114"/>
      <c r="BO252" s="110"/>
      <c r="BP252" s="113"/>
      <c r="BQ252" s="114"/>
      <c r="BR252" s="110"/>
      <c r="BS252" s="113"/>
      <c r="DI252" s="13"/>
      <c r="DJ252" s="13"/>
      <c r="DK252" s="13"/>
      <c r="DL252" s="13"/>
      <c r="DM252" s="13"/>
      <c r="DR252" s="29"/>
      <c r="DS252" s="29"/>
      <c r="DT252" s="29"/>
      <c r="DU252" s="29"/>
      <c r="DV252" s="29"/>
      <c r="DW252" s="29"/>
      <c r="DX252" s="29"/>
      <c r="DY252" s="29"/>
      <c r="DZ252" s="29"/>
      <c r="EA252" s="140"/>
      <c r="EB252" s="117"/>
      <c r="EC252" s="117"/>
      <c r="ED252" s="117"/>
      <c r="EE252" s="117"/>
      <c r="EF252" s="110"/>
      <c r="EG252" s="4"/>
      <c r="EH252" s="111"/>
      <c r="EI252" s="112"/>
      <c r="EJ252" s="112"/>
      <c r="EK252" s="110"/>
      <c r="EL252" s="113"/>
      <c r="EM252" s="114"/>
      <c r="EN252" s="114"/>
      <c r="EO252" s="110"/>
      <c r="EP252" s="113"/>
      <c r="EQ252" s="114"/>
      <c r="ER252" s="110"/>
      <c r="ES252" s="113"/>
    </row>
    <row r="253" spans="35:149">
      <c r="AI253" s="13"/>
      <c r="AJ253" s="13"/>
      <c r="AK253" s="13"/>
      <c r="AL253" s="13"/>
      <c r="AM253" s="13"/>
      <c r="AR253" s="29"/>
      <c r="AS253" s="29"/>
      <c r="AT253" s="29"/>
      <c r="AU253" s="29"/>
      <c r="AV253" s="29"/>
      <c r="AW253" s="29"/>
      <c r="AX253" s="29"/>
      <c r="AY253" s="29"/>
      <c r="AZ253" s="29"/>
      <c r="BA253" s="140"/>
      <c r="BB253" s="117"/>
      <c r="BC253" s="117"/>
      <c r="BD253" s="117"/>
      <c r="BE253" s="117"/>
      <c r="BF253" s="110"/>
      <c r="BG253" s="4"/>
      <c r="BH253" s="111"/>
      <c r="BI253" s="112"/>
      <c r="BJ253" s="112"/>
      <c r="BK253" s="110"/>
      <c r="BL253" s="113"/>
      <c r="BM253" s="114"/>
      <c r="BN253" s="114"/>
      <c r="BO253" s="110"/>
      <c r="BP253" s="113"/>
      <c r="BQ253" s="114"/>
      <c r="BR253" s="110"/>
      <c r="BS253" s="113"/>
      <c r="DI253" s="13"/>
      <c r="DJ253" s="13"/>
      <c r="DK253" s="13"/>
      <c r="DL253" s="13"/>
      <c r="DM253" s="13"/>
      <c r="DR253" s="29"/>
      <c r="DS253" s="29"/>
      <c r="DT253" s="29"/>
      <c r="DU253" s="29"/>
      <c r="DV253" s="29"/>
      <c r="DW253" s="29"/>
      <c r="DX253" s="29"/>
      <c r="DY253" s="29"/>
      <c r="DZ253" s="29"/>
      <c r="EA253" s="140"/>
      <c r="EB253" s="117"/>
      <c r="EC253" s="117"/>
      <c r="ED253" s="117"/>
      <c r="EE253" s="117"/>
      <c r="EF253" s="110"/>
      <c r="EG253" s="4"/>
      <c r="EH253" s="111"/>
      <c r="EI253" s="112"/>
      <c r="EJ253" s="112"/>
      <c r="EK253" s="110"/>
      <c r="EL253" s="113"/>
      <c r="EM253" s="114"/>
      <c r="EN253" s="114"/>
      <c r="EO253" s="110"/>
      <c r="EP253" s="113"/>
      <c r="EQ253" s="114"/>
      <c r="ER253" s="110"/>
      <c r="ES253" s="113"/>
    </row>
    <row r="254" spans="35:149">
      <c r="AI254" s="13"/>
      <c r="AJ254" s="13"/>
      <c r="AK254" s="13"/>
      <c r="AL254" s="13"/>
      <c r="AM254" s="13"/>
      <c r="AR254" s="29"/>
      <c r="AS254" s="29"/>
      <c r="AT254" s="29"/>
      <c r="AU254" s="29"/>
      <c r="AV254" s="29"/>
      <c r="AW254" s="29"/>
      <c r="AX254" s="29"/>
      <c r="AY254" s="29"/>
      <c r="AZ254" s="29"/>
      <c r="BA254" s="140"/>
      <c r="BB254" s="117"/>
      <c r="BC254" s="117"/>
      <c r="BD254" s="117"/>
      <c r="BE254" s="117"/>
      <c r="BF254" s="110"/>
      <c r="BG254" s="4"/>
      <c r="BH254" s="111"/>
      <c r="BI254" s="112"/>
      <c r="BJ254" s="112"/>
      <c r="BK254" s="110"/>
      <c r="BL254" s="113"/>
      <c r="BM254" s="114"/>
      <c r="BN254" s="114"/>
      <c r="BO254" s="110"/>
      <c r="BP254" s="113"/>
      <c r="BQ254" s="114"/>
      <c r="BR254" s="110"/>
      <c r="BS254" s="113"/>
      <c r="DI254" s="13"/>
      <c r="DJ254" s="13"/>
      <c r="DK254" s="13"/>
      <c r="DL254" s="13"/>
      <c r="DM254" s="13"/>
      <c r="DR254" s="29"/>
      <c r="DS254" s="29"/>
      <c r="DT254" s="29"/>
      <c r="DU254" s="29"/>
      <c r="DV254" s="29"/>
      <c r="DW254" s="29"/>
      <c r="DX254" s="29"/>
      <c r="DY254" s="29"/>
      <c r="DZ254" s="29"/>
      <c r="EA254" s="140"/>
      <c r="EB254" s="117"/>
      <c r="EC254" s="117"/>
      <c r="ED254" s="117"/>
      <c r="EE254" s="117"/>
      <c r="EF254" s="110"/>
      <c r="EG254" s="4"/>
      <c r="EH254" s="111"/>
      <c r="EI254" s="112"/>
      <c r="EJ254" s="112"/>
      <c r="EK254" s="110"/>
      <c r="EL254" s="113"/>
      <c r="EM254" s="114"/>
      <c r="EN254" s="114"/>
      <c r="EO254" s="110"/>
      <c r="EP254" s="113"/>
      <c r="EQ254" s="114"/>
      <c r="ER254" s="110"/>
      <c r="ES254" s="113"/>
    </row>
    <row r="255" spans="35:149">
      <c r="AI255" s="13"/>
      <c r="AJ255" s="13"/>
      <c r="AK255" s="13"/>
      <c r="AL255" s="13"/>
      <c r="AM255" s="13"/>
      <c r="AR255" s="29"/>
      <c r="AS255" s="29"/>
      <c r="AT255" s="29"/>
      <c r="AU255" s="29"/>
      <c r="AV255" s="29"/>
      <c r="AW255" s="29"/>
      <c r="AX255" s="29"/>
      <c r="AY255" s="29"/>
      <c r="AZ255" s="29"/>
      <c r="BA255" s="140"/>
      <c r="BB255" s="117"/>
      <c r="BC255" s="117"/>
      <c r="BD255" s="117"/>
      <c r="BE255" s="117"/>
      <c r="BF255" s="110"/>
      <c r="BG255" s="4"/>
      <c r="BH255" s="111"/>
      <c r="BI255" s="112"/>
      <c r="BJ255" s="112"/>
      <c r="BK255" s="110"/>
      <c r="BL255" s="113"/>
      <c r="BM255" s="114"/>
      <c r="BN255" s="114"/>
      <c r="BO255" s="110"/>
      <c r="BP255" s="113"/>
      <c r="BQ255" s="114"/>
      <c r="BR255" s="110"/>
      <c r="BS255" s="113"/>
      <c r="DI255" s="13"/>
      <c r="DJ255" s="13"/>
      <c r="DK255" s="13"/>
      <c r="DL255" s="13"/>
      <c r="DM255" s="13"/>
      <c r="DR255" s="29"/>
      <c r="DS255" s="29"/>
      <c r="DT255" s="29"/>
      <c r="DU255" s="29"/>
      <c r="DV255" s="29"/>
      <c r="DW255" s="29"/>
      <c r="DX255" s="29"/>
      <c r="DY255" s="29"/>
      <c r="DZ255" s="29"/>
      <c r="EA255" s="140"/>
      <c r="EB255" s="117"/>
      <c r="EC255" s="117"/>
      <c r="ED255" s="117"/>
      <c r="EE255" s="117"/>
      <c r="EF255" s="110"/>
      <c r="EG255" s="4"/>
      <c r="EH255" s="111"/>
      <c r="EI255" s="112"/>
      <c r="EJ255" s="112"/>
      <c r="EK255" s="110"/>
      <c r="EL255" s="113"/>
      <c r="EM255" s="114"/>
      <c r="EN255" s="114"/>
      <c r="EO255" s="110"/>
      <c r="EP255" s="113"/>
      <c r="EQ255" s="114"/>
      <c r="ER255" s="110"/>
      <c r="ES255" s="113"/>
    </row>
    <row r="256" spans="35:149">
      <c r="AI256" s="13"/>
      <c r="AJ256" s="13"/>
      <c r="AK256" s="13"/>
      <c r="AL256" s="13"/>
      <c r="AM256" s="13"/>
      <c r="AR256" s="29"/>
      <c r="AS256" s="29"/>
      <c r="AT256" s="29"/>
      <c r="AU256" s="29"/>
      <c r="AV256" s="29"/>
      <c r="AW256" s="29"/>
      <c r="AX256" s="29"/>
      <c r="AY256" s="29"/>
      <c r="AZ256" s="29"/>
      <c r="BA256" s="140"/>
      <c r="BB256" s="117"/>
      <c r="BC256" s="117"/>
      <c r="BD256" s="117"/>
      <c r="BE256" s="117"/>
      <c r="BF256" s="110"/>
      <c r="BG256" s="4"/>
      <c r="BH256" s="111"/>
      <c r="BI256" s="112"/>
      <c r="BJ256" s="112"/>
      <c r="BK256" s="110"/>
      <c r="BL256" s="113"/>
      <c r="BM256" s="114"/>
      <c r="BN256" s="114"/>
      <c r="BO256" s="110"/>
      <c r="BP256" s="113"/>
      <c r="BQ256" s="114"/>
      <c r="BR256" s="110"/>
      <c r="BS256" s="113"/>
      <c r="DI256" s="13"/>
      <c r="DJ256" s="13"/>
      <c r="DK256" s="13"/>
      <c r="DL256" s="13"/>
      <c r="DM256" s="13"/>
      <c r="DR256" s="29"/>
      <c r="DS256" s="29"/>
      <c r="DT256" s="29"/>
      <c r="DU256" s="29"/>
      <c r="DV256" s="29"/>
      <c r="DW256" s="29"/>
      <c r="DX256" s="29"/>
      <c r="DY256" s="29"/>
      <c r="DZ256" s="29"/>
      <c r="EA256" s="140"/>
      <c r="EB256" s="117"/>
      <c r="EC256" s="117"/>
      <c r="ED256" s="117"/>
      <c r="EE256" s="117"/>
      <c r="EF256" s="110"/>
      <c r="EG256" s="4"/>
      <c r="EH256" s="111"/>
      <c r="EI256" s="112"/>
      <c r="EJ256" s="112"/>
      <c r="EK256" s="110"/>
      <c r="EL256" s="113"/>
      <c r="EM256" s="114"/>
      <c r="EN256" s="114"/>
      <c r="EO256" s="110"/>
      <c r="EP256" s="113"/>
      <c r="EQ256" s="114"/>
      <c r="ER256" s="110"/>
      <c r="ES256" s="113"/>
    </row>
    <row r="257" spans="35:149">
      <c r="AI257" s="13"/>
      <c r="AJ257" s="13"/>
      <c r="AK257" s="13"/>
      <c r="AL257" s="13"/>
      <c r="AM257" s="13"/>
      <c r="AR257" s="29"/>
      <c r="AS257" s="29"/>
      <c r="AT257" s="29"/>
      <c r="AU257" s="29"/>
      <c r="AV257" s="29"/>
      <c r="AW257" s="29"/>
      <c r="AX257" s="29"/>
      <c r="AY257" s="29"/>
      <c r="AZ257" s="29"/>
      <c r="BA257" s="140"/>
      <c r="BB257" s="117"/>
      <c r="BC257" s="117"/>
      <c r="BD257" s="117"/>
      <c r="BE257" s="117"/>
      <c r="BF257" s="110"/>
      <c r="BG257" s="4"/>
      <c r="BH257" s="111"/>
      <c r="BI257" s="112"/>
      <c r="BJ257" s="112"/>
      <c r="BK257" s="110"/>
      <c r="BL257" s="113"/>
      <c r="BM257" s="114"/>
      <c r="BN257" s="114"/>
      <c r="BO257" s="110"/>
      <c r="BP257" s="113"/>
      <c r="BQ257" s="114"/>
      <c r="BR257" s="110"/>
      <c r="BS257" s="113"/>
      <c r="DI257" s="13"/>
      <c r="DJ257" s="13"/>
      <c r="DK257" s="13"/>
      <c r="DL257" s="13"/>
      <c r="DM257" s="13"/>
      <c r="DR257" s="29"/>
      <c r="DS257" s="29"/>
      <c r="DT257" s="29"/>
      <c r="DU257" s="29"/>
      <c r="DV257" s="29"/>
      <c r="DW257" s="29"/>
      <c r="DX257" s="29"/>
      <c r="DY257" s="29"/>
      <c r="DZ257" s="29"/>
      <c r="EA257" s="140"/>
      <c r="EB257" s="117"/>
      <c r="EC257" s="117"/>
      <c r="ED257" s="117"/>
      <c r="EE257" s="117"/>
      <c r="EF257" s="110"/>
      <c r="EG257" s="4"/>
      <c r="EH257" s="111"/>
      <c r="EI257" s="112"/>
      <c r="EJ257" s="112"/>
      <c r="EK257" s="110"/>
      <c r="EL257" s="113"/>
      <c r="EM257" s="114"/>
      <c r="EN257" s="114"/>
      <c r="EO257" s="110"/>
      <c r="EP257" s="113"/>
      <c r="EQ257" s="114"/>
      <c r="ER257" s="110"/>
      <c r="ES257" s="113"/>
    </row>
    <row r="258" spans="35:149">
      <c r="AI258" s="13"/>
      <c r="AJ258" s="13"/>
      <c r="AK258" s="13"/>
      <c r="AL258" s="13"/>
      <c r="AM258" s="13"/>
      <c r="AR258" s="29"/>
      <c r="AS258" s="29"/>
      <c r="AT258" s="29"/>
      <c r="AU258" s="29"/>
      <c r="AV258" s="29"/>
      <c r="AW258" s="29"/>
      <c r="AX258" s="29"/>
      <c r="AY258" s="29"/>
      <c r="AZ258" s="29"/>
      <c r="BA258" s="140"/>
      <c r="BB258" s="117"/>
      <c r="BC258" s="117"/>
      <c r="BD258" s="117"/>
      <c r="BE258" s="117"/>
      <c r="BF258" s="110"/>
      <c r="BG258" s="4"/>
      <c r="BH258" s="111"/>
      <c r="BI258" s="112"/>
      <c r="BJ258" s="112"/>
      <c r="BK258" s="110"/>
      <c r="BL258" s="113"/>
      <c r="BM258" s="114"/>
      <c r="BN258" s="114"/>
      <c r="BO258" s="110"/>
      <c r="BP258" s="113"/>
      <c r="BQ258" s="114"/>
      <c r="BR258" s="110"/>
      <c r="BS258" s="113"/>
      <c r="DI258" s="13"/>
      <c r="DJ258" s="13"/>
      <c r="DK258" s="13"/>
      <c r="DL258" s="13"/>
      <c r="DM258" s="13"/>
      <c r="DR258" s="29"/>
      <c r="DS258" s="29"/>
      <c r="DT258" s="29"/>
      <c r="DU258" s="29"/>
      <c r="DV258" s="29"/>
      <c r="DW258" s="29"/>
      <c r="DX258" s="29"/>
      <c r="DY258" s="29"/>
      <c r="DZ258" s="29"/>
      <c r="EA258" s="140"/>
      <c r="EB258" s="117"/>
      <c r="EC258" s="117"/>
      <c r="ED258" s="117"/>
      <c r="EE258" s="117"/>
      <c r="EF258" s="110"/>
      <c r="EG258" s="4"/>
      <c r="EH258" s="111"/>
      <c r="EI258" s="112"/>
      <c r="EJ258" s="112"/>
      <c r="EK258" s="110"/>
      <c r="EL258" s="113"/>
      <c r="EM258" s="114"/>
      <c r="EN258" s="114"/>
      <c r="EO258" s="110"/>
      <c r="EP258" s="113"/>
      <c r="EQ258" s="114"/>
      <c r="ER258" s="110"/>
      <c r="ES258" s="113"/>
    </row>
    <row r="259" spans="35:149">
      <c r="AI259" s="13"/>
      <c r="AJ259" s="13"/>
      <c r="AK259" s="13"/>
      <c r="AL259" s="13"/>
      <c r="AM259" s="13"/>
      <c r="AR259" s="29"/>
      <c r="AS259" s="29"/>
      <c r="AT259" s="29"/>
      <c r="AU259" s="29"/>
      <c r="AV259" s="29"/>
      <c r="AW259" s="29"/>
      <c r="AX259" s="29"/>
      <c r="AY259" s="29"/>
      <c r="AZ259" s="29"/>
      <c r="BA259" s="140"/>
      <c r="BB259" s="117"/>
      <c r="BC259" s="117"/>
      <c r="BD259" s="117"/>
      <c r="BE259" s="117"/>
      <c r="BF259" s="110"/>
      <c r="BG259" s="4"/>
      <c r="BH259" s="111"/>
      <c r="BI259" s="112"/>
      <c r="BJ259" s="112"/>
      <c r="BK259" s="110"/>
      <c r="BL259" s="113"/>
      <c r="BM259" s="114"/>
      <c r="BN259" s="114"/>
      <c r="BO259" s="110"/>
      <c r="BP259" s="113"/>
      <c r="BQ259" s="114"/>
      <c r="BR259" s="110"/>
      <c r="BS259" s="113"/>
      <c r="DI259" s="13"/>
      <c r="DJ259" s="13"/>
      <c r="DK259" s="13"/>
      <c r="DL259" s="13"/>
      <c r="DM259" s="13"/>
      <c r="DR259" s="29"/>
      <c r="DS259" s="29"/>
      <c r="DT259" s="29"/>
      <c r="DU259" s="29"/>
      <c r="DV259" s="29"/>
      <c r="DW259" s="29"/>
      <c r="DX259" s="29"/>
      <c r="DY259" s="29"/>
      <c r="DZ259" s="29"/>
      <c r="EA259" s="140"/>
      <c r="EB259" s="117"/>
      <c r="EC259" s="117"/>
      <c r="ED259" s="117"/>
      <c r="EE259" s="117"/>
      <c r="EF259" s="110"/>
      <c r="EG259" s="4"/>
      <c r="EH259" s="111"/>
      <c r="EI259" s="112"/>
      <c r="EJ259" s="112"/>
      <c r="EK259" s="110"/>
      <c r="EL259" s="113"/>
      <c r="EM259" s="114"/>
      <c r="EN259" s="114"/>
      <c r="EO259" s="110"/>
      <c r="EP259" s="113"/>
      <c r="EQ259" s="114"/>
      <c r="ER259" s="110"/>
      <c r="ES259" s="113"/>
    </row>
    <row r="260" spans="35:149">
      <c r="AI260" s="13"/>
      <c r="AJ260" s="13"/>
      <c r="AK260" s="13"/>
      <c r="AL260" s="13"/>
      <c r="AM260" s="13"/>
      <c r="AR260" s="29"/>
      <c r="AS260" s="29"/>
      <c r="AT260" s="29"/>
      <c r="AU260" s="29"/>
      <c r="AV260" s="29"/>
      <c r="AW260" s="29"/>
      <c r="AX260" s="29"/>
      <c r="AY260" s="29"/>
      <c r="AZ260" s="29"/>
      <c r="BA260" s="140"/>
      <c r="BB260" s="117"/>
      <c r="BC260" s="117"/>
      <c r="BD260" s="117"/>
      <c r="BE260" s="117"/>
      <c r="BF260" s="110"/>
      <c r="BG260" s="4"/>
      <c r="BH260" s="111"/>
      <c r="BI260" s="112"/>
      <c r="BJ260" s="112"/>
      <c r="BK260" s="110"/>
      <c r="BL260" s="113"/>
      <c r="BM260" s="114"/>
      <c r="BN260" s="114"/>
      <c r="BO260" s="110"/>
      <c r="BP260" s="113"/>
      <c r="BQ260" s="114"/>
      <c r="BR260" s="110"/>
      <c r="BS260" s="113"/>
      <c r="DI260" s="13"/>
      <c r="DJ260" s="13"/>
      <c r="DK260" s="13"/>
      <c r="DL260" s="13"/>
      <c r="DM260" s="13"/>
      <c r="DR260" s="29"/>
      <c r="DS260" s="29"/>
      <c r="DT260" s="29"/>
      <c r="DU260" s="29"/>
      <c r="DV260" s="29"/>
      <c r="DW260" s="29"/>
      <c r="DX260" s="29"/>
      <c r="DY260" s="29"/>
      <c r="DZ260" s="29"/>
      <c r="EA260" s="140"/>
      <c r="EB260" s="117"/>
      <c r="EC260" s="117"/>
      <c r="ED260" s="117"/>
      <c r="EE260" s="117"/>
      <c r="EF260" s="110"/>
      <c r="EG260" s="4"/>
      <c r="EH260" s="111"/>
      <c r="EI260" s="112"/>
      <c r="EJ260" s="112"/>
      <c r="EK260" s="110"/>
      <c r="EL260" s="113"/>
      <c r="EM260" s="114"/>
      <c r="EN260" s="114"/>
      <c r="EO260" s="110"/>
      <c r="EP260" s="113"/>
      <c r="EQ260" s="114"/>
      <c r="ER260" s="110"/>
      <c r="ES260" s="113"/>
    </row>
    <row r="261" spans="35:149">
      <c r="AI261" s="13"/>
      <c r="AJ261" s="13"/>
      <c r="AK261" s="13"/>
      <c r="AL261" s="13"/>
      <c r="AM261" s="13"/>
      <c r="AR261" s="29"/>
      <c r="AS261" s="29"/>
      <c r="AT261" s="29"/>
      <c r="AU261" s="29"/>
      <c r="AV261" s="29"/>
      <c r="AW261" s="29"/>
      <c r="AX261" s="29"/>
      <c r="AY261" s="29"/>
      <c r="AZ261" s="29"/>
      <c r="BA261" s="140"/>
      <c r="BB261" s="117"/>
      <c r="BC261" s="117"/>
      <c r="BD261" s="117"/>
      <c r="BE261" s="117"/>
      <c r="BF261" s="110"/>
      <c r="BG261" s="4"/>
      <c r="BH261" s="111"/>
      <c r="BI261" s="112"/>
      <c r="BJ261" s="112"/>
      <c r="BK261" s="110"/>
      <c r="BL261" s="113"/>
      <c r="BM261" s="114"/>
      <c r="BN261" s="114"/>
      <c r="BO261" s="110"/>
      <c r="BP261" s="113"/>
      <c r="BQ261" s="114"/>
      <c r="BR261" s="110"/>
      <c r="BS261" s="113"/>
      <c r="DI261" s="13"/>
      <c r="DJ261" s="13"/>
      <c r="DK261" s="13"/>
      <c r="DL261" s="13"/>
      <c r="DM261" s="13"/>
      <c r="DR261" s="29"/>
      <c r="DS261" s="29"/>
      <c r="DT261" s="29"/>
      <c r="DU261" s="29"/>
      <c r="DV261" s="29"/>
      <c r="DW261" s="29"/>
      <c r="DX261" s="29"/>
      <c r="DY261" s="29"/>
      <c r="DZ261" s="29"/>
      <c r="EA261" s="140"/>
      <c r="EB261" s="117"/>
      <c r="EC261" s="117"/>
      <c r="ED261" s="117"/>
      <c r="EE261" s="117"/>
      <c r="EF261" s="110"/>
      <c r="EG261" s="4"/>
      <c r="EH261" s="111"/>
      <c r="EI261" s="112"/>
      <c r="EJ261" s="112"/>
      <c r="EK261" s="110"/>
      <c r="EL261" s="113"/>
      <c r="EM261" s="114"/>
      <c r="EN261" s="114"/>
      <c r="EO261" s="110"/>
      <c r="EP261" s="113"/>
      <c r="EQ261" s="114"/>
      <c r="ER261" s="110"/>
      <c r="ES261" s="113"/>
    </row>
    <row r="262" spans="35:149">
      <c r="AI262" s="13"/>
      <c r="AJ262" s="13"/>
      <c r="AK262" s="13"/>
      <c r="AL262" s="13"/>
      <c r="AM262" s="13"/>
      <c r="AR262" s="29"/>
      <c r="AS262" s="29"/>
      <c r="AT262" s="29"/>
      <c r="AU262" s="29"/>
      <c r="AV262" s="29"/>
      <c r="AW262" s="29"/>
      <c r="AX262" s="29"/>
      <c r="AY262" s="29"/>
      <c r="AZ262" s="29"/>
      <c r="BA262" s="140"/>
      <c r="BB262" s="117"/>
      <c r="BC262" s="117"/>
      <c r="BD262" s="117"/>
      <c r="BE262" s="117"/>
      <c r="BF262" s="110"/>
      <c r="BG262" s="4"/>
      <c r="BH262" s="111"/>
      <c r="BI262" s="112"/>
      <c r="BJ262" s="112"/>
      <c r="BK262" s="110"/>
      <c r="BL262" s="113"/>
      <c r="BM262" s="114"/>
      <c r="BN262" s="114"/>
      <c r="BO262" s="110"/>
      <c r="BP262" s="113"/>
      <c r="BQ262" s="114"/>
      <c r="BR262" s="110"/>
      <c r="BS262" s="113"/>
      <c r="DI262" s="13"/>
      <c r="DJ262" s="13"/>
      <c r="DK262" s="13"/>
      <c r="DL262" s="13"/>
      <c r="DM262" s="13"/>
      <c r="DR262" s="29"/>
      <c r="DS262" s="29"/>
      <c r="DT262" s="29"/>
      <c r="DU262" s="29"/>
      <c r="DV262" s="29"/>
      <c r="DW262" s="29"/>
      <c r="DX262" s="29"/>
      <c r="DY262" s="29"/>
      <c r="DZ262" s="29"/>
      <c r="EA262" s="140"/>
      <c r="EB262" s="117"/>
      <c r="EC262" s="117"/>
      <c r="ED262" s="117"/>
      <c r="EE262" s="117"/>
      <c r="EF262" s="110"/>
      <c r="EG262" s="4"/>
      <c r="EH262" s="111"/>
      <c r="EI262" s="112"/>
      <c r="EJ262" s="112"/>
      <c r="EK262" s="110"/>
      <c r="EL262" s="113"/>
      <c r="EM262" s="114"/>
      <c r="EN262" s="114"/>
      <c r="EO262" s="110"/>
      <c r="EP262" s="113"/>
      <c r="EQ262" s="114"/>
      <c r="ER262" s="110"/>
      <c r="ES262" s="113"/>
    </row>
    <row r="263" spans="35:149">
      <c r="AI263" s="13"/>
      <c r="AJ263" s="13"/>
      <c r="AK263" s="13"/>
      <c r="AL263" s="13"/>
      <c r="AM263" s="13"/>
      <c r="AR263" s="29"/>
      <c r="AS263" s="29"/>
      <c r="AT263" s="29"/>
      <c r="AU263" s="29"/>
      <c r="AV263" s="29"/>
      <c r="AW263" s="29"/>
      <c r="AX263" s="29"/>
      <c r="AY263" s="29"/>
      <c r="AZ263" s="29"/>
      <c r="BA263" s="140"/>
      <c r="BB263" s="117"/>
      <c r="BC263" s="117"/>
      <c r="BD263" s="117"/>
      <c r="BE263" s="117"/>
      <c r="BF263" s="110"/>
      <c r="BG263" s="4"/>
      <c r="BH263" s="111"/>
      <c r="BI263" s="112"/>
      <c r="BJ263" s="112"/>
      <c r="BK263" s="110"/>
      <c r="BL263" s="113"/>
      <c r="BM263" s="114"/>
      <c r="BN263" s="114"/>
      <c r="BO263" s="110"/>
      <c r="BP263" s="113"/>
      <c r="BQ263" s="114"/>
      <c r="BR263" s="110"/>
      <c r="BS263" s="113"/>
      <c r="DI263" s="13"/>
      <c r="DJ263" s="13"/>
      <c r="DK263" s="13"/>
      <c r="DL263" s="13"/>
      <c r="DM263" s="13"/>
      <c r="DR263" s="29"/>
      <c r="DS263" s="29"/>
      <c r="DT263" s="29"/>
      <c r="DU263" s="29"/>
      <c r="DV263" s="29"/>
      <c r="DW263" s="29"/>
      <c r="DX263" s="29"/>
      <c r="DY263" s="29"/>
      <c r="DZ263" s="29"/>
      <c r="EA263" s="140"/>
      <c r="EB263" s="117"/>
      <c r="EC263" s="117"/>
      <c r="ED263" s="117"/>
      <c r="EE263" s="117"/>
      <c r="EF263" s="110"/>
      <c r="EG263" s="4"/>
      <c r="EH263" s="111"/>
      <c r="EI263" s="112"/>
      <c r="EJ263" s="112"/>
      <c r="EK263" s="110"/>
      <c r="EL263" s="113"/>
      <c r="EM263" s="114"/>
      <c r="EN263" s="114"/>
      <c r="EO263" s="110"/>
      <c r="EP263" s="113"/>
      <c r="EQ263" s="114"/>
      <c r="ER263" s="110"/>
      <c r="ES263" s="113"/>
    </row>
    <row r="264" spans="35:149">
      <c r="AI264" s="13"/>
      <c r="AJ264" s="13"/>
      <c r="AK264" s="13"/>
      <c r="AL264" s="13"/>
      <c r="AM264" s="13"/>
      <c r="AR264" s="29"/>
      <c r="AS264" s="29"/>
      <c r="AT264" s="29"/>
      <c r="AU264" s="29"/>
      <c r="AV264" s="29"/>
      <c r="AW264" s="29"/>
      <c r="AX264" s="29"/>
      <c r="AY264" s="29"/>
      <c r="AZ264" s="29"/>
      <c r="BA264" s="140"/>
      <c r="BB264" s="117"/>
      <c r="BC264" s="117"/>
      <c r="BD264" s="117"/>
      <c r="BE264" s="117"/>
      <c r="BF264" s="110"/>
      <c r="BG264" s="4"/>
      <c r="BH264" s="111"/>
      <c r="BI264" s="112"/>
      <c r="BJ264" s="112"/>
      <c r="BK264" s="110"/>
      <c r="BL264" s="113"/>
      <c r="BM264" s="114"/>
      <c r="BN264" s="114"/>
      <c r="BO264" s="110"/>
      <c r="BP264" s="113"/>
      <c r="BQ264" s="114"/>
      <c r="BR264" s="110"/>
      <c r="BS264" s="113"/>
      <c r="DI264" s="13"/>
      <c r="DJ264" s="13"/>
      <c r="DK264" s="13"/>
      <c r="DL264" s="13"/>
      <c r="DM264" s="13"/>
      <c r="DR264" s="29"/>
      <c r="DS264" s="29"/>
      <c r="DT264" s="29"/>
      <c r="DU264" s="29"/>
      <c r="DV264" s="29"/>
      <c r="DW264" s="29"/>
      <c r="DX264" s="29"/>
      <c r="DY264" s="29"/>
      <c r="DZ264" s="29"/>
      <c r="EA264" s="140"/>
      <c r="EB264" s="117"/>
      <c r="EC264" s="117"/>
      <c r="ED264" s="117"/>
      <c r="EE264" s="117"/>
      <c r="EF264" s="110"/>
      <c r="EG264" s="4"/>
      <c r="EH264" s="111"/>
      <c r="EI264" s="112"/>
      <c r="EJ264" s="112"/>
      <c r="EK264" s="110"/>
      <c r="EL264" s="113"/>
      <c r="EM264" s="114"/>
      <c r="EN264" s="114"/>
      <c r="EO264" s="110"/>
      <c r="EP264" s="113"/>
      <c r="EQ264" s="114"/>
      <c r="ER264" s="110"/>
      <c r="ES264" s="113"/>
    </row>
    <row r="265" spans="35:149">
      <c r="AI265" s="13"/>
      <c r="AJ265" s="13"/>
      <c r="AK265" s="13"/>
      <c r="AL265" s="13"/>
      <c r="AM265" s="13"/>
      <c r="AR265" s="29"/>
      <c r="AS265" s="29"/>
      <c r="AT265" s="29"/>
      <c r="AU265" s="29"/>
      <c r="AV265" s="29"/>
      <c r="AW265" s="29"/>
      <c r="AX265" s="29"/>
      <c r="AY265" s="29"/>
      <c r="AZ265" s="29"/>
      <c r="BA265" s="140"/>
      <c r="BB265" s="117"/>
      <c r="BC265" s="117"/>
      <c r="BD265" s="117"/>
      <c r="BE265" s="117"/>
      <c r="BF265" s="110"/>
      <c r="BG265" s="4"/>
      <c r="BH265" s="111"/>
      <c r="BI265" s="112"/>
      <c r="BJ265" s="112"/>
      <c r="BK265" s="110"/>
      <c r="BL265" s="113"/>
      <c r="BM265" s="114"/>
      <c r="BN265" s="114"/>
      <c r="BO265" s="110"/>
      <c r="BP265" s="113"/>
      <c r="BQ265" s="114"/>
      <c r="BR265" s="110"/>
      <c r="BS265" s="113"/>
      <c r="DI265" s="13"/>
      <c r="DJ265" s="13"/>
      <c r="DK265" s="13"/>
      <c r="DL265" s="13"/>
      <c r="DM265" s="13"/>
      <c r="DR265" s="29"/>
      <c r="DS265" s="29"/>
      <c r="DT265" s="29"/>
      <c r="DU265" s="29"/>
      <c r="DV265" s="29"/>
      <c r="DW265" s="29"/>
      <c r="DX265" s="29"/>
      <c r="DY265" s="29"/>
      <c r="DZ265" s="29"/>
      <c r="EA265" s="140"/>
      <c r="EB265" s="117"/>
      <c r="EC265" s="117"/>
      <c r="ED265" s="117"/>
      <c r="EE265" s="117"/>
      <c r="EF265" s="110"/>
      <c r="EG265" s="4"/>
      <c r="EH265" s="111"/>
      <c r="EI265" s="112"/>
      <c r="EJ265" s="112"/>
      <c r="EK265" s="110"/>
      <c r="EL265" s="113"/>
      <c r="EM265" s="114"/>
      <c r="EN265" s="114"/>
      <c r="EO265" s="110"/>
      <c r="EP265" s="113"/>
      <c r="EQ265" s="114"/>
      <c r="ER265" s="110"/>
      <c r="ES265" s="113"/>
    </row>
    <row r="266" spans="35:149">
      <c r="AI266" s="13"/>
      <c r="AJ266" s="13"/>
      <c r="AK266" s="13"/>
      <c r="AL266" s="13"/>
      <c r="AM266" s="13"/>
      <c r="AR266" s="29"/>
      <c r="AS266" s="29"/>
      <c r="AT266" s="29"/>
      <c r="AU266" s="29"/>
      <c r="AV266" s="29"/>
      <c r="AW266" s="29"/>
      <c r="AX266" s="29"/>
      <c r="AY266" s="29"/>
      <c r="AZ266" s="29"/>
      <c r="BA266" s="140"/>
      <c r="BB266" s="117"/>
      <c r="BC266" s="117"/>
      <c r="BD266" s="117"/>
      <c r="BE266" s="117"/>
      <c r="BF266" s="110"/>
      <c r="BG266" s="4"/>
      <c r="BH266" s="111"/>
      <c r="BI266" s="112"/>
      <c r="BJ266" s="112"/>
      <c r="BK266" s="110"/>
      <c r="BL266" s="113"/>
      <c r="BM266" s="114"/>
      <c r="BN266" s="114"/>
      <c r="BO266" s="110"/>
      <c r="BP266" s="113"/>
      <c r="BQ266" s="114"/>
      <c r="BR266" s="110"/>
      <c r="BS266" s="113"/>
      <c r="DI266" s="13"/>
      <c r="DJ266" s="13"/>
      <c r="DK266" s="13"/>
      <c r="DL266" s="13"/>
      <c r="DM266" s="13"/>
      <c r="DR266" s="29"/>
      <c r="DS266" s="29"/>
      <c r="DT266" s="29"/>
      <c r="DU266" s="29"/>
      <c r="DV266" s="29"/>
      <c r="DW266" s="29"/>
      <c r="DX266" s="29"/>
      <c r="DY266" s="29"/>
      <c r="DZ266" s="29"/>
      <c r="EA266" s="140"/>
      <c r="EB266" s="117"/>
      <c r="EC266" s="117"/>
      <c r="ED266" s="117"/>
      <c r="EE266" s="117"/>
      <c r="EF266" s="110"/>
      <c r="EG266" s="4"/>
      <c r="EH266" s="111"/>
      <c r="EI266" s="112"/>
      <c r="EJ266" s="112"/>
      <c r="EK266" s="110"/>
      <c r="EL266" s="113"/>
      <c r="EM266" s="114"/>
      <c r="EN266" s="114"/>
      <c r="EO266" s="110"/>
      <c r="EP266" s="113"/>
      <c r="EQ266" s="114"/>
      <c r="ER266" s="110"/>
      <c r="ES266" s="113"/>
    </row>
    <row r="267" spans="35:149">
      <c r="AI267" s="13"/>
      <c r="AJ267" s="13"/>
      <c r="AK267" s="13"/>
      <c r="AL267" s="13"/>
      <c r="AM267" s="13"/>
      <c r="AR267" s="29"/>
      <c r="AS267" s="29"/>
      <c r="AT267" s="29"/>
      <c r="AU267" s="29"/>
      <c r="AV267" s="29"/>
      <c r="AW267" s="29"/>
      <c r="AX267" s="29"/>
      <c r="AY267" s="29"/>
      <c r="AZ267" s="29"/>
      <c r="BA267" s="140"/>
      <c r="BB267" s="117"/>
      <c r="BC267" s="117"/>
      <c r="BD267" s="117"/>
      <c r="BE267" s="117"/>
      <c r="BF267" s="110"/>
      <c r="BG267" s="4"/>
      <c r="BH267" s="111"/>
      <c r="BI267" s="112"/>
      <c r="BJ267" s="112"/>
      <c r="BK267" s="110"/>
      <c r="BL267" s="113"/>
      <c r="BM267" s="114"/>
      <c r="BN267" s="114"/>
      <c r="BO267" s="110"/>
      <c r="BP267" s="113"/>
      <c r="BQ267" s="114"/>
      <c r="BR267" s="110"/>
      <c r="BS267" s="113"/>
      <c r="DI267" s="13"/>
      <c r="DJ267" s="13"/>
      <c r="DK267" s="13"/>
      <c r="DL267" s="13"/>
      <c r="DM267" s="13"/>
      <c r="DR267" s="29"/>
      <c r="DS267" s="29"/>
      <c r="DT267" s="29"/>
      <c r="DU267" s="29"/>
      <c r="DV267" s="29"/>
      <c r="DW267" s="29"/>
      <c r="DX267" s="29"/>
      <c r="DY267" s="29"/>
      <c r="DZ267" s="29"/>
      <c r="EA267" s="140"/>
      <c r="EB267" s="117"/>
      <c r="EC267" s="117"/>
      <c r="ED267" s="117"/>
      <c r="EE267" s="117"/>
      <c r="EF267" s="110"/>
      <c r="EG267" s="4"/>
      <c r="EH267" s="111"/>
      <c r="EI267" s="112"/>
      <c r="EJ267" s="112"/>
      <c r="EK267" s="110"/>
      <c r="EL267" s="113"/>
      <c r="EM267" s="114"/>
      <c r="EN267" s="114"/>
      <c r="EO267" s="110"/>
      <c r="EP267" s="113"/>
      <c r="EQ267" s="114"/>
      <c r="ER267" s="110"/>
      <c r="ES267" s="113"/>
    </row>
    <row r="268" spans="35:149">
      <c r="AI268" s="13"/>
      <c r="AJ268" s="13"/>
      <c r="AK268" s="13"/>
      <c r="AL268" s="13"/>
      <c r="AM268" s="13"/>
      <c r="AR268" s="29"/>
      <c r="AS268" s="29"/>
      <c r="AT268" s="29"/>
      <c r="AU268" s="29"/>
      <c r="AV268" s="29"/>
      <c r="AW268" s="29"/>
      <c r="AX268" s="29"/>
      <c r="AY268" s="29"/>
      <c r="AZ268" s="29"/>
      <c r="BA268" s="140"/>
      <c r="BB268" s="117"/>
      <c r="BC268" s="117"/>
      <c r="BD268" s="117"/>
      <c r="BE268" s="117"/>
      <c r="BF268" s="110"/>
      <c r="BG268" s="4"/>
      <c r="BH268" s="111"/>
      <c r="BI268" s="112"/>
      <c r="BJ268" s="112"/>
      <c r="BK268" s="110"/>
      <c r="BL268" s="113"/>
      <c r="BM268" s="114"/>
      <c r="BN268" s="114"/>
      <c r="BO268" s="110"/>
      <c r="BP268" s="113"/>
      <c r="BQ268" s="114"/>
      <c r="BR268" s="110"/>
      <c r="BS268" s="113"/>
      <c r="DI268" s="13"/>
      <c r="DJ268" s="13"/>
      <c r="DK268" s="13"/>
      <c r="DL268" s="13"/>
      <c r="DM268" s="13"/>
      <c r="DR268" s="29"/>
      <c r="DS268" s="29"/>
      <c r="DT268" s="29"/>
      <c r="DU268" s="29"/>
      <c r="DV268" s="29"/>
      <c r="DW268" s="29"/>
      <c r="DX268" s="29"/>
      <c r="DY268" s="29"/>
      <c r="DZ268" s="29"/>
      <c r="EA268" s="140"/>
      <c r="EB268" s="117"/>
      <c r="EC268" s="117"/>
      <c r="ED268" s="117"/>
      <c r="EE268" s="117"/>
      <c r="EF268" s="110"/>
      <c r="EG268" s="4"/>
      <c r="EH268" s="111"/>
      <c r="EI268" s="112"/>
      <c r="EJ268" s="112"/>
      <c r="EK268" s="110"/>
      <c r="EL268" s="113"/>
      <c r="EM268" s="114"/>
      <c r="EN268" s="114"/>
      <c r="EO268" s="110"/>
      <c r="EP268" s="113"/>
      <c r="EQ268" s="114"/>
      <c r="ER268" s="110"/>
      <c r="ES268" s="113"/>
    </row>
    <row r="269" spans="35:149">
      <c r="AI269" s="13"/>
      <c r="AJ269" s="13"/>
      <c r="AK269" s="13"/>
      <c r="AL269" s="13"/>
      <c r="AM269" s="13"/>
      <c r="AR269" s="29"/>
      <c r="AS269" s="29"/>
      <c r="AT269" s="29"/>
      <c r="AU269" s="29"/>
      <c r="AV269" s="29"/>
      <c r="AW269" s="29"/>
      <c r="AX269" s="29"/>
      <c r="AY269" s="29"/>
      <c r="AZ269" s="29"/>
      <c r="BA269" s="140"/>
      <c r="BB269" s="117"/>
      <c r="BC269" s="117"/>
      <c r="BD269" s="117"/>
      <c r="BE269" s="117"/>
      <c r="BF269" s="110"/>
      <c r="BG269" s="4"/>
      <c r="BH269" s="111"/>
      <c r="BI269" s="112"/>
      <c r="BJ269" s="112"/>
      <c r="BK269" s="110"/>
      <c r="BL269" s="113"/>
      <c r="BM269" s="114"/>
      <c r="BN269" s="114"/>
      <c r="BO269" s="110"/>
      <c r="BP269" s="113"/>
      <c r="BQ269" s="114"/>
      <c r="BR269" s="110"/>
      <c r="BS269" s="113"/>
      <c r="DI269" s="13"/>
      <c r="DJ269" s="13"/>
      <c r="DK269" s="13"/>
      <c r="DL269" s="13"/>
      <c r="DM269" s="13"/>
      <c r="DR269" s="29"/>
      <c r="DS269" s="29"/>
      <c r="DT269" s="29"/>
      <c r="DU269" s="29"/>
      <c r="DV269" s="29"/>
      <c r="DW269" s="29"/>
      <c r="DX269" s="29"/>
      <c r="DY269" s="29"/>
      <c r="DZ269" s="29"/>
      <c r="EA269" s="140"/>
      <c r="EB269" s="117"/>
      <c r="EC269" s="117"/>
      <c r="ED269" s="117"/>
      <c r="EE269" s="117"/>
      <c r="EF269" s="110"/>
      <c r="EG269" s="4"/>
      <c r="EH269" s="111"/>
      <c r="EI269" s="112"/>
      <c r="EJ269" s="112"/>
      <c r="EK269" s="110"/>
      <c r="EL269" s="113"/>
      <c r="EM269" s="114"/>
      <c r="EN269" s="114"/>
      <c r="EO269" s="110"/>
      <c r="EP269" s="113"/>
      <c r="EQ269" s="114"/>
      <c r="ER269" s="110"/>
      <c r="ES269" s="113"/>
    </row>
    <row r="270" spans="35:149">
      <c r="AI270" s="13"/>
      <c r="AJ270" s="13"/>
      <c r="AK270" s="13"/>
      <c r="AL270" s="13"/>
      <c r="AM270" s="13"/>
      <c r="AR270" s="29"/>
      <c r="AS270" s="29"/>
      <c r="AT270" s="29"/>
      <c r="AU270" s="29"/>
      <c r="AV270" s="29"/>
      <c r="AW270" s="29"/>
      <c r="AX270" s="29"/>
      <c r="AY270" s="29"/>
      <c r="AZ270" s="29"/>
      <c r="BA270" s="140"/>
      <c r="BB270" s="117"/>
      <c r="BC270" s="117"/>
      <c r="BD270" s="117"/>
      <c r="BE270" s="117"/>
      <c r="BF270" s="110"/>
      <c r="BG270" s="4"/>
      <c r="BH270" s="111"/>
      <c r="BI270" s="112"/>
      <c r="BJ270" s="112"/>
      <c r="BK270" s="110"/>
      <c r="BL270" s="113"/>
      <c r="BM270" s="114"/>
      <c r="BN270" s="114"/>
      <c r="BO270" s="110"/>
      <c r="BP270" s="113"/>
      <c r="BQ270" s="114"/>
      <c r="BR270" s="110"/>
      <c r="BS270" s="113"/>
      <c r="DI270" s="13"/>
      <c r="DJ270" s="13"/>
      <c r="DK270" s="13"/>
      <c r="DL270" s="13"/>
      <c r="DM270" s="13"/>
      <c r="DR270" s="29"/>
      <c r="DS270" s="29"/>
      <c r="DT270" s="29"/>
      <c r="DU270" s="29"/>
      <c r="DV270" s="29"/>
      <c r="DW270" s="29"/>
      <c r="DX270" s="29"/>
      <c r="DY270" s="29"/>
      <c r="DZ270" s="29"/>
      <c r="EA270" s="140"/>
      <c r="EB270" s="117"/>
      <c r="EC270" s="117"/>
      <c r="ED270" s="117"/>
      <c r="EE270" s="117"/>
      <c r="EF270" s="110"/>
      <c r="EG270" s="4"/>
      <c r="EH270" s="111"/>
      <c r="EI270" s="112"/>
      <c r="EJ270" s="112"/>
      <c r="EK270" s="110"/>
      <c r="EL270" s="113"/>
      <c r="EM270" s="114"/>
      <c r="EN270" s="114"/>
      <c r="EO270" s="110"/>
      <c r="EP270" s="113"/>
      <c r="EQ270" s="114"/>
      <c r="ER270" s="110"/>
      <c r="ES270" s="113"/>
    </row>
    <row r="271" spans="35:149">
      <c r="AI271" s="13"/>
      <c r="AJ271" s="13"/>
      <c r="AK271" s="13"/>
      <c r="AL271" s="13"/>
      <c r="AM271" s="13"/>
      <c r="AR271" s="29"/>
      <c r="AS271" s="29"/>
      <c r="AT271" s="29"/>
      <c r="AU271" s="29"/>
      <c r="AV271" s="29"/>
      <c r="AW271" s="29"/>
      <c r="AX271" s="29"/>
      <c r="AY271" s="29"/>
      <c r="AZ271" s="29"/>
      <c r="BA271" s="140"/>
      <c r="BB271" s="117"/>
      <c r="BC271" s="117"/>
      <c r="BD271" s="117"/>
      <c r="BE271" s="117"/>
      <c r="BF271" s="110"/>
      <c r="BG271" s="4"/>
      <c r="BH271" s="111"/>
      <c r="BI271" s="112"/>
      <c r="BJ271" s="112"/>
      <c r="BK271" s="110"/>
      <c r="BL271" s="113"/>
      <c r="BM271" s="114"/>
      <c r="BN271" s="114"/>
      <c r="BO271" s="110"/>
      <c r="BP271" s="113"/>
      <c r="BQ271" s="114"/>
      <c r="BR271" s="110"/>
      <c r="BS271" s="113"/>
      <c r="DI271" s="13"/>
      <c r="DJ271" s="13"/>
      <c r="DK271" s="13"/>
      <c r="DL271" s="13"/>
      <c r="DM271" s="13"/>
      <c r="DR271" s="29"/>
      <c r="DS271" s="29"/>
      <c r="DT271" s="29"/>
      <c r="DU271" s="29"/>
      <c r="DV271" s="29"/>
      <c r="DW271" s="29"/>
      <c r="DX271" s="29"/>
      <c r="DY271" s="29"/>
      <c r="DZ271" s="29"/>
      <c r="EA271" s="140"/>
      <c r="EB271" s="117"/>
      <c r="EC271" s="117"/>
      <c r="ED271" s="117"/>
      <c r="EE271" s="117"/>
      <c r="EF271" s="110"/>
      <c r="EG271" s="4"/>
      <c r="EH271" s="111"/>
      <c r="EI271" s="112"/>
      <c r="EJ271" s="112"/>
      <c r="EK271" s="110"/>
      <c r="EL271" s="113"/>
      <c r="EM271" s="114"/>
      <c r="EN271" s="114"/>
      <c r="EO271" s="110"/>
      <c r="EP271" s="113"/>
      <c r="EQ271" s="114"/>
      <c r="ER271" s="110"/>
      <c r="ES271" s="113"/>
    </row>
    <row r="272" spans="35:149">
      <c r="AI272" s="13"/>
      <c r="AJ272" s="13"/>
      <c r="AK272" s="13"/>
      <c r="AL272" s="13"/>
      <c r="AM272" s="13"/>
      <c r="AR272" s="29"/>
      <c r="AS272" s="29"/>
      <c r="AT272" s="29"/>
      <c r="AU272" s="29"/>
      <c r="AV272" s="29"/>
      <c r="AW272" s="29"/>
      <c r="AX272" s="29"/>
      <c r="AY272" s="29"/>
      <c r="AZ272" s="29"/>
      <c r="BA272" s="140"/>
      <c r="BB272" s="117"/>
      <c r="BC272" s="117"/>
      <c r="BD272" s="117"/>
      <c r="BE272" s="117"/>
      <c r="BF272" s="110"/>
      <c r="BG272" s="4"/>
      <c r="BH272" s="111"/>
      <c r="BI272" s="112"/>
      <c r="BJ272" s="112"/>
      <c r="BK272" s="110"/>
      <c r="BL272" s="113"/>
      <c r="BM272" s="114"/>
      <c r="BN272" s="114"/>
      <c r="BO272" s="110"/>
      <c r="BP272" s="113"/>
      <c r="BQ272" s="114"/>
      <c r="BR272" s="110"/>
      <c r="BS272" s="113"/>
      <c r="DI272" s="13"/>
      <c r="DJ272" s="13"/>
      <c r="DK272" s="13"/>
      <c r="DL272" s="13"/>
      <c r="DM272" s="13"/>
      <c r="DR272" s="29"/>
      <c r="DS272" s="29"/>
      <c r="DT272" s="29"/>
      <c r="DU272" s="29"/>
      <c r="DV272" s="29"/>
      <c r="DW272" s="29"/>
      <c r="DX272" s="29"/>
      <c r="DY272" s="29"/>
      <c r="DZ272" s="29"/>
      <c r="EA272" s="140"/>
      <c r="EB272" s="117"/>
      <c r="EC272" s="117"/>
      <c r="ED272" s="117"/>
      <c r="EE272" s="117"/>
      <c r="EF272" s="110"/>
      <c r="EG272" s="4"/>
      <c r="EH272" s="111"/>
      <c r="EI272" s="112"/>
      <c r="EJ272" s="112"/>
      <c r="EK272" s="110"/>
      <c r="EL272" s="113"/>
      <c r="EM272" s="114"/>
      <c r="EN272" s="114"/>
      <c r="EO272" s="110"/>
      <c r="EP272" s="113"/>
      <c r="EQ272" s="114"/>
      <c r="ER272" s="110"/>
      <c r="ES272" s="113"/>
    </row>
    <row r="273" spans="35:149">
      <c r="AI273" s="13"/>
      <c r="AJ273" s="13"/>
      <c r="AK273" s="13"/>
      <c r="AL273" s="13"/>
      <c r="AM273" s="13"/>
      <c r="AR273" s="29"/>
      <c r="AS273" s="29"/>
      <c r="AT273" s="29"/>
      <c r="AU273" s="29"/>
      <c r="AV273" s="29"/>
      <c r="AW273" s="29"/>
      <c r="AX273" s="29"/>
      <c r="AY273" s="29"/>
      <c r="AZ273" s="29"/>
      <c r="BA273" s="140"/>
      <c r="BB273" s="117"/>
      <c r="BC273" s="117"/>
      <c r="BD273" s="117"/>
      <c r="BE273" s="117"/>
      <c r="BF273" s="110"/>
      <c r="BG273" s="4"/>
      <c r="BH273" s="111"/>
      <c r="BI273" s="112"/>
      <c r="BJ273" s="112"/>
      <c r="BK273" s="110"/>
      <c r="BL273" s="113"/>
      <c r="BM273" s="114"/>
      <c r="BN273" s="114"/>
      <c r="BO273" s="110"/>
      <c r="BP273" s="113"/>
      <c r="BQ273" s="114"/>
      <c r="BR273" s="110"/>
      <c r="BS273" s="113"/>
      <c r="DI273" s="13"/>
      <c r="DJ273" s="13"/>
      <c r="DK273" s="13"/>
      <c r="DL273" s="13"/>
      <c r="DM273" s="13"/>
      <c r="DR273" s="29"/>
      <c r="DS273" s="29"/>
      <c r="DT273" s="29"/>
      <c r="DU273" s="29"/>
      <c r="DV273" s="29"/>
      <c r="DW273" s="29"/>
      <c r="DX273" s="29"/>
      <c r="DY273" s="29"/>
      <c r="DZ273" s="29"/>
      <c r="EA273" s="140"/>
      <c r="EB273" s="117"/>
      <c r="EC273" s="117"/>
      <c r="ED273" s="117"/>
      <c r="EE273" s="117"/>
      <c r="EF273" s="110"/>
      <c r="EG273" s="4"/>
      <c r="EH273" s="111"/>
      <c r="EI273" s="112"/>
      <c r="EJ273" s="112"/>
      <c r="EK273" s="110"/>
      <c r="EL273" s="113"/>
      <c r="EM273" s="114"/>
      <c r="EN273" s="114"/>
      <c r="EO273" s="110"/>
      <c r="EP273" s="113"/>
      <c r="EQ273" s="114"/>
      <c r="ER273" s="110"/>
      <c r="ES273" s="113"/>
    </row>
    <row r="274" spans="35:149">
      <c r="AI274" s="13"/>
      <c r="AJ274" s="13"/>
      <c r="AK274" s="13"/>
      <c r="AL274" s="13"/>
      <c r="AM274" s="13"/>
      <c r="AR274" s="29"/>
      <c r="AS274" s="29"/>
      <c r="AT274" s="29"/>
      <c r="AU274" s="29"/>
      <c r="AV274" s="29"/>
      <c r="AW274" s="29"/>
      <c r="AX274" s="29"/>
      <c r="AY274" s="29"/>
      <c r="AZ274" s="29"/>
      <c r="BA274" s="140"/>
      <c r="BB274" s="117"/>
      <c r="BC274" s="117"/>
      <c r="BD274" s="117"/>
      <c r="BE274" s="117"/>
      <c r="BF274" s="110"/>
      <c r="BG274" s="4"/>
      <c r="BH274" s="111"/>
      <c r="BI274" s="112"/>
      <c r="BJ274" s="112"/>
      <c r="BK274" s="110"/>
      <c r="BL274" s="113"/>
      <c r="BM274" s="114"/>
      <c r="BN274" s="114"/>
      <c r="BO274" s="110"/>
      <c r="BP274" s="113"/>
      <c r="BQ274" s="114"/>
      <c r="BR274" s="110"/>
      <c r="BS274" s="113"/>
      <c r="DI274" s="13"/>
      <c r="DJ274" s="13"/>
      <c r="DK274" s="13"/>
      <c r="DL274" s="13"/>
      <c r="DM274" s="13"/>
      <c r="DR274" s="29"/>
      <c r="DS274" s="29"/>
      <c r="DT274" s="29"/>
      <c r="DU274" s="29"/>
      <c r="DV274" s="29"/>
      <c r="DW274" s="29"/>
      <c r="DX274" s="29"/>
      <c r="DY274" s="29"/>
      <c r="DZ274" s="29"/>
      <c r="EA274" s="140"/>
      <c r="EB274" s="117"/>
      <c r="EC274" s="117"/>
      <c r="ED274" s="117"/>
      <c r="EE274" s="117"/>
      <c r="EF274" s="110"/>
      <c r="EG274" s="4"/>
      <c r="EH274" s="111"/>
      <c r="EI274" s="112"/>
      <c r="EJ274" s="112"/>
      <c r="EK274" s="110"/>
      <c r="EL274" s="113"/>
      <c r="EM274" s="114"/>
      <c r="EN274" s="114"/>
      <c r="EO274" s="110"/>
      <c r="EP274" s="113"/>
      <c r="EQ274" s="114"/>
      <c r="ER274" s="110"/>
      <c r="ES274" s="113"/>
    </row>
    <row r="275" spans="35:149">
      <c r="AI275" s="13"/>
      <c r="AJ275" s="13"/>
      <c r="AK275" s="13"/>
      <c r="AL275" s="13"/>
      <c r="AM275" s="13"/>
      <c r="AR275" s="29"/>
      <c r="AS275" s="29"/>
      <c r="AT275" s="29"/>
      <c r="AU275" s="29"/>
      <c r="AV275" s="29"/>
      <c r="AW275" s="29"/>
      <c r="AX275" s="29"/>
      <c r="AY275" s="29"/>
      <c r="AZ275" s="29"/>
      <c r="BA275" s="140"/>
      <c r="BB275" s="117"/>
      <c r="BC275" s="117"/>
      <c r="BD275" s="117"/>
      <c r="BE275" s="117"/>
      <c r="BF275" s="110"/>
      <c r="BG275" s="4"/>
      <c r="BH275" s="111"/>
      <c r="BI275" s="112"/>
      <c r="BJ275" s="112"/>
      <c r="BK275" s="110"/>
      <c r="BL275" s="113"/>
      <c r="BM275" s="114"/>
      <c r="BN275" s="114"/>
      <c r="BO275" s="110"/>
      <c r="BP275" s="113"/>
      <c r="BQ275" s="114"/>
      <c r="BR275" s="110"/>
      <c r="BS275" s="113"/>
      <c r="DI275" s="13"/>
      <c r="DJ275" s="13"/>
      <c r="DK275" s="13"/>
      <c r="DL275" s="13"/>
      <c r="DM275" s="13"/>
      <c r="DR275" s="29"/>
      <c r="DS275" s="29"/>
      <c r="DT275" s="29"/>
      <c r="DU275" s="29"/>
      <c r="DV275" s="29"/>
      <c r="DW275" s="29"/>
      <c r="DX275" s="29"/>
      <c r="DY275" s="29"/>
      <c r="DZ275" s="29"/>
      <c r="EA275" s="140"/>
      <c r="EB275" s="117"/>
      <c r="EC275" s="117"/>
      <c r="ED275" s="117"/>
      <c r="EE275" s="117"/>
      <c r="EF275" s="110"/>
      <c r="EG275" s="4"/>
      <c r="EH275" s="111"/>
      <c r="EI275" s="112"/>
      <c r="EJ275" s="112"/>
      <c r="EK275" s="110"/>
      <c r="EL275" s="113"/>
      <c r="EM275" s="114"/>
      <c r="EN275" s="114"/>
      <c r="EO275" s="110"/>
      <c r="EP275" s="113"/>
      <c r="EQ275" s="114"/>
      <c r="ER275" s="110"/>
      <c r="ES275" s="113"/>
    </row>
    <row r="276" spans="35:149">
      <c r="AI276" s="13"/>
      <c r="AJ276" s="13"/>
      <c r="AK276" s="13"/>
      <c r="AL276" s="13"/>
      <c r="AM276" s="13"/>
      <c r="AR276" s="29"/>
      <c r="AS276" s="29"/>
      <c r="AT276" s="29"/>
      <c r="AU276" s="29"/>
      <c r="AV276" s="29"/>
      <c r="AW276" s="29"/>
      <c r="AX276" s="29"/>
      <c r="AY276" s="29"/>
      <c r="AZ276" s="29"/>
      <c r="BA276" s="140"/>
      <c r="BB276" s="117"/>
      <c r="BC276" s="117"/>
      <c r="BD276" s="117"/>
      <c r="BE276" s="117"/>
      <c r="BF276" s="110"/>
      <c r="BG276" s="4"/>
      <c r="BH276" s="111"/>
      <c r="BI276" s="112"/>
      <c r="BJ276" s="112"/>
      <c r="BK276" s="110"/>
      <c r="BL276" s="113"/>
      <c r="BM276" s="114"/>
      <c r="BN276" s="114"/>
      <c r="BO276" s="110"/>
      <c r="BP276" s="113"/>
      <c r="BQ276" s="114"/>
      <c r="BR276" s="110"/>
      <c r="BS276" s="113"/>
      <c r="DI276" s="13"/>
      <c r="DJ276" s="13"/>
      <c r="DK276" s="13"/>
      <c r="DL276" s="13"/>
      <c r="DM276" s="13"/>
      <c r="DR276" s="29"/>
      <c r="DS276" s="29"/>
      <c r="DT276" s="29"/>
      <c r="DU276" s="29"/>
      <c r="DV276" s="29"/>
      <c r="DW276" s="29"/>
      <c r="DX276" s="29"/>
      <c r="DY276" s="29"/>
      <c r="DZ276" s="29"/>
      <c r="EA276" s="140"/>
      <c r="EB276" s="117"/>
      <c r="EC276" s="117"/>
      <c r="ED276" s="117"/>
      <c r="EE276" s="117"/>
      <c r="EF276" s="110"/>
      <c r="EG276" s="4"/>
      <c r="EH276" s="111"/>
      <c r="EI276" s="112"/>
      <c r="EJ276" s="112"/>
      <c r="EK276" s="110"/>
      <c r="EL276" s="113"/>
      <c r="EM276" s="114"/>
      <c r="EN276" s="114"/>
      <c r="EO276" s="110"/>
      <c r="EP276" s="113"/>
      <c r="EQ276" s="114"/>
      <c r="ER276" s="110"/>
      <c r="ES276" s="113"/>
    </row>
    <row r="277" spans="35:149">
      <c r="AI277" s="13"/>
      <c r="AJ277" s="13"/>
      <c r="AK277" s="13"/>
      <c r="AL277" s="13"/>
      <c r="AM277" s="13"/>
      <c r="AR277" s="29"/>
      <c r="AS277" s="29"/>
      <c r="AT277" s="29"/>
      <c r="AU277" s="29"/>
      <c r="AV277" s="29"/>
      <c r="AW277" s="29"/>
      <c r="AX277" s="29"/>
      <c r="AY277" s="29"/>
      <c r="AZ277" s="29"/>
      <c r="BA277" s="140"/>
      <c r="BB277" s="117"/>
      <c r="BC277" s="117"/>
      <c r="BD277" s="117"/>
      <c r="BE277" s="117"/>
      <c r="BF277" s="110"/>
      <c r="BG277" s="4"/>
      <c r="BH277" s="111"/>
      <c r="BI277" s="112"/>
      <c r="BJ277" s="112"/>
      <c r="BK277" s="110"/>
      <c r="BL277" s="113"/>
      <c r="BM277" s="114"/>
      <c r="BN277" s="114"/>
      <c r="BO277" s="110"/>
      <c r="BP277" s="113"/>
      <c r="BQ277" s="114"/>
      <c r="BR277" s="110"/>
      <c r="BS277" s="113"/>
      <c r="DI277" s="13"/>
      <c r="DJ277" s="13"/>
      <c r="DK277" s="13"/>
      <c r="DL277" s="13"/>
      <c r="DM277" s="13"/>
      <c r="DR277" s="29"/>
      <c r="DS277" s="29"/>
      <c r="DT277" s="29"/>
      <c r="DU277" s="29"/>
      <c r="DV277" s="29"/>
      <c r="DW277" s="29"/>
      <c r="DX277" s="29"/>
      <c r="DY277" s="29"/>
      <c r="DZ277" s="29"/>
      <c r="EA277" s="140"/>
      <c r="EB277" s="117"/>
      <c r="EC277" s="117"/>
      <c r="ED277" s="117"/>
      <c r="EE277" s="117"/>
      <c r="EF277" s="110"/>
      <c r="EG277" s="4"/>
      <c r="EH277" s="111"/>
      <c r="EI277" s="112"/>
      <c r="EJ277" s="112"/>
      <c r="EK277" s="110"/>
      <c r="EL277" s="113"/>
      <c r="EM277" s="114"/>
      <c r="EN277" s="114"/>
      <c r="EO277" s="110"/>
      <c r="EP277" s="113"/>
      <c r="EQ277" s="114"/>
      <c r="ER277" s="110"/>
      <c r="ES277" s="113"/>
    </row>
    <row r="278" spans="35:149">
      <c r="AI278" s="13"/>
      <c r="AJ278" s="13"/>
      <c r="AK278" s="13"/>
      <c r="AL278" s="13"/>
      <c r="AM278" s="13"/>
      <c r="AR278" s="29"/>
      <c r="AS278" s="29"/>
      <c r="AT278" s="29"/>
      <c r="AU278" s="29"/>
      <c r="AV278" s="29"/>
      <c r="AW278" s="29"/>
      <c r="AX278" s="29"/>
      <c r="AY278" s="29"/>
      <c r="AZ278" s="29"/>
      <c r="BA278" s="140"/>
      <c r="BB278" s="117"/>
      <c r="BC278" s="117"/>
      <c r="BD278" s="117"/>
      <c r="BE278" s="117"/>
      <c r="BF278" s="110"/>
      <c r="BG278" s="4"/>
      <c r="BH278" s="111"/>
      <c r="BI278" s="112"/>
      <c r="BJ278" s="112"/>
      <c r="BK278" s="110"/>
      <c r="BL278" s="113"/>
      <c r="BM278" s="114"/>
      <c r="BN278" s="114"/>
      <c r="BO278" s="110"/>
      <c r="BP278" s="113"/>
      <c r="BQ278" s="114"/>
      <c r="BR278" s="110"/>
      <c r="BS278" s="113"/>
      <c r="DI278" s="13"/>
      <c r="DJ278" s="13"/>
      <c r="DK278" s="13"/>
      <c r="DL278" s="13"/>
      <c r="DM278" s="13"/>
      <c r="DR278" s="29"/>
      <c r="DS278" s="29"/>
      <c r="DT278" s="29"/>
      <c r="DU278" s="29"/>
      <c r="DV278" s="29"/>
      <c r="DW278" s="29"/>
      <c r="DX278" s="29"/>
      <c r="DY278" s="29"/>
      <c r="DZ278" s="29"/>
      <c r="EA278" s="140"/>
      <c r="EB278" s="117"/>
      <c r="EC278" s="117"/>
      <c r="ED278" s="117"/>
      <c r="EE278" s="117"/>
      <c r="EF278" s="110"/>
      <c r="EG278" s="4"/>
      <c r="EH278" s="111"/>
      <c r="EI278" s="112"/>
      <c r="EJ278" s="112"/>
      <c r="EK278" s="110"/>
      <c r="EL278" s="113"/>
      <c r="EM278" s="114"/>
      <c r="EN278" s="114"/>
      <c r="EO278" s="110"/>
      <c r="EP278" s="113"/>
      <c r="EQ278" s="114"/>
      <c r="ER278" s="110"/>
      <c r="ES278" s="113"/>
    </row>
    <row r="279" spans="35:149">
      <c r="AI279" s="13"/>
      <c r="AJ279" s="13"/>
      <c r="AK279" s="13"/>
      <c r="AL279" s="13"/>
      <c r="AM279" s="13"/>
      <c r="AR279" s="29"/>
      <c r="AS279" s="29"/>
      <c r="AT279" s="29"/>
      <c r="AU279" s="29"/>
      <c r="AV279" s="29"/>
      <c r="AW279" s="29"/>
      <c r="AX279" s="29"/>
      <c r="AY279" s="29"/>
      <c r="AZ279" s="29"/>
      <c r="BA279" s="140"/>
      <c r="BB279" s="117"/>
      <c r="BC279" s="117"/>
      <c r="BD279" s="117"/>
      <c r="BE279" s="117"/>
      <c r="BF279" s="110"/>
      <c r="BG279" s="4"/>
      <c r="BH279" s="111"/>
      <c r="BI279" s="112"/>
      <c r="BJ279" s="112"/>
      <c r="BK279" s="110"/>
      <c r="BL279" s="113"/>
      <c r="BM279" s="114"/>
      <c r="BN279" s="114"/>
      <c r="BO279" s="110"/>
      <c r="BP279" s="113"/>
      <c r="BQ279" s="114"/>
      <c r="BR279" s="110"/>
      <c r="BS279" s="113"/>
      <c r="DI279" s="13"/>
      <c r="DJ279" s="13"/>
      <c r="DK279" s="13"/>
      <c r="DL279" s="13"/>
      <c r="DM279" s="13"/>
      <c r="DR279" s="29"/>
      <c r="DS279" s="29"/>
      <c r="DT279" s="29"/>
      <c r="DU279" s="29"/>
      <c r="DV279" s="29"/>
      <c r="DW279" s="29"/>
      <c r="DX279" s="29"/>
      <c r="DY279" s="29"/>
      <c r="DZ279" s="29"/>
      <c r="EA279" s="140"/>
      <c r="EB279" s="117"/>
      <c r="EC279" s="117"/>
      <c r="ED279" s="117"/>
      <c r="EE279" s="117"/>
      <c r="EF279" s="110"/>
      <c r="EG279" s="4"/>
      <c r="EH279" s="111"/>
      <c r="EI279" s="112"/>
      <c r="EJ279" s="112"/>
      <c r="EK279" s="110"/>
      <c r="EL279" s="113"/>
      <c r="EM279" s="114"/>
      <c r="EN279" s="114"/>
      <c r="EO279" s="110"/>
      <c r="EP279" s="113"/>
      <c r="EQ279" s="114"/>
      <c r="ER279" s="110"/>
      <c r="ES279" s="113"/>
    </row>
    <row r="280" spans="35:149">
      <c r="AI280" s="13"/>
      <c r="AJ280" s="13"/>
      <c r="AK280" s="13"/>
      <c r="AL280" s="13"/>
      <c r="AM280" s="13"/>
      <c r="AR280" s="29"/>
      <c r="AS280" s="29"/>
      <c r="AT280" s="29"/>
      <c r="AU280" s="29"/>
      <c r="AV280" s="29"/>
      <c r="AW280" s="29"/>
      <c r="AX280" s="29"/>
      <c r="AY280" s="29"/>
      <c r="AZ280" s="29"/>
      <c r="BA280" s="140"/>
      <c r="BB280" s="117"/>
      <c r="BC280" s="117"/>
      <c r="BD280" s="117"/>
      <c r="BE280" s="117"/>
      <c r="BF280" s="110"/>
      <c r="BG280" s="4"/>
      <c r="BH280" s="111"/>
      <c r="BI280" s="112"/>
      <c r="BJ280" s="112"/>
      <c r="BK280" s="110"/>
      <c r="BL280" s="113"/>
      <c r="BM280" s="114"/>
      <c r="BN280" s="114"/>
      <c r="BO280" s="110"/>
      <c r="BP280" s="113"/>
      <c r="BQ280" s="114"/>
      <c r="BR280" s="110"/>
      <c r="BS280" s="113"/>
      <c r="DI280" s="13"/>
      <c r="DJ280" s="13"/>
      <c r="DK280" s="13"/>
      <c r="DL280" s="13"/>
      <c r="DM280" s="13"/>
      <c r="DR280" s="29"/>
      <c r="DS280" s="29"/>
      <c r="DT280" s="29"/>
      <c r="DU280" s="29"/>
      <c r="DV280" s="29"/>
      <c r="DW280" s="29"/>
      <c r="DX280" s="29"/>
      <c r="DY280" s="29"/>
      <c r="DZ280" s="29"/>
      <c r="EA280" s="140"/>
      <c r="EB280" s="117"/>
      <c r="EC280" s="117"/>
      <c r="ED280" s="117"/>
      <c r="EE280" s="117"/>
      <c r="EF280" s="110"/>
      <c r="EG280" s="4"/>
      <c r="EH280" s="111"/>
      <c r="EI280" s="112"/>
      <c r="EJ280" s="112"/>
      <c r="EK280" s="110"/>
      <c r="EL280" s="113"/>
      <c r="EM280" s="114"/>
      <c r="EN280" s="114"/>
      <c r="EO280" s="110"/>
      <c r="EP280" s="113"/>
      <c r="EQ280" s="114"/>
      <c r="ER280" s="110"/>
      <c r="ES280" s="113"/>
    </row>
    <row r="281" spans="35:149">
      <c r="AI281" s="13"/>
      <c r="AJ281" s="13"/>
      <c r="AK281" s="13"/>
      <c r="AL281" s="13"/>
      <c r="AM281" s="13"/>
      <c r="AR281" s="29"/>
      <c r="AS281" s="29"/>
      <c r="AT281" s="29"/>
      <c r="AU281" s="29"/>
      <c r="AV281" s="29"/>
      <c r="AW281" s="29"/>
      <c r="AX281" s="29"/>
      <c r="AY281" s="29"/>
      <c r="AZ281" s="29"/>
      <c r="BA281" s="140"/>
      <c r="BB281" s="117"/>
      <c r="BC281" s="117"/>
      <c r="BD281" s="117"/>
      <c r="BE281" s="117"/>
      <c r="BF281" s="110"/>
      <c r="BG281" s="4"/>
      <c r="BH281" s="111"/>
      <c r="BI281" s="112"/>
      <c r="BJ281" s="112"/>
      <c r="BK281" s="110"/>
      <c r="BL281" s="113"/>
      <c r="BM281" s="114"/>
      <c r="BN281" s="114"/>
      <c r="BO281" s="110"/>
      <c r="BP281" s="113"/>
      <c r="BQ281" s="114"/>
      <c r="BR281" s="110"/>
      <c r="BS281" s="113"/>
      <c r="DI281" s="13"/>
      <c r="DJ281" s="13"/>
      <c r="DK281" s="13"/>
      <c r="DL281" s="13"/>
      <c r="DM281" s="13"/>
      <c r="DR281" s="29"/>
      <c r="DS281" s="29"/>
      <c r="DT281" s="29"/>
      <c r="DU281" s="29"/>
      <c r="DV281" s="29"/>
      <c r="DW281" s="29"/>
      <c r="DX281" s="29"/>
      <c r="DY281" s="29"/>
      <c r="DZ281" s="29"/>
      <c r="EA281" s="140"/>
      <c r="EB281" s="117"/>
      <c r="EC281" s="117"/>
      <c r="ED281" s="117"/>
      <c r="EE281" s="117"/>
      <c r="EF281" s="110"/>
      <c r="EG281" s="4"/>
      <c r="EH281" s="111"/>
      <c r="EI281" s="112"/>
      <c r="EJ281" s="112"/>
      <c r="EK281" s="110"/>
      <c r="EL281" s="113"/>
      <c r="EM281" s="114"/>
      <c r="EN281" s="114"/>
      <c r="EO281" s="110"/>
      <c r="EP281" s="113"/>
      <c r="EQ281" s="114"/>
      <c r="ER281" s="110"/>
      <c r="ES281" s="113"/>
    </row>
    <row r="282" spans="35:149">
      <c r="AI282" s="13"/>
      <c r="AJ282" s="13"/>
      <c r="AK282" s="13"/>
      <c r="AL282" s="13"/>
      <c r="AM282" s="13"/>
      <c r="AR282" s="29"/>
      <c r="AS282" s="29"/>
      <c r="AT282" s="29"/>
      <c r="AU282" s="29"/>
      <c r="AV282" s="29"/>
      <c r="AW282" s="29"/>
      <c r="AX282" s="29"/>
      <c r="AY282" s="29"/>
      <c r="AZ282" s="29"/>
      <c r="BA282" s="140"/>
      <c r="BB282" s="117"/>
      <c r="BC282" s="117"/>
      <c r="BD282" s="117"/>
      <c r="BE282" s="117"/>
      <c r="BF282" s="110"/>
      <c r="BG282" s="4"/>
      <c r="BH282" s="111"/>
      <c r="BI282" s="112"/>
      <c r="BJ282" s="112"/>
      <c r="BK282" s="110"/>
      <c r="BL282" s="113"/>
      <c r="BM282" s="114"/>
      <c r="BN282" s="114"/>
      <c r="BO282" s="110"/>
      <c r="BP282" s="113"/>
      <c r="BQ282" s="114"/>
      <c r="BR282" s="110"/>
      <c r="BS282" s="113"/>
      <c r="DI282" s="13"/>
      <c r="DJ282" s="13"/>
      <c r="DK282" s="13"/>
      <c r="DL282" s="13"/>
      <c r="DM282" s="13"/>
      <c r="DR282" s="29"/>
      <c r="DS282" s="29"/>
      <c r="DT282" s="29"/>
      <c r="DU282" s="29"/>
      <c r="DV282" s="29"/>
      <c r="DW282" s="29"/>
      <c r="DX282" s="29"/>
      <c r="DY282" s="29"/>
      <c r="DZ282" s="29"/>
      <c r="EA282" s="140"/>
      <c r="EB282" s="117"/>
      <c r="EC282" s="117"/>
      <c r="ED282" s="117"/>
      <c r="EE282" s="117"/>
      <c r="EF282" s="110"/>
      <c r="EG282" s="4"/>
      <c r="EH282" s="111"/>
      <c r="EI282" s="112"/>
      <c r="EJ282" s="112"/>
      <c r="EK282" s="110"/>
      <c r="EL282" s="113"/>
      <c r="EM282" s="114"/>
      <c r="EN282" s="114"/>
      <c r="EO282" s="110"/>
      <c r="EP282" s="113"/>
      <c r="EQ282" s="114"/>
      <c r="ER282" s="110"/>
      <c r="ES282" s="113"/>
    </row>
    <row r="283" spans="35:149">
      <c r="AI283" s="13"/>
      <c r="AJ283" s="13"/>
      <c r="AK283" s="13"/>
      <c r="AL283" s="13"/>
      <c r="AM283" s="13"/>
      <c r="AR283" s="29"/>
      <c r="AS283" s="29"/>
      <c r="AT283" s="29"/>
      <c r="AU283" s="29"/>
      <c r="AV283" s="29"/>
      <c r="AW283" s="29"/>
      <c r="AX283" s="29"/>
      <c r="AY283" s="29"/>
      <c r="AZ283" s="29"/>
      <c r="BA283" s="140"/>
      <c r="BB283" s="117"/>
      <c r="BC283" s="117"/>
      <c r="BD283" s="117"/>
      <c r="BE283" s="117"/>
      <c r="BF283" s="110"/>
      <c r="BG283" s="4"/>
      <c r="BH283" s="111"/>
      <c r="BI283" s="112"/>
      <c r="BJ283" s="112"/>
      <c r="BK283" s="110"/>
      <c r="BL283" s="113"/>
      <c r="BM283" s="114"/>
      <c r="BN283" s="114"/>
      <c r="BO283" s="110"/>
      <c r="BP283" s="113"/>
      <c r="BQ283" s="114"/>
      <c r="BR283" s="110"/>
      <c r="BS283" s="113"/>
      <c r="DI283" s="13"/>
      <c r="DJ283" s="13"/>
      <c r="DK283" s="13"/>
      <c r="DL283" s="13"/>
      <c r="DM283" s="13"/>
      <c r="DR283" s="29"/>
      <c r="DS283" s="29"/>
      <c r="DT283" s="29"/>
      <c r="DU283" s="29"/>
      <c r="DV283" s="29"/>
      <c r="DW283" s="29"/>
      <c r="DX283" s="29"/>
      <c r="DY283" s="29"/>
      <c r="DZ283" s="29"/>
      <c r="EA283" s="140"/>
      <c r="EB283" s="117"/>
      <c r="EC283" s="117"/>
      <c r="ED283" s="117"/>
      <c r="EE283" s="117"/>
      <c r="EF283" s="110"/>
      <c r="EG283" s="4"/>
      <c r="EH283" s="111"/>
      <c r="EI283" s="112"/>
      <c r="EJ283" s="112"/>
      <c r="EK283" s="110"/>
      <c r="EL283" s="113"/>
      <c r="EM283" s="114"/>
      <c r="EN283" s="114"/>
      <c r="EO283" s="110"/>
      <c r="EP283" s="113"/>
      <c r="EQ283" s="114"/>
      <c r="ER283" s="110"/>
      <c r="ES283" s="113"/>
    </row>
    <row r="284" spans="35:149">
      <c r="AI284" s="13"/>
      <c r="AJ284" s="13"/>
      <c r="AK284" s="13"/>
      <c r="AL284" s="13"/>
      <c r="AM284" s="13"/>
      <c r="AR284" s="29"/>
      <c r="AS284" s="29"/>
      <c r="AT284" s="29"/>
      <c r="AU284" s="29"/>
      <c r="AV284" s="29"/>
      <c r="AW284" s="29"/>
      <c r="AX284" s="29"/>
      <c r="AY284" s="29"/>
      <c r="AZ284" s="29"/>
      <c r="BA284" s="140"/>
      <c r="BB284" s="117"/>
      <c r="BC284" s="117"/>
      <c r="BD284" s="117"/>
      <c r="BE284" s="117"/>
      <c r="BF284" s="110"/>
      <c r="BG284" s="4"/>
      <c r="BH284" s="111"/>
      <c r="BI284" s="112"/>
      <c r="BJ284" s="112"/>
      <c r="BK284" s="110"/>
      <c r="BL284" s="113"/>
      <c r="BM284" s="114"/>
      <c r="BN284" s="114"/>
      <c r="BO284" s="110"/>
      <c r="BP284" s="113"/>
      <c r="BQ284" s="114"/>
      <c r="BR284" s="110"/>
      <c r="BS284" s="113"/>
      <c r="DI284" s="13"/>
      <c r="DJ284" s="13"/>
      <c r="DK284" s="13"/>
      <c r="DL284" s="13"/>
      <c r="DM284" s="13"/>
      <c r="DR284" s="29"/>
      <c r="DS284" s="29"/>
      <c r="DT284" s="29"/>
      <c r="DU284" s="29"/>
      <c r="DV284" s="29"/>
      <c r="DW284" s="29"/>
      <c r="DX284" s="29"/>
      <c r="DY284" s="29"/>
      <c r="DZ284" s="29"/>
      <c r="EA284" s="140"/>
      <c r="EB284" s="117"/>
      <c r="EC284" s="117"/>
      <c r="ED284" s="117"/>
      <c r="EE284" s="117"/>
      <c r="EF284" s="110"/>
      <c r="EG284" s="4"/>
      <c r="EH284" s="111"/>
      <c r="EI284" s="112"/>
      <c r="EJ284" s="112"/>
      <c r="EK284" s="110"/>
      <c r="EL284" s="113"/>
      <c r="EM284" s="114"/>
      <c r="EN284" s="114"/>
      <c r="EO284" s="110"/>
      <c r="EP284" s="113"/>
      <c r="EQ284" s="114"/>
      <c r="ER284" s="110"/>
      <c r="ES284" s="113"/>
    </row>
    <row r="285" spans="35:149">
      <c r="AI285" s="13"/>
      <c r="AJ285" s="13"/>
      <c r="AK285" s="13"/>
      <c r="AL285" s="13"/>
      <c r="AM285" s="13"/>
      <c r="AR285" s="29"/>
      <c r="AS285" s="29"/>
      <c r="AT285" s="29"/>
      <c r="AU285" s="29"/>
      <c r="AV285" s="29"/>
      <c r="AW285" s="29"/>
      <c r="AX285" s="29"/>
      <c r="AY285" s="29"/>
      <c r="AZ285" s="29"/>
      <c r="BA285" s="140"/>
      <c r="BB285" s="117"/>
      <c r="BC285" s="117"/>
      <c r="BD285" s="117"/>
      <c r="BE285" s="117"/>
      <c r="BF285" s="110"/>
      <c r="BG285" s="4"/>
      <c r="BH285" s="111"/>
      <c r="BI285" s="112"/>
      <c r="BJ285" s="112"/>
      <c r="BK285" s="110"/>
      <c r="BL285" s="113"/>
      <c r="BM285" s="114"/>
      <c r="BN285" s="114"/>
      <c r="BO285" s="110"/>
      <c r="BP285" s="113"/>
      <c r="BQ285" s="114"/>
      <c r="BR285" s="110"/>
      <c r="BS285" s="113"/>
      <c r="DI285" s="13"/>
      <c r="DJ285" s="13"/>
      <c r="DK285" s="13"/>
      <c r="DL285" s="13"/>
      <c r="DM285" s="13"/>
      <c r="DR285" s="29"/>
      <c r="DS285" s="29"/>
      <c r="DT285" s="29"/>
      <c r="DU285" s="29"/>
      <c r="DV285" s="29"/>
      <c r="DW285" s="29"/>
      <c r="DX285" s="29"/>
      <c r="DY285" s="29"/>
      <c r="DZ285" s="29"/>
      <c r="EA285" s="140"/>
      <c r="EB285" s="117"/>
      <c r="EC285" s="117"/>
      <c r="ED285" s="117"/>
      <c r="EE285" s="117"/>
      <c r="EF285" s="110"/>
      <c r="EG285" s="4"/>
      <c r="EH285" s="111"/>
      <c r="EI285" s="112"/>
      <c r="EJ285" s="112"/>
      <c r="EK285" s="110"/>
      <c r="EL285" s="113"/>
      <c r="EM285" s="114"/>
      <c r="EN285" s="114"/>
      <c r="EO285" s="110"/>
      <c r="EP285" s="113"/>
      <c r="EQ285" s="114"/>
      <c r="ER285" s="110"/>
      <c r="ES285" s="113"/>
    </row>
    <row r="286" spans="35:149">
      <c r="AI286" s="13"/>
      <c r="AJ286" s="13"/>
      <c r="AK286" s="13"/>
      <c r="AL286" s="13"/>
      <c r="AM286" s="13"/>
      <c r="AR286" s="29"/>
      <c r="AS286" s="29"/>
      <c r="AT286" s="29"/>
      <c r="AU286" s="29"/>
      <c r="AV286" s="29"/>
      <c r="AW286" s="29"/>
      <c r="AX286" s="29"/>
      <c r="AY286" s="29"/>
      <c r="AZ286" s="29"/>
      <c r="BA286" s="140"/>
      <c r="BB286" s="117"/>
      <c r="BC286" s="117"/>
      <c r="BD286" s="117"/>
      <c r="BE286" s="117"/>
      <c r="BF286" s="110"/>
      <c r="BG286" s="4"/>
      <c r="BH286" s="111"/>
      <c r="BI286" s="112"/>
      <c r="BJ286" s="112"/>
      <c r="BK286" s="110"/>
      <c r="BL286" s="113"/>
      <c r="BM286" s="114"/>
      <c r="BN286" s="114"/>
      <c r="BO286" s="110"/>
      <c r="BP286" s="113"/>
      <c r="BQ286" s="114"/>
      <c r="BR286" s="110"/>
      <c r="BS286" s="113"/>
      <c r="DI286" s="13"/>
      <c r="DJ286" s="13"/>
      <c r="DK286" s="13"/>
      <c r="DL286" s="13"/>
      <c r="DM286" s="13"/>
      <c r="DR286" s="29"/>
      <c r="DS286" s="29"/>
      <c r="DT286" s="29"/>
      <c r="DU286" s="29"/>
      <c r="DV286" s="29"/>
      <c r="DW286" s="29"/>
      <c r="DX286" s="29"/>
      <c r="DY286" s="29"/>
      <c r="DZ286" s="29"/>
      <c r="EA286" s="140"/>
      <c r="EB286" s="117"/>
      <c r="EC286" s="117"/>
      <c r="ED286" s="117"/>
      <c r="EE286" s="117"/>
      <c r="EF286" s="110"/>
      <c r="EG286" s="4"/>
      <c r="EH286" s="111"/>
      <c r="EI286" s="112"/>
      <c r="EJ286" s="112"/>
      <c r="EK286" s="110"/>
      <c r="EL286" s="113"/>
      <c r="EM286" s="114"/>
      <c r="EN286" s="114"/>
      <c r="EO286" s="110"/>
      <c r="EP286" s="113"/>
      <c r="EQ286" s="114"/>
      <c r="ER286" s="110"/>
      <c r="ES286" s="113"/>
    </row>
    <row r="287" spans="35:149">
      <c r="AI287" s="13"/>
      <c r="AJ287" s="13"/>
      <c r="AK287" s="13"/>
      <c r="AL287" s="13"/>
      <c r="AM287" s="13"/>
      <c r="AR287" s="29"/>
      <c r="AS287" s="29"/>
      <c r="AT287" s="29"/>
      <c r="AU287" s="29"/>
      <c r="AV287" s="29"/>
      <c r="AW287" s="29"/>
      <c r="AX287" s="29"/>
      <c r="AY287" s="29"/>
      <c r="AZ287" s="29"/>
      <c r="BA287" s="140"/>
      <c r="BB287" s="117"/>
      <c r="BC287" s="117"/>
      <c r="BD287" s="117"/>
      <c r="BE287" s="117"/>
      <c r="BF287" s="110"/>
      <c r="BG287" s="4"/>
      <c r="BH287" s="111"/>
      <c r="BI287" s="112"/>
      <c r="BJ287" s="112"/>
      <c r="BK287" s="110"/>
      <c r="BL287" s="113"/>
      <c r="BM287" s="114"/>
      <c r="BN287" s="114"/>
      <c r="BO287" s="110"/>
      <c r="BP287" s="113"/>
      <c r="BQ287" s="114"/>
      <c r="BR287" s="110"/>
      <c r="BS287" s="113"/>
      <c r="DI287" s="13"/>
      <c r="DJ287" s="13"/>
      <c r="DK287" s="13"/>
      <c r="DL287" s="13"/>
      <c r="DM287" s="13"/>
      <c r="DR287" s="29"/>
      <c r="DS287" s="29"/>
      <c r="DT287" s="29"/>
      <c r="DU287" s="29"/>
      <c r="DV287" s="29"/>
      <c r="DW287" s="29"/>
      <c r="DX287" s="29"/>
      <c r="DY287" s="29"/>
      <c r="DZ287" s="29"/>
      <c r="EA287" s="140"/>
      <c r="EB287" s="117"/>
      <c r="EC287" s="117"/>
      <c r="ED287" s="117"/>
      <c r="EE287" s="117"/>
      <c r="EF287" s="110"/>
      <c r="EG287" s="4"/>
      <c r="EH287" s="111"/>
      <c r="EI287" s="112"/>
      <c r="EJ287" s="112"/>
      <c r="EK287" s="110"/>
      <c r="EL287" s="113"/>
      <c r="EM287" s="114"/>
      <c r="EN287" s="114"/>
      <c r="EO287" s="110"/>
      <c r="EP287" s="113"/>
      <c r="EQ287" s="114"/>
      <c r="ER287" s="110"/>
      <c r="ES287" s="113"/>
    </row>
    <row r="288" spans="35:149">
      <c r="AI288" s="13"/>
      <c r="AJ288" s="13"/>
      <c r="AK288" s="13"/>
      <c r="AL288" s="13"/>
      <c r="AM288" s="13"/>
      <c r="AR288" s="29"/>
      <c r="AS288" s="29"/>
      <c r="AT288" s="29"/>
      <c r="AU288" s="29"/>
      <c r="AV288" s="29"/>
      <c r="AW288" s="29"/>
      <c r="AX288" s="29"/>
      <c r="AY288" s="29"/>
      <c r="AZ288" s="29"/>
      <c r="BA288" s="140"/>
      <c r="BB288" s="117"/>
      <c r="BC288" s="117"/>
      <c r="BD288" s="117"/>
      <c r="BE288" s="117"/>
      <c r="BF288" s="110"/>
      <c r="BG288" s="4"/>
      <c r="BH288" s="111"/>
      <c r="BI288" s="112"/>
      <c r="BJ288" s="112"/>
      <c r="BK288" s="110"/>
      <c r="BL288" s="113"/>
      <c r="BM288" s="114"/>
      <c r="BN288" s="114"/>
      <c r="BO288" s="110"/>
      <c r="BP288" s="113"/>
      <c r="BQ288" s="114"/>
      <c r="BR288" s="110"/>
      <c r="BS288" s="113"/>
      <c r="DI288" s="13"/>
      <c r="DJ288" s="13"/>
      <c r="DK288" s="13"/>
      <c r="DL288" s="13"/>
      <c r="DM288" s="13"/>
      <c r="DR288" s="29"/>
      <c r="DS288" s="29"/>
      <c r="DT288" s="29"/>
      <c r="DU288" s="29"/>
      <c r="DV288" s="29"/>
      <c r="DW288" s="29"/>
      <c r="DX288" s="29"/>
      <c r="DY288" s="29"/>
      <c r="DZ288" s="29"/>
      <c r="EA288" s="140"/>
      <c r="EB288" s="117"/>
      <c r="EC288" s="117"/>
      <c r="ED288" s="117"/>
      <c r="EE288" s="117"/>
      <c r="EF288" s="110"/>
      <c r="EG288" s="4"/>
      <c r="EH288" s="111"/>
      <c r="EI288" s="112"/>
      <c r="EJ288" s="112"/>
      <c r="EK288" s="110"/>
      <c r="EL288" s="113"/>
      <c r="EM288" s="114"/>
      <c r="EN288" s="114"/>
      <c r="EO288" s="110"/>
      <c r="EP288" s="113"/>
      <c r="EQ288" s="114"/>
      <c r="ER288" s="110"/>
      <c r="ES288" s="113"/>
    </row>
    <row r="289" spans="35:149">
      <c r="AI289" s="13"/>
      <c r="AJ289" s="13"/>
      <c r="AK289" s="13"/>
      <c r="AL289" s="13"/>
      <c r="AM289" s="13"/>
      <c r="AR289" s="29"/>
      <c r="AS289" s="29"/>
      <c r="AT289" s="29"/>
      <c r="AU289" s="29"/>
      <c r="AV289" s="29"/>
      <c r="AW289" s="29"/>
      <c r="AX289" s="29"/>
      <c r="AY289" s="29"/>
      <c r="AZ289" s="29"/>
      <c r="BA289" s="140"/>
      <c r="BB289" s="117"/>
      <c r="BC289" s="117"/>
      <c r="BD289" s="117"/>
      <c r="BE289" s="117"/>
      <c r="BF289" s="110"/>
      <c r="BG289" s="4"/>
      <c r="BH289" s="111"/>
      <c r="BI289" s="112"/>
      <c r="BJ289" s="112"/>
      <c r="BK289" s="110"/>
      <c r="BL289" s="113"/>
      <c r="BM289" s="114"/>
      <c r="BN289" s="114"/>
      <c r="BO289" s="110"/>
      <c r="BP289" s="113"/>
      <c r="BQ289" s="114"/>
      <c r="BR289" s="110"/>
      <c r="BS289" s="113"/>
      <c r="DI289" s="13"/>
      <c r="DJ289" s="13"/>
      <c r="DK289" s="13"/>
      <c r="DL289" s="13"/>
      <c r="DM289" s="13"/>
      <c r="DR289" s="29"/>
      <c r="DS289" s="29"/>
      <c r="DT289" s="29"/>
      <c r="DU289" s="29"/>
      <c r="DV289" s="29"/>
      <c r="DW289" s="29"/>
      <c r="DX289" s="29"/>
      <c r="DY289" s="29"/>
      <c r="DZ289" s="29"/>
      <c r="EA289" s="140"/>
      <c r="EB289" s="117"/>
      <c r="EC289" s="117"/>
      <c r="ED289" s="117"/>
      <c r="EE289" s="117"/>
      <c r="EF289" s="110"/>
      <c r="EG289" s="4"/>
      <c r="EH289" s="111"/>
      <c r="EI289" s="112"/>
      <c r="EJ289" s="112"/>
      <c r="EK289" s="110"/>
      <c r="EL289" s="113"/>
      <c r="EM289" s="114"/>
      <c r="EN289" s="114"/>
      <c r="EO289" s="110"/>
      <c r="EP289" s="113"/>
      <c r="EQ289" s="114"/>
      <c r="ER289" s="110"/>
      <c r="ES289" s="113"/>
    </row>
    <row r="290" spans="35:149">
      <c r="AI290" s="13"/>
      <c r="AJ290" s="13"/>
      <c r="AK290" s="13"/>
      <c r="AL290" s="13"/>
      <c r="AM290" s="13"/>
      <c r="AR290" s="29"/>
      <c r="AS290" s="29"/>
      <c r="AT290" s="29"/>
      <c r="AU290" s="29"/>
      <c r="AV290" s="29"/>
      <c r="AW290" s="29"/>
      <c r="AX290" s="29"/>
      <c r="AY290" s="29"/>
      <c r="AZ290" s="29"/>
      <c r="BA290" s="140"/>
      <c r="BB290" s="117"/>
      <c r="BC290" s="117"/>
      <c r="BD290" s="117"/>
      <c r="BE290" s="117"/>
      <c r="BF290" s="110"/>
      <c r="BG290" s="4"/>
      <c r="BH290" s="111"/>
      <c r="BI290" s="112"/>
      <c r="BJ290" s="112"/>
      <c r="BK290" s="110"/>
      <c r="BL290" s="113"/>
      <c r="BM290" s="114"/>
      <c r="BN290" s="114"/>
      <c r="BO290" s="110"/>
      <c r="BP290" s="113"/>
      <c r="BQ290" s="114"/>
      <c r="BR290" s="110"/>
      <c r="BS290" s="113"/>
      <c r="DI290" s="13"/>
      <c r="DJ290" s="13"/>
      <c r="DK290" s="13"/>
      <c r="DL290" s="13"/>
      <c r="DM290" s="13"/>
      <c r="DR290" s="29"/>
      <c r="DS290" s="29"/>
      <c r="DT290" s="29"/>
      <c r="DU290" s="29"/>
      <c r="DV290" s="29"/>
      <c r="DW290" s="29"/>
      <c r="DX290" s="29"/>
      <c r="DY290" s="29"/>
      <c r="DZ290" s="29"/>
      <c r="EA290" s="140"/>
      <c r="EB290" s="117"/>
      <c r="EC290" s="117"/>
      <c r="ED290" s="117"/>
      <c r="EE290" s="117"/>
      <c r="EF290" s="110"/>
      <c r="EG290" s="4"/>
      <c r="EH290" s="111"/>
      <c r="EI290" s="112"/>
      <c r="EJ290" s="112"/>
      <c r="EK290" s="110"/>
      <c r="EL290" s="113"/>
      <c r="EM290" s="114"/>
      <c r="EN290" s="114"/>
      <c r="EO290" s="110"/>
      <c r="EP290" s="113"/>
      <c r="EQ290" s="114"/>
      <c r="ER290" s="110"/>
      <c r="ES290" s="113"/>
    </row>
    <row r="291" spans="35:149">
      <c r="AI291" s="13"/>
      <c r="AJ291" s="13"/>
      <c r="AK291" s="13"/>
      <c r="AL291" s="13"/>
      <c r="AM291" s="13"/>
      <c r="AR291" s="29"/>
      <c r="AS291" s="29"/>
      <c r="AT291" s="29"/>
      <c r="AU291" s="29"/>
      <c r="AV291" s="29"/>
      <c r="AW291" s="29"/>
      <c r="AX291" s="29"/>
      <c r="AY291" s="29"/>
      <c r="AZ291" s="29"/>
      <c r="BA291" s="140"/>
      <c r="BB291" s="117"/>
      <c r="BC291" s="117"/>
      <c r="BD291" s="117"/>
      <c r="BE291" s="117"/>
      <c r="BF291" s="110"/>
      <c r="BG291" s="4"/>
      <c r="BH291" s="111"/>
      <c r="BI291" s="112"/>
      <c r="BJ291" s="112"/>
      <c r="BK291" s="110"/>
      <c r="BL291" s="113"/>
      <c r="BM291" s="114"/>
      <c r="BN291" s="114"/>
      <c r="BO291" s="110"/>
      <c r="BP291" s="113"/>
      <c r="BQ291" s="114"/>
      <c r="BR291" s="110"/>
      <c r="BS291" s="113"/>
      <c r="DI291" s="13"/>
      <c r="DJ291" s="13"/>
      <c r="DK291" s="13"/>
      <c r="DL291" s="13"/>
      <c r="DM291" s="13"/>
      <c r="DR291" s="29"/>
      <c r="DS291" s="29"/>
      <c r="DT291" s="29"/>
      <c r="DU291" s="29"/>
      <c r="DV291" s="29"/>
      <c r="DW291" s="29"/>
      <c r="DX291" s="29"/>
      <c r="DY291" s="29"/>
      <c r="DZ291" s="29"/>
      <c r="EA291" s="140"/>
      <c r="EB291" s="117"/>
      <c r="EC291" s="117"/>
      <c r="ED291" s="117"/>
      <c r="EE291" s="117"/>
      <c r="EF291" s="110"/>
      <c r="EG291" s="4"/>
      <c r="EH291" s="111"/>
      <c r="EI291" s="112"/>
      <c r="EJ291" s="112"/>
      <c r="EK291" s="110"/>
      <c r="EL291" s="113"/>
      <c r="EM291" s="114"/>
      <c r="EN291" s="114"/>
      <c r="EO291" s="110"/>
      <c r="EP291" s="113"/>
      <c r="EQ291" s="114"/>
      <c r="ER291" s="110"/>
      <c r="ES291" s="113"/>
    </row>
    <row r="292" spans="35:149">
      <c r="AI292" s="13"/>
      <c r="AJ292" s="13"/>
      <c r="AK292" s="13"/>
      <c r="AL292" s="13"/>
      <c r="AM292" s="13"/>
      <c r="AR292" s="29"/>
      <c r="AS292" s="29"/>
      <c r="AT292" s="29"/>
      <c r="AU292" s="29"/>
      <c r="AV292" s="29"/>
      <c r="AW292" s="29"/>
      <c r="AX292" s="29"/>
      <c r="AY292" s="29"/>
      <c r="AZ292" s="29"/>
      <c r="BA292" s="140"/>
      <c r="BB292" s="117"/>
      <c r="BC292" s="117"/>
      <c r="BD292" s="117"/>
      <c r="BE292" s="117"/>
      <c r="BF292" s="110"/>
      <c r="BG292" s="4"/>
      <c r="BH292" s="111"/>
      <c r="BI292" s="112"/>
      <c r="BJ292" s="112"/>
      <c r="BK292" s="110"/>
      <c r="BL292" s="113"/>
      <c r="BM292" s="114"/>
      <c r="BN292" s="114"/>
      <c r="BO292" s="110"/>
      <c r="BP292" s="113"/>
      <c r="BQ292" s="114"/>
      <c r="BR292" s="110"/>
      <c r="BS292" s="113"/>
      <c r="DI292" s="13"/>
      <c r="DJ292" s="13"/>
      <c r="DK292" s="13"/>
      <c r="DL292" s="13"/>
      <c r="DM292" s="13"/>
      <c r="DR292" s="29"/>
      <c r="DS292" s="29"/>
      <c r="DT292" s="29"/>
      <c r="DU292" s="29"/>
      <c r="DV292" s="29"/>
      <c r="DW292" s="29"/>
      <c r="DX292" s="29"/>
      <c r="DY292" s="29"/>
      <c r="DZ292" s="29"/>
      <c r="EA292" s="140"/>
      <c r="EB292" s="117"/>
      <c r="EC292" s="117"/>
      <c r="ED292" s="117"/>
      <c r="EE292" s="117"/>
      <c r="EF292" s="110"/>
      <c r="EG292" s="4"/>
      <c r="EH292" s="111"/>
      <c r="EI292" s="112"/>
      <c r="EJ292" s="112"/>
      <c r="EK292" s="110"/>
      <c r="EL292" s="113"/>
      <c r="EM292" s="114"/>
      <c r="EN292" s="114"/>
      <c r="EO292" s="110"/>
      <c r="EP292" s="113"/>
      <c r="EQ292" s="114"/>
      <c r="ER292" s="110"/>
      <c r="ES292" s="113"/>
    </row>
    <row r="293" spans="35:149">
      <c r="AI293" s="13"/>
      <c r="AJ293" s="13"/>
      <c r="AK293" s="13"/>
      <c r="AL293" s="13"/>
      <c r="AM293" s="13"/>
      <c r="AR293" s="29"/>
      <c r="AS293" s="29"/>
      <c r="AT293" s="29"/>
      <c r="AU293" s="29"/>
      <c r="AV293" s="29"/>
      <c r="AW293" s="29"/>
      <c r="AX293" s="29"/>
      <c r="AY293" s="29"/>
      <c r="AZ293" s="29"/>
      <c r="BA293" s="140"/>
      <c r="BB293" s="117"/>
      <c r="BC293" s="117"/>
      <c r="BD293" s="117"/>
      <c r="BE293" s="117"/>
      <c r="BF293" s="110"/>
      <c r="BG293" s="4"/>
      <c r="BH293" s="111"/>
      <c r="BI293" s="112"/>
      <c r="BJ293" s="112"/>
      <c r="BK293" s="110"/>
      <c r="BL293" s="113"/>
      <c r="BM293" s="114"/>
      <c r="BN293" s="114"/>
      <c r="BO293" s="110"/>
      <c r="BP293" s="113"/>
      <c r="BQ293" s="114"/>
      <c r="BR293" s="110"/>
      <c r="BS293" s="113"/>
      <c r="DI293" s="13"/>
      <c r="DJ293" s="13"/>
      <c r="DK293" s="13"/>
      <c r="DL293" s="13"/>
      <c r="DM293" s="13"/>
      <c r="DR293" s="29"/>
      <c r="DS293" s="29"/>
      <c r="DT293" s="29"/>
      <c r="DU293" s="29"/>
      <c r="DV293" s="29"/>
      <c r="DW293" s="29"/>
      <c r="DX293" s="29"/>
      <c r="DY293" s="29"/>
      <c r="DZ293" s="29"/>
      <c r="EA293" s="140"/>
      <c r="EB293" s="117"/>
      <c r="EC293" s="117"/>
      <c r="ED293" s="117"/>
      <c r="EE293" s="117"/>
      <c r="EF293" s="110"/>
      <c r="EG293" s="4"/>
      <c r="EH293" s="111"/>
      <c r="EI293" s="112"/>
      <c r="EJ293" s="112"/>
      <c r="EK293" s="110"/>
      <c r="EL293" s="113"/>
      <c r="EM293" s="114"/>
      <c r="EN293" s="114"/>
      <c r="EO293" s="110"/>
      <c r="EP293" s="113"/>
      <c r="EQ293" s="114"/>
      <c r="ER293" s="110"/>
      <c r="ES293" s="113"/>
    </row>
    <row r="294" spans="35:149">
      <c r="AI294" s="13"/>
      <c r="AJ294" s="13"/>
      <c r="AK294" s="13"/>
      <c r="AL294" s="13"/>
      <c r="AM294" s="13"/>
      <c r="AR294" s="29"/>
      <c r="AS294" s="29"/>
      <c r="AT294" s="29"/>
      <c r="AU294" s="29"/>
      <c r="AV294" s="29"/>
      <c r="AW294" s="29"/>
      <c r="AX294" s="29"/>
      <c r="AY294" s="29"/>
      <c r="AZ294" s="29"/>
      <c r="BA294" s="140"/>
      <c r="BB294" s="117"/>
      <c r="BC294" s="117"/>
      <c r="BD294" s="117"/>
      <c r="BE294" s="117"/>
      <c r="BF294" s="110"/>
      <c r="BG294" s="4"/>
      <c r="BH294" s="111"/>
      <c r="BI294" s="112"/>
      <c r="BJ294" s="112"/>
      <c r="BK294" s="110"/>
      <c r="BL294" s="113"/>
      <c r="BM294" s="114"/>
      <c r="BN294" s="114"/>
      <c r="BO294" s="110"/>
      <c r="BP294" s="113"/>
      <c r="BQ294" s="114"/>
      <c r="BR294" s="110"/>
      <c r="BS294" s="113"/>
      <c r="DI294" s="13"/>
      <c r="DJ294" s="13"/>
      <c r="DK294" s="13"/>
      <c r="DL294" s="13"/>
      <c r="DM294" s="13"/>
      <c r="DR294" s="29"/>
      <c r="DS294" s="29"/>
      <c r="DT294" s="29"/>
      <c r="DU294" s="29"/>
      <c r="DV294" s="29"/>
      <c r="DW294" s="29"/>
      <c r="DX294" s="29"/>
      <c r="DY294" s="29"/>
      <c r="DZ294" s="29"/>
      <c r="EA294" s="140"/>
      <c r="EB294" s="117"/>
      <c r="EC294" s="117"/>
      <c r="ED294" s="117"/>
      <c r="EE294" s="117"/>
      <c r="EF294" s="110"/>
      <c r="EG294" s="4"/>
      <c r="EH294" s="111"/>
      <c r="EI294" s="112"/>
      <c r="EJ294" s="112"/>
      <c r="EK294" s="110"/>
      <c r="EL294" s="113"/>
      <c r="EM294" s="114"/>
      <c r="EN294" s="114"/>
      <c r="EO294" s="110"/>
      <c r="EP294" s="113"/>
      <c r="EQ294" s="114"/>
      <c r="ER294" s="110"/>
      <c r="ES294" s="113"/>
    </row>
    <row r="295" spans="35:149">
      <c r="AI295" s="13"/>
      <c r="AJ295" s="13"/>
      <c r="AK295" s="13"/>
      <c r="AL295" s="13"/>
      <c r="AM295" s="13"/>
      <c r="AR295" s="29"/>
      <c r="AS295" s="29"/>
      <c r="AT295" s="29"/>
      <c r="AU295" s="29"/>
      <c r="AV295" s="29"/>
      <c r="AW295" s="29"/>
      <c r="AX295" s="29"/>
      <c r="AY295" s="29"/>
      <c r="AZ295" s="29"/>
      <c r="BA295" s="140"/>
      <c r="BB295" s="117"/>
      <c r="BC295" s="117"/>
      <c r="BD295" s="117"/>
      <c r="BE295" s="117"/>
      <c r="BF295" s="110"/>
      <c r="BG295" s="4"/>
      <c r="BH295" s="111"/>
      <c r="BI295" s="112"/>
      <c r="BJ295" s="112"/>
      <c r="BK295" s="110"/>
      <c r="BL295" s="113"/>
      <c r="BM295" s="114"/>
      <c r="BN295" s="114"/>
      <c r="BO295" s="110"/>
      <c r="BP295" s="113"/>
      <c r="BQ295" s="114"/>
      <c r="BR295" s="110"/>
      <c r="BS295" s="113"/>
      <c r="DI295" s="13"/>
      <c r="DJ295" s="13"/>
      <c r="DK295" s="13"/>
      <c r="DL295" s="13"/>
      <c r="DM295" s="13"/>
      <c r="DR295" s="29"/>
      <c r="DS295" s="29"/>
      <c r="DT295" s="29"/>
      <c r="DU295" s="29"/>
      <c r="DV295" s="29"/>
      <c r="DW295" s="29"/>
      <c r="DX295" s="29"/>
      <c r="DY295" s="29"/>
      <c r="DZ295" s="29"/>
      <c r="EA295" s="140"/>
      <c r="EB295" s="117"/>
      <c r="EC295" s="117"/>
      <c r="ED295" s="117"/>
      <c r="EE295" s="117"/>
      <c r="EF295" s="110"/>
      <c r="EG295" s="4"/>
      <c r="EH295" s="111"/>
      <c r="EI295" s="112"/>
      <c r="EJ295" s="112"/>
      <c r="EK295" s="110"/>
      <c r="EL295" s="113"/>
      <c r="EM295" s="114"/>
      <c r="EN295" s="114"/>
      <c r="EO295" s="110"/>
      <c r="EP295" s="113"/>
      <c r="EQ295" s="114"/>
      <c r="ER295" s="110"/>
      <c r="ES295" s="113"/>
    </row>
    <row r="296" spans="35:149">
      <c r="AI296" s="13"/>
      <c r="AJ296" s="13"/>
      <c r="AK296" s="13"/>
      <c r="AL296" s="13"/>
      <c r="AM296" s="13"/>
      <c r="AR296" s="29"/>
      <c r="AS296" s="29"/>
      <c r="AT296" s="29"/>
      <c r="AU296" s="29"/>
      <c r="AV296" s="29"/>
      <c r="AW296" s="29"/>
      <c r="AX296" s="29"/>
      <c r="AY296" s="29"/>
      <c r="AZ296" s="29"/>
      <c r="BA296" s="140"/>
      <c r="BB296" s="117"/>
      <c r="BC296" s="117"/>
      <c r="BD296" s="117"/>
      <c r="BE296" s="117"/>
      <c r="BF296" s="110"/>
      <c r="BG296" s="4"/>
      <c r="BH296" s="111"/>
      <c r="BI296" s="112"/>
      <c r="BJ296" s="112"/>
      <c r="BK296" s="110"/>
      <c r="BL296" s="113"/>
      <c r="BM296" s="114"/>
      <c r="BN296" s="114"/>
      <c r="BO296" s="110"/>
      <c r="BP296" s="113"/>
      <c r="BQ296" s="114"/>
      <c r="BR296" s="110"/>
      <c r="BS296" s="113"/>
      <c r="DI296" s="13"/>
      <c r="DJ296" s="13"/>
      <c r="DK296" s="13"/>
      <c r="DL296" s="13"/>
      <c r="DM296" s="13"/>
      <c r="DR296" s="29"/>
      <c r="DS296" s="29"/>
      <c r="DT296" s="29"/>
      <c r="DU296" s="29"/>
      <c r="DV296" s="29"/>
      <c r="DW296" s="29"/>
      <c r="DX296" s="29"/>
      <c r="DY296" s="29"/>
      <c r="DZ296" s="29"/>
      <c r="EA296" s="140"/>
      <c r="EB296" s="117"/>
      <c r="EC296" s="117"/>
      <c r="ED296" s="117"/>
      <c r="EE296" s="117"/>
      <c r="EF296" s="110"/>
      <c r="EG296" s="4"/>
      <c r="EH296" s="111"/>
      <c r="EI296" s="112"/>
      <c r="EJ296" s="112"/>
      <c r="EK296" s="110"/>
      <c r="EL296" s="113"/>
      <c r="EM296" s="114"/>
      <c r="EN296" s="114"/>
      <c r="EO296" s="110"/>
      <c r="EP296" s="113"/>
      <c r="EQ296" s="114"/>
      <c r="ER296" s="110"/>
      <c r="ES296" s="113"/>
    </row>
    <row r="297" spans="35:149">
      <c r="AI297" s="13"/>
      <c r="AJ297" s="13"/>
      <c r="AK297" s="13"/>
      <c r="AL297" s="13"/>
      <c r="AM297" s="13"/>
      <c r="AR297" s="29"/>
      <c r="AS297" s="29"/>
      <c r="AT297" s="29"/>
      <c r="AU297" s="29"/>
      <c r="AV297" s="29"/>
      <c r="AW297" s="29"/>
      <c r="AX297" s="29"/>
      <c r="AY297" s="29"/>
      <c r="AZ297" s="29"/>
      <c r="BA297" s="140"/>
      <c r="BB297" s="117"/>
      <c r="BC297" s="117"/>
      <c r="BD297" s="117"/>
      <c r="BE297" s="117"/>
      <c r="BF297" s="110"/>
      <c r="BG297" s="4"/>
      <c r="BH297" s="111"/>
      <c r="BI297" s="112"/>
      <c r="BJ297" s="112"/>
      <c r="BK297" s="110"/>
      <c r="BL297" s="113"/>
      <c r="BM297" s="114"/>
      <c r="BN297" s="114"/>
      <c r="BO297" s="110"/>
      <c r="BP297" s="113"/>
      <c r="BQ297" s="114"/>
      <c r="BR297" s="110"/>
      <c r="BS297" s="113"/>
      <c r="DI297" s="13"/>
      <c r="DJ297" s="13"/>
      <c r="DK297" s="13"/>
      <c r="DL297" s="13"/>
      <c r="DM297" s="13"/>
      <c r="DR297" s="29"/>
      <c r="DS297" s="29"/>
      <c r="DT297" s="29"/>
      <c r="DU297" s="29"/>
      <c r="DV297" s="29"/>
      <c r="DW297" s="29"/>
      <c r="DX297" s="29"/>
      <c r="DY297" s="29"/>
      <c r="DZ297" s="29"/>
      <c r="EA297" s="140"/>
      <c r="EB297" s="117"/>
      <c r="EC297" s="117"/>
      <c r="ED297" s="117"/>
      <c r="EE297" s="117"/>
      <c r="EF297" s="110"/>
      <c r="EG297" s="4"/>
      <c r="EH297" s="111"/>
      <c r="EI297" s="112"/>
      <c r="EJ297" s="112"/>
      <c r="EK297" s="110"/>
      <c r="EL297" s="113"/>
      <c r="EM297" s="114"/>
      <c r="EN297" s="114"/>
      <c r="EO297" s="110"/>
      <c r="EP297" s="113"/>
      <c r="EQ297" s="114"/>
      <c r="ER297" s="110"/>
      <c r="ES297" s="113"/>
    </row>
    <row r="298" spans="35:149">
      <c r="AI298" s="13"/>
      <c r="AJ298" s="13"/>
      <c r="AK298" s="13"/>
      <c r="AL298" s="13"/>
      <c r="AM298" s="13"/>
      <c r="AR298" s="29"/>
      <c r="AS298" s="29"/>
      <c r="AT298" s="29"/>
      <c r="AU298" s="29"/>
      <c r="AV298" s="29"/>
      <c r="AW298" s="29"/>
      <c r="AX298" s="29"/>
      <c r="AY298" s="29"/>
      <c r="AZ298" s="29"/>
      <c r="BA298" s="140"/>
      <c r="BB298" s="117"/>
      <c r="BC298" s="117"/>
      <c r="BD298" s="117"/>
      <c r="BE298" s="117"/>
      <c r="BF298" s="110"/>
      <c r="BG298" s="4"/>
      <c r="BH298" s="111"/>
      <c r="BI298" s="112"/>
      <c r="BJ298" s="112"/>
      <c r="BK298" s="110"/>
      <c r="BL298" s="113"/>
      <c r="BM298" s="114"/>
      <c r="BN298" s="114"/>
      <c r="BO298" s="110"/>
      <c r="BP298" s="113"/>
      <c r="BQ298" s="114"/>
      <c r="BR298" s="110"/>
      <c r="BS298" s="113"/>
      <c r="DI298" s="13"/>
      <c r="DJ298" s="13"/>
      <c r="DK298" s="13"/>
      <c r="DL298" s="13"/>
      <c r="DM298" s="13"/>
      <c r="DR298" s="29"/>
      <c r="DS298" s="29"/>
      <c r="DT298" s="29"/>
      <c r="DU298" s="29"/>
      <c r="DV298" s="29"/>
      <c r="DW298" s="29"/>
      <c r="DX298" s="29"/>
      <c r="DY298" s="29"/>
      <c r="DZ298" s="29"/>
      <c r="EA298" s="140"/>
      <c r="EB298" s="117"/>
      <c r="EC298" s="117"/>
      <c r="ED298" s="117"/>
      <c r="EE298" s="117"/>
      <c r="EF298" s="110"/>
      <c r="EG298" s="4"/>
      <c r="EH298" s="111"/>
      <c r="EI298" s="112"/>
      <c r="EJ298" s="112"/>
      <c r="EK298" s="110"/>
      <c r="EL298" s="113"/>
      <c r="EM298" s="114"/>
      <c r="EN298" s="114"/>
      <c r="EO298" s="110"/>
      <c r="EP298" s="113"/>
      <c r="EQ298" s="114"/>
      <c r="ER298" s="110"/>
      <c r="ES298" s="113"/>
    </row>
    <row r="299" spans="35:149">
      <c r="AI299" s="13"/>
      <c r="AJ299" s="13"/>
      <c r="AK299" s="13"/>
      <c r="AL299" s="13"/>
      <c r="AM299" s="13"/>
      <c r="AR299" s="29"/>
      <c r="AS299" s="29"/>
      <c r="AT299" s="29"/>
      <c r="AU299" s="29"/>
      <c r="AV299" s="29"/>
      <c r="AW299" s="29"/>
      <c r="AX299" s="29"/>
      <c r="AY299" s="29"/>
      <c r="AZ299" s="29"/>
      <c r="BA299" s="140"/>
      <c r="BB299" s="117"/>
      <c r="BC299" s="117"/>
      <c r="BD299" s="117"/>
      <c r="BE299" s="117"/>
      <c r="BF299" s="110"/>
      <c r="BG299" s="4"/>
      <c r="BH299" s="111"/>
      <c r="BI299" s="112"/>
      <c r="BJ299" s="112"/>
      <c r="BK299" s="110"/>
      <c r="BL299" s="113"/>
      <c r="BM299" s="114"/>
      <c r="BN299" s="114"/>
      <c r="BO299" s="110"/>
      <c r="BP299" s="113"/>
      <c r="BQ299" s="114"/>
      <c r="BR299" s="110"/>
      <c r="BS299" s="113"/>
      <c r="DI299" s="13"/>
      <c r="DJ299" s="13"/>
      <c r="DK299" s="13"/>
      <c r="DL299" s="13"/>
      <c r="DM299" s="13"/>
      <c r="DR299" s="29"/>
      <c r="DS299" s="29"/>
      <c r="DT299" s="29"/>
      <c r="DU299" s="29"/>
      <c r="DV299" s="29"/>
      <c r="DW299" s="29"/>
      <c r="DX299" s="29"/>
      <c r="DY299" s="29"/>
      <c r="DZ299" s="29"/>
      <c r="EA299" s="140"/>
      <c r="EB299" s="117"/>
      <c r="EC299" s="117"/>
      <c r="ED299" s="117"/>
      <c r="EE299" s="117"/>
      <c r="EF299" s="110"/>
      <c r="EG299" s="4"/>
      <c r="EH299" s="111"/>
      <c r="EI299" s="112"/>
      <c r="EJ299" s="112"/>
      <c r="EK299" s="110"/>
      <c r="EL299" s="113"/>
      <c r="EM299" s="114"/>
      <c r="EN299" s="114"/>
      <c r="EO299" s="110"/>
      <c r="EP299" s="113"/>
      <c r="EQ299" s="114"/>
      <c r="ER299" s="110"/>
      <c r="ES299" s="113"/>
    </row>
    <row r="300" spans="35:149">
      <c r="AI300" s="13"/>
      <c r="AJ300" s="13"/>
      <c r="AK300" s="13"/>
      <c r="AL300" s="13"/>
      <c r="AM300" s="13"/>
      <c r="AR300" s="29"/>
      <c r="AS300" s="29"/>
      <c r="AT300" s="29"/>
      <c r="AU300" s="29"/>
      <c r="AV300" s="29"/>
      <c r="AW300" s="29"/>
      <c r="AX300" s="29"/>
      <c r="AY300" s="29"/>
      <c r="AZ300" s="29"/>
      <c r="BA300" s="140"/>
      <c r="BB300" s="117"/>
      <c r="BC300" s="117"/>
      <c r="BD300" s="117"/>
      <c r="BE300" s="117"/>
      <c r="BF300" s="110"/>
      <c r="BG300" s="4"/>
      <c r="BH300" s="111"/>
      <c r="BI300" s="112"/>
      <c r="BJ300" s="112"/>
      <c r="BK300" s="110"/>
      <c r="BL300" s="113"/>
      <c r="BM300" s="114"/>
      <c r="BN300" s="114"/>
      <c r="BO300" s="110"/>
      <c r="BP300" s="113"/>
      <c r="BQ300" s="114"/>
      <c r="BR300" s="110"/>
      <c r="BS300" s="113"/>
      <c r="DI300" s="13"/>
      <c r="DJ300" s="13"/>
      <c r="DK300" s="13"/>
      <c r="DL300" s="13"/>
      <c r="DM300" s="13"/>
      <c r="DR300" s="29"/>
      <c r="DS300" s="29"/>
      <c r="DT300" s="29"/>
      <c r="DU300" s="29"/>
      <c r="DV300" s="29"/>
      <c r="DW300" s="29"/>
      <c r="DX300" s="29"/>
      <c r="DY300" s="29"/>
      <c r="DZ300" s="29"/>
      <c r="EA300" s="140"/>
      <c r="EB300" s="117"/>
      <c r="EC300" s="117"/>
      <c r="ED300" s="117"/>
      <c r="EE300" s="117"/>
      <c r="EF300" s="110"/>
      <c r="EG300" s="4"/>
      <c r="EH300" s="111"/>
      <c r="EI300" s="112"/>
      <c r="EJ300" s="112"/>
      <c r="EK300" s="110"/>
      <c r="EL300" s="113"/>
      <c r="EM300" s="114"/>
      <c r="EN300" s="114"/>
      <c r="EO300" s="110"/>
      <c r="EP300" s="113"/>
      <c r="EQ300" s="114"/>
      <c r="ER300" s="110"/>
      <c r="ES300" s="113"/>
    </row>
    <row r="301" spans="35:149">
      <c r="AI301" s="13"/>
      <c r="AJ301" s="13"/>
      <c r="AK301" s="13"/>
      <c r="AL301" s="13"/>
      <c r="AM301" s="13"/>
      <c r="AR301" s="29"/>
      <c r="AS301" s="29"/>
      <c r="AT301" s="29"/>
      <c r="AU301" s="29"/>
      <c r="AV301" s="29"/>
      <c r="AW301" s="29"/>
      <c r="AX301" s="29"/>
      <c r="AY301" s="29"/>
      <c r="AZ301" s="29"/>
      <c r="BA301" s="140"/>
      <c r="BB301" s="117"/>
      <c r="BC301" s="117"/>
      <c r="BD301" s="117"/>
      <c r="BE301" s="117"/>
      <c r="BF301" s="110"/>
      <c r="BG301" s="4"/>
      <c r="BH301" s="111"/>
      <c r="BI301" s="112"/>
      <c r="BJ301" s="112"/>
      <c r="BK301" s="110"/>
      <c r="BL301" s="113"/>
      <c r="BM301" s="114"/>
      <c r="BN301" s="114"/>
      <c r="BO301" s="110"/>
      <c r="BP301" s="113"/>
      <c r="BQ301" s="114"/>
      <c r="BR301" s="110"/>
      <c r="BS301" s="113"/>
      <c r="DI301" s="13"/>
      <c r="DJ301" s="13"/>
      <c r="DK301" s="13"/>
      <c r="DL301" s="13"/>
      <c r="DM301" s="13"/>
      <c r="DR301" s="29"/>
      <c r="DS301" s="29"/>
      <c r="DT301" s="29"/>
      <c r="DU301" s="29"/>
      <c r="DV301" s="29"/>
      <c r="DW301" s="29"/>
      <c r="DX301" s="29"/>
      <c r="DY301" s="29"/>
      <c r="DZ301" s="29"/>
      <c r="EA301" s="140"/>
      <c r="EB301" s="117"/>
      <c r="EC301" s="117"/>
      <c r="ED301" s="117"/>
      <c r="EE301" s="117"/>
      <c r="EF301" s="110"/>
      <c r="EG301" s="4"/>
      <c r="EH301" s="111"/>
      <c r="EI301" s="112"/>
      <c r="EJ301" s="112"/>
      <c r="EK301" s="110"/>
      <c r="EL301" s="113"/>
      <c r="EM301" s="114"/>
      <c r="EN301" s="114"/>
      <c r="EO301" s="110"/>
      <c r="EP301" s="113"/>
      <c r="EQ301" s="114"/>
      <c r="ER301" s="110"/>
      <c r="ES301" s="113"/>
    </row>
    <row r="302" spans="35:149">
      <c r="AI302" s="13"/>
      <c r="AJ302" s="13"/>
      <c r="AK302" s="13"/>
      <c r="AL302" s="13"/>
      <c r="AM302" s="13"/>
      <c r="AR302" s="29"/>
      <c r="AS302" s="29"/>
      <c r="AT302" s="29"/>
      <c r="AU302" s="29"/>
      <c r="AV302" s="29"/>
      <c r="AW302" s="29"/>
      <c r="AX302" s="29"/>
      <c r="AY302" s="29"/>
      <c r="AZ302" s="29"/>
      <c r="BA302" s="140"/>
      <c r="BB302" s="117"/>
      <c r="BC302" s="117"/>
      <c r="BD302" s="117"/>
      <c r="BE302" s="117"/>
      <c r="BF302" s="110"/>
      <c r="BG302" s="4"/>
      <c r="BH302" s="111"/>
      <c r="BI302" s="112"/>
      <c r="BJ302" s="112"/>
      <c r="BK302" s="110"/>
      <c r="BL302" s="113"/>
      <c r="BM302" s="114"/>
      <c r="BN302" s="114"/>
      <c r="BO302" s="110"/>
      <c r="BP302" s="113"/>
      <c r="BQ302" s="114"/>
      <c r="BR302" s="110"/>
      <c r="BS302" s="113"/>
      <c r="DI302" s="13"/>
      <c r="DJ302" s="13"/>
      <c r="DK302" s="13"/>
      <c r="DL302" s="13"/>
      <c r="DM302" s="13"/>
      <c r="DR302" s="29"/>
      <c r="DS302" s="29"/>
      <c r="DT302" s="29"/>
      <c r="DU302" s="29"/>
      <c r="DV302" s="29"/>
      <c r="DW302" s="29"/>
      <c r="DX302" s="29"/>
      <c r="DY302" s="29"/>
      <c r="DZ302" s="29"/>
      <c r="EA302" s="140"/>
      <c r="EB302" s="117"/>
      <c r="EC302" s="117"/>
      <c r="ED302" s="117"/>
      <c r="EE302" s="117"/>
      <c r="EF302" s="110"/>
      <c r="EG302" s="4"/>
      <c r="EH302" s="111"/>
      <c r="EI302" s="112"/>
      <c r="EJ302" s="112"/>
      <c r="EK302" s="110"/>
      <c r="EL302" s="113"/>
      <c r="EM302" s="114"/>
      <c r="EN302" s="114"/>
      <c r="EO302" s="110"/>
      <c r="EP302" s="113"/>
      <c r="EQ302" s="114"/>
      <c r="ER302" s="110"/>
      <c r="ES302" s="113"/>
    </row>
    <row r="303" spans="35:149">
      <c r="AI303" s="13"/>
      <c r="AJ303" s="13"/>
      <c r="AK303" s="13"/>
      <c r="AL303" s="13"/>
      <c r="AM303" s="13"/>
      <c r="AR303" s="29"/>
      <c r="AS303" s="29"/>
      <c r="AT303" s="29"/>
      <c r="AU303" s="29"/>
      <c r="AV303" s="29"/>
      <c r="AW303" s="29"/>
      <c r="AX303" s="29"/>
      <c r="AY303" s="29"/>
      <c r="AZ303" s="29"/>
      <c r="BA303" s="140"/>
      <c r="BB303" s="117"/>
      <c r="BC303" s="117"/>
      <c r="BD303" s="117"/>
      <c r="BE303" s="117"/>
      <c r="BF303" s="110"/>
      <c r="BG303" s="4"/>
      <c r="BH303" s="111"/>
      <c r="BI303" s="112"/>
      <c r="BJ303" s="112"/>
      <c r="BK303" s="110"/>
      <c r="BL303" s="113"/>
      <c r="BM303" s="114"/>
      <c r="BN303" s="114"/>
      <c r="BO303" s="110"/>
      <c r="BP303" s="113"/>
      <c r="BQ303" s="114"/>
      <c r="BR303" s="110"/>
      <c r="BS303" s="113"/>
      <c r="DI303" s="13"/>
      <c r="DJ303" s="13"/>
      <c r="DK303" s="13"/>
      <c r="DL303" s="13"/>
      <c r="DM303" s="13"/>
      <c r="DR303" s="29"/>
      <c r="DS303" s="29"/>
      <c r="DT303" s="29"/>
      <c r="DU303" s="29"/>
      <c r="DV303" s="29"/>
      <c r="DW303" s="29"/>
      <c r="DX303" s="29"/>
      <c r="DY303" s="29"/>
      <c r="DZ303" s="29"/>
      <c r="EA303" s="140"/>
      <c r="EB303" s="117"/>
      <c r="EC303" s="117"/>
      <c r="ED303" s="117"/>
      <c r="EE303" s="117"/>
      <c r="EF303" s="110"/>
      <c r="EG303" s="4"/>
      <c r="EH303" s="111"/>
      <c r="EI303" s="112"/>
      <c r="EJ303" s="112"/>
      <c r="EK303" s="110"/>
      <c r="EL303" s="113"/>
      <c r="EM303" s="114"/>
      <c r="EN303" s="114"/>
      <c r="EO303" s="110"/>
      <c r="EP303" s="113"/>
      <c r="EQ303" s="114"/>
      <c r="ER303" s="110"/>
      <c r="ES303" s="113"/>
    </row>
    <row r="304" spans="35:149">
      <c r="AI304" s="13"/>
      <c r="AJ304" s="13"/>
      <c r="AK304" s="13"/>
      <c r="AL304" s="13"/>
      <c r="AM304" s="13"/>
      <c r="AR304" s="29"/>
      <c r="AS304" s="29"/>
      <c r="AT304" s="29"/>
      <c r="AU304" s="29"/>
      <c r="AV304" s="29"/>
      <c r="AW304" s="29"/>
      <c r="AX304" s="29"/>
      <c r="AY304" s="29"/>
      <c r="AZ304" s="29"/>
      <c r="BA304" s="140"/>
      <c r="BB304" s="117"/>
      <c r="BC304" s="117"/>
      <c r="BD304" s="117"/>
      <c r="BE304" s="117"/>
      <c r="BF304" s="110"/>
      <c r="BG304" s="4"/>
      <c r="BH304" s="111"/>
      <c r="BI304" s="112"/>
      <c r="BJ304" s="112"/>
      <c r="BK304" s="110"/>
      <c r="BL304" s="113"/>
      <c r="BM304" s="114"/>
      <c r="BN304" s="114"/>
      <c r="BO304" s="110"/>
      <c r="BP304" s="113"/>
      <c r="BQ304" s="114"/>
      <c r="BR304" s="110"/>
      <c r="BS304" s="113"/>
      <c r="DI304" s="13"/>
      <c r="DJ304" s="13"/>
      <c r="DK304" s="13"/>
      <c r="DL304" s="13"/>
      <c r="DM304" s="13"/>
      <c r="DR304" s="29"/>
      <c r="DS304" s="29"/>
      <c r="DT304" s="29"/>
      <c r="DU304" s="29"/>
      <c r="DV304" s="29"/>
      <c r="DW304" s="29"/>
      <c r="DX304" s="29"/>
      <c r="DY304" s="29"/>
      <c r="DZ304" s="29"/>
      <c r="EA304" s="140"/>
      <c r="EB304" s="117"/>
      <c r="EC304" s="117"/>
      <c r="ED304" s="117"/>
      <c r="EE304" s="117"/>
      <c r="EF304" s="110"/>
      <c r="EG304" s="4"/>
      <c r="EH304" s="111"/>
      <c r="EI304" s="112"/>
      <c r="EJ304" s="112"/>
      <c r="EK304" s="110"/>
      <c r="EL304" s="113"/>
      <c r="EM304" s="114"/>
      <c r="EN304" s="114"/>
      <c r="EO304" s="110"/>
      <c r="EP304" s="113"/>
      <c r="EQ304" s="114"/>
      <c r="ER304" s="110"/>
      <c r="ES304" s="113"/>
    </row>
    <row r="305" spans="35:149">
      <c r="AI305" s="13"/>
      <c r="AJ305" s="13"/>
      <c r="AK305" s="13"/>
      <c r="AL305" s="13"/>
      <c r="AM305" s="13"/>
      <c r="AR305" s="29"/>
      <c r="AS305" s="29"/>
      <c r="AT305" s="29"/>
      <c r="AU305" s="29"/>
      <c r="AV305" s="29"/>
      <c r="AW305" s="29"/>
      <c r="AX305" s="29"/>
      <c r="AY305" s="29"/>
      <c r="AZ305" s="29"/>
      <c r="BA305" s="140"/>
      <c r="BB305" s="117"/>
      <c r="BC305" s="117"/>
      <c r="BD305" s="117"/>
      <c r="BE305" s="117"/>
      <c r="BF305" s="110"/>
      <c r="BG305" s="4"/>
      <c r="BH305" s="111"/>
      <c r="BI305" s="112"/>
      <c r="BJ305" s="112"/>
      <c r="BK305" s="110"/>
      <c r="BL305" s="113"/>
      <c r="BM305" s="114"/>
      <c r="BN305" s="114"/>
      <c r="BO305" s="110"/>
      <c r="BP305" s="113"/>
      <c r="BQ305" s="114"/>
      <c r="BR305" s="110"/>
      <c r="BS305" s="113"/>
      <c r="DI305" s="13"/>
      <c r="DJ305" s="13"/>
      <c r="DK305" s="13"/>
      <c r="DL305" s="13"/>
      <c r="DM305" s="13"/>
      <c r="DR305" s="29"/>
      <c r="DS305" s="29"/>
      <c r="DT305" s="29"/>
      <c r="DU305" s="29"/>
      <c r="DV305" s="29"/>
      <c r="DW305" s="29"/>
      <c r="DX305" s="29"/>
      <c r="DY305" s="29"/>
      <c r="DZ305" s="29"/>
      <c r="EA305" s="140"/>
      <c r="EB305" s="117"/>
      <c r="EC305" s="117"/>
      <c r="ED305" s="117"/>
      <c r="EE305" s="117"/>
      <c r="EF305" s="110"/>
      <c r="EG305" s="4"/>
      <c r="EH305" s="111"/>
      <c r="EI305" s="112"/>
      <c r="EJ305" s="112"/>
      <c r="EK305" s="110"/>
      <c r="EL305" s="113"/>
      <c r="EM305" s="114"/>
      <c r="EN305" s="114"/>
      <c r="EO305" s="110"/>
      <c r="EP305" s="113"/>
      <c r="EQ305" s="114"/>
      <c r="ER305" s="110"/>
      <c r="ES305" s="113"/>
    </row>
    <row r="306" spans="35:149">
      <c r="AI306" s="13"/>
      <c r="AJ306" s="13"/>
      <c r="AK306" s="13"/>
      <c r="AL306" s="13"/>
      <c r="AM306" s="13"/>
      <c r="AR306" s="29"/>
      <c r="AS306" s="29"/>
      <c r="AT306" s="29"/>
      <c r="AU306" s="29"/>
      <c r="AV306" s="29"/>
      <c r="AW306" s="29"/>
      <c r="AX306" s="29"/>
      <c r="AY306" s="29"/>
      <c r="AZ306" s="29"/>
      <c r="BA306" s="140"/>
      <c r="BB306" s="117"/>
      <c r="BC306" s="117"/>
      <c r="BD306" s="117"/>
      <c r="BE306" s="117"/>
      <c r="BF306" s="110"/>
      <c r="BG306" s="4"/>
      <c r="BH306" s="111"/>
      <c r="BI306" s="112"/>
      <c r="BJ306" s="112"/>
      <c r="BK306" s="110"/>
      <c r="BL306" s="113"/>
      <c r="BM306" s="114"/>
      <c r="BN306" s="114"/>
      <c r="BO306" s="110"/>
      <c r="BP306" s="113"/>
      <c r="BQ306" s="114"/>
      <c r="BR306" s="110"/>
      <c r="BS306" s="113"/>
      <c r="DI306" s="13"/>
      <c r="DJ306" s="13"/>
      <c r="DK306" s="13"/>
      <c r="DL306" s="13"/>
      <c r="DM306" s="13"/>
      <c r="DR306" s="29"/>
      <c r="DS306" s="29"/>
      <c r="DT306" s="29"/>
      <c r="DU306" s="29"/>
      <c r="DV306" s="29"/>
      <c r="DW306" s="29"/>
      <c r="DX306" s="29"/>
      <c r="DY306" s="29"/>
      <c r="DZ306" s="29"/>
      <c r="EA306" s="140"/>
      <c r="EB306" s="117"/>
      <c r="EC306" s="117"/>
      <c r="ED306" s="117"/>
      <c r="EE306" s="117"/>
      <c r="EF306" s="110"/>
      <c r="EG306" s="4"/>
      <c r="EH306" s="111"/>
      <c r="EI306" s="112"/>
      <c r="EJ306" s="112"/>
      <c r="EK306" s="110"/>
      <c r="EL306" s="113"/>
      <c r="EM306" s="114"/>
      <c r="EN306" s="114"/>
      <c r="EO306" s="110"/>
      <c r="EP306" s="113"/>
      <c r="EQ306" s="114"/>
      <c r="ER306" s="110"/>
      <c r="ES306" s="113"/>
    </row>
    <row r="307" spans="35:149">
      <c r="AI307" s="13"/>
      <c r="AJ307" s="13"/>
      <c r="AK307" s="13"/>
      <c r="AL307" s="13"/>
      <c r="AM307" s="13"/>
      <c r="AR307" s="29"/>
      <c r="AS307" s="29"/>
      <c r="AT307" s="29"/>
      <c r="AU307" s="29"/>
      <c r="AV307" s="29"/>
      <c r="AW307" s="29"/>
      <c r="AX307" s="29"/>
      <c r="AY307" s="29"/>
      <c r="AZ307" s="29"/>
      <c r="BA307" s="140"/>
      <c r="BB307" s="117"/>
      <c r="BC307" s="117"/>
      <c r="BD307" s="117"/>
      <c r="BE307" s="117"/>
      <c r="BF307" s="110"/>
      <c r="BG307" s="4"/>
      <c r="BH307" s="111"/>
      <c r="BI307" s="112"/>
      <c r="BJ307" s="112"/>
      <c r="BK307" s="110"/>
      <c r="BL307" s="113"/>
      <c r="BM307" s="114"/>
      <c r="BN307" s="114"/>
      <c r="BO307" s="110"/>
      <c r="BP307" s="113"/>
      <c r="BQ307" s="114"/>
      <c r="BR307" s="110"/>
      <c r="BS307" s="113"/>
      <c r="DI307" s="13"/>
      <c r="DJ307" s="13"/>
      <c r="DK307" s="13"/>
      <c r="DL307" s="13"/>
      <c r="DM307" s="13"/>
      <c r="DR307" s="29"/>
      <c r="DS307" s="29"/>
      <c r="DT307" s="29"/>
      <c r="DU307" s="29"/>
      <c r="DV307" s="29"/>
      <c r="DW307" s="29"/>
      <c r="DX307" s="29"/>
      <c r="DY307" s="29"/>
      <c r="DZ307" s="29"/>
      <c r="EA307" s="140"/>
      <c r="EB307" s="117"/>
      <c r="EC307" s="117"/>
      <c r="ED307" s="117"/>
      <c r="EE307" s="117"/>
      <c r="EF307" s="110"/>
      <c r="EG307" s="4"/>
      <c r="EH307" s="111"/>
      <c r="EI307" s="112"/>
      <c r="EJ307" s="112"/>
      <c r="EK307" s="110"/>
      <c r="EL307" s="113"/>
      <c r="EM307" s="114"/>
      <c r="EN307" s="114"/>
      <c r="EO307" s="110"/>
      <c r="EP307" s="113"/>
      <c r="EQ307" s="114"/>
      <c r="ER307" s="110"/>
      <c r="ES307" s="113"/>
    </row>
    <row r="308" spans="35:149">
      <c r="AI308" s="13"/>
      <c r="AJ308" s="13"/>
      <c r="AK308" s="13"/>
      <c r="AL308" s="13"/>
      <c r="AM308" s="13"/>
      <c r="AR308" s="29"/>
      <c r="AS308" s="29"/>
      <c r="AT308" s="29"/>
      <c r="AU308" s="29"/>
      <c r="AV308" s="29"/>
      <c r="AW308" s="29"/>
      <c r="AX308" s="29"/>
      <c r="AY308" s="29"/>
      <c r="AZ308" s="29"/>
      <c r="BA308" s="140"/>
      <c r="BB308" s="117"/>
      <c r="BC308" s="117"/>
      <c r="BD308" s="117"/>
      <c r="BE308" s="117"/>
      <c r="BF308" s="110"/>
      <c r="BG308" s="4"/>
      <c r="BH308" s="111"/>
      <c r="BI308" s="112"/>
      <c r="BJ308" s="112"/>
      <c r="BK308" s="110"/>
      <c r="BL308" s="113"/>
      <c r="BM308" s="114"/>
      <c r="BN308" s="114"/>
      <c r="BO308" s="110"/>
      <c r="BP308" s="113"/>
      <c r="BQ308" s="114"/>
      <c r="BR308" s="110"/>
      <c r="BS308" s="113"/>
      <c r="DI308" s="13"/>
      <c r="DJ308" s="13"/>
      <c r="DK308" s="13"/>
      <c r="DL308" s="13"/>
      <c r="DM308" s="13"/>
      <c r="DR308" s="29"/>
      <c r="DS308" s="29"/>
      <c r="DT308" s="29"/>
      <c r="DU308" s="29"/>
      <c r="DV308" s="29"/>
      <c r="DW308" s="29"/>
      <c r="DX308" s="29"/>
      <c r="DY308" s="29"/>
      <c r="DZ308" s="29"/>
      <c r="EA308" s="140"/>
      <c r="EB308" s="117"/>
      <c r="EC308" s="117"/>
      <c r="ED308" s="117"/>
      <c r="EE308" s="117"/>
      <c r="EF308" s="110"/>
      <c r="EG308" s="4"/>
      <c r="EH308" s="111"/>
      <c r="EI308" s="112"/>
      <c r="EJ308" s="112"/>
      <c r="EK308" s="110"/>
      <c r="EL308" s="113"/>
      <c r="EM308" s="114"/>
      <c r="EN308" s="114"/>
      <c r="EO308" s="110"/>
      <c r="EP308" s="113"/>
      <c r="EQ308" s="114"/>
      <c r="ER308" s="110"/>
      <c r="ES308" s="113"/>
    </row>
    <row r="309" spans="35:149">
      <c r="AI309" s="13"/>
      <c r="AJ309" s="13"/>
      <c r="AK309" s="13"/>
      <c r="AL309" s="13"/>
      <c r="AM309" s="13"/>
      <c r="AR309" s="29"/>
      <c r="AS309" s="29"/>
      <c r="AT309" s="29"/>
      <c r="AU309" s="29"/>
      <c r="AV309" s="29"/>
      <c r="AW309" s="29"/>
      <c r="AX309" s="29"/>
      <c r="AY309" s="29"/>
      <c r="AZ309" s="29"/>
      <c r="BA309" s="140"/>
      <c r="BB309" s="117"/>
      <c r="BC309" s="117"/>
      <c r="BD309" s="117"/>
      <c r="BE309" s="117"/>
      <c r="BF309" s="110"/>
      <c r="BG309" s="4"/>
      <c r="BH309" s="111"/>
      <c r="BI309" s="112"/>
      <c r="BJ309" s="112"/>
      <c r="BK309" s="110"/>
      <c r="BL309" s="113"/>
      <c r="BM309" s="114"/>
      <c r="BN309" s="114"/>
      <c r="BO309" s="110"/>
      <c r="BP309" s="113"/>
      <c r="BQ309" s="114"/>
      <c r="BR309" s="110"/>
      <c r="BS309" s="113"/>
      <c r="DI309" s="13"/>
      <c r="DJ309" s="13"/>
      <c r="DK309" s="13"/>
      <c r="DL309" s="13"/>
      <c r="DM309" s="13"/>
      <c r="DR309" s="29"/>
      <c r="DS309" s="29"/>
      <c r="DT309" s="29"/>
      <c r="DU309" s="29"/>
      <c r="DV309" s="29"/>
      <c r="DW309" s="29"/>
      <c r="DX309" s="29"/>
      <c r="DY309" s="29"/>
      <c r="DZ309" s="29"/>
      <c r="EA309" s="140"/>
      <c r="EB309" s="117"/>
      <c r="EC309" s="117"/>
      <c r="ED309" s="117"/>
      <c r="EE309" s="117"/>
      <c r="EF309" s="110"/>
      <c r="EG309" s="4"/>
      <c r="EH309" s="111"/>
      <c r="EI309" s="112"/>
      <c r="EJ309" s="112"/>
      <c r="EK309" s="110"/>
      <c r="EL309" s="113"/>
      <c r="EM309" s="114"/>
      <c r="EN309" s="114"/>
      <c r="EO309" s="110"/>
      <c r="EP309" s="113"/>
      <c r="EQ309" s="114"/>
      <c r="ER309" s="110"/>
      <c r="ES309" s="113"/>
    </row>
    <row r="310" spans="35:149">
      <c r="AI310" s="13"/>
      <c r="AJ310" s="13"/>
      <c r="AK310" s="13"/>
      <c r="AL310" s="13"/>
      <c r="AM310" s="13"/>
      <c r="AR310" s="29"/>
      <c r="AS310" s="29"/>
      <c r="AT310" s="29"/>
      <c r="AU310" s="29"/>
      <c r="AV310" s="29"/>
      <c r="AW310" s="29"/>
      <c r="AX310" s="29"/>
      <c r="AY310" s="29"/>
      <c r="AZ310" s="29"/>
      <c r="BA310" s="140"/>
      <c r="BB310" s="117"/>
      <c r="BC310" s="117"/>
      <c r="BD310" s="117"/>
      <c r="BE310" s="117"/>
      <c r="BF310" s="110"/>
      <c r="BG310" s="4"/>
      <c r="BH310" s="111"/>
      <c r="BI310" s="112"/>
      <c r="BJ310" s="112"/>
      <c r="BK310" s="110"/>
      <c r="BL310" s="113"/>
      <c r="BM310" s="114"/>
      <c r="BN310" s="114"/>
      <c r="BO310" s="110"/>
      <c r="BP310" s="113"/>
      <c r="BQ310" s="114"/>
      <c r="BR310" s="110"/>
      <c r="BS310" s="113"/>
      <c r="DI310" s="13"/>
      <c r="DJ310" s="13"/>
      <c r="DK310" s="13"/>
      <c r="DL310" s="13"/>
      <c r="DM310" s="13"/>
      <c r="DR310" s="29"/>
      <c r="DS310" s="29"/>
      <c r="DT310" s="29"/>
      <c r="DU310" s="29"/>
      <c r="DV310" s="29"/>
      <c r="DW310" s="29"/>
      <c r="DX310" s="29"/>
      <c r="DY310" s="29"/>
      <c r="DZ310" s="29"/>
      <c r="EA310" s="140"/>
      <c r="EB310" s="117"/>
      <c r="EC310" s="117"/>
      <c r="ED310" s="117"/>
      <c r="EE310" s="117"/>
      <c r="EF310" s="110"/>
      <c r="EG310" s="4"/>
      <c r="EH310" s="111"/>
      <c r="EI310" s="112"/>
      <c r="EJ310" s="112"/>
      <c r="EK310" s="110"/>
      <c r="EL310" s="113"/>
      <c r="EM310" s="114"/>
      <c r="EN310" s="114"/>
      <c r="EO310" s="110"/>
      <c r="EP310" s="113"/>
      <c r="EQ310" s="114"/>
      <c r="ER310" s="110"/>
      <c r="ES310" s="113"/>
    </row>
    <row r="311" spans="35:149">
      <c r="AI311" s="13"/>
      <c r="AJ311" s="13"/>
      <c r="AK311" s="13"/>
      <c r="AL311" s="13"/>
      <c r="AM311" s="13"/>
      <c r="AR311" s="29"/>
      <c r="AS311" s="29"/>
      <c r="AT311" s="29"/>
      <c r="AU311" s="29"/>
      <c r="AV311" s="29"/>
      <c r="AW311" s="29"/>
      <c r="AX311" s="29"/>
      <c r="AY311" s="29"/>
      <c r="AZ311" s="29"/>
      <c r="BA311" s="140"/>
      <c r="BB311" s="117"/>
      <c r="BC311" s="117"/>
      <c r="BD311" s="117"/>
      <c r="BE311" s="117"/>
      <c r="BF311" s="110"/>
      <c r="BG311" s="4"/>
      <c r="BH311" s="111"/>
      <c r="BI311" s="112"/>
      <c r="BJ311" s="112"/>
      <c r="BK311" s="110"/>
      <c r="BL311" s="113"/>
      <c r="BM311" s="114"/>
      <c r="BN311" s="114"/>
      <c r="BO311" s="110"/>
      <c r="BP311" s="113"/>
      <c r="BQ311" s="114"/>
      <c r="BR311" s="110"/>
      <c r="BS311" s="113"/>
      <c r="DI311" s="13"/>
      <c r="DJ311" s="13"/>
      <c r="DK311" s="13"/>
      <c r="DL311" s="13"/>
      <c r="DM311" s="13"/>
      <c r="DR311" s="29"/>
      <c r="DS311" s="29"/>
      <c r="DT311" s="29"/>
      <c r="DU311" s="29"/>
      <c r="DV311" s="29"/>
      <c r="DW311" s="29"/>
      <c r="DX311" s="29"/>
      <c r="DY311" s="29"/>
      <c r="DZ311" s="29"/>
      <c r="EA311" s="140"/>
      <c r="EB311" s="117"/>
      <c r="EC311" s="117"/>
      <c r="ED311" s="117"/>
      <c r="EE311" s="117"/>
      <c r="EF311" s="110"/>
      <c r="EG311" s="4"/>
      <c r="EH311" s="111"/>
      <c r="EI311" s="112"/>
      <c r="EJ311" s="112"/>
      <c r="EK311" s="110"/>
      <c r="EL311" s="113"/>
      <c r="EM311" s="114"/>
      <c r="EN311" s="114"/>
      <c r="EO311" s="110"/>
      <c r="EP311" s="113"/>
      <c r="EQ311" s="114"/>
      <c r="ER311" s="110"/>
      <c r="ES311" s="113"/>
    </row>
    <row r="312" spans="35:149">
      <c r="AI312" s="13"/>
      <c r="AJ312" s="13"/>
      <c r="AK312" s="13"/>
      <c r="AL312" s="13"/>
      <c r="AM312" s="13"/>
      <c r="AR312" s="29"/>
      <c r="AS312" s="29"/>
      <c r="AT312" s="29"/>
      <c r="AU312" s="29"/>
      <c r="AV312" s="29"/>
      <c r="AW312" s="29"/>
      <c r="AX312" s="29"/>
      <c r="AY312" s="29"/>
      <c r="AZ312" s="29"/>
      <c r="BA312" s="140"/>
      <c r="BB312" s="117"/>
      <c r="BC312" s="117"/>
      <c r="BD312" s="117"/>
      <c r="BE312" s="117"/>
      <c r="BF312" s="110"/>
      <c r="BG312" s="4"/>
      <c r="BH312" s="111"/>
      <c r="BI312" s="112"/>
      <c r="BJ312" s="112"/>
      <c r="BK312" s="110"/>
      <c r="BL312" s="113"/>
      <c r="BM312" s="114"/>
      <c r="BN312" s="114"/>
      <c r="BO312" s="110"/>
      <c r="BP312" s="113"/>
      <c r="BQ312" s="114"/>
      <c r="BR312" s="110"/>
      <c r="BS312" s="113"/>
      <c r="DI312" s="13"/>
      <c r="DJ312" s="13"/>
      <c r="DK312" s="13"/>
      <c r="DL312" s="13"/>
      <c r="DM312" s="13"/>
      <c r="DR312" s="29"/>
      <c r="DS312" s="29"/>
      <c r="DT312" s="29"/>
      <c r="DU312" s="29"/>
      <c r="DV312" s="29"/>
      <c r="DW312" s="29"/>
      <c r="DX312" s="29"/>
      <c r="DY312" s="29"/>
      <c r="DZ312" s="29"/>
      <c r="EA312" s="140"/>
      <c r="EB312" s="117"/>
      <c r="EC312" s="117"/>
      <c r="ED312" s="117"/>
      <c r="EE312" s="117"/>
      <c r="EF312" s="110"/>
      <c r="EG312" s="4"/>
      <c r="EH312" s="111"/>
      <c r="EI312" s="112"/>
      <c r="EJ312" s="112"/>
      <c r="EK312" s="110"/>
      <c r="EL312" s="113"/>
      <c r="EM312" s="114"/>
      <c r="EN312" s="114"/>
      <c r="EO312" s="110"/>
      <c r="EP312" s="113"/>
      <c r="EQ312" s="114"/>
      <c r="ER312" s="110"/>
      <c r="ES312" s="113"/>
    </row>
    <row r="313" spans="35:149">
      <c r="AI313" s="13"/>
      <c r="AJ313" s="13"/>
      <c r="AK313" s="13"/>
      <c r="AL313" s="13"/>
      <c r="AM313" s="13"/>
      <c r="AR313" s="29"/>
      <c r="AS313" s="29"/>
      <c r="AT313" s="29"/>
      <c r="AU313" s="29"/>
      <c r="AV313" s="29"/>
      <c r="AW313" s="29"/>
      <c r="AX313" s="29"/>
      <c r="AY313" s="29"/>
      <c r="AZ313" s="29"/>
      <c r="BA313" s="140"/>
      <c r="BB313" s="117"/>
      <c r="BC313" s="117"/>
      <c r="BD313" s="117"/>
      <c r="BE313" s="117"/>
      <c r="BF313" s="110"/>
      <c r="BG313" s="4"/>
      <c r="BH313" s="111"/>
      <c r="BI313" s="112"/>
      <c r="BJ313" s="112"/>
      <c r="BK313" s="110"/>
      <c r="BL313" s="113"/>
      <c r="BM313" s="114"/>
      <c r="BN313" s="114"/>
      <c r="BO313" s="110"/>
      <c r="BP313" s="113"/>
      <c r="BQ313" s="114"/>
      <c r="BR313" s="110"/>
      <c r="BS313" s="113"/>
      <c r="DI313" s="13"/>
      <c r="DJ313" s="13"/>
      <c r="DK313" s="13"/>
      <c r="DL313" s="13"/>
      <c r="DM313" s="13"/>
      <c r="DR313" s="29"/>
      <c r="DS313" s="29"/>
      <c r="DT313" s="29"/>
      <c r="DU313" s="29"/>
      <c r="DV313" s="29"/>
      <c r="DW313" s="29"/>
      <c r="DX313" s="29"/>
      <c r="DY313" s="29"/>
      <c r="DZ313" s="29"/>
      <c r="EA313" s="140"/>
      <c r="EB313" s="117"/>
      <c r="EC313" s="117"/>
      <c r="ED313" s="117"/>
      <c r="EE313" s="117"/>
      <c r="EF313" s="110"/>
      <c r="EG313" s="4"/>
      <c r="EH313" s="111"/>
      <c r="EI313" s="112"/>
      <c r="EJ313" s="112"/>
      <c r="EK313" s="110"/>
      <c r="EL313" s="113"/>
      <c r="EM313" s="114"/>
      <c r="EN313" s="114"/>
      <c r="EO313" s="110"/>
      <c r="EP313" s="113"/>
      <c r="EQ313" s="114"/>
      <c r="ER313" s="110"/>
      <c r="ES313" s="113"/>
    </row>
    <row r="314" spans="35:149">
      <c r="AI314" s="13"/>
      <c r="AJ314" s="13"/>
      <c r="AK314" s="13"/>
      <c r="AL314" s="13"/>
      <c r="AM314" s="13"/>
      <c r="AR314" s="29"/>
      <c r="AS314" s="29"/>
      <c r="AT314" s="29"/>
      <c r="AU314" s="29"/>
      <c r="AV314" s="29"/>
      <c r="AW314" s="29"/>
      <c r="AX314" s="29"/>
      <c r="AY314" s="29"/>
      <c r="AZ314" s="29"/>
      <c r="BA314" s="140"/>
      <c r="BB314" s="117"/>
      <c r="BC314" s="117"/>
      <c r="BD314" s="117"/>
      <c r="BE314" s="117"/>
      <c r="BF314" s="110"/>
      <c r="BG314" s="4"/>
      <c r="BH314" s="111"/>
      <c r="BI314" s="112"/>
      <c r="BJ314" s="112"/>
      <c r="BK314" s="110"/>
      <c r="BL314" s="113"/>
      <c r="BM314" s="114"/>
      <c r="BN314" s="114"/>
      <c r="BO314" s="110"/>
      <c r="BP314" s="113"/>
      <c r="BQ314" s="114"/>
      <c r="BR314" s="110"/>
      <c r="BS314" s="113"/>
      <c r="DI314" s="13"/>
      <c r="DJ314" s="13"/>
      <c r="DK314" s="13"/>
      <c r="DL314" s="13"/>
      <c r="DM314" s="13"/>
      <c r="DR314" s="29"/>
      <c r="DS314" s="29"/>
      <c r="DT314" s="29"/>
      <c r="DU314" s="29"/>
      <c r="DV314" s="29"/>
      <c r="DW314" s="29"/>
      <c r="DX314" s="29"/>
      <c r="DY314" s="29"/>
      <c r="DZ314" s="29"/>
      <c r="EA314" s="140"/>
      <c r="EB314" s="117"/>
      <c r="EC314" s="117"/>
      <c r="ED314" s="117"/>
      <c r="EE314" s="117"/>
      <c r="EF314" s="110"/>
      <c r="EG314" s="4"/>
      <c r="EH314" s="111"/>
      <c r="EI314" s="112"/>
      <c r="EJ314" s="112"/>
      <c r="EK314" s="110"/>
      <c r="EL314" s="113"/>
      <c r="EM314" s="114"/>
      <c r="EN314" s="114"/>
      <c r="EO314" s="110"/>
      <c r="EP314" s="113"/>
      <c r="EQ314" s="114"/>
      <c r="ER314" s="110"/>
      <c r="ES314" s="113"/>
    </row>
    <row r="315" spans="35:149">
      <c r="AI315" s="13"/>
      <c r="AJ315" s="13"/>
      <c r="AK315" s="13"/>
      <c r="AL315" s="13"/>
      <c r="AM315" s="13"/>
      <c r="AR315" s="29"/>
      <c r="AS315" s="29"/>
      <c r="AT315" s="29"/>
      <c r="AU315" s="29"/>
      <c r="AV315" s="29"/>
      <c r="AW315" s="29"/>
      <c r="AX315" s="29"/>
      <c r="AY315" s="29"/>
      <c r="AZ315" s="29"/>
      <c r="BA315" s="140"/>
      <c r="BB315" s="117"/>
      <c r="BC315" s="117"/>
      <c r="BD315" s="117"/>
      <c r="BE315" s="117"/>
      <c r="BF315" s="110"/>
      <c r="BG315" s="4"/>
      <c r="BH315" s="111"/>
      <c r="BI315" s="112"/>
      <c r="BJ315" s="112"/>
      <c r="BK315" s="110"/>
      <c r="BL315" s="113"/>
      <c r="BM315" s="114"/>
      <c r="BN315" s="114"/>
      <c r="BO315" s="110"/>
      <c r="BP315" s="113"/>
      <c r="BQ315" s="114"/>
      <c r="BR315" s="110"/>
      <c r="BS315" s="113"/>
      <c r="DI315" s="13"/>
      <c r="DJ315" s="13"/>
      <c r="DK315" s="13"/>
      <c r="DL315" s="13"/>
      <c r="DM315" s="13"/>
      <c r="DR315" s="29"/>
      <c r="DS315" s="29"/>
      <c r="DT315" s="29"/>
      <c r="DU315" s="29"/>
      <c r="DV315" s="29"/>
      <c r="DW315" s="29"/>
      <c r="DX315" s="29"/>
      <c r="DY315" s="29"/>
      <c r="DZ315" s="29"/>
      <c r="EA315" s="140"/>
      <c r="EB315" s="117"/>
      <c r="EC315" s="117"/>
      <c r="ED315" s="117"/>
      <c r="EE315" s="117"/>
      <c r="EF315" s="110"/>
      <c r="EG315" s="4"/>
      <c r="EH315" s="111"/>
      <c r="EI315" s="112"/>
      <c r="EJ315" s="112"/>
      <c r="EK315" s="110"/>
      <c r="EL315" s="113"/>
      <c r="EM315" s="114"/>
      <c r="EN315" s="114"/>
      <c r="EO315" s="110"/>
      <c r="EP315" s="113"/>
      <c r="EQ315" s="114"/>
      <c r="ER315" s="110"/>
      <c r="ES315" s="113"/>
    </row>
    <row r="316" spans="35:149">
      <c r="AI316" s="13"/>
      <c r="AJ316" s="13"/>
      <c r="AK316" s="13"/>
      <c r="AL316" s="13"/>
      <c r="AM316" s="13"/>
      <c r="AR316" s="29"/>
      <c r="AS316" s="29"/>
      <c r="AT316" s="29"/>
      <c r="AU316" s="29"/>
      <c r="AV316" s="29"/>
      <c r="AW316" s="29"/>
      <c r="AX316" s="29"/>
      <c r="AY316" s="29"/>
      <c r="AZ316" s="29"/>
      <c r="BA316" s="140"/>
      <c r="BB316" s="117"/>
      <c r="BC316" s="117"/>
      <c r="BD316" s="117"/>
      <c r="BE316" s="117"/>
      <c r="BF316" s="110"/>
      <c r="BG316" s="4"/>
      <c r="BH316" s="111"/>
      <c r="BI316" s="112"/>
      <c r="BJ316" s="112"/>
      <c r="BK316" s="110"/>
      <c r="BL316" s="113"/>
      <c r="BM316" s="114"/>
      <c r="BN316" s="114"/>
      <c r="BO316" s="110"/>
      <c r="BP316" s="113"/>
      <c r="BQ316" s="114"/>
      <c r="BR316" s="110"/>
      <c r="BS316" s="113"/>
      <c r="DI316" s="13"/>
      <c r="DJ316" s="13"/>
      <c r="DK316" s="13"/>
      <c r="DL316" s="13"/>
      <c r="DM316" s="13"/>
      <c r="DR316" s="29"/>
      <c r="DS316" s="29"/>
      <c r="DT316" s="29"/>
      <c r="DU316" s="29"/>
      <c r="DV316" s="29"/>
      <c r="DW316" s="29"/>
      <c r="DX316" s="29"/>
      <c r="DY316" s="29"/>
      <c r="DZ316" s="29"/>
      <c r="EA316" s="140"/>
      <c r="EB316" s="117"/>
      <c r="EC316" s="117"/>
      <c r="ED316" s="117"/>
      <c r="EE316" s="117"/>
      <c r="EF316" s="110"/>
      <c r="EG316" s="4"/>
      <c r="EH316" s="111"/>
      <c r="EI316" s="112"/>
      <c r="EJ316" s="112"/>
      <c r="EK316" s="110"/>
      <c r="EL316" s="113"/>
      <c r="EM316" s="114"/>
      <c r="EN316" s="114"/>
      <c r="EO316" s="110"/>
      <c r="EP316" s="113"/>
      <c r="EQ316" s="114"/>
      <c r="ER316" s="110"/>
      <c r="ES316" s="113"/>
    </row>
    <row r="317" spans="35:149">
      <c r="AI317" s="13"/>
      <c r="AJ317" s="13"/>
      <c r="AK317" s="13"/>
      <c r="AL317" s="13"/>
      <c r="AM317" s="13"/>
      <c r="AR317" s="29"/>
      <c r="AS317" s="29"/>
      <c r="AT317" s="29"/>
      <c r="AU317" s="29"/>
      <c r="AV317" s="29"/>
      <c r="AW317" s="29"/>
      <c r="AX317" s="29"/>
      <c r="AY317" s="29"/>
      <c r="AZ317" s="29"/>
      <c r="BA317" s="140"/>
      <c r="BB317" s="117"/>
      <c r="BC317" s="117"/>
      <c r="BD317" s="117"/>
      <c r="BE317" s="117"/>
      <c r="BF317" s="110"/>
      <c r="BG317" s="4"/>
      <c r="BH317" s="111"/>
      <c r="BI317" s="112"/>
      <c r="BJ317" s="112"/>
      <c r="BK317" s="110"/>
      <c r="BL317" s="113"/>
      <c r="BM317" s="114"/>
      <c r="BN317" s="114"/>
      <c r="BO317" s="110"/>
      <c r="BP317" s="113"/>
      <c r="BQ317" s="114"/>
      <c r="BR317" s="110"/>
      <c r="BS317" s="113"/>
      <c r="DI317" s="13"/>
      <c r="DJ317" s="13"/>
      <c r="DK317" s="13"/>
      <c r="DL317" s="13"/>
      <c r="DM317" s="13"/>
      <c r="DR317" s="29"/>
      <c r="DS317" s="29"/>
      <c r="DT317" s="29"/>
      <c r="DU317" s="29"/>
      <c r="DV317" s="29"/>
      <c r="DW317" s="29"/>
      <c r="DX317" s="29"/>
      <c r="DY317" s="29"/>
      <c r="DZ317" s="29"/>
      <c r="EA317" s="140"/>
      <c r="EB317" s="117"/>
      <c r="EC317" s="117"/>
      <c r="ED317" s="117"/>
      <c r="EE317" s="117"/>
      <c r="EF317" s="110"/>
      <c r="EG317" s="4"/>
      <c r="EH317" s="111"/>
      <c r="EI317" s="112"/>
      <c r="EJ317" s="112"/>
      <c r="EK317" s="110"/>
      <c r="EL317" s="113"/>
      <c r="EM317" s="114"/>
      <c r="EN317" s="114"/>
      <c r="EO317" s="110"/>
      <c r="EP317" s="113"/>
      <c r="EQ317" s="114"/>
      <c r="ER317" s="110"/>
      <c r="ES317" s="113"/>
    </row>
    <row r="318" spans="35:149">
      <c r="AI318" s="13"/>
      <c r="AJ318" s="13"/>
      <c r="AK318" s="13"/>
      <c r="AL318" s="13"/>
      <c r="AM318" s="13"/>
      <c r="AR318" s="29"/>
      <c r="AS318" s="29"/>
      <c r="AT318" s="29"/>
      <c r="AU318" s="29"/>
      <c r="AV318" s="29"/>
      <c r="AW318" s="29"/>
      <c r="AX318" s="29"/>
      <c r="AY318" s="29"/>
      <c r="AZ318" s="29"/>
      <c r="BA318" s="140"/>
      <c r="BB318" s="117"/>
      <c r="BC318" s="117"/>
      <c r="BD318" s="117"/>
      <c r="BE318" s="117"/>
      <c r="BF318" s="110"/>
      <c r="BG318" s="4"/>
      <c r="BH318" s="111"/>
      <c r="BI318" s="112"/>
      <c r="BJ318" s="112"/>
      <c r="BK318" s="110"/>
      <c r="BL318" s="113"/>
      <c r="BM318" s="114"/>
      <c r="BN318" s="114"/>
      <c r="BO318" s="110"/>
      <c r="BP318" s="113"/>
      <c r="BQ318" s="114"/>
      <c r="BR318" s="110"/>
      <c r="BS318" s="113"/>
      <c r="DI318" s="13"/>
      <c r="DJ318" s="13"/>
      <c r="DK318" s="13"/>
      <c r="DL318" s="13"/>
      <c r="DM318" s="13"/>
      <c r="DR318" s="29"/>
      <c r="DS318" s="29"/>
      <c r="DT318" s="29"/>
      <c r="DU318" s="29"/>
      <c r="DV318" s="29"/>
      <c r="DW318" s="29"/>
      <c r="DX318" s="29"/>
      <c r="DY318" s="29"/>
      <c r="DZ318" s="29"/>
      <c r="EA318" s="140"/>
      <c r="EB318" s="117"/>
      <c r="EC318" s="117"/>
      <c r="ED318" s="117"/>
      <c r="EE318" s="117"/>
      <c r="EF318" s="110"/>
      <c r="EG318" s="4"/>
      <c r="EH318" s="111"/>
      <c r="EI318" s="112"/>
      <c r="EJ318" s="112"/>
      <c r="EK318" s="110"/>
      <c r="EL318" s="113"/>
      <c r="EM318" s="114"/>
      <c r="EN318" s="114"/>
      <c r="EO318" s="110"/>
      <c r="EP318" s="113"/>
      <c r="EQ318" s="114"/>
      <c r="ER318" s="110"/>
      <c r="ES318" s="113"/>
    </row>
    <row r="319" spans="35:149">
      <c r="AI319" s="13"/>
      <c r="AJ319" s="13"/>
      <c r="AK319" s="13"/>
      <c r="AL319" s="13"/>
      <c r="AM319" s="13"/>
      <c r="AR319" s="29"/>
      <c r="AS319" s="29"/>
      <c r="AT319" s="29"/>
      <c r="AU319" s="29"/>
      <c r="AV319" s="29"/>
      <c r="AW319" s="29"/>
      <c r="AX319" s="29"/>
      <c r="AY319" s="29"/>
      <c r="AZ319" s="29"/>
      <c r="BA319" s="140"/>
      <c r="BB319" s="117"/>
      <c r="BC319" s="117"/>
      <c r="BD319" s="117"/>
      <c r="BE319" s="117"/>
      <c r="BF319" s="110"/>
      <c r="BG319" s="4"/>
      <c r="BH319" s="111"/>
      <c r="BI319" s="112"/>
      <c r="BJ319" s="112"/>
      <c r="BK319" s="110"/>
      <c r="BL319" s="113"/>
      <c r="BM319" s="114"/>
      <c r="BN319" s="114"/>
      <c r="BO319" s="110"/>
      <c r="BP319" s="113"/>
      <c r="BQ319" s="114"/>
      <c r="BR319" s="110"/>
      <c r="BS319" s="113"/>
      <c r="DI319" s="13"/>
      <c r="DJ319" s="13"/>
      <c r="DK319" s="13"/>
      <c r="DL319" s="13"/>
      <c r="DM319" s="13"/>
      <c r="DR319" s="29"/>
      <c r="DS319" s="29"/>
      <c r="DT319" s="29"/>
      <c r="DU319" s="29"/>
      <c r="DV319" s="29"/>
      <c r="DW319" s="29"/>
      <c r="DX319" s="29"/>
      <c r="DY319" s="29"/>
      <c r="DZ319" s="29"/>
      <c r="EA319" s="140"/>
      <c r="EB319" s="117"/>
      <c r="EC319" s="117"/>
      <c r="ED319" s="117"/>
      <c r="EE319" s="117"/>
      <c r="EF319" s="110"/>
      <c r="EG319" s="4"/>
      <c r="EH319" s="111"/>
      <c r="EI319" s="112"/>
      <c r="EJ319" s="112"/>
      <c r="EK319" s="110"/>
      <c r="EL319" s="113"/>
      <c r="EM319" s="114"/>
      <c r="EN319" s="114"/>
      <c r="EO319" s="110"/>
      <c r="EP319" s="113"/>
      <c r="EQ319" s="114"/>
      <c r="ER319" s="110"/>
      <c r="ES319" s="113"/>
    </row>
    <row r="320" spans="35:149">
      <c r="AI320" s="13"/>
      <c r="AJ320" s="13"/>
      <c r="AK320" s="13"/>
      <c r="AL320" s="13"/>
      <c r="AM320" s="13"/>
      <c r="AR320" s="29"/>
      <c r="AS320" s="29"/>
      <c r="AT320" s="29"/>
      <c r="AU320" s="29"/>
      <c r="AV320" s="29"/>
      <c r="AW320" s="29"/>
      <c r="AX320" s="29"/>
      <c r="AY320" s="29"/>
      <c r="AZ320" s="29"/>
      <c r="BA320" s="140"/>
      <c r="BB320" s="117"/>
      <c r="BC320" s="117"/>
      <c r="BD320" s="117"/>
      <c r="BE320" s="117"/>
      <c r="BF320" s="110"/>
      <c r="BG320" s="4"/>
      <c r="BH320" s="111"/>
      <c r="BI320" s="112"/>
      <c r="BJ320" s="112"/>
      <c r="BK320" s="110"/>
      <c r="BL320" s="113"/>
      <c r="BM320" s="114"/>
      <c r="BN320" s="114"/>
      <c r="BO320" s="110"/>
      <c r="BP320" s="113"/>
      <c r="BQ320" s="114"/>
      <c r="BR320" s="110"/>
      <c r="BS320" s="113"/>
      <c r="DI320" s="13"/>
      <c r="DJ320" s="13"/>
      <c r="DK320" s="13"/>
      <c r="DL320" s="13"/>
      <c r="DM320" s="13"/>
      <c r="DR320" s="29"/>
      <c r="DS320" s="29"/>
      <c r="DT320" s="29"/>
      <c r="DU320" s="29"/>
      <c r="DV320" s="29"/>
      <c r="DW320" s="29"/>
      <c r="DX320" s="29"/>
      <c r="DY320" s="29"/>
      <c r="DZ320" s="29"/>
      <c r="EA320" s="140"/>
      <c r="EB320" s="117"/>
      <c r="EC320" s="117"/>
      <c r="ED320" s="117"/>
      <c r="EE320" s="117"/>
      <c r="EF320" s="110"/>
      <c r="EG320" s="4"/>
      <c r="EH320" s="111"/>
      <c r="EI320" s="112"/>
      <c r="EJ320" s="112"/>
      <c r="EK320" s="110"/>
      <c r="EL320" s="113"/>
      <c r="EM320" s="114"/>
      <c r="EN320" s="114"/>
      <c r="EO320" s="110"/>
      <c r="EP320" s="113"/>
      <c r="EQ320" s="114"/>
      <c r="ER320" s="110"/>
      <c r="ES320" s="113"/>
    </row>
    <row r="321" spans="35:149">
      <c r="AI321" s="13"/>
      <c r="AJ321" s="13"/>
      <c r="AK321" s="13"/>
      <c r="AL321" s="13"/>
      <c r="AM321" s="13"/>
      <c r="AR321" s="29"/>
      <c r="AS321" s="29"/>
      <c r="AT321" s="29"/>
      <c r="AU321" s="29"/>
      <c r="AV321" s="29"/>
      <c r="AW321" s="29"/>
      <c r="AX321" s="29"/>
      <c r="AY321" s="29"/>
      <c r="AZ321" s="29"/>
      <c r="BA321" s="140"/>
      <c r="BB321" s="117"/>
      <c r="BC321" s="117"/>
      <c r="BD321" s="117"/>
      <c r="BE321" s="117"/>
      <c r="BF321" s="110"/>
      <c r="BG321" s="4"/>
      <c r="BH321" s="111"/>
      <c r="BI321" s="112"/>
      <c r="BJ321" s="112"/>
      <c r="BK321" s="110"/>
      <c r="BL321" s="113"/>
      <c r="BM321" s="114"/>
      <c r="BN321" s="114"/>
      <c r="BO321" s="110"/>
      <c r="BP321" s="113"/>
      <c r="BQ321" s="114"/>
      <c r="BR321" s="110"/>
      <c r="BS321" s="113"/>
      <c r="DI321" s="13"/>
      <c r="DJ321" s="13"/>
      <c r="DK321" s="13"/>
      <c r="DL321" s="13"/>
      <c r="DM321" s="13"/>
      <c r="DR321" s="29"/>
      <c r="DS321" s="29"/>
      <c r="DT321" s="29"/>
      <c r="DU321" s="29"/>
      <c r="DV321" s="29"/>
      <c r="DW321" s="29"/>
      <c r="DX321" s="29"/>
      <c r="DY321" s="29"/>
      <c r="DZ321" s="29"/>
      <c r="EA321" s="140"/>
      <c r="EB321" s="117"/>
      <c r="EC321" s="117"/>
      <c r="ED321" s="117"/>
      <c r="EE321" s="117"/>
      <c r="EF321" s="110"/>
      <c r="EG321" s="4"/>
      <c r="EH321" s="111"/>
      <c r="EI321" s="112"/>
      <c r="EJ321" s="112"/>
      <c r="EK321" s="110"/>
      <c r="EL321" s="113"/>
      <c r="EM321" s="114"/>
      <c r="EN321" s="114"/>
      <c r="EO321" s="110"/>
      <c r="EP321" s="113"/>
      <c r="EQ321" s="114"/>
      <c r="ER321" s="110"/>
      <c r="ES321" s="113"/>
    </row>
    <row r="322" spans="35:149">
      <c r="AI322" s="13"/>
      <c r="AJ322" s="13"/>
      <c r="AK322" s="13"/>
      <c r="AL322" s="13"/>
      <c r="AM322" s="13"/>
      <c r="AR322" s="29"/>
      <c r="AS322" s="29"/>
      <c r="AT322" s="29"/>
      <c r="AU322" s="29"/>
      <c r="AV322" s="29"/>
      <c r="AW322" s="29"/>
      <c r="AX322" s="29"/>
      <c r="AY322" s="29"/>
      <c r="AZ322" s="29"/>
      <c r="BA322" s="140"/>
      <c r="BB322" s="117"/>
      <c r="BC322" s="117"/>
      <c r="BD322" s="117"/>
      <c r="BE322" s="117"/>
      <c r="BF322" s="110"/>
      <c r="BG322" s="4"/>
      <c r="BH322" s="111"/>
      <c r="BI322" s="112"/>
      <c r="BJ322" s="112"/>
      <c r="BK322" s="110"/>
      <c r="BL322" s="113"/>
      <c r="BM322" s="114"/>
      <c r="BN322" s="114"/>
      <c r="BO322" s="110"/>
      <c r="BP322" s="113"/>
      <c r="BQ322" s="114"/>
      <c r="BR322" s="110"/>
      <c r="BS322" s="113"/>
      <c r="DI322" s="13"/>
      <c r="DJ322" s="13"/>
      <c r="DK322" s="13"/>
      <c r="DL322" s="13"/>
      <c r="DM322" s="13"/>
      <c r="DR322" s="29"/>
      <c r="DS322" s="29"/>
      <c r="DT322" s="29"/>
      <c r="DU322" s="29"/>
      <c r="DV322" s="29"/>
      <c r="DW322" s="29"/>
      <c r="DX322" s="29"/>
      <c r="DY322" s="29"/>
      <c r="DZ322" s="29"/>
      <c r="EA322" s="140"/>
      <c r="EB322" s="117"/>
      <c r="EC322" s="117"/>
      <c r="ED322" s="117"/>
      <c r="EE322" s="117"/>
      <c r="EF322" s="110"/>
      <c r="EG322" s="4"/>
      <c r="EH322" s="111"/>
      <c r="EI322" s="112"/>
      <c r="EJ322" s="112"/>
      <c r="EK322" s="110"/>
      <c r="EL322" s="113"/>
      <c r="EM322" s="114"/>
      <c r="EN322" s="114"/>
      <c r="EO322" s="110"/>
      <c r="EP322" s="113"/>
      <c r="EQ322" s="114"/>
      <c r="ER322" s="110"/>
      <c r="ES322" s="113"/>
    </row>
    <row r="323" spans="35:149">
      <c r="AI323" s="13"/>
      <c r="AJ323" s="13"/>
      <c r="AK323" s="13"/>
      <c r="AL323" s="13"/>
      <c r="AM323" s="13"/>
      <c r="AR323" s="29"/>
      <c r="AS323" s="29"/>
      <c r="AT323" s="29"/>
      <c r="AU323" s="29"/>
      <c r="AV323" s="29"/>
      <c r="AW323" s="29"/>
      <c r="AX323" s="29"/>
      <c r="AY323" s="29"/>
      <c r="AZ323" s="29"/>
      <c r="BA323" s="140"/>
      <c r="BB323" s="117"/>
      <c r="BC323" s="117"/>
      <c r="BD323" s="117"/>
      <c r="BE323" s="117"/>
      <c r="BF323" s="110"/>
      <c r="BG323" s="4"/>
      <c r="BH323" s="111"/>
      <c r="BI323" s="112"/>
      <c r="BJ323" s="112"/>
      <c r="BK323" s="110"/>
      <c r="BL323" s="113"/>
      <c r="BM323" s="114"/>
      <c r="BN323" s="114"/>
      <c r="BO323" s="110"/>
      <c r="BP323" s="113"/>
      <c r="BQ323" s="114"/>
      <c r="BR323" s="110"/>
      <c r="BS323" s="113"/>
      <c r="DI323" s="13"/>
      <c r="DJ323" s="13"/>
      <c r="DK323" s="13"/>
      <c r="DL323" s="13"/>
      <c r="DM323" s="13"/>
      <c r="DR323" s="29"/>
      <c r="DS323" s="29"/>
      <c r="DT323" s="29"/>
      <c r="DU323" s="29"/>
      <c r="DV323" s="29"/>
      <c r="DW323" s="29"/>
      <c r="DX323" s="29"/>
      <c r="DY323" s="29"/>
      <c r="DZ323" s="29"/>
      <c r="EA323" s="140"/>
      <c r="EB323" s="117"/>
      <c r="EC323" s="117"/>
      <c r="ED323" s="117"/>
      <c r="EE323" s="117"/>
      <c r="EF323" s="110"/>
      <c r="EG323" s="4"/>
      <c r="EH323" s="111"/>
      <c r="EI323" s="112"/>
      <c r="EJ323" s="112"/>
      <c r="EK323" s="110"/>
      <c r="EL323" s="113"/>
      <c r="EM323" s="114"/>
      <c r="EN323" s="114"/>
      <c r="EO323" s="110"/>
      <c r="EP323" s="113"/>
      <c r="EQ323" s="114"/>
      <c r="ER323" s="110"/>
      <c r="ES323" s="113"/>
    </row>
    <row r="324" spans="35:149">
      <c r="AI324" s="13"/>
      <c r="AJ324" s="13"/>
      <c r="AK324" s="13"/>
      <c r="AL324" s="13"/>
      <c r="AM324" s="13"/>
      <c r="AR324" s="29"/>
      <c r="AS324" s="29"/>
      <c r="AT324" s="29"/>
      <c r="AU324" s="29"/>
      <c r="AV324" s="29"/>
      <c r="AW324" s="29"/>
      <c r="AX324" s="29"/>
      <c r="AY324" s="29"/>
      <c r="AZ324" s="29"/>
      <c r="BA324" s="140"/>
      <c r="BB324" s="117"/>
      <c r="BC324" s="117"/>
      <c r="BD324" s="117"/>
      <c r="BE324" s="117"/>
      <c r="BF324" s="110"/>
      <c r="BG324" s="4"/>
      <c r="BH324" s="111"/>
      <c r="BI324" s="112"/>
      <c r="BJ324" s="112"/>
      <c r="BK324" s="110"/>
      <c r="BL324" s="113"/>
      <c r="BM324" s="114"/>
      <c r="BN324" s="114"/>
      <c r="BO324" s="110"/>
      <c r="BP324" s="113"/>
      <c r="BQ324" s="114"/>
      <c r="BR324" s="110"/>
      <c r="BS324" s="113"/>
      <c r="DI324" s="13"/>
      <c r="DJ324" s="13"/>
      <c r="DK324" s="13"/>
      <c r="DL324" s="13"/>
      <c r="DM324" s="13"/>
      <c r="DR324" s="29"/>
      <c r="DS324" s="29"/>
      <c r="DT324" s="29"/>
      <c r="DU324" s="29"/>
      <c r="DV324" s="29"/>
      <c r="DW324" s="29"/>
      <c r="DX324" s="29"/>
      <c r="DY324" s="29"/>
      <c r="DZ324" s="29"/>
      <c r="EA324" s="140"/>
      <c r="EB324" s="117"/>
      <c r="EC324" s="117"/>
      <c r="ED324" s="117"/>
      <c r="EE324" s="117"/>
      <c r="EF324" s="110"/>
      <c r="EG324" s="4"/>
      <c r="EH324" s="111"/>
      <c r="EI324" s="112"/>
      <c r="EJ324" s="112"/>
      <c r="EK324" s="110"/>
      <c r="EL324" s="113"/>
      <c r="EM324" s="114"/>
      <c r="EN324" s="114"/>
      <c r="EO324" s="110"/>
      <c r="EP324" s="113"/>
      <c r="EQ324" s="114"/>
      <c r="ER324" s="110"/>
      <c r="ES324" s="113"/>
    </row>
    <row r="325" spans="35:149">
      <c r="AI325" s="13"/>
      <c r="AJ325" s="13"/>
      <c r="AK325" s="13"/>
      <c r="AL325" s="13"/>
      <c r="AM325" s="13"/>
      <c r="AR325" s="29"/>
      <c r="AS325" s="29"/>
      <c r="AT325" s="29"/>
      <c r="AU325" s="29"/>
      <c r="AV325" s="29"/>
      <c r="AW325" s="29"/>
      <c r="AX325" s="29"/>
      <c r="AY325" s="29"/>
      <c r="AZ325" s="29"/>
      <c r="BA325" s="140"/>
      <c r="BB325" s="117"/>
      <c r="BC325" s="117"/>
      <c r="BD325" s="117"/>
      <c r="BE325" s="117"/>
      <c r="BF325" s="110"/>
      <c r="BG325" s="4"/>
      <c r="BH325" s="111"/>
      <c r="BI325" s="112"/>
      <c r="BJ325" s="112"/>
      <c r="BK325" s="110"/>
      <c r="BL325" s="113"/>
      <c r="BM325" s="114"/>
      <c r="BN325" s="114"/>
      <c r="BO325" s="110"/>
      <c r="BP325" s="113"/>
      <c r="BQ325" s="114"/>
      <c r="BR325" s="110"/>
      <c r="BS325" s="113"/>
      <c r="DI325" s="13"/>
      <c r="DJ325" s="13"/>
      <c r="DK325" s="13"/>
      <c r="DL325" s="13"/>
      <c r="DM325" s="13"/>
      <c r="DR325" s="29"/>
      <c r="DS325" s="29"/>
      <c r="DT325" s="29"/>
      <c r="DU325" s="29"/>
      <c r="DV325" s="29"/>
      <c r="DW325" s="29"/>
      <c r="DX325" s="29"/>
      <c r="DY325" s="29"/>
      <c r="DZ325" s="29"/>
      <c r="EA325" s="140"/>
      <c r="EB325" s="117"/>
      <c r="EC325" s="117"/>
      <c r="ED325" s="117"/>
      <c r="EE325" s="117"/>
      <c r="EF325" s="110"/>
      <c r="EG325" s="4"/>
      <c r="EH325" s="111"/>
      <c r="EI325" s="112"/>
      <c r="EJ325" s="112"/>
      <c r="EK325" s="110"/>
      <c r="EL325" s="113"/>
      <c r="EM325" s="114"/>
      <c r="EN325" s="114"/>
      <c r="EO325" s="110"/>
      <c r="EP325" s="113"/>
      <c r="EQ325" s="114"/>
      <c r="ER325" s="110"/>
      <c r="ES325" s="113"/>
    </row>
    <row r="326" spans="35:149">
      <c r="AI326" s="13"/>
      <c r="AJ326" s="13"/>
      <c r="AK326" s="13"/>
      <c r="AL326" s="13"/>
      <c r="AM326" s="13"/>
      <c r="AR326" s="29"/>
      <c r="AS326" s="29"/>
      <c r="AT326" s="29"/>
      <c r="AU326" s="29"/>
      <c r="AV326" s="29"/>
      <c r="AW326" s="29"/>
      <c r="AX326" s="29"/>
      <c r="AY326" s="29"/>
      <c r="AZ326" s="29"/>
      <c r="BA326" s="140"/>
      <c r="BB326" s="117"/>
      <c r="BC326" s="117"/>
      <c r="BD326" s="117"/>
      <c r="BE326" s="117"/>
      <c r="BF326" s="110"/>
      <c r="BG326" s="4"/>
      <c r="BH326" s="111"/>
      <c r="BI326" s="112"/>
      <c r="BJ326" s="112"/>
      <c r="BK326" s="110"/>
      <c r="BL326" s="113"/>
      <c r="BM326" s="114"/>
      <c r="BN326" s="114"/>
      <c r="BO326" s="110"/>
      <c r="BP326" s="113"/>
      <c r="BQ326" s="114"/>
      <c r="BR326" s="110"/>
      <c r="BS326" s="113"/>
      <c r="DI326" s="13"/>
      <c r="DJ326" s="13"/>
      <c r="DK326" s="13"/>
      <c r="DL326" s="13"/>
      <c r="DM326" s="13"/>
      <c r="DR326" s="29"/>
      <c r="DS326" s="29"/>
      <c r="DT326" s="29"/>
      <c r="DU326" s="29"/>
      <c r="DV326" s="29"/>
      <c r="DW326" s="29"/>
      <c r="DX326" s="29"/>
      <c r="DY326" s="29"/>
      <c r="DZ326" s="29"/>
      <c r="EA326" s="140"/>
      <c r="EB326" s="117"/>
      <c r="EC326" s="117"/>
      <c r="ED326" s="117"/>
      <c r="EE326" s="117"/>
      <c r="EF326" s="110"/>
      <c r="EG326" s="4"/>
      <c r="EH326" s="111"/>
      <c r="EI326" s="112"/>
      <c r="EJ326" s="112"/>
      <c r="EK326" s="110"/>
      <c r="EL326" s="113"/>
      <c r="EM326" s="114"/>
      <c r="EN326" s="114"/>
      <c r="EO326" s="110"/>
      <c r="EP326" s="113"/>
      <c r="EQ326" s="114"/>
      <c r="ER326" s="110"/>
      <c r="ES326" s="113"/>
    </row>
    <row r="327" spans="35:149">
      <c r="AI327" s="13"/>
      <c r="AJ327" s="13"/>
      <c r="AK327" s="13"/>
      <c r="AL327" s="13"/>
      <c r="AM327" s="13"/>
      <c r="AR327" s="29"/>
      <c r="AS327" s="29"/>
      <c r="AT327" s="29"/>
      <c r="AU327" s="29"/>
      <c r="AV327" s="29"/>
      <c r="AW327" s="29"/>
      <c r="AX327" s="29"/>
      <c r="AY327" s="29"/>
      <c r="AZ327" s="29"/>
      <c r="BA327" s="140"/>
      <c r="BB327" s="117"/>
      <c r="BC327" s="117"/>
      <c r="BD327" s="117"/>
      <c r="BE327" s="117"/>
      <c r="BF327" s="110"/>
      <c r="BG327" s="4"/>
      <c r="BH327" s="111"/>
      <c r="BI327" s="112"/>
      <c r="BJ327" s="112"/>
      <c r="BK327" s="110"/>
      <c r="BL327" s="113"/>
      <c r="BM327" s="114"/>
      <c r="BN327" s="114"/>
      <c r="BO327" s="110"/>
      <c r="BP327" s="113"/>
      <c r="BQ327" s="114"/>
      <c r="BR327" s="110"/>
      <c r="BS327" s="113"/>
      <c r="DI327" s="13"/>
      <c r="DJ327" s="13"/>
      <c r="DK327" s="13"/>
      <c r="DL327" s="13"/>
      <c r="DM327" s="13"/>
      <c r="DR327" s="29"/>
      <c r="DS327" s="29"/>
      <c r="DT327" s="29"/>
      <c r="DU327" s="29"/>
      <c r="DV327" s="29"/>
      <c r="DW327" s="29"/>
      <c r="DX327" s="29"/>
      <c r="DY327" s="29"/>
      <c r="DZ327" s="29"/>
      <c r="EA327" s="140"/>
      <c r="EB327" s="117"/>
      <c r="EC327" s="117"/>
      <c r="ED327" s="117"/>
      <c r="EE327" s="117"/>
      <c r="EF327" s="110"/>
      <c r="EG327" s="4"/>
      <c r="EH327" s="111"/>
      <c r="EI327" s="112"/>
      <c r="EJ327" s="112"/>
      <c r="EK327" s="110"/>
      <c r="EL327" s="113"/>
      <c r="EM327" s="114"/>
      <c r="EN327" s="114"/>
      <c r="EO327" s="110"/>
      <c r="EP327" s="113"/>
      <c r="EQ327" s="114"/>
      <c r="ER327" s="110"/>
      <c r="ES327" s="113"/>
    </row>
    <row r="328" spans="35:149">
      <c r="AI328" s="13"/>
      <c r="AJ328" s="13"/>
      <c r="AK328" s="13"/>
      <c r="AL328" s="13"/>
      <c r="AM328" s="13"/>
      <c r="AR328" s="29"/>
      <c r="AS328" s="29"/>
      <c r="AT328" s="29"/>
      <c r="AU328" s="29"/>
      <c r="AV328" s="29"/>
      <c r="AW328" s="29"/>
      <c r="AX328" s="29"/>
      <c r="AY328" s="29"/>
      <c r="AZ328" s="29"/>
      <c r="BA328" s="140"/>
      <c r="BB328" s="117"/>
      <c r="BC328" s="117"/>
      <c r="BD328" s="117"/>
      <c r="BE328" s="117"/>
      <c r="BF328" s="110"/>
      <c r="BG328" s="4"/>
      <c r="BH328" s="111"/>
      <c r="BI328" s="112"/>
      <c r="BJ328" s="112"/>
      <c r="BK328" s="110"/>
      <c r="BL328" s="113"/>
      <c r="BM328" s="114"/>
      <c r="BN328" s="114"/>
      <c r="BO328" s="110"/>
      <c r="BP328" s="113"/>
      <c r="BQ328" s="114"/>
      <c r="BR328" s="110"/>
      <c r="BS328" s="113"/>
      <c r="DI328" s="13"/>
      <c r="DJ328" s="13"/>
      <c r="DK328" s="13"/>
      <c r="DL328" s="13"/>
      <c r="DM328" s="13"/>
      <c r="DR328" s="29"/>
      <c r="DS328" s="29"/>
      <c r="DT328" s="29"/>
      <c r="DU328" s="29"/>
      <c r="DV328" s="29"/>
      <c r="DW328" s="29"/>
      <c r="DX328" s="29"/>
      <c r="DY328" s="29"/>
      <c r="DZ328" s="29"/>
      <c r="EA328" s="140"/>
      <c r="EB328" s="117"/>
      <c r="EC328" s="117"/>
      <c r="ED328" s="117"/>
      <c r="EE328" s="117"/>
      <c r="EF328" s="110"/>
      <c r="EG328" s="4"/>
      <c r="EH328" s="111"/>
      <c r="EI328" s="112"/>
      <c r="EJ328" s="112"/>
      <c r="EK328" s="110"/>
      <c r="EL328" s="113"/>
      <c r="EM328" s="114"/>
      <c r="EN328" s="114"/>
      <c r="EO328" s="110"/>
      <c r="EP328" s="113"/>
      <c r="EQ328" s="114"/>
      <c r="ER328" s="110"/>
      <c r="ES328" s="113"/>
    </row>
    <row r="329" spans="35:149">
      <c r="AI329" s="13"/>
      <c r="AJ329" s="13"/>
      <c r="AK329" s="13"/>
      <c r="AL329" s="13"/>
      <c r="AM329" s="13"/>
      <c r="AR329" s="29"/>
      <c r="AS329" s="29"/>
      <c r="AT329" s="29"/>
      <c r="AU329" s="29"/>
      <c r="AV329" s="29"/>
      <c r="AW329" s="29"/>
      <c r="AX329" s="29"/>
      <c r="AY329" s="29"/>
      <c r="AZ329" s="29"/>
      <c r="BA329" s="140"/>
      <c r="BB329" s="117"/>
      <c r="BC329" s="117"/>
      <c r="BD329" s="117"/>
      <c r="BE329" s="117"/>
      <c r="BF329" s="110"/>
      <c r="BG329" s="4"/>
      <c r="BH329" s="111"/>
      <c r="BI329" s="112"/>
      <c r="BJ329" s="112"/>
      <c r="BK329" s="110"/>
      <c r="BL329" s="113"/>
      <c r="BM329" s="114"/>
      <c r="BN329" s="114"/>
      <c r="BO329" s="110"/>
      <c r="BP329" s="113"/>
      <c r="BQ329" s="114"/>
      <c r="BR329" s="110"/>
      <c r="BS329" s="113"/>
      <c r="DI329" s="13"/>
      <c r="DJ329" s="13"/>
      <c r="DK329" s="13"/>
      <c r="DL329" s="13"/>
      <c r="DM329" s="13"/>
      <c r="DR329" s="29"/>
      <c r="DS329" s="29"/>
      <c r="DT329" s="29"/>
      <c r="DU329" s="29"/>
      <c r="DV329" s="29"/>
      <c r="DW329" s="29"/>
      <c r="DX329" s="29"/>
      <c r="DY329" s="29"/>
      <c r="DZ329" s="29"/>
      <c r="EA329" s="140"/>
      <c r="EB329" s="117"/>
      <c r="EC329" s="117"/>
      <c r="ED329" s="117"/>
      <c r="EE329" s="117"/>
      <c r="EF329" s="110"/>
      <c r="EG329" s="4"/>
      <c r="EH329" s="111"/>
      <c r="EI329" s="112"/>
      <c r="EJ329" s="112"/>
      <c r="EK329" s="110"/>
      <c r="EL329" s="113"/>
      <c r="EM329" s="114"/>
      <c r="EN329" s="114"/>
      <c r="EO329" s="110"/>
      <c r="EP329" s="113"/>
      <c r="EQ329" s="114"/>
      <c r="ER329" s="110"/>
      <c r="ES329" s="113"/>
    </row>
    <row r="330" spans="35:149">
      <c r="AI330" s="13"/>
      <c r="AJ330" s="13"/>
      <c r="AK330" s="13"/>
      <c r="AL330" s="13"/>
      <c r="AM330" s="13"/>
      <c r="AR330" s="29"/>
      <c r="AS330" s="29"/>
      <c r="AT330" s="29"/>
      <c r="AU330" s="29"/>
      <c r="AV330" s="29"/>
      <c r="AW330" s="29"/>
      <c r="AX330" s="29"/>
      <c r="AY330" s="29"/>
      <c r="AZ330" s="29"/>
      <c r="BA330" s="140"/>
      <c r="BB330" s="117"/>
      <c r="BC330" s="117"/>
      <c r="BD330" s="117"/>
      <c r="BE330" s="117"/>
      <c r="BF330" s="110"/>
      <c r="BG330" s="4"/>
      <c r="BH330" s="111"/>
      <c r="BI330" s="112"/>
      <c r="BJ330" s="112"/>
      <c r="BK330" s="110"/>
      <c r="BL330" s="113"/>
      <c r="BM330" s="114"/>
      <c r="BN330" s="114"/>
      <c r="BO330" s="110"/>
      <c r="BP330" s="113"/>
      <c r="BQ330" s="114"/>
      <c r="BR330" s="110"/>
      <c r="BS330" s="113"/>
      <c r="DI330" s="13"/>
      <c r="DJ330" s="13"/>
      <c r="DK330" s="13"/>
      <c r="DL330" s="13"/>
      <c r="DM330" s="13"/>
      <c r="DR330" s="29"/>
      <c r="DS330" s="29"/>
      <c r="DT330" s="29"/>
      <c r="DU330" s="29"/>
      <c r="DV330" s="29"/>
      <c r="DW330" s="29"/>
      <c r="DX330" s="29"/>
      <c r="DY330" s="29"/>
      <c r="DZ330" s="29"/>
      <c r="EA330" s="140"/>
      <c r="EB330" s="117"/>
      <c r="EC330" s="117"/>
      <c r="ED330" s="117"/>
      <c r="EE330" s="117"/>
      <c r="EF330" s="110"/>
      <c r="EG330" s="4"/>
      <c r="EH330" s="111"/>
      <c r="EI330" s="112"/>
      <c r="EJ330" s="112"/>
      <c r="EK330" s="110"/>
      <c r="EL330" s="113"/>
      <c r="EM330" s="114"/>
      <c r="EN330" s="114"/>
      <c r="EO330" s="110"/>
      <c r="EP330" s="113"/>
      <c r="EQ330" s="114"/>
      <c r="ER330" s="110"/>
      <c r="ES330" s="113"/>
    </row>
    <row r="331" spans="35:149">
      <c r="AI331" s="13"/>
      <c r="AJ331" s="13"/>
      <c r="AK331" s="13"/>
      <c r="AL331" s="13"/>
      <c r="AM331" s="13"/>
      <c r="AR331" s="29"/>
      <c r="AS331" s="29"/>
      <c r="AT331" s="29"/>
      <c r="AU331" s="29"/>
      <c r="AV331" s="29"/>
      <c r="AW331" s="29"/>
      <c r="AX331" s="29"/>
      <c r="AY331" s="29"/>
      <c r="AZ331" s="29"/>
      <c r="BA331" s="140"/>
      <c r="BB331" s="117"/>
      <c r="BC331" s="117"/>
      <c r="BD331" s="117"/>
      <c r="BE331" s="117"/>
      <c r="BF331" s="110"/>
      <c r="BG331" s="4"/>
      <c r="BH331" s="111"/>
      <c r="BI331" s="112"/>
      <c r="BJ331" s="112"/>
      <c r="BK331" s="110"/>
      <c r="BL331" s="113"/>
      <c r="BM331" s="114"/>
      <c r="BN331" s="114"/>
      <c r="BO331" s="110"/>
      <c r="BP331" s="113"/>
      <c r="BQ331" s="114"/>
      <c r="BR331" s="110"/>
      <c r="BS331" s="113"/>
      <c r="DI331" s="13"/>
      <c r="DJ331" s="13"/>
      <c r="DK331" s="13"/>
      <c r="DL331" s="13"/>
      <c r="DM331" s="13"/>
      <c r="DR331" s="29"/>
      <c r="DS331" s="29"/>
      <c r="DT331" s="29"/>
      <c r="DU331" s="29"/>
      <c r="DV331" s="29"/>
      <c r="DW331" s="29"/>
      <c r="DX331" s="29"/>
      <c r="DY331" s="29"/>
      <c r="DZ331" s="29"/>
      <c r="EA331" s="140"/>
      <c r="EB331" s="117"/>
      <c r="EC331" s="117"/>
      <c r="ED331" s="117"/>
      <c r="EE331" s="117"/>
      <c r="EF331" s="110"/>
      <c r="EG331" s="4"/>
      <c r="EH331" s="111"/>
      <c r="EI331" s="112"/>
      <c r="EJ331" s="112"/>
      <c r="EK331" s="110"/>
      <c r="EL331" s="113"/>
      <c r="EM331" s="114"/>
      <c r="EN331" s="114"/>
      <c r="EO331" s="110"/>
      <c r="EP331" s="113"/>
      <c r="EQ331" s="114"/>
      <c r="ER331" s="110"/>
      <c r="ES331" s="113"/>
    </row>
    <row r="332" spans="35:149">
      <c r="AI332" s="13"/>
      <c r="AJ332" s="13"/>
      <c r="AK332" s="13"/>
      <c r="AL332" s="13"/>
      <c r="AM332" s="13"/>
      <c r="AR332" s="29"/>
      <c r="AS332" s="29"/>
      <c r="AT332" s="29"/>
      <c r="AU332" s="29"/>
      <c r="AV332" s="29"/>
      <c r="AW332" s="29"/>
      <c r="AX332" s="29"/>
      <c r="AY332" s="29"/>
      <c r="AZ332" s="29"/>
      <c r="BA332" s="140"/>
      <c r="BB332" s="117"/>
      <c r="BC332" s="117"/>
      <c r="BD332" s="117"/>
      <c r="BE332" s="117"/>
      <c r="BF332" s="110"/>
      <c r="BG332" s="4"/>
      <c r="BH332" s="111"/>
      <c r="BI332" s="112"/>
      <c r="BJ332" s="112"/>
      <c r="BK332" s="110"/>
      <c r="BL332" s="113"/>
      <c r="BM332" s="114"/>
      <c r="BN332" s="114"/>
      <c r="BO332" s="110"/>
      <c r="BP332" s="113"/>
      <c r="BQ332" s="114"/>
      <c r="BR332" s="110"/>
      <c r="BS332" s="113"/>
      <c r="DI332" s="13"/>
      <c r="DJ332" s="13"/>
      <c r="DK332" s="13"/>
      <c r="DL332" s="13"/>
      <c r="DM332" s="13"/>
      <c r="DR332" s="29"/>
      <c r="DS332" s="29"/>
      <c r="DT332" s="29"/>
      <c r="DU332" s="29"/>
      <c r="DV332" s="29"/>
      <c r="DW332" s="29"/>
      <c r="DX332" s="29"/>
      <c r="DY332" s="29"/>
      <c r="DZ332" s="29"/>
      <c r="EA332" s="140"/>
      <c r="EB332" s="117"/>
      <c r="EC332" s="117"/>
      <c r="ED332" s="117"/>
      <c r="EE332" s="117"/>
      <c r="EF332" s="110"/>
      <c r="EG332" s="4"/>
      <c r="EH332" s="111"/>
      <c r="EI332" s="112"/>
      <c r="EJ332" s="112"/>
      <c r="EK332" s="110"/>
      <c r="EL332" s="113"/>
      <c r="EM332" s="114"/>
      <c r="EN332" s="114"/>
      <c r="EO332" s="110"/>
      <c r="EP332" s="113"/>
      <c r="EQ332" s="114"/>
      <c r="ER332" s="110"/>
      <c r="ES332" s="113"/>
    </row>
    <row r="333" spans="35:149">
      <c r="AI333" s="13"/>
      <c r="AJ333" s="13"/>
      <c r="AK333" s="13"/>
      <c r="AL333" s="13"/>
      <c r="AM333" s="13"/>
      <c r="AR333" s="29"/>
      <c r="AS333" s="29"/>
      <c r="AT333" s="29"/>
      <c r="AU333" s="29"/>
      <c r="AV333" s="29"/>
      <c r="AW333" s="29"/>
      <c r="AX333" s="29"/>
      <c r="AY333" s="29"/>
      <c r="AZ333" s="29"/>
      <c r="BA333" s="140"/>
      <c r="BB333" s="117"/>
      <c r="BC333" s="117"/>
      <c r="BD333" s="117"/>
      <c r="BE333" s="117"/>
      <c r="BF333" s="110"/>
      <c r="BG333" s="4"/>
      <c r="BH333" s="111"/>
      <c r="BI333" s="112"/>
      <c r="BJ333" s="112"/>
      <c r="BK333" s="110"/>
      <c r="BL333" s="113"/>
      <c r="BM333" s="114"/>
      <c r="BN333" s="114"/>
      <c r="BO333" s="110"/>
      <c r="BP333" s="113"/>
      <c r="BQ333" s="114"/>
      <c r="BR333" s="110"/>
      <c r="BS333" s="113"/>
      <c r="DI333" s="13"/>
      <c r="DJ333" s="13"/>
      <c r="DK333" s="13"/>
      <c r="DL333" s="13"/>
      <c r="DM333" s="13"/>
      <c r="DR333" s="29"/>
      <c r="DS333" s="29"/>
      <c r="DT333" s="29"/>
      <c r="DU333" s="29"/>
      <c r="DV333" s="29"/>
      <c r="DW333" s="29"/>
      <c r="DX333" s="29"/>
      <c r="DY333" s="29"/>
      <c r="DZ333" s="29"/>
      <c r="EA333" s="140"/>
      <c r="EB333" s="117"/>
      <c r="EC333" s="117"/>
      <c r="ED333" s="117"/>
      <c r="EE333" s="117"/>
      <c r="EF333" s="110"/>
      <c r="EG333" s="4"/>
      <c r="EH333" s="111"/>
      <c r="EI333" s="112"/>
      <c r="EJ333" s="112"/>
      <c r="EK333" s="110"/>
      <c r="EL333" s="113"/>
      <c r="EM333" s="114"/>
      <c r="EN333" s="114"/>
      <c r="EO333" s="110"/>
      <c r="EP333" s="113"/>
      <c r="EQ333" s="114"/>
      <c r="ER333" s="110"/>
      <c r="ES333" s="113"/>
    </row>
    <row r="334" spans="35:149">
      <c r="AI334" s="13"/>
      <c r="AJ334" s="13"/>
      <c r="AK334" s="13"/>
      <c r="AL334" s="13"/>
      <c r="AM334" s="13"/>
      <c r="AR334" s="29"/>
      <c r="AS334" s="29"/>
      <c r="AT334" s="29"/>
      <c r="AU334" s="29"/>
      <c r="AV334" s="29"/>
      <c r="AW334" s="29"/>
      <c r="AX334" s="29"/>
      <c r="AY334" s="29"/>
      <c r="AZ334" s="29"/>
      <c r="BA334" s="140"/>
      <c r="BB334" s="117"/>
      <c r="BC334" s="117"/>
      <c r="BD334" s="117"/>
      <c r="BE334" s="117"/>
      <c r="BF334" s="110"/>
      <c r="BG334" s="4"/>
      <c r="BH334" s="111"/>
      <c r="BI334" s="112"/>
      <c r="BJ334" s="112"/>
      <c r="BK334" s="110"/>
      <c r="BL334" s="113"/>
      <c r="BM334" s="114"/>
      <c r="BN334" s="114"/>
      <c r="BO334" s="110"/>
      <c r="BP334" s="113"/>
      <c r="BQ334" s="114"/>
      <c r="BR334" s="110"/>
      <c r="BS334" s="113"/>
      <c r="DI334" s="13"/>
      <c r="DJ334" s="13"/>
      <c r="DK334" s="13"/>
      <c r="DL334" s="13"/>
      <c r="DM334" s="13"/>
      <c r="DR334" s="29"/>
      <c r="DS334" s="29"/>
      <c r="DT334" s="29"/>
      <c r="DU334" s="29"/>
      <c r="DV334" s="29"/>
      <c r="DW334" s="29"/>
      <c r="DX334" s="29"/>
      <c r="DY334" s="29"/>
      <c r="DZ334" s="29"/>
      <c r="EA334" s="140"/>
      <c r="EB334" s="117"/>
      <c r="EC334" s="117"/>
      <c r="ED334" s="117"/>
      <c r="EE334" s="117"/>
      <c r="EF334" s="110"/>
      <c r="EG334" s="4"/>
      <c r="EH334" s="111"/>
      <c r="EI334" s="112"/>
      <c r="EJ334" s="112"/>
      <c r="EK334" s="110"/>
      <c r="EL334" s="113"/>
      <c r="EM334" s="114"/>
      <c r="EN334" s="114"/>
      <c r="EO334" s="110"/>
      <c r="EP334" s="113"/>
      <c r="EQ334" s="114"/>
      <c r="ER334" s="110"/>
      <c r="ES334" s="113"/>
    </row>
    <row r="335" spans="35:149">
      <c r="AI335" s="13"/>
      <c r="AJ335" s="13"/>
      <c r="AK335" s="13"/>
      <c r="AL335" s="13"/>
      <c r="AM335" s="13"/>
      <c r="AR335" s="29"/>
      <c r="AS335" s="29"/>
      <c r="AT335" s="29"/>
      <c r="AU335" s="29"/>
      <c r="AV335" s="29"/>
      <c r="AW335" s="29"/>
      <c r="AX335" s="29"/>
      <c r="AY335" s="29"/>
      <c r="AZ335" s="29"/>
      <c r="BA335" s="140"/>
      <c r="BB335" s="117"/>
      <c r="BC335" s="117"/>
      <c r="BD335" s="117"/>
      <c r="BE335" s="117"/>
      <c r="BF335" s="110"/>
      <c r="BG335" s="4"/>
      <c r="BH335" s="111"/>
      <c r="BI335" s="112"/>
      <c r="BJ335" s="112"/>
      <c r="BK335" s="110"/>
      <c r="BL335" s="113"/>
      <c r="BM335" s="114"/>
      <c r="BN335" s="114"/>
      <c r="BO335" s="110"/>
      <c r="BP335" s="113"/>
      <c r="BQ335" s="114"/>
      <c r="BR335" s="110"/>
      <c r="BS335" s="113"/>
      <c r="DI335" s="13"/>
      <c r="DJ335" s="13"/>
      <c r="DK335" s="13"/>
      <c r="DL335" s="13"/>
      <c r="DM335" s="13"/>
      <c r="DR335" s="29"/>
      <c r="DS335" s="29"/>
      <c r="DT335" s="29"/>
      <c r="DU335" s="29"/>
      <c r="DV335" s="29"/>
      <c r="DW335" s="29"/>
      <c r="DX335" s="29"/>
      <c r="DY335" s="29"/>
      <c r="DZ335" s="29"/>
      <c r="EA335" s="140"/>
      <c r="EB335" s="117"/>
      <c r="EC335" s="117"/>
      <c r="ED335" s="117"/>
      <c r="EE335" s="117"/>
      <c r="EF335" s="110"/>
      <c r="EG335" s="4"/>
      <c r="EH335" s="111"/>
      <c r="EI335" s="112"/>
      <c r="EJ335" s="112"/>
      <c r="EK335" s="110"/>
      <c r="EL335" s="113"/>
      <c r="EM335" s="114"/>
      <c r="EN335" s="114"/>
      <c r="EO335" s="110"/>
      <c r="EP335" s="113"/>
      <c r="EQ335" s="114"/>
      <c r="ER335" s="110"/>
      <c r="ES335" s="113"/>
    </row>
    <row r="336" spans="35:149">
      <c r="AI336" s="13"/>
      <c r="AJ336" s="13"/>
      <c r="AK336" s="13"/>
      <c r="AL336" s="13"/>
      <c r="AM336" s="13"/>
      <c r="AR336" s="29"/>
      <c r="AS336" s="29"/>
      <c r="AT336" s="29"/>
      <c r="AU336" s="29"/>
      <c r="AV336" s="29"/>
      <c r="AW336" s="29"/>
      <c r="AX336" s="29"/>
      <c r="AY336" s="29"/>
      <c r="AZ336" s="29"/>
      <c r="BA336" s="140"/>
      <c r="BB336" s="117"/>
      <c r="BC336" s="117"/>
      <c r="BD336" s="117"/>
      <c r="BE336" s="117"/>
      <c r="BF336" s="110"/>
      <c r="BG336" s="4"/>
      <c r="BH336" s="111"/>
      <c r="BI336" s="112"/>
      <c r="BJ336" s="112"/>
      <c r="BK336" s="110"/>
      <c r="BL336" s="113"/>
      <c r="BM336" s="114"/>
      <c r="BN336" s="114"/>
      <c r="BO336" s="110"/>
      <c r="BP336" s="113"/>
      <c r="BQ336" s="114"/>
      <c r="BR336" s="110"/>
      <c r="BS336" s="113"/>
      <c r="DI336" s="13"/>
      <c r="DJ336" s="13"/>
      <c r="DK336" s="13"/>
      <c r="DL336" s="13"/>
      <c r="DM336" s="13"/>
      <c r="DR336" s="29"/>
      <c r="DS336" s="29"/>
      <c r="DT336" s="29"/>
      <c r="DU336" s="29"/>
      <c r="DV336" s="29"/>
      <c r="DW336" s="29"/>
      <c r="DX336" s="29"/>
      <c r="DY336" s="29"/>
      <c r="DZ336" s="29"/>
      <c r="EA336" s="140"/>
      <c r="EB336" s="117"/>
      <c r="EC336" s="117"/>
      <c r="ED336" s="117"/>
      <c r="EE336" s="117"/>
      <c r="EF336" s="110"/>
      <c r="EG336" s="4"/>
      <c r="EH336" s="111"/>
      <c r="EI336" s="112"/>
      <c r="EJ336" s="112"/>
      <c r="EK336" s="110"/>
      <c r="EL336" s="113"/>
      <c r="EM336" s="114"/>
      <c r="EN336" s="114"/>
      <c r="EO336" s="110"/>
      <c r="EP336" s="113"/>
      <c r="EQ336" s="114"/>
      <c r="ER336" s="110"/>
      <c r="ES336" s="113"/>
    </row>
    <row r="337" spans="35:149">
      <c r="AI337" s="13"/>
      <c r="AJ337" s="13"/>
      <c r="AK337" s="13"/>
      <c r="AL337" s="13"/>
      <c r="AM337" s="13"/>
      <c r="AR337" s="29"/>
      <c r="AS337" s="29"/>
      <c r="AT337" s="29"/>
      <c r="AU337" s="29"/>
      <c r="AV337" s="29"/>
      <c r="AW337" s="29"/>
      <c r="AX337" s="29"/>
      <c r="AY337" s="29"/>
      <c r="AZ337" s="29"/>
      <c r="BA337" s="140"/>
      <c r="BB337" s="117"/>
      <c r="BC337" s="117"/>
      <c r="BD337" s="117"/>
      <c r="BE337" s="117"/>
      <c r="BF337" s="110"/>
      <c r="BG337" s="4"/>
      <c r="BH337" s="111"/>
      <c r="BI337" s="112"/>
      <c r="BJ337" s="112"/>
      <c r="BK337" s="110"/>
      <c r="BL337" s="113"/>
      <c r="BM337" s="114"/>
      <c r="BN337" s="114"/>
      <c r="BO337" s="110"/>
      <c r="BP337" s="113"/>
      <c r="BQ337" s="114"/>
      <c r="BR337" s="110"/>
      <c r="BS337" s="113"/>
      <c r="DI337" s="13"/>
      <c r="DJ337" s="13"/>
      <c r="DK337" s="13"/>
      <c r="DL337" s="13"/>
      <c r="DM337" s="13"/>
      <c r="DR337" s="29"/>
      <c r="DS337" s="29"/>
      <c r="DT337" s="29"/>
      <c r="DU337" s="29"/>
      <c r="DV337" s="29"/>
      <c r="DW337" s="29"/>
      <c r="DX337" s="29"/>
      <c r="DY337" s="29"/>
      <c r="DZ337" s="29"/>
      <c r="EA337" s="140"/>
      <c r="EB337" s="117"/>
      <c r="EC337" s="117"/>
      <c r="ED337" s="117"/>
      <c r="EE337" s="117"/>
      <c r="EF337" s="110"/>
      <c r="EG337" s="4"/>
      <c r="EH337" s="111"/>
      <c r="EI337" s="112"/>
      <c r="EJ337" s="112"/>
      <c r="EK337" s="110"/>
      <c r="EL337" s="113"/>
      <c r="EM337" s="114"/>
      <c r="EN337" s="114"/>
      <c r="EO337" s="110"/>
      <c r="EP337" s="113"/>
      <c r="EQ337" s="114"/>
      <c r="ER337" s="110"/>
      <c r="ES337" s="113"/>
    </row>
    <row r="338" spans="35:149">
      <c r="AI338" s="13"/>
      <c r="AJ338" s="13"/>
      <c r="AK338" s="13"/>
      <c r="AL338" s="13"/>
      <c r="AM338" s="13"/>
      <c r="AR338" s="29"/>
      <c r="AS338" s="29"/>
      <c r="AT338" s="29"/>
      <c r="AU338" s="29"/>
      <c r="AV338" s="29"/>
      <c r="AW338" s="29"/>
      <c r="AX338" s="29"/>
      <c r="AY338" s="29"/>
      <c r="AZ338" s="29"/>
      <c r="BA338" s="140"/>
      <c r="BB338" s="117"/>
      <c r="BC338" s="117"/>
      <c r="BD338" s="117"/>
      <c r="BE338" s="117"/>
      <c r="BF338" s="110"/>
      <c r="BG338" s="4"/>
      <c r="BH338" s="111"/>
      <c r="BI338" s="112"/>
      <c r="BJ338" s="112"/>
      <c r="BK338" s="110"/>
      <c r="BL338" s="113"/>
      <c r="BM338" s="114"/>
      <c r="BN338" s="114"/>
      <c r="BO338" s="110"/>
      <c r="BP338" s="113"/>
      <c r="BQ338" s="114"/>
      <c r="BR338" s="110"/>
      <c r="BS338" s="113"/>
      <c r="DI338" s="13"/>
      <c r="DJ338" s="13"/>
      <c r="DK338" s="13"/>
      <c r="DL338" s="13"/>
      <c r="DM338" s="13"/>
      <c r="DR338" s="29"/>
      <c r="DS338" s="29"/>
      <c r="DT338" s="29"/>
      <c r="DU338" s="29"/>
      <c r="DV338" s="29"/>
      <c r="DW338" s="29"/>
      <c r="DX338" s="29"/>
      <c r="DY338" s="29"/>
      <c r="DZ338" s="29"/>
      <c r="EA338" s="140"/>
      <c r="EB338" s="117"/>
      <c r="EC338" s="117"/>
      <c r="ED338" s="117"/>
      <c r="EE338" s="117"/>
      <c r="EF338" s="110"/>
      <c r="EG338" s="4"/>
      <c r="EH338" s="111"/>
      <c r="EI338" s="112"/>
      <c r="EJ338" s="112"/>
      <c r="EK338" s="110"/>
      <c r="EL338" s="113"/>
      <c r="EM338" s="114"/>
      <c r="EN338" s="114"/>
      <c r="EO338" s="110"/>
      <c r="EP338" s="113"/>
      <c r="EQ338" s="114"/>
      <c r="ER338" s="110"/>
      <c r="ES338" s="113"/>
    </row>
    <row r="339" spans="35:149">
      <c r="AI339" s="13"/>
      <c r="AJ339" s="13"/>
      <c r="AK339" s="13"/>
      <c r="AL339" s="13"/>
      <c r="AM339" s="13"/>
      <c r="AR339" s="29"/>
      <c r="AS339" s="29"/>
      <c r="AT339" s="29"/>
      <c r="AU339" s="29"/>
      <c r="AV339" s="29"/>
      <c r="AW339" s="29"/>
      <c r="AX339" s="29"/>
      <c r="AY339" s="29"/>
      <c r="AZ339" s="29"/>
      <c r="BA339" s="140"/>
      <c r="BB339" s="117"/>
      <c r="BC339" s="117"/>
      <c r="BD339" s="117"/>
      <c r="BE339" s="117"/>
      <c r="BF339" s="110"/>
      <c r="BG339" s="4"/>
      <c r="BH339" s="111"/>
      <c r="BI339" s="112"/>
      <c r="BJ339" s="112"/>
      <c r="BK339" s="110"/>
      <c r="BL339" s="113"/>
      <c r="BM339" s="114"/>
      <c r="BN339" s="114"/>
      <c r="BO339" s="110"/>
      <c r="BP339" s="113"/>
      <c r="BQ339" s="114"/>
      <c r="BR339" s="110"/>
      <c r="BS339" s="113"/>
      <c r="DI339" s="13"/>
      <c r="DJ339" s="13"/>
      <c r="DK339" s="13"/>
      <c r="DL339" s="13"/>
      <c r="DM339" s="13"/>
      <c r="DR339" s="29"/>
      <c r="DS339" s="29"/>
      <c r="DT339" s="29"/>
      <c r="DU339" s="29"/>
      <c r="DV339" s="29"/>
      <c r="DW339" s="29"/>
      <c r="DX339" s="29"/>
      <c r="DY339" s="29"/>
      <c r="DZ339" s="29"/>
      <c r="EA339" s="140"/>
      <c r="EB339" s="117"/>
      <c r="EC339" s="117"/>
      <c r="ED339" s="117"/>
      <c r="EE339" s="117"/>
      <c r="EF339" s="110"/>
      <c r="EG339" s="4"/>
      <c r="EH339" s="111"/>
      <c r="EI339" s="112"/>
      <c r="EJ339" s="112"/>
      <c r="EK339" s="110"/>
      <c r="EL339" s="113"/>
      <c r="EM339" s="114"/>
      <c r="EN339" s="114"/>
      <c r="EO339" s="110"/>
      <c r="EP339" s="113"/>
      <c r="EQ339" s="114"/>
      <c r="ER339" s="110"/>
      <c r="ES339" s="113"/>
    </row>
    <row r="340" spans="35:149">
      <c r="AI340" s="13"/>
      <c r="AJ340" s="13"/>
      <c r="AK340" s="13"/>
      <c r="AL340" s="13"/>
      <c r="AM340" s="13"/>
      <c r="AR340" s="29"/>
      <c r="AS340" s="29"/>
      <c r="AT340" s="29"/>
      <c r="AU340" s="29"/>
      <c r="AV340" s="29"/>
      <c r="AW340" s="29"/>
      <c r="AX340" s="29"/>
      <c r="AY340" s="29"/>
      <c r="AZ340" s="29"/>
      <c r="BA340" s="140"/>
      <c r="BB340" s="117"/>
      <c r="BC340" s="117"/>
      <c r="BD340" s="117"/>
      <c r="BE340" s="117"/>
      <c r="BF340" s="110"/>
      <c r="BG340" s="4"/>
      <c r="BH340" s="111"/>
      <c r="BI340" s="112"/>
      <c r="BJ340" s="112"/>
      <c r="BK340" s="110"/>
      <c r="BL340" s="113"/>
      <c r="BM340" s="114"/>
      <c r="BN340" s="114"/>
      <c r="BO340" s="110"/>
      <c r="BP340" s="113"/>
      <c r="BQ340" s="114"/>
      <c r="BR340" s="110"/>
      <c r="BS340" s="113"/>
      <c r="DI340" s="13"/>
      <c r="DJ340" s="13"/>
      <c r="DK340" s="13"/>
      <c r="DL340" s="13"/>
      <c r="DM340" s="13"/>
      <c r="DR340" s="29"/>
      <c r="DS340" s="29"/>
      <c r="DT340" s="29"/>
      <c r="DU340" s="29"/>
      <c r="DV340" s="29"/>
      <c r="DW340" s="29"/>
      <c r="DX340" s="29"/>
      <c r="DY340" s="29"/>
      <c r="DZ340" s="29"/>
      <c r="EA340" s="140"/>
      <c r="EB340" s="117"/>
      <c r="EC340" s="117"/>
      <c r="ED340" s="117"/>
      <c r="EE340" s="117"/>
      <c r="EF340" s="110"/>
      <c r="EG340" s="4"/>
      <c r="EH340" s="111"/>
      <c r="EI340" s="112"/>
      <c r="EJ340" s="112"/>
      <c r="EK340" s="110"/>
      <c r="EL340" s="113"/>
      <c r="EM340" s="114"/>
      <c r="EN340" s="114"/>
      <c r="EO340" s="110"/>
      <c r="EP340" s="113"/>
      <c r="EQ340" s="114"/>
      <c r="ER340" s="110"/>
      <c r="ES340" s="113"/>
    </row>
    <row r="341" spans="35:149">
      <c r="AI341" s="13"/>
      <c r="AJ341" s="13"/>
      <c r="AK341" s="13"/>
      <c r="AL341" s="13"/>
      <c r="AM341" s="13"/>
      <c r="AR341" s="29"/>
      <c r="AS341" s="29"/>
      <c r="AT341" s="29"/>
      <c r="AU341" s="29"/>
      <c r="AV341" s="29"/>
      <c r="AW341" s="29"/>
      <c r="AX341" s="29"/>
      <c r="AY341" s="29"/>
      <c r="AZ341" s="29"/>
      <c r="BA341" s="140"/>
      <c r="BB341" s="117"/>
      <c r="BC341" s="117"/>
      <c r="BD341" s="117"/>
      <c r="BE341" s="117"/>
      <c r="BF341" s="110"/>
      <c r="BG341" s="4"/>
      <c r="BH341" s="111"/>
      <c r="BI341" s="112"/>
      <c r="BJ341" s="112"/>
      <c r="BK341" s="110"/>
      <c r="BL341" s="113"/>
      <c r="BM341" s="114"/>
      <c r="BN341" s="114"/>
      <c r="BO341" s="110"/>
      <c r="BP341" s="113"/>
      <c r="BQ341" s="114"/>
      <c r="BR341" s="110"/>
      <c r="BS341" s="113"/>
      <c r="DI341" s="13"/>
      <c r="DJ341" s="13"/>
      <c r="DK341" s="13"/>
      <c r="DL341" s="13"/>
      <c r="DM341" s="13"/>
      <c r="DR341" s="29"/>
      <c r="DS341" s="29"/>
      <c r="DT341" s="29"/>
      <c r="DU341" s="29"/>
      <c r="DV341" s="29"/>
      <c r="DW341" s="29"/>
      <c r="DX341" s="29"/>
      <c r="DY341" s="29"/>
      <c r="DZ341" s="29"/>
      <c r="EA341" s="140"/>
      <c r="EB341" s="117"/>
      <c r="EC341" s="117"/>
      <c r="ED341" s="117"/>
      <c r="EE341" s="117"/>
      <c r="EF341" s="110"/>
      <c r="EG341" s="4"/>
      <c r="EH341" s="111"/>
      <c r="EI341" s="112"/>
      <c r="EJ341" s="112"/>
      <c r="EK341" s="110"/>
      <c r="EL341" s="113"/>
      <c r="EM341" s="114"/>
      <c r="EN341" s="114"/>
      <c r="EO341" s="110"/>
      <c r="EP341" s="113"/>
      <c r="EQ341" s="114"/>
      <c r="ER341" s="110"/>
      <c r="ES341" s="113"/>
    </row>
    <row r="342" spans="35:149">
      <c r="AI342" s="13"/>
      <c r="AJ342" s="13"/>
      <c r="AK342" s="13"/>
      <c r="AL342" s="13"/>
      <c r="AM342" s="13"/>
      <c r="AR342" s="29"/>
      <c r="AS342" s="29"/>
      <c r="AT342" s="29"/>
      <c r="AU342" s="29"/>
      <c r="AV342" s="29"/>
      <c r="AW342" s="29"/>
      <c r="AX342" s="29"/>
      <c r="AY342" s="29"/>
      <c r="AZ342" s="29"/>
      <c r="BA342" s="140"/>
      <c r="BB342" s="117"/>
      <c r="BC342" s="117"/>
      <c r="BD342" s="117"/>
      <c r="BE342" s="117"/>
      <c r="BF342" s="110"/>
      <c r="BG342" s="4"/>
      <c r="BH342" s="111"/>
      <c r="BI342" s="112"/>
      <c r="BJ342" s="112"/>
      <c r="BK342" s="110"/>
      <c r="BL342" s="113"/>
      <c r="BM342" s="114"/>
      <c r="BN342" s="114"/>
      <c r="BO342" s="110"/>
      <c r="BP342" s="113"/>
      <c r="BQ342" s="114"/>
      <c r="BR342" s="110"/>
      <c r="BS342" s="113"/>
      <c r="DI342" s="13"/>
      <c r="DJ342" s="13"/>
      <c r="DK342" s="13"/>
      <c r="DL342" s="13"/>
      <c r="DM342" s="13"/>
      <c r="DR342" s="29"/>
      <c r="DS342" s="29"/>
      <c r="DT342" s="29"/>
      <c r="DU342" s="29"/>
      <c r="DV342" s="29"/>
      <c r="DW342" s="29"/>
      <c r="DX342" s="29"/>
      <c r="DY342" s="29"/>
      <c r="DZ342" s="29"/>
      <c r="EA342" s="140"/>
      <c r="EB342" s="117"/>
      <c r="EC342" s="117"/>
      <c r="ED342" s="117"/>
      <c r="EE342" s="117"/>
      <c r="EF342" s="110"/>
      <c r="EG342" s="4"/>
      <c r="EH342" s="111"/>
      <c r="EI342" s="112"/>
      <c r="EJ342" s="112"/>
      <c r="EK342" s="110"/>
      <c r="EL342" s="113"/>
      <c r="EM342" s="114"/>
      <c r="EN342" s="114"/>
      <c r="EO342" s="110"/>
      <c r="EP342" s="113"/>
      <c r="EQ342" s="114"/>
      <c r="ER342" s="110"/>
      <c r="ES342" s="113"/>
    </row>
    <row r="343" spans="35:149">
      <c r="AI343" s="13"/>
      <c r="AJ343" s="13"/>
      <c r="AK343" s="13"/>
      <c r="AL343" s="13"/>
      <c r="AM343" s="13"/>
      <c r="AR343" s="29"/>
      <c r="AS343" s="29"/>
      <c r="AT343" s="29"/>
      <c r="AU343" s="29"/>
      <c r="AV343" s="29"/>
      <c r="AW343" s="29"/>
      <c r="AX343" s="29"/>
      <c r="AY343" s="29"/>
      <c r="AZ343" s="29"/>
      <c r="BA343" s="140"/>
      <c r="BB343" s="117"/>
      <c r="BC343" s="117"/>
      <c r="BD343" s="117"/>
      <c r="BE343" s="117"/>
      <c r="BF343" s="110"/>
      <c r="BG343" s="4"/>
      <c r="BH343" s="111"/>
      <c r="BI343" s="112"/>
      <c r="BJ343" s="112"/>
      <c r="BK343" s="110"/>
      <c r="BL343" s="113"/>
      <c r="BM343" s="114"/>
      <c r="BN343" s="114"/>
      <c r="BO343" s="110"/>
      <c r="BP343" s="113"/>
      <c r="BQ343" s="114"/>
      <c r="BR343" s="110"/>
      <c r="BS343" s="113"/>
      <c r="DI343" s="13"/>
      <c r="DJ343" s="13"/>
      <c r="DK343" s="13"/>
      <c r="DL343" s="13"/>
      <c r="DM343" s="13"/>
      <c r="DR343" s="29"/>
      <c r="DS343" s="29"/>
      <c r="DT343" s="29"/>
      <c r="DU343" s="29"/>
      <c r="DV343" s="29"/>
      <c r="DW343" s="29"/>
      <c r="DX343" s="29"/>
      <c r="DY343" s="29"/>
      <c r="DZ343" s="29"/>
      <c r="EA343" s="140"/>
      <c r="EB343" s="117"/>
      <c r="EC343" s="117"/>
      <c r="ED343" s="117"/>
      <c r="EE343" s="117"/>
      <c r="EF343" s="110"/>
      <c r="EG343" s="4"/>
      <c r="EH343" s="111"/>
      <c r="EI343" s="112"/>
      <c r="EJ343" s="112"/>
      <c r="EK343" s="110"/>
      <c r="EL343" s="113"/>
      <c r="EM343" s="114"/>
      <c r="EN343" s="114"/>
      <c r="EO343" s="110"/>
      <c r="EP343" s="113"/>
      <c r="EQ343" s="114"/>
      <c r="ER343" s="110"/>
      <c r="ES343" s="113"/>
    </row>
    <row r="344" spans="35:149">
      <c r="AI344" s="13"/>
      <c r="AJ344" s="13"/>
      <c r="AK344" s="13"/>
      <c r="AL344" s="13"/>
      <c r="AM344" s="13"/>
      <c r="AR344" s="29"/>
      <c r="AS344" s="29"/>
      <c r="AT344" s="29"/>
      <c r="AU344" s="29"/>
      <c r="AV344" s="29"/>
      <c r="AW344" s="29"/>
      <c r="AX344" s="29"/>
      <c r="AY344" s="29"/>
      <c r="AZ344" s="29"/>
      <c r="BA344" s="140"/>
      <c r="BB344" s="117"/>
      <c r="BC344" s="117"/>
      <c r="BD344" s="117"/>
      <c r="BE344" s="117"/>
      <c r="BF344" s="110"/>
      <c r="BG344" s="4"/>
      <c r="BH344" s="111"/>
      <c r="BI344" s="112"/>
      <c r="BJ344" s="112"/>
      <c r="BK344" s="110"/>
      <c r="BL344" s="113"/>
      <c r="BM344" s="114"/>
      <c r="BN344" s="114"/>
      <c r="BO344" s="110"/>
      <c r="BP344" s="113"/>
      <c r="BQ344" s="114"/>
      <c r="BR344" s="110"/>
      <c r="BS344" s="113"/>
      <c r="DI344" s="13"/>
      <c r="DJ344" s="13"/>
      <c r="DK344" s="13"/>
      <c r="DL344" s="13"/>
      <c r="DM344" s="13"/>
      <c r="DR344" s="29"/>
      <c r="DS344" s="29"/>
      <c r="DT344" s="29"/>
      <c r="DU344" s="29"/>
      <c r="DV344" s="29"/>
      <c r="DW344" s="29"/>
      <c r="DX344" s="29"/>
      <c r="DY344" s="29"/>
      <c r="DZ344" s="29"/>
      <c r="EA344" s="140"/>
      <c r="EB344" s="117"/>
      <c r="EC344" s="117"/>
      <c r="ED344" s="117"/>
      <c r="EE344" s="117"/>
      <c r="EF344" s="110"/>
      <c r="EG344" s="4"/>
      <c r="EH344" s="111"/>
      <c r="EI344" s="112"/>
      <c r="EJ344" s="112"/>
      <c r="EK344" s="110"/>
      <c r="EL344" s="113"/>
      <c r="EM344" s="114"/>
      <c r="EN344" s="114"/>
      <c r="EO344" s="110"/>
      <c r="EP344" s="113"/>
      <c r="EQ344" s="114"/>
      <c r="ER344" s="110"/>
      <c r="ES344" s="113"/>
    </row>
    <row r="345" spans="35:149">
      <c r="AI345" s="13"/>
      <c r="AJ345" s="13"/>
      <c r="AK345" s="13"/>
      <c r="AL345" s="13"/>
      <c r="AM345" s="13"/>
      <c r="AR345" s="29"/>
      <c r="AS345" s="29"/>
      <c r="AT345" s="29"/>
      <c r="AU345" s="29"/>
      <c r="AV345" s="29"/>
      <c r="AW345" s="29"/>
      <c r="AX345" s="29"/>
      <c r="AY345" s="29"/>
      <c r="AZ345" s="29"/>
      <c r="BA345" s="140"/>
      <c r="BB345" s="117"/>
      <c r="BC345" s="117"/>
      <c r="BD345" s="117"/>
      <c r="BE345" s="117"/>
      <c r="BF345" s="110"/>
      <c r="BG345" s="4"/>
      <c r="BH345" s="111"/>
      <c r="BI345" s="112"/>
      <c r="BJ345" s="112"/>
      <c r="BK345" s="110"/>
      <c r="BL345" s="113"/>
      <c r="BM345" s="114"/>
      <c r="BN345" s="114"/>
      <c r="BO345" s="110"/>
      <c r="BP345" s="113"/>
      <c r="BQ345" s="114"/>
      <c r="BR345" s="110"/>
      <c r="BS345" s="113"/>
      <c r="DI345" s="13"/>
      <c r="DJ345" s="13"/>
      <c r="DK345" s="13"/>
      <c r="DL345" s="13"/>
      <c r="DM345" s="13"/>
      <c r="DR345" s="29"/>
      <c r="DS345" s="29"/>
      <c r="DT345" s="29"/>
      <c r="DU345" s="29"/>
      <c r="DV345" s="29"/>
      <c r="DW345" s="29"/>
      <c r="DX345" s="29"/>
      <c r="DY345" s="29"/>
      <c r="DZ345" s="29"/>
      <c r="EA345" s="140"/>
      <c r="EB345" s="117"/>
      <c r="EC345" s="117"/>
      <c r="ED345" s="117"/>
      <c r="EE345" s="117"/>
      <c r="EF345" s="110"/>
      <c r="EG345" s="4"/>
      <c r="EH345" s="111"/>
      <c r="EI345" s="112"/>
      <c r="EJ345" s="112"/>
      <c r="EK345" s="110"/>
      <c r="EL345" s="113"/>
      <c r="EM345" s="114"/>
      <c r="EN345" s="114"/>
      <c r="EO345" s="110"/>
      <c r="EP345" s="113"/>
      <c r="EQ345" s="114"/>
      <c r="ER345" s="110"/>
      <c r="ES345" s="113"/>
    </row>
    <row r="346" spans="35:149">
      <c r="AI346" s="13"/>
      <c r="AJ346" s="13"/>
      <c r="AK346" s="13"/>
      <c r="AL346" s="13"/>
      <c r="AM346" s="13"/>
      <c r="AR346" s="29"/>
      <c r="AS346" s="29"/>
      <c r="AT346" s="29"/>
      <c r="AU346" s="29"/>
      <c r="AV346" s="29"/>
      <c r="AW346" s="29"/>
      <c r="AX346" s="29"/>
      <c r="AY346" s="29"/>
      <c r="AZ346" s="29"/>
      <c r="BA346" s="140"/>
      <c r="BB346" s="117"/>
      <c r="BC346" s="117"/>
      <c r="BD346" s="117"/>
      <c r="BE346" s="117"/>
      <c r="BF346" s="110"/>
      <c r="BG346" s="4"/>
      <c r="BH346" s="111"/>
      <c r="BI346" s="112"/>
      <c r="BJ346" s="112"/>
      <c r="BK346" s="110"/>
      <c r="BL346" s="113"/>
      <c r="BM346" s="114"/>
      <c r="BN346" s="114"/>
      <c r="BO346" s="110"/>
      <c r="BP346" s="113"/>
      <c r="BQ346" s="114"/>
      <c r="BR346" s="110"/>
      <c r="BS346" s="113"/>
      <c r="DI346" s="13"/>
      <c r="DJ346" s="13"/>
      <c r="DK346" s="13"/>
      <c r="DL346" s="13"/>
      <c r="DM346" s="13"/>
      <c r="DR346" s="29"/>
      <c r="DS346" s="29"/>
      <c r="DT346" s="29"/>
      <c r="DU346" s="29"/>
      <c r="DV346" s="29"/>
      <c r="DW346" s="29"/>
      <c r="DX346" s="29"/>
      <c r="DY346" s="29"/>
      <c r="DZ346" s="29"/>
      <c r="EA346" s="140"/>
      <c r="EB346" s="117"/>
      <c r="EC346" s="117"/>
      <c r="ED346" s="117"/>
      <c r="EE346" s="117"/>
      <c r="EF346" s="110"/>
      <c r="EG346" s="4"/>
      <c r="EH346" s="111"/>
      <c r="EI346" s="112"/>
      <c r="EJ346" s="112"/>
      <c r="EK346" s="110"/>
      <c r="EL346" s="113"/>
      <c r="EM346" s="114"/>
      <c r="EN346" s="114"/>
      <c r="EO346" s="110"/>
      <c r="EP346" s="113"/>
      <c r="EQ346" s="114"/>
      <c r="ER346" s="110"/>
      <c r="ES346" s="113"/>
    </row>
    <row r="347" spans="35:149">
      <c r="AI347" s="13"/>
      <c r="AJ347" s="13"/>
      <c r="AK347" s="13"/>
      <c r="AL347" s="13"/>
      <c r="AM347" s="13"/>
      <c r="AR347" s="29"/>
      <c r="AS347" s="29"/>
      <c r="AT347" s="29"/>
      <c r="AU347" s="29"/>
      <c r="AV347" s="29"/>
      <c r="AW347" s="29"/>
      <c r="AX347" s="29"/>
      <c r="AY347" s="29"/>
      <c r="AZ347" s="29"/>
      <c r="BA347" s="140"/>
      <c r="BB347" s="117"/>
      <c r="BC347" s="117"/>
      <c r="BD347" s="117"/>
      <c r="BE347" s="117"/>
      <c r="BF347" s="110"/>
      <c r="BG347" s="4"/>
      <c r="BH347" s="111"/>
      <c r="BI347" s="112"/>
      <c r="BJ347" s="112"/>
      <c r="BK347" s="110"/>
      <c r="BL347" s="113"/>
      <c r="BM347" s="114"/>
      <c r="BN347" s="114"/>
      <c r="BO347" s="110"/>
      <c r="BP347" s="113"/>
      <c r="BQ347" s="114"/>
      <c r="BR347" s="110"/>
      <c r="BS347" s="113"/>
      <c r="DI347" s="13"/>
      <c r="DJ347" s="13"/>
      <c r="DK347" s="13"/>
      <c r="DL347" s="13"/>
      <c r="DM347" s="13"/>
      <c r="DR347" s="29"/>
      <c r="DS347" s="29"/>
      <c r="DT347" s="29"/>
      <c r="DU347" s="29"/>
      <c r="DV347" s="29"/>
      <c r="DW347" s="29"/>
      <c r="DX347" s="29"/>
      <c r="DY347" s="29"/>
      <c r="DZ347" s="29"/>
      <c r="EA347" s="140"/>
      <c r="EB347" s="117"/>
      <c r="EC347" s="117"/>
      <c r="ED347" s="117"/>
      <c r="EE347" s="117"/>
      <c r="EF347" s="110"/>
      <c r="EG347" s="4"/>
      <c r="EH347" s="111"/>
      <c r="EI347" s="112"/>
      <c r="EJ347" s="112"/>
      <c r="EK347" s="110"/>
      <c r="EL347" s="113"/>
      <c r="EM347" s="114"/>
      <c r="EN347" s="114"/>
      <c r="EO347" s="110"/>
      <c r="EP347" s="113"/>
      <c r="EQ347" s="114"/>
      <c r="ER347" s="110"/>
      <c r="ES347" s="113"/>
    </row>
    <row r="348" spans="35:149">
      <c r="AI348" s="13"/>
      <c r="AJ348" s="13"/>
      <c r="AK348" s="13"/>
      <c r="AL348" s="13"/>
      <c r="AM348" s="13"/>
      <c r="AR348" s="29"/>
      <c r="AS348" s="29"/>
      <c r="AT348" s="29"/>
      <c r="AU348" s="29"/>
      <c r="AV348" s="29"/>
      <c r="AW348" s="29"/>
      <c r="AX348" s="29"/>
      <c r="AY348" s="29"/>
      <c r="AZ348" s="29"/>
      <c r="BA348" s="140"/>
      <c r="BB348" s="117"/>
      <c r="BC348" s="117"/>
      <c r="BD348" s="117"/>
      <c r="BE348" s="117"/>
      <c r="BF348" s="110"/>
      <c r="BG348" s="4"/>
      <c r="BH348" s="111"/>
      <c r="BI348" s="112"/>
      <c r="BJ348" s="112"/>
      <c r="BK348" s="110"/>
      <c r="BL348" s="113"/>
      <c r="BM348" s="114"/>
      <c r="BN348" s="114"/>
      <c r="BO348" s="110"/>
      <c r="BP348" s="113"/>
      <c r="BQ348" s="114"/>
      <c r="BR348" s="110"/>
      <c r="BS348" s="113"/>
      <c r="DI348" s="13"/>
      <c r="DJ348" s="13"/>
      <c r="DK348" s="13"/>
      <c r="DL348" s="13"/>
      <c r="DM348" s="13"/>
      <c r="DR348" s="29"/>
      <c r="DS348" s="29"/>
      <c r="DT348" s="29"/>
      <c r="DU348" s="29"/>
      <c r="DV348" s="29"/>
      <c r="DW348" s="29"/>
      <c r="DX348" s="29"/>
      <c r="DY348" s="29"/>
      <c r="DZ348" s="29"/>
      <c r="EA348" s="140"/>
      <c r="EB348" s="117"/>
      <c r="EC348" s="117"/>
      <c r="ED348" s="117"/>
      <c r="EE348" s="117"/>
      <c r="EF348" s="110"/>
      <c r="EG348" s="4"/>
      <c r="EH348" s="111"/>
      <c r="EI348" s="112"/>
      <c r="EJ348" s="112"/>
      <c r="EK348" s="110"/>
      <c r="EL348" s="113"/>
      <c r="EM348" s="114"/>
      <c r="EN348" s="114"/>
      <c r="EO348" s="110"/>
      <c r="EP348" s="113"/>
      <c r="EQ348" s="114"/>
      <c r="ER348" s="110"/>
      <c r="ES348" s="113"/>
    </row>
    <row r="349" spans="35:149">
      <c r="AI349" s="13"/>
      <c r="AJ349" s="13"/>
      <c r="AK349" s="13"/>
      <c r="AL349" s="13"/>
      <c r="AM349" s="13"/>
      <c r="AR349" s="29"/>
      <c r="AS349" s="29"/>
      <c r="AT349" s="29"/>
      <c r="AU349" s="29"/>
      <c r="AV349" s="29"/>
      <c r="AW349" s="29"/>
      <c r="AX349" s="29"/>
      <c r="AY349" s="29"/>
      <c r="AZ349" s="29"/>
      <c r="BA349" s="140"/>
      <c r="BB349" s="117"/>
      <c r="BC349" s="117"/>
      <c r="BD349" s="117"/>
      <c r="BE349" s="117"/>
      <c r="BF349" s="110"/>
      <c r="BG349" s="4"/>
      <c r="BH349" s="111"/>
      <c r="BI349" s="112"/>
      <c r="BJ349" s="112"/>
      <c r="BK349" s="110"/>
      <c r="BL349" s="113"/>
      <c r="BM349" s="114"/>
      <c r="BN349" s="114"/>
      <c r="BO349" s="110"/>
      <c r="BP349" s="113"/>
      <c r="BQ349" s="114"/>
      <c r="BR349" s="110"/>
      <c r="BS349" s="113"/>
      <c r="DI349" s="13"/>
      <c r="DJ349" s="13"/>
      <c r="DK349" s="13"/>
      <c r="DL349" s="13"/>
      <c r="DM349" s="13"/>
      <c r="DR349" s="29"/>
      <c r="DS349" s="29"/>
      <c r="DT349" s="29"/>
      <c r="DU349" s="29"/>
      <c r="DV349" s="29"/>
      <c r="DW349" s="29"/>
      <c r="DX349" s="29"/>
      <c r="DY349" s="29"/>
      <c r="DZ349" s="29"/>
      <c r="EA349" s="140"/>
      <c r="EB349" s="117"/>
      <c r="EC349" s="117"/>
      <c r="ED349" s="117"/>
      <c r="EE349" s="117"/>
      <c r="EF349" s="110"/>
      <c r="EG349" s="4"/>
      <c r="EH349" s="111"/>
      <c r="EI349" s="112"/>
      <c r="EJ349" s="112"/>
      <c r="EK349" s="110"/>
      <c r="EL349" s="113"/>
      <c r="EM349" s="114"/>
      <c r="EN349" s="114"/>
      <c r="EO349" s="110"/>
      <c r="EP349" s="113"/>
      <c r="EQ349" s="114"/>
      <c r="ER349" s="110"/>
      <c r="ES349" s="113"/>
    </row>
    <row r="350" spans="35:149">
      <c r="AI350" s="13"/>
      <c r="AJ350" s="13"/>
      <c r="AK350" s="13"/>
      <c r="AL350" s="13"/>
      <c r="AM350" s="13"/>
      <c r="AR350" s="29"/>
      <c r="AS350" s="29"/>
      <c r="AT350" s="29"/>
      <c r="AU350" s="29"/>
      <c r="AV350" s="29"/>
      <c r="AW350" s="29"/>
      <c r="AX350" s="29"/>
      <c r="AY350" s="29"/>
      <c r="AZ350" s="29"/>
      <c r="BA350" s="140"/>
      <c r="BB350" s="117"/>
      <c r="BC350" s="117"/>
      <c r="BD350" s="117"/>
      <c r="BE350" s="117"/>
      <c r="BF350" s="110"/>
      <c r="BG350" s="4"/>
      <c r="BH350" s="111"/>
      <c r="BI350" s="112"/>
      <c r="BJ350" s="112"/>
      <c r="BK350" s="110"/>
      <c r="BL350" s="113"/>
      <c r="BM350" s="114"/>
      <c r="BN350" s="114"/>
      <c r="BO350" s="110"/>
      <c r="BP350" s="113"/>
      <c r="BQ350" s="114"/>
      <c r="BR350" s="110"/>
      <c r="BS350" s="113"/>
      <c r="DI350" s="13"/>
      <c r="DJ350" s="13"/>
      <c r="DK350" s="13"/>
      <c r="DL350" s="13"/>
      <c r="DM350" s="13"/>
      <c r="DR350" s="29"/>
      <c r="DS350" s="29"/>
      <c r="DT350" s="29"/>
      <c r="DU350" s="29"/>
      <c r="DV350" s="29"/>
      <c r="DW350" s="29"/>
      <c r="DX350" s="29"/>
      <c r="DY350" s="29"/>
      <c r="DZ350" s="29"/>
      <c r="EA350" s="140"/>
      <c r="EB350" s="117"/>
      <c r="EC350" s="117"/>
      <c r="ED350" s="117"/>
      <c r="EE350" s="117"/>
      <c r="EF350" s="110"/>
      <c r="EG350" s="4"/>
      <c r="EH350" s="111"/>
      <c r="EI350" s="112"/>
      <c r="EJ350" s="112"/>
      <c r="EK350" s="110"/>
      <c r="EL350" s="113"/>
      <c r="EM350" s="114"/>
      <c r="EN350" s="114"/>
      <c r="EO350" s="110"/>
      <c r="EP350" s="113"/>
      <c r="EQ350" s="114"/>
      <c r="ER350" s="110"/>
      <c r="ES350" s="113"/>
    </row>
    <row r="351" spans="35:149">
      <c r="AI351" s="13"/>
      <c r="AJ351" s="13"/>
      <c r="AK351" s="13"/>
      <c r="AL351" s="13"/>
      <c r="AM351" s="13"/>
      <c r="AR351" s="29"/>
      <c r="AS351" s="29"/>
      <c r="AT351" s="29"/>
      <c r="AU351" s="29"/>
      <c r="AV351" s="29"/>
      <c r="AW351" s="29"/>
      <c r="AX351" s="29"/>
      <c r="AY351" s="29"/>
      <c r="AZ351" s="29"/>
      <c r="BA351" s="140"/>
      <c r="BB351" s="117"/>
      <c r="BC351" s="117"/>
      <c r="BD351" s="117"/>
      <c r="BE351" s="117"/>
      <c r="BF351" s="110"/>
      <c r="BG351" s="4"/>
      <c r="BH351" s="111"/>
      <c r="BI351" s="112"/>
      <c r="BJ351" s="112"/>
      <c r="BK351" s="110"/>
      <c r="BL351" s="113"/>
      <c r="BM351" s="114"/>
      <c r="BN351" s="114"/>
      <c r="BO351" s="110"/>
      <c r="BP351" s="113"/>
      <c r="BQ351" s="114"/>
      <c r="BR351" s="110"/>
      <c r="BS351" s="113"/>
      <c r="DI351" s="13"/>
      <c r="DJ351" s="13"/>
      <c r="DK351" s="13"/>
      <c r="DL351" s="13"/>
      <c r="DM351" s="13"/>
      <c r="DR351" s="29"/>
      <c r="DS351" s="29"/>
      <c r="DT351" s="29"/>
      <c r="DU351" s="29"/>
      <c r="DV351" s="29"/>
      <c r="DW351" s="29"/>
      <c r="DX351" s="29"/>
      <c r="DY351" s="29"/>
      <c r="DZ351" s="29"/>
      <c r="EA351" s="140"/>
      <c r="EB351" s="117"/>
      <c r="EC351" s="117"/>
      <c r="ED351" s="117"/>
      <c r="EE351" s="117"/>
      <c r="EF351" s="110"/>
      <c r="EG351" s="4"/>
      <c r="EH351" s="111"/>
      <c r="EI351" s="112"/>
      <c r="EJ351" s="112"/>
      <c r="EK351" s="110"/>
      <c r="EL351" s="113"/>
      <c r="EM351" s="114"/>
      <c r="EN351" s="114"/>
      <c r="EO351" s="110"/>
      <c r="EP351" s="113"/>
      <c r="EQ351" s="114"/>
      <c r="ER351" s="110"/>
      <c r="ES351" s="113"/>
    </row>
    <row r="352" spans="35:149">
      <c r="AI352" s="13"/>
      <c r="AJ352" s="13"/>
      <c r="AK352" s="13"/>
      <c r="AL352" s="13"/>
      <c r="AM352" s="13"/>
      <c r="AR352" s="29"/>
      <c r="AS352" s="29"/>
      <c r="AT352" s="29"/>
      <c r="AU352" s="29"/>
      <c r="AV352" s="29"/>
      <c r="AW352" s="29"/>
      <c r="AX352" s="29"/>
      <c r="AY352" s="29"/>
      <c r="AZ352" s="29"/>
      <c r="BA352" s="140"/>
      <c r="BB352" s="117"/>
      <c r="BC352" s="117"/>
      <c r="BD352" s="117"/>
      <c r="BE352" s="117"/>
      <c r="BF352" s="110"/>
      <c r="BG352" s="4"/>
      <c r="BH352" s="111"/>
      <c r="BI352" s="112"/>
      <c r="BJ352" s="112"/>
      <c r="BK352" s="110"/>
      <c r="BL352" s="113"/>
      <c r="BM352" s="114"/>
      <c r="BN352" s="114"/>
      <c r="BO352" s="110"/>
      <c r="BP352" s="113"/>
      <c r="BQ352" s="114"/>
      <c r="BR352" s="110"/>
      <c r="BS352" s="113"/>
      <c r="DI352" s="13"/>
      <c r="DJ352" s="13"/>
      <c r="DK352" s="13"/>
      <c r="DL352" s="13"/>
      <c r="DM352" s="13"/>
      <c r="DR352" s="29"/>
      <c r="DS352" s="29"/>
      <c r="DT352" s="29"/>
      <c r="DU352" s="29"/>
      <c r="DV352" s="29"/>
      <c r="DW352" s="29"/>
      <c r="DX352" s="29"/>
      <c r="DY352" s="29"/>
      <c r="DZ352" s="29"/>
      <c r="EA352" s="140"/>
      <c r="EB352" s="117"/>
      <c r="EC352" s="117"/>
      <c r="ED352" s="117"/>
      <c r="EE352" s="117"/>
      <c r="EF352" s="110"/>
      <c r="EG352" s="4"/>
      <c r="EH352" s="111"/>
      <c r="EI352" s="112"/>
      <c r="EJ352" s="112"/>
      <c r="EK352" s="110"/>
      <c r="EL352" s="113"/>
      <c r="EM352" s="114"/>
      <c r="EN352" s="114"/>
      <c r="EO352" s="110"/>
      <c r="EP352" s="113"/>
      <c r="EQ352" s="114"/>
      <c r="ER352" s="110"/>
      <c r="ES352" s="113"/>
    </row>
    <row r="353" spans="35:149">
      <c r="AI353" s="13"/>
      <c r="AJ353" s="13"/>
      <c r="AK353" s="13"/>
      <c r="AL353" s="13"/>
      <c r="AM353" s="13"/>
      <c r="AR353" s="29"/>
      <c r="AS353" s="29"/>
      <c r="AT353" s="29"/>
      <c r="AU353" s="29"/>
      <c r="AV353" s="29"/>
      <c r="AW353" s="29"/>
      <c r="AX353" s="29"/>
      <c r="AY353" s="29"/>
      <c r="AZ353" s="29"/>
      <c r="BA353" s="140"/>
      <c r="BB353" s="117"/>
      <c r="BC353" s="117"/>
      <c r="BD353" s="117"/>
      <c r="BE353" s="117"/>
      <c r="BF353" s="110"/>
      <c r="BG353" s="4"/>
      <c r="BH353" s="111"/>
      <c r="BI353" s="112"/>
      <c r="BJ353" s="112"/>
      <c r="BK353" s="110"/>
      <c r="BL353" s="113"/>
      <c r="BM353" s="114"/>
      <c r="BN353" s="114"/>
      <c r="BO353" s="110"/>
      <c r="BP353" s="113"/>
      <c r="BQ353" s="114"/>
      <c r="BR353" s="110"/>
      <c r="BS353" s="113"/>
      <c r="DI353" s="13"/>
      <c r="DJ353" s="13"/>
      <c r="DK353" s="13"/>
      <c r="DL353" s="13"/>
      <c r="DM353" s="13"/>
      <c r="DR353" s="29"/>
      <c r="DS353" s="29"/>
      <c r="DT353" s="29"/>
      <c r="DU353" s="29"/>
      <c r="DV353" s="29"/>
      <c r="DW353" s="29"/>
      <c r="DX353" s="29"/>
      <c r="DY353" s="29"/>
      <c r="DZ353" s="29"/>
      <c r="EA353" s="140"/>
      <c r="EB353" s="117"/>
      <c r="EC353" s="117"/>
      <c r="ED353" s="117"/>
      <c r="EE353" s="117"/>
      <c r="EF353" s="110"/>
      <c r="EG353" s="4"/>
      <c r="EH353" s="111"/>
      <c r="EI353" s="112"/>
      <c r="EJ353" s="112"/>
      <c r="EK353" s="110"/>
      <c r="EL353" s="113"/>
      <c r="EM353" s="114"/>
      <c r="EN353" s="114"/>
      <c r="EO353" s="110"/>
      <c r="EP353" s="113"/>
      <c r="EQ353" s="114"/>
      <c r="ER353" s="110"/>
      <c r="ES353" s="113"/>
    </row>
    <row r="354" spans="35:149">
      <c r="AI354" s="13"/>
      <c r="AJ354" s="13"/>
      <c r="AK354" s="13"/>
      <c r="AL354" s="13"/>
      <c r="AM354" s="13"/>
      <c r="AR354" s="29"/>
      <c r="AS354" s="29"/>
      <c r="AT354" s="29"/>
      <c r="AU354" s="29"/>
      <c r="AV354" s="29"/>
      <c r="AW354" s="29"/>
      <c r="AX354" s="29"/>
      <c r="AY354" s="29"/>
      <c r="AZ354" s="29"/>
      <c r="BA354" s="140"/>
      <c r="BB354" s="117"/>
      <c r="BC354" s="117"/>
      <c r="BD354" s="117"/>
      <c r="BE354" s="117"/>
      <c r="BF354" s="110"/>
      <c r="BG354" s="4"/>
      <c r="BH354" s="111"/>
      <c r="BI354" s="112"/>
      <c r="BJ354" s="112"/>
      <c r="BK354" s="110"/>
      <c r="BL354" s="113"/>
      <c r="BM354" s="114"/>
      <c r="BN354" s="114"/>
      <c r="BO354" s="110"/>
      <c r="BP354" s="113"/>
      <c r="BQ354" s="114"/>
      <c r="BR354" s="110"/>
      <c r="BS354" s="113"/>
      <c r="DI354" s="13"/>
      <c r="DJ354" s="13"/>
      <c r="DK354" s="13"/>
      <c r="DL354" s="13"/>
      <c r="DM354" s="13"/>
      <c r="DR354" s="29"/>
      <c r="DS354" s="29"/>
      <c r="DT354" s="29"/>
      <c r="DU354" s="29"/>
      <c r="DV354" s="29"/>
      <c r="DW354" s="29"/>
      <c r="DX354" s="29"/>
      <c r="DY354" s="29"/>
      <c r="DZ354" s="29"/>
      <c r="EA354" s="140"/>
      <c r="EB354" s="117"/>
      <c r="EC354" s="117"/>
      <c r="ED354" s="117"/>
      <c r="EE354" s="117"/>
      <c r="EF354" s="110"/>
      <c r="EG354" s="4"/>
      <c r="EH354" s="111"/>
      <c r="EI354" s="112"/>
      <c r="EJ354" s="112"/>
      <c r="EK354" s="110"/>
      <c r="EL354" s="113"/>
      <c r="EM354" s="114"/>
      <c r="EN354" s="114"/>
      <c r="EO354" s="110"/>
      <c r="EP354" s="113"/>
      <c r="EQ354" s="114"/>
      <c r="ER354" s="110"/>
      <c r="ES354" s="113"/>
    </row>
    <row r="355" spans="35:149">
      <c r="AI355" s="13"/>
      <c r="AJ355" s="13"/>
      <c r="AK355" s="13"/>
      <c r="AL355" s="13"/>
      <c r="AM355" s="13"/>
      <c r="AR355" s="29"/>
      <c r="AS355" s="29"/>
      <c r="AT355" s="29"/>
      <c r="AU355" s="29"/>
      <c r="AV355" s="29"/>
      <c r="AW355" s="29"/>
      <c r="AX355" s="29"/>
      <c r="AY355" s="29"/>
      <c r="AZ355" s="29"/>
      <c r="BA355" s="140"/>
      <c r="BB355" s="117"/>
      <c r="BC355" s="117"/>
      <c r="BD355" s="117"/>
      <c r="BE355" s="117"/>
      <c r="BF355" s="110"/>
      <c r="BG355" s="4"/>
      <c r="BH355" s="111"/>
      <c r="BI355" s="112"/>
      <c r="BJ355" s="112"/>
      <c r="BK355" s="110"/>
      <c r="BL355" s="113"/>
      <c r="BM355" s="114"/>
      <c r="BN355" s="114"/>
      <c r="BO355" s="110"/>
      <c r="BP355" s="113"/>
      <c r="BQ355" s="114"/>
      <c r="BR355" s="110"/>
      <c r="BS355" s="113"/>
      <c r="DI355" s="13"/>
      <c r="DJ355" s="13"/>
      <c r="DK355" s="13"/>
      <c r="DL355" s="13"/>
      <c r="DM355" s="13"/>
      <c r="DR355" s="29"/>
      <c r="DS355" s="29"/>
      <c r="DT355" s="29"/>
      <c r="DU355" s="29"/>
      <c r="DV355" s="29"/>
      <c r="DW355" s="29"/>
      <c r="DX355" s="29"/>
      <c r="DY355" s="29"/>
      <c r="DZ355" s="29"/>
      <c r="EA355" s="140"/>
      <c r="EB355" s="117"/>
      <c r="EC355" s="117"/>
      <c r="ED355" s="117"/>
      <c r="EE355" s="117"/>
      <c r="EF355" s="110"/>
      <c r="EG355" s="4"/>
      <c r="EH355" s="111"/>
      <c r="EI355" s="112"/>
      <c r="EJ355" s="112"/>
      <c r="EK355" s="110"/>
      <c r="EL355" s="113"/>
      <c r="EM355" s="114"/>
      <c r="EN355" s="114"/>
      <c r="EO355" s="110"/>
      <c r="EP355" s="113"/>
      <c r="EQ355" s="114"/>
      <c r="ER355" s="110"/>
      <c r="ES355" s="113"/>
    </row>
    <row r="356" spans="35:149">
      <c r="AI356" s="13"/>
      <c r="AJ356" s="13"/>
      <c r="AK356" s="13"/>
      <c r="AL356" s="13"/>
      <c r="AM356" s="13"/>
      <c r="AR356" s="29"/>
      <c r="AS356" s="29"/>
      <c r="AT356" s="29"/>
      <c r="AU356" s="29"/>
      <c r="AV356" s="29"/>
      <c r="AW356" s="29"/>
      <c r="AX356" s="29"/>
      <c r="AY356" s="29"/>
      <c r="AZ356" s="29"/>
      <c r="BA356" s="140"/>
      <c r="BB356" s="117"/>
      <c r="BC356" s="117"/>
      <c r="BD356" s="117"/>
      <c r="BE356" s="117"/>
      <c r="BF356" s="110"/>
      <c r="BG356" s="4"/>
      <c r="BH356" s="111"/>
      <c r="BI356" s="112"/>
      <c r="BJ356" s="112"/>
      <c r="BK356" s="110"/>
      <c r="BL356" s="113"/>
      <c r="BM356" s="114"/>
      <c r="BN356" s="114"/>
      <c r="BO356" s="110"/>
      <c r="BP356" s="113"/>
      <c r="BQ356" s="114"/>
      <c r="BR356" s="110"/>
      <c r="BS356" s="113"/>
      <c r="DI356" s="13"/>
      <c r="DJ356" s="13"/>
      <c r="DK356" s="13"/>
      <c r="DL356" s="13"/>
      <c r="DM356" s="13"/>
      <c r="DR356" s="29"/>
      <c r="DS356" s="29"/>
      <c r="DT356" s="29"/>
      <c r="DU356" s="29"/>
      <c r="DV356" s="29"/>
      <c r="DW356" s="29"/>
      <c r="DX356" s="29"/>
      <c r="DY356" s="29"/>
      <c r="DZ356" s="29"/>
      <c r="EA356" s="140"/>
      <c r="EB356" s="117"/>
      <c r="EC356" s="117"/>
      <c r="ED356" s="117"/>
      <c r="EE356" s="117"/>
      <c r="EF356" s="110"/>
      <c r="EG356" s="4"/>
      <c r="EH356" s="111"/>
      <c r="EI356" s="112"/>
      <c r="EJ356" s="112"/>
      <c r="EK356" s="110"/>
      <c r="EL356" s="113"/>
      <c r="EM356" s="114"/>
      <c r="EN356" s="114"/>
      <c r="EO356" s="110"/>
      <c r="EP356" s="113"/>
      <c r="EQ356" s="114"/>
      <c r="ER356" s="110"/>
      <c r="ES356" s="113"/>
    </row>
    <row r="357" spans="35:149">
      <c r="AI357" s="13"/>
      <c r="AJ357" s="13"/>
      <c r="AK357" s="13"/>
      <c r="AL357" s="13"/>
      <c r="AM357" s="13"/>
      <c r="AR357" s="29"/>
      <c r="AS357" s="29"/>
      <c r="AT357" s="29"/>
      <c r="AU357" s="29"/>
      <c r="AV357" s="29"/>
      <c r="AW357" s="29"/>
      <c r="AX357" s="29"/>
      <c r="AY357" s="29"/>
      <c r="AZ357" s="29"/>
      <c r="BA357" s="140"/>
      <c r="BB357" s="117"/>
      <c r="BC357" s="117"/>
      <c r="BD357" s="117"/>
      <c r="BE357" s="117"/>
      <c r="BF357" s="110"/>
      <c r="BG357" s="4"/>
      <c r="BH357" s="111"/>
      <c r="BI357" s="112"/>
      <c r="BJ357" s="112"/>
      <c r="BK357" s="110"/>
      <c r="BL357" s="113"/>
      <c r="BM357" s="114"/>
      <c r="BN357" s="114"/>
      <c r="BO357" s="110"/>
      <c r="BP357" s="113"/>
      <c r="BQ357" s="114"/>
      <c r="BR357" s="110"/>
      <c r="BS357" s="113"/>
      <c r="DI357" s="13"/>
      <c r="DJ357" s="13"/>
      <c r="DK357" s="13"/>
      <c r="DL357" s="13"/>
      <c r="DM357" s="13"/>
      <c r="DR357" s="29"/>
      <c r="DS357" s="29"/>
      <c r="DT357" s="29"/>
      <c r="DU357" s="29"/>
      <c r="DV357" s="29"/>
      <c r="DW357" s="29"/>
      <c r="DX357" s="29"/>
      <c r="DY357" s="29"/>
      <c r="DZ357" s="29"/>
      <c r="EA357" s="140"/>
      <c r="EB357" s="117"/>
      <c r="EC357" s="117"/>
      <c r="ED357" s="117"/>
      <c r="EE357" s="117"/>
      <c r="EF357" s="110"/>
      <c r="EG357" s="4"/>
      <c r="EH357" s="111"/>
      <c r="EI357" s="112"/>
      <c r="EJ357" s="112"/>
      <c r="EK357" s="110"/>
      <c r="EL357" s="113"/>
      <c r="EM357" s="114"/>
      <c r="EN357" s="114"/>
      <c r="EO357" s="110"/>
      <c r="EP357" s="113"/>
      <c r="EQ357" s="114"/>
      <c r="ER357" s="110"/>
      <c r="ES357" s="113"/>
    </row>
    <row r="358" spans="35:149">
      <c r="AI358" s="13"/>
      <c r="AJ358" s="13"/>
      <c r="AK358" s="13"/>
      <c r="AL358" s="13"/>
      <c r="AM358" s="13"/>
      <c r="AR358" s="29"/>
      <c r="AS358" s="29"/>
      <c r="AT358" s="29"/>
      <c r="AU358" s="29"/>
      <c r="AV358" s="29"/>
      <c r="AW358" s="29"/>
      <c r="AX358" s="29"/>
      <c r="AY358" s="29"/>
      <c r="AZ358" s="29"/>
      <c r="BA358" s="140"/>
      <c r="BB358" s="117"/>
      <c r="BC358" s="117"/>
      <c r="BD358" s="117"/>
      <c r="BE358" s="117"/>
      <c r="BF358" s="110"/>
      <c r="BG358" s="4"/>
      <c r="BH358" s="111"/>
      <c r="BI358" s="112"/>
      <c r="BJ358" s="112"/>
      <c r="BK358" s="110"/>
      <c r="BL358" s="113"/>
      <c r="BM358" s="114"/>
      <c r="BN358" s="114"/>
      <c r="BO358" s="110"/>
      <c r="BP358" s="113"/>
      <c r="BQ358" s="114"/>
      <c r="BR358" s="110"/>
      <c r="BS358" s="113"/>
      <c r="DI358" s="13"/>
      <c r="DJ358" s="13"/>
      <c r="DK358" s="13"/>
      <c r="DL358" s="13"/>
      <c r="DM358" s="13"/>
      <c r="DR358" s="29"/>
      <c r="DS358" s="29"/>
      <c r="DT358" s="29"/>
      <c r="DU358" s="29"/>
      <c r="DV358" s="29"/>
      <c r="DW358" s="29"/>
      <c r="DX358" s="29"/>
      <c r="DY358" s="29"/>
      <c r="DZ358" s="29"/>
      <c r="EA358" s="140"/>
      <c r="EB358" s="117"/>
      <c r="EC358" s="117"/>
      <c r="ED358" s="117"/>
      <c r="EE358" s="117"/>
      <c r="EF358" s="110"/>
      <c r="EG358" s="4"/>
      <c r="EH358" s="111"/>
      <c r="EI358" s="112"/>
      <c r="EJ358" s="112"/>
      <c r="EK358" s="110"/>
      <c r="EL358" s="113"/>
      <c r="EM358" s="114"/>
      <c r="EN358" s="114"/>
      <c r="EO358" s="110"/>
      <c r="EP358" s="113"/>
      <c r="EQ358" s="114"/>
      <c r="ER358" s="110"/>
      <c r="ES358" s="113"/>
    </row>
    <row r="359" spans="35:149">
      <c r="AI359" s="13"/>
      <c r="AJ359" s="13"/>
      <c r="AK359" s="13"/>
      <c r="AL359" s="13"/>
      <c r="AM359" s="13"/>
      <c r="AR359" s="29"/>
      <c r="AS359" s="29"/>
      <c r="AT359" s="29"/>
      <c r="AU359" s="29"/>
      <c r="AV359" s="29"/>
      <c r="AW359" s="29"/>
      <c r="AX359" s="29"/>
      <c r="AY359" s="29"/>
      <c r="AZ359" s="29"/>
      <c r="BA359" s="140"/>
      <c r="BB359" s="117"/>
      <c r="BC359" s="117"/>
      <c r="BD359" s="117"/>
      <c r="BE359" s="117"/>
      <c r="BF359" s="110"/>
      <c r="BG359" s="4"/>
      <c r="BH359" s="111"/>
      <c r="BI359" s="112"/>
      <c r="BJ359" s="112"/>
      <c r="BK359" s="110"/>
      <c r="BL359" s="113"/>
      <c r="BM359" s="114"/>
      <c r="BN359" s="114"/>
      <c r="BO359" s="110"/>
      <c r="BP359" s="113"/>
      <c r="BQ359" s="114"/>
      <c r="BR359" s="110"/>
      <c r="BS359" s="113"/>
      <c r="DI359" s="13"/>
      <c r="DJ359" s="13"/>
      <c r="DK359" s="13"/>
      <c r="DL359" s="13"/>
      <c r="DM359" s="13"/>
      <c r="DR359" s="29"/>
      <c r="DS359" s="29"/>
      <c r="DT359" s="29"/>
      <c r="DU359" s="29"/>
      <c r="DV359" s="29"/>
      <c r="DW359" s="29"/>
      <c r="DX359" s="29"/>
      <c r="DY359" s="29"/>
      <c r="DZ359" s="29"/>
      <c r="EA359" s="140"/>
      <c r="EB359" s="117"/>
      <c r="EC359" s="117"/>
      <c r="ED359" s="117"/>
      <c r="EE359" s="117"/>
      <c r="EF359" s="110"/>
      <c r="EG359" s="4"/>
      <c r="EH359" s="111"/>
      <c r="EI359" s="112"/>
      <c r="EJ359" s="112"/>
      <c r="EK359" s="110"/>
      <c r="EL359" s="113"/>
      <c r="EM359" s="114"/>
      <c r="EN359" s="114"/>
      <c r="EO359" s="110"/>
      <c r="EP359" s="113"/>
      <c r="EQ359" s="114"/>
      <c r="ER359" s="110"/>
      <c r="ES359" s="113"/>
    </row>
    <row r="360" spans="35:149">
      <c r="AI360" s="13"/>
      <c r="AJ360" s="13"/>
      <c r="AK360" s="13"/>
      <c r="AL360" s="13"/>
      <c r="AM360" s="13"/>
      <c r="AR360" s="29"/>
      <c r="AS360" s="29"/>
      <c r="AT360" s="29"/>
      <c r="AU360" s="29"/>
      <c r="AV360" s="29"/>
      <c r="AW360" s="29"/>
      <c r="AX360" s="29"/>
      <c r="AY360" s="29"/>
      <c r="AZ360" s="29"/>
      <c r="BA360" s="140"/>
      <c r="BB360" s="117"/>
      <c r="BC360" s="117"/>
      <c r="BD360" s="117"/>
      <c r="BE360" s="117"/>
      <c r="BF360" s="110"/>
      <c r="BG360" s="4"/>
      <c r="BH360" s="111"/>
      <c r="BI360" s="112"/>
      <c r="BJ360" s="112"/>
      <c r="BK360" s="110"/>
      <c r="BL360" s="113"/>
      <c r="BM360" s="114"/>
      <c r="BN360" s="114"/>
      <c r="BO360" s="110"/>
      <c r="BP360" s="113"/>
      <c r="BQ360" s="114"/>
      <c r="BR360" s="110"/>
      <c r="BS360" s="113"/>
      <c r="DI360" s="13"/>
      <c r="DJ360" s="13"/>
      <c r="DK360" s="13"/>
      <c r="DL360" s="13"/>
      <c r="DM360" s="13"/>
      <c r="DR360" s="29"/>
      <c r="DS360" s="29"/>
      <c r="DT360" s="29"/>
      <c r="DU360" s="29"/>
      <c r="DV360" s="29"/>
      <c r="DW360" s="29"/>
      <c r="DX360" s="29"/>
      <c r="DY360" s="29"/>
      <c r="DZ360" s="29"/>
      <c r="EA360" s="140"/>
      <c r="EB360" s="117"/>
      <c r="EC360" s="117"/>
      <c r="ED360" s="117"/>
      <c r="EE360" s="117"/>
      <c r="EF360" s="110"/>
      <c r="EG360" s="4"/>
      <c r="EH360" s="111"/>
      <c r="EI360" s="112"/>
      <c r="EJ360" s="112"/>
      <c r="EK360" s="110"/>
      <c r="EL360" s="113"/>
      <c r="EM360" s="114"/>
      <c r="EN360" s="114"/>
      <c r="EO360" s="110"/>
      <c r="EP360" s="113"/>
      <c r="EQ360" s="114"/>
      <c r="ER360" s="110"/>
      <c r="ES360" s="113"/>
    </row>
    <row r="361" spans="35:149">
      <c r="AI361" s="13"/>
      <c r="AJ361" s="13"/>
      <c r="AK361" s="13"/>
      <c r="AL361" s="13"/>
      <c r="AM361" s="13"/>
      <c r="AR361" s="29"/>
      <c r="AS361" s="29"/>
      <c r="AT361" s="29"/>
      <c r="AU361" s="29"/>
      <c r="AV361" s="29"/>
      <c r="AW361" s="29"/>
      <c r="AX361" s="29"/>
      <c r="AY361" s="29"/>
      <c r="AZ361" s="29"/>
      <c r="BA361" s="140"/>
      <c r="BB361" s="117"/>
      <c r="BC361" s="117"/>
      <c r="BD361" s="117"/>
      <c r="BE361" s="117"/>
      <c r="BF361" s="110"/>
      <c r="BG361" s="4"/>
      <c r="BH361" s="111"/>
      <c r="BI361" s="112"/>
      <c r="BJ361" s="112"/>
      <c r="BK361" s="110"/>
      <c r="BL361" s="113"/>
      <c r="BM361" s="114"/>
      <c r="BN361" s="114"/>
      <c r="BO361" s="110"/>
      <c r="BP361" s="113"/>
      <c r="BQ361" s="114"/>
      <c r="BR361" s="110"/>
      <c r="BS361" s="113"/>
      <c r="DI361" s="13"/>
      <c r="DJ361" s="13"/>
      <c r="DK361" s="13"/>
      <c r="DL361" s="13"/>
      <c r="DM361" s="13"/>
      <c r="DR361" s="29"/>
      <c r="DS361" s="29"/>
      <c r="DT361" s="29"/>
      <c r="DU361" s="29"/>
      <c r="DV361" s="29"/>
      <c r="DW361" s="29"/>
      <c r="DX361" s="29"/>
      <c r="DY361" s="29"/>
      <c r="DZ361" s="29"/>
      <c r="EA361" s="140"/>
      <c r="EB361" s="117"/>
      <c r="EC361" s="117"/>
      <c r="ED361" s="117"/>
      <c r="EE361" s="117"/>
      <c r="EF361" s="110"/>
      <c r="EG361" s="4"/>
      <c r="EH361" s="111"/>
      <c r="EI361" s="112"/>
      <c r="EJ361" s="112"/>
      <c r="EK361" s="110"/>
      <c r="EL361" s="113"/>
      <c r="EM361" s="114"/>
      <c r="EN361" s="114"/>
      <c r="EO361" s="110"/>
      <c r="EP361" s="113"/>
      <c r="EQ361" s="114"/>
      <c r="ER361" s="110"/>
      <c r="ES361" s="113"/>
    </row>
    <row r="362" spans="35:149">
      <c r="AI362" s="13"/>
      <c r="AJ362" s="13"/>
      <c r="AK362" s="13"/>
      <c r="AL362" s="13"/>
      <c r="AM362" s="13"/>
      <c r="AR362" s="29"/>
      <c r="AS362" s="29"/>
      <c r="AT362" s="29"/>
      <c r="AU362" s="29"/>
      <c r="AV362" s="29"/>
      <c r="AW362" s="29"/>
      <c r="AX362" s="29"/>
      <c r="AY362" s="29"/>
      <c r="AZ362" s="29"/>
      <c r="BA362" s="140"/>
      <c r="BB362" s="117"/>
      <c r="BC362" s="117"/>
      <c r="BD362" s="117"/>
      <c r="BE362" s="117"/>
      <c r="BF362" s="110"/>
      <c r="BG362" s="4"/>
      <c r="BH362" s="111"/>
      <c r="BI362" s="112"/>
      <c r="BJ362" s="112"/>
      <c r="BK362" s="110"/>
      <c r="BL362" s="113"/>
      <c r="BM362" s="114"/>
      <c r="BN362" s="114"/>
      <c r="BO362" s="110"/>
      <c r="BP362" s="113"/>
      <c r="BQ362" s="114"/>
      <c r="BR362" s="110"/>
      <c r="BS362" s="113"/>
      <c r="DI362" s="13"/>
      <c r="DJ362" s="13"/>
      <c r="DK362" s="13"/>
      <c r="DL362" s="13"/>
      <c r="DM362" s="13"/>
      <c r="DR362" s="29"/>
      <c r="DS362" s="29"/>
      <c r="DT362" s="29"/>
      <c r="DU362" s="29"/>
      <c r="DV362" s="29"/>
      <c r="DW362" s="29"/>
      <c r="DX362" s="29"/>
      <c r="DY362" s="29"/>
      <c r="DZ362" s="29"/>
      <c r="EA362" s="140"/>
      <c r="EB362" s="117"/>
      <c r="EC362" s="117"/>
      <c r="ED362" s="117"/>
      <c r="EE362" s="117"/>
      <c r="EF362" s="110"/>
      <c r="EG362" s="4"/>
      <c r="EH362" s="111"/>
      <c r="EI362" s="112"/>
      <c r="EJ362" s="112"/>
      <c r="EK362" s="110"/>
      <c r="EL362" s="113"/>
      <c r="EM362" s="114"/>
      <c r="EN362" s="114"/>
      <c r="EO362" s="110"/>
      <c r="EP362" s="113"/>
      <c r="EQ362" s="114"/>
      <c r="ER362" s="110"/>
      <c r="ES362" s="113"/>
    </row>
    <row r="363" spans="35:149">
      <c r="AI363" s="13"/>
      <c r="AJ363" s="13"/>
      <c r="AK363" s="13"/>
      <c r="AL363" s="13"/>
      <c r="AM363" s="13"/>
      <c r="AR363" s="29"/>
      <c r="AS363" s="29"/>
      <c r="AT363" s="29"/>
      <c r="AU363" s="29"/>
      <c r="AV363" s="29"/>
      <c r="AW363" s="29"/>
      <c r="AX363" s="29"/>
      <c r="AY363" s="29"/>
      <c r="AZ363" s="29"/>
      <c r="BA363" s="140"/>
      <c r="BB363" s="117"/>
      <c r="BC363" s="117"/>
      <c r="BD363" s="117"/>
      <c r="BE363" s="117"/>
      <c r="BF363" s="110"/>
      <c r="BG363" s="4"/>
      <c r="BH363" s="111"/>
      <c r="BI363" s="112"/>
      <c r="BJ363" s="112"/>
      <c r="BK363" s="110"/>
      <c r="BL363" s="113"/>
      <c r="BM363" s="114"/>
      <c r="BN363" s="114"/>
      <c r="BO363" s="110"/>
      <c r="BP363" s="113"/>
      <c r="BQ363" s="114"/>
      <c r="BR363" s="110"/>
      <c r="BS363" s="113"/>
      <c r="DI363" s="13"/>
      <c r="DJ363" s="13"/>
      <c r="DK363" s="13"/>
      <c r="DL363" s="13"/>
      <c r="DM363" s="13"/>
      <c r="DR363" s="29"/>
      <c r="DS363" s="29"/>
      <c r="DT363" s="29"/>
      <c r="DU363" s="29"/>
      <c r="DV363" s="29"/>
      <c r="DW363" s="29"/>
      <c r="DX363" s="29"/>
      <c r="DY363" s="29"/>
      <c r="DZ363" s="29"/>
      <c r="EA363" s="140"/>
      <c r="EB363" s="117"/>
      <c r="EC363" s="117"/>
      <c r="ED363" s="117"/>
      <c r="EE363" s="117"/>
      <c r="EF363" s="110"/>
      <c r="EG363" s="4"/>
      <c r="EH363" s="111"/>
      <c r="EI363" s="112"/>
      <c r="EJ363" s="112"/>
      <c r="EK363" s="110"/>
      <c r="EL363" s="113"/>
      <c r="EM363" s="114"/>
      <c r="EN363" s="114"/>
      <c r="EO363" s="110"/>
      <c r="EP363" s="113"/>
      <c r="EQ363" s="114"/>
      <c r="ER363" s="110"/>
      <c r="ES363" s="113"/>
    </row>
    <row r="364" spans="35:149">
      <c r="AI364" s="13"/>
      <c r="AJ364" s="13"/>
      <c r="AK364" s="13"/>
      <c r="AL364" s="13"/>
      <c r="AM364" s="13"/>
      <c r="AR364" s="29"/>
      <c r="AS364" s="29"/>
      <c r="AT364" s="29"/>
      <c r="AU364" s="29"/>
      <c r="AV364" s="29"/>
      <c r="AW364" s="29"/>
      <c r="AX364" s="29"/>
      <c r="AY364" s="29"/>
      <c r="AZ364" s="29"/>
      <c r="BA364" s="140"/>
      <c r="BB364" s="117"/>
      <c r="BC364" s="117"/>
      <c r="BD364" s="117"/>
      <c r="BE364" s="117"/>
      <c r="BF364" s="110"/>
      <c r="BG364" s="4"/>
      <c r="BH364" s="111"/>
      <c r="BI364" s="112"/>
      <c r="BJ364" s="112"/>
      <c r="BK364" s="110"/>
      <c r="BL364" s="113"/>
      <c r="BM364" s="114"/>
      <c r="BN364" s="114"/>
      <c r="BO364" s="110"/>
      <c r="BP364" s="113"/>
      <c r="BQ364" s="114"/>
      <c r="BR364" s="110"/>
      <c r="BS364" s="113"/>
      <c r="DI364" s="13"/>
      <c r="DJ364" s="13"/>
      <c r="DK364" s="13"/>
      <c r="DL364" s="13"/>
      <c r="DM364" s="13"/>
      <c r="DR364" s="29"/>
      <c r="DS364" s="29"/>
      <c r="DT364" s="29"/>
      <c r="DU364" s="29"/>
      <c r="DV364" s="29"/>
      <c r="DW364" s="29"/>
      <c r="DX364" s="29"/>
      <c r="DY364" s="29"/>
      <c r="DZ364" s="29"/>
      <c r="EA364" s="140"/>
      <c r="EB364" s="117"/>
      <c r="EC364" s="117"/>
      <c r="ED364" s="117"/>
      <c r="EE364" s="117"/>
      <c r="EF364" s="110"/>
      <c r="EG364" s="4"/>
      <c r="EH364" s="111"/>
      <c r="EI364" s="112"/>
      <c r="EJ364" s="112"/>
      <c r="EK364" s="110"/>
      <c r="EL364" s="113"/>
      <c r="EM364" s="114"/>
      <c r="EN364" s="114"/>
      <c r="EO364" s="110"/>
      <c r="EP364" s="113"/>
      <c r="EQ364" s="114"/>
      <c r="ER364" s="110"/>
      <c r="ES364" s="113"/>
    </row>
    <row r="365" spans="35:149">
      <c r="AI365" s="13"/>
      <c r="AJ365" s="13"/>
      <c r="AK365" s="13"/>
      <c r="AL365" s="13"/>
      <c r="AM365" s="13"/>
      <c r="AR365" s="29"/>
      <c r="AS365" s="29"/>
      <c r="AT365" s="29"/>
      <c r="AU365" s="29"/>
      <c r="AV365" s="29"/>
      <c r="AW365" s="29"/>
      <c r="AX365" s="29"/>
      <c r="AY365" s="29"/>
      <c r="AZ365" s="29"/>
      <c r="BA365" s="140"/>
      <c r="BB365" s="117"/>
      <c r="BC365" s="117"/>
      <c r="BD365" s="117"/>
      <c r="BE365" s="117"/>
      <c r="BF365" s="110"/>
      <c r="BG365" s="4"/>
      <c r="BH365" s="111"/>
      <c r="BI365" s="112"/>
      <c r="BJ365" s="112"/>
      <c r="BK365" s="110"/>
      <c r="BL365" s="113"/>
      <c r="BM365" s="114"/>
      <c r="BN365" s="114"/>
      <c r="BO365" s="110"/>
      <c r="BP365" s="113"/>
      <c r="BQ365" s="114"/>
      <c r="BR365" s="110"/>
      <c r="BS365" s="113"/>
      <c r="DI365" s="13"/>
      <c r="DJ365" s="13"/>
      <c r="DK365" s="13"/>
      <c r="DL365" s="13"/>
      <c r="DM365" s="13"/>
      <c r="DR365" s="29"/>
      <c r="DS365" s="29"/>
      <c r="DT365" s="29"/>
      <c r="DU365" s="29"/>
      <c r="DV365" s="29"/>
      <c r="DW365" s="29"/>
      <c r="DX365" s="29"/>
      <c r="DY365" s="29"/>
      <c r="DZ365" s="29"/>
      <c r="EA365" s="140"/>
      <c r="EB365" s="117"/>
      <c r="EC365" s="117"/>
      <c r="ED365" s="117"/>
      <c r="EE365" s="117"/>
      <c r="EF365" s="110"/>
      <c r="EG365" s="4"/>
      <c r="EH365" s="111"/>
      <c r="EI365" s="112"/>
      <c r="EJ365" s="112"/>
      <c r="EK365" s="110"/>
      <c r="EL365" s="113"/>
      <c r="EM365" s="114"/>
      <c r="EN365" s="114"/>
      <c r="EO365" s="110"/>
      <c r="EP365" s="113"/>
      <c r="EQ365" s="114"/>
      <c r="ER365" s="110"/>
      <c r="ES365" s="113"/>
    </row>
    <row r="366" spans="35:149">
      <c r="AI366" s="13"/>
      <c r="AJ366" s="13"/>
      <c r="AK366" s="13"/>
      <c r="AL366" s="13"/>
      <c r="AM366" s="13"/>
      <c r="AR366" s="29"/>
      <c r="AS366" s="29"/>
      <c r="AT366" s="29"/>
      <c r="AU366" s="29"/>
      <c r="AV366" s="29"/>
      <c r="AW366" s="29"/>
      <c r="AX366" s="29"/>
      <c r="AY366" s="29"/>
      <c r="AZ366" s="29"/>
      <c r="BA366" s="140"/>
      <c r="BB366" s="117"/>
      <c r="BC366" s="117"/>
      <c r="BD366" s="117"/>
      <c r="BE366" s="117"/>
      <c r="BF366" s="110"/>
      <c r="BG366" s="4"/>
      <c r="BH366" s="111"/>
      <c r="BI366" s="112"/>
      <c r="BJ366" s="112"/>
      <c r="BK366" s="110"/>
      <c r="BL366" s="113"/>
      <c r="BM366" s="114"/>
      <c r="BN366" s="114"/>
      <c r="BO366" s="110"/>
      <c r="BP366" s="113"/>
      <c r="BQ366" s="114"/>
      <c r="BR366" s="110"/>
      <c r="BS366" s="113"/>
      <c r="DI366" s="13"/>
      <c r="DJ366" s="13"/>
      <c r="DK366" s="13"/>
      <c r="DL366" s="13"/>
      <c r="DM366" s="13"/>
      <c r="DR366" s="29"/>
      <c r="DS366" s="29"/>
      <c r="DT366" s="29"/>
      <c r="DU366" s="29"/>
      <c r="DV366" s="29"/>
      <c r="DW366" s="29"/>
      <c r="DX366" s="29"/>
      <c r="DY366" s="29"/>
      <c r="DZ366" s="29"/>
      <c r="EA366" s="140"/>
      <c r="EB366" s="117"/>
      <c r="EC366" s="117"/>
      <c r="ED366" s="117"/>
      <c r="EE366" s="117"/>
      <c r="EF366" s="110"/>
      <c r="EG366" s="4"/>
      <c r="EH366" s="111"/>
      <c r="EI366" s="112"/>
      <c r="EJ366" s="112"/>
      <c r="EK366" s="110"/>
      <c r="EL366" s="113"/>
      <c r="EM366" s="114"/>
      <c r="EN366" s="114"/>
      <c r="EO366" s="110"/>
      <c r="EP366" s="113"/>
      <c r="EQ366" s="114"/>
      <c r="ER366" s="110"/>
      <c r="ES366" s="113"/>
    </row>
    <row r="367" spans="35:149">
      <c r="AI367" s="13"/>
      <c r="AJ367" s="13"/>
      <c r="AK367" s="13"/>
      <c r="AL367" s="13"/>
      <c r="AM367" s="13"/>
      <c r="AR367" s="29"/>
      <c r="AS367" s="29"/>
      <c r="AT367" s="29"/>
      <c r="AU367" s="29"/>
      <c r="AV367" s="29"/>
      <c r="AW367" s="29"/>
      <c r="AX367" s="29"/>
      <c r="AY367" s="29"/>
      <c r="AZ367" s="29"/>
      <c r="BA367" s="140"/>
      <c r="BB367" s="117"/>
      <c r="BC367" s="117"/>
      <c r="BD367" s="117"/>
      <c r="BE367" s="117"/>
      <c r="BF367" s="110"/>
      <c r="BG367" s="4"/>
      <c r="BH367" s="111"/>
      <c r="BI367" s="112"/>
      <c r="BJ367" s="112"/>
      <c r="BK367" s="110"/>
      <c r="BL367" s="113"/>
      <c r="BM367" s="114"/>
      <c r="BN367" s="114"/>
      <c r="BO367" s="110"/>
      <c r="BP367" s="113"/>
      <c r="BQ367" s="114"/>
      <c r="BR367" s="110"/>
      <c r="BS367" s="113"/>
      <c r="DI367" s="13"/>
      <c r="DJ367" s="13"/>
      <c r="DK367" s="13"/>
      <c r="DL367" s="13"/>
      <c r="DM367" s="13"/>
      <c r="DR367" s="29"/>
      <c r="DS367" s="29"/>
      <c r="DT367" s="29"/>
      <c r="DU367" s="29"/>
      <c r="DV367" s="29"/>
      <c r="DW367" s="29"/>
      <c r="DX367" s="29"/>
      <c r="DY367" s="29"/>
      <c r="DZ367" s="29"/>
      <c r="EA367" s="140"/>
      <c r="EB367" s="117"/>
      <c r="EC367" s="117"/>
      <c r="ED367" s="117"/>
      <c r="EE367" s="117"/>
      <c r="EF367" s="110"/>
      <c r="EG367" s="4"/>
      <c r="EH367" s="111"/>
      <c r="EI367" s="112"/>
      <c r="EJ367" s="112"/>
      <c r="EK367" s="110"/>
      <c r="EL367" s="113"/>
      <c r="EM367" s="114"/>
      <c r="EN367" s="114"/>
      <c r="EO367" s="110"/>
      <c r="EP367" s="113"/>
      <c r="EQ367" s="114"/>
      <c r="ER367" s="110"/>
      <c r="ES367" s="113"/>
    </row>
    <row r="368" spans="35:149">
      <c r="AI368" s="13"/>
      <c r="AJ368" s="13"/>
      <c r="AK368" s="13"/>
      <c r="AL368" s="13"/>
      <c r="AM368" s="13"/>
      <c r="AR368" s="29"/>
      <c r="AS368" s="29"/>
      <c r="AT368" s="29"/>
      <c r="AU368" s="29"/>
      <c r="AV368" s="29"/>
      <c r="AW368" s="29"/>
      <c r="AX368" s="29"/>
      <c r="AY368" s="29"/>
      <c r="AZ368" s="29"/>
      <c r="BA368" s="140"/>
      <c r="BB368" s="117"/>
      <c r="BC368" s="117"/>
      <c r="BD368" s="117"/>
      <c r="BE368" s="117"/>
      <c r="BF368" s="110"/>
      <c r="BG368" s="4"/>
      <c r="BH368" s="111"/>
      <c r="BI368" s="112"/>
      <c r="BJ368" s="112"/>
      <c r="BK368" s="110"/>
      <c r="BL368" s="113"/>
      <c r="BM368" s="114"/>
      <c r="BN368" s="114"/>
      <c r="BO368" s="110"/>
      <c r="BP368" s="113"/>
      <c r="BQ368" s="114"/>
      <c r="BR368" s="110"/>
      <c r="BS368" s="113"/>
      <c r="DI368" s="13"/>
      <c r="DJ368" s="13"/>
      <c r="DK368" s="13"/>
      <c r="DL368" s="13"/>
      <c r="DM368" s="13"/>
      <c r="DR368" s="29"/>
      <c r="DS368" s="29"/>
      <c r="DT368" s="29"/>
      <c r="DU368" s="29"/>
      <c r="DV368" s="29"/>
      <c r="DW368" s="29"/>
      <c r="DX368" s="29"/>
      <c r="DY368" s="29"/>
      <c r="DZ368" s="29"/>
      <c r="EA368" s="140"/>
      <c r="EB368" s="117"/>
      <c r="EC368" s="117"/>
      <c r="ED368" s="117"/>
      <c r="EE368" s="117"/>
      <c r="EF368" s="110"/>
      <c r="EG368" s="4"/>
      <c r="EH368" s="111"/>
      <c r="EI368" s="112"/>
      <c r="EJ368" s="112"/>
      <c r="EK368" s="110"/>
      <c r="EL368" s="113"/>
      <c r="EM368" s="114"/>
      <c r="EN368" s="114"/>
      <c r="EO368" s="110"/>
      <c r="EP368" s="113"/>
      <c r="EQ368" s="114"/>
      <c r="ER368" s="110"/>
      <c r="ES368" s="113"/>
    </row>
    <row r="369" spans="35:149">
      <c r="AI369" s="13"/>
      <c r="AJ369" s="13"/>
      <c r="AK369" s="13"/>
      <c r="AL369" s="13"/>
      <c r="AM369" s="13"/>
      <c r="AR369" s="29"/>
      <c r="AS369" s="29"/>
      <c r="AT369" s="29"/>
      <c r="AU369" s="29"/>
      <c r="AV369" s="29"/>
      <c r="AW369" s="29"/>
      <c r="AX369" s="29"/>
      <c r="AY369" s="29"/>
      <c r="AZ369" s="29"/>
      <c r="BA369" s="140"/>
      <c r="BB369" s="117"/>
      <c r="BC369" s="117"/>
      <c r="BD369" s="117"/>
      <c r="BE369" s="117"/>
      <c r="BF369" s="110"/>
      <c r="BG369" s="4"/>
      <c r="BH369" s="111"/>
      <c r="BI369" s="112"/>
      <c r="BJ369" s="112"/>
      <c r="BK369" s="110"/>
      <c r="BL369" s="113"/>
      <c r="BM369" s="114"/>
      <c r="BN369" s="114"/>
      <c r="BO369" s="110"/>
      <c r="BP369" s="113"/>
      <c r="BQ369" s="114"/>
      <c r="BR369" s="110"/>
      <c r="BS369" s="113"/>
      <c r="DI369" s="13"/>
      <c r="DJ369" s="13"/>
      <c r="DK369" s="13"/>
      <c r="DL369" s="13"/>
      <c r="DM369" s="13"/>
      <c r="DR369" s="29"/>
      <c r="DS369" s="29"/>
      <c r="DT369" s="29"/>
      <c r="DU369" s="29"/>
      <c r="DV369" s="29"/>
      <c r="DW369" s="29"/>
      <c r="DX369" s="29"/>
      <c r="DY369" s="29"/>
      <c r="DZ369" s="29"/>
      <c r="EA369" s="140"/>
      <c r="EB369" s="117"/>
      <c r="EC369" s="117"/>
      <c r="ED369" s="117"/>
      <c r="EE369" s="117"/>
      <c r="EF369" s="110"/>
      <c r="EG369" s="4"/>
      <c r="EH369" s="111"/>
      <c r="EI369" s="112"/>
      <c r="EJ369" s="112"/>
      <c r="EK369" s="110"/>
      <c r="EL369" s="113"/>
      <c r="EM369" s="114"/>
      <c r="EN369" s="114"/>
      <c r="EO369" s="110"/>
      <c r="EP369" s="113"/>
      <c r="EQ369" s="114"/>
      <c r="ER369" s="110"/>
      <c r="ES369" s="113"/>
    </row>
    <row r="370" spans="35:149">
      <c r="AI370" s="13"/>
      <c r="AJ370" s="13"/>
      <c r="AK370" s="13"/>
      <c r="AL370" s="13"/>
      <c r="AM370" s="13"/>
      <c r="AR370" s="29"/>
      <c r="AS370" s="29"/>
      <c r="AT370" s="29"/>
      <c r="AU370" s="29"/>
      <c r="AV370" s="29"/>
      <c r="AW370" s="29"/>
      <c r="AX370" s="29"/>
      <c r="AY370" s="29"/>
      <c r="AZ370" s="29"/>
      <c r="BA370" s="140"/>
      <c r="BB370" s="117"/>
      <c r="BC370" s="117"/>
      <c r="BD370" s="117"/>
      <c r="BE370" s="117"/>
      <c r="BF370" s="110"/>
      <c r="BG370" s="4"/>
      <c r="BH370" s="111"/>
      <c r="BI370" s="112"/>
      <c r="BJ370" s="112"/>
      <c r="BK370" s="110"/>
      <c r="BL370" s="113"/>
      <c r="BM370" s="114"/>
      <c r="BN370" s="114"/>
      <c r="BO370" s="110"/>
      <c r="BP370" s="113"/>
      <c r="BQ370" s="114"/>
      <c r="BR370" s="110"/>
      <c r="BS370" s="113"/>
      <c r="DI370" s="13"/>
      <c r="DJ370" s="13"/>
      <c r="DK370" s="13"/>
      <c r="DL370" s="13"/>
      <c r="DM370" s="13"/>
      <c r="DR370" s="29"/>
      <c r="DS370" s="29"/>
      <c r="DT370" s="29"/>
      <c r="DU370" s="29"/>
      <c r="DV370" s="29"/>
      <c r="DW370" s="29"/>
      <c r="DX370" s="29"/>
      <c r="DY370" s="29"/>
      <c r="DZ370" s="29"/>
      <c r="EA370" s="140"/>
      <c r="EB370" s="117"/>
      <c r="EC370" s="117"/>
      <c r="ED370" s="117"/>
      <c r="EE370" s="117"/>
      <c r="EF370" s="110"/>
      <c r="EG370" s="4"/>
      <c r="EH370" s="111"/>
      <c r="EI370" s="112"/>
      <c r="EJ370" s="112"/>
      <c r="EK370" s="110"/>
      <c r="EL370" s="113"/>
      <c r="EM370" s="114"/>
      <c r="EN370" s="114"/>
      <c r="EO370" s="110"/>
      <c r="EP370" s="113"/>
      <c r="EQ370" s="114"/>
      <c r="ER370" s="110"/>
      <c r="ES370" s="113"/>
    </row>
    <row r="371" spans="35:149">
      <c r="AI371" s="13"/>
      <c r="AJ371" s="13"/>
      <c r="AK371" s="13"/>
      <c r="AL371" s="13"/>
      <c r="AM371" s="13"/>
      <c r="AR371" s="29"/>
      <c r="AS371" s="29"/>
      <c r="AT371" s="29"/>
      <c r="AU371" s="29"/>
      <c r="AV371" s="29"/>
      <c r="AW371" s="29"/>
      <c r="AX371" s="29"/>
      <c r="AY371" s="29"/>
      <c r="AZ371" s="29"/>
      <c r="BA371" s="140"/>
      <c r="BB371" s="117"/>
      <c r="BC371" s="117"/>
      <c r="BD371" s="117"/>
      <c r="BE371" s="117"/>
      <c r="BF371" s="110"/>
      <c r="BG371" s="4"/>
      <c r="BH371" s="111"/>
      <c r="BI371" s="112"/>
      <c r="BJ371" s="112"/>
      <c r="BK371" s="110"/>
      <c r="BL371" s="113"/>
      <c r="BM371" s="114"/>
      <c r="BN371" s="114"/>
      <c r="BO371" s="110"/>
      <c r="BP371" s="113"/>
      <c r="BQ371" s="114"/>
      <c r="BR371" s="110"/>
      <c r="BS371" s="113"/>
      <c r="DI371" s="13"/>
      <c r="DJ371" s="13"/>
      <c r="DK371" s="13"/>
      <c r="DL371" s="13"/>
      <c r="DM371" s="13"/>
      <c r="DR371" s="29"/>
      <c r="DS371" s="29"/>
      <c r="DT371" s="29"/>
      <c r="DU371" s="29"/>
      <c r="DV371" s="29"/>
      <c r="DW371" s="29"/>
      <c r="DX371" s="29"/>
      <c r="DY371" s="29"/>
      <c r="DZ371" s="29"/>
      <c r="EA371" s="140"/>
      <c r="EB371" s="117"/>
      <c r="EC371" s="117"/>
      <c r="ED371" s="117"/>
      <c r="EE371" s="117"/>
      <c r="EF371" s="110"/>
      <c r="EG371" s="4"/>
      <c r="EH371" s="111"/>
      <c r="EI371" s="112"/>
      <c r="EJ371" s="112"/>
      <c r="EK371" s="110"/>
      <c r="EL371" s="113"/>
      <c r="EM371" s="114"/>
      <c r="EN371" s="114"/>
      <c r="EO371" s="110"/>
      <c r="EP371" s="113"/>
      <c r="EQ371" s="114"/>
      <c r="ER371" s="110"/>
      <c r="ES371" s="113"/>
    </row>
    <row r="372" spans="35:149">
      <c r="AI372" s="13"/>
      <c r="AJ372" s="13"/>
      <c r="AK372" s="13"/>
      <c r="AL372" s="13"/>
      <c r="AM372" s="13"/>
      <c r="AR372" s="29"/>
      <c r="AS372" s="29"/>
      <c r="AT372" s="29"/>
      <c r="AU372" s="29"/>
      <c r="AV372" s="29"/>
      <c r="AW372" s="29"/>
      <c r="AX372" s="29"/>
      <c r="AY372" s="29"/>
      <c r="AZ372" s="29"/>
      <c r="BA372" s="140"/>
      <c r="BB372" s="117"/>
      <c r="BC372" s="117"/>
      <c r="BD372" s="117"/>
      <c r="BE372" s="117"/>
      <c r="BF372" s="110"/>
      <c r="BG372" s="4"/>
      <c r="BH372" s="111"/>
      <c r="BI372" s="112"/>
      <c r="BJ372" s="112"/>
      <c r="BK372" s="110"/>
      <c r="BL372" s="113"/>
      <c r="BM372" s="114"/>
      <c r="BN372" s="114"/>
      <c r="BO372" s="110"/>
      <c r="BP372" s="113"/>
      <c r="BQ372" s="114"/>
      <c r="BR372" s="110"/>
      <c r="BS372" s="113"/>
      <c r="DI372" s="13"/>
      <c r="DJ372" s="13"/>
      <c r="DK372" s="13"/>
      <c r="DL372" s="13"/>
      <c r="DM372" s="13"/>
      <c r="DR372" s="29"/>
      <c r="DS372" s="29"/>
      <c r="DT372" s="29"/>
      <c r="DU372" s="29"/>
      <c r="DV372" s="29"/>
      <c r="DW372" s="29"/>
      <c r="DX372" s="29"/>
      <c r="DY372" s="29"/>
      <c r="DZ372" s="29"/>
      <c r="EA372" s="140"/>
      <c r="EB372" s="117"/>
      <c r="EC372" s="117"/>
      <c r="ED372" s="117"/>
      <c r="EE372" s="117"/>
      <c r="EF372" s="110"/>
      <c r="EG372" s="4"/>
      <c r="EH372" s="111"/>
      <c r="EI372" s="112"/>
      <c r="EJ372" s="112"/>
      <c r="EK372" s="110"/>
      <c r="EL372" s="113"/>
      <c r="EM372" s="114"/>
      <c r="EN372" s="114"/>
      <c r="EO372" s="110"/>
      <c r="EP372" s="113"/>
      <c r="EQ372" s="114"/>
      <c r="ER372" s="110"/>
      <c r="ES372" s="113"/>
    </row>
    <row r="373" spans="35:149">
      <c r="AI373" s="13"/>
      <c r="AJ373" s="13"/>
      <c r="AK373" s="13"/>
      <c r="AL373" s="13"/>
      <c r="AM373" s="13"/>
      <c r="AR373" s="29"/>
      <c r="AS373" s="29"/>
      <c r="AT373" s="29"/>
      <c r="AU373" s="29"/>
      <c r="AV373" s="29"/>
      <c r="AW373" s="29"/>
      <c r="AX373" s="29"/>
      <c r="AY373" s="29"/>
      <c r="AZ373" s="29"/>
      <c r="BA373" s="140"/>
      <c r="BB373" s="117"/>
      <c r="BC373" s="117"/>
      <c r="BD373" s="117"/>
      <c r="BE373" s="117"/>
      <c r="BF373" s="110"/>
      <c r="BG373" s="4"/>
      <c r="BH373" s="111"/>
      <c r="BI373" s="112"/>
      <c r="BJ373" s="112"/>
      <c r="BK373" s="110"/>
      <c r="BL373" s="113"/>
      <c r="BM373" s="114"/>
      <c r="BN373" s="114"/>
      <c r="BO373" s="110"/>
      <c r="BP373" s="113"/>
      <c r="BQ373" s="114"/>
      <c r="BR373" s="110"/>
      <c r="BS373" s="113"/>
      <c r="DI373" s="13"/>
      <c r="DJ373" s="13"/>
      <c r="DK373" s="13"/>
      <c r="DL373" s="13"/>
      <c r="DM373" s="13"/>
      <c r="DR373" s="29"/>
      <c r="DS373" s="29"/>
      <c r="DT373" s="29"/>
      <c r="DU373" s="29"/>
      <c r="DV373" s="29"/>
      <c r="DW373" s="29"/>
      <c r="DX373" s="29"/>
      <c r="DY373" s="29"/>
      <c r="DZ373" s="29"/>
      <c r="EA373" s="140"/>
      <c r="EB373" s="117"/>
      <c r="EC373" s="117"/>
      <c r="ED373" s="117"/>
      <c r="EE373" s="117"/>
      <c r="EF373" s="110"/>
      <c r="EG373" s="4"/>
      <c r="EH373" s="111"/>
      <c r="EI373" s="112"/>
      <c r="EJ373" s="112"/>
      <c r="EK373" s="110"/>
      <c r="EL373" s="113"/>
      <c r="EM373" s="114"/>
      <c r="EN373" s="114"/>
      <c r="EO373" s="110"/>
      <c r="EP373" s="113"/>
      <c r="EQ373" s="114"/>
      <c r="ER373" s="110"/>
      <c r="ES373" s="113"/>
    </row>
    <row r="374" spans="35:149">
      <c r="AI374" s="13"/>
      <c r="AJ374" s="13"/>
      <c r="AK374" s="13"/>
      <c r="AL374" s="13"/>
      <c r="AM374" s="13"/>
      <c r="AR374" s="29"/>
      <c r="AS374" s="29"/>
      <c r="AT374" s="29"/>
      <c r="AU374" s="29"/>
      <c r="AV374" s="29"/>
      <c r="AW374" s="29"/>
      <c r="AX374" s="29"/>
      <c r="AY374" s="29"/>
      <c r="AZ374" s="29"/>
      <c r="BA374" s="140"/>
      <c r="BB374" s="117"/>
      <c r="BC374" s="117"/>
      <c r="BD374" s="117"/>
      <c r="BE374" s="117"/>
      <c r="BF374" s="110"/>
      <c r="BG374" s="4"/>
      <c r="BH374" s="111"/>
      <c r="BI374" s="112"/>
      <c r="BJ374" s="112"/>
      <c r="BK374" s="110"/>
      <c r="BL374" s="113"/>
      <c r="BM374" s="114"/>
      <c r="BN374" s="114"/>
      <c r="BO374" s="110"/>
      <c r="BP374" s="113"/>
      <c r="BQ374" s="114"/>
      <c r="BR374" s="110"/>
      <c r="BS374" s="113"/>
      <c r="DI374" s="13"/>
      <c r="DJ374" s="13"/>
      <c r="DK374" s="13"/>
      <c r="DL374" s="13"/>
      <c r="DM374" s="13"/>
      <c r="DR374" s="29"/>
      <c r="DS374" s="29"/>
      <c r="DT374" s="29"/>
      <c r="DU374" s="29"/>
      <c r="DV374" s="29"/>
      <c r="DW374" s="29"/>
      <c r="DX374" s="29"/>
      <c r="DY374" s="29"/>
      <c r="DZ374" s="29"/>
      <c r="EA374" s="140"/>
      <c r="EB374" s="117"/>
      <c r="EC374" s="117"/>
      <c r="ED374" s="117"/>
      <c r="EE374" s="117"/>
      <c r="EF374" s="110"/>
      <c r="EG374" s="4"/>
      <c r="EH374" s="111"/>
      <c r="EI374" s="112"/>
      <c r="EJ374" s="112"/>
      <c r="EK374" s="110"/>
      <c r="EL374" s="113"/>
      <c r="EM374" s="114"/>
      <c r="EN374" s="114"/>
      <c r="EO374" s="110"/>
      <c r="EP374" s="113"/>
      <c r="EQ374" s="114"/>
      <c r="ER374" s="110"/>
      <c r="ES374" s="113"/>
    </row>
    <row r="375" spans="35:149">
      <c r="AI375" s="13"/>
      <c r="AJ375" s="13"/>
      <c r="AK375" s="13"/>
      <c r="AL375" s="13"/>
      <c r="AM375" s="13"/>
      <c r="AR375" s="29"/>
      <c r="AS375" s="29"/>
      <c r="AT375" s="29"/>
      <c r="AU375" s="29"/>
      <c r="AV375" s="29"/>
      <c r="AW375" s="29"/>
      <c r="AX375" s="29"/>
      <c r="AY375" s="29"/>
      <c r="AZ375" s="29"/>
      <c r="BA375" s="140"/>
      <c r="BB375" s="117"/>
      <c r="BC375" s="117"/>
      <c r="BD375" s="117"/>
      <c r="BE375" s="117"/>
      <c r="BF375" s="110"/>
      <c r="BG375" s="4"/>
      <c r="BH375" s="111"/>
      <c r="BI375" s="112"/>
      <c r="BJ375" s="112"/>
      <c r="BK375" s="110"/>
      <c r="BL375" s="113"/>
      <c r="BM375" s="114"/>
      <c r="BN375" s="114"/>
      <c r="BO375" s="110"/>
      <c r="BP375" s="113"/>
      <c r="BQ375" s="114"/>
      <c r="BR375" s="110"/>
      <c r="BS375" s="113"/>
      <c r="DI375" s="13"/>
      <c r="DJ375" s="13"/>
      <c r="DK375" s="13"/>
      <c r="DL375" s="13"/>
      <c r="DM375" s="13"/>
      <c r="DR375" s="29"/>
      <c r="DS375" s="29"/>
      <c r="DT375" s="29"/>
      <c r="DU375" s="29"/>
      <c r="DV375" s="29"/>
      <c r="DW375" s="29"/>
      <c r="DX375" s="29"/>
      <c r="DY375" s="29"/>
      <c r="DZ375" s="29"/>
      <c r="EA375" s="140"/>
      <c r="EB375" s="117"/>
      <c r="EC375" s="117"/>
      <c r="ED375" s="117"/>
      <c r="EE375" s="117"/>
      <c r="EF375" s="110"/>
      <c r="EG375" s="4"/>
      <c r="EH375" s="111"/>
      <c r="EI375" s="112"/>
      <c r="EJ375" s="112"/>
      <c r="EK375" s="110"/>
      <c r="EL375" s="113"/>
      <c r="EM375" s="114"/>
      <c r="EN375" s="114"/>
      <c r="EO375" s="110"/>
      <c r="EP375" s="113"/>
      <c r="EQ375" s="114"/>
      <c r="ER375" s="110"/>
      <c r="ES375" s="113"/>
    </row>
    <row r="376" spans="35:149">
      <c r="AI376" s="13"/>
      <c r="AJ376" s="13"/>
      <c r="AK376" s="13"/>
      <c r="AL376" s="13"/>
      <c r="AM376" s="13"/>
      <c r="AR376" s="29"/>
      <c r="AS376" s="29"/>
      <c r="AT376" s="29"/>
      <c r="AU376" s="29"/>
      <c r="AV376" s="29"/>
      <c r="AW376" s="29"/>
      <c r="AX376" s="29"/>
      <c r="AY376" s="29"/>
      <c r="AZ376" s="29"/>
      <c r="BA376" s="140"/>
      <c r="BB376" s="117"/>
      <c r="BC376" s="117"/>
      <c r="BD376" s="117"/>
      <c r="BE376" s="117"/>
      <c r="BF376" s="110"/>
      <c r="BG376" s="4"/>
      <c r="BH376" s="111"/>
      <c r="BI376" s="112"/>
      <c r="BJ376" s="112"/>
      <c r="BK376" s="110"/>
      <c r="BL376" s="113"/>
      <c r="BM376" s="114"/>
      <c r="BN376" s="114"/>
      <c r="BO376" s="110"/>
      <c r="BP376" s="113"/>
      <c r="BQ376" s="114"/>
      <c r="BR376" s="110"/>
      <c r="BS376" s="113"/>
      <c r="DI376" s="13"/>
      <c r="DJ376" s="13"/>
      <c r="DK376" s="13"/>
      <c r="DL376" s="13"/>
      <c r="DM376" s="13"/>
      <c r="DR376" s="29"/>
      <c r="DS376" s="29"/>
      <c r="DT376" s="29"/>
      <c r="DU376" s="29"/>
      <c r="DV376" s="29"/>
      <c r="DW376" s="29"/>
      <c r="DX376" s="29"/>
      <c r="DY376" s="29"/>
      <c r="DZ376" s="29"/>
      <c r="EA376" s="140"/>
      <c r="EB376" s="117"/>
      <c r="EC376" s="117"/>
      <c r="ED376" s="117"/>
      <c r="EE376" s="117"/>
      <c r="EF376" s="110"/>
      <c r="EG376" s="4"/>
      <c r="EH376" s="111"/>
      <c r="EI376" s="112"/>
      <c r="EJ376" s="112"/>
      <c r="EK376" s="110"/>
      <c r="EL376" s="113"/>
      <c r="EM376" s="114"/>
      <c r="EN376" s="114"/>
      <c r="EO376" s="110"/>
      <c r="EP376" s="113"/>
      <c r="EQ376" s="114"/>
      <c r="ER376" s="110"/>
      <c r="ES376" s="113"/>
    </row>
    <row r="377" spans="35:149">
      <c r="AI377" s="13"/>
      <c r="AJ377" s="13"/>
      <c r="AK377" s="13"/>
      <c r="AL377" s="13"/>
      <c r="AM377" s="13"/>
      <c r="AR377" s="29"/>
      <c r="AS377" s="29"/>
      <c r="AT377" s="29"/>
      <c r="AU377" s="29"/>
      <c r="AV377" s="29"/>
      <c r="AW377" s="29"/>
      <c r="AX377" s="29"/>
      <c r="AY377" s="29"/>
      <c r="AZ377" s="29"/>
      <c r="BA377" s="140"/>
      <c r="BB377" s="117"/>
      <c r="BC377" s="117"/>
      <c r="BD377" s="117"/>
      <c r="BE377" s="117"/>
      <c r="BF377" s="110"/>
      <c r="BG377" s="4"/>
      <c r="BH377" s="111"/>
      <c r="BI377" s="112"/>
      <c r="BJ377" s="112"/>
      <c r="BK377" s="110"/>
      <c r="BL377" s="113"/>
      <c r="BM377" s="114"/>
      <c r="BN377" s="114"/>
      <c r="BO377" s="110"/>
      <c r="BP377" s="113"/>
      <c r="BQ377" s="114"/>
      <c r="BR377" s="110"/>
      <c r="BS377" s="113"/>
      <c r="DI377" s="13"/>
      <c r="DJ377" s="13"/>
      <c r="DK377" s="13"/>
      <c r="DL377" s="13"/>
      <c r="DM377" s="13"/>
      <c r="DR377" s="29"/>
      <c r="DS377" s="29"/>
      <c r="DT377" s="29"/>
      <c r="DU377" s="29"/>
      <c r="DV377" s="29"/>
      <c r="DW377" s="29"/>
      <c r="DX377" s="29"/>
      <c r="DY377" s="29"/>
      <c r="DZ377" s="29"/>
      <c r="EA377" s="140"/>
      <c r="EB377" s="117"/>
      <c r="EC377" s="117"/>
      <c r="ED377" s="117"/>
      <c r="EE377" s="117"/>
      <c r="EF377" s="110"/>
      <c r="EG377" s="4"/>
      <c r="EH377" s="111"/>
      <c r="EI377" s="112"/>
      <c r="EJ377" s="112"/>
      <c r="EK377" s="110"/>
      <c r="EL377" s="113"/>
      <c r="EM377" s="114"/>
      <c r="EN377" s="114"/>
      <c r="EO377" s="110"/>
      <c r="EP377" s="113"/>
      <c r="EQ377" s="114"/>
      <c r="ER377" s="110"/>
      <c r="ES377" s="113"/>
    </row>
    <row r="378" spans="35:149">
      <c r="AI378" s="13"/>
      <c r="AJ378" s="13"/>
      <c r="AK378" s="13"/>
      <c r="AL378" s="13"/>
      <c r="AM378" s="13"/>
      <c r="AR378" s="29"/>
      <c r="AS378" s="29"/>
      <c r="AT378" s="29"/>
      <c r="AU378" s="29"/>
      <c r="AV378" s="29"/>
      <c r="AW378" s="29"/>
      <c r="AX378" s="29"/>
      <c r="AY378" s="29"/>
      <c r="AZ378" s="29"/>
      <c r="BA378" s="140"/>
      <c r="BB378" s="117"/>
      <c r="BC378" s="117"/>
      <c r="BD378" s="117"/>
      <c r="BE378" s="117"/>
      <c r="BF378" s="110"/>
      <c r="BG378" s="4"/>
      <c r="BH378" s="111"/>
      <c r="BI378" s="112"/>
      <c r="BJ378" s="112"/>
      <c r="BK378" s="110"/>
      <c r="BL378" s="113"/>
      <c r="BM378" s="114"/>
      <c r="BN378" s="114"/>
      <c r="BO378" s="110"/>
      <c r="BP378" s="113"/>
      <c r="BQ378" s="114"/>
      <c r="BR378" s="110"/>
      <c r="BS378" s="113"/>
      <c r="DI378" s="13"/>
      <c r="DJ378" s="13"/>
      <c r="DK378" s="13"/>
      <c r="DL378" s="13"/>
      <c r="DM378" s="13"/>
      <c r="DR378" s="29"/>
      <c r="DS378" s="29"/>
      <c r="DT378" s="29"/>
      <c r="DU378" s="29"/>
      <c r="DV378" s="29"/>
      <c r="DW378" s="29"/>
      <c r="DX378" s="29"/>
      <c r="DY378" s="29"/>
      <c r="DZ378" s="29"/>
      <c r="EA378" s="140"/>
      <c r="EB378" s="117"/>
      <c r="EC378" s="117"/>
      <c r="ED378" s="117"/>
      <c r="EE378" s="117"/>
      <c r="EF378" s="110"/>
      <c r="EG378" s="4"/>
      <c r="EH378" s="111"/>
      <c r="EI378" s="112"/>
      <c r="EJ378" s="112"/>
      <c r="EK378" s="110"/>
      <c r="EL378" s="113"/>
      <c r="EM378" s="114"/>
      <c r="EN378" s="114"/>
      <c r="EO378" s="110"/>
      <c r="EP378" s="113"/>
      <c r="EQ378" s="114"/>
      <c r="ER378" s="110"/>
      <c r="ES378" s="113"/>
    </row>
    <row r="379" spans="35:149">
      <c r="AI379" s="13"/>
      <c r="AJ379" s="13"/>
      <c r="AK379" s="13"/>
      <c r="AL379" s="13"/>
      <c r="AM379" s="13"/>
      <c r="AR379" s="29"/>
      <c r="AS379" s="29"/>
      <c r="AT379" s="29"/>
      <c r="AU379" s="29"/>
      <c r="AV379" s="29"/>
      <c r="AW379" s="29"/>
      <c r="AX379" s="29"/>
      <c r="AY379" s="29"/>
      <c r="AZ379" s="29"/>
      <c r="BA379" s="140"/>
      <c r="BB379" s="117"/>
      <c r="BC379" s="117"/>
      <c r="BD379" s="117"/>
      <c r="BE379" s="117"/>
      <c r="BF379" s="110"/>
      <c r="BG379" s="4"/>
      <c r="BH379" s="111"/>
      <c r="BI379" s="112"/>
      <c r="BJ379" s="112"/>
      <c r="BK379" s="110"/>
      <c r="BL379" s="113"/>
      <c r="BM379" s="114"/>
      <c r="BN379" s="114"/>
      <c r="BO379" s="110"/>
      <c r="BP379" s="113"/>
      <c r="BQ379" s="114"/>
      <c r="BR379" s="110"/>
      <c r="BS379" s="113"/>
      <c r="DI379" s="13"/>
      <c r="DJ379" s="13"/>
      <c r="DK379" s="13"/>
      <c r="DL379" s="13"/>
      <c r="DM379" s="13"/>
      <c r="DR379" s="29"/>
      <c r="DS379" s="29"/>
      <c r="DT379" s="29"/>
      <c r="DU379" s="29"/>
      <c r="DV379" s="29"/>
      <c r="DW379" s="29"/>
      <c r="DX379" s="29"/>
      <c r="DY379" s="29"/>
      <c r="DZ379" s="29"/>
      <c r="EA379" s="140"/>
      <c r="EB379" s="117"/>
      <c r="EC379" s="117"/>
      <c r="ED379" s="117"/>
      <c r="EE379" s="117"/>
      <c r="EF379" s="110"/>
      <c r="EG379" s="4"/>
      <c r="EH379" s="111"/>
      <c r="EI379" s="112"/>
      <c r="EJ379" s="112"/>
      <c r="EK379" s="110"/>
      <c r="EL379" s="113"/>
      <c r="EM379" s="114"/>
      <c r="EN379" s="114"/>
      <c r="EO379" s="110"/>
      <c r="EP379" s="113"/>
      <c r="EQ379" s="114"/>
      <c r="ER379" s="110"/>
      <c r="ES379" s="113"/>
    </row>
    <row r="380" spans="35:149">
      <c r="AI380" s="13"/>
      <c r="AJ380" s="13"/>
      <c r="AK380" s="13"/>
      <c r="AL380" s="13"/>
      <c r="AM380" s="13"/>
      <c r="AR380" s="29"/>
      <c r="AS380" s="29"/>
      <c r="AT380" s="29"/>
      <c r="AU380" s="29"/>
      <c r="AV380" s="29"/>
      <c r="AW380" s="29"/>
      <c r="AX380" s="29"/>
      <c r="AY380" s="29"/>
      <c r="AZ380" s="29"/>
      <c r="BA380" s="140"/>
      <c r="BB380" s="117"/>
      <c r="BC380" s="117"/>
      <c r="BD380" s="117"/>
      <c r="BE380" s="117"/>
      <c r="BF380" s="110"/>
      <c r="BG380" s="4"/>
      <c r="BH380" s="111"/>
      <c r="BI380" s="112"/>
      <c r="BJ380" s="112"/>
      <c r="BK380" s="110"/>
      <c r="BL380" s="113"/>
      <c r="BM380" s="114"/>
      <c r="BN380" s="114"/>
      <c r="BO380" s="110"/>
      <c r="BP380" s="113"/>
      <c r="BQ380" s="114"/>
      <c r="BR380" s="110"/>
      <c r="BS380" s="113"/>
      <c r="DI380" s="13"/>
      <c r="DJ380" s="13"/>
      <c r="DK380" s="13"/>
      <c r="DL380" s="13"/>
      <c r="DM380" s="13"/>
      <c r="DR380" s="29"/>
      <c r="DS380" s="29"/>
      <c r="DT380" s="29"/>
      <c r="DU380" s="29"/>
      <c r="DV380" s="29"/>
      <c r="DW380" s="29"/>
      <c r="DX380" s="29"/>
      <c r="DY380" s="29"/>
      <c r="DZ380" s="29"/>
      <c r="EA380" s="140"/>
      <c r="EB380" s="117"/>
      <c r="EC380" s="117"/>
      <c r="ED380" s="117"/>
      <c r="EE380" s="117"/>
      <c r="EF380" s="110"/>
      <c r="EG380" s="4"/>
      <c r="EH380" s="111"/>
      <c r="EI380" s="112"/>
      <c r="EJ380" s="112"/>
      <c r="EK380" s="110"/>
      <c r="EL380" s="113"/>
      <c r="EM380" s="114"/>
      <c r="EN380" s="114"/>
      <c r="EO380" s="110"/>
      <c r="EP380" s="113"/>
      <c r="EQ380" s="114"/>
      <c r="ER380" s="110"/>
      <c r="ES380" s="113"/>
    </row>
    <row r="381" spans="35:149">
      <c r="AI381" s="13"/>
      <c r="AJ381" s="13"/>
      <c r="AK381" s="13"/>
      <c r="AL381" s="13"/>
      <c r="AM381" s="13"/>
      <c r="AR381" s="29"/>
      <c r="AS381" s="29"/>
      <c r="AT381" s="29"/>
      <c r="AU381" s="29"/>
      <c r="AV381" s="29"/>
      <c r="AW381" s="29"/>
      <c r="AX381" s="29"/>
      <c r="AY381" s="29"/>
      <c r="AZ381" s="29"/>
      <c r="BA381" s="140"/>
      <c r="BB381" s="117"/>
      <c r="BC381" s="117"/>
      <c r="BD381" s="117"/>
      <c r="BE381" s="117"/>
      <c r="BF381" s="110"/>
      <c r="BG381" s="4"/>
      <c r="BH381" s="111"/>
      <c r="BI381" s="112"/>
      <c r="BJ381" s="112"/>
      <c r="BK381" s="110"/>
      <c r="BL381" s="113"/>
      <c r="BM381" s="114"/>
      <c r="BN381" s="114"/>
      <c r="BO381" s="110"/>
      <c r="BP381" s="113"/>
      <c r="BQ381" s="114"/>
      <c r="BR381" s="110"/>
      <c r="BS381" s="113"/>
      <c r="DI381" s="13"/>
      <c r="DJ381" s="13"/>
      <c r="DK381" s="13"/>
      <c r="DL381" s="13"/>
      <c r="DM381" s="13"/>
      <c r="DR381" s="29"/>
      <c r="DS381" s="29"/>
      <c r="DT381" s="29"/>
      <c r="DU381" s="29"/>
      <c r="DV381" s="29"/>
      <c r="DW381" s="29"/>
      <c r="DX381" s="29"/>
      <c r="DY381" s="29"/>
      <c r="DZ381" s="29"/>
      <c r="EA381" s="140"/>
      <c r="EB381" s="117"/>
      <c r="EC381" s="117"/>
      <c r="ED381" s="117"/>
      <c r="EE381" s="117"/>
      <c r="EF381" s="110"/>
      <c r="EG381" s="4"/>
      <c r="EH381" s="111"/>
      <c r="EI381" s="112"/>
      <c r="EJ381" s="112"/>
      <c r="EK381" s="110"/>
      <c r="EL381" s="113"/>
      <c r="EM381" s="114"/>
      <c r="EN381" s="114"/>
      <c r="EO381" s="110"/>
      <c r="EP381" s="113"/>
      <c r="EQ381" s="114"/>
      <c r="ER381" s="110"/>
      <c r="ES381" s="113"/>
    </row>
    <row r="382" spans="35:149">
      <c r="AI382" s="13"/>
      <c r="AJ382" s="13"/>
      <c r="AK382" s="13"/>
      <c r="AL382" s="13"/>
      <c r="AM382" s="13"/>
      <c r="AR382" s="29"/>
      <c r="AS382" s="29"/>
      <c r="AT382" s="29"/>
      <c r="AU382" s="29"/>
      <c r="AV382" s="29"/>
      <c r="AW382" s="29"/>
      <c r="AX382" s="29"/>
      <c r="AY382" s="29"/>
      <c r="AZ382" s="29"/>
      <c r="BA382" s="140"/>
      <c r="BB382" s="117"/>
      <c r="BC382" s="117"/>
      <c r="BD382" s="117"/>
      <c r="BE382" s="117"/>
      <c r="BF382" s="110"/>
      <c r="BG382" s="4"/>
      <c r="BH382" s="111"/>
      <c r="BI382" s="112"/>
      <c r="BJ382" s="112"/>
      <c r="BK382" s="110"/>
      <c r="BL382" s="113"/>
      <c r="BM382" s="114"/>
      <c r="BN382" s="114"/>
      <c r="BO382" s="110"/>
      <c r="BP382" s="113"/>
      <c r="BQ382" s="114"/>
      <c r="BR382" s="110"/>
      <c r="BS382" s="113"/>
      <c r="DI382" s="13"/>
      <c r="DJ382" s="13"/>
      <c r="DK382" s="13"/>
      <c r="DL382" s="13"/>
      <c r="DM382" s="13"/>
      <c r="DR382" s="29"/>
      <c r="DS382" s="29"/>
      <c r="DT382" s="29"/>
      <c r="DU382" s="29"/>
      <c r="DV382" s="29"/>
      <c r="DW382" s="29"/>
      <c r="DX382" s="29"/>
      <c r="DY382" s="29"/>
      <c r="DZ382" s="29"/>
      <c r="EA382" s="140"/>
      <c r="EB382" s="117"/>
      <c r="EC382" s="117"/>
      <c r="ED382" s="117"/>
      <c r="EE382" s="117"/>
      <c r="EF382" s="110"/>
      <c r="EG382" s="4"/>
      <c r="EH382" s="111"/>
      <c r="EI382" s="112"/>
      <c r="EJ382" s="112"/>
      <c r="EK382" s="110"/>
      <c r="EL382" s="113"/>
      <c r="EM382" s="114"/>
      <c r="EN382" s="114"/>
      <c r="EO382" s="110"/>
      <c r="EP382" s="113"/>
      <c r="EQ382" s="114"/>
      <c r="ER382" s="110"/>
      <c r="ES382" s="113"/>
    </row>
    <row r="383" spans="35:149">
      <c r="AI383" s="13"/>
      <c r="AJ383" s="13"/>
      <c r="AK383" s="13"/>
      <c r="AL383" s="13"/>
      <c r="AM383" s="13"/>
      <c r="AR383" s="29"/>
      <c r="AS383" s="29"/>
      <c r="AT383" s="29"/>
      <c r="AU383" s="29"/>
      <c r="AV383" s="29"/>
      <c r="AW383" s="29"/>
      <c r="AX383" s="29"/>
      <c r="AY383" s="29"/>
      <c r="AZ383" s="29"/>
      <c r="BA383" s="140"/>
      <c r="BB383" s="117"/>
      <c r="BC383" s="117"/>
      <c r="BD383" s="117"/>
      <c r="BE383" s="117"/>
      <c r="BF383" s="110"/>
      <c r="BG383" s="4"/>
      <c r="BH383" s="111"/>
      <c r="BI383" s="112"/>
      <c r="BJ383" s="112"/>
      <c r="BK383" s="110"/>
      <c r="BL383" s="113"/>
      <c r="BM383" s="114"/>
      <c r="BN383" s="114"/>
      <c r="BO383" s="110"/>
      <c r="BP383" s="113"/>
      <c r="BQ383" s="114"/>
      <c r="BR383" s="110"/>
      <c r="BS383" s="113"/>
      <c r="DI383" s="13"/>
      <c r="DJ383" s="13"/>
      <c r="DK383" s="13"/>
      <c r="DL383" s="13"/>
      <c r="DM383" s="13"/>
      <c r="DR383" s="29"/>
      <c r="DS383" s="29"/>
      <c r="DT383" s="29"/>
      <c r="DU383" s="29"/>
      <c r="DV383" s="29"/>
      <c r="DW383" s="29"/>
      <c r="DX383" s="29"/>
      <c r="DY383" s="29"/>
      <c r="DZ383" s="29"/>
      <c r="EA383" s="140"/>
      <c r="EB383" s="117"/>
      <c r="EC383" s="117"/>
      <c r="ED383" s="117"/>
      <c r="EE383" s="117"/>
      <c r="EF383" s="110"/>
      <c r="EG383" s="4"/>
      <c r="EH383" s="111"/>
      <c r="EI383" s="112"/>
      <c r="EJ383" s="112"/>
      <c r="EK383" s="110"/>
      <c r="EL383" s="113"/>
      <c r="EM383" s="114"/>
      <c r="EN383" s="114"/>
      <c r="EO383" s="110"/>
      <c r="EP383" s="113"/>
      <c r="EQ383" s="114"/>
      <c r="ER383" s="110"/>
      <c r="ES383" s="113"/>
    </row>
    <row r="384" spans="35:149">
      <c r="AI384" s="13"/>
      <c r="AJ384" s="13"/>
      <c r="AK384" s="13"/>
      <c r="AL384" s="13"/>
      <c r="AM384" s="13"/>
      <c r="AR384" s="29"/>
      <c r="AS384" s="29"/>
      <c r="AT384" s="29"/>
      <c r="AU384" s="29"/>
      <c r="AV384" s="29"/>
      <c r="AW384" s="29"/>
      <c r="AX384" s="29"/>
      <c r="AY384" s="29"/>
      <c r="AZ384" s="29"/>
      <c r="BA384" s="140"/>
      <c r="BB384" s="117"/>
      <c r="BC384" s="117"/>
      <c r="BD384" s="117"/>
      <c r="BE384" s="117"/>
      <c r="BF384" s="110"/>
      <c r="BG384" s="4"/>
      <c r="BH384" s="111"/>
      <c r="BI384" s="112"/>
      <c r="BJ384" s="112"/>
      <c r="BK384" s="110"/>
      <c r="BL384" s="113"/>
      <c r="BM384" s="114"/>
      <c r="BN384" s="114"/>
      <c r="BO384" s="110"/>
      <c r="BP384" s="113"/>
      <c r="BQ384" s="114"/>
      <c r="BR384" s="110"/>
      <c r="BS384" s="113"/>
      <c r="DI384" s="13"/>
      <c r="DJ384" s="13"/>
      <c r="DK384" s="13"/>
      <c r="DL384" s="13"/>
      <c r="DM384" s="13"/>
      <c r="DR384" s="29"/>
      <c r="DS384" s="29"/>
      <c r="DT384" s="29"/>
      <c r="DU384" s="29"/>
      <c r="DV384" s="29"/>
      <c r="DW384" s="29"/>
      <c r="DX384" s="29"/>
      <c r="DY384" s="29"/>
      <c r="DZ384" s="29"/>
      <c r="EA384" s="140"/>
      <c r="EB384" s="117"/>
      <c r="EC384" s="117"/>
      <c r="ED384" s="117"/>
      <c r="EE384" s="117"/>
      <c r="EF384" s="110"/>
      <c r="EG384" s="4"/>
      <c r="EH384" s="111"/>
      <c r="EI384" s="112"/>
      <c r="EJ384" s="112"/>
      <c r="EK384" s="110"/>
      <c r="EL384" s="113"/>
      <c r="EM384" s="114"/>
      <c r="EN384" s="114"/>
      <c r="EO384" s="110"/>
      <c r="EP384" s="113"/>
      <c r="EQ384" s="114"/>
      <c r="ER384" s="110"/>
      <c r="ES384" s="113"/>
    </row>
    <row r="385" spans="35:149">
      <c r="AI385" s="13"/>
      <c r="AJ385" s="13"/>
      <c r="AK385" s="13"/>
      <c r="AL385" s="13"/>
      <c r="AM385" s="13"/>
      <c r="AR385" s="29"/>
      <c r="AS385" s="29"/>
      <c r="AT385" s="29"/>
      <c r="AU385" s="29"/>
      <c r="AV385" s="29"/>
      <c r="AW385" s="29"/>
      <c r="AX385" s="29"/>
      <c r="AY385" s="29"/>
      <c r="AZ385" s="29"/>
      <c r="BA385" s="29"/>
      <c r="BB385" s="29"/>
      <c r="BC385" s="29"/>
      <c r="BD385" s="29"/>
      <c r="BE385" s="29"/>
      <c r="BF385" s="111"/>
      <c r="BG385" s="111"/>
      <c r="BH385" s="111"/>
      <c r="BI385" s="111"/>
      <c r="BJ385" s="111"/>
      <c r="BK385" s="111"/>
      <c r="BL385" s="111"/>
      <c r="BM385" s="111"/>
      <c r="BN385" s="111"/>
      <c r="BO385" s="111"/>
      <c r="BP385" s="111"/>
      <c r="BQ385" s="111"/>
      <c r="BR385" s="111"/>
      <c r="BS385" s="111"/>
      <c r="DI385" s="13"/>
      <c r="DJ385" s="13"/>
      <c r="DK385" s="13"/>
      <c r="DL385" s="13"/>
      <c r="DM385" s="13"/>
      <c r="DR385" s="29"/>
      <c r="DS385" s="29"/>
      <c r="DT385" s="29"/>
      <c r="DU385" s="29"/>
      <c r="DV385" s="29"/>
      <c r="DW385" s="29"/>
      <c r="DX385" s="29"/>
      <c r="DY385" s="29"/>
      <c r="DZ385" s="29"/>
      <c r="EA385" s="29"/>
      <c r="EB385" s="29"/>
      <c r="EC385" s="29"/>
      <c r="ED385" s="29"/>
      <c r="EE385" s="29"/>
      <c r="EF385" s="111"/>
      <c r="EG385" s="111"/>
      <c r="EH385" s="111"/>
      <c r="EI385" s="111"/>
      <c r="EJ385" s="111"/>
      <c r="EK385" s="111"/>
      <c r="EL385" s="111"/>
      <c r="EM385" s="111"/>
      <c r="EN385" s="111"/>
      <c r="EO385" s="111"/>
      <c r="EP385" s="111"/>
      <c r="EQ385" s="111"/>
      <c r="ER385" s="111"/>
      <c r="ES385" s="111"/>
    </row>
    <row r="386" spans="35:149">
      <c r="AI386" s="13"/>
      <c r="AJ386" s="13"/>
      <c r="AK386" s="13"/>
      <c r="AL386" s="13"/>
      <c r="AM386" s="13"/>
      <c r="AR386" s="29"/>
      <c r="AS386" s="29"/>
      <c r="AT386" s="29"/>
      <c r="AU386" s="29"/>
      <c r="AV386" s="29"/>
      <c r="AW386" s="29"/>
      <c r="AX386" s="29"/>
      <c r="AY386" s="29"/>
      <c r="AZ386" s="29"/>
      <c r="BA386" s="29"/>
      <c r="BB386" s="29"/>
      <c r="BC386" s="29"/>
      <c r="BD386" s="29"/>
      <c r="BE386" s="29"/>
      <c r="BF386" s="111"/>
      <c r="BG386" s="111"/>
      <c r="BH386" s="111"/>
      <c r="BI386" s="111"/>
      <c r="BJ386" s="111"/>
      <c r="BK386" s="111"/>
      <c r="BL386" s="111"/>
      <c r="BM386" s="111"/>
      <c r="BN386" s="111"/>
      <c r="BO386" s="111"/>
      <c r="BP386" s="111"/>
      <c r="BQ386" s="111"/>
      <c r="BR386" s="111"/>
      <c r="BS386" s="111"/>
      <c r="DI386" s="13"/>
      <c r="DJ386" s="13"/>
      <c r="DK386" s="13"/>
      <c r="DL386" s="13"/>
      <c r="DM386" s="13"/>
      <c r="DR386" s="29"/>
      <c r="DS386" s="29"/>
      <c r="DT386" s="29"/>
      <c r="DU386" s="29"/>
      <c r="DV386" s="29"/>
      <c r="DW386" s="29"/>
      <c r="DX386" s="29"/>
      <c r="DY386" s="29"/>
      <c r="DZ386" s="29"/>
      <c r="EA386" s="29"/>
      <c r="EB386" s="29"/>
      <c r="EC386" s="29"/>
      <c r="ED386" s="29"/>
      <c r="EE386" s="29"/>
      <c r="EF386" s="111"/>
      <c r="EG386" s="111"/>
      <c r="EH386" s="111"/>
      <c r="EI386" s="111"/>
      <c r="EJ386" s="111"/>
      <c r="EK386" s="111"/>
      <c r="EL386" s="111"/>
      <c r="EM386" s="111"/>
      <c r="EN386" s="111"/>
      <c r="EO386" s="111"/>
      <c r="EP386" s="111"/>
      <c r="EQ386" s="111"/>
      <c r="ER386" s="111"/>
      <c r="ES386" s="111"/>
    </row>
    <row r="387" spans="35:149">
      <c r="AI387" s="13"/>
      <c r="AJ387" s="13"/>
      <c r="AK387" s="13"/>
      <c r="AL387" s="13"/>
      <c r="AM387" s="13"/>
      <c r="AR387" s="29"/>
      <c r="AS387" s="29"/>
      <c r="AT387" s="29"/>
      <c r="AU387" s="29"/>
      <c r="AV387" s="29"/>
      <c r="AW387" s="29"/>
      <c r="AX387" s="29"/>
      <c r="AY387" s="29"/>
      <c r="AZ387" s="29"/>
      <c r="BA387" s="29"/>
      <c r="BB387" s="29"/>
      <c r="BC387" s="29"/>
      <c r="BD387" s="29"/>
      <c r="BE387" s="29"/>
      <c r="BF387" s="111"/>
      <c r="BG387" s="111"/>
      <c r="BH387" s="111"/>
      <c r="BI387" s="111"/>
      <c r="BJ387" s="111"/>
      <c r="BK387" s="111"/>
      <c r="BL387" s="111"/>
      <c r="BM387" s="111"/>
      <c r="BN387" s="111"/>
      <c r="BO387" s="111"/>
      <c r="BP387" s="111"/>
      <c r="BQ387" s="111"/>
      <c r="BR387" s="111"/>
      <c r="BS387" s="111"/>
      <c r="DI387" s="13"/>
      <c r="DJ387" s="13"/>
      <c r="DK387" s="13"/>
      <c r="DL387" s="13"/>
      <c r="DM387" s="13"/>
      <c r="DR387" s="29"/>
      <c r="DS387" s="29"/>
      <c r="DT387" s="29"/>
      <c r="DU387" s="29"/>
      <c r="DV387" s="29"/>
      <c r="DW387" s="29"/>
      <c r="DX387" s="29"/>
      <c r="DY387" s="29"/>
      <c r="DZ387" s="29"/>
      <c r="EA387" s="29"/>
      <c r="EB387" s="29"/>
      <c r="EC387" s="29"/>
      <c r="ED387" s="29"/>
      <c r="EE387" s="29"/>
      <c r="EF387" s="111"/>
      <c r="EG387" s="111"/>
      <c r="EH387" s="111"/>
      <c r="EI387" s="111"/>
      <c r="EJ387" s="111"/>
      <c r="EK387" s="111"/>
      <c r="EL387" s="111"/>
      <c r="EM387" s="111"/>
      <c r="EN387" s="111"/>
      <c r="EO387" s="111"/>
      <c r="EP387" s="111"/>
      <c r="EQ387" s="111"/>
      <c r="ER387" s="111"/>
      <c r="ES387" s="111"/>
    </row>
    <row r="388" spans="35:149">
      <c r="AI388" s="13"/>
      <c r="AJ388" s="13"/>
      <c r="AK388" s="13"/>
      <c r="AL388" s="13"/>
      <c r="AM388" s="13"/>
      <c r="AR388" s="29"/>
      <c r="AS388" s="29"/>
      <c r="AT388" s="29"/>
      <c r="AU388" s="29"/>
      <c r="AV388" s="29"/>
      <c r="AW388" s="29"/>
      <c r="AX388" s="29"/>
      <c r="AY388" s="29"/>
      <c r="AZ388" s="29"/>
      <c r="BA388" s="29"/>
      <c r="BB388" s="29"/>
      <c r="BC388" s="29"/>
      <c r="BD388" s="29"/>
      <c r="BE388" s="29"/>
      <c r="BF388" s="111"/>
      <c r="BG388" s="111"/>
      <c r="BH388" s="111"/>
      <c r="BI388" s="111"/>
      <c r="BJ388" s="111"/>
      <c r="BK388" s="111"/>
      <c r="BL388" s="111"/>
      <c r="BM388" s="111"/>
      <c r="BN388" s="111"/>
      <c r="BO388" s="111"/>
      <c r="BP388" s="111"/>
      <c r="BQ388" s="111"/>
      <c r="BR388" s="111"/>
      <c r="BS388" s="111"/>
      <c r="DI388" s="13"/>
      <c r="DJ388" s="13"/>
      <c r="DK388" s="13"/>
      <c r="DL388" s="13"/>
      <c r="DM388" s="13"/>
      <c r="DR388" s="29"/>
      <c r="DS388" s="29"/>
      <c r="DT388" s="29"/>
      <c r="DU388" s="29"/>
      <c r="DV388" s="29"/>
      <c r="DW388" s="29"/>
      <c r="DX388" s="29"/>
      <c r="DY388" s="29"/>
      <c r="DZ388" s="29"/>
      <c r="EA388" s="29"/>
      <c r="EB388" s="29"/>
      <c r="EC388" s="29"/>
      <c r="ED388" s="29"/>
      <c r="EE388" s="29"/>
      <c r="EF388" s="111"/>
      <c r="EG388" s="111"/>
      <c r="EH388" s="111"/>
      <c r="EI388" s="111"/>
      <c r="EJ388" s="111"/>
      <c r="EK388" s="111"/>
      <c r="EL388" s="111"/>
      <c r="EM388" s="111"/>
      <c r="EN388" s="111"/>
      <c r="EO388" s="111"/>
      <c r="EP388" s="111"/>
      <c r="EQ388" s="111"/>
      <c r="ER388" s="111"/>
      <c r="ES388" s="111"/>
    </row>
    <row r="389" spans="35:149">
      <c r="AI389" s="13"/>
      <c r="AJ389" s="13"/>
      <c r="AK389" s="13"/>
      <c r="AL389" s="13"/>
      <c r="AM389" s="13"/>
      <c r="AR389" s="29"/>
      <c r="AS389" s="29"/>
      <c r="AT389" s="29"/>
      <c r="AU389" s="29"/>
      <c r="AV389" s="29"/>
      <c r="AW389" s="29"/>
      <c r="AX389" s="29"/>
      <c r="AY389" s="29"/>
      <c r="AZ389" s="29"/>
      <c r="BA389" s="29"/>
      <c r="BB389" s="29"/>
      <c r="BC389" s="29"/>
      <c r="BD389" s="29"/>
      <c r="BE389" s="29"/>
      <c r="BF389" s="111"/>
      <c r="BG389" s="111"/>
      <c r="BH389" s="111"/>
      <c r="BI389" s="111"/>
      <c r="BJ389" s="111"/>
      <c r="BK389" s="111"/>
      <c r="BL389" s="111"/>
      <c r="BM389" s="111"/>
      <c r="BN389" s="111"/>
      <c r="BO389" s="111"/>
      <c r="BP389" s="111"/>
      <c r="BQ389" s="111"/>
      <c r="BR389" s="111"/>
      <c r="BS389" s="111"/>
      <c r="DI389" s="13"/>
      <c r="DJ389" s="13"/>
      <c r="DK389" s="13"/>
      <c r="DL389" s="13"/>
      <c r="DM389" s="13"/>
      <c r="DR389" s="29"/>
      <c r="DS389" s="29"/>
      <c r="DT389" s="29"/>
      <c r="DU389" s="29"/>
      <c r="DV389" s="29"/>
      <c r="DW389" s="29"/>
      <c r="DX389" s="29"/>
      <c r="DY389" s="29"/>
      <c r="DZ389" s="29"/>
      <c r="EA389" s="29"/>
      <c r="EB389" s="29"/>
      <c r="EC389" s="29"/>
      <c r="ED389" s="29"/>
      <c r="EE389" s="29"/>
      <c r="EF389" s="111"/>
      <c r="EG389" s="111"/>
      <c r="EH389" s="111"/>
      <c r="EI389" s="111"/>
      <c r="EJ389" s="111"/>
      <c r="EK389" s="111"/>
      <c r="EL389" s="111"/>
      <c r="EM389" s="111"/>
      <c r="EN389" s="111"/>
      <c r="EO389" s="111"/>
      <c r="EP389" s="111"/>
      <c r="EQ389" s="111"/>
      <c r="ER389" s="111"/>
      <c r="ES389" s="111"/>
    </row>
    <row r="390" spans="35:149">
      <c r="AI390" s="13"/>
      <c r="AJ390" s="13"/>
      <c r="AK390" s="13"/>
      <c r="AL390" s="13"/>
      <c r="AM390" s="13"/>
      <c r="AR390" s="29"/>
      <c r="AS390" s="29"/>
      <c r="AT390" s="29"/>
      <c r="AU390" s="29"/>
      <c r="AV390" s="29"/>
      <c r="AW390" s="29"/>
      <c r="AX390" s="29"/>
      <c r="AY390" s="29"/>
      <c r="AZ390" s="29"/>
      <c r="BA390" s="29"/>
      <c r="BB390" s="29"/>
      <c r="BC390" s="29"/>
      <c r="BD390" s="29"/>
      <c r="BE390" s="29"/>
      <c r="BF390" s="111"/>
      <c r="BG390" s="111"/>
      <c r="BH390" s="111"/>
      <c r="BI390" s="111"/>
      <c r="BJ390" s="111"/>
      <c r="BK390" s="111"/>
      <c r="BL390" s="111"/>
      <c r="BM390" s="111"/>
      <c r="BN390" s="111"/>
      <c r="BO390" s="111"/>
      <c r="BP390" s="111"/>
      <c r="BQ390" s="111"/>
      <c r="BR390" s="111"/>
      <c r="BS390" s="111"/>
      <c r="DI390" s="13"/>
      <c r="DJ390" s="13"/>
      <c r="DK390" s="13"/>
      <c r="DL390" s="13"/>
      <c r="DM390" s="13"/>
      <c r="DR390" s="29"/>
      <c r="DS390" s="29"/>
      <c r="DT390" s="29"/>
      <c r="DU390" s="29"/>
      <c r="DV390" s="29"/>
      <c r="DW390" s="29"/>
      <c r="DX390" s="29"/>
      <c r="DY390" s="29"/>
      <c r="DZ390" s="29"/>
      <c r="EA390" s="29"/>
      <c r="EB390" s="29"/>
      <c r="EC390" s="29"/>
      <c r="ED390" s="29"/>
      <c r="EE390" s="29"/>
      <c r="EF390" s="111"/>
      <c r="EG390" s="111"/>
      <c r="EH390" s="111"/>
      <c r="EI390" s="111"/>
      <c r="EJ390" s="111"/>
      <c r="EK390" s="111"/>
      <c r="EL390" s="111"/>
      <c r="EM390" s="111"/>
      <c r="EN390" s="111"/>
      <c r="EO390" s="111"/>
      <c r="EP390" s="111"/>
      <c r="EQ390" s="111"/>
      <c r="ER390" s="111"/>
      <c r="ES390" s="111"/>
    </row>
    <row r="391" spans="35:149">
      <c r="AI391" s="13"/>
      <c r="AJ391" s="13"/>
      <c r="AK391" s="13"/>
      <c r="AL391" s="13"/>
      <c r="AM391" s="13"/>
      <c r="AR391" s="29"/>
      <c r="AS391" s="29"/>
      <c r="AT391" s="29"/>
      <c r="AU391" s="29"/>
      <c r="AV391" s="29"/>
      <c r="AW391" s="29"/>
      <c r="AX391" s="29"/>
      <c r="AY391" s="29"/>
      <c r="AZ391" s="29"/>
      <c r="BA391" s="29"/>
      <c r="BB391" s="29"/>
      <c r="BC391" s="29"/>
      <c r="BD391" s="29"/>
      <c r="BE391" s="29"/>
      <c r="BF391" s="111"/>
      <c r="BG391" s="111"/>
      <c r="BH391" s="111"/>
      <c r="BI391" s="111"/>
      <c r="BJ391" s="111"/>
      <c r="BK391" s="111"/>
      <c r="BL391" s="111"/>
      <c r="BM391" s="111"/>
      <c r="BN391" s="111"/>
      <c r="BO391" s="111"/>
      <c r="BP391" s="111"/>
      <c r="BQ391" s="111"/>
      <c r="BR391" s="111"/>
      <c r="BS391" s="111"/>
      <c r="DI391" s="13"/>
      <c r="DJ391" s="13"/>
      <c r="DK391" s="13"/>
      <c r="DL391" s="13"/>
      <c r="DM391" s="13"/>
      <c r="DR391" s="29"/>
      <c r="DS391" s="29"/>
      <c r="DT391" s="29"/>
      <c r="DU391" s="29"/>
      <c r="DV391" s="29"/>
      <c r="DW391" s="29"/>
      <c r="DX391" s="29"/>
      <c r="DY391" s="29"/>
      <c r="DZ391" s="29"/>
      <c r="EA391" s="29"/>
      <c r="EB391" s="29"/>
      <c r="EC391" s="29"/>
      <c r="ED391" s="29"/>
      <c r="EE391" s="29"/>
      <c r="EF391" s="111"/>
      <c r="EG391" s="111"/>
      <c r="EH391" s="111"/>
      <c r="EI391" s="111"/>
      <c r="EJ391" s="111"/>
      <c r="EK391" s="111"/>
      <c r="EL391" s="111"/>
      <c r="EM391" s="111"/>
      <c r="EN391" s="111"/>
      <c r="EO391" s="111"/>
      <c r="EP391" s="111"/>
      <c r="EQ391" s="111"/>
      <c r="ER391" s="111"/>
      <c r="ES391" s="111"/>
    </row>
    <row r="392" spans="35:149">
      <c r="AI392" s="13"/>
      <c r="AJ392" s="13"/>
      <c r="AK392" s="13"/>
      <c r="AL392" s="13"/>
      <c r="AM392" s="13"/>
      <c r="AR392" s="29"/>
      <c r="AS392" s="29"/>
      <c r="AT392" s="29"/>
      <c r="AU392" s="29"/>
      <c r="AV392" s="29"/>
      <c r="AW392" s="29"/>
      <c r="AX392" s="29"/>
      <c r="AY392" s="29"/>
      <c r="AZ392" s="29"/>
      <c r="BA392" s="29"/>
      <c r="BB392" s="29"/>
      <c r="BC392" s="29"/>
      <c r="BD392" s="29"/>
      <c r="BE392" s="29"/>
      <c r="BF392" s="111"/>
      <c r="BG392" s="111"/>
      <c r="BH392" s="111"/>
      <c r="BI392" s="111"/>
      <c r="BJ392" s="111"/>
      <c r="BK392" s="111"/>
      <c r="BL392" s="111"/>
      <c r="BM392" s="111"/>
      <c r="BN392" s="111"/>
      <c r="BO392" s="111"/>
      <c r="BP392" s="111"/>
      <c r="BQ392" s="111"/>
      <c r="BR392" s="111"/>
      <c r="BS392" s="111"/>
      <c r="DI392" s="13"/>
      <c r="DJ392" s="13"/>
      <c r="DK392" s="13"/>
      <c r="DL392" s="13"/>
      <c r="DM392" s="13"/>
      <c r="DR392" s="29"/>
      <c r="DS392" s="29"/>
      <c r="DT392" s="29"/>
      <c r="DU392" s="29"/>
      <c r="DV392" s="29"/>
      <c r="DW392" s="29"/>
      <c r="DX392" s="29"/>
      <c r="DY392" s="29"/>
      <c r="DZ392" s="29"/>
      <c r="EA392" s="29"/>
      <c r="EB392" s="29"/>
      <c r="EC392" s="29"/>
      <c r="ED392" s="29"/>
      <c r="EE392" s="29"/>
      <c r="EF392" s="111"/>
      <c r="EG392" s="111"/>
      <c r="EH392" s="111"/>
      <c r="EI392" s="111"/>
      <c r="EJ392" s="111"/>
      <c r="EK392" s="111"/>
      <c r="EL392" s="111"/>
      <c r="EM392" s="111"/>
      <c r="EN392" s="111"/>
      <c r="EO392" s="111"/>
      <c r="EP392" s="111"/>
      <c r="EQ392" s="111"/>
      <c r="ER392" s="111"/>
      <c r="ES392" s="111"/>
    </row>
    <row r="393" spans="35:149">
      <c r="AI393" s="13"/>
      <c r="AJ393" s="13"/>
      <c r="AK393" s="13"/>
      <c r="AL393" s="13"/>
      <c r="AM393" s="13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111"/>
      <c r="BG393" s="111"/>
      <c r="BH393" s="111"/>
      <c r="BI393" s="111"/>
      <c r="BJ393" s="111"/>
      <c r="BK393" s="111"/>
      <c r="BL393" s="111"/>
      <c r="BM393" s="111"/>
      <c r="BN393" s="111"/>
      <c r="BO393" s="111"/>
      <c r="BP393" s="111"/>
      <c r="BQ393" s="111"/>
      <c r="BR393" s="111"/>
      <c r="BS393" s="111"/>
      <c r="DI393" s="13"/>
      <c r="DJ393" s="13"/>
      <c r="DK393" s="13"/>
      <c r="DL393" s="13"/>
      <c r="DM393" s="13"/>
      <c r="DR393" s="29"/>
      <c r="DS393" s="29"/>
      <c r="DT393" s="29"/>
      <c r="DU393" s="29"/>
      <c r="DV393" s="29"/>
      <c r="DW393" s="29"/>
      <c r="DX393" s="29"/>
      <c r="DY393" s="29"/>
      <c r="DZ393" s="29"/>
      <c r="EA393" s="29"/>
      <c r="EB393" s="29"/>
      <c r="EC393" s="29"/>
      <c r="ED393" s="29"/>
      <c r="EE393" s="29"/>
      <c r="EF393" s="111"/>
      <c r="EG393" s="111"/>
      <c r="EH393" s="111"/>
      <c r="EI393" s="111"/>
      <c r="EJ393" s="111"/>
      <c r="EK393" s="111"/>
      <c r="EL393" s="111"/>
      <c r="EM393" s="111"/>
      <c r="EN393" s="111"/>
      <c r="EO393" s="111"/>
      <c r="EP393" s="111"/>
      <c r="EQ393" s="111"/>
      <c r="ER393" s="111"/>
      <c r="ES393" s="111"/>
    </row>
    <row r="394" spans="35:149">
      <c r="AI394" s="13"/>
      <c r="AJ394" s="13"/>
      <c r="AK394" s="13"/>
      <c r="AL394" s="13"/>
      <c r="AM394" s="13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111"/>
      <c r="BG394" s="111"/>
      <c r="BH394" s="111"/>
      <c r="BI394" s="111"/>
      <c r="BJ394" s="111"/>
      <c r="BK394" s="111"/>
      <c r="BL394" s="111"/>
      <c r="BM394" s="111"/>
      <c r="BN394" s="111"/>
      <c r="BO394" s="111"/>
      <c r="BP394" s="111"/>
      <c r="BQ394" s="111"/>
      <c r="BR394" s="111"/>
      <c r="BS394" s="111"/>
      <c r="DI394" s="13"/>
      <c r="DJ394" s="13"/>
      <c r="DK394" s="13"/>
      <c r="DL394" s="13"/>
      <c r="DM394" s="13"/>
      <c r="DR394" s="29"/>
      <c r="DS394" s="29"/>
      <c r="DT394" s="29"/>
      <c r="DU394" s="29"/>
      <c r="DV394" s="29"/>
      <c r="DW394" s="29"/>
      <c r="DX394" s="29"/>
      <c r="DY394" s="29"/>
      <c r="DZ394" s="29"/>
      <c r="EA394" s="29"/>
      <c r="EB394" s="29"/>
      <c r="EC394" s="29"/>
      <c r="ED394" s="29"/>
      <c r="EE394" s="29"/>
      <c r="EF394" s="111"/>
      <c r="EG394" s="111"/>
      <c r="EH394" s="111"/>
      <c r="EI394" s="111"/>
      <c r="EJ394" s="111"/>
      <c r="EK394" s="111"/>
      <c r="EL394" s="111"/>
      <c r="EM394" s="111"/>
      <c r="EN394" s="111"/>
      <c r="EO394" s="111"/>
      <c r="EP394" s="111"/>
      <c r="EQ394" s="111"/>
      <c r="ER394" s="111"/>
      <c r="ES394" s="111"/>
    </row>
    <row r="395" spans="35:149">
      <c r="AI395" s="13"/>
      <c r="AJ395" s="13"/>
      <c r="AK395" s="13"/>
      <c r="AL395" s="13"/>
      <c r="AM395" s="13"/>
      <c r="AR395" s="29"/>
      <c r="AS395" s="29"/>
      <c r="AT395" s="29"/>
      <c r="AU395" s="29"/>
      <c r="AV395" s="29"/>
      <c r="AW395" s="29"/>
      <c r="AX395" s="29"/>
      <c r="AY395" s="29"/>
      <c r="AZ395" s="29"/>
      <c r="BA395" s="29"/>
      <c r="BB395" s="29"/>
      <c r="BC395" s="29"/>
      <c r="BD395" s="29"/>
      <c r="BE395" s="29"/>
      <c r="BF395" s="111"/>
      <c r="BG395" s="111"/>
      <c r="BH395" s="111"/>
      <c r="BI395" s="111"/>
      <c r="BJ395" s="111"/>
      <c r="BK395" s="111"/>
      <c r="BL395" s="111"/>
      <c r="BM395" s="111"/>
      <c r="BN395" s="111"/>
      <c r="BO395" s="111"/>
      <c r="BP395" s="111"/>
      <c r="BQ395" s="111"/>
      <c r="BR395" s="111"/>
      <c r="BS395" s="111"/>
      <c r="DI395" s="13"/>
      <c r="DJ395" s="13"/>
      <c r="DK395" s="13"/>
      <c r="DL395" s="13"/>
      <c r="DM395" s="13"/>
      <c r="DR395" s="29"/>
      <c r="DS395" s="29"/>
      <c r="DT395" s="29"/>
      <c r="DU395" s="29"/>
      <c r="DV395" s="29"/>
      <c r="DW395" s="29"/>
      <c r="DX395" s="29"/>
      <c r="DY395" s="29"/>
      <c r="DZ395" s="29"/>
      <c r="EA395" s="29"/>
      <c r="EB395" s="29"/>
      <c r="EC395" s="29"/>
      <c r="ED395" s="29"/>
      <c r="EE395" s="29"/>
      <c r="EF395" s="111"/>
      <c r="EG395" s="111"/>
      <c r="EH395" s="111"/>
      <c r="EI395" s="111"/>
      <c r="EJ395" s="111"/>
      <c r="EK395" s="111"/>
      <c r="EL395" s="111"/>
      <c r="EM395" s="111"/>
      <c r="EN395" s="111"/>
      <c r="EO395" s="111"/>
      <c r="EP395" s="111"/>
      <c r="EQ395" s="111"/>
      <c r="ER395" s="111"/>
      <c r="ES395" s="111"/>
    </row>
    <row r="396" spans="35:149">
      <c r="AI396" s="13"/>
      <c r="AJ396" s="13"/>
      <c r="AK396" s="13"/>
      <c r="AL396" s="13"/>
      <c r="AM396" s="13"/>
      <c r="AR396" s="29"/>
      <c r="AS396" s="29"/>
      <c r="AT396" s="29"/>
      <c r="AU396" s="29"/>
      <c r="AV396" s="29"/>
      <c r="AW396" s="29"/>
      <c r="AX396" s="29"/>
      <c r="AY396" s="29"/>
      <c r="AZ396" s="29"/>
      <c r="BA396" s="29"/>
      <c r="BB396" s="29"/>
      <c r="BC396" s="29"/>
      <c r="BD396" s="29"/>
      <c r="BE396" s="29"/>
      <c r="BF396" s="111"/>
      <c r="BG396" s="111"/>
      <c r="BH396" s="111"/>
      <c r="BI396" s="111"/>
      <c r="BJ396" s="111"/>
      <c r="BK396" s="111"/>
      <c r="BL396" s="111"/>
      <c r="BM396" s="111"/>
      <c r="BN396" s="111"/>
      <c r="BO396" s="111"/>
      <c r="BP396" s="111"/>
      <c r="BQ396" s="111"/>
      <c r="BR396" s="111"/>
      <c r="BS396" s="111"/>
      <c r="DI396" s="13"/>
      <c r="DJ396" s="13"/>
      <c r="DK396" s="13"/>
      <c r="DL396" s="13"/>
      <c r="DM396" s="13"/>
      <c r="DR396" s="29"/>
      <c r="DS396" s="29"/>
      <c r="DT396" s="29"/>
      <c r="DU396" s="29"/>
      <c r="DV396" s="29"/>
      <c r="DW396" s="29"/>
      <c r="DX396" s="29"/>
      <c r="DY396" s="29"/>
      <c r="DZ396" s="29"/>
      <c r="EA396" s="29"/>
      <c r="EB396" s="29"/>
      <c r="EC396" s="29"/>
      <c r="ED396" s="29"/>
      <c r="EE396" s="29"/>
      <c r="EF396" s="111"/>
      <c r="EG396" s="111"/>
      <c r="EH396" s="111"/>
      <c r="EI396" s="111"/>
      <c r="EJ396" s="111"/>
      <c r="EK396" s="111"/>
      <c r="EL396" s="111"/>
      <c r="EM396" s="111"/>
      <c r="EN396" s="111"/>
      <c r="EO396" s="111"/>
      <c r="EP396" s="111"/>
      <c r="EQ396" s="111"/>
      <c r="ER396" s="111"/>
      <c r="ES396" s="111"/>
    </row>
    <row r="397" spans="35:149">
      <c r="AI397" s="13"/>
      <c r="AJ397" s="13"/>
      <c r="AK397" s="13"/>
      <c r="AL397" s="13"/>
      <c r="AM397" s="13"/>
      <c r="AR397" s="29"/>
      <c r="AS397" s="29"/>
      <c r="AT397" s="29"/>
      <c r="AU397" s="29"/>
      <c r="AV397" s="29"/>
      <c r="AW397" s="29"/>
      <c r="AX397" s="29"/>
      <c r="AY397" s="29"/>
      <c r="AZ397" s="29"/>
      <c r="BA397" s="29"/>
      <c r="BB397" s="29"/>
      <c r="BC397" s="29"/>
      <c r="BD397" s="29"/>
      <c r="BE397" s="29"/>
      <c r="BF397" s="111"/>
      <c r="BG397" s="111"/>
      <c r="BH397" s="111"/>
      <c r="BI397" s="111"/>
      <c r="BJ397" s="111"/>
      <c r="BK397" s="111"/>
      <c r="BL397" s="111"/>
      <c r="BM397" s="111"/>
      <c r="BN397" s="111"/>
      <c r="BO397" s="111"/>
      <c r="BP397" s="111"/>
      <c r="BQ397" s="111"/>
      <c r="BR397" s="111"/>
      <c r="BS397" s="111"/>
      <c r="DI397" s="13"/>
      <c r="DJ397" s="13"/>
      <c r="DK397" s="13"/>
      <c r="DL397" s="13"/>
      <c r="DM397" s="13"/>
      <c r="DR397" s="29"/>
      <c r="DS397" s="29"/>
      <c r="DT397" s="29"/>
      <c r="DU397" s="29"/>
      <c r="DV397" s="29"/>
      <c r="DW397" s="29"/>
      <c r="DX397" s="29"/>
      <c r="DY397" s="29"/>
      <c r="DZ397" s="29"/>
      <c r="EA397" s="29"/>
      <c r="EB397" s="29"/>
      <c r="EC397" s="29"/>
      <c r="ED397" s="29"/>
      <c r="EE397" s="29"/>
      <c r="EF397" s="111"/>
      <c r="EG397" s="111"/>
      <c r="EH397" s="111"/>
      <c r="EI397" s="111"/>
      <c r="EJ397" s="111"/>
      <c r="EK397" s="111"/>
      <c r="EL397" s="111"/>
      <c r="EM397" s="111"/>
      <c r="EN397" s="111"/>
      <c r="EO397" s="111"/>
      <c r="EP397" s="111"/>
      <c r="EQ397" s="111"/>
      <c r="ER397" s="111"/>
      <c r="ES397" s="111"/>
    </row>
    <row r="398" spans="35:149">
      <c r="AI398" s="13"/>
      <c r="AJ398" s="13"/>
      <c r="AK398" s="13"/>
      <c r="AL398" s="13"/>
      <c r="AM398" s="13"/>
      <c r="AR398" s="29"/>
      <c r="AS398" s="29"/>
      <c r="AT398" s="29"/>
      <c r="AU398" s="29"/>
      <c r="AV398" s="29"/>
      <c r="AW398" s="29"/>
      <c r="AX398" s="29"/>
      <c r="AY398" s="29"/>
      <c r="AZ398" s="29"/>
      <c r="BA398" s="29"/>
      <c r="BB398" s="29"/>
      <c r="BC398" s="29"/>
      <c r="BD398" s="29"/>
      <c r="BE398" s="29"/>
      <c r="BF398" s="111"/>
      <c r="BG398" s="111"/>
      <c r="BH398" s="111"/>
      <c r="BI398" s="111"/>
      <c r="BJ398" s="111"/>
      <c r="BK398" s="111"/>
      <c r="BL398" s="111"/>
      <c r="BM398" s="111"/>
      <c r="BN398" s="111"/>
      <c r="BO398" s="111"/>
      <c r="BP398" s="111"/>
      <c r="BQ398" s="111"/>
      <c r="BR398" s="111"/>
      <c r="BS398" s="111"/>
      <c r="DI398" s="13"/>
      <c r="DJ398" s="13"/>
      <c r="DK398" s="13"/>
      <c r="DL398" s="13"/>
      <c r="DM398" s="13"/>
      <c r="DR398" s="29"/>
      <c r="DS398" s="29"/>
      <c r="DT398" s="29"/>
      <c r="DU398" s="29"/>
      <c r="DV398" s="29"/>
      <c r="DW398" s="29"/>
      <c r="DX398" s="29"/>
      <c r="DY398" s="29"/>
      <c r="DZ398" s="29"/>
      <c r="EA398" s="29"/>
      <c r="EB398" s="29"/>
      <c r="EC398" s="29"/>
      <c r="ED398" s="29"/>
      <c r="EE398" s="29"/>
      <c r="EF398" s="111"/>
      <c r="EG398" s="111"/>
      <c r="EH398" s="111"/>
      <c r="EI398" s="111"/>
      <c r="EJ398" s="111"/>
      <c r="EK398" s="111"/>
      <c r="EL398" s="111"/>
      <c r="EM398" s="111"/>
      <c r="EN398" s="111"/>
      <c r="EO398" s="111"/>
      <c r="EP398" s="111"/>
      <c r="EQ398" s="111"/>
      <c r="ER398" s="111"/>
      <c r="ES398" s="111"/>
    </row>
    <row r="399" spans="35:149">
      <c r="AI399" s="13"/>
      <c r="AJ399" s="13"/>
      <c r="AK399" s="13"/>
      <c r="AL399" s="13"/>
      <c r="AM399" s="13"/>
      <c r="AR399" s="29"/>
      <c r="AS399" s="29"/>
      <c r="AT399" s="29"/>
      <c r="AU399" s="29"/>
      <c r="AV399" s="29"/>
      <c r="AW399" s="29"/>
      <c r="AX399" s="29"/>
      <c r="AY399" s="29"/>
      <c r="AZ399" s="29"/>
      <c r="BA399" s="29"/>
      <c r="BB399" s="29"/>
      <c r="BC399" s="29"/>
      <c r="BD399" s="29"/>
      <c r="BE399" s="29"/>
      <c r="BF399" s="111"/>
      <c r="BG399" s="111"/>
      <c r="BH399" s="111"/>
      <c r="BI399" s="111"/>
      <c r="BJ399" s="111"/>
      <c r="BK399" s="111"/>
      <c r="BL399" s="111"/>
      <c r="BM399" s="111"/>
      <c r="BN399" s="111"/>
      <c r="BO399" s="111"/>
      <c r="BP399" s="111"/>
      <c r="BQ399" s="111"/>
      <c r="BR399" s="111"/>
      <c r="BS399" s="111"/>
      <c r="DI399" s="13"/>
      <c r="DJ399" s="13"/>
      <c r="DK399" s="13"/>
      <c r="DL399" s="13"/>
      <c r="DM399" s="13"/>
      <c r="DR399" s="29"/>
      <c r="DS399" s="29"/>
      <c r="DT399" s="29"/>
      <c r="DU399" s="29"/>
      <c r="DV399" s="29"/>
      <c r="DW399" s="29"/>
      <c r="DX399" s="29"/>
      <c r="DY399" s="29"/>
      <c r="DZ399" s="29"/>
      <c r="EA399" s="29"/>
      <c r="EB399" s="29"/>
      <c r="EC399" s="29"/>
      <c r="ED399" s="29"/>
      <c r="EE399" s="29"/>
      <c r="EF399" s="111"/>
      <c r="EG399" s="111"/>
      <c r="EH399" s="111"/>
      <c r="EI399" s="111"/>
      <c r="EJ399" s="111"/>
      <c r="EK399" s="111"/>
      <c r="EL399" s="111"/>
      <c r="EM399" s="111"/>
      <c r="EN399" s="111"/>
      <c r="EO399" s="111"/>
      <c r="EP399" s="111"/>
      <c r="EQ399" s="111"/>
      <c r="ER399" s="111"/>
      <c r="ES399" s="111"/>
    </row>
    <row r="400" spans="35:149">
      <c r="AI400" s="13"/>
      <c r="AJ400" s="13"/>
      <c r="AK400" s="13"/>
      <c r="AL400" s="13"/>
      <c r="AM400" s="13"/>
      <c r="AR400" s="29"/>
      <c r="AS400" s="29"/>
      <c r="AT400" s="29"/>
      <c r="AU400" s="29"/>
      <c r="AV400" s="29"/>
      <c r="AW400" s="29"/>
      <c r="AX400" s="29"/>
      <c r="AY400" s="29"/>
      <c r="AZ400" s="29"/>
      <c r="BA400" s="29"/>
      <c r="BB400" s="29"/>
      <c r="BC400" s="29"/>
      <c r="BD400" s="29"/>
      <c r="BE400" s="29"/>
      <c r="BF400" s="111"/>
      <c r="BG400" s="111"/>
      <c r="BH400" s="111"/>
      <c r="BI400" s="111"/>
      <c r="BJ400" s="111"/>
      <c r="BK400" s="111"/>
      <c r="BL400" s="111"/>
      <c r="BM400" s="111"/>
      <c r="BN400" s="111"/>
      <c r="BO400" s="111"/>
      <c r="BP400" s="111"/>
      <c r="BQ400" s="111"/>
      <c r="BR400" s="111"/>
      <c r="BS400" s="111"/>
      <c r="DI400" s="13"/>
      <c r="DJ400" s="13"/>
      <c r="DK400" s="13"/>
      <c r="DL400" s="13"/>
      <c r="DM400" s="13"/>
      <c r="DR400" s="29"/>
      <c r="DS400" s="29"/>
      <c r="DT400" s="29"/>
      <c r="DU400" s="29"/>
      <c r="DV400" s="29"/>
      <c r="DW400" s="29"/>
      <c r="DX400" s="29"/>
      <c r="DY400" s="29"/>
      <c r="DZ400" s="29"/>
      <c r="EA400" s="29"/>
      <c r="EB400" s="29"/>
      <c r="EC400" s="29"/>
      <c r="ED400" s="29"/>
      <c r="EE400" s="29"/>
      <c r="EF400" s="111"/>
      <c r="EG400" s="111"/>
      <c r="EH400" s="111"/>
      <c r="EI400" s="111"/>
      <c r="EJ400" s="111"/>
      <c r="EK400" s="111"/>
      <c r="EL400" s="111"/>
      <c r="EM400" s="111"/>
      <c r="EN400" s="111"/>
      <c r="EO400" s="111"/>
      <c r="EP400" s="111"/>
      <c r="EQ400" s="111"/>
      <c r="ER400" s="111"/>
      <c r="ES400" s="111"/>
    </row>
    <row r="401" spans="35:149">
      <c r="AI401" s="13"/>
      <c r="AJ401" s="13"/>
      <c r="AK401" s="13"/>
      <c r="AL401" s="13"/>
      <c r="AM401" s="13"/>
      <c r="AR401" s="29"/>
      <c r="AS401" s="29"/>
      <c r="AT401" s="29"/>
      <c r="AU401" s="29"/>
      <c r="AV401" s="29"/>
      <c r="AW401" s="29"/>
      <c r="AX401" s="29"/>
      <c r="AY401" s="29"/>
      <c r="AZ401" s="29"/>
      <c r="BA401" s="29"/>
      <c r="BB401" s="29"/>
      <c r="BC401" s="29"/>
      <c r="BD401" s="29"/>
      <c r="BE401" s="29"/>
      <c r="BF401" s="111"/>
      <c r="BG401" s="111"/>
      <c r="BH401" s="111"/>
      <c r="BI401" s="111"/>
      <c r="BJ401" s="111"/>
      <c r="BK401" s="111"/>
      <c r="BL401" s="111"/>
      <c r="BM401" s="111"/>
      <c r="BN401" s="111"/>
      <c r="BO401" s="111"/>
      <c r="BP401" s="111"/>
      <c r="BQ401" s="111"/>
      <c r="BR401" s="111"/>
      <c r="BS401" s="111"/>
      <c r="DI401" s="13"/>
      <c r="DJ401" s="13"/>
      <c r="DK401" s="13"/>
      <c r="DL401" s="13"/>
      <c r="DM401" s="13"/>
      <c r="DR401" s="29"/>
      <c r="DS401" s="29"/>
      <c r="DT401" s="29"/>
      <c r="DU401" s="29"/>
      <c r="DV401" s="29"/>
      <c r="DW401" s="29"/>
      <c r="DX401" s="29"/>
      <c r="DY401" s="29"/>
      <c r="DZ401" s="29"/>
      <c r="EA401" s="29"/>
      <c r="EB401" s="29"/>
      <c r="EC401" s="29"/>
      <c r="ED401" s="29"/>
      <c r="EE401" s="29"/>
      <c r="EF401" s="111"/>
      <c r="EG401" s="111"/>
      <c r="EH401" s="111"/>
      <c r="EI401" s="111"/>
      <c r="EJ401" s="111"/>
      <c r="EK401" s="111"/>
      <c r="EL401" s="111"/>
      <c r="EM401" s="111"/>
      <c r="EN401" s="111"/>
      <c r="EO401" s="111"/>
      <c r="EP401" s="111"/>
      <c r="EQ401" s="111"/>
      <c r="ER401" s="111"/>
      <c r="ES401" s="111"/>
    </row>
    <row r="402" spans="35:149">
      <c r="AI402" s="13"/>
      <c r="AJ402" s="13"/>
      <c r="AK402" s="13"/>
      <c r="AL402" s="13"/>
      <c r="AM402" s="13"/>
      <c r="AR402" s="29"/>
      <c r="AS402" s="29"/>
      <c r="AT402" s="29"/>
      <c r="AU402" s="29"/>
      <c r="AV402" s="29"/>
      <c r="AW402" s="29"/>
      <c r="AX402" s="29"/>
      <c r="AY402" s="29"/>
      <c r="AZ402" s="29"/>
      <c r="BA402" s="29"/>
      <c r="BB402" s="29"/>
      <c r="BC402" s="29"/>
      <c r="BD402" s="29"/>
      <c r="BE402" s="29"/>
      <c r="BF402" s="111"/>
      <c r="BG402" s="111"/>
      <c r="BH402" s="111"/>
      <c r="BI402" s="111"/>
      <c r="BJ402" s="111"/>
      <c r="BK402" s="111"/>
      <c r="BL402" s="111"/>
      <c r="BM402" s="111"/>
      <c r="BN402" s="111"/>
      <c r="BO402" s="111"/>
      <c r="BP402" s="111"/>
      <c r="BQ402" s="111"/>
      <c r="BR402" s="111"/>
      <c r="BS402" s="111"/>
      <c r="DI402" s="13"/>
      <c r="DJ402" s="13"/>
      <c r="DK402" s="13"/>
      <c r="DL402" s="13"/>
      <c r="DM402" s="13"/>
      <c r="DR402" s="29"/>
      <c r="DS402" s="29"/>
      <c r="DT402" s="29"/>
      <c r="DU402" s="29"/>
      <c r="DV402" s="29"/>
      <c r="DW402" s="29"/>
      <c r="DX402" s="29"/>
      <c r="DY402" s="29"/>
      <c r="DZ402" s="29"/>
      <c r="EA402" s="29"/>
      <c r="EB402" s="29"/>
      <c r="EC402" s="29"/>
      <c r="ED402" s="29"/>
      <c r="EE402" s="29"/>
      <c r="EF402" s="111"/>
      <c r="EG402" s="111"/>
      <c r="EH402" s="111"/>
      <c r="EI402" s="111"/>
      <c r="EJ402" s="111"/>
      <c r="EK402" s="111"/>
      <c r="EL402" s="111"/>
      <c r="EM402" s="111"/>
      <c r="EN402" s="111"/>
      <c r="EO402" s="111"/>
      <c r="EP402" s="111"/>
      <c r="EQ402" s="111"/>
      <c r="ER402" s="111"/>
      <c r="ES402" s="111"/>
    </row>
    <row r="403" spans="35:149">
      <c r="AI403" s="13"/>
      <c r="AJ403" s="13"/>
      <c r="AK403" s="13"/>
      <c r="AL403" s="13"/>
      <c r="AM403" s="13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111"/>
      <c r="BG403" s="111"/>
      <c r="BH403" s="111"/>
      <c r="BI403" s="111"/>
      <c r="BJ403" s="111"/>
      <c r="BK403" s="111"/>
      <c r="BL403" s="111"/>
      <c r="BM403" s="111"/>
      <c r="BN403" s="111"/>
      <c r="BO403" s="111"/>
      <c r="BP403" s="111"/>
      <c r="BQ403" s="111"/>
      <c r="BR403" s="111"/>
      <c r="BS403" s="111"/>
      <c r="DI403" s="13"/>
      <c r="DJ403" s="13"/>
      <c r="DK403" s="13"/>
      <c r="DL403" s="13"/>
      <c r="DM403" s="13"/>
      <c r="DR403" s="29"/>
      <c r="DS403" s="29"/>
      <c r="DT403" s="29"/>
      <c r="DU403" s="29"/>
      <c r="DV403" s="29"/>
      <c r="DW403" s="29"/>
      <c r="DX403" s="29"/>
      <c r="DY403" s="29"/>
      <c r="DZ403" s="29"/>
      <c r="EA403" s="29"/>
      <c r="EB403" s="29"/>
      <c r="EC403" s="29"/>
      <c r="ED403" s="29"/>
      <c r="EE403" s="29"/>
      <c r="EF403" s="111"/>
      <c r="EG403" s="111"/>
      <c r="EH403" s="111"/>
      <c r="EI403" s="111"/>
      <c r="EJ403" s="111"/>
      <c r="EK403" s="111"/>
      <c r="EL403" s="111"/>
      <c r="EM403" s="111"/>
      <c r="EN403" s="111"/>
      <c r="EO403" s="111"/>
      <c r="EP403" s="111"/>
      <c r="EQ403" s="111"/>
      <c r="ER403" s="111"/>
      <c r="ES403" s="111"/>
    </row>
    <row r="404" spans="35:149">
      <c r="AI404" s="13"/>
      <c r="AJ404" s="13"/>
      <c r="AK404" s="13"/>
      <c r="AL404" s="13"/>
      <c r="AM404" s="13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111"/>
      <c r="BG404" s="111"/>
      <c r="BH404" s="111"/>
      <c r="BI404" s="111"/>
      <c r="BJ404" s="111"/>
      <c r="BK404" s="111"/>
      <c r="BL404" s="111"/>
      <c r="BM404" s="111"/>
      <c r="BN404" s="111"/>
      <c r="BO404" s="111"/>
      <c r="BP404" s="111"/>
      <c r="BQ404" s="111"/>
      <c r="BR404" s="111"/>
      <c r="BS404" s="111"/>
      <c r="DI404" s="13"/>
      <c r="DJ404" s="13"/>
      <c r="DK404" s="13"/>
      <c r="DL404" s="13"/>
      <c r="DM404" s="13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111"/>
      <c r="EG404" s="111"/>
      <c r="EH404" s="111"/>
      <c r="EI404" s="111"/>
      <c r="EJ404" s="111"/>
      <c r="EK404" s="111"/>
      <c r="EL404" s="111"/>
      <c r="EM404" s="111"/>
      <c r="EN404" s="111"/>
      <c r="EO404" s="111"/>
      <c r="EP404" s="111"/>
      <c r="EQ404" s="111"/>
      <c r="ER404" s="111"/>
      <c r="ES404" s="111"/>
    </row>
    <row r="405" spans="35:149">
      <c r="AI405" s="13"/>
      <c r="AJ405" s="13"/>
      <c r="AK405" s="13"/>
      <c r="AL405" s="13"/>
      <c r="AM405" s="13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  <c r="BC405" s="29"/>
      <c r="BD405" s="29"/>
      <c r="BE405" s="29"/>
      <c r="BF405" s="111"/>
      <c r="BG405" s="111"/>
      <c r="BH405" s="111"/>
      <c r="BI405" s="111"/>
      <c r="BJ405" s="111"/>
      <c r="BK405" s="111"/>
      <c r="BL405" s="111"/>
      <c r="BM405" s="111"/>
      <c r="BN405" s="111"/>
      <c r="BO405" s="111"/>
      <c r="BP405" s="111"/>
      <c r="BQ405" s="111"/>
      <c r="BR405" s="111"/>
      <c r="BS405" s="111"/>
      <c r="DI405" s="13"/>
      <c r="DJ405" s="13"/>
      <c r="DK405" s="13"/>
      <c r="DL405" s="13"/>
      <c r="DM405" s="13"/>
      <c r="DR405" s="29"/>
      <c r="DS405" s="29"/>
      <c r="DT405" s="29"/>
      <c r="DU405" s="29"/>
      <c r="DV405" s="29"/>
      <c r="DW405" s="29"/>
      <c r="DX405" s="29"/>
      <c r="DY405" s="29"/>
      <c r="DZ405" s="29"/>
      <c r="EA405" s="29"/>
      <c r="EB405" s="29"/>
      <c r="EC405" s="29"/>
      <c r="ED405" s="29"/>
      <c r="EE405" s="29"/>
      <c r="EF405" s="111"/>
      <c r="EG405" s="111"/>
      <c r="EH405" s="111"/>
      <c r="EI405" s="111"/>
      <c r="EJ405" s="111"/>
      <c r="EK405" s="111"/>
      <c r="EL405" s="111"/>
      <c r="EM405" s="111"/>
      <c r="EN405" s="111"/>
      <c r="EO405" s="111"/>
      <c r="EP405" s="111"/>
      <c r="EQ405" s="111"/>
      <c r="ER405" s="111"/>
      <c r="ES405" s="111"/>
    </row>
    <row r="406" spans="35:149">
      <c r="AI406" s="13"/>
      <c r="AJ406" s="13"/>
      <c r="AK406" s="13"/>
      <c r="AL406" s="13"/>
      <c r="AM406" s="13"/>
      <c r="AR406" s="29"/>
      <c r="AS406" s="29"/>
      <c r="AT406" s="29"/>
      <c r="AU406" s="29"/>
      <c r="AV406" s="29"/>
      <c r="AW406" s="29"/>
      <c r="AX406" s="29"/>
      <c r="AY406" s="29"/>
      <c r="AZ406" s="29"/>
      <c r="BA406" s="29"/>
      <c r="BB406" s="29"/>
      <c r="BC406" s="29"/>
      <c r="BD406" s="29"/>
      <c r="BE406" s="29"/>
      <c r="BF406" s="111"/>
      <c r="BG406" s="111"/>
      <c r="BH406" s="111"/>
      <c r="BI406" s="111"/>
      <c r="BJ406" s="111"/>
      <c r="BK406" s="111"/>
      <c r="BL406" s="111"/>
      <c r="BM406" s="111"/>
      <c r="BN406" s="111"/>
      <c r="BO406" s="111"/>
      <c r="BP406" s="111"/>
      <c r="BQ406" s="111"/>
      <c r="BR406" s="111"/>
      <c r="BS406" s="111"/>
      <c r="DI406" s="13"/>
      <c r="DJ406" s="13"/>
      <c r="DK406" s="13"/>
      <c r="DL406" s="13"/>
      <c r="DM406" s="13"/>
      <c r="DR406" s="29"/>
      <c r="DS406" s="29"/>
      <c r="DT406" s="29"/>
      <c r="DU406" s="29"/>
      <c r="DV406" s="29"/>
      <c r="DW406" s="29"/>
      <c r="DX406" s="29"/>
      <c r="DY406" s="29"/>
      <c r="DZ406" s="29"/>
      <c r="EA406" s="29"/>
      <c r="EB406" s="29"/>
      <c r="EC406" s="29"/>
      <c r="ED406" s="29"/>
      <c r="EE406" s="29"/>
      <c r="EF406" s="111"/>
      <c r="EG406" s="111"/>
      <c r="EH406" s="111"/>
      <c r="EI406" s="111"/>
      <c r="EJ406" s="111"/>
      <c r="EK406" s="111"/>
      <c r="EL406" s="111"/>
      <c r="EM406" s="111"/>
      <c r="EN406" s="111"/>
      <c r="EO406" s="111"/>
      <c r="EP406" s="111"/>
      <c r="EQ406" s="111"/>
      <c r="ER406" s="111"/>
      <c r="ES406" s="111"/>
    </row>
    <row r="407" spans="35:149">
      <c r="AI407" s="13"/>
      <c r="AJ407" s="13"/>
      <c r="AK407" s="13"/>
      <c r="AL407" s="13"/>
      <c r="AM407" s="13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111"/>
      <c r="BG407" s="111"/>
      <c r="BH407" s="111"/>
      <c r="BI407" s="111"/>
      <c r="BJ407" s="111"/>
      <c r="BK407" s="111"/>
      <c r="BL407" s="111"/>
      <c r="BM407" s="111"/>
      <c r="BN407" s="111"/>
      <c r="BO407" s="111"/>
      <c r="BP407" s="111"/>
      <c r="BQ407" s="111"/>
      <c r="BR407" s="111"/>
      <c r="BS407" s="111"/>
      <c r="DI407" s="13"/>
      <c r="DJ407" s="13"/>
      <c r="DK407" s="13"/>
      <c r="DL407" s="13"/>
      <c r="DM407" s="13"/>
      <c r="DR407" s="29"/>
      <c r="DS407" s="29"/>
      <c r="DT407" s="29"/>
      <c r="DU407" s="29"/>
      <c r="DV407" s="29"/>
      <c r="DW407" s="29"/>
      <c r="DX407" s="29"/>
      <c r="DY407" s="29"/>
      <c r="DZ407" s="29"/>
      <c r="EA407" s="29"/>
      <c r="EB407" s="29"/>
      <c r="EC407" s="29"/>
      <c r="ED407" s="29"/>
      <c r="EE407" s="29"/>
      <c r="EF407" s="111"/>
      <c r="EG407" s="111"/>
      <c r="EH407" s="111"/>
      <c r="EI407" s="111"/>
      <c r="EJ407" s="111"/>
      <c r="EK407" s="111"/>
      <c r="EL407" s="111"/>
      <c r="EM407" s="111"/>
      <c r="EN407" s="111"/>
      <c r="EO407" s="111"/>
      <c r="EP407" s="111"/>
      <c r="EQ407" s="111"/>
      <c r="ER407" s="111"/>
      <c r="ES407" s="111"/>
    </row>
    <row r="408" spans="35:149">
      <c r="AI408" s="13"/>
      <c r="AJ408" s="13"/>
      <c r="AK408" s="13"/>
      <c r="AL408" s="13"/>
      <c r="AM408" s="13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111"/>
      <c r="BG408" s="111"/>
      <c r="BH408" s="111"/>
      <c r="BI408" s="111"/>
      <c r="BJ408" s="111"/>
      <c r="BK408" s="111"/>
      <c r="BL408" s="111"/>
      <c r="BM408" s="111"/>
      <c r="BN408" s="111"/>
      <c r="BO408" s="111"/>
      <c r="BP408" s="111"/>
      <c r="BQ408" s="111"/>
      <c r="BR408" s="111"/>
      <c r="BS408" s="111"/>
      <c r="DI408" s="13"/>
      <c r="DJ408" s="13"/>
      <c r="DK408" s="13"/>
      <c r="DL408" s="13"/>
      <c r="DM408" s="13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111"/>
      <c r="EG408" s="111"/>
      <c r="EH408" s="111"/>
      <c r="EI408" s="111"/>
      <c r="EJ408" s="111"/>
      <c r="EK408" s="111"/>
      <c r="EL408" s="111"/>
      <c r="EM408" s="111"/>
      <c r="EN408" s="111"/>
      <c r="EO408" s="111"/>
      <c r="EP408" s="111"/>
      <c r="EQ408" s="111"/>
      <c r="ER408" s="111"/>
      <c r="ES408" s="111"/>
    </row>
    <row r="409" spans="35:149">
      <c r="AI409" s="13"/>
      <c r="AJ409" s="13"/>
      <c r="AK409" s="13"/>
      <c r="AL409" s="13"/>
      <c r="AM409" s="13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  <c r="BC409" s="29"/>
      <c r="BD409" s="29"/>
      <c r="BE409" s="29"/>
      <c r="BF409" s="111"/>
      <c r="BG409" s="111"/>
      <c r="BH409" s="111"/>
      <c r="BI409" s="111"/>
      <c r="BJ409" s="111"/>
      <c r="BK409" s="111"/>
      <c r="BL409" s="111"/>
      <c r="BM409" s="111"/>
      <c r="BN409" s="111"/>
      <c r="BO409" s="111"/>
      <c r="BP409" s="111"/>
      <c r="BQ409" s="111"/>
      <c r="BR409" s="111"/>
      <c r="BS409" s="111"/>
      <c r="DI409" s="13"/>
      <c r="DJ409" s="13"/>
      <c r="DK409" s="13"/>
      <c r="DL409" s="13"/>
      <c r="DM409" s="13"/>
      <c r="DR409" s="29"/>
      <c r="DS409" s="29"/>
      <c r="DT409" s="29"/>
      <c r="DU409" s="29"/>
      <c r="DV409" s="29"/>
      <c r="DW409" s="29"/>
      <c r="DX409" s="29"/>
      <c r="DY409" s="29"/>
      <c r="DZ409" s="29"/>
      <c r="EA409" s="29"/>
      <c r="EB409" s="29"/>
      <c r="EC409" s="29"/>
      <c r="ED409" s="29"/>
      <c r="EE409" s="29"/>
      <c r="EF409" s="111"/>
      <c r="EG409" s="111"/>
      <c r="EH409" s="111"/>
      <c r="EI409" s="111"/>
      <c r="EJ409" s="111"/>
      <c r="EK409" s="111"/>
      <c r="EL409" s="111"/>
      <c r="EM409" s="111"/>
      <c r="EN409" s="111"/>
      <c r="EO409" s="111"/>
      <c r="EP409" s="111"/>
      <c r="EQ409" s="111"/>
      <c r="ER409" s="111"/>
      <c r="ES409" s="111"/>
    </row>
    <row r="410" spans="35:149">
      <c r="AI410" s="13"/>
      <c r="AJ410" s="13"/>
      <c r="AK410" s="13"/>
      <c r="AL410" s="13"/>
      <c r="AM410" s="13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111"/>
      <c r="BG410" s="111"/>
      <c r="BH410" s="111"/>
      <c r="BI410" s="111"/>
      <c r="BJ410" s="111"/>
      <c r="BK410" s="111"/>
      <c r="BL410" s="111"/>
      <c r="BM410" s="111"/>
      <c r="BN410" s="111"/>
      <c r="BO410" s="111"/>
      <c r="BP410" s="111"/>
      <c r="BQ410" s="111"/>
      <c r="BR410" s="111"/>
      <c r="BS410" s="111"/>
      <c r="DI410" s="13"/>
      <c r="DJ410" s="13"/>
      <c r="DK410" s="13"/>
      <c r="DL410" s="13"/>
      <c r="DM410" s="13"/>
      <c r="DR410" s="29"/>
      <c r="DS410" s="29"/>
      <c r="DT410" s="29"/>
      <c r="DU410" s="29"/>
      <c r="DV410" s="29"/>
      <c r="DW410" s="29"/>
      <c r="DX410" s="29"/>
      <c r="DY410" s="29"/>
      <c r="DZ410" s="29"/>
      <c r="EA410" s="29"/>
      <c r="EB410" s="29"/>
      <c r="EC410" s="29"/>
      <c r="ED410" s="29"/>
      <c r="EE410" s="29"/>
      <c r="EF410" s="111"/>
      <c r="EG410" s="111"/>
      <c r="EH410" s="111"/>
      <c r="EI410" s="111"/>
      <c r="EJ410" s="111"/>
      <c r="EK410" s="111"/>
      <c r="EL410" s="111"/>
      <c r="EM410" s="111"/>
      <c r="EN410" s="111"/>
      <c r="EO410" s="111"/>
      <c r="EP410" s="111"/>
      <c r="EQ410" s="111"/>
      <c r="ER410" s="111"/>
      <c r="ES410" s="111"/>
    </row>
    <row r="411" spans="35:149">
      <c r="AI411" s="13"/>
      <c r="AJ411" s="13"/>
      <c r="AK411" s="13"/>
      <c r="AL411" s="13"/>
      <c r="AM411" s="13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111"/>
      <c r="BG411" s="111"/>
      <c r="BH411" s="111"/>
      <c r="BI411" s="111"/>
      <c r="BJ411" s="111"/>
      <c r="BK411" s="111"/>
      <c r="BL411" s="111"/>
      <c r="BM411" s="111"/>
      <c r="BN411" s="111"/>
      <c r="BO411" s="111"/>
      <c r="BP411" s="111"/>
      <c r="BQ411" s="111"/>
      <c r="BR411" s="111"/>
      <c r="BS411" s="111"/>
      <c r="DI411" s="13"/>
      <c r="DJ411" s="13"/>
      <c r="DK411" s="13"/>
      <c r="DL411" s="13"/>
      <c r="DM411" s="13"/>
      <c r="DR411" s="29"/>
      <c r="DS411" s="29"/>
      <c r="DT411" s="29"/>
      <c r="DU411" s="29"/>
      <c r="DV411" s="29"/>
      <c r="DW411" s="29"/>
      <c r="DX411" s="29"/>
      <c r="DY411" s="29"/>
      <c r="DZ411" s="29"/>
      <c r="EA411" s="29"/>
      <c r="EB411" s="29"/>
      <c r="EC411" s="29"/>
      <c r="ED411" s="29"/>
      <c r="EE411" s="29"/>
      <c r="EF411" s="111"/>
      <c r="EG411" s="111"/>
      <c r="EH411" s="111"/>
      <c r="EI411" s="111"/>
      <c r="EJ411" s="111"/>
      <c r="EK411" s="111"/>
      <c r="EL411" s="111"/>
      <c r="EM411" s="111"/>
      <c r="EN411" s="111"/>
      <c r="EO411" s="111"/>
      <c r="EP411" s="111"/>
      <c r="EQ411" s="111"/>
      <c r="ER411" s="111"/>
      <c r="ES411" s="111"/>
    </row>
    <row r="412" spans="35:149">
      <c r="AI412" s="13"/>
      <c r="AJ412" s="13"/>
      <c r="AK412" s="13"/>
      <c r="AL412" s="13"/>
      <c r="AM412" s="13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111"/>
      <c r="BG412" s="111"/>
      <c r="BH412" s="111"/>
      <c r="BI412" s="111"/>
      <c r="BJ412" s="111"/>
      <c r="BK412" s="111"/>
      <c r="BL412" s="111"/>
      <c r="BM412" s="111"/>
      <c r="BN412" s="111"/>
      <c r="BO412" s="111"/>
      <c r="BP412" s="111"/>
      <c r="BQ412" s="111"/>
      <c r="BR412" s="111"/>
      <c r="BS412" s="111"/>
      <c r="DI412" s="13"/>
      <c r="DJ412" s="13"/>
      <c r="DK412" s="13"/>
      <c r="DL412" s="13"/>
      <c r="DM412" s="13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111"/>
      <c r="EG412" s="111"/>
      <c r="EH412" s="111"/>
      <c r="EI412" s="111"/>
      <c r="EJ412" s="111"/>
      <c r="EK412" s="111"/>
      <c r="EL412" s="111"/>
      <c r="EM412" s="111"/>
      <c r="EN412" s="111"/>
      <c r="EO412" s="111"/>
      <c r="EP412" s="111"/>
      <c r="EQ412" s="111"/>
      <c r="ER412" s="111"/>
      <c r="ES412" s="111"/>
    </row>
    <row r="413" spans="35:149">
      <c r="AI413" s="13"/>
      <c r="AJ413" s="13"/>
      <c r="AK413" s="13"/>
      <c r="AL413" s="13"/>
      <c r="AM413" s="13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  <c r="BC413" s="29"/>
      <c r="BD413" s="29"/>
      <c r="BE413" s="29"/>
      <c r="BF413" s="111"/>
      <c r="BG413" s="111"/>
      <c r="BH413" s="111"/>
      <c r="BI413" s="111"/>
      <c r="BJ413" s="111"/>
      <c r="BK413" s="111"/>
      <c r="BL413" s="111"/>
      <c r="BM413" s="111"/>
      <c r="BN413" s="111"/>
      <c r="BO413" s="111"/>
      <c r="BP413" s="111"/>
      <c r="BQ413" s="111"/>
      <c r="BR413" s="111"/>
      <c r="BS413" s="111"/>
      <c r="DI413" s="13"/>
      <c r="DJ413" s="13"/>
      <c r="DK413" s="13"/>
      <c r="DL413" s="13"/>
      <c r="DM413" s="13"/>
      <c r="DR413" s="29"/>
      <c r="DS413" s="29"/>
      <c r="DT413" s="29"/>
      <c r="DU413" s="29"/>
      <c r="DV413" s="29"/>
      <c r="DW413" s="29"/>
      <c r="DX413" s="29"/>
      <c r="DY413" s="29"/>
      <c r="DZ413" s="29"/>
      <c r="EA413" s="29"/>
      <c r="EB413" s="29"/>
      <c r="EC413" s="29"/>
      <c r="ED413" s="29"/>
      <c r="EE413" s="29"/>
      <c r="EF413" s="111"/>
      <c r="EG413" s="111"/>
      <c r="EH413" s="111"/>
      <c r="EI413" s="111"/>
      <c r="EJ413" s="111"/>
      <c r="EK413" s="111"/>
      <c r="EL413" s="111"/>
      <c r="EM413" s="111"/>
      <c r="EN413" s="111"/>
      <c r="EO413" s="111"/>
      <c r="EP413" s="111"/>
      <c r="EQ413" s="111"/>
      <c r="ER413" s="111"/>
      <c r="ES413" s="111"/>
    </row>
    <row r="414" spans="35:149">
      <c r="AI414" s="13"/>
      <c r="AJ414" s="13"/>
      <c r="AK414" s="13"/>
      <c r="AL414" s="13"/>
      <c r="AM414" s="13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111"/>
      <c r="BG414" s="111"/>
      <c r="BH414" s="111"/>
      <c r="BI414" s="111"/>
      <c r="BJ414" s="111"/>
      <c r="BK414" s="111"/>
      <c r="BL414" s="111"/>
      <c r="BM414" s="111"/>
      <c r="BN414" s="111"/>
      <c r="BO414" s="111"/>
      <c r="BP414" s="111"/>
      <c r="BQ414" s="111"/>
      <c r="BR414" s="111"/>
      <c r="BS414" s="111"/>
      <c r="DI414" s="13"/>
      <c r="DJ414" s="13"/>
      <c r="DK414" s="13"/>
      <c r="DL414" s="13"/>
      <c r="DM414" s="13"/>
      <c r="DR414" s="29"/>
      <c r="DS414" s="29"/>
      <c r="DT414" s="29"/>
      <c r="DU414" s="29"/>
      <c r="DV414" s="29"/>
      <c r="DW414" s="29"/>
      <c r="DX414" s="29"/>
      <c r="DY414" s="29"/>
      <c r="DZ414" s="29"/>
      <c r="EA414" s="29"/>
      <c r="EB414" s="29"/>
      <c r="EC414" s="29"/>
      <c r="ED414" s="29"/>
      <c r="EE414" s="29"/>
      <c r="EF414" s="111"/>
      <c r="EG414" s="111"/>
      <c r="EH414" s="111"/>
      <c r="EI414" s="111"/>
      <c r="EJ414" s="111"/>
      <c r="EK414" s="111"/>
      <c r="EL414" s="111"/>
      <c r="EM414" s="111"/>
      <c r="EN414" s="111"/>
      <c r="EO414" s="111"/>
      <c r="EP414" s="111"/>
      <c r="EQ414" s="111"/>
      <c r="ER414" s="111"/>
      <c r="ES414" s="111"/>
    </row>
    <row r="415" spans="35:149">
      <c r="AI415" s="13"/>
      <c r="AJ415" s="13"/>
      <c r="AK415" s="13"/>
      <c r="AL415" s="13"/>
      <c r="AM415" s="13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111"/>
      <c r="BG415" s="111"/>
      <c r="BH415" s="111"/>
      <c r="BI415" s="111"/>
      <c r="BJ415" s="111"/>
      <c r="BK415" s="111"/>
      <c r="BL415" s="111"/>
      <c r="BM415" s="111"/>
      <c r="BN415" s="111"/>
      <c r="BO415" s="111"/>
      <c r="BP415" s="111"/>
      <c r="BQ415" s="111"/>
      <c r="BR415" s="111"/>
      <c r="BS415" s="111"/>
      <c r="DI415" s="13"/>
      <c r="DJ415" s="13"/>
      <c r="DK415" s="13"/>
      <c r="DL415" s="13"/>
      <c r="DM415" s="13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111"/>
      <c r="EG415" s="111"/>
      <c r="EH415" s="111"/>
      <c r="EI415" s="111"/>
      <c r="EJ415" s="111"/>
      <c r="EK415" s="111"/>
      <c r="EL415" s="111"/>
      <c r="EM415" s="111"/>
      <c r="EN415" s="111"/>
      <c r="EO415" s="111"/>
      <c r="EP415" s="111"/>
      <c r="EQ415" s="111"/>
      <c r="ER415" s="111"/>
      <c r="ES415" s="111"/>
    </row>
    <row r="416" spans="35:149">
      <c r="AI416" s="13"/>
      <c r="AJ416" s="13"/>
      <c r="AK416" s="13"/>
      <c r="AL416" s="13"/>
      <c r="AM416" s="13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  <c r="BC416" s="29"/>
      <c r="BD416" s="29"/>
      <c r="BE416" s="29"/>
      <c r="BF416" s="111"/>
      <c r="BG416" s="111"/>
      <c r="BH416" s="111"/>
      <c r="BI416" s="111"/>
      <c r="BJ416" s="111"/>
      <c r="BK416" s="111"/>
      <c r="BL416" s="111"/>
      <c r="BM416" s="111"/>
      <c r="BN416" s="111"/>
      <c r="BO416" s="111"/>
      <c r="BP416" s="111"/>
      <c r="BQ416" s="111"/>
      <c r="BR416" s="111"/>
      <c r="BS416" s="111"/>
      <c r="DI416" s="13"/>
      <c r="DJ416" s="13"/>
      <c r="DK416" s="13"/>
      <c r="DL416" s="13"/>
      <c r="DM416" s="13"/>
      <c r="DR416" s="29"/>
      <c r="DS416" s="29"/>
      <c r="DT416" s="29"/>
      <c r="DU416" s="29"/>
      <c r="DV416" s="29"/>
      <c r="DW416" s="29"/>
      <c r="DX416" s="29"/>
      <c r="DY416" s="29"/>
      <c r="DZ416" s="29"/>
      <c r="EA416" s="29"/>
      <c r="EB416" s="29"/>
      <c r="EC416" s="29"/>
      <c r="ED416" s="29"/>
      <c r="EE416" s="29"/>
      <c r="EF416" s="111"/>
      <c r="EG416" s="111"/>
      <c r="EH416" s="111"/>
      <c r="EI416" s="111"/>
      <c r="EJ416" s="111"/>
      <c r="EK416" s="111"/>
      <c r="EL416" s="111"/>
      <c r="EM416" s="111"/>
      <c r="EN416" s="111"/>
      <c r="EO416" s="111"/>
      <c r="EP416" s="111"/>
      <c r="EQ416" s="111"/>
      <c r="ER416" s="111"/>
      <c r="ES416" s="111"/>
    </row>
    <row r="417" spans="35:149">
      <c r="AI417" s="13"/>
      <c r="AJ417" s="13"/>
      <c r="AK417" s="13"/>
      <c r="AL417" s="13"/>
      <c r="AM417" s="13"/>
      <c r="AR417" s="29"/>
      <c r="AS417" s="29"/>
      <c r="AT417" s="29"/>
      <c r="AU417" s="29"/>
      <c r="AV417" s="29"/>
      <c r="AW417" s="29"/>
      <c r="AX417" s="29"/>
      <c r="AY417" s="29"/>
      <c r="AZ417" s="29"/>
      <c r="BA417" s="29"/>
      <c r="BB417" s="29"/>
      <c r="BC417" s="29"/>
      <c r="BD417" s="29"/>
      <c r="BE417" s="29"/>
      <c r="BF417" s="111"/>
      <c r="BG417" s="111"/>
      <c r="BH417" s="111"/>
      <c r="BI417" s="111"/>
      <c r="BJ417" s="111"/>
      <c r="BK417" s="111"/>
      <c r="BL417" s="111"/>
      <c r="BM417" s="111"/>
      <c r="BN417" s="111"/>
      <c r="BO417" s="111"/>
      <c r="BP417" s="111"/>
      <c r="BQ417" s="111"/>
      <c r="BR417" s="111"/>
      <c r="BS417" s="111"/>
      <c r="DI417" s="13"/>
      <c r="DJ417" s="13"/>
      <c r="DK417" s="13"/>
      <c r="DL417" s="13"/>
      <c r="DM417" s="13"/>
      <c r="DR417" s="29"/>
      <c r="DS417" s="29"/>
      <c r="DT417" s="29"/>
      <c r="DU417" s="29"/>
      <c r="DV417" s="29"/>
      <c r="DW417" s="29"/>
      <c r="DX417" s="29"/>
      <c r="DY417" s="29"/>
      <c r="DZ417" s="29"/>
      <c r="EA417" s="29"/>
      <c r="EB417" s="29"/>
      <c r="EC417" s="29"/>
      <c r="ED417" s="29"/>
      <c r="EE417" s="29"/>
      <c r="EF417" s="111"/>
      <c r="EG417" s="111"/>
      <c r="EH417" s="111"/>
      <c r="EI417" s="111"/>
      <c r="EJ417" s="111"/>
      <c r="EK417" s="111"/>
      <c r="EL417" s="111"/>
      <c r="EM417" s="111"/>
      <c r="EN417" s="111"/>
      <c r="EO417" s="111"/>
      <c r="EP417" s="111"/>
      <c r="EQ417" s="111"/>
      <c r="ER417" s="111"/>
      <c r="ES417" s="111"/>
    </row>
    <row r="418" spans="35:149">
      <c r="AI418" s="13"/>
      <c r="AJ418" s="13"/>
      <c r="AK418" s="13"/>
      <c r="AL418" s="13"/>
      <c r="AM418" s="13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111"/>
      <c r="BG418" s="111"/>
      <c r="BH418" s="111"/>
      <c r="BI418" s="111"/>
      <c r="BJ418" s="111"/>
      <c r="BK418" s="111"/>
      <c r="BL418" s="111"/>
      <c r="BM418" s="111"/>
      <c r="BN418" s="111"/>
      <c r="BO418" s="111"/>
      <c r="BP418" s="111"/>
      <c r="BQ418" s="111"/>
      <c r="BR418" s="111"/>
      <c r="BS418" s="111"/>
      <c r="DI418" s="13"/>
      <c r="DJ418" s="13"/>
      <c r="DK418" s="13"/>
      <c r="DL418" s="13"/>
      <c r="DM418" s="13"/>
      <c r="DR418" s="29"/>
      <c r="DS418" s="29"/>
      <c r="DT418" s="29"/>
      <c r="DU418" s="29"/>
      <c r="DV418" s="29"/>
      <c r="DW418" s="29"/>
      <c r="DX418" s="29"/>
      <c r="DY418" s="29"/>
      <c r="DZ418" s="29"/>
      <c r="EA418" s="29"/>
      <c r="EB418" s="29"/>
      <c r="EC418" s="29"/>
      <c r="ED418" s="29"/>
      <c r="EE418" s="29"/>
      <c r="EF418" s="111"/>
      <c r="EG418" s="111"/>
      <c r="EH418" s="111"/>
      <c r="EI418" s="111"/>
      <c r="EJ418" s="111"/>
      <c r="EK418" s="111"/>
      <c r="EL418" s="111"/>
      <c r="EM418" s="111"/>
      <c r="EN418" s="111"/>
      <c r="EO418" s="111"/>
      <c r="EP418" s="111"/>
      <c r="EQ418" s="111"/>
      <c r="ER418" s="111"/>
      <c r="ES418" s="111"/>
    </row>
    <row r="419" spans="35:149">
      <c r="AI419" s="13"/>
      <c r="AJ419" s="13"/>
      <c r="AK419" s="13"/>
      <c r="AL419" s="13"/>
      <c r="AM419" s="13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  <c r="BC419" s="29"/>
      <c r="BD419" s="29"/>
      <c r="BE419" s="29"/>
      <c r="BF419" s="111"/>
      <c r="BG419" s="111"/>
      <c r="BH419" s="111"/>
      <c r="BI419" s="111"/>
      <c r="BJ419" s="111"/>
      <c r="BK419" s="111"/>
      <c r="BL419" s="111"/>
      <c r="BM419" s="111"/>
      <c r="BN419" s="111"/>
      <c r="BO419" s="111"/>
      <c r="BP419" s="111"/>
      <c r="BQ419" s="111"/>
      <c r="BR419" s="111"/>
      <c r="BS419" s="111"/>
      <c r="DI419" s="13"/>
      <c r="DJ419" s="13"/>
      <c r="DK419" s="13"/>
      <c r="DL419" s="13"/>
      <c r="DM419" s="13"/>
      <c r="DR419" s="29"/>
      <c r="DS419" s="29"/>
      <c r="DT419" s="29"/>
      <c r="DU419" s="29"/>
      <c r="DV419" s="29"/>
      <c r="DW419" s="29"/>
      <c r="DX419" s="29"/>
      <c r="DY419" s="29"/>
      <c r="DZ419" s="29"/>
      <c r="EA419" s="29"/>
      <c r="EB419" s="29"/>
      <c r="EC419" s="29"/>
      <c r="ED419" s="29"/>
      <c r="EE419" s="29"/>
      <c r="EF419" s="111"/>
      <c r="EG419" s="111"/>
      <c r="EH419" s="111"/>
      <c r="EI419" s="111"/>
      <c r="EJ419" s="111"/>
      <c r="EK419" s="111"/>
      <c r="EL419" s="111"/>
      <c r="EM419" s="111"/>
      <c r="EN419" s="111"/>
      <c r="EO419" s="111"/>
      <c r="EP419" s="111"/>
      <c r="EQ419" s="111"/>
      <c r="ER419" s="111"/>
      <c r="ES419" s="111"/>
    </row>
    <row r="420" spans="35:149">
      <c r="AI420" s="13"/>
      <c r="AJ420" s="13"/>
      <c r="AK420" s="13"/>
      <c r="AL420" s="13"/>
      <c r="AM420" s="13"/>
      <c r="AR420" s="29"/>
      <c r="AS420" s="29"/>
      <c r="AT420" s="29"/>
      <c r="AU420" s="29"/>
      <c r="AV420" s="29"/>
      <c r="AW420" s="29"/>
      <c r="AX420" s="29"/>
      <c r="AY420" s="29"/>
      <c r="AZ420" s="29"/>
      <c r="BA420" s="29"/>
      <c r="BB420" s="29"/>
      <c r="BC420" s="29"/>
      <c r="BD420" s="29"/>
      <c r="BE420" s="29"/>
      <c r="BF420" s="111"/>
      <c r="BG420" s="111"/>
      <c r="BH420" s="111"/>
      <c r="BI420" s="111"/>
      <c r="BJ420" s="111"/>
      <c r="BK420" s="111"/>
      <c r="BL420" s="111"/>
      <c r="BM420" s="111"/>
      <c r="BN420" s="111"/>
      <c r="BO420" s="111"/>
      <c r="BP420" s="111"/>
      <c r="BQ420" s="111"/>
      <c r="BR420" s="111"/>
      <c r="BS420" s="111"/>
      <c r="DI420" s="13"/>
      <c r="DJ420" s="13"/>
      <c r="DK420" s="13"/>
      <c r="DL420" s="13"/>
      <c r="DM420" s="13"/>
      <c r="DR420" s="29"/>
      <c r="DS420" s="29"/>
      <c r="DT420" s="29"/>
      <c r="DU420" s="29"/>
      <c r="DV420" s="29"/>
      <c r="DW420" s="29"/>
      <c r="DX420" s="29"/>
      <c r="DY420" s="29"/>
      <c r="DZ420" s="29"/>
      <c r="EA420" s="29"/>
      <c r="EB420" s="29"/>
      <c r="EC420" s="29"/>
      <c r="ED420" s="29"/>
      <c r="EE420" s="29"/>
      <c r="EF420" s="111"/>
      <c r="EG420" s="111"/>
      <c r="EH420" s="111"/>
      <c r="EI420" s="111"/>
      <c r="EJ420" s="111"/>
      <c r="EK420" s="111"/>
      <c r="EL420" s="111"/>
      <c r="EM420" s="111"/>
      <c r="EN420" s="111"/>
      <c r="EO420" s="111"/>
      <c r="EP420" s="111"/>
      <c r="EQ420" s="111"/>
      <c r="ER420" s="111"/>
      <c r="ES420" s="111"/>
    </row>
    <row r="421" spans="35:149">
      <c r="AI421" s="13"/>
      <c r="AJ421" s="13"/>
      <c r="AK421" s="13"/>
      <c r="AL421" s="13"/>
      <c r="AM421" s="13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111"/>
      <c r="BG421" s="111"/>
      <c r="BH421" s="111"/>
      <c r="BI421" s="111"/>
      <c r="BJ421" s="111"/>
      <c r="BK421" s="111"/>
      <c r="BL421" s="111"/>
      <c r="BM421" s="111"/>
      <c r="BN421" s="111"/>
      <c r="BO421" s="111"/>
      <c r="BP421" s="111"/>
      <c r="BQ421" s="111"/>
      <c r="BR421" s="111"/>
      <c r="BS421" s="111"/>
      <c r="DI421" s="13"/>
      <c r="DJ421" s="13"/>
      <c r="DK421" s="13"/>
      <c r="DL421" s="13"/>
      <c r="DM421" s="13"/>
      <c r="DR421" s="29"/>
      <c r="DS421" s="29"/>
      <c r="DT421" s="29"/>
      <c r="DU421" s="29"/>
      <c r="DV421" s="29"/>
      <c r="DW421" s="29"/>
      <c r="DX421" s="29"/>
      <c r="DY421" s="29"/>
      <c r="DZ421" s="29"/>
      <c r="EA421" s="29"/>
      <c r="EB421" s="29"/>
      <c r="EC421" s="29"/>
      <c r="ED421" s="29"/>
      <c r="EE421" s="29"/>
      <c r="EF421" s="111"/>
      <c r="EG421" s="111"/>
      <c r="EH421" s="111"/>
      <c r="EI421" s="111"/>
      <c r="EJ421" s="111"/>
      <c r="EK421" s="111"/>
      <c r="EL421" s="111"/>
      <c r="EM421" s="111"/>
      <c r="EN421" s="111"/>
      <c r="EO421" s="111"/>
      <c r="EP421" s="111"/>
      <c r="EQ421" s="111"/>
      <c r="ER421" s="111"/>
      <c r="ES421" s="111"/>
    </row>
    <row r="422" spans="35:149">
      <c r="AI422" s="13"/>
      <c r="AJ422" s="13"/>
      <c r="AK422" s="13"/>
      <c r="AL422" s="13"/>
      <c r="AM422" s="13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  <c r="BC422" s="29"/>
      <c r="BD422" s="29"/>
      <c r="BE422" s="29"/>
      <c r="BF422" s="111"/>
      <c r="BG422" s="111"/>
      <c r="BH422" s="111"/>
      <c r="BI422" s="111"/>
      <c r="BJ422" s="111"/>
      <c r="BK422" s="111"/>
      <c r="BL422" s="111"/>
      <c r="BM422" s="111"/>
      <c r="BN422" s="111"/>
      <c r="BO422" s="111"/>
      <c r="BP422" s="111"/>
      <c r="BQ422" s="111"/>
      <c r="BR422" s="111"/>
      <c r="BS422" s="111"/>
      <c r="DI422" s="13"/>
      <c r="DJ422" s="13"/>
      <c r="DK422" s="13"/>
      <c r="DL422" s="13"/>
      <c r="DM422" s="13"/>
      <c r="DR422" s="29"/>
      <c r="DS422" s="29"/>
      <c r="DT422" s="29"/>
      <c r="DU422" s="29"/>
      <c r="DV422" s="29"/>
      <c r="DW422" s="29"/>
      <c r="DX422" s="29"/>
      <c r="DY422" s="29"/>
      <c r="DZ422" s="29"/>
      <c r="EA422" s="29"/>
      <c r="EB422" s="29"/>
      <c r="EC422" s="29"/>
      <c r="ED422" s="29"/>
      <c r="EE422" s="29"/>
      <c r="EF422" s="111"/>
      <c r="EG422" s="111"/>
      <c r="EH422" s="111"/>
      <c r="EI422" s="111"/>
      <c r="EJ422" s="111"/>
      <c r="EK422" s="111"/>
      <c r="EL422" s="111"/>
      <c r="EM422" s="111"/>
      <c r="EN422" s="111"/>
      <c r="EO422" s="111"/>
      <c r="EP422" s="111"/>
      <c r="EQ422" s="111"/>
      <c r="ER422" s="111"/>
      <c r="ES422" s="111"/>
    </row>
    <row r="423" spans="35:149">
      <c r="AI423" s="13"/>
      <c r="AJ423" s="13"/>
      <c r="AK423" s="13"/>
      <c r="AL423" s="13"/>
      <c r="AM423" s="13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111"/>
      <c r="BG423" s="111"/>
      <c r="BH423" s="111"/>
      <c r="BI423" s="111"/>
      <c r="BJ423" s="111"/>
      <c r="BK423" s="111"/>
      <c r="BL423" s="111"/>
      <c r="BM423" s="111"/>
      <c r="BN423" s="111"/>
      <c r="BO423" s="111"/>
      <c r="BP423" s="111"/>
      <c r="BQ423" s="111"/>
      <c r="BR423" s="111"/>
      <c r="BS423" s="111"/>
      <c r="DI423" s="13"/>
      <c r="DJ423" s="13"/>
      <c r="DK423" s="13"/>
      <c r="DL423" s="13"/>
      <c r="DM423" s="13"/>
      <c r="DR423" s="29"/>
      <c r="DS423" s="29"/>
      <c r="DT423" s="29"/>
      <c r="DU423" s="29"/>
      <c r="DV423" s="29"/>
      <c r="DW423" s="29"/>
      <c r="DX423" s="29"/>
      <c r="DY423" s="29"/>
      <c r="DZ423" s="29"/>
      <c r="EA423" s="29"/>
      <c r="EB423" s="29"/>
      <c r="EC423" s="29"/>
      <c r="ED423" s="29"/>
      <c r="EE423" s="29"/>
      <c r="EF423" s="111"/>
      <c r="EG423" s="111"/>
      <c r="EH423" s="111"/>
      <c r="EI423" s="111"/>
      <c r="EJ423" s="111"/>
      <c r="EK423" s="111"/>
      <c r="EL423" s="111"/>
      <c r="EM423" s="111"/>
      <c r="EN423" s="111"/>
      <c r="EO423" s="111"/>
      <c r="EP423" s="111"/>
      <c r="EQ423" s="111"/>
      <c r="ER423" s="111"/>
      <c r="ES423" s="111"/>
    </row>
    <row r="424" spans="35:149">
      <c r="AI424" s="13"/>
      <c r="AJ424" s="13"/>
      <c r="AK424" s="13"/>
      <c r="AL424" s="13"/>
      <c r="AM424" s="13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111"/>
      <c r="BG424" s="111"/>
      <c r="BH424" s="111"/>
      <c r="BI424" s="111"/>
      <c r="BJ424" s="111"/>
      <c r="BK424" s="111"/>
      <c r="BL424" s="111"/>
      <c r="BM424" s="111"/>
      <c r="BN424" s="111"/>
      <c r="BO424" s="111"/>
      <c r="BP424" s="111"/>
      <c r="BQ424" s="111"/>
      <c r="BR424" s="111"/>
      <c r="BS424" s="111"/>
      <c r="DI424" s="13"/>
      <c r="DJ424" s="13"/>
      <c r="DK424" s="13"/>
      <c r="DL424" s="13"/>
      <c r="DM424" s="13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111"/>
      <c r="EG424" s="111"/>
      <c r="EH424" s="111"/>
      <c r="EI424" s="111"/>
      <c r="EJ424" s="111"/>
      <c r="EK424" s="111"/>
      <c r="EL424" s="111"/>
      <c r="EM424" s="111"/>
      <c r="EN424" s="111"/>
      <c r="EO424" s="111"/>
      <c r="EP424" s="111"/>
      <c r="EQ424" s="111"/>
      <c r="ER424" s="111"/>
      <c r="ES424" s="111"/>
    </row>
    <row r="425" spans="35:149">
      <c r="AI425" s="13"/>
      <c r="AJ425" s="13"/>
      <c r="AK425" s="13"/>
      <c r="AL425" s="13"/>
      <c r="AM425" s="13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111"/>
      <c r="BG425" s="111"/>
      <c r="BH425" s="111"/>
      <c r="BI425" s="111"/>
      <c r="BJ425" s="111"/>
      <c r="BK425" s="111"/>
      <c r="BL425" s="111"/>
      <c r="BM425" s="111"/>
      <c r="BN425" s="111"/>
      <c r="BO425" s="111"/>
      <c r="BP425" s="111"/>
      <c r="BQ425" s="111"/>
      <c r="BR425" s="111"/>
      <c r="BS425" s="111"/>
      <c r="DI425" s="13"/>
      <c r="DJ425" s="13"/>
      <c r="DK425" s="13"/>
      <c r="DL425" s="13"/>
      <c r="DM425" s="13"/>
      <c r="DR425" s="29"/>
      <c r="DS425" s="29"/>
      <c r="DT425" s="29"/>
      <c r="DU425" s="29"/>
      <c r="DV425" s="29"/>
      <c r="DW425" s="29"/>
      <c r="DX425" s="29"/>
      <c r="DY425" s="29"/>
      <c r="DZ425" s="29"/>
      <c r="EA425" s="29"/>
      <c r="EB425" s="29"/>
      <c r="EC425" s="29"/>
      <c r="ED425" s="29"/>
      <c r="EE425" s="29"/>
      <c r="EF425" s="111"/>
      <c r="EG425" s="111"/>
      <c r="EH425" s="111"/>
      <c r="EI425" s="111"/>
      <c r="EJ425" s="111"/>
      <c r="EK425" s="111"/>
      <c r="EL425" s="111"/>
      <c r="EM425" s="111"/>
      <c r="EN425" s="111"/>
      <c r="EO425" s="111"/>
      <c r="EP425" s="111"/>
      <c r="EQ425" s="111"/>
      <c r="ER425" s="111"/>
      <c r="ES425" s="111"/>
    </row>
    <row r="426" spans="35:149">
      <c r="AI426" s="13"/>
      <c r="AJ426" s="13"/>
      <c r="AK426" s="13"/>
      <c r="AL426" s="13"/>
      <c r="AM426" s="13"/>
      <c r="AR426" s="29"/>
      <c r="AS426" s="29"/>
      <c r="AT426" s="29"/>
      <c r="AU426" s="29"/>
      <c r="AV426" s="29"/>
      <c r="AW426" s="29"/>
      <c r="AX426" s="29"/>
      <c r="AY426" s="29"/>
      <c r="AZ426" s="29"/>
      <c r="BA426" s="29"/>
      <c r="BB426" s="29"/>
      <c r="BC426" s="29"/>
      <c r="BD426" s="29"/>
      <c r="BE426" s="29"/>
      <c r="BF426" s="111"/>
      <c r="BG426" s="111"/>
      <c r="BH426" s="111"/>
      <c r="BI426" s="111"/>
      <c r="BJ426" s="111"/>
      <c r="BK426" s="111"/>
      <c r="BL426" s="111"/>
      <c r="BM426" s="111"/>
      <c r="BN426" s="111"/>
      <c r="BO426" s="111"/>
      <c r="BP426" s="111"/>
      <c r="BQ426" s="111"/>
      <c r="BR426" s="111"/>
      <c r="BS426" s="111"/>
      <c r="DI426" s="13"/>
      <c r="DJ426" s="13"/>
      <c r="DK426" s="13"/>
      <c r="DL426" s="13"/>
      <c r="DM426" s="13"/>
      <c r="DR426" s="29"/>
      <c r="DS426" s="29"/>
      <c r="DT426" s="29"/>
      <c r="DU426" s="29"/>
      <c r="DV426" s="29"/>
      <c r="DW426" s="29"/>
      <c r="DX426" s="29"/>
      <c r="DY426" s="29"/>
      <c r="DZ426" s="29"/>
      <c r="EA426" s="29"/>
      <c r="EB426" s="29"/>
      <c r="EC426" s="29"/>
      <c r="ED426" s="29"/>
      <c r="EE426" s="29"/>
      <c r="EF426" s="111"/>
      <c r="EG426" s="111"/>
      <c r="EH426" s="111"/>
      <c r="EI426" s="111"/>
      <c r="EJ426" s="111"/>
      <c r="EK426" s="111"/>
      <c r="EL426" s="111"/>
      <c r="EM426" s="111"/>
      <c r="EN426" s="111"/>
      <c r="EO426" s="111"/>
      <c r="EP426" s="111"/>
      <c r="EQ426" s="111"/>
      <c r="ER426" s="111"/>
      <c r="ES426" s="111"/>
    </row>
    <row r="427" spans="35:149">
      <c r="AI427" s="13"/>
      <c r="AJ427" s="13"/>
      <c r="AK427" s="13"/>
      <c r="AL427" s="13"/>
      <c r="AM427" s="13"/>
      <c r="AR427" s="29"/>
      <c r="AS427" s="29"/>
      <c r="AT427" s="29"/>
      <c r="AU427" s="29"/>
      <c r="AV427" s="29"/>
      <c r="AW427" s="29"/>
      <c r="AX427" s="29"/>
      <c r="AY427" s="29"/>
      <c r="AZ427" s="29"/>
      <c r="BA427" s="29"/>
      <c r="BB427" s="29"/>
      <c r="BC427" s="29"/>
      <c r="BD427" s="29"/>
      <c r="BE427" s="29"/>
      <c r="BF427" s="111"/>
      <c r="BG427" s="111"/>
      <c r="BH427" s="111"/>
      <c r="BI427" s="111"/>
      <c r="BJ427" s="111"/>
      <c r="BK427" s="111"/>
      <c r="BL427" s="111"/>
      <c r="BM427" s="111"/>
      <c r="BN427" s="111"/>
      <c r="BO427" s="111"/>
      <c r="BP427" s="111"/>
      <c r="BQ427" s="111"/>
      <c r="BR427" s="111"/>
      <c r="BS427" s="111"/>
      <c r="DI427" s="13"/>
      <c r="DJ427" s="13"/>
      <c r="DK427" s="13"/>
      <c r="DL427" s="13"/>
      <c r="DM427" s="13"/>
      <c r="DR427" s="29"/>
      <c r="DS427" s="29"/>
      <c r="DT427" s="29"/>
      <c r="DU427" s="29"/>
      <c r="DV427" s="29"/>
      <c r="DW427" s="29"/>
      <c r="DX427" s="29"/>
      <c r="DY427" s="29"/>
      <c r="DZ427" s="29"/>
      <c r="EA427" s="29"/>
      <c r="EB427" s="29"/>
      <c r="EC427" s="29"/>
      <c r="ED427" s="29"/>
      <c r="EE427" s="29"/>
      <c r="EF427" s="111"/>
      <c r="EG427" s="111"/>
      <c r="EH427" s="111"/>
      <c r="EI427" s="111"/>
      <c r="EJ427" s="111"/>
      <c r="EK427" s="111"/>
      <c r="EL427" s="111"/>
      <c r="EM427" s="111"/>
      <c r="EN427" s="111"/>
      <c r="EO427" s="111"/>
      <c r="EP427" s="111"/>
      <c r="EQ427" s="111"/>
      <c r="ER427" s="111"/>
      <c r="ES427" s="111"/>
    </row>
    <row r="428" spans="35:149">
      <c r="AI428" s="13"/>
      <c r="AJ428" s="13"/>
      <c r="AK428" s="13"/>
      <c r="AL428" s="13"/>
      <c r="AM428" s="13"/>
      <c r="AR428" s="29"/>
      <c r="AS428" s="29"/>
      <c r="AT428" s="29"/>
      <c r="AU428" s="29"/>
      <c r="AV428" s="29"/>
      <c r="AW428" s="29"/>
      <c r="AX428" s="29"/>
      <c r="AY428" s="29"/>
      <c r="AZ428" s="29"/>
      <c r="BA428" s="29"/>
      <c r="BB428" s="29"/>
      <c r="BC428" s="29"/>
      <c r="BD428" s="29"/>
      <c r="BE428" s="29"/>
      <c r="BF428" s="111"/>
      <c r="BG428" s="111"/>
      <c r="BH428" s="111"/>
      <c r="BI428" s="111"/>
      <c r="BJ428" s="111"/>
      <c r="BK428" s="111"/>
      <c r="BL428" s="111"/>
      <c r="BM428" s="111"/>
      <c r="BN428" s="111"/>
      <c r="BO428" s="111"/>
      <c r="BP428" s="111"/>
      <c r="BQ428" s="111"/>
      <c r="BR428" s="111"/>
      <c r="BS428" s="111"/>
      <c r="DI428" s="13"/>
      <c r="DJ428" s="13"/>
      <c r="DK428" s="13"/>
      <c r="DL428" s="13"/>
      <c r="DM428" s="13"/>
      <c r="DR428" s="29"/>
      <c r="DS428" s="29"/>
      <c r="DT428" s="29"/>
      <c r="DU428" s="29"/>
      <c r="DV428" s="29"/>
      <c r="DW428" s="29"/>
      <c r="DX428" s="29"/>
      <c r="DY428" s="29"/>
      <c r="DZ428" s="29"/>
      <c r="EA428" s="29"/>
      <c r="EB428" s="29"/>
      <c r="EC428" s="29"/>
      <c r="ED428" s="29"/>
      <c r="EE428" s="29"/>
      <c r="EF428" s="111"/>
      <c r="EG428" s="111"/>
      <c r="EH428" s="111"/>
      <c r="EI428" s="111"/>
      <c r="EJ428" s="111"/>
      <c r="EK428" s="111"/>
      <c r="EL428" s="111"/>
      <c r="EM428" s="111"/>
      <c r="EN428" s="111"/>
      <c r="EO428" s="111"/>
      <c r="EP428" s="111"/>
      <c r="EQ428" s="111"/>
      <c r="ER428" s="111"/>
      <c r="ES428" s="111"/>
    </row>
    <row r="429" spans="35:149">
      <c r="AI429" s="13"/>
      <c r="AJ429" s="13"/>
      <c r="AK429" s="13"/>
      <c r="AL429" s="13"/>
      <c r="AM429" s="13"/>
      <c r="AR429" s="29"/>
      <c r="AS429" s="29"/>
      <c r="AT429" s="29"/>
      <c r="AU429" s="29"/>
      <c r="AV429" s="29"/>
      <c r="AW429" s="29"/>
      <c r="AX429" s="29"/>
      <c r="AY429" s="29"/>
      <c r="AZ429" s="29"/>
      <c r="BA429" s="29"/>
      <c r="BB429" s="29"/>
      <c r="BC429" s="29"/>
      <c r="BD429" s="29"/>
      <c r="BE429" s="29"/>
      <c r="BF429" s="111"/>
      <c r="BG429" s="111"/>
      <c r="BH429" s="111"/>
      <c r="BI429" s="111"/>
      <c r="BJ429" s="111"/>
      <c r="BK429" s="111"/>
      <c r="BL429" s="111"/>
      <c r="BM429" s="111"/>
      <c r="BN429" s="111"/>
      <c r="BO429" s="111"/>
      <c r="BP429" s="111"/>
      <c r="BQ429" s="111"/>
      <c r="BR429" s="111"/>
      <c r="BS429" s="111"/>
      <c r="DI429" s="13"/>
      <c r="DJ429" s="13"/>
      <c r="DK429" s="13"/>
      <c r="DL429" s="13"/>
      <c r="DM429" s="13"/>
      <c r="DR429" s="29"/>
      <c r="DS429" s="29"/>
      <c r="DT429" s="29"/>
      <c r="DU429" s="29"/>
      <c r="DV429" s="29"/>
      <c r="DW429" s="29"/>
      <c r="DX429" s="29"/>
      <c r="DY429" s="29"/>
      <c r="DZ429" s="29"/>
      <c r="EA429" s="29"/>
      <c r="EB429" s="29"/>
      <c r="EC429" s="29"/>
      <c r="ED429" s="29"/>
      <c r="EE429" s="29"/>
      <c r="EF429" s="111"/>
      <c r="EG429" s="111"/>
      <c r="EH429" s="111"/>
      <c r="EI429" s="111"/>
      <c r="EJ429" s="111"/>
      <c r="EK429" s="111"/>
      <c r="EL429" s="111"/>
      <c r="EM429" s="111"/>
      <c r="EN429" s="111"/>
      <c r="EO429" s="111"/>
      <c r="EP429" s="111"/>
      <c r="EQ429" s="111"/>
      <c r="ER429" s="111"/>
      <c r="ES429" s="111"/>
    </row>
    <row r="430" spans="35:149">
      <c r="AI430" s="13"/>
      <c r="AJ430" s="13"/>
      <c r="AK430" s="13"/>
      <c r="AL430" s="13"/>
      <c r="AM430" s="13"/>
      <c r="AR430" s="29"/>
      <c r="AS430" s="29"/>
      <c r="AT430" s="29"/>
      <c r="AU430" s="29"/>
      <c r="AV430" s="29"/>
      <c r="AW430" s="29"/>
      <c r="AX430" s="29"/>
      <c r="AY430" s="29"/>
      <c r="AZ430" s="29"/>
      <c r="BA430" s="29"/>
      <c r="BB430" s="29"/>
      <c r="BC430" s="29"/>
      <c r="BD430" s="29"/>
      <c r="BE430" s="29"/>
      <c r="BF430" s="111"/>
      <c r="BG430" s="111"/>
      <c r="BH430" s="111"/>
      <c r="BI430" s="111"/>
      <c r="BJ430" s="111"/>
      <c r="BK430" s="111"/>
      <c r="BL430" s="111"/>
      <c r="BM430" s="111"/>
      <c r="BN430" s="111"/>
      <c r="BO430" s="111"/>
      <c r="BP430" s="111"/>
      <c r="BQ430" s="111"/>
      <c r="BR430" s="111"/>
      <c r="BS430" s="111"/>
      <c r="DI430" s="13"/>
      <c r="DJ430" s="13"/>
      <c r="DK430" s="13"/>
      <c r="DL430" s="13"/>
      <c r="DM430" s="13"/>
      <c r="DR430" s="29"/>
      <c r="DS430" s="29"/>
      <c r="DT430" s="29"/>
      <c r="DU430" s="29"/>
      <c r="DV430" s="29"/>
      <c r="DW430" s="29"/>
      <c r="DX430" s="29"/>
      <c r="DY430" s="29"/>
      <c r="DZ430" s="29"/>
      <c r="EA430" s="29"/>
      <c r="EB430" s="29"/>
      <c r="EC430" s="29"/>
      <c r="ED430" s="29"/>
      <c r="EE430" s="29"/>
      <c r="EF430" s="111"/>
      <c r="EG430" s="111"/>
      <c r="EH430" s="111"/>
      <c r="EI430" s="111"/>
      <c r="EJ430" s="111"/>
      <c r="EK430" s="111"/>
      <c r="EL430" s="111"/>
      <c r="EM430" s="111"/>
      <c r="EN430" s="111"/>
      <c r="EO430" s="111"/>
      <c r="EP430" s="111"/>
      <c r="EQ430" s="111"/>
      <c r="ER430" s="111"/>
      <c r="ES430" s="111"/>
    </row>
    <row r="431" spans="35:149">
      <c r="AI431" s="13"/>
      <c r="AJ431" s="13"/>
      <c r="AK431" s="13"/>
      <c r="AL431" s="13"/>
      <c r="AM431" s="13"/>
      <c r="AR431" s="29"/>
      <c r="AS431" s="29"/>
      <c r="AT431" s="29"/>
      <c r="AU431" s="29"/>
      <c r="AV431" s="29"/>
      <c r="AW431" s="29"/>
      <c r="AX431" s="29"/>
      <c r="AY431" s="29"/>
      <c r="AZ431" s="29"/>
      <c r="BA431" s="29"/>
      <c r="BB431" s="29"/>
      <c r="BC431" s="29"/>
      <c r="BD431" s="29"/>
      <c r="BE431" s="29"/>
      <c r="BF431" s="111"/>
      <c r="BG431" s="111"/>
      <c r="BH431" s="111"/>
      <c r="BI431" s="111"/>
      <c r="BJ431" s="111"/>
      <c r="BK431" s="111"/>
      <c r="BL431" s="111"/>
      <c r="BM431" s="111"/>
      <c r="BN431" s="111"/>
      <c r="BO431" s="111"/>
      <c r="BP431" s="111"/>
      <c r="BQ431" s="111"/>
      <c r="BR431" s="111"/>
      <c r="BS431" s="111"/>
      <c r="DI431" s="13"/>
      <c r="DJ431" s="13"/>
      <c r="DK431" s="13"/>
      <c r="DL431" s="13"/>
      <c r="DM431" s="13"/>
      <c r="DR431" s="29"/>
      <c r="DS431" s="29"/>
      <c r="DT431" s="29"/>
      <c r="DU431" s="29"/>
      <c r="DV431" s="29"/>
      <c r="DW431" s="29"/>
      <c r="DX431" s="29"/>
      <c r="DY431" s="29"/>
      <c r="DZ431" s="29"/>
      <c r="EA431" s="29"/>
      <c r="EB431" s="29"/>
      <c r="EC431" s="29"/>
      <c r="ED431" s="29"/>
      <c r="EE431" s="29"/>
      <c r="EF431" s="111"/>
      <c r="EG431" s="111"/>
      <c r="EH431" s="111"/>
      <c r="EI431" s="111"/>
      <c r="EJ431" s="111"/>
      <c r="EK431" s="111"/>
      <c r="EL431" s="111"/>
      <c r="EM431" s="111"/>
      <c r="EN431" s="111"/>
      <c r="EO431" s="111"/>
      <c r="EP431" s="111"/>
      <c r="EQ431" s="111"/>
      <c r="ER431" s="111"/>
      <c r="ES431" s="111"/>
    </row>
    <row r="432" spans="35:149">
      <c r="AI432" s="13"/>
      <c r="AJ432" s="13"/>
      <c r="AK432" s="13"/>
      <c r="AL432" s="13"/>
      <c r="AM432" s="13"/>
      <c r="AR432" s="29"/>
      <c r="AS432" s="29"/>
      <c r="AT432" s="29"/>
      <c r="AU432" s="29"/>
      <c r="AV432" s="29"/>
      <c r="AW432" s="29"/>
      <c r="AX432" s="29"/>
      <c r="AY432" s="29"/>
      <c r="AZ432" s="29"/>
      <c r="BA432" s="29"/>
      <c r="BB432" s="29"/>
      <c r="BC432" s="29"/>
      <c r="BD432" s="29"/>
      <c r="BE432" s="29"/>
      <c r="BF432" s="111"/>
      <c r="BG432" s="111"/>
      <c r="BH432" s="111"/>
      <c r="BI432" s="111"/>
      <c r="BJ432" s="111"/>
      <c r="BK432" s="111"/>
      <c r="BL432" s="111"/>
      <c r="BM432" s="111"/>
      <c r="BN432" s="111"/>
      <c r="BO432" s="111"/>
      <c r="BP432" s="111"/>
      <c r="BQ432" s="111"/>
      <c r="BR432" s="111"/>
      <c r="BS432" s="111"/>
      <c r="DI432" s="13"/>
      <c r="DJ432" s="13"/>
      <c r="DK432" s="13"/>
      <c r="DL432" s="13"/>
      <c r="DM432" s="13"/>
      <c r="DR432" s="29"/>
      <c r="DS432" s="29"/>
      <c r="DT432" s="29"/>
      <c r="DU432" s="29"/>
      <c r="DV432" s="29"/>
      <c r="DW432" s="29"/>
      <c r="DX432" s="29"/>
      <c r="DY432" s="29"/>
      <c r="DZ432" s="29"/>
      <c r="EA432" s="29"/>
      <c r="EB432" s="29"/>
      <c r="EC432" s="29"/>
      <c r="ED432" s="29"/>
      <c r="EE432" s="29"/>
      <c r="EF432" s="111"/>
      <c r="EG432" s="111"/>
      <c r="EH432" s="111"/>
      <c r="EI432" s="111"/>
      <c r="EJ432" s="111"/>
      <c r="EK432" s="111"/>
      <c r="EL432" s="111"/>
      <c r="EM432" s="111"/>
      <c r="EN432" s="111"/>
      <c r="EO432" s="111"/>
      <c r="EP432" s="111"/>
      <c r="EQ432" s="111"/>
      <c r="ER432" s="111"/>
      <c r="ES432" s="111"/>
    </row>
    <row r="433" spans="35:149">
      <c r="AI433" s="13"/>
      <c r="AJ433" s="13"/>
      <c r="AK433" s="13"/>
      <c r="AL433" s="13"/>
      <c r="AM433" s="13"/>
      <c r="AR433" s="29"/>
      <c r="AS433" s="29"/>
      <c r="AT433" s="29"/>
      <c r="AU433" s="29"/>
      <c r="AV433" s="29"/>
      <c r="AW433" s="29"/>
      <c r="AX433" s="29"/>
      <c r="AY433" s="29"/>
      <c r="AZ433" s="29"/>
      <c r="BA433" s="29"/>
      <c r="BB433" s="29"/>
      <c r="BC433" s="29"/>
      <c r="BD433" s="29"/>
      <c r="BE433" s="29"/>
      <c r="BF433" s="111"/>
      <c r="BG433" s="111"/>
      <c r="BH433" s="111"/>
      <c r="BI433" s="111"/>
      <c r="BJ433" s="111"/>
      <c r="BK433" s="111"/>
      <c r="BL433" s="111"/>
      <c r="BM433" s="111"/>
      <c r="BN433" s="111"/>
      <c r="BO433" s="111"/>
      <c r="BP433" s="111"/>
      <c r="BQ433" s="111"/>
      <c r="BR433" s="111"/>
      <c r="BS433" s="111"/>
      <c r="DI433" s="13"/>
      <c r="DJ433" s="13"/>
      <c r="DK433" s="13"/>
      <c r="DL433" s="13"/>
      <c r="DM433" s="13"/>
      <c r="DR433" s="29"/>
      <c r="DS433" s="29"/>
      <c r="DT433" s="29"/>
      <c r="DU433" s="29"/>
      <c r="DV433" s="29"/>
      <c r="DW433" s="29"/>
      <c r="DX433" s="29"/>
      <c r="DY433" s="29"/>
      <c r="DZ433" s="29"/>
      <c r="EA433" s="29"/>
      <c r="EB433" s="29"/>
      <c r="EC433" s="29"/>
      <c r="ED433" s="29"/>
      <c r="EE433" s="29"/>
      <c r="EF433" s="111"/>
      <c r="EG433" s="111"/>
      <c r="EH433" s="111"/>
      <c r="EI433" s="111"/>
      <c r="EJ433" s="111"/>
      <c r="EK433" s="111"/>
      <c r="EL433" s="111"/>
      <c r="EM433" s="111"/>
      <c r="EN433" s="111"/>
      <c r="EO433" s="111"/>
      <c r="EP433" s="111"/>
      <c r="EQ433" s="111"/>
      <c r="ER433" s="111"/>
      <c r="ES433" s="111"/>
    </row>
    <row r="434" spans="35:149">
      <c r="AI434" s="13"/>
      <c r="AJ434" s="13"/>
      <c r="AK434" s="13"/>
      <c r="AL434" s="13"/>
      <c r="AM434" s="13"/>
      <c r="AR434" s="29"/>
      <c r="AS434" s="29"/>
      <c r="AT434" s="29"/>
      <c r="AU434" s="29"/>
      <c r="AV434" s="29"/>
      <c r="AW434" s="29"/>
      <c r="AX434" s="29"/>
      <c r="AY434" s="29"/>
      <c r="AZ434" s="29"/>
      <c r="BA434" s="29"/>
      <c r="BB434" s="29"/>
      <c r="BC434" s="29"/>
      <c r="BD434" s="29"/>
      <c r="BE434" s="29"/>
      <c r="BF434" s="111"/>
      <c r="BG434" s="111"/>
      <c r="BH434" s="111"/>
      <c r="BI434" s="111"/>
      <c r="BJ434" s="111"/>
      <c r="BK434" s="111"/>
      <c r="BL434" s="111"/>
      <c r="BM434" s="111"/>
      <c r="BN434" s="111"/>
      <c r="BO434" s="111"/>
      <c r="BP434" s="111"/>
      <c r="BQ434" s="111"/>
      <c r="BR434" s="111"/>
      <c r="BS434" s="111"/>
      <c r="DI434" s="13"/>
      <c r="DJ434" s="13"/>
      <c r="DK434" s="13"/>
      <c r="DL434" s="13"/>
      <c r="DM434" s="13"/>
      <c r="DR434" s="29"/>
      <c r="DS434" s="29"/>
      <c r="DT434" s="29"/>
      <c r="DU434" s="29"/>
      <c r="DV434" s="29"/>
      <c r="DW434" s="29"/>
      <c r="DX434" s="29"/>
      <c r="DY434" s="29"/>
      <c r="DZ434" s="29"/>
      <c r="EA434" s="29"/>
      <c r="EB434" s="29"/>
      <c r="EC434" s="29"/>
      <c r="ED434" s="29"/>
      <c r="EE434" s="29"/>
      <c r="EF434" s="111"/>
      <c r="EG434" s="111"/>
      <c r="EH434" s="111"/>
      <c r="EI434" s="111"/>
      <c r="EJ434" s="111"/>
      <c r="EK434" s="111"/>
      <c r="EL434" s="111"/>
      <c r="EM434" s="111"/>
      <c r="EN434" s="111"/>
      <c r="EO434" s="111"/>
      <c r="EP434" s="111"/>
      <c r="EQ434" s="111"/>
      <c r="ER434" s="111"/>
      <c r="ES434" s="111"/>
    </row>
    <row r="435" spans="35:149">
      <c r="AI435" s="13"/>
      <c r="AJ435" s="13"/>
      <c r="AK435" s="13"/>
      <c r="AL435" s="13"/>
      <c r="AM435" s="13"/>
      <c r="AR435" s="29"/>
      <c r="AS435" s="29"/>
      <c r="AT435" s="29"/>
      <c r="AU435" s="29"/>
      <c r="AV435" s="29"/>
      <c r="AW435" s="29"/>
      <c r="AX435" s="29"/>
      <c r="AY435" s="29"/>
      <c r="AZ435" s="29"/>
      <c r="BA435" s="29"/>
      <c r="BB435" s="29"/>
      <c r="BC435" s="29"/>
      <c r="BD435" s="29"/>
      <c r="BE435" s="29"/>
      <c r="BF435" s="111"/>
      <c r="BG435" s="111"/>
      <c r="BH435" s="111"/>
      <c r="BI435" s="111"/>
      <c r="BJ435" s="111"/>
      <c r="BK435" s="111"/>
      <c r="BL435" s="111"/>
      <c r="BM435" s="111"/>
      <c r="BN435" s="111"/>
      <c r="BO435" s="111"/>
      <c r="BP435" s="111"/>
      <c r="BQ435" s="111"/>
      <c r="BR435" s="111"/>
      <c r="BS435" s="111"/>
      <c r="DI435" s="13"/>
      <c r="DJ435" s="13"/>
      <c r="DK435" s="13"/>
      <c r="DL435" s="13"/>
      <c r="DM435" s="13"/>
      <c r="DR435" s="29"/>
      <c r="DS435" s="29"/>
      <c r="DT435" s="29"/>
      <c r="DU435" s="29"/>
      <c r="DV435" s="29"/>
      <c r="DW435" s="29"/>
      <c r="DX435" s="29"/>
      <c r="DY435" s="29"/>
      <c r="DZ435" s="29"/>
      <c r="EA435" s="29"/>
      <c r="EB435" s="29"/>
      <c r="EC435" s="29"/>
      <c r="ED435" s="29"/>
      <c r="EE435" s="29"/>
      <c r="EF435" s="111"/>
      <c r="EG435" s="111"/>
      <c r="EH435" s="111"/>
      <c r="EI435" s="111"/>
      <c r="EJ435" s="111"/>
      <c r="EK435" s="111"/>
      <c r="EL435" s="111"/>
      <c r="EM435" s="111"/>
      <c r="EN435" s="111"/>
      <c r="EO435" s="111"/>
      <c r="EP435" s="111"/>
      <c r="EQ435" s="111"/>
      <c r="ER435" s="111"/>
      <c r="ES435" s="111"/>
    </row>
    <row r="436" spans="35:149">
      <c r="AI436" s="13"/>
      <c r="AJ436" s="13"/>
      <c r="AK436" s="13"/>
      <c r="AL436" s="13"/>
      <c r="AM436" s="13"/>
      <c r="AR436" s="29"/>
      <c r="AS436" s="29"/>
      <c r="AT436" s="29"/>
      <c r="AU436" s="29"/>
      <c r="AV436" s="29"/>
      <c r="AW436" s="29"/>
      <c r="AX436" s="29"/>
      <c r="AY436" s="29"/>
      <c r="AZ436" s="29"/>
      <c r="BA436" s="29"/>
      <c r="BB436" s="29"/>
      <c r="BC436" s="29"/>
      <c r="BD436" s="29"/>
      <c r="BE436" s="29"/>
      <c r="BF436" s="111"/>
      <c r="BG436" s="111"/>
      <c r="BH436" s="111"/>
      <c r="BI436" s="111"/>
      <c r="BJ436" s="111"/>
      <c r="BK436" s="111"/>
      <c r="BL436" s="111"/>
      <c r="BM436" s="111"/>
      <c r="BN436" s="111"/>
      <c r="BO436" s="111"/>
      <c r="BP436" s="111"/>
      <c r="BQ436" s="111"/>
      <c r="BR436" s="111"/>
      <c r="BS436" s="111"/>
      <c r="DI436" s="13"/>
      <c r="DJ436" s="13"/>
      <c r="DK436" s="13"/>
      <c r="DL436" s="13"/>
      <c r="DM436" s="13"/>
      <c r="DR436" s="29"/>
      <c r="DS436" s="29"/>
      <c r="DT436" s="29"/>
      <c r="DU436" s="29"/>
      <c r="DV436" s="29"/>
      <c r="DW436" s="29"/>
      <c r="DX436" s="29"/>
      <c r="DY436" s="29"/>
      <c r="DZ436" s="29"/>
      <c r="EA436" s="29"/>
      <c r="EB436" s="29"/>
      <c r="EC436" s="29"/>
      <c r="ED436" s="29"/>
      <c r="EE436" s="29"/>
      <c r="EF436" s="111"/>
      <c r="EG436" s="111"/>
      <c r="EH436" s="111"/>
      <c r="EI436" s="111"/>
      <c r="EJ436" s="111"/>
      <c r="EK436" s="111"/>
      <c r="EL436" s="111"/>
      <c r="EM436" s="111"/>
      <c r="EN436" s="111"/>
      <c r="EO436" s="111"/>
      <c r="EP436" s="111"/>
      <c r="EQ436" s="111"/>
      <c r="ER436" s="111"/>
      <c r="ES436" s="111"/>
    </row>
    <row r="437" spans="35:149">
      <c r="AI437" s="13"/>
      <c r="AJ437" s="13"/>
      <c r="AK437" s="13"/>
      <c r="AL437" s="13"/>
      <c r="AM437" s="13"/>
      <c r="AR437" s="29"/>
      <c r="AS437" s="29"/>
      <c r="AT437" s="29"/>
      <c r="AU437" s="29"/>
      <c r="AV437" s="29"/>
      <c r="AW437" s="29"/>
      <c r="AX437" s="29"/>
      <c r="AY437" s="29"/>
      <c r="AZ437" s="29"/>
      <c r="BA437" s="29"/>
      <c r="BB437" s="29"/>
      <c r="BC437" s="29"/>
      <c r="BD437" s="29"/>
      <c r="BE437" s="29"/>
      <c r="BF437" s="111"/>
      <c r="BG437" s="111"/>
      <c r="BH437" s="111"/>
      <c r="BI437" s="111"/>
      <c r="BJ437" s="111"/>
      <c r="BK437" s="111"/>
      <c r="BL437" s="111"/>
      <c r="BM437" s="111"/>
      <c r="BN437" s="111"/>
      <c r="BO437" s="111"/>
      <c r="BP437" s="111"/>
      <c r="BQ437" s="111"/>
      <c r="BR437" s="111"/>
      <c r="BS437" s="111"/>
      <c r="DI437" s="13"/>
      <c r="DJ437" s="13"/>
      <c r="DK437" s="13"/>
      <c r="DL437" s="13"/>
      <c r="DM437" s="13"/>
      <c r="DR437" s="29"/>
      <c r="DS437" s="29"/>
      <c r="DT437" s="29"/>
      <c r="DU437" s="29"/>
      <c r="DV437" s="29"/>
      <c r="DW437" s="29"/>
      <c r="DX437" s="29"/>
      <c r="DY437" s="29"/>
      <c r="DZ437" s="29"/>
      <c r="EA437" s="29"/>
      <c r="EB437" s="29"/>
      <c r="EC437" s="29"/>
      <c r="ED437" s="29"/>
      <c r="EE437" s="29"/>
      <c r="EF437" s="111"/>
      <c r="EG437" s="111"/>
      <c r="EH437" s="111"/>
      <c r="EI437" s="111"/>
      <c r="EJ437" s="111"/>
      <c r="EK437" s="111"/>
      <c r="EL437" s="111"/>
      <c r="EM437" s="111"/>
      <c r="EN437" s="111"/>
      <c r="EO437" s="111"/>
      <c r="EP437" s="111"/>
      <c r="EQ437" s="111"/>
      <c r="ER437" s="111"/>
      <c r="ES437" s="111"/>
    </row>
    <row r="438" spans="35:149">
      <c r="AI438" s="13"/>
      <c r="AJ438" s="13"/>
      <c r="AK438" s="13"/>
      <c r="AL438" s="13"/>
      <c r="AM438" s="13"/>
      <c r="AR438" s="29"/>
      <c r="AS438" s="29"/>
      <c r="AT438" s="29"/>
      <c r="AU438" s="29"/>
      <c r="AV438" s="29"/>
      <c r="AW438" s="29"/>
      <c r="AX438" s="29"/>
      <c r="AY438" s="29"/>
      <c r="AZ438" s="29"/>
      <c r="BA438" s="29"/>
      <c r="BB438" s="29"/>
      <c r="BC438" s="29"/>
      <c r="BD438" s="29"/>
      <c r="BE438" s="29"/>
      <c r="BF438" s="111"/>
      <c r="BG438" s="111"/>
      <c r="BH438" s="111"/>
      <c r="BI438" s="111"/>
      <c r="BJ438" s="111"/>
      <c r="BK438" s="111"/>
      <c r="BL438" s="111"/>
      <c r="BM438" s="111"/>
      <c r="BN438" s="111"/>
      <c r="BO438" s="111"/>
      <c r="BP438" s="111"/>
      <c r="BQ438" s="111"/>
      <c r="BR438" s="111"/>
      <c r="BS438" s="111"/>
      <c r="DI438" s="13"/>
      <c r="DJ438" s="13"/>
      <c r="DK438" s="13"/>
      <c r="DL438" s="13"/>
      <c r="DM438" s="13"/>
      <c r="DR438" s="29"/>
      <c r="DS438" s="29"/>
      <c r="DT438" s="29"/>
      <c r="DU438" s="29"/>
      <c r="DV438" s="29"/>
      <c r="DW438" s="29"/>
      <c r="DX438" s="29"/>
      <c r="DY438" s="29"/>
      <c r="DZ438" s="29"/>
      <c r="EA438" s="29"/>
      <c r="EB438" s="29"/>
      <c r="EC438" s="29"/>
      <c r="ED438" s="29"/>
      <c r="EE438" s="29"/>
      <c r="EF438" s="111"/>
      <c r="EG438" s="111"/>
      <c r="EH438" s="111"/>
      <c r="EI438" s="111"/>
      <c r="EJ438" s="111"/>
      <c r="EK438" s="111"/>
      <c r="EL438" s="111"/>
      <c r="EM438" s="111"/>
      <c r="EN438" s="111"/>
      <c r="EO438" s="111"/>
      <c r="EP438" s="111"/>
      <c r="EQ438" s="111"/>
      <c r="ER438" s="111"/>
      <c r="ES438" s="111"/>
    </row>
    <row r="439" spans="35:149">
      <c r="AI439" s="13"/>
      <c r="AJ439" s="13"/>
      <c r="AK439" s="13"/>
      <c r="AL439" s="13"/>
      <c r="AM439" s="13"/>
      <c r="AR439" s="29"/>
      <c r="AS439" s="29"/>
      <c r="AT439" s="29"/>
      <c r="AU439" s="29"/>
      <c r="AV439" s="29"/>
      <c r="AW439" s="29"/>
      <c r="AX439" s="29"/>
      <c r="AY439" s="29"/>
      <c r="AZ439" s="29"/>
      <c r="BA439" s="29"/>
      <c r="BB439" s="29"/>
      <c r="BC439" s="29"/>
      <c r="BD439" s="29"/>
      <c r="BE439" s="29"/>
      <c r="BF439" s="111"/>
      <c r="BG439" s="111"/>
      <c r="BH439" s="111"/>
      <c r="BI439" s="111"/>
      <c r="BJ439" s="111"/>
      <c r="BK439" s="111"/>
      <c r="BL439" s="111"/>
      <c r="BM439" s="111"/>
      <c r="BN439" s="111"/>
      <c r="BO439" s="111"/>
      <c r="BP439" s="111"/>
      <c r="BQ439" s="111"/>
      <c r="BR439" s="111"/>
      <c r="BS439" s="111"/>
      <c r="DI439" s="13"/>
      <c r="DJ439" s="13"/>
      <c r="DK439" s="13"/>
      <c r="DL439" s="13"/>
      <c r="DM439" s="13"/>
      <c r="DR439" s="29"/>
      <c r="DS439" s="29"/>
      <c r="DT439" s="29"/>
      <c r="DU439" s="29"/>
      <c r="DV439" s="29"/>
      <c r="DW439" s="29"/>
      <c r="DX439" s="29"/>
      <c r="DY439" s="29"/>
      <c r="DZ439" s="29"/>
      <c r="EA439" s="29"/>
      <c r="EB439" s="29"/>
      <c r="EC439" s="29"/>
      <c r="ED439" s="29"/>
      <c r="EE439" s="29"/>
      <c r="EF439" s="111"/>
      <c r="EG439" s="111"/>
      <c r="EH439" s="111"/>
      <c r="EI439" s="111"/>
      <c r="EJ439" s="111"/>
      <c r="EK439" s="111"/>
      <c r="EL439" s="111"/>
      <c r="EM439" s="111"/>
      <c r="EN439" s="111"/>
      <c r="EO439" s="111"/>
      <c r="EP439" s="111"/>
      <c r="EQ439" s="111"/>
      <c r="ER439" s="111"/>
      <c r="ES439" s="111"/>
    </row>
    <row r="440" spans="35:149">
      <c r="AI440" s="13"/>
      <c r="AJ440" s="13"/>
      <c r="AK440" s="13"/>
      <c r="AL440" s="13"/>
      <c r="AM440" s="13"/>
      <c r="AR440" s="29"/>
      <c r="AS440" s="29"/>
      <c r="AT440" s="29"/>
      <c r="AU440" s="29"/>
      <c r="AV440" s="29"/>
      <c r="AW440" s="29"/>
      <c r="AX440" s="29"/>
      <c r="AY440" s="29"/>
      <c r="AZ440" s="29"/>
      <c r="BA440" s="29"/>
      <c r="BB440" s="29"/>
      <c r="BC440" s="29"/>
      <c r="BD440" s="29"/>
      <c r="BE440" s="29"/>
      <c r="BF440" s="111"/>
      <c r="BG440" s="111"/>
      <c r="BH440" s="111"/>
      <c r="BI440" s="111"/>
      <c r="BJ440" s="111"/>
      <c r="BK440" s="111"/>
      <c r="BL440" s="111"/>
      <c r="BM440" s="111"/>
      <c r="BN440" s="111"/>
      <c r="BO440" s="111"/>
      <c r="BP440" s="111"/>
      <c r="BQ440" s="111"/>
      <c r="BR440" s="111"/>
      <c r="BS440" s="111"/>
      <c r="DI440" s="13"/>
      <c r="DJ440" s="13"/>
      <c r="DK440" s="13"/>
      <c r="DL440" s="13"/>
      <c r="DM440" s="13"/>
      <c r="DR440" s="29"/>
      <c r="DS440" s="29"/>
      <c r="DT440" s="29"/>
      <c r="DU440" s="29"/>
      <c r="DV440" s="29"/>
      <c r="DW440" s="29"/>
      <c r="DX440" s="29"/>
      <c r="DY440" s="29"/>
      <c r="DZ440" s="29"/>
      <c r="EA440" s="29"/>
      <c r="EB440" s="29"/>
      <c r="EC440" s="29"/>
      <c r="ED440" s="29"/>
      <c r="EE440" s="29"/>
      <c r="EF440" s="111"/>
      <c r="EG440" s="111"/>
      <c r="EH440" s="111"/>
      <c r="EI440" s="111"/>
      <c r="EJ440" s="111"/>
      <c r="EK440" s="111"/>
      <c r="EL440" s="111"/>
      <c r="EM440" s="111"/>
      <c r="EN440" s="111"/>
      <c r="EO440" s="111"/>
      <c r="EP440" s="111"/>
      <c r="EQ440" s="111"/>
      <c r="ER440" s="111"/>
      <c r="ES440" s="111"/>
    </row>
    <row r="441" spans="35:149">
      <c r="AI441" s="13"/>
      <c r="AJ441" s="13"/>
      <c r="AK441" s="13"/>
      <c r="AL441" s="13"/>
      <c r="AM441" s="13"/>
      <c r="AR441" s="29"/>
      <c r="AS441" s="29"/>
      <c r="AT441" s="29"/>
      <c r="AU441" s="29"/>
      <c r="AV441" s="29"/>
      <c r="AW441" s="29"/>
      <c r="AX441" s="29"/>
      <c r="AY441" s="29"/>
      <c r="AZ441" s="29"/>
      <c r="BA441" s="29"/>
      <c r="BB441" s="29"/>
      <c r="BC441" s="29"/>
      <c r="BD441" s="29"/>
      <c r="BE441" s="29"/>
      <c r="BF441" s="111"/>
      <c r="BG441" s="111"/>
      <c r="BH441" s="111"/>
      <c r="BI441" s="111"/>
      <c r="BJ441" s="111"/>
      <c r="BK441" s="111"/>
      <c r="BL441" s="111"/>
      <c r="BM441" s="111"/>
      <c r="BN441" s="111"/>
      <c r="BO441" s="111"/>
      <c r="BP441" s="111"/>
      <c r="BQ441" s="111"/>
      <c r="BR441" s="111"/>
      <c r="BS441" s="111"/>
      <c r="DI441" s="13"/>
      <c r="DJ441" s="13"/>
      <c r="DK441" s="13"/>
      <c r="DL441" s="13"/>
      <c r="DM441" s="13"/>
      <c r="DR441" s="29"/>
      <c r="DS441" s="29"/>
      <c r="DT441" s="29"/>
      <c r="DU441" s="29"/>
      <c r="DV441" s="29"/>
      <c r="DW441" s="29"/>
      <c r="DX441" s="29"/>
      <c r="DY441" s="29"/>
      <c r="DZ441" s="29"/>
      <c r="EA441" s="29"/>
      <c r="EB441" s="29"/>
      <c r="EC441" s="29"/>
      <c r="ED441" s="29"/>
      <c r="EE441" s="29"/>
      <c r="EF441" s="111"/>
      <c r="EG441" s="111"/>
      <c r="EH441" s="111"/>
      <c r="EI441" s="111"/>
      <c r="EJ441" s="111"/>
      <c r="EK441" s="111"/>
      <c r="EL441" s="111"/>
      <c r="EM441" s="111"/>
      <c r="EN441" s="111"/>
      <c r="EO441" s="111"/>
      <c r="EP441" s="111"/>
      <c r="EQ441" s="111"/>
      <c r="ER441" s="111"/>
      <c r="ES441" s="111"/>
    </row>
    <row r="442" spans="35:149">
      <c r="AI442" s="13"/>
      <c r="AJ442" s="13"/>
      <c r="AK442" s="13"/>
      <c r="AL442" s="13"/>
      <c r="AM442" s="13"/>
      <c r="AR442" s="29"/>
      <c r="AS442" s="29"/>
      <c r="AT442" s="29"/>
      <c r="AU442" s="29"/>
      <c r="AV442" s="29"/>
      <c r="AW442" s="29"/>
      <c r="AX442" s="29"/>
      <c r="AY442" s="29"/>
      <c r="AZ442" s="29"/>
      <c r="BA442" s="29"/>
      <c r="BB442" s="29"/>
      <c r="BC442" s="29"/>
      <c r="BD442" s="29"/>
      <c r="BE442" s="29"/>
      <c r="BF442" s="111"/>
      <c r="BG442" s="111"/>
      <c r="BH442" s="111"/>
      <c r="BI442" s="111"/>
      <c r="BJ442" s="111"/>
      <c r="BK442" s="111"/>
      <c r="BL442" s="111"/>
      <c r="BM442" s="111"/>
      <c r="BN442" s="111"/>
      <c r="BO442" s="111"/>
      <c r="BP442" s="111"/>
      <c r="BQ442" s="111"/>
      <c r="BR442" s="111"/>
      <c r="BS442" s="111"/>
      <c r="DI442" s="13"/>
      <c r="DJ442" s="13"/>
      <c r="DK442" s="13"/>
      <c r="DL442" s="13"/>
      <c r="DM442" s="13"/>
      <c r="DR442" s="29"/>
      <c r="DS442" s="29"/>
      <c r="DT442" s="29"/>
      <c r="DU442" s="29"/>
      <c r="DV442" s="29"/>
      <c r="DW442" s="29"/>
      <c r="DX442" s="29"/>
      <c r="DY442" s="29"/>
      <c r="DZ442" s="29"/>
      <c r="EA442" s="29"/>
      <c r="EB442" s="29"/>
      <c r="EC442" s="29"/>
      <c r="ED442" s="29"/>
      <c r="EE442" s="29"/>
      <c r="EF442" s="111"/>
      <c r="EG442" s="111"/>
      <c r="EH442" s="111"/>
      <c r="EI442" s="111"/>
      <c r="EJ442" s="111"/>
      <c r="EK442" s="111"/>
      <c r="EL442" s="111"/>
      <c r="EM442" s="111"/>
      <c r="EN442" s="111"/>
      <c r="EO442" s="111"/>
      <c r="EP442" s="111"/>
      <c r="EQ442" s="111"/>
      <c r="ER442" s="111"/>
      <c r="ES442" s="111"/>
    </row>
    <row r="443" spans="35:149">
      <c r="AI443" s="13"/>
      <c r="AJ443" s="13"/>
      <c r="AK443" s="13"/>
      <c r="AL443" s="13"/>
      <c r="AM443" s="13"/>
      <c r="AR443" s="29"/>
      <c r="AS443" s="29"/>
      <c r="AT443" s="29"/>
      <c r="AU443" s="29"/>
      <c r="AV443" s="29"/>
      <c r="AW443" s="29"/>
      <c r="AX443" s="29"/>
      <c r="AY443" s="29"/>
      <c r="AZ443" s="29"/>
      <c r="BA443" s="29"/>
      <c r="BB443" s="29"/>
      <c r="BC443" s="29"/>
      <c r="BD443" s="29"/>
      <c r="BE443" s="29"/>
      <c r="BF443" s="111"/>
      <c r="BG443" s="111"/>
      <c r="BH443" s="111"/>
      <c r="BI443" s="111"/>
      <c r="BJ443" s="111"/>
      <c r="BK443" s="111"/>
      <c r="BL443" s="111"/>
      <c r="BM443" s="111"/>
      <c r="BN443" s="111"/>
      <c r="BO443" s="111"/>
      <c r="BP443" s="111"/>
      <c r="BQ443" s="111"/>
      <c r="BR443" s="111"/>
      <c r="BS443" s="111"/>
      <c r="DI443" s="13"/>
      <c r="DJ443" s="13"/>
      <c r="DK443" s="13"/>
      <c r="DL443" s="13"/>
      <c r="DM443" s="13"/>
      <c r="DR443" s="29"/>
      <c r="DS443" s="29"/>
      <c r="DT443" s="29"/>
      <c r="DU443" s="29"/>
      <c r="DV443" s="29"/>
      <c r="DW443" s="29"/>
      <c r="DX443" s="29"/>
      <c r="DY443" s="29"/>
      <c r="DZ443" s="29"/>
      <c r="EA443" s="29"/>
      <c r="EB443" s="29"/>
      <c r="EC443" s="29"/>
      <c r="ED443" s="29"/>
      <c r="EE443" s="29"/>
      <c r="EF443" s="111"/>
      <c r="EG443" s="111"/>
      <c r="EH443" s="111"/>
      <c r="EI443" s="111"/>
      <c r="EJ443" s="111"/>
      <c r="EK443" s="111"/>
      <c r="EL443" s="111"/>
      <c r="EM443" s="111"/>
      <c r="EN443" s="111"/>
      <c r="EO443" s="111"/>
      <c r="EP443" s="111"/>
      <c r="EQ443" s="111"/>
      <c r="ER443" s="111"/>
      <c r="ES443" s="111"/>
    </row>
    <row r="444" spans="35:149">
      <c r="AI444" s="13"/>
      <c r="AJ444" s="13"/>
      <c r="AK444" s="13"/>
      <c r="AL444" s="13"/>
      <c r="AM444" s="13"/>
      <c r="AR444" s="29"/>
      <c r="AS444" s="29"/>
      <c r="AT444" s="29"/>
      <c r="AU444" s="29"/>
      <c r="AV444" s="29"/>
      <c r="AW444" s="29"/>
      <c r="AX444" s="29"/>
      <c r="AY444" s="29"/>
      <c r="AZ444" s="29"/>
      <c r="BA444" s="29"/>
      <c r="BB444" s="29"/>
      <c r="BC444" s="29"/>
      <c r="BD444" s="29"/>
      <c r="BE444" s="29"/>
      <c r="BF444" s="111"/>
      <c r="BG444" s="111"/>
      <c r="BH444" s="111"/>
      <c r="BI444" s="111"/>
      <c r="BJ444" s="111"/>
      <c r="BK444" s="111"/>
      <c r="BL444" s="111"/>
      <c r="BM444" s="111"/>
      <c r="BN444" s="111"/>
      <c r="BO444" s="111"/>
      <c r="BP444" s="111"/>
      <c r="BQ444" s="111"/>
      <c r="BR444" s="111"/>
      <c r="BS444" s="111"/>
      <c r="DI444" s="13"/>
      <c r="DJ444" s="13"/>
      <c r="DK444" s="13"/>
      <c r="DL444" s="13"/>
      <c r="DM444" s="13"/>
      <c r="DR444" s="29"/>
      <c r="DS444" s="29"/>
      <c r="DT444" s="29"/>
      <c r="DU444" s="29"/>
      <c r="DV444" s="29"/>
      <c r="DW444" s="29"/>
      <c r="DX444" s="29"/>
      <c r="DY444" s="29"/>
      <c r="DZ444" s="29"/>
      <c r="EA444" s="29"/>
      <c r="EB444" s="29"/>
      <c r="EC444" s="29"/>
      <c r="ED444" s="29"/>
      <c r="EE444" s="29"/>
      <c r="EF444" s="111"/>
      <c r="EG444" s="111"/>
      <c r="EH444" s="111"/>
      <c r="EI444" s="111"/>
      <c r="EJ444" s="111"/>
      <c r="EK444" s="111"/>
      <c r="EL444" s="111"/>
      <c r="EM444" s="111"/>
      <c r="EN444" s="111"/>
      <c r="EO444" s="111"/>
      <c r="EP444" s="111"/>
      <c r="EQ444" s="111"/>
      <c r="ER444" s="111"/>
      <c r="ES444" s="111"/>
    </row>
    <row r="445" spans="35:149">
      <c r="AI445" s="13"/>
      <c r="AJ445" s="13"/>
      <c r="AK445" s="13"/>
      <c r="AL445" s="13"/>
      <c r="AM445" s="13"/>
      <c r="AR445" s="29"/>
      <c r="AS445" s="29"/>
      <c r="AT445" s="29"/>
      <c r="AU445" s="29"/>
      <c r="AV445" s="29"/>
      <c r="AW445" s="29"/>
      <c r="AX445" s="29"/>
      <c r="AY445" s="29"/>
      <c r="AZ445" s="29"/>
      <c r="BA445" s="29"/>
      <c r="BB445" s="29"/>
      <c r="BC445" s="29"/>
      <c r="BD445" s="29"/>
      <c r="BE445" s="29"/>
      <c r="BF445" s="111"/>
      <c r="BG445" s="111"/>
      <c r="BH445" s="111"/>
      <c r="BI445" s="111"/>
      <c r="BJ445" s="111"/>
      <c r="BK445" s="111"/>
      <c r="BL445" s="111"/>
      <c r="BM445" s="111"/>
      <c r="BN445" s="111"/>
      <c r="BO445" s="111"/>
      <c r="BP445" s="111"/>
      <c r="BQ445" s="111"/>
      <c r="BR445" s="111"/>
      <c r="BS445" s="111"/>
      <c r="DI445" s="13"/>
      <c r="DJ445" s="13"/>
      <c r="DK445" s="13"/>
      <c r="DL445" s="13"/>
      <c r="DM445" s="13"/>
      <c r="DR445" s="29"/>
      <c r="DS445" s="29"/>
      <c r="DT445" s="29"/>
      <c r="DU445" s="29"/>
      <c r="DV445" s="29"/>
      <c r="DW445" s="29"/>
      <c r="DX445" s="29"/>
      <c r="DY445" s="29"/>
      <c r="DZ445" s="29"/>
      <c r="EA445" s="29"/>
      <c r="EB445" s="29"/>
      <c r="EC445" s="29"/>
      <c r="ED445" s="29"/>
      <c r="EE445" s="29"/>
      <c r="EF445" s="111"/>
      <c r="EG445" s="111"/>
      <c r="EH445" s="111"/>
      <c r="EI445" s="111"/>
      <c r="EJ445" s="111"/>
      <c r="EK445" s="111"/>
      <c r="EL445" s="111"/>
      <c r="EM445" s="111"/>
      <c r="EN445" s="111"/>
      <c r="EO445" s="111"/>
      <c r="EP445" s="111"/>
      <c r="EQ445" s="111"/>
      <c r="ER445" s="111"/>
      <c r="ES445" s="111"/>
    </row>
    <row r="446" spans="35:149">
      <c r="AI446" s="13"/>
      <c r="AJ446" s="13"/>
      <c r="AK446" s="13"/>
      <c r="AL446" s="13"/>
      <c r="AM446" s="13"/>
      <c r="AR446" s="29"/>
      <c r="AS446" s="29"/>
      <c r="AT446" s="29"/>
      <c r="AU446" s="29"/>
      <c r="AV446" s="29"/>
      <c r="AW446" s="29"/>
      <c r="AX446" s="29"/>
      <c r="AY446" s="29"/>
      <c r="AZ446" s="29"/>
      <c r="BA446" s="29"/>
      <c r="BB446" s="29"/>
      <c r="BC446" s="29"/>
      <c r="BD446" s="29"/>
      <c r="BE446" s="29"/>
      <c r="BF446" s="111"/>
      <c r="BG446" s="111"/>
      <c r="BH446" s="111"/>
      <c r="BI446" s="111"/>
      <c r="BJ446" s="111"/>
      <c r="BK446" s="111"/>
      <c r="BL446" s="111"/>
      <c r="BM446" s="111"/>
      <c r="BN446" s="111"/>
      <c r="BO446" s="111"/>
      <c r="BP446" s="111"/>
      <c r="BQ446" s="111"/>
      <c r="BR446" s="111"/>
      <c r="BS446" s="111"/>
      <c r="DI446" s="13"/>
      <c r="DJ446" s="13"/>
      <c r="DK446" s="13"/>
      <c r="DL446" s="13"/>
      <c r="DM446" s="13"/>
      <c r="DR446" s="29"/>
      <c r="DS446" s="29"/>
      <c r="DT446" s="29"/>
      <c r="DU446" s="29"/>
      <c r="DV446" s="29"/>
      <c r="DW446" s="29"/>
      <c r="DX446" s="29"/>
      <c r="DY446" s="29"/>
      <c r="DZ446" s="29"/>
      <c r="EA446" s="29"/>
      <c r="EB446" s="29"/>
      <c r="EC446" s="29"/>
      <c r="ED446" s="29"/>
      <c r="EE446" s="29"/>
      <c r="EF446" s="111"/>
      <c r="EG446" s="111"/>
      <c r="EH446" s="111"/>
      <c r="EI446" s="111"/>
      <c r="EJ446" s="111"/>
      <c r="EK446" s="111"/>
      <c r="EL446" s="111"/>
      <c r="EM446" s="111"/>
      <c r="EN446" s="111"/>
      <c r="EO446" s="111"/>
      <c r="EP446" s="111"/>
      <c r="EQ446" s="111"/>
      <c r="ER446" s="111"/>
      <c r="ES446" s="111"/>
    </row>
    <row r="447" spans="35:149">
      <c r="AI447" s="13"/>
      <c r="AJ447" s="13"/>
      <c r="AK447" s="13"/>
      <c r="AL447" s="13"/>
      <c r="AM447" s="13"/>
      <c r="AR447" s="29"/>
      <c r="AS447" s="29"/>
      <c r="AT447" s="29"/>
      <c r="AU447" s="29"/>
      <c r="AV447" s="29"/>
      <c r="AW447" s="29"/>
      <c r="AX447" s="29"/>
      <c r="AY447" s="29"/>
      <c r="AZ447" s="29"/>
      <c r="BA447" s="29"/>
      <c r="BB447" s="29"/>
      <c r="BC447" s="29"/>
      <c r="BD447" s="29"/>
      <c r="BE447" s="29"/>
      <c r="BF447" s="111"/>
      <c r="BG447" s="111"/>
      <c r="BH447" s="111"/>
      <c r="BI447" s="111"/>
      <c r="BJ447" s="111"/>
      <c r="BK447" s="111"/>
      <c r="BL447" s="111"/>
      <c r="BM447" s="111"/>
      <c r="BN447" s="111"/>
      <c r="BO447" s="111"/>
      <c r="BP447" s="111"/>
      <c r="BQ447" s="111"/>
      <c r="BR447" s="111"/>
      <c r="BS447" s="111"/>
      <c r="DI447" s="13"/>
      <c r="DJ447" s="13"/>
      <c r="DK447" s="13"/>
      <c r="DL447" s="13"/>
      <c r="DM447" s="13"/>
      <c r="DR447" s="29"/>
      <c r="DS447" s="29"/>
      <c r="DT447" s="29"/>
      <c r="DU447" s="29"/>
      <c r="DV447" s="29"/>
      <c r="DW447" s="29"/>
      <c r="DX447" s="29"/>
      <c r="DY447" s="29"/>
      <c r="DZ447" s="29"/>
      <c r="EA447" s="29"/>
      <c r="EB447" s="29"/>
      <c r="EC447" s="29"/>
      <c r="ED447" s="29"/>
      <c r="EE447" s="29"/>
      <c r="EF447" s="111"/>
      <c r="EG447" s="111"/>
      <c r="EH447" s="111"/>
      <c r="EI447" s="111"/>
      <c r="EJ447" s="111"/>
      <c r="EK447" s="111"/>
      <c r="EL447" s="111"/>
      <c r="EM447" s="111"/>
      <c r="EN447" s="111"/>
      <c r="EO447" s="111"/>
      <c r="EP447" s="111"/>
      <c r="EQ447" s="111"/>
      <c r="ER447" s="111"/>
      <c r="ES447" s="111"/>
    </row>
    <row r="448" spans="35:149">
      <c r="AI448" s="13"/>
      <c r="AJ448" s="13"/>
      <c r="AK448" s="13"/>
      <c r="AL448" s="13"/>
      <c r="AM448" s="13"/>
      <c r="AR448" s="29"/>
      <c r="AS448" s="29"/>
      <c r="AT448" s="29"/>
      <c r="AU448" s="29"/>
      <c r="AV448" s="29"/>
      <c r="AW448" s="29"/>
      <c r="AX448" s="29"/>
      <c r="AY448" s="29"/>
      <c r="AZ448" s="29"/>
      <c r="BA448" s="29"/>
      <c r="BB448" s="29"/>
      <c r="BC448" s="29"/>
      <c r="BD448" s="29"/>
      <c r="BE448" s="29"/>
      <c r="BF448" s="111"/>
      <c r="BG448" s="111"/>
      <c r="BH448" s="111"/>
      <c r="BI448" s="111"/>
      <c r="BJ448" s="111"/>
      <c r="BK448" s="111"/>
      <c r="BL448" s="111"/>
      <c r="BM448" s="111"/>
      <c r="BN448" s="111"/>
      <c r="BO448" s="111"/>
      <c r="BP448" s="111"/>
      <c r="BQ448" s="111"/>
      <c r="BR448" s="111"/>
      <c r="BS448" s="111"/>
      <c r="DI448" s="13"/>
      <c r="DJ448" s="13"/>
      <c r="DK448" s="13"/>
      <c r="DL448" s="13"/>
      <c r="DM448" s="13"/>
      <c r="DR448" s="29"/>
      <c r="DS448" s="29"/>
      <c r="DT448" s="29"/>
      <c r="DU448" s="29"/>
      <c r="DV448" s="29"/>
      <c r="DW448" s="29"/>
      <c r="DX448" s="29"/>
      <c r="DY448" s="29"/>
      <c r="DZ448" s="29"/>
      <c r="EA448" s="29"/>
      <c r="EB448" s="29"/>
      <c r="EC448" s="29"/>
      <c r="ED448" s="29"/>
      <c r="EE448" s="29"/>
      <c r="EF448" s="111"/>
      <c r="EG448" s="111"/>
      <c r="EH448" s="111"/>
      <c r="EI448" s="111"/>
      <c r="EJ448" s="111"/>
      <c r="EK448" s="111"/>
      <c r="EL448" s="111"/>
      <c r="EM448" s="111"/>
      <c r="EN448" s="111"/>
      <c r="EO448" s="111"/>
      <c r="EP448" s="111"/>
      <c r="EQ448" s="111"/>
      <c r="ER448" s="111"/>
      <c r="ES448" s="111"/>
    </row>
    <row r="449" spans="35:149">
      <c r="AI449" s="13"/>
      <c r="AJ449" s="13"/>
      <c r="AK449" s="13"/>
      <c r="AL449" s="13"/>
      <c r="AM449" s="13"/>
      <c r="AR449" s="29"/>
      <c r="AS449" s="29"/>
      <c r="AT449" s="29"/>
      <c r="AU449" s="29"/>
      <c r="AV449" s="29"/>
      <c r="AW449" s="29"/>
      <c r="AX449" s="29"/>
      <c r="AY449" s="29"/>
      <c r="AZ449" s="29"/>
      <c r="BA449" s="29"/>
      <c r="BB449" s="29"/>
      <c r="BC449" s="29"/>
      <c r="BD449" s="29"/>
      <c r="BE449" s="29"/>
      <c r="BF449" s="111"/>
      <c r="BG449" s="111"/>
      <c r="BH449" s="111"/>
      <c r="BI449" s="111"/>
      <c r="BJ449" s="111"/>
      <c r="BK449" s="111"/>
      <c r="BL449" s="111"/>
      <c r="BM449" s="111"/>
      <c r="BN449" s="111"/>
      <c r="BO449" s="111"/>
      <c r="BP449" s="111"/>
      <c r="BQ449" s="111"/>
      <c r="BR449" s="111"/>
      <c r="BS449" s="111"/>
      <c r="DI449" s="13"/>
      <c r="DJ449" s="13"/>
      <c r="DK449" s="13"/>
      <c r="DL449" s="13"/>
      <c r="DM449" s="13"/>
      <c r="DR449" s="29"/>
      <c r="DS449" s="29"/>
      <c r="DT449" s="29"/>
      <c r="DU449" s="29"/>
      <c r="DV449" s="29"/>
      <c r="DW449" s="29"/>
      <c r="DX449" s="29"/>
      <c r="DY449" s="29"/>
      <c r="DZ449" s="29"/>
      <c r="EA449" s="29"/>
      <c r="EB449" s="29"/>
      <c r="EC449" s="29"/>
      <c r="ED449" s="29"/>
      <c r="EE449" s="29"/>
      <c r="EF449" s="111"/>
      <c r="EG449" s="111"/>
      <c r="EH449" s="111"/>
      <c r="EI449" s="111"/>
      <c r="EJ449" s="111"/>
      <c r="EK449" s="111"/>
      <c r="EL449" s="111"/>
      <c r="EM449" s="111"/>
      <c r="EN449" s="111"/>
      <c r="EO449" s="111"/>
      <c r="EP449" s="111"/>
      <c r="EQ449" s="111"/>
      <c r="ER449" s="111"/>
      <c r="ES449" s="111"/>
    </row>
    <row r="450" spans="35:149">
      <c r="AI450" s="13"/>
      <c r="AJ450" s="13"/>
      <c r="AK450" s="13"/>
      <c r="AL450" s="13"/>
      <c r="AM450" s="13"/>
      <c r="AR450" s="29"/>
      <c r="AS450" s="29"/>
      <c r="AT450" s="29"/>
      <c r="AU450" s="29"/>
      <c r="AV450" s="29"/>
      <c r="AW450" s="29"/>
      <c r="AX450" s="29"/>
      <c r="AY450" s="29"/>
      <c r="AZ450" s="29"/>
      <c r="BA450" s="29"/>
      <c r="BB450" s="29"/>
      <c r="BC450" s="29"/>
      <c r="BD450" s="29"/>
      <c r="BE450" s="29"/>
      <c r="BF450" s="111"/>
      <c r="BG450" s="111"/>
      <c r="BH450" s="111"/>
      <c r="BI450" s="111"/>
      <c r="BJ450" s="111"/>
      <c r="BK450" s="111"/>
      <c r="BL450" s="111"/>
      <c r="BM450" s="111"/>
      <c r="BN450" s="111"/>
      <c r="BO450" s="111"/>
      <c r="BP450" s="111"/>
      <c r="BQ450" s="111"/>
      <c r="BR450" s="111"/>
      <c r="BS450" s="111"/>
      <c r="DI450" s="13"/>
      <c r="DJ450" s="13"/>
      <c r="DK450" s="13"/>
      <c r="DL450" s="13"/>
      <c r="DM450" s="13"/>
      <c r="DR450" s="29"/>
      <c r="DS450" s="29"/>
      <c r="DT450" s="29"/>
      <c r="DU450" s="29"/>
      <c r="DV450" s="29"/>
      <c r="DW450" s="29"/>
      <c r="DX450" s="29"/>
      <c r="DY450" s="29"/>
      <c r="DZ450" s="29"/>
      <c r="EA450" s="29"/>
      <c r="EB450" s="29"/>
      <c r="EC450" s="29"/>
      <c r="ED450" s="29"/>
      <c r="EE450" s="29"/>
      <c r="EF450" s="111"/>
      <c r="EG450" s="111"/>
      <c r="EH450" s="111"/>
      <c r="EI450" s="111"/>
      <c r="EJ450" s="111"/>
      <c r="EK450" s="111"/>
      <c r="EL450" s="111"/>
      <c r="EM450" s="111"/>
      <c r="EN450" s="111"/>
      <c r="EO450" s="111"/>
      <c r="EP450" s="111"/>
      <c r="EQ450" s="111"/>
      <c r="ER450" s="111"/>
      <c r="ES450" s="111"/>
    </row>
    <row r="451" spans="35:149">
      <c r="AI451" s="13"/>
      <c r="AJ451" s="13"/>
      <c r="AK451" s="13"/>
      <c r="AL451" s="13"/>
      <c r="AM451" s="13"/>
      <c r="AR451" s="29"/>
      <c r="AS451" s="29"/>
      <c r="AT451" s="29"/>
      <c r="AU451" s="29"/>
      <c r="AV451" s="29"/>
      <c r="AW451" s="29"/>
      <c r="AX451" s="29"/>
      <c r="AY451" s="29"/>
      <c r="AZ451" s="29"/>
      <c r="BA451" s="29"/>
      <c r="BB451" s="29"/>
      <c r="BC451" s="29"/>
      <c r="BD451" s="29"/>
      <c r="BE451" s="29"/>
      <c r="BF451" s="111"/>
      <c r="BG451" s="111"/>
      <c r="BH451" s="111"/>
      <c r="BI451" s="111"/>
      <c r="BJ451" s="111"/>
      <c r="BK451" s="111"/>
      <c r="BL451" s="111"/>
      <c r="BM451" s="111"/>
      <c r="BN451" s="111"/>
      <c r="BO451" s="111"/>
      <c r="BP451" s="111"/>
      <c r="BQ451" s="111"/>
      <c r="BR451" s="111"/>
      <c r="BS451" s="111"/>
      <c r="DI451" s="13"/>
      <c r="DJ451" s="13"/>
      <c r="DK451" s="13"/>
      <c r="DL451" s="13"/>
      <c r="DM451" s="13"/>
      <c r="DR451" s="29"/>
      <c r="DS451" s="29"/>
      <c r="DT451" s="29"/>
      <c r="DU451" s="29"/>
      <c r="DV451" s="29"/>
      <c r="DW451" s="29"/>
      <c r="DX451" s="29"/>
      <c r="DY451" s="29"/>
      <c r="DZ451" s="29"/>
      <c r="EA451" s="29"/>
      <c r="EB451" s="29"/>
      <c r="EC451" s="29"/>
      <c r="ED451" s="29"/>
      <c r="EE451" s="29"/>
      <c r="EF451" s="111"/>
      <c r="EG451" s="111"/>
      <c r="EH451" s="111"/>
      <c r="EI451" s="111"/>
      <c r="EJ451" s="111"/>
      <c r="EK451" s="111"/>
      <c r="EL451" s="111"/>
      <c r="EM451" s="111"/>
      <c r="EN451" s="111"/>
      <c r="EO451" s="111"/>
      <c r="EP451" s="111"/>
      <c r="EQ451" s="111"/>
      <c r="ER451" s="111"/>
      <c r="ES451" s="111"/>
    </row>
    <row r="452" spans="35:149">
      <c r="AI452" s="13"/>
      <c r="AJ452" s="13"/>
      <c r="AK452" s="13"/>
      <c r="AL452" s="13"/>
      <c r="AM452" s="13"/>
      <c r="AR452" s="29"/>
      <c r="AS452" s="29"/>
      <c r="AT452" s="29"/>
      <c r="AU452" s="29"/>
      <c r="AV452" s="29"/>
      <c r="AW452" s="29"/>
      <c r="AX452" s="29"/>
      <c r="AY452" s="29"/>
      <c r="AZ452" s="29"/>
      <c r="BA452" s="29"/>
      <c r="BB452" s="29"/>
      <c r="BC452" s="29"/>
      <c r="BD452" s="29"/>
      <c r="BE452" s="29"/>
      <c r="BF452" s="111"/>
      <c r="BG452" s="111"/>
      <c r="BH452" s="111"/>
      <c r="BI452" s="111"/>
      <c r="BJ452" s="111"/>
      <c r="BK452" s="111"/>
      <c r="BL452" s="111"/>
      <c r="BM452" s="111"/>
      <c r="BN452" s="111"/>
      <c r="BO452" s="111"/>
      <c r="BP452" s="111"/>
      <c r="BQ452" s="111"/>
      <c r="BR452" s="111"/>
      <c r="BS452" s="111"/>
      <c r="DI452" s="13"/>
      <c r="DJ452" s="13"/>
      <c r="DK452" s="13"/>
      <c r="DL452" s="13"/>
      <c r="DM452" s="13"/>
      <c r="DR452" s="29"/>
      <c r="DS452" s="29"/>
      <c r="DT452" s="29"/>
      <c r="DU452" s="29"/>
      <c r="DV452" s="29"/>
      <c r="DW452" s="29"/>
      <c r="DX452" s="29"/>
      <c r="DY452" s="29"/>
      <c r="DZ452" s="29"/>
      <c r="EA452" s="29"/>
      <c r="EB452" s="29"/>
      <c r="EC452" s="29"/>
      <c r="ED452" s="29"/>
      <c r="EE452" s="29"/>
      <c r="EF452" s="111"/>
      <c r="EG452" s="111"/>
      <c r="EH452" s="111"/>
      <c r="EI452" s="111"/>
      <c r="EJ452" s="111"/>
      <c r="EK452" s="111"/>
      <c r="EL452" s="111"/>
      <c r="EM452" s="111"/>
      <c r="EN452" s="111"/>
      <c r="EO452" s="111"/>
      <c r="EP452" s="111"/>
      <c r="EQ452" s="111"/>
      <c r="ER452" s="111"/>
      <c r="ES452" s="111"/>
    </row>
    <row r="453" spans="35:149">
      <c r="AI453" s="13"/>
      <c r="AJ453" s="13"/>
      <c r="AK453" s="13"/>
      <c r="AL453" s="13"/>
      <c r="AM453" s="13"/>
      <c r="AR453" s="29"/>
      <c r="AS453" s="29"/>
      <c r="AT453" s="29"/>
      <c r="AU453" s="29"/>
      <c r="AV453" s="29"/>
      <c r="AW453" s="29"/>
      <c r="AX453" s="29"/>
      <c r="AY453" s="29"/>
      <c r="AZ453" s="29"/>
      <c r="BA453" s="29"/>
      <c r="BB453" s="29"/>
      <c r="BC453" s="29"/>
      <c r="BD453" s="29"/>
      <c r="BE453" s="29"/>
      <c r="BF453" s="111"/>
      <c r="BG453" s="111"/>
      <c r="BH453" s="111"/>
      <c r="BI453" s="111"/>
      <c r="BJ453" s="111"/>
      <c r="BK453" s="111"/>
      <c r="BL453" s="111"/>
      <c r="BM453" s="111"/>
      <c r="BN453" s="111"/>
      <c r="BO453" s="111"/>
      <c r="BP453" s="111"/>
      <c r="BQ453" s="111"/>
      <c r="BR453" s="111"/>
      <c r="BS453" s="111"/>
      <c r="DI453" s="13"/>
      <c r="DJ453" s="13"/>
      <c r="DK453" s="13"/>
      <c r="DL453" s="13"/>
      <c r="DM453" s="13"/>
      <c r="DR453" s="29"/>
      <c r="DS453" s="29"/>
      <c r="DT453" s="29"/>
      <c r="DU453" s="29"/>
      <c r="DV453" s="29"/>
      <c r="DW453" s="29"/>
      <c r="DX453" s="29"/>
      <c r="DY453" s="29"/>
      <c r="DZ453" s="29"/>
      <c r="EA453" s="29"/>
      <c r="EB453" s="29"/>
      <c r="EC453" s="29"/>
      <c r="ED453" s="29"/>
      <c r="EE453" s="29"/>
      <c r="EF453" s="111"/>
      <c r="EG453" s="111"/>
      <c r="EH453" s="111"/>
      <c r="EI453" s="111"/>
      <c r="EJ453" s="111"/>
      <c r="EK453" s="111"/>
      <c r="EL453" s="111"/>
      <c r="EM453" s="111"/>
      <c r="EN453" s="111"/>
      <c r="EO453" s="111"/>
      <c r="EP453" s="111"/>
      <c r="EQ453" s="111"/>
      <c r="ER453" s="111"/>
      <c r="ES453" s="111"/>
    </row>
    <row r="454" spans="35:149">
      <c r="AI454" s="13"/>
      <c r="AJ454" s="13"/>
      <c r="AK454" s="13"/>
      <c r="AL454" s="13"/>
      <c r="AM454" s="13"/>
      <c r="AR454" s="29"/>
      <c r="AS454" s="29"/>
      <c r="AT454" s="29"/>
      <c r="AU454" s="29"/>
      <c r="AV454" s="29"/>
      <c r="AW454" s="29"/>
      <c r="AX454" s="29"/>
      <c r="AY454" s="29"/>
      <c r="AZ454" s="29"/>
      <c r="BA454" s="29"/>
      <c r="BB454" s="29"/>
      <c r="BC454" s="29"/>
      <c r="BD454" s="29"/>
      <c r="BE454" s="29"/>
      <c r="BF454" s="111"/>
      <c r="BG454" s="111"/>
      <c r="BH454" s="111"/>
      <c r="BI454" s="111"/>
      <c r="BJ454" s="111"/>
      <c r="BK454" s="111"/>
      <c r="BL454" s="111"/>
      <c r="BM454" s="111"/>
      <c r="BN454" s="111"/>
      <c r="BO454" s="111"/>
      <c r="BP454" s="111"/>
      <c r="BQ454" s="111"/>
      <c r="BR454" s="111"/>
      <c r="BS454" s="111"/>
      <c r="DI454" s="13"/>
      <c r="DJ454" s="13"/>
      <c r="DK454" s="13"/>
      <c r="DL454" s="13"/>
      <c r="DM454" s="13"/>
      <c r="DR454" s="29"/>
      <c r="DS454" s="29"/>
      <c r="DT454" s="29"/>
      <c r="DU454" s="29"/>
      <c r="DV454" s="29"/>
      <c r="DW454" s="29"/>
      <c r="DX454" s="29"/>
      <c r="DY454" s="29"/>
      <c r="DZ454" s="29"/>
      <c r="EA454" s="29"/>
      <c r="EB454" s="29"/>
      <c r="EC454" s="29"/>
      <c r="ED454" s="29"/>
      <c r="EE454" s="29"/>
      <c r="EF454" s="111"/>
      <c r="EG454" s="111"/>
      <c r="EH454" s="111"/>
      <c r="EI454" s="111"/>
      <c r="EJ454" s="111"/>
      <c r="EK454" s="111"/>
      <c r="EL454" s="111"/>
      <c r="EM454" s="111"/>
      <c r="EN454" s="111"/>
      <c r="EO454" s="111"/>
      <c r="EP454" s="111"/>
      <c r="EQ454" s="111"/>
      <c r="ER454" s="111"/>
      <c r="ES454" s="111"/>
    </row>
    <row r="455" spans="35:149">
      <c r="AI455" s="13"/>
      <c r="AJ455" s="13"/>
      <c r="AK455" s="13"/>
      <c r="AL455" s="13"/>
      <c r="AM455" s="13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  <c r="BC455" s="29"/>
      <c r="BD455" s="29"/>
      <c r="BE455" s="29"/>
      <c r="BF455" s="111"/>
      <c r="BG455" s="111"/>
      <c r="BH455" s="111"/>
      <c r="BI455" s="111"/>
      <c r="BJ455" s="111"/>
      <c r="BK455" s="111"/>
      <c r="BL455" s="111"/>
      <c r="BM455" s="111"/>
      <c r="BN455" s="111"/>
      <c r="BO455" s="111"/>
      <c r="BP455" s="111"/>
      <c r="BQ455" s="111"/>
      <c r="BR455" s="111"/>
      <c r="BS455" s="111"/>
      <c r="DI455" s="13"/>
      <c r="DJ455" s="13"/>
      <c r="DK455" s="13"/>
      <c r="DL455" s="13"/>
      <c r="DM455" s="13"/>
      <c r="DR455" s="29"/>
      <c r="DS455" s="29"/>
      <c r="DT455" s="29"/>
      <c r="DU455" s="29"/>
      <c r="DV455" s="29"/>
      <c r="DW455" s="29"/>
      <c r="DX455" s="29"/>
      <c r="DY455" s="29"/>
      <c r="DZ455" s="29"/>
      <c r="EA455" s="29"/>
      <c r="EB455" s="29"/>
      <c r="EC455" s="29"/>
      <c r="ED455" s="29"/>
      <c r="EE455" s="29"/>
      <c r="EF455" s="111"/>
      <c r="EG455" s="111"/>
      <c r="EH455" s="111"/>
      <c r="EI455" s="111"/>
      <c r="EJ455" s="111"/>
      <c r="EK455" s="111"/>
      <c r="EL455" s="111"/>
      <c r="EM455" s="111"/>
      <c r="EN455" s="111"/>
      <c r="EO455" s="111"/>
      <c r="EP455" s="111"/>
      <c r="EQ455" s="111"/>
      <c r="ER455" s="111"/>
      <c r="ES455" s="111"/>
    </row>
    <row r="456" spans="35:149">
      <c r="AI456" s="13"/>
      <c r="AJ456" s="13"/>
      <c r="AK456" s="13"/>
      <c r="AL456" s="13"/>
      <c r="AM456" s="13"/>
      <c r="AR456" s="29"/>
      <c r="AS456" s="29"/>
      <c r="AT456" s="29"/>
      <c r="AU456" s="29"/>
      <c r="AV456" s="29"/>
      <c r="AW456" s="29"/>
      <c r="AX456" s="29"/>
      <c r="AY456" s="29"/>
      <c r="AZ456" s="29"/>
      <c r="BA456" s="29"/>
      <c r="BB456" s="29"/>
      <c r="BC456" s="29"/>
      <c r="BD456" s="29"/>
      <c r="BE456" s="29"/>
      <c r="BF456" s="111"/>
      <c r="BG456" s="111"/>
      <c r="BH456" s="111"/>
      <c r="BI456" s="111"/>
      <c r="BJ456" s="111"/>
      <c r="BK456" s="111"/>
      <c r="BL456" s="111"/>
      <c r="BM456" s="111"/>
      <c r="BN456" s="111"/>
      <c r="BO456" s="111"/>
      <c r="BP456" s="111"/>
      <c r="BQ456" s="111"/>
      <c r="BR456" s="111"/>
      <c r="BS456" s="111"/>
      <c r="DI456" s="13"/>
      <c r="DJ456" s="13"/>
      <c r="DK456" s="13"/>
      <c r="DL456" s="13"/>
      <c r="DM456" s="13"/>
      <c r="DR456" s="29"/>
      <c r="DS456" s="29"/>
      <c r="DT456" s="29"/>
      <c r="DU456" s="29"/>
      <c r="DV456" s="29"/>
      <c r="DW456" s="29"/>
      <c r="DX456" s="29"/>
      <c r="DY456" s="29"/>
      <c r="DZ456" s="29"/>
      <c r="EA456" s="29"/>
      <c r="EB456" s="29"/>
      <c r="EC456" s="29"/>
      <c r="ED456" s="29"/>
      <c r="EE456" s="29"/>
      <c r="EF456" s="111"/>
      <c r="EG456" s="111"/>
      <c r="EH456" s="111"/>
      <c r="EI456" s="111"/>
      <c r="EJ456" s="111"/>
      <c r="EK456" s="111"/>
      <c r="EL456" s="111"/>
      <c r="EM456" s="111"/>
      <c r="EN456" s="111"/>
      <c r="EO456" s="111"/>
      <c r="EP456" s="111"/>
      <c r="EQ456" s="111"/>
      <c r="ER456" s="111"/>
      <c r="ES456" s="111"/>
    </row>
    <row r="457" spans="35:149">
      <c r="AI457" s="13"/>
      <c r="AJ457" s="13"/>
      <c r="AK457" s="13"/>
      <c r="AL457" s="13"/>
      <c r="AM457" s="13"/>
      <c r="AR457" s="29"/>
      <c r="AS457" s="29"/>
      <c r="AT457" s="29"/>
      <c r="AU457" s="29"/>
      <c r="AV457" s="29"/>
      <c r="AW457" s="29"/>
      <c r="AX457" s="29"/>
      <c r="AY457" s="29"/>
      <c r="AZ457" s="29"/>
      <c r="BA457" s="29"/>
      <c r="BB457" s="29"/>
      <c r="BC457" s="29"/>
      <c r="BD457" s="29"/>
      <c r="BE457" s="29"/>
      <c r="BF457" s="111"/>
      <c r="BG457" s="111"/>
      <c r="BH457" s="111"/>
      <c r="BI457" s="111"/>
      <c r="BJ457" s="111"/>
      <c r="BK457" s="111"/>
      <c r="BL457" s="111"/>
      <c r="BM457" s="111"/>
      <c r="BN457" s="111"/>
      <c r="BO457" s="111"/>
      <c r="BP457" s="111"/>
      <c r="BQ457" s="111"/>
      <c r="BR457" s="111"/>
      <c r="BS457" s="111"/>
      <c r="DI457" s="13"/>
      <c r="DJ457" s="13"/>
      <c r="DK457" s="13"/>
      <c r="DL457" s="13"/>
      <c r="DM457" s="13"/>
      <c r="DR457" s="29"/>
      <c r="DS457" s="29"/>
      <c r="DT457" s="29"/>
      <c r="DU457" s="29"/>
      <c r="DV457" s="29"/>
      <c r="DW457" s="29"/>
      <c r="DX457" s="29"/>
      <c r="DY457" s="29"/>
      <c r="DZ457" s="29"/>
      <c r="EA457" s="29"/>
      <c r="EB457" s="29"/>
      <c r="EC457" s="29"/>
      <c r="ED457" s="29"/>
      <c r="EE457" s="29"/>
      <c r="EF457" s="111"/>
      <c r="EG457" s="111"/>
      <c r="EH457" s="111"/>
      <c r="EI457" s="111"/>
      <c r="EJ457" s="111"/>
      <c r="EK457" s="111"/>
      <c r="EL457" s="111"/>
      <c r="EM457" s="111"/>
      <c r="EN457" s="111"/>
      <c r="EO457" s="111"/>
      <c r="EP457" s="111"/>
      <c r="EQ457" s="111"/>
      <c r="ER457" s="111"/>
      <c r="ES457" s="111"/>
    </row>
    <row r="458" spans="35:149">
      <c r="AI458" s="13"/>
      <c r="AJ458" s="13"/>
      <c r="AK458" s="13"/>
      <c r="AL458" s="13"/>
      <c r="AM458" s="13"/>
      <c r="AR458" s="29"/>
      <c r="AS458" s="29"/>
      <c r="AT458" s="29"/>
      <c r="AU458" s="29"/>
      <c r="AV458" s="29"/>
      <c r="AW458" s="29"/>
      <c r="AX458" s="29"/>
      <c r="AY458" s="29"/>
      <c r="AZ458" s="29"/>
      <c r="BA458" s="29"/>
      <c r="BB458" s="29"/>
      <c r="BC458" s="29"/>
      <c r="BD458" s="29"/>
      <c r="BE458" s="29"/>
      <c r="BF458" s="111"/>
      <c r="BG458" s="111"/>
      <c r="BH458" s="111"/>
      <c r="BI458" s="111"/>
      <c r="BJ458" s="111"/>
      <c r="BK458" s="111"/>
      <c r="BL458" s="111"/>
      <c r="BM458" s="111"/>
      <c r="BN458" s="111"/>
      <c r="BO458" s="111"/>
      <c r="BP458" s="111"/>
      <c r="BQ458" s="111"/>
      <c r="BR458" s="111"/>
      <c r="BS458" s="111"/>
      <c r="DI458" s="13"/>
      <c r="DJ458" s="13"/>
      <c r="DK458" s="13"/>
      <c r="DL458" s="13"/>
      <c r="DM458" s="13"/>
      <c r="DR458" s="29"/>
      <c r="DS458" s="29"/>
      <c r="DT458" s="29"/>
      <c r="DU458" s="29"/>
      <c r="DV458" s="29"/>
      <c r="DW458" s="29"/>
      <c r="DX458" s="29"/>
      <c r="DY458" s="29"/>
      <c r="DZ458" s="29"/>
      <c r="EA458" s="29"/>
      <c r="EB458" s="29"/>
      <c r="EC458" s="29"/>
      <c r="ED458" s="29"/>
      <c r="EE458" s="29"/>
      <c r="EF458" s="111"/>
      <c r="EG458" s="111"/>
      <c r="EH458" s="111"/>
      <c r="EI458" s="111"/>
      <c r="EJ458" s="111"/>
      <c r="EK458" s="111"/>
      <c r="EL458" s="111"/>
      <c r="EM458" s="111"/>
      <c r="EN458" s="111"/>
      <c r="EO458" s="111"/>
      <c r="EP458" s="111"/>
      <c r="EQ458" s="111"/>
      <c r="ER458" s="111"/>
      <c r="ES458" s="111"/>
    </row>
    <row r="459" spans="35:149">
      <c r="AI459" s="13"/>
      <c r="AJ459" s="13"/>
      <c r="AK459" s="13"/>
      <c r="AL459" s="13"/>
      <c r="AM459" s="13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  <c r="BD459" s="29"/>
      <c r="BE459" s="29"/>
      <c r="BF459" s="111"/>
      <c r="BG459" s="111"/>
      <c r="BH459" s="111"/>
      <c r="BI459" s="111"/>
      <c r="BJ459" s="111"/>
      <c r="BK459" s="111"/>
      <c r="BL459" s="111"/>
      <c r="BM459" s="111"/>
      <c r="BN459" s="111"/>
      <c r="BO459" s="111"/>
      <c r="BP459" s="111"/>
      <c r="BQ459" s="111"/>
      <c r="BR459" s="111"/>
      <c r="BS459" s="111"/>
      <c r="DI459" s="13"/>
      <c r="DJ459" s="13"/>
      <c r="DK459" s="13"/>
      <c r="DL459" s="13"/>
      <c r="DM459" s="13"/>
      <c r="DR459" s="29"/>
      <c r="DS459" s="29"/>
      <c r="DT459" s="29"/>
      <c r="DU459" s="29"/>
      <c r="DV459" s="29"/>
      <c r="DW459" s="29"/>
      <c r="DX459" s="29"/>
      <c r="DY459" s="29"/>
      <c r="DZ459" s="29"/>
      <c r="EA459" s="29"/>
      <c r="EB459" s="29"/>
      <c r="EC459" s="29"/>
      <c r="ED459" s="29"/>
      <c r="EE459" s="29"/>
      <c r="EF459" s="111"/>
      <c r="EG459" s="111"/>
      <c r="EH459" s="111"/>
      <c r="EI459" s="111"/>
      <c r="EJ459" s="111"/>
      <c r="EK459" s="111"/>
      <c r="EL459" s="111"/>
      <c r="EM459" s="111"/>
      <c r="EN459" s="111"/>
      <c r="EO459" s="111"/>
      <c r="EP459" s="111"/>
      <c r="EQ459" s="111"/>
      <c r="ER459" s="111"/>
      <c r="ES459" s="111"/>
    </row>
    <row r="460" spans="35:149">
      <c r="AI460" s="13"/>
      <c r="AJ460" s="13"/>
      <c r="AK460" s="13"/>
      <c r="AL460" s="13"/>
      <c r="AM460" s="13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  <c r="BD460" s="29"/>
      <c r="BE460" s="29"/>
      <c r="BF460" s="111"/>
      <c r="BG460" s="111"/>
      <c r="BH460" s="111"/>
      <c r="BI460" s="111"/>
      <c r="BJ460" s="111"/>
      <c r="BK460" s="111"/>
      <c r="BL460" s="111"/>
      <c r="BM460" s="111"/>
      <c r="BN460" s="111"/>
      <c r="BO460" s="111"/>
      <c r="BP460" s="111"/>
      <c r="BQ460" s="111"/>
      <c r="BR460" s="111"/>
      <c r="BS460" s="111"/>
      <c r="DI460" s="13"/>
      <c r="DJ460" s="13"/>
      <c r="DK460" s="13"/>
      <c r="DL460" s="13"/>
      <c r="DM460" s="13"/>
      <c r="DR460" s="29"/>
      <c r="DS460" s="29"/>
      <c r="DT460" s="29"/>
      <c r="DU460" s="29"/>
      <c r="DV460" s="29"/>
      <c r="DW460" s="29"/>
      <c r="DX460" s="29"/>
      <c r="DY460" s="29"/>
      <c r="DZ460" s="29"/>
      <c r="EA460" s="29"/>
      <c r="EB460" s="29"/>
      <c r="EC460" s="29"/>
      <c r="ED460" s="29"/>
      <c r="EE460" s="29"/>
      <c r="EF460" s="111"/>
      <c r="EG460" s="111"/>
      <c r="EH460" s="111"/>
      <c r="EI460" s="111"/>
      <c r="EJ460" s="111"/>
      <c r="EK460" s="111"/>
      <c r="EL460" s="111"/>
      <c r="EM460" s="111"/>
      <c r="EN460" s="111"/>
      <c r="EO460" s="111"/>
      <c r="EP460" s="111"/>
      <c r="EQ460" s="111"/>
      <c r="ER460" s="111"/>
      <c r="ES460" s="111"/>
    </row>
    <row r="461" spans="35:149">
      <c r="AI461" s="13"/>
      <c r="AJ461" s="13"/>
      <c r="AK461" s="13"/>
      <c r="AL461" s="13"/>
      <c r="AM461" s="13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  <c r="BD461" s="29"/>
      <c r="BE461" s="29"/>
      <c r="BF461" s="111"/>
      <c r="BG461" s="111"/>
      <c r="BH461" s="111"/>
      <c r="BI461" s="111"/>
      <c r="BJ461" s="111"/>
      <c r="BK461" s="111"/>
      <c r="BL461" s="111"/>
      <c r="BM461" s="111"/>
      <c r="BN461" s="111"/>
      <c r="BO461" s="111"/>
      <c r="BP461" s="111"/>
      <c r="BQ461" s="111"/>
      <c r="BR461" s="111"/>
      <c r="BS461" s="111"/>
      <c r="DI461" s="13"/>
      <c r="DJ461" s="13"/>
      <c r="DK461" s="13"/>
      <c r="DL461" s="13"/>
      <c r="DM461" s="13"/>
      <c r="DR461" s="29"/>
      <c r="DS461" s="29"/>
      <c r="DT461" s="29"/>
      <c r="DU461" s="29"/>
      <c r="DV461" s="29"/>
      <c r="DW461" s="29"/>
      <c r="DX461" s="29"/>
      <c r="DY461" s="29"/>
      <c r="DZ461" s="29"/>
      <c r="EA461" s="29"/>
      <c r="EB461" s="29"/>
      <c r="EC461" s="29"/>
      <c r="ED461" s="29"/>
      <c r="EE461" s="29"/>
      <c r="EF461" s="111"/>
      <c r="EG461" s="111"/>
      <c r="EH461" s="111"/>
      <c r="EI461" s="111"/>
      <c r="EJ461" s="111"/>
      <c r="EK461" s="111"/>
      <c r="EL461" s="111"/>
      <c r="EM461" s="111"/>
      <c r="EN461" s="111"/>
      <c r="EO461" s="111"/>
      <c r="EP461" s="111"/>
      <c r="EQ461" s="111"/>
      <c r="ER461" s="111"/>
      <c r="ES461" s="111"/>
    </row>
    <row r="462" spans="35:149">
      <c r="AI462" s="13"/>
      <c r="AJ462" s="13"/>
      <c r="AK462" s="13"/>
      <c r="AL462" s="13"/>
      <c r="AM462" s="13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  <c r="BD462" s="29"/>
      <c r="BE462" s="29"/>
      <c r="BF462" s="111"/>
      <c r="BG462" s="111"/>
      <c r="BH462" s="111"/>
      <c r="BI462" s="111"/>
      <c r="BJ462" s="111"/>
      <c r="BK462" s="111"/>
      <c r="BL462" s="111"/>
      <c r="BM462" s="111"/>
      <c r="BN462" s="111"/>
      <c r="BO462" s="111"/>
      <c r="BP462" s="111"/>
      <c r="BQ462" s="111"/>
      <c r="BR462" s="111"/>
      <c r="BS462" s="111"/>
      <c r="DI462" s="13"/>
      <c r="DJ462" s="13"/>
      <c r="DK462" s="13"/>
      <c r="DL462" s="13"/>
      <c r="DM462" s="13"/>
      <c r="DR462" s="29"/>
      <c r="DS462" s="29"/>
      <c r="DT462" s="29"/>
      <c r="DU462" s="29"/>
      <c r="DV462" s="29"/>
      <c r="DW462" s="29"/>
      <c r="DX462" s="29"/>
      <c r="DY462" s="29"/>
      <c r="DZ462" s="29"/>
      <c r="EA462" s="29"/>
      <c r="EB462" s="29"/>
      <c r="EC462" s="29"/>
      <c r="ED462" s="29"/>
      <c r="EE462" s="29"/>
      <c r="EF462" s="111"/>
      <c r="EG462" s="111"/>
      <c r="EH462" s="111"/>
      <c r="EI462" s="111"/>
      <c r="EJ462" s="111"/>
      <c r="EK462" s="111"/>
      <c r="EL462" s="111"/>
      <c r="EM462" s="111"/>
      <c r="EN462" s="111"/>
      <c r="EO462" s="111"/>
      <c r="EP462" s="111"/>
      <c r="EQ462" s="111"/>
      <c r="ER462" s="111"/>
      <c r="ES462" s="111"/>
    </row>
    <row r="463" spans="35:149">
      <c r="AI463" s="13"/>
      <c r="AJ463" s="13"/>
      <c r="AK463" s="13"/>
      <c r="AL463" s="13"/>
      <c r="AM463" s="13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  <c r="BD463" s="29"/>
      <c r="BE463" s="29"/>
      <c r="BF463" s="111"/>
      <c r="BG463" s="111"/>
      <c r="BH463" s="111"/>
      <c r="BI463" s="111"/>
      <c r="BJ463" s="111"/>
      <c r="BK463" s="111"/>
      <c r="BL463" s="111"/>
      <c r="BM463" s="111"/>
      <c r="BN463" s="111"/>
      <c r="BO463" s="111"/>
      <c r="BP463" s="111"/>
      <c r="BQ463" s="111"/>
      <c r="BR463" s="111"/>
      <c r="BS463" s="111"/>
      <c r="DI463" s="13"/>
      <c r="DJ463" s="13"/>
      <c r="DK463" s="13"/>
      <c r="DL463" s="13"/>
      <c r="DM463" s="13"/>
      <c r="DR463" s="29"/>
      <c r="DS463" s="29"/>
      <c r="DT463" s="29"/>
      <c r="DU463" s="29"/>
      <c r="DV463" s="29"/>
      <c r="DW463" s="29"/>
      <c r="DX463" s="29"/>
      <c r="DY463" s="29"/>
      <c r="DZ463" s="29"/>
      <c r="EA463" s="29"/>
      <c r="EB463" s="29"/>
      <c r="EC463" s="29"/>
      <c r="ED463" s="29"/>
      <c r="EE463" s="29"/>
      <c r="EF463" s="111"/>
      <c r="EG463" s="111"/>
      <c r="EH463" s="111"/>
      <c r="EI463" s="111"/>
      <c r="EJ463" s="111"/>
      <c r="EK463" s="111"/>
      <c r="EL463" s="111"/>
      <c r="EM463" s="111"/>
      <c r="EN463" s="111"/>
      <c r="EO463" s="111"/>
      <c r="EP463" s="111"/>
      <c r="EQ463" s="111"/>
      <c r="ER463" s="111"/>
      <c r="ES463" s="111"/>
    </row>
    <row r="464" spans="35:149">
      <c r="AI464" s="13"/>
      <c r="AJ464" s="13"/>
      <c r="AK464" s="13"/>
      <c r="AL464" s="13"/>
      <c r="AM464" s="13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  <c r="BD464" s="29"/>
      <c r="BE464" s="29"/>
      <c r="BF464" s="111"/>
      <c r="BG464" s="111"/>
      <c r="BH464" s="111"/>
      <c r="BI464" s="111"/>
      <c r="BJ464" s="111"/>
      <c r="BK464" s="111"/>
      <c r="BL464" s="111"/>
      <c r="BM464" s="111"/>
      <c r="BN464" s="111"/>
      <c r="BO464" s="111"/>
      <c r="BP464" s="111"/>
      <c r="BQ464" s="111"/>
      <c r="BR464" s="111"/>
      <c r="BS464" s="111"/>
      <c r="DI464" s="13"/>
      <c r="DJ464" s="13"/>
      <c r="DK464" s="13"/>
      <c r="DL464" s="13"/>
      <c r="DM464" s="13"/>
      <c r="DR464" s="29"/>
      <c r="DS464" s="29"/>
      <c r="DT464" s="29"/>
      <c r="DU464" s="29"/>
      <c r="DV464" s="29"/>
      <c r="DW464" s="29"/>
      <c r="DX464" s="29"/>
      <c r="DY464" s="29"/>
      <c r="DZ464" s="29"/>
      <c r="EA464" s="29"/>
      <c r="EB464" s="29"/>
      <c r="EC464" s="29"/>
      <c r="ED464" s="29"/>
      <c r="EE464" s="29"/>
      <c r="EF464" s="111"/>
      <c r="EG464" s="111"/>
      <c r="EH464" s="111"/>
      <c r="EI464" s="111"/>
      <c r="EJ464" s="111"/>
      <c r="EK464" s="111"/>
      <c r="EL464" s="111"/>
      <c r="EM464" s="111"/>
      <c r="EN464" s="111"/>
      <c r="EO464" s="111"/>
      <c r="EP464" s="111"/>
      <c r="EQ464" s="111"/>
      <c r="ER464" s="111"/>
      <c r="ES464" s="111"/>
    </row>
    <row r="465" spans="35:149">
      <c r="AI465" s="13"/>
      <c r="AJ465" s="13"/>
      <c r="AK465" s="13"/>
      <c r="AL465" s="13"/>
      <c r="AM465" s="13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  <c r="BD465" s="29"/>
      <c r="BE465" s="29"/>
      <c r="BF465" s="111"/>
      <c r="BG465" s="111"/>
      <c r="BH465" s="111"/>
      <c r="BI465" s="111"/>
      <c r="BJ465" s="111"/>
      <c r="BK465" s="111"/>
      <c r="BL465" s="111"/>
      <c r="BM465" s="111"/>
      <c r="BN465" s="111"/>
      <c r="BO465" s="111"/>
      <c r="BP465" s="111"/>
      <c r="BQ465" s="111"/>
      <c r="BR465" s="111"/>
      <c r="BS465" s="111"/>
      <c r="DI465" s="13"/>
      <c r="DJ465" s="13"/>
      <c r="DK465" s="13"/>
      <c r="DL465" s="13"/>
      <c r="DM465" s="13"/>
      <c r="DR465" s="29"/>
      <c r="DS465" s="29"/>
      <c r="DT465" s="29"/>
      <c r="DU465" s="29"/>
      <c r="DV465" s="29"/>
      <c r="DW465" s="29"/>
      <c r="DX465" s="29"/>
      <c r="DY465" s="29"/>
      <c r="DZ465" s="29"/>
      <c r="EA465" s="29"/>
      <c r="EB465" s="29"/>
      <c r="EC465" s="29"/>
      <c r="ED465" s="29"/>
      <c r="EE465" s="29"/>
      <c r="EF465" s="111"/>
      <c r="EG465" s="111"/>
      <c r="EH465" s="111"/>
      <c r="EI465" s="111"/>
      <c r="EJ465" s="111"/>
      <c r="EK465" s="111"/>
      <c r="EL465" s="111"/>
      <c r="EM465" s="111"/>
      <c r="EN465" s="111"/>
      <c r="EO465" s="111"/>
      <c r="EP465" s="111"/>
      <c r="EQ465" s="111"/>
      <c r="ER465" s="111"/>
      <c r="ES465" s="111"/>
    </row>
    <row r="466" spans="35:149">
      <c r="AI466" s="13"/>
      <c r="AJ466" s="13"/>
      <c r="AK466" s="13"/>
      <c r="AL466" s="13"/>
      <c r="AM466" s="13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  <c r="BD466" s="29"/>
      <c r="BE466" s="29"/>
      <c r="BF466" s="111"/>
      <c r="BG466" s="111"/>
      <c r="BH466" s="111"/>
      <c r="BI466" s="111"/>
      <c r="BJ466" s="111"/>
      <c r="BK466" s="111"/>
      <c r="BL466" s="111"/>
      <c r="BM466" s="111"/>
      <c r="BN466" s="111"/>
      <c r="BO466" s="111"/>
      <c r="BP466" s="111"/>
      <c r="BQ466" s="111"/>
      <c r="BR466" s="111"/>
      <c r="BS466" s="111"/>
      <c r="DI466" s="13"/>
      <c r="DJ466" s="13"/>
      <c r="DK466" s="13"/>
      <c r="DL466" s="13"/>
      <c r="DM466" s="13"/>
      <c r="DR466" s="29"/>
      <c r="DS466" s="29"/>
      <c r="DT466" s="29"/>
      <c r="DU466" s="29"/>
      <c r="DV466" s="29"/>
      <c r="DW466" s="29"/>
      <c r="DX466" s="29"/>
      <c r="DY466" s="29"/>
      <c r="DZ466" s="29"/>
      <c r="EA466" s="29"/>
      <c r="EB466" s="29"/>
      <c r="EC466" s="29"/>
      <c r="ED466" s="29"/>
      <c r="EE466" s="29"/>
      <c r="EF466" s="111"/>
      <c r="EG466" s="111"/>
      <c r="EH466" s="111"/>
      <c r="EI466" s="111"/>
      <c r="EJ466" s="111"/>
      <c r="EK466" s="111"/>
      <c r="EL466" s="111"/>
      <c r="EM466" s="111"/>
      <c r="EN466" s="111"/>
      <c r="EO466" s="111"/>
      <c r="EP466" s="111"/>
      <c r="EQ466" s="111"/>
      <c r="ER466" s="111"/>
      <c r="ES466" s="111"/>
    </row>
    <row r="467" spans="35:149">
      <c r="AI467" s="13"/>
      <c r="AJ467" s="13"/>
      <c r="AK467" s="13"/>
      <c r="AL467" s="13"/>
      <c r="AM467" s="13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  <c r="BD467" s="29"/>
      <c r="BE467" s="29"/>
      <c r="BF467" s="111"/>
      <c r="BG467" s="111"/>
      <c r="BH467" s="111"/>
      <c r="BI467" s="111"/>
      <c r="BJ467" s="111"/>
      <c r="BK467" s="111"/>
      <c r="BL467" s="111"/>
      <c r="BM467" s="111"/>
      <c r="BN467" s="111"/>
      <c r="BO467" s="111"/>
      <c r="BP467" s="111"/>
      <c r="BQ467" s="111"/>
      <c r="BR467" s="111"/>
      <c r="BS467" s="111"/>
      <c r="DI467" s="13"/>
      <c r="DJ467" s="13"/>
      <c r="DK467" s="13"/>
      <c r="DL467" s="13"/>
      <c r="DM467" s="13"/>
      <c r="DR467" s="29"/>
      <c r="DS467" s="29"/>
      <c r="DT467" s="29"/>
      <c r="DU467" s="29"/>
      <c r="DV467" s="29"/>
      <c r="DW467" s="29"/>
      <c r="DX467" s="29"/>
      <c r="DY467" s="29"/>
      <c r="DZ467" s="29"/>
      <c r="EA467" s="29"/>
      <c r="EB467" s="29"/>
      <c r="EC467" s="29"/>
      <c r="ED467" s="29"/>
      <c r="EE467" s="29"/>
      <c r="EF467" s="111"/>
      <c r="EG467" s="111"/>
      <c r="EH467" s="111"/>
      <c r="EI467" s="111"/>
      <c r="EJ467" s="111"/>
      <c r="EK467" s="111"/>
      <c r="EL467" s="111"/>
      <c r="EM467" s="111"/>
      <c r="EN467" s="111"/>
      <c r="EO467" s="111"/>
      <c r="EP467" s="111"/>
      <c r="EQ467" s="111"/>
      <c r="ER467" s="111"/>
      <c r="ES467" s="111"/>
    </row>
    <row r="468" spans="35:149">
      <c r="AI468" s="13"/>
      <c r="AJ468" s="13"/>
      <c r="AK468" s="13"/>
      <c r="AL468" s="13"/>
      <c r="AM468" s="13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  <c r="BD468" s="29"/>
      <c r="BE468" s="29"/>
      <c r="BF468" s="111"/>
      <c r="BG468" s="111"/>
      <c r="BH468" s="111"/>
      <c r="BI468" s="111"/>
      <c r="BJ468" s="111"/>
      <c r="BK468" s="111"/>
      <c r="BL468" s="111"/>
      <c r="BM468" s="111"/>
      <c r="BN468" s="111"/>
      <c r="BO468" s="111"/>
      <c r="BP468" s="111"/>
      <c r="BQ468" s="111"/>
      <c r="BR468" s="111"/>
      <c r="BS468" s="111"/>
      <c r="DI468" s="13"/>
      <c r="DJ468" s="13"/>
      <c r="DK468" s="13"/>
      <c r="DL468" s="13"/>
      <c r="DM468" s="13"/>
      <c r="DR468" s="29"/>
      <c r="DS468" s="29"/>
      <c r="DT468" s="29"/>
      <c r="DU468" s="29"/>
      <c r="DV468" s="29"/>
      <c r="DW468" s="29"/>
      <c r="DX468" s="29"/>
      <c r="DY468" s="29"/>
      <c r="DZ468" s="29"/>
      <c r="EA468" s="29"/>
      <c r="EB468" s="29"/>
      <c r="EC468" s="29"/>
      <c r="ED468" s="29"/>
      <c r="EE468" s="29"/>
      <c r="EF468" s="111"/>
      <c r="EG468" s="111"/>
      <c r="EH468" s="111"/>
      <c r="EI468" s="111"/>
      <c r="EJ468" s="111"/>
      <c r="EK468" s="111"/>
      <c r="EL468" s="111"/>
      <c r="EM468" s="111"/>
      <c r="EN468" s="111"/>
      <c r="EO468" s="111"/>
      <c r="EP468" s="111"/>
      <c r="EQ468" s="111"/>
      <c r="ER468" s="111"/>
      <c r="ES468" s="111"/>
    </row>
    <row r="469" spans="35:149">
      <c r="AI469" s="13"/>
      <c r="AJ469" s="13"/>
      <c r="AK469" s="13"/>
      <c r="AL469" s="13"/>
      <c r="AM469" s="13"/>
      <c r="AR469" s="29"/>
      <c r="AS469" s="29"/>
      <c r="AT469" s="29"/>
      <c r="AU469" s="29"/>
      <c r="AV469" s="29"/>
      <c r="AW469" s="29"/>
      <c r="AX469" s="29"/>
      <c r="AY469" s="29"/>
      <c r="AZ469" s="29"/>
      <c r="BA469" s="29"/>
      <c r="BB469" s="29"/>
      <c r="BC469" s="29"/>
      <c r="BD469" s="29"/>
      <c r="BE469" s="29"/>
      <c r="BF469" s="111"/>
      <c r="BG469" s="111"/>
      <c r="BH469" s="111"/>
      <c r="BI469" s="111"/>
      <c r="BJ469" s="111"/>
      <c r="BK469" s="111"/>
      <c r="BL469" s="111"/>
      <c r="BM469" s="111"/>
      <c r="BN469" s="111"/>
      <c r="BO469" s="111"/>
      <c r="BP469" s="111"/>
      <c r="BQ469" s="111"/>
      <c r="BR469" s="111"/>
      <c r="BS469" s="111"/>
      <c r="DI469" s="13"/>
      <c r="DJ469" s="13"/>
      <c r="DK469" s="13"/>
      <c r="DL469" s="13"/>
      <c r="DM469" s="13"/>
      <c r="DR469" s="29"/>
      <c r="DS469" s="29"/>
      <c r="DT469" s="29"/>
      <c r="DU469" s="29"/>
      <c r="DV469" s="29"/>
      <c r="DW469" s="29"/>
      <c r="DX469" s="29"/>
      <c r="DY469" s="29"/>
      <c r="DZ469" s="29"/>
      <c r="EA469" s="29"/>
      <c r="EB469" s="29"/>
      <c r="EC469" s="29"/>
      <c r="ED469" s="29"/>
      <c r="EE469" s="29"/>
      <c r="EF469" s="111"/>
      <c r="EG469" s="111"/>
      <c r="EH469" s="111"/>
      <c r="EI469" s="111"/>
      <c r="EJ469" s="111"/>
      <c r="EK469" s="111"/>
      <c r="EL469" s="111"/>
      <c r="EM469" s="111"/>
      <c r="EN469" s="111"/>
      <c r="EO469" s="111"/>
      <c r="EP469" s="111"/>
      <c r="EQ469" s="111"/>
      <c r="ER469" s="111"/>
      <c r="ES469" s="111"/>
    </row>
    <row r="470" spans="35:149">
      <c r="AI470" s="13"/>
      <c r="AJ470" s="13"/>
      <c r="AK470" s="13"/>
      <c r="AL470" s="13"/>
      <c r="AM470" s="13"/>
      <c r="AR470" s="29"/>
      <c r="AS470" s="29"/>
      <c r="AT470" s="29"/>
      <c r="AU470" s="29"/>
      <c r="AV470" s="29"/>
      <c r="AW470" s="29"/>
      <c r="AX470" s="29"/>
      <c r="AY470" s="29"/>
      <c r="AZ470" s="29"/>
      <c r="BA470" s="29"/>
      <c r="BB470" s="29"/>
      <c r="BC470" s="29"/>
      <c r="BD470" s="29"/>
      <c r="BE470" s="29"/>
      <c r="BF470" s="111"/>
      <c r="BG470" s="111"/>
      <c r="BH470" s="111"/>
      <c r="BI470" s="111"/>
      <c r="BJ470" s="111"/>
      <c r="BK470" s="111"/>
      <c r="BL470" s="111"/>
      <c r="BM470" s="111"/>
      <c r="BN470" s="111"/>
      <c r="BO470" s="111"/>
      <c r="BP470" s="111"/>
      <c r="BQ470" s="111"/>
      <c r="BR470" s="111"/>
      <c r="BS470" s="111"/>
      <c r="DI470" s="13"/>
      <c r="DJ470" s="13"/>
      <c r="DK470" s="13"/>
      <c r="DL470" s="13"/>
      <c r="DM470" s="13"/>
      <c r="DR470" s="29"/>
      <c r="DS470" s="29"/>
      <c r="DT470" s="29"/>
      <c r="DU470" s="29"/>
      <c r="DV470" s="29"/>
      <c r="DW470" s="29"/>
      <c r="DX470" s="29"/>
      <c r="DY470" s="29"/>
      <c r="DZ470" s="29"/>
      <c r="EA470" s="29"/>
      <c r="EB470" s="29"/>
      <c r="EC470" s="29"/>
      <c r="ED470" s="29"/>
      <c r="EE470" s="29"/>
      <c r="EF470" s="111"/>
      <c r="EG470" s="111"/>
      <c r="EH470" s="111"/>
      <c r="EI470" s="111"/>
      <c r="EJ470" s="111"/>
      <c r="EK470" s="111"/>
      <c r="EL470" s="111"/>
      <c r="EM470" s="111"/>
      <c r="EN470" s="111"/>
      <c r="EO470" s="111"/>
      <c r="EP470" s="111"/>
      <c r="EQ470" s="111"/>
      <c r="ER470" s="111"/>
      <c r="ES470" s="111"/>
    </row>
    <row r="471" spans="35:149">
      <c r="AI471" s="13"/>
      <c r="AJ471" s="13"/>
      <c r="AK471" s="13"/>
      <c r="AL471" s="13"/>
      <c r="AM471" s="13"/>
      <c r="AR471" s="29"/>
      <c r="AS471" s="29"/>
      <c r="AT471" s="29"/>
      <c r="AU471" s="29"/>
      <c r="AV471" s="29"/>
      <c r="AW471" s="29"/>
      <c r="AX471" s="29"/>
      <c r="AY471" s="29"/>
      <c r="AZ471" s="29"/>
      <c r="BA471" s="29"/>
      <c r="BB471" s="29"/>
      <c r="BC471" s="29"/>
      <c r="BD471" s="29"/>
      <c r="BE471" s="29"/>
      <c r="BF471" s="111"/>
      <c r="BG471" s="111"/>
      <c r="BH471" s="111"/>
      <c r="BI471" s="111"/>
      <c r="BJ471" s="111"/>
      <c r="BK471" s="111"/>
      <c r="BL471" s="111"/>
      <c r="BM471" s="111"/>
      <c r="BN471" s="111"/>
      <c r="BO471" s="111"/>
      <c r="BP471" s="111"/>
      <c r="BQ471" s="111"/>
      <c r="BR471" s="111"/>
      <c r="BS471" s="111"/>
      <c r="DI471" s="13"/>
      <c r="DJ471" s="13"/>
      <c r="DK471" s="13"/>
      <c r="DL471" s="13"/>
      <c r="DM471" s="13"/>
      <c r="DR471" s="29"/>
      <c r="DS471" s="29"/>
      <c r="DT471" s="29"/>
      <c r="DU471" s="29"/>
      <c r="DV471" s="29"/>
      <c r="DW471" s="29"/>
      <c r="DX471" s="29"/>
      <c r="DY471" s="29"/>
      <c r="DZ471" s="29"/>
      <c r="EA471" s="29"/>
      <c r="EB471" s="29"/>
      <c r="EC471" s="29"/>
      <c r="ED471" s="29"/>
      <c r="EE471" s="29"/>
      <c r="EF471" s="111"/>
      <c r="EG471" s="111"/>
      <c r="EH471" s="111"/>
      <c r="EI471" s="111"/>
      <c r="EJ471" s="111"/>
      <c r="EK471" s="111"/>
      <c r="EL471" s="111"/>
      <c r="EM471" s="111"/>
      <c r="EN471" s="111"/>
      <c r="EO471" s="111"/>
      <c r="EP471" s="111"/>
      <c r="EQ471" s="111"/>
      <c r="ER471" s="111"/>
      <c r="ES471" s="111"/>
    </row>
    <row r="472" spans="35:149">
      <c r="AI472" s="13"/>
      <c r="AJ472" s="13"/>
      <c r="AK472" s="13"/>
      <c r="AL472" s="13"/>
      <c r="AM472" s="13"/>
      <c r="AR472" s="29"/>
      <c r="AS472" s="29"/>
      <c r="AT472" s="29"/>
      <c r="AU472" s="29"/>
      <c r="AV472" s="29"/>
      <c r="AW472" s="29"/>
      <c r="AX472" s="29"/>
      <c r="AY472" s="29"/>
      <c r="AZ472" s="29"/>
      <c r="BA472" s="29"/>
      <c r="BB472" s="29"/>
      <c r="BC472" s="29"/>
      <c r="BD472" s="29"/>
      <c r="BE472" s="29"/>
      <c r="BF472" s="111"/>
      <c r="BG472" s="111"/>
      <c r="BH472" s="111"/>
      <c r="BI472" s="111"/>
      <c r="BJ472" s="111"/>
      <c r="BK472" s="111"/>
      <c r="BL472" s="111"/>
      <c r="BM472" s="111"/>
      <c r="BN472" s="111"/>
      <c r="BO472" s="111"/>
      <c r="BP472" s="111"/>
      <c r="BQ472" s="111"/>
      <c r="BR472" s="111"/>
      <c r="BS472" s="111"/>
      <c r="DI472" s="13"/>
      <c r="DJ472" s="13"/>
      <c r="DK472" s="13"/>
      <c r="DL472" s="13"/>
      <c r="DM472" s="13"/>
      <c r="DR472" s="29"/>
      <c r="DS472" s="29"/>
      <c r="DT472" s="29"/>
      <c r="DU472" s="29"/>
      <c r="DV472" s="29"/>
      <c r="DW472" s="29"/>
      <c r="DX472" s="29"/>
      <c r="DY472" s="29"/>
      <c r="DZ472" s="29"/>
      <c r="EA472" s="29"/>
      <c r="EB472" s="29"/>
      <c r="EC472" s="29"/>
      <c r="ED472" s="29"/>
      <c r="EE472" s="29"/>
      <c r="EF472" s="111"/>
      <c r="EG472" s="111"/>
      <c r="EH472" s="111"/>
      <c r="EI472" s="111"/>
      <c r="EJ472" s="111"/>
      <c r="EK472" s="111"/>
      <c r="EL472" s="111"/>
      <c r="EM472" s="111"/>
      <c r="EN472" s="111"/>
      <c r="EO472" s="111"/>
      <c r="EP472" s="111"/>
      <c r="EQ472" s="111"/>
      <c r="ER472" s="111"/>
      <c r="ES472" s="111"/>
    </row>
    <row r="473" spans="35:149">
      <c r="AI473" s="13"/>
      <c r="AJ473" s="13"/>
      <c r="AK473" s="13"/>
      <c r="AL473" s="13"/>
      <c r="AM473" s="13"/>
      <c r="AR473" s="29"/>
      <c r="AS473" s="29"/>
      <c r="AT473" s="29"/>
      <c r="AU473" s="29"/>
      <c r="AV473" s="29"/>
      <c r="AW473" s="29"/>
      <c r="AX473" s="29"/>
      <c r="AY473" s="29"/>
      <c r="AZ473" s="29"/>
      <c r="BA473" s="29"/>
      <c r="BB473" s="29"/>
      <c r="BC473" s="29"/>
      <c r="BD473" s="29"/>
      <c r="BE473" s="29"/>
      <c r="BF473" s="111"/>
      <c r="BG473" s="111"/>
      <c r="BH473" s="111"/>
      <c r="BI473" s="111"/>
      <c r="BJ473" s="111"/>
      <c r="BK473" s="111"/>
      <c r="BL473" s="111"/>
      <c r="BM473" s="111"/>
      <c r="BN473" s="111"/>
      <c r="BO473" s="111"/>
      <c r="BP473" s="111"/>
      <c r="BQ473" s="111"/>
      <c r="BR473" s="111"/>
      <c r="BS473" s="111"/>
      <c r="DI473" s="13"/>
      <c r="DJ473" s="13"/>
      <c r="DK473" s="13"/>
      <c r="DL473" s="13"/>
      <c r="DM473" s="13"/>
      <c r="DR473" s="29"/>
      <c r="DS473" s="29"/>
      <c r="DT473" s="29"/>
      <c r="DU473" s="29"/>
      <c r="DV473" s="29"/>
      <c r="DW473" s="29"/>
      <c r="DX473" s="29"/>
      <c r="DY473" s="29"/>
      <c r="DZ473" s="29"/>
      <c r="EA473" s="29"/>
      <c r="EB473" s="29"/>
      <c r="EC473" s="29"/>
      <c r="ED473" s="29"/>
      <c r="EE473" s="29"/>
      <c r="EF473" s="111"/>
      <c r="EG473" s="111"/>
      <c r="EH473" s="111"/>
      <c r="EI473" s="111"/>
      <c r="EJ473" s="111"/>
      <c r="EK473" s="111"/>
      <c r="EL473" s="111"/>
      <c r="EM473" s="111"/>
      <c r="EN473" s="111"/>
      <c r="EO473" s="111"/>
      <c r="EP473" s="111"/>
      <c r="EQ473" s="111"/>
      <c r="ER473" s="111"/>
      <c r="ES473" s="111"/>
    </row>
    <row r="474" spans="35:149">
      <c r="AI474" s="13"/>
      <c r="AJ474" s="13"/>
      <c r="AK474" s="13"/>
      <c r="AL474" s="13"/>
      <c r="AM474" s="13"/>
      <c r="AR474" s="29"/>
      <c r="AS474" s="29"/>
      <c r="AT474" s="29"/>
      <c r="AU474" s="29"/>
      <c r="AV474" s="29"/>
      <c r="AW474" s="29"/>
      <c r="AX474" s="29"/>
      <c r="AY474" s="29"/>
      <c r="AZ474" s="29"/>
      <c r="BA474" s="29"/>
      <c r="BB474" s="29"/>
      <c r="BC474" s="29"/>
      <c r="BD474" s="29"/>
      <c r="BE474" s="29"/>
      <c r="BF474" s="111"/>
      <c r="BG474" s="111"/>
      <c r="BH474" s="111"/>
      <c r="BI474" s="111"/>
      <c r="BJ474" s="111"/>
      <c r="BK474" s="111"/>
      <c r="BL474" s="111"/>
      <c r="BM474" s="111"/>
      <c r="BN474" s="111"/>
      <c r="BO474" s="111"/>
      <c r="BP474" s="111"/>
      <c r="BQ474" s="111"/>
      <c r="BR474" s="111"/>
      <c r="BS474" s="111"/>
      <c r="DI474" s="13"/>
      <c r="DJ474" s="13"/>
      <c r="DK474" s="13"/>
      <c r="DL474" s="13"/>
      <c r="DM474" s="13"/>
      <c r="DR474" s="29"/>
      <c r="DS474" s="29"/>
      <c r="DT474" s="29"/>
      <c r="DU474" s="29"/>
      <c r="DV474" s="29"/>
      <c r="DW474" s="29"/>
      <c r="DX474" s="29"/>
      <c r="DY474" s="29"/>
      <c r="DZ474" s="29"/>
      <c r="EA474" s="29"/>
      <c r="EB474" s="29"/>
      <c r="EC474" s="29"/>
      <c r="ED474" s="29"/>
      <c r="EE474" s="29"/>
      <c r="EF474" s="111"/>
      <c r="EG474" s="111"/>
      <c r="EH474" s="111"/>
      <c r="EI474" s="111"/>
      <c r="EJ474" s="111"/>
      <c r="EK474" s="111"/>
      <c r="EL474" s="111"/>
      <c r="EM474" s="111"/>
      <c r="EN474" s="111"/>
      <c r="EO474" s="111"/>
      <c r="EP474" s="111"/>
      <c r="EQ474" s="111"/>
      <c r="ER474" s="111"/>
      <c r="ES474" s="111"/>
    </row>
    <row r="475" spans="35:149">
      <c r="AI475" s="13"/>
      <c r="AJ475" s="13"/>
      <c r="AK475" s="13"/>
      <c r="AL475" s="13"/>
      <c r="AM475" s="13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111"/>
      <c r="BG475" s="111"/>
      <c r="BH475" s="111"/>
      <c r="BI475" s="111"/>
      <c r="BJ475" s="111"/>
      <c r="BK475" s="111"/>
      <c r="BL475" s="111"/>
      <c r="BM475" s="111"/>
      <c r="BN475" s="111"/>
      <c r="BO475" s="111"/>
      <c r="BP475" s="111"/>
      <c r="BQ475" s="111"/>
      <c r="BR475" s="111"/>
      <c r="BS475" s="111"/>
      <c r="DI475" s="13"/>
      <c r="DJ475" s="13"/>
      <c r="DK475" s="13"/>
      <c r="DL475" s="13"/>
      <c r="DM475" s="13"/>
      <c r="DR475" s="29"/>
      <c r="DS475" s="29"/>
      <c r="DT475" s="29"/>
      <c r="DU475" s="29"/>
      <c r="DV475" s="29"/>
      <c r="DW475" s="29"/>
      <c r="DX475" s="29"/>
      <c r="DY475" s="29"/>
      <c r="DZ475" s="29"/>
      <c r="EA475" s="29"/>
      <c r="EB475" s="29"/>
      <c r="EC475" s="29"/>
      <c r="ED475" s="29"/>
      <c r="EE475" s="29"/>
      <c r="EF475" s="111"/>
      <c r="EG475" s="111"/>
      <c r="EH475" s="111"/>
      <c r="EI475" s="111"/>
      <c r="EJ475" s="111"/>
      <c r="EK475" s="111"/>
      <c r="EL475" s="111"/>
      <c r="EM475" s="111"/>
      <c r="EN475" s="111"/>
      <c r="EO475" s="111"/>
      <c r="EP475" s="111"/>
      <c r="EQ475" s="111"/>
      <c r="ER475" s="111"/>
      <c r="ES475" s="111"/>
    </row>
    <row r="476" spans="35:149">
      <c r="AI476" s="13"/>
      <c r="AJ476" s="13"/>
      <c r="AK476" s="13"/>
      <c r="AL476" s="13"/>
      <c r="AM476" s="13"/>
      <c r="AR476" s="29"/>
      <c r="AS476" s="29"/>
      <c r="AT476" s="29"/>
      <c r="AU476" s="29"/>
      <c r="AV476" s="29"/>
      <c r="AW476" s="29"/>
      <c r="AX476" s="29"/>
      <c r="AY476" s="29"/>
      <c r="AZ476" s="29"/>
      <c r="BA476" s="29"/>
      <c r="BB476" s="29"/>
      <c r="BC476" s="29"/>
      <c r="BD476" s="29"/>
      <c r="BE476" s="29"/>
      <c r="BF476" s="111"/>
      <c r="BG476" s="111"/>
      <c r="BH476" s="111"/>
      <c r="BI476" s="111"/>
      <c r="BJ476" s="111"/>
      <c r="BK476" s="111"/>
      <c r="BL476" s="111"/>
      <c r="BM476" s="111"/>
      <c r="BN476" s="111"/>
      <c r="BO476" s="111"/>
      <c r="BP476" s="111"/>
      <c r="BQ476" s="111"/>
      <c r="BR476" s="111"/>
      <c r="BS476" s="111"/>
      <c r="DI476" s="13"/>
      <c r="DJ476" s="13"/>
      <c r="DK476" s="13"/>
      <c r="DL476" s="13"/>
      <c r="DM476" s="13"/>
      <c r="DR476" s="29"/>
      <c r="DS476" s="29"/>
      <c r="DT476" s="29"/>
      <c r="DU476" s="29"/>
      <c r="DV476" s="29"/>
      <c r="DW476" s="29"/>
      <c r="DX476" s="29"/>
      <c r="DY476" s="29"/>
      <c r="DZ476" s="29"/>
      <c r="EA476" s="29"/>
      <c r="EB476" s="29"/>
      <c r="EC476" s="29"/>
      <c r="ED476" s="29"/>
      <c r="EE476" s="29"/>
      <c r="EF476" s="111"/>
      <c r="EG476" s="111"/>
      <c r="EH476" s="111"/>
      <c r="EI476" s="111"/>
      <c r="EJ476" s="111"/>
      <c r="EK476" s="111"/>
      <c r="EL476" s="111"/>
      <c r="EM476" s="111"/>
      <c r="EN476" s="111"/>
      <c r="EO476" s="111"/>
      <c r="EP476" s="111"/>
      <c r="EQ476" s="111"/>
      <c r="ER476" s="111"/>
      <c r="ES476" s="111"/>
    </row>
    <row r="477" spans="35:149">
      <c r="AI477" s="13"/>
      <c r="AJ477" s="13"/>
      <c r="AK477" s="13"/>
      <c r="AL477" s="13"/>
      <c r="AM477" s="13"/>
      <c r="AR477" s="29"/>
      <c r="AS477" s="29"/>
      <c r="AT477" s="29"/>
      <c r="AU477" s="29"/>
      <c r="AV477" s="29"/>
      <c r="AW477" s="29"/>
      <c r="AX477" s="29"/>
      <c r="AY477" s="29"/>
      <c r="AZ477" s="29"/>
      <c r="BA477" s="29"/>
      <c r="BB477" s="29"/>
      <c r="BC477" s="29"/>
      <c r="BD477" s="29"/>
      <c r="BE477" s="29"/>
      <c r="BF477" s="111"/>
      <c r="BG477" s="111"/>
      <c r="BH477" s="111"/>
      <c r="BI477" s="111"/>
      <c r="BJ477" s="111"/>
      <c r="BK477" s="111"/>
      <c r="BL477" s="111"/>
      <c r="BM477" s="111"/>
      <c r="BN477" s="111"/>
      <c r="BO477" s="111"/>
      <c r="BP477" s="111"/>
      <c r="BQ477" s="111"/>
      <c r="BR477" s="111"/>
      <c r="BS477" s="111"/>
      <c r="DI477" s="13"/>
      <c r="DJ477" s="13"/>
      <c r="DK477" s="13"/>
      <c r="DL477" s="13"/>
      <c r="DM477" s="13"/>
      <c r="DR477" s="29"/>
      <c r="DS477" s="29"/>
      <c r="DT477" s="29"/>
      <c r="DU477" s="29"/>
      <c r="DV477" s="29"/>
      <c r="DW477" s="29"/>
      <c r="DX477" s="29"/>
      <c r="DY477" s="29"/>
      <c r="DZ477" s="29"/>
      <c r="EA477" s="29"/>
      <c r="EB477" s="29"/>
      <c r="EC477" s="29"/>
      <c r="ED477" s="29"/>
      <c r="EE477" s="29"/>
      <c r="EF477" s="111"/>
      <c r="EG477" s="111"/>
      <c r="EH477" s="111"/>
      <c r="EI477" s="111"/>
      <c r="EJ477" s="111"/>
      <c r="EK477" s="111"/>
      <c r="EL477" s="111"/>
      <c r="EM477" s="111"/>
      <c r="EN477" s="111"/>
      <c r="EO477" s="111"/>
      <c r="EP477" s="111"/>
      <c r="EQ477" s="111"/>
      <c r="ER477" s="111"/>
      <c r="ES477" s="111"/>
    </row>
    <row r="478" spans="35:149">
      <c r="AI478" s="13"/>
      <c r="AJ478" s="13"/>
      <c r="AK478" s="13"/>
      <c r="AL478" s="13"/>
      <c r="AM478" s="13"/>
      <c r="AR478" s="29"/>
      <c r="AS478" s="29"/>
      <c r="AT478" s="29"/>
      <c r="AU478" s="29"/>
      <c r="AV478" s="29"/>
      <c r="AW478" s="29"/>
      <c r="AX478" s="29"/>
      <c r="AY478" s="29"/>
      <c r="AZ478" s="29"/>
      <c r="BA478" s="29"/>
      <c r="BB478" s="29"/>
      <c r="BC478" s="29"/>
      <c r="BD478" s="29"/>
      <c r="BE478" s="29"/>
      <c r="BF478" s="111"/>
      <c r="BG478" s="111"/>
      <c r="BH478" s="111"/>
      <c r="BI478" s="111"/>
      <c r="BJ478" s="111"/>
      <c r="BK478" s="111"/>
      <c r="BL478" s="111"/>
      <c r="BM478" s="111"/>
      <c r="BN478" s="111"/>
      <c r="BO478" s="111"/>
      <c r="BP478" s="111"/>
      <c r="BQ478" s="111"/>
      <c r="BR478" s="111"/>
      <c r="BS478" s="111"/>
      <c r="DI478" s="13"/>
      <c r="DJ478" s="13"/>
      <c r="DK478" s="13"/>
      <c r="DL478" s="13"/>
      <c r="DM478" s="13"/>
      <c r="DR478" s="29"/>
      <c r="DS478" s="29"/>
      <c r="DT478" s="29"/>
      <c r="DU478" s="29"/>
      <c r="DV478" s="29"/>
      <c r="DW478" s="29"/>
      <c r="DX478" s="29"/>
      <c r="DY478" s="29"/>
      <c r="DZ478" s="29"/>
      <c r="EA478" s="29"/>
      <c r="EB478" s="29"/>
      <c r="EC478" s="29"/>
      <c r="ED478" s="29"/>
      <c r="EE478" s="29"/>
      <c r="EF478" s="111"/>
      <c r="EG478" s="111"/>
      <c r="EH478" s="111"/>
      <c r="EI478" s="111"/>
      <c r="EJ478" s="111"/>
      <c r="EK478" s="111"/>
      <c r="EL478" s="111"/>
      <c r="EM478" s="111"/>
      <c r="EN478" s="111"/>
      <c r="EO478" s="111"/>
      <c r="EP478" s="111"/>
      <c r="EQ478" s="111"/>
      <c r="ER478" s="111"/>
      <c r="ES478" s="111"/>
    </row>
    <row r="479" spans="35:149">
      <c r="AR479" s="29"/>
      <c r="AS479" s="29"/>
      <c r="AT479" s="29"/>
      <c r="AU479" s="29"/>
      <c r="AV479" s="29"/>
      <c r="AW479" s="29"/>
      <c r="AX479" s="29"/>
      <c r="AY479" s="29"/>
      <c r="AZ479" s="29"/>
      <c r="BA479" s="29"/>
      <c r="BB479" s="29"/>
      <c r="BC479" s="29"/>
      <c r="BD479" s="29"/>
      <c r="BE479" s="29"/>
      <c r="BF479" s="111"/>
      <c r="BG479" s="111"/>
      <c r="BH479" s="111"/>
      <c r="BI479" s="111"/>
      <c r="BJ479" s="111"/>
      <c r="BK479" s="111"/>
      <c r="BL479" s="111"/>
      <c r="BM479" s="111"/>
      <c r="BN479" s="111"/>
      <c r="BO479" s="111"/>
      <c r="BP479" s="111"/>
      <c r="BQ479" s="111"/>
      <c r="BR479" s="111"/>
      <c r="BS479" s="111"/>
      <c r="DR479" s="29"/>
      <c r="DS479" s="29"/>
      <c r="DT479" s="29"/>
      <c r="DU479" s="29"/>
      <c r="DV479" s="29"/>
      <c r="DW479" s="29"/>
      <c r="DX479" s="29"/>
      <c r="DY479" s="29"/>
      <c r="DZ479" s="29"/>
      <c r="EA479" s="29"/>
      <c r="EB479" s="29"/>
      <c r="EC479" s="29"/>
      <c r="ED479" s="29"/>
      <c r="EE479" s="29"/>
      <c r="EF479" s="111"/>
      <c r="EG479" s="111"/>
      <c r="EH479" s="111"/>
      <c r="EI479" s="111"/>
      <c r="EJ479" s="111"/>
      <c r="EK479" s="111"/>
      <c r="EL479" s="111"/>
      <c r="EM479" s="111"/>
      <c r="EN479" s="111"/>
      <c r="EO479" s="111"/>
      <c r="EP479" s="111"/>
      <c r="EQ479" s="111"/>
      <c r="ER479" s="111"/>
      <c r="ES479" s="111"/>
    </row>
    <row r="480" spans="35:149">
      <c r="AR480" s="29"/>
      <c r="AS480" s="29"/>
      <c r="AT480" s="29"/>
      <c r="AU480" s="29"/>
      <c r="AV480" s="29"/>
      <c r="AW480" s="29"/>
      <c r="AX480" s="29"/>
      <c r="AY480" s="29"/>
      <c r="AZ480" s="29"/>
      <c r="BA480" s="29"/>
      <c r="BB480" s="29"/>
      <c r="BC480" s="29"/>
      <c r="BD480" s="29"/>
      <c r="BE480" s="29"/>
      <c r="BF480" s="111"/>
      <c r="BG480" s="111"/>
      <c r="BH480" s="111"/>
      <c r="BI480" s="111"/>
      <c r="BJ480" s="111"/>
      <c r="BK480" s="111"/>
      <c r="BL480" s="111"/>
      <c r="BM480" s="111"/>
      <c r="BN480" s="111"/>
      <c r="BO480" s="111"/>
      <c r="BP480" s="111"/>
      <c r="BQ480" s="111"/>
      <c r="BR480" s="111"/>
      <c r="BS480" s="111"/>
      <c r="DR480" s="29"/>
      <c r="DS480" s="29"/>
      <c r="DT480" s="29"/>
      <c r="DU480" s="29"/>
      <c r="DV480" s="29"/>
      <c r="DW480" s="29"/>
      <c r="DX480" s="29"/>
      <c r="DY480" s="29"/>
      <c r="DZ480" s="29"/>
      <c r="EA480" s="29"/>
      <c r="EB480" s="29"/>
      <c r="EC480" s="29"/>
      <c r="ED480" s="29"/>
      <c r="EE480" s="29"/>
      <c r="EF480" s="111"/>
      <c r="EG480" s="111"/>
      <c r="EH480" s="111"/>
      <c r="EI480" s="111"/>
      <c r="EJ480" s="111"/>
      <c r="EK480" s="111"/>
      <c r="EL480" s="111"/>
      <c r="EM480" s="111"/>
      <c r="EN480" s="111"/>
      <c r="EO480" s="111"/>
      <c r="EP480" s="111"/>
      <c r="EQ480" s="111"/>
      <c r="ER480" s="111"/>
      <c r="ES480" s="111"/>
    </row>
    <row r="481" spans="44:149">
      <c r="AR481" s="29"/>
      <c r="AS481" s="29"/>
      <c r="AT481" s="29"/>
      <c r="AU481" s="29"/>
      <c r="AV481" s="29"/>
      <c r="AW481" s="29"/>
      <c r="AX481" s="29"/>
      <c r="AY481" s="29"/>
      <c r="AZ481" s="29"/>
      <c r="BA481" s="29"/>
      <c r="BB481" s="29"/>
      <c r="BC481" s="29"/>
      <c r="BD481" s="29"/>
      <c r="BE481" s="29"/>
      <c r="BF481" s="111"/>
      <c r="BG481" s="111"/>
      <c r="BH481" s="111"/>
      <c r="BI481" s="111"/>
      <c r="BJ481" s="111"/>
      <c r="BK481" s="111"/>
      <c r="BL481" s="111"/>
      <c r="BM481" s="111"/>
      <c r="BN481" s="111"/>
      <c r="BO481" s="111"/>
      <c r="BP481" s="111"/>
      <c r="BQ481" s="111"/>
      <c r="BR481" s="111"/>
      <c r="BS481" s="111"/>
      <c r="DR481" s="29"/>
      <c r="DS481" s="29"/>
      <c r="DT481" s="29"/>
      <c r="DU481" s="29"/>
      <c r="DV481" s="29"/>
      <c r="DW481" s="29"/>
      <c r="DX481" s="29"/>
      <c r="DY481" s="29"/>
      <c r="DZ481" s="29"/>
      <c r="EA481" s="29"/>
      <c r="EB481" s="29"/>
      <c r="EC481" s="29"/>
      <c r="ED481" s="29"/>
      <c r="EE481" s="29"/>
      <c r="EF481" s="111"/>
      <c r="EG481" s="111"/>
      <c r="EH481" s="111"/>
      <c r="EI481" s="111"/>
      <c r="EJ481" s="111"/>
      <c r="EK481" s="111"/>
      <c r="EL481" s="111"/>
      <c r="EM481" s="111"/>
      <c r="EN481" s="111"/>
      <c r="EO481" s="111"/>
      <c r="EP481" s="111"/>
      <c r="EQ481" s="111"/>
      <c r="ER481" s="111"/>
      <c r="ES481" s="111"/>
    </row>
    <row r="482" spans="44:149">
      <c r="AR482" s="29"/>
      <c r="AS482" s="29"/>
      <c r="AT482" s="29"/>
      <c r="AU482" s="29"/>
      <c r="AV482" s="29"/>
      <c r="AW482" s="29"/>
      <c r="AX482" s="29"/>
      <c r="AY482" s="29"/>
      <c r="AZ482" s="29"/>
      <c r="BA482" s="29"/>
      <c r="BB482" s="29"/>
      <c r="BC482" s="29"/>
      <c r="BD482" s="29"/>
      <c r="BE482" s="29"/>
      <c r="BF482" s="111"/>
      <c r="BG482" s="111"/>
      <c r="BH482" s="111"/>
      <c r="BI482" s="111"/>
      <c r="BJ482" s="111"/>
      <c r="BK482" s="111"/>
      <c r="BL482" s="111"/>
      <c r="BM482" s="111"/>
      <c r="BN482" s="111"/>
      <c r="BO482" s="111"/>
      <c r="BP482" s="111"/>
      <c r="BQ482" s="111"/>
      <c r="BR482" s="111"/>
      <c r="BS482" s="111"/>
      <c r="DR482" s="29"/>
      <c r="DS482" s="29"/>
      <c r="DT482" s="29"/>
      <c r="DU482" s="29"/>
      <c r="DV482" s="29"/>
      <c r="DW482" s="29"/>
      <c r="DX482" s="29"/>
      <c r="DY482" s="29"/>
      <c r="DZ482" s="29"/>
      <c r="EA482" s="29"/>
      <c r="EB482" s="29"/>
      <c r="EC482" s="29"/>
      <c r="ED482" s="29"/>
      <c r="EE482" s="29"/>
      <c r="EF482" s="111"/>
      <c r="EG482" s="111"/>
      <c r="EH482" s="111"/>
      <c r="EI482" s="111"/>
      <c r="EJ482" s="111"/>
      <c r="EK482" s="111"/>
      <c r="EL482" s="111"/>
      <c r="EM482" s="111"/>
      <c r="EN482" s="111"/>
      <c r="EO482" s="111"/>
      <c r="EP482" s="111"/>
      <c r="EQ482" s="111"/>
      <c r="ER482" s="111"/>
      <c r="ES482" s="111"/>
    </row>
    <row r="483" spans="44:149">
      <c r="AR483" s="29"/>
      <c r="AS483" s="29"/>
      <c r="AT483" s="29"/>
      <c r="AU483" s="29"/>
      <c r="AV483" s="29"/>
      <c r="AW483" s="29"/>
      <c r="AX483" s="29"/>
      <c r="AY483" s="29"/>
      <c r="AZ483" s="29"/>
      <c r="BA483" s="29"/>
      <c r="BB483" s="29"/>
      <c r="BC483" s="29"/>
      <c r="BD483" s="29"/>
      <c r="BE483" s="29"/>
      <c r="BF483" s="111"/>
      <c r="BG483" s="111"/>
      <c r="BH483" s="111"/>
      <c r="BI483" s="111"/>
      <c r="BJ483" s="111"/>
      <c r="BK483" s="111"/>
      <c r="BL483" s="111"/>
      <c r="BM483" s="111"/>
      <c r="BN483" s="111"/>
      <c r="BO483" s="111"/>
      <c r="BP483" s="111"/>
      <c r="BQ483" s="111"/>
      <c r="BR483" s="111"/>
      <c r="BS483" s="111"/>
      <c r="DR483" s="29"/>
      <c r="DS483" s="29"/>
      <c r="DT483" s="29"/>
      <c r="DU483" s="29"/>
      <c r="DV483" s="29"/>
      <c r="DW483" s="29"/>
      <c r="DX483" s="29"/>
      <c r="DY483" s="29"/>
      <c r="DZ483" s="29"/>
      <c r="EA483" s="29"/>
      <c r="EB483" s="29"/>
      <c r="EC483" s="29"/>
      <c r="ED483" s="29"/>
      <c r="EE483" s="29"/>
      <c r="EF483" s="111"/>
      <c r="EG483" s="111"/>
      <c r="EH483" s="111"/>
      <c r="EI483" s="111"/>
      <c r="EJ483" s="111"/>
      <c r="EK483" s="111"/>
      <c r="EL483" s="111"/>
      <c r="EM483" s="111"/>
      <c r="EN483" s="111"/>
      <c r="EO483" s="111"/>
      <c r="EP483" s="111"/>
      <c r="EQ483" s="111"/>
      <c r="ER483" s="111"/>
      <c r="ES483" s="111"/>
    </row>
    <row r="484" spans="44:149">
      <c r="AR484" s="29"/>
      <c r="AS484" s="29"/>
      <c r="AT484" s="29"/>
      <c r="AU484" s="29"/>
      <c r="AV484" s="29"/>
      <c r="AW484" s="29"/>
      <c r="AX484" s="29"/>
      <c r="AY484" s="29"/>
      <c r="AZ484" s="29"/>
      <c r="BA484" s="29"/>
      <c r="BB484" s="29"/>
      <c r="BC484" s="29"/>
      <c r="BD484" s="29"/>
      <c r="BE484" s="29"/>
      <c r="BF484" s="111"/>
      <c r="BG484" s="111"/>
      <c r="BH484" s="111"/>
      <c r="BI484" s="111"/>
      <c r="BJ484" s="111"/>
      <c r="BK484" s="111"/>
      <c r="BL484" s="111"/>
      <c r="BM484" s="111"/>
      <c r="BN484" s="111"/>
      <c r="BO484" s="111"/>
      <c r="BP484" s="111"/>
      <c r="BQ484" s="111"/>
      <c r="BR484" s="111"/>
      <c r="BS484" s="111"/>
      <c r="DR484" s="29"/>
      <c r="DS484" s="29"/>
      <c r="DT484" s="29"/>
      <c r="DU484" s="29"/>
      <c r="DV484" s="29"/>
      <c r="DW484" s="29"/>
      <c r="DX484" s="29"/>
      <c r="DY484" s="29"/>
      <c r="DZ484" s="29"/>
      <c r="EA484" s="29"/>
      <c r="EB484" s="29"/>
      <c r="EC484" s="29"/>
      <c r="ED484" s="29"/>
      <c r="EE484" s="29"/>
      <c r="EF484" s="111"/>
      <c r="EG484" s="111"/>
      <c r="EH484" s="111"/>
      <c r="EI484" s="111"/>
      <c r="EJ484" s="111"/>
      <c r="EK484" s="111"/>
      <c r="EL484" s="111"/>
      <c r="EM484" s="111"/>
      <c r="EN484" s="111"/>
      <c r="EO484" s="111"/>
      <c r="EP484" s="111"/>
      <c r="EQ484" s="111"/>
      <c r="ER484" s="111"/>
      <c r="ES484" s="111"/>
    </row>
    <row r="485" spans="44:149">
      <c r="AR485" s="29"/>
      <c r="AS485" s="29"/>
      <c r="AT485" s="29"/>
      <c r="AU485" s="29"/>
      <c r="AV485" s="29"/>
      <c r="AW485" s="29"/>
      <c r="AX485" s="29"/>
      <c r="AY485" s="29"/>
      <c r="AZ485" s="29"/>
      <c r="BA485" s="29"/>
      <c r="BB485" s="29"/>
      <c r="BC485" s="29"/>
      <c r="BD485" s="29"/>
      <c r="BE485" s="29"/>
      <c r="BF485" s="111"/>
      <c r="BG485" s="111"/>
      <c r="BH485" s="111"/>
      <c r="BI485" s="111"/>
      <c r="BJ485" s="111"/>
      <c r="BK485" s="111"/>
      <c r="BL485" s="111"/>
      <c r="BM485" s="111"/>
      <c r="BN485" s="111"/>
      <c r="BO485" s="111"/>
      <c r="BP485" s="111"/>
      <c r="BQ485" s="111"/>
      <c r="BR485" s="111"/>
      <c r="BS485" s="111"/>
      <c r="DR485" s="29"/>
      <c r="DS485" s="29"/>
      <c r="DT485" s="29"/>
      <c r="DU485" s="29"/>
      <c r="DV485" s="29"/>
      <c r="DW485" s="29"/>
      <c r="DX485" s="29"/>
      <c r="DY485" s="29"/>
      <c r="DZ485" s="29"/>
      <c r="EA485" s="29"/>
      <c r="EB485" s="29"/>
      <c r="EC485" s="29"/>
      <c r="ED485" s="29"/>
      <c r="EE485" s="29"/>
      <c r="EF485" s="111"/>
      <c r="EG485" s="111"/>
      <c r="EH485" s="111"/>
      <c r="EI485" s="111"/>
      <c r="EJ485" s="111"/>
      <c r="EK485" s="111"/>
      <c r="EL485" s="111"/>
      <c r="EM485" s="111"/>
      <c r="EN485" s="111"/>
      <c r="EO485" s="111"/>
      <c r="EP485" s="111"/>
      <c r="EQ485" s="111"/>
      <c r="ER485" s="111"/>
      <c r="ES485" s="111"/>
    </row>
    <row r="486" spans="44:149">
      <c r="AR486" s="29"/>
      <c r="AS486" s="29"/>
      <c r="AT486" s="29"/>
      <c r="AU486" s="29"/>
      <c r="AV486" s="29"/>
      <c r="AW486" s="29"/>
      <c r="AX486" s="29"/>
      <c r="AY486" s="29"/>
      <c r="AZ486" s="29"/>
      <c r="BA486" s="29"/>
      <c r="BB486" s="29"/>
      <c r="BC486" s="29"/>
      <c r="BD486" s="29"/>
      <c r="BE486" s="29"/>
      <c r="BF486" s="111"/>
      <c r="BG486" s="111"/>
      <c r="BH486" s="111"/>
      <c r="BI486" s="111"/>
      <c r="BJ486" s="111"/>
      <c r="BK486" s="111"/>
      <c r="BL486" s="111"/>
      <c r="BM486" s="111"/>
      <c r="BN486" s="111"/>
      <c r="BO486" s="111"/>
      <c r="BP486" s="111"/>
      <c r="BQ486" s="111"/>
      <c r="BR486" s="111"/>
      <c r="BS486" s="111"/>
      <c r="DR486" s="29"/>
      <c r="DS486" s="29"/>
      <c r="DT486" s="29"/>
      <c r="DU486" s="29"/>
      <c r="DV486" s="29"/>
      <c r="DW486" s="29"/>
      <c r="DX486" s="29"/>
      <c r="DY486" s="29"/>
      <c r="DZ486" s="29"/>
      <c r="EA486" s="29"/>
      <c r="EB486" s="29"/>
      <c r="EC486" s="29"/>
      <c r="ED486" s="29"/>
      <c r="EE486" s="29"/>
      <c r="EF486" s="111"/>
      <c r="EG486" s="111"/>
      <c r="EH486" s="111"/>
      <c r="EI486" s="111"/>
      <c r="EJ486" s="111"/>
      <c r="EK486" s="111"/>
      <c r="EL486" s="111"/>
      <c r="EM486" s="111"/>
      <c r="EN486" s="111"/>
      <c r="EO486" s="111"/>
      <c r="EP486" s="111"/>
      <c r="EQ486" s="111"/>
      <c r="ER486" s="111"/>
      <c r="ES486" s="111"/>
    </row>
    <row r="487" spans="44:149">
      <c r="AR487" s="29"/>
      <c r="AS487" s="29"/>
      <c r="AT487" s="29"/>
      <c r="AU487" s="29"/>
      <c r="AV487" s="29"/>
      <c r="AW487" s="29"/>
      <c r="AX487" s="29"/>
      <c r="AY487" s="29"/>
      <c r="AZ487" s="29"/>
      <c r="BA487" s="29"/>
      <c r="BB487" s="29"/>
      <c r="BC487" s="29"/>
      <c r="BD487" s="29"/>
      <c r="BE487" s="29"/>
      <c r="BF487" s="111"/>
      <c r="BG487" s="111"/>
      <c r="BH487" s="111"/>
      <c r="BI487" s="111"/>
      <c r="BJ487" s="111"/>
      <c r="BK487" s="111"/>
      <c r="BL487" s="111"/>
      <c r="BM487" s="111"/>
      <c r="BN487" s="111"/>
      <c r="BO487" s="111"/>
      <c r="BP487" s="111"/>
      <c r="BQ487" s="111"/>
      <c r="BR487" s="111"/>
      <c r="BS487" s="111"/>
      <c r="DR487" s="29"/>
      <c r="DS487" s="29"/>
      <c r="DT487" s="29"/>
      <c r="DU487" s="29"/>
      <c r="DV487" s="29"/>
      <c r="DW487" s="29"/>
      <c r="DX487" s="29"/>
      <c r="DY487" s="29"/>
      <c r="DZ487" s="29"/>
      <c r="EA487" s="29"/>
      <c r="EB487" s="29"/>
      <c r="EC487" s="29"/>
      <c r="ED487" s="29"/>
      <c r="EE487" s="29"/>
      <c r="EF487" s="111"/>
      <c r="EG487" s="111"/>
      <c r="EH487" s="111"/>
      <c r="EI487" s="111"/>
      <c r="EJ487" s="111"/>
      <c r="EK487" s="111"/>
      <c r="EL487" s="111"/>
      <c r="EM487" s="111"/>
      <c r="EN487" s="111"/>
      <c r="EO487" s="111"/>
      <c r="EP487" s="111"/>
      <c r="EQ487" s="111"/>
      <c r="ER487" s="111"/>
      <c r="ES487" s="111"/>
    </row>
    <row r="488" spans="44:149">
      <c r="AR488" s="29"/>
      <c r="AS488" s="29"/>
      <c r="AT488" s="29"/>
      <c r="AU488" s="29"/>
      <c r="AV488" s="29"/>
      <c r="AW488" s="29"/>
      <c r="AX488" s="29"/>
      <c r="AY488" s="29"/>
      <c r="AZ488" s="29"/>
      <c r="BA488" s="29"/>
      <c r="BB488" s="29"/>
      <c r="BC488" s="29"/>
      <c r="BD488" s="29"/>
      <c r="BE488" s="29"/>
      <c r="BF488" s="111"/>
      <c r="BG488" s="111"/>
      <c r="BH488" s="111"/>
      <c r="BI488" s="111"/>
      <c r="BJ488" s="111"/>
      <c r="BK488" s="111"/>
      <c r="BL488" s="111"/>
      <c r="BM488" s="111"/>
      <c r="BN488" s="111"/>
      <c r="BO488" s="111"/>
      <c r="BP488" s="111"/>
      <c r="BQ488" s="111"/>
      <c r="BR488" s="111"/>
      <c r="BS488" s="111"/>
      <c r="DR488" s="29"/>
      <c r="DS488" s="29"/>
      <c r="DT488" s="29"/>
      <c r="DU488" s="29"/>
      <c r="DV488" s="29"/>
      <c r="DW488" s="29"/>
      <c r="DX488" s="29"/>
      <c r="DY488" s="29"/>
      <c r="DZ488" s="29"/>
      <c r="EA488" s="29"/>
      <c r="EB488" s="29"/>
      <c r="EC488" s="29"/>
      <c r="ED488" s="29"/>
      <c r="EE488" s="29"/>
      <c r="EF488" s="111"/>
      <c r="EG488" s="111"/>
      <c r="EH488" s="111"/>
      <c r="EI488" s="111"/>
      <c r="EJ488" s="111"/>
      <c r="EK488" s="111"/>
      <c r="EL488" s="111"/>
      <c r="EM488" s="111"/>
      <c r="EN488" s="111"/>
      <c r="EO488" s="111"/>
      <c r="EP488" s="111"/>
      <c r="EQ488" s="111"/>
      <c r="ER488" s="111"/>
      <c r="ES488" s="111"/>
    </row>
    <row r="489" spans="44:149">
      <c r="AR489" s="29"/>
      <c r="AS489" s="29"/>
      <c r="AT489" s="29"/>
      <c r="AU489" s="29"/>
      <c r="AV489" s="29"/>
      <c r="AW489" s="29"/>
      <c r="AX489" s="29"/>
      <c r="AY489" s="29"/>
      <c r="AZ489" s="29"/>
      <c r="BA489" s="29"/>
      <c r="BB489" s="29"/>
      <c r="BC489" s="29"/>
      <c r="BD489" s="29"/>
      <c r="BE489" s="29"/>
      <c r="BF489" s="111"/>
      <c r="BG489" s="111"/>
      <c r="BH489" s="111"/>
      <c r="BI489" s="111"/>
      <c r="BJ489" s="111"/>
      <c r="BK489" s="111"/>
      <c r="BL489" s="111"/>
      <c r="BM489" s="111"/>
      <c r="BN489" s="111"/>
      <c r="BO489" s="111"/>
      <c r="BP489" s="111"/>
      <c r="BQ489" s="111"/>
      <c r="BR489" s="111"/>
      <c r="BS489" s="111"/>
      <c r="DR489" s="29"/>
      <c r="DS489" s="29"/>
      <c r="DT489" s="29"/>
      <c r="DU489" s="29"/>
      <c r="DV489" s="29"/>
      <c r="DW489" s="29"/>
      <c r="DX489" s="29"/>
      <c r="DY489" s="29"/>
      <c r="DZ489" s="29"/>
      <c r="EA489" s="29"/>
      <c r="EB489" s="29"/>
      <c r="EC489" s="29"/>
      <c r="ED489" s="29"/>
      <c r="EE489" s="29"/>
      <c r="EF489" s="111"/>
      <c r="EG489" s="111"/>
      <c r="EH489" s="111"/>
      <c r="EI489" s="111"/>
      <c r="EJ489" s="111"/>
      <c r="EK489" s="111"/>
      <c r="EL489" s="111"/>
      <c r="EM489" s="111"/>
      <c r="EN489" s="111"/>
      <c r="EO489" s="111"/>
      <c r="EP489" s="111"/>
      <c r="EQ489" s="111"/>
      <c r="ER489" s="111"/>
      <c r="ES489" s="111"/>
    </row>
    <row r="490" spans="44:149">
      <c r="AR490" s="29"/>
      <c r="AS490" s="29"/>
      <c r="AT490" s="29"/>
      <c r="AU490" s="29"/>
      <c r="AV490" s="29"/>
      <c r="AW490" s="29"/>
      <c r="AX490" s="29"/>
      <c r="AY490" s="29"/>
      <c r="AZ490" s="29"/>
      <c r="BA490" s="29"/>
      <c r="BB490" s="29"/>
      <c r="BC490" s="29"/>
      <c r="BD490" s="29"/>
      <c r="BE490" s="29"/>
      <c r="BF490" s="111"/>
      <c r="BG490" s="111"/>
      <c r="BH490" s="111"/>
      <c r="BI490" s="111"/>
      <c r="BJ490" s="111"/>
      <c r="BK490" s="111"/>
      <c r="BL490" s="111"/>
      <c r="BM490" s="111"/>
      <c r="BN490" s="111"/>
      <c r="BO490" s="111"/>
      <c r="BP490" s="111"/>
      <c r="BQ490" s="111"/>
      <c r="BR490" s="111"/>
      <c r="BS490" s="111"/>
      <c r="DR490" s="29"/>
      <c r="DS490" s="29"/>
      <c r="DT490" s="29"/>
      <c r="DU490" s="29"/>
      <c r="DV490" s="29"/>
      <c r="DW490" s="29"/>
      <c r="DX490" s="29"/>
      <c r="DY490" s="29"/>
      <c r="DZ490" s="29"/>
      <c r="EA490" s="29"/>
      <c r="EB490" s="29"/>
      <c r="EC490" s="29"/>
      <c r="ED490" s="29"/>
      <c r="EE490" s="29"/>
      <c r="EF490" s="111"/>
      <c r="EG490" s="111"/>
      <c r="EH490" s="111"/>
      <c r="EI490" s="111"/>
      <c r="EJ490" s="111"/>
      <c r="EK490" s="111"/>
      <c r="EL490" s="111"/>
      <c r="EM490" s="111"/>
      <c r="EN490" s="111"/>
      <c r="EO490" s="111"/>
      <c r="EP490" s="111"/>
      <c r="EQ490" s="111"/>
      <c r="ER490" s="111"/>
      <c r="ES490" s="111"/>
    </row>
    <row r="491" spans="44:149">
      <c r="AR491" s="29"/>
      <c r="AS491" s="29"/>
      <c r="AT491" s="29"/>
      <c r="AU491" s="29"/>
      <c r="AV491" s="29"/>
      <c r="AW491" s="29"/>
      <c r="AX491" s="29"/>
      <c r="AY491" s="29"/>
      <c r="AZ491" s="29"/>
      <c r="BA491" s="29"/>
      <c r="BB491" s="29"/>
      <c r="BC491" s="29"/>
      <c r="BD491" s="29"/>
      <c r="BE491" s="29"/>
      <c r="BF491" s="111"/>
      <c r="BG491" s="111"/>
      <c r="BH491" s="111"/>
      <c r="BI491" s="111"/>
      <c r="BJ491" s="111"/>
      <c r="BK491" s="111"/>
      <c r="BL491" s="111"/>
      <c r="BM491" s="111"/>
      <c r="BN491" s="111"/>
      <c r="BO491" s="111"/>
      <c r="BP491" s="111"/>
      <c r="BQ491" s="111"/>
      <c r="BR491" s="111"/>
      <c r="BS491" s="111"/>
      <c r="DR491" s="29"/>
      <c r="DS491" s="29"/>
      <c r="DT491" s="29"/>
      <c r="DU491" s="29"/>
      <c r="DV491" s="29"/>
      <c r="DW491" s="29"/>
      <c r="DX491" s="29"/>
      <c r="DY491" s="29"/>
      <c r="DZ491" s="29"/>
      <c r="EA491" s="29"/>
      <c r="EB491" s="29"/>
      <c r="EC491" s="29"/>
      <c r="ED491" s="29"/>
      <c r="EE491" s="29"/>
      <c r="EF491" s="111"/>
      <c r="EG491" s="111"/>
      <c r="EH491" s="111"/>
      <c r="EI491" s="111"/>
      <c r="EJ491" s="111"/>
      <c r="EK491" s="111"/>
      <c r="EL491" s="111"/>
      <c r="EM491" s="111"/>
      <c r="EN491" s="111"/>
      <c r="EO491" s="111"/>
      <c r="EP491" s="111"/>
      <c r="EQ491" s="111"/>
      <c r="ER491" s="111"/>
      <c r="ES491" s="111"/>
    </row>
    <row r="492" spans="44:149">
      <c r="AR492" s="29"/>
      <c r="AS492" s="29"/>
      <c r="AT492" s="29"/>
      <c r="AU492" s="29"/>
      <c r="AV492" s="29"/>
      <c r="AW492" s="29"/>
      <c r="AX492" s="29"/>
      <c r="AY492" s="29"/>
      <c r="AZ492" s="29"/>
      <c r="BA492" s="29"/>
      <c r="BB492" s="29"/>
      <c r="BC492" s="29"/>
      <c r="BD492" s="29"/>
      <c r="BE492" s="29"/>
      <c r="BF492" s="111"/>
      <c r="BG492" s="111"/>
      <c r="BH492" s="111"/>
      <c r="BI492" s="111"/>
      <c r="BJ492" s="111"/>
      <c r="BK492" s="111"/>
      <c r="BL492" s="111"/>
      <c r="BM492" s="111"/>
      <c r="BN492" s="111"/>
      <c r="BO492" s="111"/>
      <c r="BP492" s="111"/>
      <c r="BQ492" s="111"/>
      <c r="BR492" s="111"/>
      <c r="BS492" s="111"/>
      <c r="DR492" s="29"/>
      <c r="DS492" s="29"/>
      <c r="DT492" s="29"/>
      <c r="DU492" s="29"/>
      <c r="DV492" s="29"/>
      <c r="DW492" s="29"/>
      <c r="DX492" s="29"/>
      <c r="DY492" s="29"/>
      <c r="DZ492" s="29"/>
      <c r="EA492" s="29"/>
      <c r="EB492" s="29"/>
      <c r="EC492" s="29"/>
      <c r="ED492" s="29"/>
      <c r="EE492" s="29"/>
      <c r="EF492" s="111"/>
      <c r="EG492" s="111"/>
      <c r="EH492" s="111"/>
      <c r="EI492" s="111"/>
      <c r="EJ492" s="111"/>
      <c r="EK492" s="111"/>
      <c r="EL492" s="111"/>
      <c r="EM492" s="111"/>
      <c r="EN492" s="111"/>
      <c r="EO492" s="111"/>
      <c r="EP492" s="111"/>
      <c r="EQ492" s="111"/>
      <c r="ER492" s="111"/>
      <c r="ES492" s="111"/>
    </row>
    <row r="493" spans="44:149">
      <c r="AR493" s="29"/>
      <c r="AS493" s="29"/>
      <c r="AT493" s="29"/>
      <c r="AU493" s="29"/>
      <c r="AV493" s="29"/>
      <c r="AW493" s="29"/>
      <c r="AX493" s="29"/>
      <c r="AY493" s="29"/>
      <c r="AZ493" s="29"/>
      <c r="BA493" s="29"/>
      <c r="BB493" s="29"/>
      <c r="BC493" s="29"/>
      <c r="BD493" s="29"/>
      <c r="BE493" s="29"/>
      <c r="BF493" s="111"/>
      <c r="BG493" s="111"/>
      <c r="BH493" s="111"/>
      <c r="BI493" s="111"/>
      <c r="BJ493" s="111"/>
      <c r="BK493" s="111"/>
      <c r="BL493" s="111"/>
      <c r="BM493" s="111"/>
      <c r="BN493" s="111"/>
      <c r="BO493" s="111"/>
      <c r="BP493" s="111"/>
      <c r="BQ493" s="111"/>
      <c r="BR493" s="111"/>
      <c r="BS493" s="111"/>
      <c r="DR493" s="29"/>
      <c r="DS493" s="29"/>
      <c r="DT493" s="29"/>
      <c r="DU493" s="29"/>
      <c r="DV493" s="29"/>
      <c r="DW493" s="29"/>
      <c r="DX493" s="29"/>
      <c r="DY493" s="29"/>
      <c r="DZ493" s="29"/>
      <c r="EA493" s="29"/>
      <c r="EB493" s="29"/>
      <c r="EC493" s="29"/>
      <c r="ED493" s="29"/>
      <c r="EE493" s="29"/>
      <c r="EF493" s="111"/>
      <c r="EG493" s="111"/>
      <c r="EH493" s="111"/>
      <c r="EI493" s="111"/>
      <c r="EJ493" s="111"/>
      <c r="EK493" s="111"/>
      <c r="EL493" s="111"/>
      <c r="EM493" s="111"/>
      <c r="EN493" s="111"/>
      <c r="EO493" s="111"/>
      <c r="EP493" s="111"/>
      <c r="EQ493" s="111"/>
      <c r="ER493" s="111"/>
      <c r="ES493" s="111"/>
    </row>
    <row r="494" spans="44:149">
      <c r="AR494" s="29"/>
      <c r="AS494" s="29"/>
      <c r="AT494" s="29"/>
      <c r="AU494" s="29"/>
      <c r="AV494" s="29"/>
      <c r="AW494" s="29"/>
      <c r="AX494" s="29"/>
      <c r="AY494" s="29"/>
      <c r="AZ494" s="29"/>
      <c r="BA494" s="29"/>
      <c r="BB494" s="29"/>
      <c r="BC494" s="29"/>
      <c r="BD494" s="29"/>
      <c r="BE494" s="29"/>
      <c r="BF494" s="111"/>
      <c r="BG494" s="111"/>
      <c r="BH494" s="111"/>
      <c r="BI494" s="111"/>
      <c r="BJ494" s="111"/>
      <c r="BK494" s="111"/>
      <c r="BL494" s="111"/>
      <c r="BM494" s="111"/>
      <c r="BN494" s="111"/>
      <c r="BO494" s="111"/>
      <c r="BP494" s="111"/>
      <c r="BQ494" s="111"/>
      <c r="BR494" s="111"/>
      <c r="BS494" s="111"/>
      <c r="DR494" s="29"/>
      <c r="DS494" s="29"/>
      <c r="DT494" s="29"/>
      <c r="DU494" s="29"/>
      <c r="DV494" s="29"/>
      <c r="DW494" s="29"/>
      <c r="DX494" s="29"/>
      <c r="DY494" s="29"/>
      <c r="DZ494" s="29"/>
      <c r="EA494" s="29"/>
      <c r="EB494" s="29"/>
      <c r="EC494" s="29"/>
      <c r="ED494" s="29"/>
      <c r="EE494" s="29"/>
      <c r="EF494" s="111"/>
      <c r="EG494" s="111"/>
      <c r="EH494" s="111"/>
      <c r="EI494" s="111"/>
      <c r="EJ494" s="111"/>
      <c r="EK494" s="111"/>
      <c r="EL494" s="111"/>
      <c r="EM494" s="111"/>
      <c r="EN494" s="111"/>
      <c r="EO494" s="111"/>
      <c r="EP494" s="111"/>
      <c r="EQ494" s="111"/>
      <c r="ER494" s="111"/>
      <c r="ES494" s="111"/>
    </row>
    <row r="495" spans="44:149">
      <c r="AR495" s="29"/>
      <c r="AS495" s="29"/>
      <c r="AT495" s="29"/>
      <c r="AU495" s="29"/>
      <c r="AV495" s="29"/>
      <c r="AW495" s="29"/>
      <c r="AX495" s="29"/>
      <c r="AY495" s="29"/>
      <c r="AZ495" s="29"/>
      <c r="BA495" s="29"/>
      <c r="BB495" s="29"/>
      <c r="BC495" s="29"/>
      <c r="BD495" s="29"/>
      <c r="BE495" s="29"/>
      <c r="BF495" s="111"/>
      <c r="BG495" s="111"/>
      <c r="BH495" s="111"/>
      <c r="BI495" s="111"/>
      <c r="BJ495" s="111"/>
      <c r="BK495" s="111"/>
      <c r="BL495" s="111"/>
      <c r="BM495" s="111"/>
      <c r="BN495" s="111"/>
      <c r="BO495" s="111"/>
      <c r="BP495" s="111"/>
      <c r="BQ495" s="111"/>
      <c r="BR495" s="111"/>
      <c r="BS495" s="111"/>
      <c r="DR495" s="29"/>
      <c r="DS495" s="29"/>
      <c r="DT495" s="29"/>
      <c r="DU495" s="29"/>
      <c r="DV495" s="29"/>
      <c r="DW495" s="29"/>
      <c r="DX495" s="29"/>
      <c r="DY495" s="29"/>
      <c r="DZ495" s="29"/>
      <c r="EA495" s="29"/>
      <c r="EB495" s="29"/>
      <c r="EC495" s="29"/>
      <c r="ED495" s="29"/>
      <c r="EE495" s="29"/>
      <c r="EF495" s="111"/>
      <c r="EG495" s="111"/>
      <c r="EH495" s="111"/>
      <c r="EI495" s="111"/>
      <c r="EJ495" s="111"/>
      <c r="EK495" s="111"/>
      <c r="EL495" s="111"/>
      <c r="EM495" s="111"/>
      <c r="EN495" s="111"/>
      <c r="EO495" s="111"/>
      <c r="EP495" s="111"/>
      <c r="EQ495" s="111"/>
      <c r="ER495" s="111"/>
      <c r="ES495" s="111"/>
    </row>
    <row r="496" spans="44:149">
      <c r="AR496" s="29"/>
      <c r="AS496" s="29"/>
      <c r="AT496" s="29"/>
      <c r="AU496" s="29"/>
      <c r="AV496" s="29"/>
      <c r="AW496" s="29"/>
      <c r="AX496" s="29"/>
      <c r="AY496" s="29"/>
      <c r="AZ496" s="29"/>
      <c r="BA496" s="29"/>
      <c r="BB496" s="29"/>
      <c r="BC496" s="29"/>
      <c r="BD496" s="29"/>
      <c r="BE496" s="29"/>
      <c r="BF496" s="111"/>
      <c r="BG496" s="111"/>
      <c r="BH496" s="111"/>
      <c r="BI496" s="111"/>
      <c r="BJ496" s="111"/>
      <c r="BK496" s="111"/>
      <c r="BL496" s="111"/>
      <c r="BM496" s="111"/>
      <c r="BN496" s="111"/>
      <c r="BO496" s="111"/>
      <c r="BP496" s="111"/>
      <c r="BQ496" s="111"/>
      <c r="BR496" s="111"/>
      <c r="BS496" s="111"/>
      <c r="DR496" s="29"/>
      <c r="DS496" s="29"/>
      <c r="DT496" s="29"/>
      <c r="DU496" s="29"/>
      <c r="DV496" s="29"/>
      <c r="DW496" s="29"/>
      <c r="DX496" s="29"/>
      <c r="DY496" s="29"/>
      <c r="DZ496" s="29"/>
      <c r="EA496" s="29"/>
      <c r="EB496" s="29"/>
      <c r="EC496" s="29"/>
      <c r="ED496" s="29"/>
      <c r="EE496" s="29"/>
      <c r="EF496" s="111"/>
      <c r="EG496" s="111"/>
      <c r="EH496" s="111"/>
      <c r="EI496" s="111"/>
      <c r="EJ496" s="111"/>
      <c r="EK496" s="111"/>
      <c r="EL496" s="111"/>
      <c r="EM496" s="111"/>
      <c r="EN496" s="111"/>
      <c r="EO496" s="111"/>
      <c r="EP496" s="111"/>
      <c r="EQ496" s="111"/>
      <c r="ER496" s="111"/>
      <c r="ES496" s="111"/>
    </row>
    <row r="497" spans="44:149">
      <c r="AR497" s="29"/>
      <c r="AS497" s="29"/>
      <c r="AT497" s="29"/>
      <c r="AU497" s="29"/>
      <c r="AV497" s="29"/>
      <c r="AW497" s="29"/>
      <c r="AX497" s="29"/>
      <c r="AY497" s="29"/>
      <c r="AZ497" s="29"/>
      <c r="BA497" s="29"/>
      <c r="BB497" s="29"/>
      <c r="BC497" s="29"/>
      <c r="BD497" s="29"/>
      <c r="BE497" s="29"/>
      <c r="BF497" s="111"/>
      <c r="BG497" s="111"/>
      <c r="BH497" s="111"/>
      <c r="BI497" s="111"/>
      <c r="BJ497" s="111"/>
      <c r="BK497" s="111"/>
      <c r="BL497" s="111"/>
      <c r="BM497" s="111"/>
      <c r="BN497" s="111"/>
      <c r="BO497" s="111"/>
      <c r="BP497" s="111"/>
      <c r="BQ497" s="111"/>
      <c r="BR497" s="111"/>
      <c r="BS497" s="111"/>
      <c r="DR497" s="29"/>
      <c r="DS497" s="29"/>
      <c r="DT497" s="29"/>
      <c r="DU497" s="29"/>
      <c r="DV497" s="29"/>
      <c r="DW497" s="29"/>
      <c r="DX497" s="29"/>
      <c r="DY497" s="29"/>
      <c r="DZ497" s="29"/>
      <c r="EA497" s="29"/>
      <c r="EB497" s="29"/>
      <c r="EC497" s="29"/>
      <c r="ED497" s="29"/>
      <c r="EE497" s="29"/>
      <c r="EF497" s="111"/>
      <c r="EG497" s="111"/>
      <c r="EH497" s="111"/>
      <c r="EI497" s="111"/>
      <c r="EJ497" s="111"/>
      <c r="EK497" s="111"/>
      <c r="EL497" s="111"/>
      <c r="EM497" s="111"/>
      <c r="EN497" s="111"/>
      <c r="EO497" s="111"/>
      <c r="EP497" s="111"/>
      <c r="EQ497" s="111"/>
      <c r="ER497" s="111"/>
      <c r="ES497" s="111"/>
    </row>
    <row r="498" spans="44:149">
      <c r="AR498" s="29"/>
      <c r="AS498" s="29"/>
      <c r="AT498" s="29"/>
      <c r="AU498" s="29"/>
      <c r="AV498" s="29"/>
      <c r="AW498" s="29"/>
      <c r="AX498" s="29"/>
      <c r="AY498" s="29"/>
      <c r="AZ498" s="29"/>
      <c r="BA498" s="29"/>
      <c r="BB498" s="29"/>
      <c r="BC498" s="29"/>
      <c r="BD498" s="29"/>
      <c r="BE498" s="29"/>
      <c r="BF498" s="111"/>
      <c r="BG498" s="111"/>
      <c r="BH498" s="111"/>
      <c r="BI498" s="111"/>
      <c r="BJ498" s="111"/>
      <c r="BK498" s="111"/>
      <c r="BL498" s="111"/>
      <c r="BM498" s="111"/>
      <c r="BN498" s="111"/>
      <c r="BO498" s="111"/>
      <c r="BP498" s="111"/>
      <c r="BQ498" s="111"/>
      <c r="BR498" s="111"/>
      <c r="BS498" s="111"/>
      <c r="DR498" s="29"/>
      <c r="DS498" s="29"/>
      <c r="DT498" s="29"/>
      <c r="DU498" s="29"/>
      <c r="DV498" s="29"/>
      <c r="DW498" s="29"/>
      <c r="DX498" s="29"/>
      <c r="DY498" s="29"/>
      <c r="DZ498" s="29"/>
      <c r="EA498" s="29"/>
      <c r="EB498" s="29"/>
      <c r="EC498" s="29"/>
      <c r="ED498" s="29"/>
      <c r="EE498" s="29"/>
      <c r="EF498" s="111"/>
      <c r="EG498" s="111"/>
      <c r="EH498" s="111"/>
      <c r="EI498" s="111"/>
      <c r="EJ498" s="111"/>
      <c r="EK498" s="111"/>
      <c r="EL498" s="111"/>
      <c r="EM498" s="111"/>
      <c r="EN498" s="111"/>
      <c r="EO498" s="111"/>
      <c r="EP498" s="111"/>
      <c r="EQ498" s="111"/>
      <c r="ER498" s="111"/>
      <c r="ES498" s="111"/>
    </row>
    <row r="499" spans="44:149">
      <c r="AR499" s="29"/>
      <c r="AS499" s="29"/>
      <c r="AT499" s="29"/>
      <c r="AU499" s="29"/>
      <c r="AV499" s="29"/>
      <c r="AW499" s="29"/>
      <c r="AX499" s="29"/>
      <c r="AY499" s="29"/>
      <c r="AZ499" s="29"/>
      <c r="BA499" s="29"/>
      <c r="BB499" s="29"/>
      <c r="BC499" s="29"/>
      <c r="BD499" s="29"/>
      <c r="BE499" s="29"/>
      <c r="BF499" s="111"/>
      <c r="BG499" s="111"/>
      <c r="BH499" s="111"/>
      <c r="BI499" s="111"/>
      <c r="BJ499" s="111"/>
      <c r="BK499" s="111"/>
      <c r="BL499" s="111"/>
      <c r="BM499" s="111"/>
      <c r="BN499" s="111"/>
      <c r="BO499" s="111"/>
      <c r="BP499" s="111"/>
      <c r="BQ499" s="111"/>
      <c r="BR499" s="111"/>
      <c r="BS499" s="111"/>
      <c r="DR499" s="29"/>
      <c r="DS499" s="29"/>
      <c r="DT499" s="29"/>
      <c r="DU499" s="29"/>
      <c r="DV499" s="29"/>
      <c r="DW499" s="29"/>
      <c r="DX499" s="29"/>
      <c r="DY499" s="29"/>
      <c r="DZ499" s="29"/>
      <c r="EA499" s="29"/>
      <c r="EB499" s="29"/>
      <c r="EC499" s="29"/>
      <c r="ED499" s="29"/>
      <c r="EE499" s="29"/>
      <c r="EF499" s="111"/>
      <c r="EG499" s="111"/>
      <c r="EH499" s="111"/>
      <c r="EI499" s="111"/>
      <c r="EJ499" s="111"/>
      <c r="EK499" s="111"/>
      <c r="EL499" s="111"/>
      <c r="EM499" s="111"/>
      <c r="EN499" s="111"/>
      <c r="EO499" s="111"/>
      <c r="EP499" s="111"/>
      <c r="EQ499" s="111"/>
      <c r="ER499" s="111"/>
      <c r="ES499" s="111"/>
    </row>
    <row r="500" spans="44:149">
      <c r="AR500" s="29"/>
      <c r="AS500" s="29"/>
      <c r="AT500" s="29"/>
      <c r="AU500" s="29"/>
      <c r="AV500" s="29"/>
      <c r="AW500" s="29"/>
      <c r="AX500" s="29"/>
      <c r="AY500" s="29"/>
      <c r="AZ500" s="29"/>
      <c r="BA500" s="29"/>
      <c r="BB500" s="29"/>
      <c r="BC500" s="29"/>
      <c r="BD500" s="29"/>
      <c r="BE500" s="29"/>
      <c r="BF500" s="111"/>
      <c r="BG500" s="111"/>
      <c r="BH500" s="111"/>
      <c r="BI500" s="111"/>
      <c r="BJ500" s="111"/>
      <c r="BK500" s="111"/>
      <c r="BL500" s="111"/>
      <c r="BM500" s="111"/>
      <c r="BN500" s="111"/>
      <c r="BO500" s="111"/>
      <c r="BP500" s="111"/>
      <c r="BQ500" s="111"/>
      <c r="BR500" s="111"/>
      <c r="BS500" s="111"/>
      <c r="DR500" s="29"/>
      <c r="DS500" s="29"/>
      <c r="DT500" s="29"/>
      <c r="DU500" s="29"/>
      <c r="DV500" s="29"/>
      <c r="DW500" s="29"/>
      <c r="DX500" s="29"/>
      <c r="DY500" s="29"/>
      <c r="DZ500" s="29"/>
      <c r="EA500" s="29"/>
      <c r="EB500" s="29"/>
      <c r="EC500" s="29"/>
      <c r="ED500" s="29"/>
      <c r="EE500" s="29"/>
      <c r="EF500" s="111"/>
      <c r="EG500" s="111"/>
      <c r="EH500" s="111"/>
      <c r="EI500" s="111"/>
      <c r="EJ500" s="111"/>
      <c r="EK500" s="111"/>
      <c r="EL500" s="111"/>
      <c r="EM500" s="111"/>
      <c r="EN500" s="111"/>
      <c r="EO500" s="111"/>
      <c r="EP500" s="111"/>
      <c r="EQ500" s="111"/>
      <c r="ER500" s="111"/>
      <c r="ES500" s="111"/>
    </row>
    <row r="501" spans="44:149">
      <c r="AR501" s="29"/>
      <c r="AS501" s="29"/>
      <c r="AT501" s="29"/>
      <c r="AU501" s="29"/>
      <c r="AV501" s="29"/>
      <c r="AW501" s="29"/>
      <c r="AX501" s="29"/>
      <c r="AY501" s="29"/>
      <c r="AZ501" s="29"/>
      <c r="BA501" s="29"/>
      <c r="BB501" s="29"/>
      <c r="BC501" s="29"/>
      <c r="BD501" s="29"/>
      <c r="BE501" s="29"/>
      <c r="BF501" s="111"/>
      <c r="BG501" s="111"/>
      <c r="BH501" s="111"/>
      <c r="BI501" s="111"/>
      <c r="BJ501" s="111"/>
      <c r="BK501" s="111"/>
      <c r="BL501" s="111"/>
      <c r="BM501" s="111"/>
      <c r="BN501" s="111"/>
      <c r="BO501" s="111"/>
      <c r="BP501" s="111"/>
      <c r="BQ501" s="111"/>
      <c r="BR501" s="111"/>
      <c r="BS501" s="111"/>
      <c r="DR501" s="29"/>
      <c r="DS501" s="29"/>
      <c r="DT501" s="29"/>
      <c r="DU501" s="29"/>
      <c r="DV501" s="29"/>
      <c r="DW501" s="29"/>
      <c r="DX501" s="29"/>
      <c r="DY501" s="29"/>
      <c r="DZ501" s="29"/>
      <c r="EA501" s="29"/>
      <c r="EB501" s="29"/>
      <c r="EC501" s="29"/>
      <c r="ED501" s="29"/>
      <c r="EE501" s="29"/>
      <c r="EF501" s="111"/>
      <c r="EG501" s="111"/>
      <c r="EH501" s="111"/>
      <c r="EI501" s="111"/>
      <c r="EJ501" s="111"/>
      <c r="EK501" s="111"/>
      <c r="EL501" s="111"/>
      <c r="EM501" s="111"/>
      <c r="EN501" s="111"/>
      <c r="EO501" s="111"/>
      <c r="EP501" s="111"/>
      <c r="EQ501" s="111"/>
      <c r="ER501" s="111"/>
      <c r="ES501" s="111"/>
    </row>
    <row r="502" spans="44:149">
      <c r="AR502" s="29"/>
      <c r="AS502" s="29"/>
      <c r="AT502" s="29"/>
      <c r="AU502" s="29"/>
      <c r="AV502" s="29"/>
      <c r="AW502" s="29"/>
      <c r="AX502" s="29"/>
      <c r="AY502" s="29"/>
      <c r="AZ502" s="29"/>
      <c r="BA502" s="29"/>
      <c r="BB502" s="29"/>
      <c r="BC502" s="29"/>
      <c r="BD502" s="29"/>
      <c r="BE502" s="29"/>
      <c r="BF502" s="111"/>
      <c r="BG502" s="111"/>
      <c r="BH502" s="111"/>
      <c r="BI502" s="111"/>
      <c r="BJ502" s="111"/>
      <c r="BK502" s="111"/>
      <c r="BL502" s="111"/>
      <c r="BM502" s="111"/>
      <c r="BN502" s="111"/>
      <c r="BO502" s="111"/>
      <c r="BP502" s="111"/>
      <c r="BQ502" s="111"/>
      <c r="BR502" s="111"/>
      <c r="BS502" s="111"/>
      <c r="DR502" s="29"/>
      <c r="DS502" s="29"/>
      <c r="DT502" s="29"/>
      <c r="DU502" s="29"/>
      <c r="DV502" s="29"/>
      <c r="DW502" s="29"/>
      <c r="DX502" s="29"/>
      <c r="DY502" s="29"/>
      <c r="DZ502" s="29"/>
      <c r="EA502" s="29"/>
      <c r="EB502" s="29"/>
      <c r="EC502" s="29"/>
      <c r="ED502" s="29"/>
      <c r="EE502" s="29"/>
      <c r="EF502" s="111"/>
      <c r="EG502" s="111"/>
      <c r="EH502" s="111"/>
      <c r="EI502" s="111"/>
      <c r="EJ502" s="111"/>
      <c r="EK502" s="111"/>
      <c r="EL502" s="111"/>
      <c r="EM502" s="111"/>
      <c r="EN502" s="111"/>
      <c r="EO502" s="111"/>
      <c r="EP502" s="111"/>
      <c r="EQ502" s="111"/>
      <c r="ER502" s="111"/>
      <c r="ES502" s="111"/>
    </row>
    <row r="503" spans="44:149">
      <c r="AR503" s="29"/>
      <c r="AS503" s="29"/>
      <c r="AT503" s="29"/>
      <c r="AU503" s="29"/>
      <c r="AV503" s="29"/>
      <c r="AW503" s="29"/>
      <c r="AX503" s="29"/>
      <c r="AY503" s="29"/>
      <c r="AZ503" s="29"/>
      <c r="BA503" s="29"/>
      <c r="BB503" s="29"/>
      <c r="BC503" s="29"/>
      <c r="BD503" s="29"/>
      <c r="BE503" s="29"/>
      <c r="BF503" s="111"/>
      <c r="BG503" s="111"/>
      <c r="BH503" s="111"/>
      <c r="BI503" s="111"/>
      <c r="BJ503" s="111"/>
      <c r="BK503" s="111"/>
      <c r="BL503" s="111"/>
      <c r="BM503" s="111"/>
      <c r="BN503" s="111"/>
      <c r="BO503" s="111"/>
      <c r="BP503" s="111"/>
      <c r="BQ503" s="111"/>
      <c r="BR503" s="111"/>
      <c r="BS503" s="111"/>
      <c r="DR503" s="29"/>
      <c r="DS503" s="29"/>
      <c r="DT503" s="29"/>
      <c r="DU503" s="29"/>
      <c r="DV503" s="29"/>
      <c r="DW503" s="29"/>
      <c r="DX503" s="29"/>
      <c r="DY503" s="29"/>
      <c r="DZ503" s="29"/>
      <c r="EA503" s="29"/>
      <c r="EB503" s="29"/>
      <c r="EC503" s="29"/>
      <c r="ED503" s="29"/>
      <c r="EE503" s="29"/>
      <c r="EF503" s="111"/>
      <c r="EG503" s="111"/>
      <c r="EH503" s="111"/>
      <c r="EI503" s="111"/>
      <c r="EJ503" s="111"/>
      <c r="EK503" s="111"/>
      <c r="EL503" s="111"/>
      <c r="EM503" s="111"/>
      <c r="EN503" s="111"/>
      <c r="EO503" s="111"/>
      <c r="EP503" s="111"/>
      <c r="EQ503" s="111"/>
      <c r="ER503" s="111"/>
      <c r="ES503" s="111"/>
    </row>
    <row r="504" spans="44:149">
      <c r="AR504" s="29"/>
      <c r="AS504" s="29"/>
      <c r="AT504" s="29"/>
      <c r="AU504" s="29"/>
      <c r="AV504" s="29"/>
      <c r="AW504" s="29"/>
      <c r="AX504" s="29"/>
      <c r="AY504" s="29"/>
      <c r="AZ504" s="29"/>
      <c r="BA504" s="29"/>
      <c r="BB504" s="29"/>
      <c r="BC504" s="29"/>
      <c r="BD504" s="29"/>
      <c r="BE504" s="29"/>
      <c r="BF504" s="111"/>
      <c r="BG504" s="111"/>
      <c r="BH504" s="111"/>
      <c r="BI504" s="111"/>
      <c r="BJ504" s="111"/>
      <c r="BK504" s="111"/>
      <c r="BL504" s="111"/>
      <c r="BM504" s="111"/>
      <c r="BN504" s="111"/>
      <c r="BO504" s="111"/>
      <c r="BP504" s="111"/>
      <c r="BQ504" s="111"/>
      <c r="BR504" s="111"/>
      <c r="BS504" s="111"/>
      <c r="DR504" s="29"/>
      <c r="DS504" s="29"/>
      <c r="DT504" s="29"/>
      <c r="DU504" s="29"/>
      <c r="DV504" s="29"/>
      <c r="DW504" s="29"/>
      <c r="DX504" s="29"/>
      <c r="DY504" s="29"/>
      <c r="DZ504" s="29"/>
      <c r="EA504" s="29"/>
      <c r="EB504" s="29"/>
      <c r="EC504" s="29"/>
      <c r="ED504" s="29"/>
      <c r="EE504" s="29"/>
      <c r="EF504" s="111"/>
      <c r="EG504" s="111"/>
      <c r="EH504" s="111"/>
      <c r="EI504" s="111"/>
      <c r="EJ504" s="111"/>
      <c r="EK504" s="111"/>
      <c r="EL504" s="111"/>
      <c r="EM504" s="111"/>
      <c r="EN504" s="111"/>
      <c r="EO504" s="111"/>
      <c r="EP504" s="111"/>
      <c r="EQ504" s="111"/>
      <c r="ER504" s="111"/>
      <c r="ES504" s="111"/>
    </row>
    <row r="505" spans="44:149">
      <c r="AR505" s="29"/>
      <c r="AS505" s="29"/>
      <c r="AT505" s="29"/>
      <c r="AU505" s="29"/>
      <c r="AV505" s="29"/>
      <c r="AW505" s="29"/>
      <c r="AX505" s="29"/>
      <c r="AY505" s="29"/>
      <c r="AZ505" s="29"/>
      <c r="BA505" s="29"/>
      <c r="BB505" s="29"/>
      <c r="BC505" s="29"/>
      <c r="BD505" s="29"/>
      <c r="BE505" s="29"/>
      <c r="BF505" s="111"/>
      <c r="BG505" s="111"/>
      <c r="BH505" s="111"/>
      <c r="BI505" s="111"/>
      <c r="BJ505" s="111"/>
      <c r="BK505" s="111"/>
      <c r="BL505" s="111"/>
      <c r="BM505" s="111"/>
      <c r="BN505" s="111"/>
      <c r="BO505" s="111"/>
      <c r="BP505" s="111"/>
      <c r="BQ505" s="111"/>
      <c r="BR505" s="111"/>
      <c r="BS505" s="111"/>
      <c r="DR505" s="29"/>
      <c r="DS505" s="29"/>
      <c r="DT505" s="29"/>
      <c r="DU505" s="29"/>
      <c r="DV505" s="29"/>
      <c r="DW505" s="29"/>
      <c r="DX505" s="29"/>
      <c r="DY505" s="29"/>
      <c r="DZ505" s="29"/>
      <c r="EA505" s="29"/>
      <c r="EB505" s="29"/>
      <c r="EC505" s="29"/>
      <c r="ED505" s="29"/>
      <c r="EE505" s="29"/>
      <c r="EF505" s="111"/>
      <c r="EG505" s="111"/>
      <c r="EH505" s="111"/>
      <c r="EI505" s="111"/>
      <c r="EJ505" s="111"/>
      <c r="EK505" s="111"/>
      <c r="EL505" s="111"/>
      <c r="EM505" s="111"/>
      <c r="EN505" s="111"/>
      <c r="EO505" s="111"/>
      <c r="EP505" s="111"/>
      <c r="EQ505" s="111"/>
      <c r="ER505" s="111"/>
      <c r="ES505" s="111"/>
    </row>
    <row r="506" spans="44:149">
      <c r="AR506" s="29"/>
      <c r="AS506" s="29"/>
      <c r="AT506" s="29"/>
      <c r="AU506" s="29"/>
      <c r="AV506" s="29"/>
      <c r="AW506" s="29"/>
      <c r="AX506" s="29"/>
      <c r="AY506" s="29"/>
      <c r="AZ506" s="29"/>
      <c r="BA506" s="29"/>
      <c r="BB506" s="29"/>
      <c r="BC506" s="29"/>
      <c r="BD506" s="29"/>
      <c r="BE506" s="29"/>
      <c r="BF506" s="111"/>
      <c r="BG506" s="111"/>
      <c r="BH506" s="111"/>
      <c r="BI506" s="111"/>
      <c r="BJ506" s="111"/>
      <c r="BK506" s="111"/>
      <c r="BL506" s="111"/>
      <c r="BM506" s="111"/>
      <c r="BN506" s="111"/>
      <c r="BO506" s="111"/>
      <c r="BP506" s="111"/>
      <c r="BQ506" s="111"/>
      <c r="BR506" s="111"/>
      <c r="BS506" s="111"/>
      <c r="DR506" s="29"/>
      <c r="DS506" s="29"/>
      <c r="DT506" s="29"/>
      <c r="DU506" s="29"/>
      <c r="DV506" s="29"/>
      <c r="DW506" s="29"/>
      <c r="DX506" s="29"/>
      <c r="DY506" s="29"/>
      <c r="DZ506" s="29"/>
      <c r="EA506" s="29"/>
      <c r="EB506" s="29"/>
      <c r="EC506" s="29"/>
      <c r="ED506" s="29"/>
      <c r="EE506" s="29"/>
      <c r="EF506" s="111"/>
      <c r="EG506" s="111"/>
      <c r="EH506" s="111"/>
      <c r="EI506" s="111"/>
      <c r="EJ506" s="111"/>
      <c r="EK506" s="111"/>
      <c r="EL506" s="111"/>
      <c r="EM506" s="111"/>
      <c r="EN506" s="111"/>
      <c r="EO506" s="111"/>
      <c r="EP506" s="111"/>
      <c r="EQ506" s="111"/>
      <c r="ER506" s="111"/>
      <c r="ES506" s="111"/>
    </row>
    <row r="507" spans="44:149">
      <c r="AR507" s="29"/>
      <c r="AS507" s="29"/>
      <c r="AT507" s="29"/>
      <c r="AU507" s="29"/>
      <c r="AV507" s="29"/>
      <c r="AW507" s="29"/>
      <c r="AX507" s="29"/>
      <c r="AY507" s="29"/>
      <c r="AZ507" s="29"/>
      <c r="BA507" s="29"/>
      <c r="BB507" s="29"/>
      <c r="BC507" s="29"/>
      <c r="BD507" s="29"/>
      <c r="BE507" s="29"/>
      <c r="BF507" s="111"/>
      <c r="BG507" s="111"/>
      <c r="BH507" s="111"/>
      <c r="BI507" s="111"/>
      <c r="BJ507" s="111"/>
      <c r="BK507" s="111"/>
      <c r="BL507" s="111"/>
      <c r="BM507" s="111"/>
      <c r="BN507" s="111"/>
      <c r="BO507" s="111"/>
      <c r="BP507" s="111"/>
      <c r="BQ507" s="111"/>
      <c r="BR507" s="111"/>
      <c r="BS507" s="111"/>
      <c r="DR507" s="29"/>
      <c r="DS507" s="29"/>
      <c r="DT507" s="29"/>
      <c r="DU507" s="29"/>
      <c r="DV507" s="29"/>
      <c r="DW507" s="29"/>
      <c r="DX507" s="29"/>
      <c r="DY507" s="29"/>
      <c r="DZ507" s="29"/>
      <c r="EA507" s="29"/>
      <c r="EB507" s="29"/>
      <c r="EC507" s="29"/>
      <c r="ED507" s="29"/>
      <c r="EE507" s="29"/>
      <c r="EF507" s="111"/>
      <c r="EG507" s="111"/>
      <c r="EH507" s="111"/>
      <c r="EI507" s="111"/>
      <c r="EJ507" s="111"/>
      <c r="EK507" s="111"/>
      <c r="EL507" s="111"/>
      <c r="EM507" s="111"/>
      <c r="EN507" s="111"/>
      <c r="EO507" s="111"/>
      <c r="EP507" s="111"/>
      <c r="EQ507" s="111"/>
      <c r="ER507" s="111"/>
      <c r="ES507" s="111"/>
    </row>
    <row r="508" spans="44:149">
      <c r="AR508" s="29"/>
      <c r="AS508" s="29"/>
      <c r="AT508" s="29"/>
      <c r="AU508" s="29"/>
      <c r="AV508" s="29"/>
      <c r="AW508" s="29"/>
      <c r="AX508" s="29"/>
      <c r="AY508" s="29"/>
      <c r="AZ508" s="29"/>
      <c r="BA508" s="29"/>
      <c r="BB508" s="29"/>
      <c r="BC508" s="29"/>
      <c r="BD508" s="29"/>
      <c r="BE508" s="29"/>
      <c r="BF508" s="111"/>
      <c r="BG508" s="111"/>
      <c r="BH508" s="111"/>
      <c r="BI508" s="111"/>
      <c r="BJ508" s="111"/>
      <c r="BK508" s="111"/>
      <c r="BL508" s="111"/>
      <c r="BM508" s="111"/>
      <c r="BN508" s="111"/>
      <c r="BO508" s="111"/>
      <c r="BP508" s="111"/>
      <c r="BQ508" s="111"/>
      <c r="BR508" s="111"/>
      <c r="BS508" s="111"/>
      <c r="DR508" s="29"/>
      <c r="DS508" s="29"/>
      <c r="DT508" s="29"/>
      <c r="DU508" s="29"/>
      <c r="DV508" s="29"/>
      <c r="DW508" s="29"/>
      <c r="DX508" s="29"/>
      <c r="DY508" s="29"/>
      <c r="DZ508" s="29"/>
      <c r="EA508" s="29"/>
      <c r="EB508" s="29"/>
      <c r="EC508" s="29"/>
      <c r="ED508" s="29"/>
      <c r="EE508" s="29"/>
      <c r="EF508" s="111"/>
      <c r="EG508" s="111"/>
      <c r="EH508" s="111"/>
      <c r="EI508" s="111"/>
      <c r="EJ508" s="111"/>
      <c r="EK508" s="111"/>
      <c r="EL508" s="111"/>
      <c r="EM508" s="111"/>
      <c r="EN508" s="111"/>
      <c r="EO508" s="111"/>
      <c r="EP508" s="111"/>
      <c r="EQ508" s="111"/>
      <c r="ER508" s="111"/>
      <c r="ES508" s="111"/>
    </row>
    <row r="509" spans="44:149">
      <c r="AR509" s="29"/>
      <c r="AS509" s="29"/>
      <c r="AT509" s="29"/>
      <c r="AU509" s="29"/>
      <c r="AV509" s="29"/>
      <c r="AW509" s="29"/>
      <c r="AX509" s="29"/>
      <c r="AY509" s="29"/>
      <c r="AZ509" s="29"/>
      <c r="BA509" s="29"/>
      <c r="BB509" s="29"/>
      <c r="BC509" s="29"/>
      <c r="BD509" s="29"/>
      <c r="BE509" s="29"/>
      <c r="BF509" s="111"/>
      <c r="BG509" s="111"/>
      <c r="BH509" s="111"/>
      <c r="BI509" s="111"/>
      <c r="BJ509" s="111"/>
      <c r="BK509" s="111"/>
      <c r="BL509" s="111"/>
      <c r="BM509" s="111"/>
      <c r="BN509" s="111"/>
      <c r="BO509" s="111"/>
      <c r="BP509" s="111"/>
      <c r="BQ509" s="111"/>
      <c r="BR509" s="111"/>
      <c r="BS509" s="111"/>
      <c r="DR509" s="29"/>
      <c r="DS509" s="29"/>
      <c r="DT509" s="29"/>
      <c r="DU509" s="29"/>
      <c r="DV509" s="29"/>
      <c r="DW509" s="29"/>
      <c r="DX509" s="29"/>
      <c r="DY509" s="29"/>
      <c r="DZ509" s="29"/>
      <c r="EA509" s="29"/>
      <c r="EB509" s="29"/>
      <c r="EC509" s="29"/>
      <c r="ED509" s="29"/>
      <c r="EE509" s="29"/>
      <c r="EF509" s="111"/>
      <c r="EG509" s="111"/>
      <c r="EH509" s="111"/>
      <c r="EI509" s="111"/>
      <c r="EJ509" s="111"/>
      <c r="EK509" s="111"/>
      <c r="EL509" s="111"/>
      <c r="EM509" s="111"/>
      <c r="EN509" s="111"/>
      <c r="EO509" s="111"/>
      <c r="EP509" s="111"/>
      <c r="EQ509" s="111"/>
      <c r="ER509" s="111"/>
      <c r="ES509" s="111"/>
    </row>
    <row r="510" spans="44:149">
      <c r="AR510" s="29"/>
      <c r="AS510" s="29"/>
      <c r="AT510" s="29"/>
      <c r="AU510" s="29"/>
      <c r="AV510" s="29"/>
      <c r="AW510" s="29"/>
      <c r="AX510" s="29"/>
      <c r="AY510" s="29"/>
      <c r="AZ510" s="29"/>
      <c r="BA510" s="29"/>
      <c r="BB510" s="29"/>
      <c r="BC510" s="29"/>
      <c r="BD510" s="29"/>
      <c r="BE510" s="29"/>
      <c r="BF510" s="111"/>
      <c r="BG510" s="111"/>
      <c r="BH510" s="111"/>
      <c r="BI510" s="111"/>
      <c r="BJ510" s="111"/>
      <c r="BK510" s="111"/>
      <c r="BL510" s="111"/>
      <c r="BM510" s="111"/>
      <c r="BN510" s="111"/>
      <c r="BO510" s="111"/>
      <c r="BP510" s="111"/>
      <c r="BQ510" s="111"/>
      <c r="BR510" s="111"/>
      <c r="BS510" s="111"/>
      <c r="DR510" s="29"/>
      <c r="DS510" s="29"/>
      <c r="DT510" s="29"/>
      <c r="DU510" s="29"/>
      <c r="DV510" s="29"/>
      <c r="DW510" s="29"/>
      <c r="DX510" s="29"/>
      <c r="DY510" s="29"/>
      <c r="DZ510" s="29"/>
      <c r="EA510" s="29"/>
      <c r="EB510" s="29"/>
      <c r="EC510" s="29"/>
      <c r="ED510" s="29"/>
      <c r="EE510" s="29"/>
      <c r="EF510" s="111"/>
      <c r="EG510" s="111"/>
      <c r="EH510" s="111"/>
      <c r="EI510" s="111"/>
      <c r="EJ510" s="111"/>
      <c r="EK510" s="111"/>
      <c r="EL510" s="111"/>
      <c r="EM510" s="111"/>
      <c r="EN510" s="111"/>
      <c r="EO510" s="111"/>
      <c r="EP510" s="111"/>
      <c r="EQ510" s="111"/>
      <c r="ER510" s="111"/>
      <c r="ES510" s="111"/>
    </row>
    <row r="511" spans="44:149">
      <c r="AR511" s="29"/>
      <c r="AS511" s="29"/>
      <c r="AT511" s="29"/>
      <c r="AU511" s="29"/>
      <c r="AV511" s="29"/>
      <c r="AW511" s="29"/>
      <c r="AX511" s="29"/>
      <c r="AY511" s="29"/>
      <c r="AZ511" s="29"/>
      <c r="BA511" s="29"/>
      <c r="BB511" s="29"/>
      <c r="BC511" s="29"/>
      <c r="BD511" s="29"/>
      <c r="BE511" s="29"/>
      <c r="BF511" s="111"/>
      <c r="BG511" s="111"/>
      <c r="BH511" s="111"/>
      <c r="BI511" s="111"/>
      <c r="BJ511" s="111"/>
      <c r="BK511" s="111"/>
      <c r="BL511" s="111"/>
      <c r="BM511" s="111"/>
      <c r="BN511" s="111"/>
      <c r="BO511" s="111"/>
      <c r="BP511" s="111"/>
      <c r="BQ511" s="111"/>
      <c r="BR511" s="111"/>
      <c r="BS511" s="111"/>
      <c r="DR511" s="29"/>
      <c r="DS511" s="29"/>
      <c r="DT511" s="29"/>
      <c r="DU511" s="29"/>
      <c r="DV511" s="29"/>
      <c r="DW511" s="29"/>
      <c r="DX511" s="29"/>
      <c r="DY511" s="29"/>
      <c r="DZ511" s="29"/>
      <c r="EA511" s="29"/>
      <c r="EB511" s="29"/>
      <c r="EC511" s="29"/>
      <c r="ED511" s="29"/>
      <c r="EE511" s="29"/>
      <c r="EF511" s="111"/>
      <c r="EG511" s="111"/>
      <c r="EH511" s="111"/>
      <c r="EI511" s="111"/>
      <c r="EJ511" s="111"/>
      <c r="EK511" s="111"/>
      <c r="EL511" s="111"/>
      <c r="EM511" s="111"/>
      <c r="EN511" s="111"/>
      <c r="EO511" s="111"/>
      <c r="EP511" s="111"/>
      <c r="EQ511" s="111"/>
      <c r="ER511" s="111"/>
      <c r="ES511" s="111"/>
    </row>
    <row r="512" spans="44:149">
      <c r="AR512" s="29"/>
      <c r="AS512" s="29"/>
      <c r="AT512" s="29"/>
      <c r="AU512" s="29"/>
      <c r="AV512" s="29"/>
      <c r="AW512" s="29"/>
      <c r="AX512" s="29"/>
      <c r="AY512" s="29"/>
      <c r="AZ512" s="29"/>
      <c r="BA512" s="29"/>
      <c r="BB512" s="29"/>
      <c r="BC512" s="29"/>
      <c r="BD512" s="29"/>
      <c r="BE512" s="29"/>
      <c r="BF512" s="111"/>
      <c r="BG512" s="111"/>
      <c r="BH512" s="111"/>
      <c r="BI512" s="111"/>
      <c r="BJ512" s="111"/>
      <c r="BK512" s="111"/>
      <c r="BL512" s="111"/>
      <c r="BM512" s="111"/>
      <c r="BN512" s="111"/>
      <c r="BO512" s="111"/>
      <c r="BP512" s="111"/>
      <c r="BQ512" s="111"/>
      <c r="BR512" s="111"/>
      <c r="BS512" s="111"/>
      <c r="DR512" s="29"/>
      <c r="DS512" s="29"/>
      <c r="DT512" s="29"/>
      <c r="DU512" s="29"/>
      <c r="DV512" s="29"/>
      <c r="DW512" s="29"/>
      <c r="DX512" s="29"/>
      <c r="DY512" s="29"/>
      <c r="DZ512" s="29"/>
      <c r="EA512" s="29"/>
      <c r="EB512" s="29"/>
      <c r="EC512" s="29"/>
      <c r="ED512" s="29"/>
      <c r="EE512" s="29"/>
      <c r="EF512" s="111"/>
      <c r="EG512" s="111"/>
      <c r="EH512" s="111"/>
      <c r="EI512" s="111"/>
      <c r="EJ512" s="111"/>
      <c r="EK512" s="111"/>
      <c r="EL512" s="111"/>
      <c r="EM512" s="111"/>
      <c r="EN512" s="111"/>
      <c r="EO512" s="111"/>
      <c r="EP512" s="111"/>
      <c r="EQ512" s="111"/>
      <c r="ER512" s="111"/>
      <c r="ES512" s="111"/>
    </row>
    <row r="513" spans="44:149">
      <c r="AR513" s="29"/>
      <c r="AS513" s="29"/>
      <c r="AT513" s="29"/>
      <c r="AU513" s="29"/>
      <c r="AV513" s="29"/>
      <c r="AW513" s="29"/>
      <c r="AX513" s="29"/>
      <c r="AY513" s="29"/>
      <c r="AZ513" s="29"/>
      <c r="BA513" s="29"/>
      <c r="BB513" s="29"/>
      <c r="BC513" s="29"/>
      <c r="BD513" s="29"/>
      <c r="BE513" s="29"/>
      <c r="BF513" s="111"/>
      <c r="BG513" s="111"/>
      <c r="BH513" s="111"/>
      <c r="BI513" s="111"/>
      <c r="BJ513" s="111"/>
      <c r="BK513" s="111"/>
      <c r="BL513" s="111"/>
      <c r="BM513" s="111"/>
      <c r="BN513" s="111"/>
      <c r="BO513" s="111"/>
      <c r="BP513" s="111"/>
      <c r="BQ513" s="111"/>
      <c r="BR513" s="111"/>
      <c r="BS513" s="111"/>
      <c r="DR513" s="29"/>
      <c r="DS513" s="29"/>
      <c r="DT513" s="29"/>
      <c r="DU513" s="29"/>
      <c r="DV513" s="29"/>
      <c r="DW513" s="29"/>
      <c r="DX513" s="29"/>
      <c r="DY513" s="29"/>
      <c r="DZ513" s="29"/>
      <c r="EA513" s="29"/>
      <c r="EB513" s="29"/>
      <c r="EC513" s="29"/>
      <c r="ED513" s="29"/>
      <c r="EE513" s="29"/>
      <c r="EF513" s="111"/>
      <c r="EG513" s="111"/>
      <c r="EH513" s="111"/>
      <c r="EI513" s="111"/>
      <c r="EJ513" s="111"/>
      <c r="EK513" s="111"/>
      <c r="EL513" s="111"/>
      <c r="EM513" s="111"/>
      <c r="EN513" s="111"/>
      <c r="EO513" s="111"/>
      <c r="EP513" s="111"/>
      <c r="EQ513" s="111"/>
      <c r="ER513" s="111"/>
      <c r="ES513" s="111"/>
    </row>
    <row r="514" spans="44:149">
      <c r="AR514" s="29"/>
      <c r="AS514" s="29"/>
      <c r="AT514" s="29"/>
      <c r="AU514" s="29"/>
      <c r="AV514" s="29"/>
      <c r="AW514" s="29"/>
      <c r="AX514" s="29"/>
      <c r="AY514" s="29"/>
      <c r="AZ514" s="29"/>
      <c r="BA514" s="29"/>
      <c r="BB514" s="29"/>
      <c r="BC514" s="29"/>
      <c r="BD514" s="29"/>
      <c r="BE514" s="29"/>
      <c r="BF514" s="111"/>
      <c r="BG514" s="111"/>
      <c r="BH514" s="111"/>
      <c r="BI514" s="111"/>
      <c r="BJ514" s="111"/>
      <c r="BK514" s="111"/>
      <c r="BL514" s="111"/>
      <c r="BM514" s="111"/>
      <c r="BN514" s="111"/>
      <c r="BO514" s="111"/>
      <c r="BP514" s="111"/>
      <c r="BQ514" s="111"/>
      <c r="BR514" s="111"/>
      <c r="BS514" s="111"/>
      <c r="DR514" s="29"/>
      <c r="DS514" s="29"/>
      <c r="DT514" s="29"/>
      <c r="DU514" s="29"/>
      <c r="DV514" s="29"/>
      <c r="DW514" s="29"/>
      <c r="DX514" s="29"/>
      <c r="DY514" s="29"/>
      <c r="DZ514" s="29"/>
      <c r="EA514" s="29"/>
      <c r="EB514" s="29"/>
      <c r="EC514" s="29"/>
      <c r="ED514" s="29"/>
      <c r="EE514" s="29"/>
      <c r="EF514" s="111"/>
      <c r="EG514" s="111"/>
      <c r="EH514" s="111"/>
      <c r="EI514" s="111"/>
      <c r="EJ514" s="111"/>
      <c r="EK514" s="111"/>
      <c r="EL514" s="111"/>
      <c r="EM514" s="111"/>
      <c r="EN514" s="111"/>
      <c r="EO514" s="111"/>
      <c r="EP514" s="111"/>
      <c r="EQ514" s="111"/>
      <c r="ER514" s="111"/>
      <c r="ES514" s="111"/>
    </row>
    <row r="515" spans="44:149">
      <c r="AR515" s="29"/>
      <c r="AS515" s="29"/>
      <c r="AT515" s="29"/>
      <c r="AU515" s="29"/>
      <c r="AV515" s="29"/>
      <c r="AW515" s="29"/>
      <c r="AX515" s="29"/>
      <c r="AY515" s="29"/>
      <c r="AZ515" s="29"/>
      <c r="BA515" s="29"/>
      <c r="BB515" s="29"/>
      <c r="BC515" s="29"/>
      <c r="BD515" s="29"/>
      <c r="BE515" s="29"/>
      <c r="BF515" s="111"/>
      <c r="BG515" s="111"/>
      <c r="BH515" s="111"/>
      <c r="BI515" s="111"/>
      <c r="BJ515" s="111"/>
      <c r="BK515" s="111"/>
      <c r="BL515" s="111"/>
      <c r="BM515" s="111"/>
      <c r="BN515" s="111"/>
      <c r="BO515" s="111"/>
      <c r="BP515" s="111"/>
      <c r="BQ515" s="111"/>
      <c r="BR515" s="111"/>
      <c r="BS515" s="111"/>
      <c r="DR515" s="29"/>
      <c r="DS515" s="29"/>
      <c r="DT515" s="29"/>
      <c r="DU515" s="29"/>
      <c r="DV515" s="29"/>
      <c r="DW515" s="29"/>
      <c r="DX515" s="29"/>
      <c r="DY515" s="29"/>
      <c r="DZ515" s="29"/>
      <c r="EA515" s="29"/>
      <c r="EB515" s="29"/>
      <c r="EC515" s="29"/>
      <c r="ED515" s="29"/>
      <c r="EE515" s="29"/>
      <c r="EF515" s="111"/>
      <c r="EG515" s="111"/>
      <c r="EH515" s="111"/>
      <c r="EI515" s="111"/>
      <c r="EJ515" s="111"/>
      <c r="EK515" s="111"/>
      <c r="EL515" s="111"/>
      <c r="EM515" s="111"/>
      <c r="EN515" s="111"/>
      <c r="EO515" s="111"/>
      <c r="EP515" s="111"/>
      <c r="EQ515" s="111"/>
      <c r="ER515" s="111"/>
      <c r="ES515" s="111"/>
    </row>
    <row r="516" spans="44:149">
      <c r="AR516" s="29"/>
      <c r="AS516" s="29"/>
      <c r="AT516" s="29"/>
      <c r="AU516" s="29"/>
      <c r="AV516" s="29"/>
      <c r="AW516" s="29"/>
      <c r="AX516" s="29"/>
      <c r="AY516" s="29"/>
      <c r="AZ516" s="29"/>
      <c r="BA516" s="29"/>
      <c r="BB516" s="29"/>
      <c r="BC516" s="29"/>
      <c r="BD516" s="29"/>
      <c r="BE516" s="29"/>
      <c r="BF516" s="111"/>
      <c r="BG516" s="111"/>
      <c r="BH516" s="111"/>
      <c r="BI516" s="111"/>
      <c r="BJ516" s="111"/>
      <c r="BK516" s="111"/>
      <c r="BL516" s="111"/>
      <c r="BM516" s="111"/>
      <c r="BN516" s="111"/>
      <c r="BO516" s="111"/>
      <c r="BP516" s="111"/>
      <c r="BQ516" s="111"/>
      <c r="BR516" s="111"/>
      <c r="BS516" s="111"/>
      <c r="DR516" s="29"/>
      <c r="DS516" s="29"/>
      <c r="DT516" s="29"/>
      <c r="DU516" s="29"/>
      <c r="DV516" s="29"/>
      <c r="DW516" s="29"/>
      <c r="DX516" s="29"/>
      <c r="DY516" s="29"/>
      <c r="DZ516" s="29"/>
      <c r="EA516" s="29"/>
      <c r="EB516" s="29"/>
      <c r="EC516" s="29"/>
      <c r="ED516" s="29"/>
      <c r="EE516" s="29"/>
      <c r="EF516" s="111"/>
      <c r="EG516" s="111"/>
      <c r="EH516" s="111"/>
      <c r="EI516" s="111"/>
      <c r="EJ516" s="111"/>
      <c r="EK516" s="111"/>
      <c r="EL516" s="111"/>
      <c r="EM516" s="111"/>
      <c r="EN516" s="111"/>
      <c r="EO516" s="111"/>
      <c r="EP516" s="111"/>
      <c r="EQ516" s="111"/>
      <c r="ER516" s="111"/>
      <c r="ES516" s="111"/>
    </row>
    <row r="517" spans="44:149">
      <c r="AR517" s="29"/>
      <c r="AS517" s="29"/>
      <c r="AT517" s="29"/>
      <c r="AU517" s="29"/>
      <c r="AV517" s="29"/>
      <c r="AW517" s="29"/>
      <c r="AX517" s="29"/>
      <c r="AY517" s="29"/>
      <c r="AZ517" s="29"/>
      <c r="BA517" s="29"/>
      <c r="BB517" s="29"/>
      <c r="BC517" s="29"/>
      <c r="BD517" s="29"/>
      <c r="BE517" s="29"/>
      <c r="BF517" s="111"/>
      <c r="BG517" s="111"/>
      <c r="BH517" s="111"/>
      <c r="BI517" s="111"/>
      <c r="BJ517" s="111"/>
      <c r="BK517" s="111"/>
      <c r="BL517" s="111"/>
      <c r="BM517" s="111"/>
      <c r="BN517" s="111"/>
      <c r="BO517" s="111"/>
      <c r="BP517" s="111"/>
      <c r="BQ517" s="111"/>
      <c r="BR517" s="111"/>
      <c r="BS517" s="111"/>
      <c r="DR517" s="29"/>
      <c r="DS517" s="29"/>
      <c r="DT517" s="29"/>
      <c r="DU517" s="29"/>
      <c r="DV517" s="29"/>
      <c r="DW517" s="29"/>
      <c r="DX517" s="29"/>
      <c r="DY517" s="29"/>
      <c r="DZ517" s="29"/>
      <c r="EA517" s="29"/>
      <c r="EB517" s="29"/>
      <c r="EC517" s="29"/>
      <c r="ED517" s="29"/>
      <c r="EE517" s="29"/>
      <c r="EF517" s="111"/>
      <c r="EG517" s="111"/>
      <c r="EH517" s="111"/>
      <c r="EI517" s="111"/>
      <c r="EJ517" s="111"/>
      <c r="EK517" s="111"/>
      <c r="EL517" s="111"/>
      <c r="EM517" s="111"/>
      <c r="EN517" s="111"/>
      <c r="EO517" s="111"/>
      <c r="EP517" s="111"/>
      <c r="EQ517" s="111"/>
      <c r="ER517" s="111"/>
      <c r="ES517" s="111"/>
    </row>
    <row r="518" spans="44:149">
      <c r="AR518" s="29"/>
      <c r="AS518" s="29"/>
      <c r="AT518" s="29"/>
      <c r="AU518" s="29"/>
      <c r="AV518" s="29"/>
      <c r="AW518" s="29"/>
      <c r="AX518" s="29"/>
      <c r="AY518" s="29"/>
      <c r="AZ518" s="29"/>
      <c r="BA518" s="29"/>
      <c r="BB518" s="29"/>
      <c r="BC518" s="29"/>
      <c r="BD518" s="29"/>
      <c r="BE518" s="29"/>
      <c r="BF518" s="111"/>
      <c r="BG518" s="111"/>
      <c r="BH518" s="111"/>
      <c r="BI518" s="111"/>
      <c r="BJ518" s="111"/>
      <c r="BK518" s="111"/>
      <c r="BL518" s="111"/>
      <c r="BM518" s="111"/>
      <c r="BN518" s="111"/>
      <c r="BO518" s="111"/>
      <c r="BP518" s="111"/>
      <c r="BQ518" s="111"/>
      <c r="BR518" s="111"/>
      <c r="BS518" s="111"/>
      <c r="DR518" s="29"/>
      <c r="DS518" s="29"/>
      <c r="DT518" s="29"/>
      <c r="DU518" s="29"/>
      <c r="DV518" s="29"/>
      <c r="DW518" s="29"/>
      <c r="DX518" s="29"/>
      <c r="DY518" s="29"/>
      <c r="DZ518" s="29"/>
      <c r="EA518" s="29"/>
      <c r="EB518" s="29"/>
      <c r="EC518" s="29"/>
      <c r="ED518" s="29"/>
      <c r="EE518" s="29"/>
      <c r="EF518" s="111"/>
      <c r="EG518" s="111"/>
      <c r="EH518" s="111"/>
      <c r="EI518" s="111"/>
      <c r="EJ518" s="111"/>
      <c r="EK518" s="111"/>
      <c r="EL518" s="111"/>
      <c r="EM518" s="111"/>
      <c r="EN518" s="111"/>
      <c r="EO518" s="111"/>
      <c r="EP518" s="111"/>
      <c r="EQ518" s="111"/>
      <c r="ER518" s="111"/>
      <c r="ES518" s="111"/>
    </row>
    <row r="519" spans="44:149">
      <c r="AR519" s="29"/>
      <c r="AS519" s="29"/>
      <c r="AT519" s="29"/>
      <c r="AU519" s="29"/>
      <c r="AV519" s="29"/>
      <c r="AW519" s="29"/>
      <c r="AX519" s="29"/>
      <c r="AY519" s="29"/>
      <c r="AZ519" s="29"/>
      <c r="BA519" s="29"/>
      <c r="BB519" s="29"/>
      <c r="BC519" s="29"/>
      <c r="BD519" s="29"/>
      <c r="BE519" s="29"/>
      <c r="BF519" s="111"/>
      <c r="BG519" s="111"/>
      <c r="BH519" s="111"/>
      <c r="BI519" s="111"/>
      <c r="BJ519" s="111"/>
      <c r="BK519" s="111"/>
      <c r="BL519" s="111"/>
      <c r="BM519" s="111"/>
      <c r="BN519" s="111"/>
      <c r="BO519" s="111"/>
      <c r="BP519" s="111"/>
      <c r="BQ519" s="111"/>
      <c r="BR519" s="111"/>
      <c r="BS519" s="111"/>
      <c r="DR519" s="29"/>
      <c r="DS519" s="29"/>
      <c r="DT519" s="29"/>
      <c r="DU519" s="29"/>
      <c r="DV519" s="29"/>
      <c r="DW519" s="29"/>
      <c r="DX519" s="29"/>
      <c r="DY519" s="29"/>
      <c r="DZ519" s="29"/>
      <c r="EA519" s="29"/>
      <c r="EB519" s="29"/>
      <c r="EC519" s="29"/>
      <c r="ED519" s="29"/>
      <c r="EE519" s="29"/>
      <c r="EF519" s="111"/>
      <c r="EG519" s="111"/>
      <c r="EH519" s="111"/>
      <c r="EI519" s="111"/>
      <c r="EJ519" s="111"/>
      <c r="EK519" s="111"/>
      <c r="EL519" s="111"/>
      <c r="EM519" s="111"/>
      <c r="EN519" s="111"/>
      <c r="EO519" s="111"/>
      <c r="EP519" s="111"/>
      <c r="EQ519" s="111"/>
      <c r="ER519" s="111"/>
      <c r="ES519" s="111"/>
    </row>
    <row r="520" spans="44:149">
      <c r="AR520" s="29"/>
      <c r="AS520" s="29"/>
      <c r="AT520" s="29"/>
      <c r="AU520" s="29"/>
      <c r="AV520" s="29"/>
      <c r="AW520" s="29"/>
      <c r="AX520" s="29"/>
      <c r="AY520" s="29"/>
      <c r="AZ520" s="29"/>
      <c r="BA520" s="29"/>
      <c r="BB520" s="29"/>
      <c r="BC520" s="29"/>
      <c r="BD520" s="29"/>
      <c r="BE520" s="29"/>
      <c r="BF520" s="111"/>
      <c r="BG520" s="111"/>
      <c r="BH520" s="111"/>
      <c r="BI520" s="111"/>
      <c r="BJ520" s="111"/>
      <c r="BK520" s="111"/>
      <c r="BL520" s="111"/>
      <c r="BM520" s="111"/>
      <c r="BN520" s="111"/>
      <c r="BO520" s="111"/>
      <c r="BP520" s="111"/>
      <c r="BQ520" s="111"/>
      <c r="BR520" s="111"/>
      <c r="BS520" s="111"/>
      <c r="DR520" s="29"/>
      <c r="DS520" s="29"/>
      <c r="DT520" s="29"/>
      <c r="DU520" s="29"/>
      <c r="DV520" s="29"/>
      <c r="DW520" s="29"/>
      <c r="DX520" s="29"/>
      <c r="DY520" s="29"/>
      <c r="DZ520" s="29"/>
      <c r="EA520" s="29"/>
      <c r="EB520" s="29"/>
      <c r="EC520" s="29"/>
      <c r="ED520" s="29"/>
      <c r="EE520" s="29"/>
      <c r="EF520" s="111"/>
      <c r="EG520" s="111"/>
      <c r="EH520" s="111"/>
      <c r="EI520" s="111"/>
      <c r="EJ520" s="111"/>
      <c r="EK520" s="111"/>
      <c r="EL520" s="111"/>
      <c r="EM520" s="111"/>
      <c r="EN520" s="111"/>
      <c r="EO520" s="111"/>
      <c r="EP520" s="111"/>
      <c r="EQ520" s="111"/>
      <c r="ER520" s="111"/>
      <c r="ES520" s="111"/>
    </row>
    <row r="521" spans="44:149">
      <c r="AR521" s="29"/>
      <c r="AS521" s="29"/>
      <c r="AT521" s="29"/>
      <c r="AU521" s="29"/>
      <c r="AV521" s="29"/>
      <c r="AW521" s="29"/>
      <c r="AX521" s="29"/>
      <c r="AY521" s="29"/>
      <c r="AZ521" s="29"/>
      <c r="BA521" s="29"/>
      <c r="BB521" s="29"/>
      <c r="BC521" s="29"/>
      <c r="BD521" s="29"/>
      <c r="BE521" s="29"/>
      <c r="BF521" s="111"/>
      <c r="BG521" s="111"/>
      <c r="BH521" s="111"/>
      <c r="BI521" s="111"/>
      <c r="BJ521" s="111"/>
      <c r="BK521" s="111"/>
      <c r="BL521" s="111"/>
      <c r="BM521" s="111"/>
      <c r="BN521" s="111"/>
      <c r="BO521" s="111"/>
      <c r="BP521" s="111"/>
      <c r="BQ521" s="111"/>
      <c r="BR521" s="111"/>
      <c r="BS521" s="111"/>
      <c r="DR521" s="29"/>
      <c r="DS521" s="29"/>
      <c r="DT521" s="29"/>
      <c r="DU521" s="29"/>
      <c r="DV521" s="29"/>
      <c r="DW521" s="29"/>
      <c r="DX521" s="29"/>
      <c r="DY521" s="29"/>
      <c r="DZ521" s="29"/>
      <c r="EA521" s="29"/>
      <c r="EB521" s="29"/>
      <c r="EC521" s="29"/>
      <c r="ED521" s="29"/>
      <c r="EE521" s="29"/>
      <c r="EF521" s="111"/>
      <c r="EG521" s="111"/>
      <c r="EH521" s="111"/>
      <c r="EI521" s="111"/>
      <c r="EJ521" s="111"/>
      <c r="EK521" s="111"/>
      <c r="EL521" s="111"/>
      <c r="EM521" s="111"/>
      <c r="EN521" s="111"/>
      <c r="EO521" s="111"/>
      <c r="EP521" s="111"/>
      <c r="EQ521" s="111"/>
      <c r="ER521" s="111"/>
      <c r="ES521" s="111"/>
    </row>
    <row r="522" spans="44:149">
      <c r="AR522" s="29"/>
      <c r="AS522" s="29"/>
      <c r="AT522" s="29"/>
      <c r="AU522" s="29"/>
      <c r="AV522" s="29"/>
      <c r="AW522" s="29"/>
      <c r="AX522" s="29"/>
      <c r="AY522" s="29"/>
      <c r="AZ522" s="29"/>
      <c r="BA522" s="29"/>
      <c r="BB522" s="29"/>
      <c r="BC522" s="29"/>
      <c r="BD522" s="29"/>
      <c r="BE522" s="29"/>
      <c r="BF522" s="111"/>
      <c r="BG522" s="111"/>
      <c r="BH522" s="111"/>
      <c r="BI522" s="111"/>
      <c r="BJ522" s="111"/>
      <c r="BK522" s="111"/>
      <c r="BL522" s="111"/>
      <c r="BM522" s="111"/>
      <c r="BN522" s="111"/>
      <c r="BO522" s="111"/>
      <c r="BP522" s="111"/>
      <c r="BQ522" s="111"/>
      <c r="BR522" s="111"/>
      <c r="BS522" s="111"/>
      <c r="DR522" s="29"/>
      <c r="DS522" s="29"/>
      <c r="DT522" s="29"/>
      <c r="DU522" s="29"/>
      <c r="DV522" s="29"/>
      <c r="DW522" s="29"/>
      <c r="DX522" s="29"/>
      <c r="DY522" s="29"/>
      <c r="DZ522" s="29"/>
      <c r="EA522" s="29"/>
      <c r="EB522" s="29"/>
      <c r="EC522" s="29"/>
      <c r="ED522" s="29"/>
      <c r="EE522" s="29"/>
      <c r="EF522" s="111"/>
      <c r="EG522" s="111"/>
      <c r="EH522" s="111"/>
      <c r="EI522" s="111"/>
      <c r="EJ522" s="111"/>
      <c r="EK522" s="111"/>
      <c r="EL522" s="111"/>
      <c r="EM522" s="111"/>
      <c r="EN522" s="111"/>
      <c r="EO522" s="111"/>
      <c r="EP522" s="111"/>
      <c r="EQ522" s="111"/>
      <c r="ER522" s="111"/>
      <c r="ES522" s="111"/>
    </row>
    <row r="523" spans="44:149">
      <c r="AR523" s="29"/>
      <c r="AS523" s="29"/>
      <c r="AT523" s="29"/>
      <c r="AU523" s="29"/>
      <c r="AV523" s="29"/>
      <c r="AW523" s="29"/>
      <c r="AX523" s="29"/>
      <c r="AY523" s="29"/>
      <c r="AZ523" s="29"/>
      <c r="BA523" s="29"/>
      <c r="BB523" s="29"/>
      <c r="BC523" s="29"/>
      <c r="BD523" s="29"/>
      <c r="BE523" s="29"/>
      <c r="BF523" s="111"/>
      <c r="BG523" s="111"/>
      <c r="BH523" s="111"/>
      <c r="BI523" s="111"/>
      <c r="BJ523" s="111"/>
      <c r="BK523" s="111"/>
      <c r="BL523" s="111"/>
      <c r="BM523" s="111"/>
      <c r="BN523" s="111"/>
      <c r="BO523" s="111"/>
      <c r="BP523" s="111"/>
      <c r="BQ523" s="111"/>
      <c r="BR523" s="111"/>
      <c r="BS523" s="111"/>
      <c r="DR523" s="29"/>
      <c r="DS523" s="29"/>
      <c r="DT523" s="29"/>
      <c r="DU523" s="29"/>
      <c r="DV523" s="29"/>
      <c r="DW523" s="29"/>
      <c r="DX523" s="29"/>
      <c r="DY523" s="29"/>
      <c r="DZ523" s="29"/>
      <c r="EA523" s="29"/>
      <c r="EB523" s="29"/>
      <c r="EC523" s="29"/>
      <c r="ED523" s="29"/>
      <c r="EE523" s="29"/>
      <c r="EF523" s="111"/>
      <c r="EG523" s="111"/>
      <c r="EH523" s="111"/>
      <c r="EI523" s="111"/>
      <c r="EJ523" s="111"/>
      <c r="EK523" s="111"/>
      <c r="EL523" s="111"/>
      <c r="EM523" s="111"/>
      <c r="EN523" s="111"/>
      <c r="EO523" s="111"/>
      <c r="EP523" s="111"/>
      <c r="EQ523" s="111"/>
      <c r="ER523" s="111"/>
      <c r="ES523" s="111"/>
    </row>
    <row r="524" spans="44:149">
      <c r="AR524" s="29"/>
      <c r="AS524" s="29"/>
      <c r="AT524" s="29"/>
      <c r="AU524" s="29"/>
      <c r="AV524" s="29"/>
      <c r="AW524" s="29"/>
      <c r="AX524" s="29"/>
      <c r="AY524" s="29"/>
      <c r="AZ524" s="29"/>
      <c r="BA524" s="29"/>
      <c r="BB524" s="29"/>
      <c r="BC524" s="29"/>
      <c r="BD524" s="29"/>
      <c r="BE524" s="29"/>
      <c r="BF524" s="111"/>
      <c r="BG524" s="111"/>
      <c r="BH524" s="111"/>
      <c r="BI524" s="111"/>
      <c r="BJ524" s="111"/>
      <c r="BK524" s="111"/>
      <c r="BL524" s="111"/>
      <c r="BM524" s="111"/>
      <c r="BN524" s="111"/>
      <c r="BO524" s="111"/>
      <c r="BP524" s="111"/>
      <c r="BQ524" s="111"/>
      <c r="BR524" s="111"/>
      <c r="BS524" s="111"/>
      <c r="DR524" s="29"/>
      <c r="DS524" s="29"/>
      <c r="DT524" s="29"/>
      <c r="DU524" s="29"/>
      <c r="DV524" s="29"/>
      <c r="DW524" s="29"/>
      <c r="DX524" s="29"/>
      <c r="DY524" s="29"/>
      <c r="DZ524" s="29"/>
      <c r="EA524" s="29"/>
      <c r="EB524" s="29"/>
      <c r="EC524" s="29"/>
      <c r="ED524" s="29"/>
      <c r="EE524" s="29"/>
      <c r="EF524" s="111"/>
      <c r="EG524" s="111"/>
      <c r="EH524" s="111"/>
      <c r="EI524" s="111"/>
      <c r="EJ524" s="111"/>
      <c r="EK524" s="111"/>
      <c r="EL524" s="111"/>
      <c r="EM524" s="111"/>
      <c r="EN524" s="111"/>
      <c r="EO524" s="111"/>
      <c r="EP524" s="111"/>
      <c r="EQ524" s="111"/>
      <c r="ER524" s="111"/>
      <c r="ES524" s="111"/>
    </row>
    <row r="525" spans="44:149">
      <c r="AR525" s="29"/>
      <c r="AS525" s="29"/>
      <c r="AT525" s="29"/>
      <c r="AU525" s="29"/>
      <c r="AV525" s="29"/>
      <c r="AW525" s="29"/>
      <c r="AX525" s="29"/>
      <c r="AY525" s="29"/>
      <c r="AZ525" s="29"/>
      <c r="BA525" s="29"/>
      <c r="BB525" s="29"/>
      <c r="BC525" s="29"/>
      <c r="BD525" s="29"/>
      <c r="BE525" s="29"/>
      <c r="BF525" s="111"/>
      <c r="BG525" s="111"/>
      <c r="BH525" s="111"/>
      <c r="BI525" s="111"/>
      <c r="BJ525" s="111"/>
      <c r="BK525" s="111"/>
      <c r="BL525" s="111"/>
      <c r="BM525" s="111"/>
      <c r="BN525" s="111"/>
      <c r="BO525" s="111"/>
      <c r="BP525" s="111"/>
      <c r="BQ525" s="111"/>
      <c r="BR525" s="111"/>
      <c r="BS525" s="111"/>
      <c r="DR525" s="29"/>
      <c r="DS525" s="29"/>
      <c r="DT525" s="29"/>
      <c r="DU525" s="29"/>
      <c r="DV525" s="29"/>
      <c r="DW525" s="29"/>
      <c r="DX525" s="29"/>
      <c r="DY525" s="29"/>
      <c r="DZ525" s="29"/>
      <c r="EA525" s="29"/>
      <c r="EB525" s="29"/>
      <c r="EC525" s="29"/>
      <c r="ED525" s="29"/>
      <c r="EE525" s="29"/>
      <c r="EF525" s="111"/>
      <c r="EG525" s="111"/>
      <c r="EH525" s="111"/>
      <c r="EI525" s="111"/>
      <c r="EJ525" s="111"/>
      <c r="EK525" s="111"/>
      <c r="EL525" s="111"/>
      <c r="EM525" s="111"/>
      <c r="EN525" s="111"/>
      <c r="EO525" s="111"/>
      <c r="EP525" s="111"/>
      <c r="EQ525" s="111"/>
      <c r="ER525" s="111"/>
      <c r="ES525" s="111"/>
    </row>
    <row r="526" spans="44:149">
      <c r="AR526" s="29"/>
      <c r="AS526" s="29"/>
      <c r="AT526" s="29"/>
      <c r="AU526" s="29"/>
      <c r="AV526" s="29"/>
      <c r="AW526" s="29"/>
      <c r="AX526" s="29"/>
      <c r="AY526" s="29"/>
      <c r="AZ526" s="29"/>
      <c r="BA526" s="29"/>
      <c r="BB526" s="29"/>
      <c r="BC526" s="29"/>
      <c r="BD526" s="29"/>
      <c r="BE526" s="29"/>
      <c r="BF526" s="111"/>
      <c r="BG526" s="111"/>
      <c r="BH526" s="111"/>
      <c r="BI526" s="111"/>
      <c r="BJ526" s="111"/>
      <c r="BK526" s="111"/>
      <c r="BL526" s="111"/>
      <c r="BM526" s="111"/>
      <c r="BN526" s="111"/>
      <c r="BO526" s="111"/>
      <c r="BP526" s="111"/>
      <c r="BQ526" s="111"/>
      <c r="BR526" s="111"/>
      <c r="BS526" s="111"/>
      <c r="DR526" s="29"/>
      <c r="DS526" s="29"/>
      <c r="DT526" s="29"/>
      <c r="DU526" s="29"/>
      <c r="DV526" s="29"/>
      <c r="DW526" s="29"/>
      <c r="DX526" s="29"/>
      <c r="DY526" s="29"/>
      <c r="DZ526" s="29"/>
      <c r="EA526" s="29"/>
      <c r="EB526" s="29"/>
      <c r="EC526" s="29"/>
      <c r="ED526" s="29"/>
      <c r="EE526" s="29"/>
      <c r="EF526" s="111"/>
      <c r="EG526" s="111"/>
      <c r="EH526" s="111"/>
      <c r="EI526" s="111"/>
      <c r="EJ526" s="111"/>
      <c r="EK526" s="111"/>
      <c r="EL526" s="111"/>
      <c r="EM526" s="111"/>
      <c r="EN526" s="111"/>
      <c r="EO526" s="111"/>
      <c r="EP526" s="111"/>
      <c r="EQ526" s="111"/>
      <c r="ER526" s="111"/>
      <c r="ES526" s="111"/>
    </row>
    <row r="527" spans="44:149">
      <c r="AR527" s="29"/>
      <c r="AS527" s="29"/>
      <c r="AT527" s="29"/>
      <c r="AU527" s="29"/>
      <c r="AV527" s="29"/>
      <c r="AW527" s="29"/>
      <c r="AX527" s="29"/>
      <c r="AY527" s="29"/>
      <c r="AZ527" s="29"/>
      <c r="BA527" s="29"/>
      <c r="BB527" s="29"/>
      <c r="BC527" s="29"/>
      <c r="BD527" s="29"/>
      <c r="BE527" s="29"/>
      <c r="BF527" s="111"/>
      <c r="BG527" s="111"/>
      <c r="BH527" s="111"/>
      <c r="BI527" s="111"/>
      <c r="BJ527" s="111"/>
      <c r="BK527" s="111"/>
      <c r="BL527" s="111"/>
      <c r="BM527" s="111"/>
      <c r="BN527" s="111"/>
      <c r="BO527" s="111"/>
      <c r="BP527" s="111"/>
      <c r="BQ527" s="111"/>
      <c r="BR527" s="111"/>
      <c r="BS527" s="111"/>
      <c r="DR527" s="29"/>
      <c r="DS527" s="29"/>
      <c r="DT527" s="29"/>
      <c r="DU527" s="29"/>
      <c r="DV527" s="29"/>
      <c r="DW527" s="29"/>
      <c r="DX527" s="29"/>
      <c r="DY527" s="29"/>
      <c r="DZ527" s="29"/>
      <c r="EA527" s="29"/>
      <c r="EB527" s="29"/>
      <c r="EC527" s="29"/>
      <c r="ED527" s="29"/>
      <c r="EE527" s="29"/>
      <c r="EF527" s="111"/>
      <c r="EG527" s="111"/>
      <c r="EH527" s="111"/>
      <c r="EI527" s="111"/>
      <c r="EJ527" s="111"/>
      <c r="EK527" s="111"/>
      <c r="EL527" s="111"/>
      <c r="EM527" s="111"/>
      <c r="EN527" s="111"/>
      <c r="EO527" s="111"/>
      <c r="EP527" s="111"/>
      <c r="EQ527" s="111"/>
      <c r="ER527" s="111"/>
      <c r="ES527" s="111"/>
    </row>
    <row r="528" spans="44:149">
      <c r="AR528" s="29"/>
      <c r="AS528" s="29"/>
      <c r="AT528" s="29"/>
      <c r="AU528" s="29"/>
      <c r="AV528" s="29"/>
      <c r="AW528" s="29"/>
      <c r="AX528" s="29"/>
      <c r="AY528" s="29"/>
      <c r="AZ528" s="29"/>
      <c r="BA528" s="29"/>
      <c r="BB528" s="29"/>
      <c r="BC528" s="29"/>
      <c r="BD528" s="29"/>
      <c r="BE528" s="29"/>
      <c r="BF528" s="111"/>
      <c r="BG528" s="111"/>
      <c r="BH528" s="111"/>
      <c r="BI528" s="111"/>
      <c r="BJ528" s="111"/>
      <c r="BK528" s="111"/>
      <c r="BL528" s="111"/>
      <c r="BM528" s="111"/>
      <c r="BN528" s="111"/>
      <c r="BO528" s="111"/>
      <c r="BP528" s="111"/>
      <c r="BQ528" s="111"/>
      <c r="BR528" s="111"/>
      <c r="BS528" s="111"/>
      <c r="DR528" s="29"/>
      <c r="DS528" s="29"/>
      <c r="DT528" s="29"/>
      <c r="DU528" s="29"/>
      <c r="DV528" s="29"/>
      <c r="DW528" s="29"/>
      <c r="DX528" s="29"/>
      <c r="DY528" s="29"/>
      <c r="DZ528" s="29"/>
      <c r="EA528" s="29"/>
      <c r="EB528" s="29"/>
      <c r="EC528" s="29"/>
      <c r="ED528" s="29"/>
      <c r="EE528" s="29"/>
      <c r="EF528" s="111"/>
      <c r="EG528" s="111"/>
      <c r="EH528" s="111"/>
      <c r="EI528" s="111"/>
      <c r="EJ528" s="111"/>
      <c r="EK528" s="111"/>
      <c r="EL528" s="111"/>
      <c r="EM528" s="111"/>
      <c r="EN528" s="111"/>
      <c r="EO528" s="111"/>
      <c r="EP528" s="111"/>
      <c r="EQ528" s="111"/>
      <c r="ER528" s="111"/>
      <c r="ES528" s="111"/>
    </row>
    <row r="529" spans="44:149">
      <c r="AR529" s="29"/>
      <c r="AS529" s="29"/>
      <c r="AT529" s="29"/>
      <c r="AU529" s="29"/>
      <c r="AV529" s="29"/>
      <c r="AW529" s="29"/>
      <c r="AX529" s="29"/>
      <c r="AY529" s="29"/>
      <c r="AZ529" s="29"/>
      <c r="BA529" s="29"/>
      <c r="BB529" s="29"/>
      <c r="BC529" s="29"/>
      <c r="BD529" s="29"/>
      <c r="BE529" s="29"/>
      <c r="BF529" s="111"/>
      <c r="BG529" s="111"/>
      <c r="BH529" s="111"/>
      <c r="BI529" s="111"/>
      <c r="BJ529" s="111"/>
      <c r="BK529" s="111"/>
      <c r="BL529" s="111"/>
      <c r="BM529" s="111"/>
      <c r="BN529" s="111"/>
      <c r="BO529" s="111"/>
      <c r="BP529" s="111"/>
      <c r="BQ529" s="111"/>
      <c r="BR529" s="111"/>
      <c r="BS529" s="111"/>
      <c r="DR529" s="29"/>
      <c r="DS529" s="29"/>
      <c r="DT529" s="29"/>
      <c r="DU529" s="29"/>
      <c r="DV529" s="29"/>
      <c r="DW529" s="29"/>
      <c r="DX529" s="29"/>
      <c r="DY529" s="29"/>
      <c r="DZ529" s="29"/>
      <c r="EA529" s="29"/>
      <c r="EB529" s="29"/>
      <c r="EC529" s="29"/>
      <c r="ED529" s="29"/>
      <c r="EE529" s="29"/>
      <c r="EF529" s="111"/>
      <c r="EG529" s="111"/>
      <c r="EH529" s="111"/>
      <c r="EI529" s="111"/>
      <c r="EJ529" s="111"/>
      <c r="EK529" s="111"/>
      <c r="EL529" s="111"/>
      <c r="EM529" s="111"/>
      <c r="EN529" s="111"/>
      <c r="EO529" s="111"/>
      <c r="EP529" s="111"/>
      <c r="EQ529" s="111"/>
      <c r="ER529" s="111"/>
      <c r="ES529" s="111"/>
    </row>
    <row r="530" spans="44:149">
      <c r="AR530" s="29"/>
      <c r="AS530" s="29"/>
      <c r="AT530" s="29"/>
      <c r="AU530" s="29"/>
      <c r="AV530" s="29"/>
      <c r="AW530" s="29"/>
      <c r="AX530" s="29"/>
      <c r="AY530" s="29"/>
      <c r="AZ530" s="29"/>
      <c r="BA530" s="29"/>
      <c r="BB530" s="29"/>
      <c r="BC530" s="29"/>
      <c r="BD530" s="29"/>
      <c r="BE530" s="29"/>
      <c r="BF530" s="111"/>
      <c r="BG530" s="111"/>
      <c r="BH530" s="111"/>
      <c r="BI530" s="111"/>
      <c r="BJ530" s="111"/>
      <c r="BK530" s="111"/>
      <c r="BL530" s="111"/>
      <c r="BM530" s="111"/>
      <c r="BN530" s="111"/>
      <c r="BO530" s="111"/>
      <c r="BP530" s="111"/>
      <c r="BQ530" s="111"/>
      <c r="BR530" s="111"/>
      <c r="BS530" s="111"/>
      <c r="DR530" s="29"/>
      <c r="DS530" s="29"/>
      <c r="DT530" s="29"/>
      <c r="DU530" s="29"/>
      <c r="DV530" s="29"/>
      <c r="DW530" s="29"/>
      <c r="DX530" s="29"/>
      <c r="DY530" s="29"/>
      <c r="DZ530" s="29"/>
      <c r="EA530" s="29"/>
      <c r="EB530" s="29"/>
      <c r="EC530" s="29"/>
      <c r="ED530" s="29"/>
      <c r="EE530" s="29"/>
      <c r="EF530" s="111"/>
      <c r="EG530" s="111"/>
      <c r="EH530" s="111"/>
      <c r="EI530" s="111"/>
      <c r="EJ530" s="111"/>
      <c r="EK530" s="111"/>
      <c r="EL530" s="111"/>
      <c r="EM530" s="111"/>
      <c r="EN530" s="111"/>
      <c r="EO530" s="111"/>
      <c r="EP530" s="111"/>
      <c r="EQ530" s="111"/>
      <c r="ER530" s="111"/>
      <c r="ES530" s="111"/>
    </row>
    <row r="531" spans="44:149">
      <c r="AR531" s="29"/>
      <c r="AS531" s="29"/>
      <c r="AT531" s="29"/>
      <c r="AU531" s="29"/>
      <c r="AV531" s="29"/>
      <c r="AW531" s="29"/>
      <c r="AX531" s="29"/>
      <c r="AY531" s="29"/>
      <c r="AZ531" s="29"/>
      <c r="BA531" s="29"/>
      <c r="BB531" s="29"/>
      <c r="BC531" s="29"/>
      <c r="BD531" s="29"/>
      <c r="BE531" s="29"/>
      <c r="BF531" s="111"/>
      <c r="BG531" s="111"/>
      <c r="BH531" s="111"/>
      <c r="BI531" s="111"/>
      <c r="BJ531" s="111"/>
      <c r="BK531" s="111"/>
      <c r="BL531" s="111"/>
      <c r="BM531" s="111"/>
      <c r="BN531" s="111"/>
      <c r="BO531" s="111"/>
      <c r="BP531" s="111"/>
      <c r="BQ531" s="111"/>
      <c r="BR531" s="111"/>
      <c r="BS531" s="111"/>
      <c r="DR531" s="29"/>
      <c r="DS531" s="29"/>
      <c r="DT531" s="29"/>
      <c r="DU531" s="29"/>
      <c r="DV531" s="29"/>
      <c r="DW531" s="29"/>
      <c r="DX531" s="29"/>
      <c r="DY531" s="29"/>
      <c r="DZ531" s="29"/>
      <c r="EA531" s="29"/>
      <c r="EB531" s="29"/>
      <c r="EC531" s="29"/>
      <c r="ED531" s="29"/>
      <c r="EE531" s="29"/>
      <c r="EF531" s="111"/>
      <c r="EG531" s="111"/>
      <c r="EH531" s="111"/>
      <c r="EI531" s="111"/>
      <c r="EJ531" s="111"/>
      <c r="EK531" s="111"/>
      <c r="EL531" s="111"/>
      <c r="EM531" s="111"/>
      <c r="EN531" s="111"/>
      <c r="EO531" s="111"/>
      <c r="EP531" s="111"/>
      <c r="EQ531" s="111"/>
      <c r="ER531" s="111"/>
      <c r="ES531" s="111"/>
    </row>
    <row r="532" spans="44:149">
      <c r="AR532" s="29"/>
      <c r="AS532" s="29"/>
      <c r="AT532" s="29"/>
      <c r="AU532" s="29"/>
      <c r="AV532" s="29"/>
      <c r="AW532" s="29"/>
      <c r="AX532" s="29"/>
      <c r="AY532" s="29"/>
      <c r="AZ532" s="29"/>
      <c r="BA532" s="29"/>
      <c r="BB532" s="29"/>
      <c r="BC532" s="29"/>
      <c r="BD532" s="29"/>
      <c r="BE532" s="29"/>
      <c r="BF532" s="111"/>
      <c r="BG532" s="111"/>
      <c r="BH532" s="111"/>
      <c r="BI532" s="111"/>
      <c r="BJ532" s="111"/>
      <c r="BK532" s="111"/>
      <c r="BL532" s="111"/>
      <c r="BM532" s="111"/>
      <c r="BN532" s="111"/>
      <c r="BO532" s="111"/>
      <c r="BP532" s="111"/>
      <c r="BQ532" s="111"/>
      <c r="BR532" s="111"/>
      <c r="BS532" s="111"/>
      <c r="DR532" s="29"/>
      <c r="DS532" s="29"/>
      <c r="DT532" s="29"/>
      <c r="DU532" s="29"/>
      <c r="DV532" s="29"/>
      <c r="DW532" s="29"/>
      <c r="DX532" s="29"/>
      <c r="DY532" s="29"/>
      <c r="DZ532" s="29"/>
      <c r="EA532" s="29"/>
      <c r="EB532" s="29"/>
      <c r="EC532" s="29"/>
      <c r="ED532" s="29"/>
      <c r="EE532" s="29"/>
      <c r="EF532" s="111"/>
      <c r="EG532" s="111"/>
      <c r="EH532" s="111"/>
      <c r="EI532" s="111"/>
      <c r="EJ532" s="111"/>
      <c r="EK532" s="111"/>
      <c r="EL532" s="111"/>
      <c r="EM532" s="111"/>
      <c r="EN532" s="111"/>
      <c r="EO532" s="111"/>
      <c r="EP532" s="111"/>
      <c r="EQ532" s="111"/>
      <c r="ER532" s="111"/>
      <c r="ES532" s="111"/>
    </row>
    <row r="533" spans="44:149">
      <c r="AR533" s="29"/>
      <c r="AS533" s="29"/>
      <c r="AT533" s="29"/>
      <c r="AU533" s="29"/>
      <c r="AV533" s="29"/>
      <c r="AW533" s="29"/>
      <c r="AX533" s="29"/>
      <c r="AY533" s="29"/>
      <c r="AZ533" s="29"/>
      <c r="BA533" s="29"/>
      <c r="BB533" s="29"/>
      <c r="BC533" s="29"/>
      <c r="BD533" s="29"/>
      <c r="BE533" s="29"/>
      <c r="BF533" s="111"/>
      <c r="BG533" s="111"/>
      <c r="BH533" s="111"/>
      <c r="BI533" s="111"/>
      <c r="BJ533" s="111"/>
      <c r="BK533" s="111"/>
      <c r="BL533" s="111"/>
      <c r="BM533" s="111"/>
      <c r="BN533" s="111"/>
      <c r="BO533" s="111"/>
      <c r="BP533" s="111"/>
      <c r="BQ533" s="111"/>
      <c r="BR533" s="111"/>
      <c r="BS533" s="111"/>
      <c r="DR533" s="29"/>
      <c r="DS533" s="29"/>
      <c r="DT533" s="29"/>
      <c r="DU533" s="29"/>
      <c r="DV533" s="29"/>
      <c r="DW533" s="29"/>
      <c r="DX533" s="29"/>
      <c r="DY533" s="29"/>
      <c r="DZ533" s="29"/>
      <c r="EA533" s="29"/>
      <c r="EB533" s="29"/>
      <c r="EC533" s="29"/>
      <c r="ED533" s="29"/>
      <c r="EE533" s="29"/>
      <c r="EF533" s="111"/>
      <c r="EG533" s="111"/>
      <c r="EH533" s="111"/>
      <c r="EI533" s="111"/>
      <c r="EJ533" s="111"/>
      <c r="EK533" s="111"/>
      <c r="EL533" s="111"/>
      <c r="EM533" s="111"/>
      <c r="EN533" s="111"/>
      <c r="EO533" s="111"/>
      <c r="EP533" s="111"/>
      <c r="EQ533" s="111"/>
      <c r="ER533" s="111"/>
      <c r="ES533" s="111"/>
    </row>
    <row r="534" spans="44:149">
      <c r="AR534" s="29"/>
      <c r="AS534" s="29"/>
      <c r="AT534" s="29"/>
      <c r="AU534" s="29"/>
      <c r="AV534" s="29"/>
      <c r="AW534" s="29"/>
      <c r="AX534" s="29"/>
      <c r="AY534" s="29"/>
      <c r="AZ534" s="29"/>
      <c r="BA534" s="29"/>
      <c r="BB534" s="29"/>
      <c r="BC534" s="29"/>
      <c r="BD534" s="29"/>
      <c r="BE534" s="29"/>
      <c r="BF534" s="111"/>
      <c r="BG534" s="111"/>
      <c r="BH534" s="111"/>
      <c r="BI534" s="111"/>
      <c r="BJ534" s="111"/>
      <c r="BK534" s="111"/>
      <c r="BL534" s="111"/>
      <c r="BM534" s="111"/>
      <c r="BN534" s="111"/>
      <c r="BO534" s="111"/>
      <c r="BP534" s="111"/>
      <c r="BQ534" s="111"/>
      <c r="BR534" s="111"/>
      <c r="BS534" s="111"/>
      <c r="DR534" s="29"/>
      <c r="DS534" s="29"/>
      <c r="DT534" s="29"/>
      <c r="DU534" s="29"/>
      <c r="DV534" s="29"/>
      <c r="DW534" s="29"/>
      <c r="DX534" s="29"/>
      <c r="DY534" s="29"/>
      <c r="DZ534" s="29"/>
      <c r="EA534" s="29"/>
      <c r="EB534" s="29"/>
      <c r="EC534" s="29"/>
      <c r="ED534" s="29"/>
      <c r="EE534" s="29"/>
      <c r="EF534" s="111"/>
      <c r="EG534" s="111"/>
      <c r="EH534" s="111"/>
      <c r="EI534" s="111"/>
      <c r="EJ534" s="111"/>
      <c r="EK534" s="111"/>
      <c r="EL534" s="111"/>
      <c r="EM534" s="111"/>
      <c r="EN534" s="111"/>
      <c r="EO534" s="111"/>
      <c r="EP534" s="111"/>
      <c r="EQ534" s="111"/>
      <c r="ER534" s="111"/>
      <c r="ES534" s="111"/>
    </row>
    <row r="535" spans="44:149">
      <c r="AR535" s="29"/>
      <c r="AS535" s="29"/>
      <c r="AT535" s="29"/>
      <c r="AU535" s="29"/>
      <c r="AV535" s="29"/>
      <c r="AW535" s="29"/>
      <c r="AX535" s="29"/>
      <c r="AY535" s="29"/>
      <c r="AZ535" s="29"/>
      <c r="BA535" s="29"/>
      <c r="BB535" s="29"/>
      <c r="BC535" s="29"/>
      <c r="BD535" s="29"/>
      <c r="BE535" s="29"/>
      <c r="BF535" s="111"/>
      <c r="BG535" s="111"/>
      <c r="BH535" s="111"/>
      <c r="BI535" s="111"/>
      <c r="BJ535" s="111"/>
      <c r="BK535" s="111"/>
      <c r="BL535" s="111"/>
      <c r="BM535" s="111"/>
      <c r="BN535" s="111"/>
      <c r="BO535" s="111"/>
      <c r="BP535" s="111"/>
      <c r="BQ535" s="111"/>
      <c r="BR535" s="111"/>
      <c r="BS535" s="111"/>
      <c r="DR535" s="29"/>
      <c r="DS535" s="29"/>
      <c r="DT535" s="29"/>
      <c r="DU535" s="29"/>
      <c r="DV535" s="29"/>
      <c r="DW535" s="29"/>
      <c r="DX535" s="29"/>
      <c r="DY535" s="29"/>
      <c r="DZ535" s="29"/>
      <c r="EA535" s="29"/>
      <c r="EB535" s="29"/>
      <c r="EC535" s="29"/>
      <c r="ED535" s="29"/>
      <c r="EE535" s="29"/>
      <c r="EF535" s="111"/>
      <c r="EG535" s="111"/>
      <c r="EH535" s="111"/>
      <c r="EI535" s="111"/>
      <c r="EJ535" s="111"/>
      <c r="EK535" s="111"/>
      <c r="EL535" s="111"/>
      <c r="EM535" s="111"/>
      <c r="EN535" s="111"/>
      <c r="EO535" s="111"/>
      <c r="EP535" s="111"/>
      <c r="EQ535" s="111"/>
      <c r="ER535" s="111"/>
      <c r="ES535" s="111"/>
    </row>
    <row r="536" spans="44:149">
      <c r="AR536" s="29"/>
      <c r="AS536" s="29"/>
      <c r="AT536" s="29"/>
      <c r="AU536" s="29"/>
      <c r="AV536" s="29"/>
      <c r="AW536" s="29"/>
      <c r="AX536" s="29"/>
      <c r="AY536" s="29"/>
      <c r="AZ536" s="29"/>
      <c r="BA536" s="29"/>
      <c r="BB536" s="29"/>
      <c r="BC536" s="29"/>
      <c r="BD536" s="29"/>
      <c r="BE536" s="29"/>
      <c r="BF536" s="111"/>
      <c r="BG536" s="111"/>
      <c r="BH536" s="111"/>
      <c r="BI536" s="111"/>
      <c r="BJ536" s="111"/>
      <c r="BK536" s="111"/>
      <c r="BL536" s="111"/>
      <c r="BM536" s="111"/>
      <c r="BN536" s="111"/>
      <c r="BO536" s="111"/>
      <c r="BP536" s="111"/>
      <c r="BQ536" s="111"/>
      <c r="BR536" s="111"/>
      <c r="BS536" s="111"/>
      <c r="DR536" s="29"/>
      <c r="DS536" s="29"/>
      <c r="DT536" s="29"/>
      <c r="DU536" s="29"/>
      <c r="DV536" s="29"/>
      <c r="DW536" s="29"/>
      <c r="DX536" s="29"/>
      <c r="DY536" s="29"/>
      <c r="DZ536" s="29"/>
      <c r="EA536" s="29"/>
      <c r="EB536" s="29"/>
      <c r="EC536" s="29"/>
      <c r="ED536" s="29"/>
      <c r="EE536" s="29"/>
      <c r="EF536" s="111"/>
      <c r="EG536" s="111"/>
      <c r="EH536" s="111"/>
      <c r="EI536" s="111"/>
      <c r="EJ536" s="111"/>
      <c r="EK536" s="111"/>
      <c r="EL536" s="111"/>
      <c r="EM536" s="111"/>
      <c r="EN536" s="111"/>
      <c r="EO536" s="111"/>
      <c r="EP536" s="111"/>
      <c r="EQ536" s="111"/>
      <c r="ER536" s="111"/>
      <c r="ES536" s="111"/>
    </row>
    <row r="537" spans="44:149">
      <c r="AR537" s="29"/>
      <c r="AS537" s="29"/>
      <c r="AT537" s="29"/>
      <c r="AU537" s="29"/>
      <c r="AV537" s="29"/>
      <c r="AW537" s="29"/>
      <c r="AX537" s="29"/>
      <c r="AY537" s="29"/>
      <c r="AZ537" s="29"/>
      <c r="BA537" s="29"/>
      <c r="BB537" s="29"/>
      <c r="BC537" s="29"/>
      <c r="BD537" s="29"/>
      <c r="BE537" s="29"/>
      <c r="BF537" s="111"/>
      <c r="BG537" s="111"/>
      <c r="BH537" s="111"/>
      <c r="BI537" s="111"/>
      <c r="BJ537" s="111"/>
      <c r="BK537" s="111"/>
      <c r="BL537" s="111"/>
      <c r="BM537" s="111"/>
      <c r="BN537" s="111"/>
      <c r="BO537" s="111"/>
      <c r="BP537" s="111"/>
      <c r="BQ537" s="111"/>
      <c r="BR537" s="111"/>
      <c r="BS537" s="111"/>
      <c r="DR537" s="29"/>
      <c r="DS537" s="29"/>
      <c r="DT537" s="29"/>
      <c r="DU537" s="29"/>
      <c r="DV537" s="29"/>
      <c r="DW537" s="29"/>
      <c r="DX537" s="29"/>
      <c r="DY537" s="29"/>
      <c r="DZ537" s="29"/>
      <c r="EA537" s="29"/>
      <c r="EB537" s="29"/>
      <c r="EC537" s="29"/>
      <c r="ED537" s="29"/>
      <c r="EE537" s="29"/>
      <c r="EF537" s="111"/>
      <c r="EG537" s="111"/>
      <c r="EH537" s="111"/>
      <c r="EI537" s="111"/>
      <c r="EJ537" s="111"/>
      <c r="EK537" s="111"/>
      <c r="EL537" s="111"/>
      <c r="EM537" s="111"/>
      <c r="EN537" s="111"/>
      <c r="EO537" s="111"/>
      <c r="EP537" s="111"/>
      <c r="EQ537" s="111"/>
      <c r="ER537" s="111"/>
      <c r="ES537" s="111"/>
    </row>
    <row r="538" spans="44:149">
      <c r="AR538" s="29"/>
      <c r="AS538" s="29"/>
      <c r="AT538" s="29"/>
      <c r="AU538" s="29"/>
      <c r="AV538" s="29"/>
      <c r="AW538" s="29"/>
      <c r="AX538" s="29"/>
      <c r="AY538" s="29"/>
      <c r="AZ538" s="29"/>
      <c r="BA538" s="29"/>
      <c r="BB538" s="29"/>
      <c r="BC538" s="29"/>
      <c r="BD538" s="29"/>
      <c r="BE538" s="29"/>
      <c r="BF538" s="111"/>
      <c r="BG538" s="111"/>
      <c r="BH538" s="111"/>
      <c r="BI538" s="111"/>
      <c r="BJ538" s="111"/>
      <c r="BK538" s="111"/>
      <c r="BL538" s="111"/>
      <c r="BM538" s="111"/>
      <c r="BN538" s="111"/>
      <c r="BO538" s="111"/>
      <c r="BP538" s="111"/>
      <c r="BQ538" s="111"/>
      <c r="BR538" s="111"/>
      <c r="BS538" s="111"/>
      <c r="DR538" s="29"/>
      <c r="DS538" s="29"/>
      <c r="DT538" s="29"/>
      <c r="DU538" s="29"/>
      <c r="DV538" s="29"/>
      <c r="DW538" s="29"/>
      <c r="DX538" s="29"/>
      <c r="DY538" s="29"/>
      <c r="DZ538" s="29"/>
      <c r="EA538" s="29"/>
      <c r="EB538" s="29"/>
      <c r="EC538" s="29"/>
      <c r="ED538" s="29"/>
      <c r="EE538" s="29"/>
      <c r="EF538" s="111"/>
      <c r="EG538" s="111"/>
      <c r="EH538" s="111"/>
      <c r="EI538" s="111"/>
      <c r="EJ538" s="111"/>
      <c r="EK538" s="111"/>
      <c r="EL538" s="111"/>
      <c r="EM538" s="111"/>
      <c r="EN538" s="111"/>
      <c r="EO538" s="111"/>
      <c r="EP538" s="111"/>
      <c r="EQ538" s="111"/>
      <c r="ER538" s="111"/>
      <c r="ES538" s="111"/>
    </row>
    <row r="539" spans="44:149">
      <c r="AR539" s="29"/>
      <c r="AS539" s="29"/>
      <c r="AT539" s="29"/>
      <c r="AU539" s="29"/>
      <c r="AV539" s="29"/>
      <c r="AW539" s="29"/>
      <c r="AX539" s="29"/>
      <c r="AY539" s="29"/>
      <c r="AZ539" s="29"/>
      <c r="BA539" s="29"/>
      <c r="BB539" s="29"/>
      <c r="BC539" s="29"/>
      <c r="BD539" s="29"/>
      <c r="BE539" s="29"/>
      <c r="BF539" s="111"/>
      <c r="BG539" s="111"/>
      <c r="BH539" s="111"/>
      <c r="BI539" s="111"/>
      <c r="BJ539" s="111"/>
      <c r="BK539" s="111"/>
      <c r="BL539" s="111"/>
      <c r="BM539" s="111"/>
      <c r="BN539" s="111"/>
      <c r="BO539" s="111"/>
      <c r="BP539" s="111"/>
      <c r="BQ539" s="111"/>
      <c r="BR539" s="111"/>
      <c r="BS539" s="111"/>
      <c r="DR539" s="29"/>
      <c r="DS539" s="29"/>
      <c r="DT539" s="29"/>
      <c r="DU539" s="29"/>
      <c r="DV539" s="29"/>
      <c r="DW539" s="29"/>
      <c r="DX539" s="29"/>
      <c r="DY539" s="29"/>
      <c r="DZ539" s="29"/>
      <c r="EA539" s="29"/>
      <c r="EB539" s="29"/>
      <c r="EC539" s="29"/>
      <c r="ED539" s="29"/>
      <c r="EE539" s="29"/>
      <c r="EF539" s="111"/>
      <c r="EG539" s="111"/>
      <c r="EH539" s="111"/>
      <c r="EI539" s="111"/>
      <c r="EJ539" s="111"/>
      <c r="EK539" s="111"/>
      <c r="EL539" s="111"/>
      <c r="EM539" s="111"/>
      <c r="EN539" s="111"/>
      <c r="EO539" s="111"/>
      <c r="EP539" s="111"/>
      <c r="EQ539" s="111"/>
      <c r="ER539" s="111"/>
      <c r="ES539" s="111"/>
    </row>
    <row r="540" spans="44:149">
      <c r="AR540" s="29"/>
      <c r="AS540" s="29"/>
      <c r="AT540" s="29"/>
      <c r="AU540" s="29"/>
      <c r="AV540" s="29"/>
      <c r="AW540" s="29"/>
      <c r="AX540" s="29"/>
      <c r="AY540" s="29"/>
      <c r="AZ540" s="29"/>
      <c r="BA540" s="29"/>
      <c r="BB540" s="29"/>
      <c r="BC540" s="29"/>
      <c r="BD540" s="29"/>
      <c r="BE540" s="29"/>
      <c r="BF540" s="111"/>
      <c r="BG540" s="111"/>
      <c r="BH540" s="111"/>
      <c r="BI540" s="111"/>
      <c r="BJ540" s="111"/>
      <c r="BK540" s="111"/>
      <c r="BL540" s="111"/>
      <c r="BM540" s="111"/>
      <c r="BN540" s="111"/>
      <c r="BO540" s="111"/>
      <c r="BP540" s="111"/>
      <c r="BQ540" s="111"/>
      <c r="BR540" s="111"/>
      <c r="BS540" s="111"/>
      <c r="DR540" s="29"/>
      <c r="DS540" s="29"/>
      <c r="DT540" s="29"/>
      <c r="DU540" s="29"/>
      <c r="DV540" s="29"/>
      <c r="DW540" s="29"/>
      <c r="DX540" s="29"/>
      <c r="DY540" s="29"/>
      <c r="DZ540" s="29"/>
      <c r="EA540" s="29"/>
      <c r="EB540" s="29"/>
      <c r="EC540" s="29"/>
      <c r="ED540" s="29"/>
      <c r="EE540" s="29"/>
      <c r="EF540" s="111"/>
      <c r="EG540" s="111"/>
      <c r="EH540" s="111"/>
      <c r="EI540" s="111"/>
      <c r="EJ540" s="111"/>
      <c r="EK540" s="111"/>
      <c r="EL540" s="111"/>
      <c r="EM540" s="111"/>
      <c r="EN540" s="111"/>
      <c r="EO540" s="111"/>
      <c r="EP540" s="111"/>
      <c r="EQ540" s="111"/>
      <c r="ER540" s="111"/>
      <c r="ES540" s="111"/>
    </row>
    <row r="541" spans="44:149">
      <c r="AR541" s="29"/>
      <c r="AS541" s="29"/>
      <c r="AT541" s="29"/>
      <c r="AU541" s="29"/>
      <c r="AV541" s="29"/>
      <c r="AW541" s="29"/>
      <c r="AX541" s="29"/>
      <c r="AY541" s="29"/>
      <c r="AZ541" s="29"/>
      <c r="BA541" s="29"/>
      <c r="BB541" s="29"/>
      <c r="BC541" s="29"/>
      <c r="BD541" s="29"/>
      <c r="BE541" s="29"/>
      <c r="BF541" s="111"/>
      <c r="BG541" s="111"/>
      <c r="BH541" s="111"/>
      <c r="BI541" s="111"/>
      <c r="BJ541" s="111"/>
      <c r="BK541" s="111"/>
      <c r="BL541" s="111"/>
      <c r="BM541" s="111"/>
      <c r="BN541" s="111"/>
      <c r="BO541" s="111"/>
      <c r="BP541" s="111"/>
      <c r="BQ541" s="111"/>
      <c r="BR541" s="111"/>
      <c r="BS541" s="111"/>
      <c r="DR541" s="29"/>
      <c r="DS541" s="29"/>
      <c r="DT541" s="29"/>
      <c r="DU541" s="29"/>
      <c r="DV541" s="29"/>
      <c r="DW541" s="29"/>
      <c r="DX541" s="29"/>
      <c r="DY541" s="29"/>
      <c r="DZ541" s="29"/>
      <c r="EA541" s="29"/>
      <c r="EB541" s="29"/>
      <c r="EC541" s="29"/>
      <c r="ED541" s="29"/>
      <c r="EE541" s="29"/>
      <c r="EF541" s="111"/>
      <c r="EG541" s="111"/>
      <c r="EH541" s="111"/>
      <c r="EI541" s="111"/>
      <c r="EJ541" s="111"/>
      <c r="EK541" s="111"/>
      <c r="EL541" s="111"/>
      <c r="EM541" s="111"/>
      <c r="EN541" s="111"/>
      <c r="EO541" s="111"/>
      <c r="EP541" s="111"/>
      <c r="EQ541" s="111"/>
      <c r="ER541" s="111"/>
      <c r="ES541" s="111"/>
    </row>
    <row r="542" spans="44:149">
      <c r="AR542" s="29"/>
      <c r="AS542" s="29"/>
      <c r="AT542" s="29"/>
      <c r="AU542" s="29"/>
      <c r="AV542" s="29"/>
      <c r="AW542" s="29"/>
      <c r="AX542" s="29"/>
      <c r="AY542" s="29"/>
      <c r="AZ542" s="29"/>
      <c r="BA542" s="29"/>
      <c r="BB542" s="29"/>
      <c r="BC542" s="29"/>
      <c r="BD542" s="29"/>
      <c r="BE542" s="29"/>
      <c r="BF542" s="111"/>
      <c r="BG542" s="111"/>
      <c r="BH542" s="111"/>
      <c r="BI542" s="111"/>
      <c r="BJ542" s="111"/>
      <c r="BK542" s="111"/>
      <c r="BL542" s="111"/>
      <c r="BM542" s="111"/>
      <c r="BN542" s="111"/>
      <c r="BO542" s="111"/>
      <c r="BP542" s="111"/>
      <c r="BQ542" s="111"/>
      <c r="BR542" s="111"/>
      <c r="BS542" s="111"/>
      <c r="DR542" s="29"/>
      <c r="DS542" s="29"/>
      <c r="DT542" s="29"/>
      <c r="DU542" s="29"/>
      <c r="DV542" s="29"/>
      <c r="DW542" s="29"/>
      <c r="DX542" s="29"/>
      <c r="DY542" s="29"/>
      <c r="DZ542" s="29"/>
      <c r="EA542" s="29"/>
      <c r="EB542" s="29"/>
      <c r="EC542" s="29"/>
      <c r="ED542" s="29"/>
      <c r="EE542" s="29"/>
      <c r="EF542" s="111"/>
      <c r="EG542" s="111"/>
      <c r="EH542" s="111"/>
      <c r="EI542" s="111"/>
      <c r="EJ542" s="111"/>
      <c r="EK542" s="111"/>
      <c r="EL542" s="111"/>
      <c r="EM542" s="111"/>
      <c r="EN542" s="111"/>
      <c r="EO542" s="111"/>
      <c r="EP542" s="111"/>
      <c r="EQ542" s="111"/>
      <c r="ER542" s="111"/>
      <c r="ES542" s="111"/>
    </row>
    <row r="543" spans="44:149">
      <c r="AR543" s="29"/>
      <c r="AS543" s="29"/>
      <c r="AT543" s="29"/>
      <c r="AU543" s="29"/>
      <c r="AV543" s="29"/>
      <c r="AW543" s="29"/>
      <c r="AX543" s="29"/>
      <c r="AY543" s="29"/>
      <c r="AZ543" s="29"/>
      <c r="BA543" s="29"/>
      <c r="BB543" s="29"/>
      <c r="BC543" s="29"/>
      <c r="BD543" s="29"/>
      <c r="BE543" s="29"/>
      <c r="BF543" s="111"/>
      <c r="BG543" s="111"/>
      <c r="BH543" s="111"/>
      <c r="BI543" s="111"/>
      <c r="BJ543" s="111"/>
      <c r="BK543" s="111"/>
      <c r="BL543" s="111"/>
      <c r="BM543" s="111"/>
      <c r="BN543" s="111"/>
      <c r="BO543" s="111"/>
      <c r="BP543" s="111"/>
      <c r="BQ543" s="111"/>
      <c r="BR543" s="111"/>
      <c r="BS543" s="111"/>
      <c r="DR543" s="29"/>
      <c r="DS543" s="29"/>
      <c r="DT543" s="29"/>
      <c r="DU543" s="29"/>
      <c r="DV543" s="29"/>
      <c r="DW543" s="29"/>
      <c r="DX543" s="29"/>
      <c r="DY543" s="29"/>
      <c r="DZ543" s="29"/>
      <c r="EA543" s="29"/>
      <c r="EB543" s="29"/>
      <c r="EC543" s="29"/>
      <c r="ED543" s="29"/>
      <c r="EE543" s="29"/>
      <c r="EF543" s="111"/>
      <c r="EG543" s="111"/>
      <c r="EH543" s="111"/>
      <c r="EI543" s="111"/>
      <c r="EJ543" s="111"/>
      <c r="EK543" s="111"/>
      <c r="EL543" s="111"/>
      <c r="EM543" s="111"/>
      <c r="EN543" s="111"/>
      <c r="EO543" s="111"/>
      <c r="EP543" s="111"/>
      <c r="EQ543" s="111"/>
      <c r="ER543" s="111"/>
      <c r="ES543" s="111"/>
    </row>
    <row r="544" spans="44:149">
      <c r="AR544" s="29"/>
      <c r="AS544" s="29"/>
      <c r="AT544" s="29"/>
      <c r="AU544" s="29"/>
      <c r="AV544" s="29"/>
      <c r="AW544" s="29"/>
      <c r="AX544" s="29"/>
      <c r="AY544" s="29"/>
      <c r="AZ544" s="29"/>
      <c r="BA544" s="29"/>
      <c r="BB544" s="29"/>
      <c r="BC544" s="29"/>
      <c r="BD544" s="29"/>
      <c r="BE544" s="29"/>
      <c r="BF544" s="111"/>
      <c r="BG544" s="111"/>
      <c r="BH544" s="111"/>
      <c r="BI544" s="111"/>
      <c r="BJ544" s="111"/>
      <c r="BK544" s="111"/>
      <c r="BL544" s="111"/>
      <c r="BM544" s="111"/>
      <c r="BN544" s="111"/>
      <c r="BO544" s="111"/>
      <c r="BP544" s="111"/>
      <c r="BQ544" s="111"/>
      <c r="BR544" s="111"/>
      <c r="BS544" s="111"/>
      <c r="DR544" s="29"/>
      <c r="DS544" s="29"/>
      <c r="DT544" s="29"/>
      <c r="DU544" s="29"/>
      <c r="DV544" s="29"/>
      <c r="DW544" s="29"/>
      <c r="DX544" s="29"/>
      <c r="DY544" s="29"/>
      <c r="DZ544" s="29"/>
      <c r="EA544" s="29"/>
      <c r="EB544" s="29"/>
      <c r="EC544" s="29"/>
      <c r="ED544" s="29"/>
      <c r="EE544" s="29"/>
      <c r="EF544" s="111"/>
      <c r="EG544" s="111"/>
      <c r="EH544" s="111"/>
      <c r="EI544" s="111"/>
      <c r="EJ544" s="111"/>
      <c r="EK544" s="111"/>
      <c r="EL544" s="111"/>
      <c r="EM544" s="111"/>
      <c r="EN544" s="111"/>
      <c r="EO544" s="111"/>
      <c r="EP544" s="111"/>
      <c r="EQ544" s="111"/>
      <c r="ER544" s="111"/>
      <c r="ES544" s="111"/>
    </row>
    <row r="545" spans="44:149">
      <c r="AR545" s="29"/>
      <c r="AS545" s="29"/>
      <c r="AT545" s="29"/>
      <c r="AU545" s="29"/>
      <c r="AV545" s="29"/>
      <c r="AW545" s="29"/>
      <c r="AX545" s="29"/>
      <c r="AY545" s="29"/>
      <c r="AZ545" s="29"/>
      <c r="BA545" s="29"/>
      <c r="BB545" s="29"/>
      <c r="BC545" s="29"/>
      <c r="BD545" s="29"/>
      <c r="BE545" s="29"/>
      <c r="BF545" s="111"/>
      <c r="BG545" s="111"/>
      <c r="BH545" s="111"/>
      <c r="BI545" s="111"/>
      <c r="BJ545" s="111"/>
      <c r="BK545" s="111"/>
      <c r="BL545" s="111"/>
      <c r="BM545" s="111"/>
      <c r="BN545" s="111"/>
      <c r="BO545" s="111"/>
      <c r="BP545" s="111"/>
      <c r="BQ545" s="111"/>
      <c r="BR545" s="111"/>
      <c r="BS545" s="111"/>
      <c r="DR545" s="29"/>
      <c r="DS545" s="29"/>
      <c r="DT545" s="29"/>
      <c r="DU545" s="29"/>
      <c r="DV545" s="29"/>
      <c r="DW545" s="29"/>
      <c r="DX545" s="29"/>
      <c r="DY545" s="29"/>
      <c r="DZ545" s="29"/>
      <c r="EA545" s="29"/>
      <c r="EB545" s="29"/>
      <c r="EC545" s="29"/>
      <c r="ED545" s="29"/>
      <c r="EE545" s="29"/>
      <c r="EF545" s="111"/>
      <c r="EG545" s="111"/>
      <c r="EH545" s="111"/>
      <c r="EI545" s="111"/>
      <c r="EJ545" s="111"/>
      <c r="EK545" s="111"/>
      <c r="EL545" s="111"/>
      <c r="EM545" s="111"/>
      <c r="EN545" s="111"/>
      <c r="EO545" s="111"/>
      <c r="EP545" s="111"/>
      <c r="EQ545" s="111"/>
      <c r="ER545" s="111"/>
      <c r="ES545" s="111"/>
    </row>
    <row r="546" spans="44:149">
      <c r="AR546" s="29"/>
      <c r="AS546" s="29"/>
      <c r="AT546" s="29"/>
      <c r="AU546" s="29"/>
      <c r="AV546" s="29"/>
      <c r="AW546" s="29"/>
      <c r="AX546" s="29"/>
      <c r="AY546" s="29"/>
      <c r="AZ546" s="29"/>
      <c r="BA546" s="29"/>
      <c r="BB546" s="29"/>
      <c r="BC546" s="29"/>
      <c r="BD546" s="29"/>
      <c r="BE546" s="29"/>
      <c r="BF546" s="111"/>
      <c r="BG546" s="111"/>
      <c r="BH546" s="111"/>
      <c r="BI546" s="111"/>
      <c r="BJ546" s="111"/>
      <c r="BK546" s="111"/>
      <c r="BL546" s="111"/>
      <c r="BM546" s="111"/>
      <c r="BN546" s="111"/>
      <c r="BO546" s="111"/>
      <c r="BP546" s="111"/>
      <c r="BQ546" s="111"/>
      <c r="BR546" s="111"/>
      <c r="BS546" s="111"/>
      <c r="DR546" s="29"/>
      <c r="DS546" s="29"/>
      <c r="DT546" s="29"/>
      <c r="DU546" s="29"/>
      <c r="DV546" s="29"/>
      <c r="DW546" s="29"/>
      <c r="DX546" s="29"/>
      <c r="DY546" s="29"/>
      <c r="DZ546" s="29"/>
      <c r="EA546" s="29"/>
      <c r="EB546" s="29"/>
      <c r="EC546" s="29"/>
      <c r="ED546" s="29"/>
      <c r="EE546" s="29"/>
      <c r="EF546" s="111"/>
      <c r="EG546" s="111"/>
      <c r="EH546" s="111"/>
      <c r="EI546" s="111"/>
      <c r="EJ546" s="111"/>
      <c r="EK546" s="111"/>
      <c r="EL546" s="111"/>
      <c r="EM546" s="111"/>
      <c r="EN546" s="111"/>
      <c r="EO546" s="111"/>
      <c r="EP546" s="111"/>
      <c r="EQ546" s="111"/>
      <c r="ER546" s="111"/>
      <c r="ES546" s="111"/>
    </row>
    <row r="547" spans="44:149">
      <c r="AR547" s="29"/>
      <c r="AS547" s="29"/>
      <c r="AT547" s="29"/>
      <c r="AU547" s="29"/>
      <c r="AV547" s="29"/>
      <c r="AW547" s="29"/>
      <c r="AX547" s="29"/>
      <c r="AY547" s="29"/>
      <c r="AZ547" s="29"/>
      <c r="BA547" s="29"/>
      <c r="BB547" s="29"/>
      <c r="BC547" s="29"/>
      <c r="BD547" s="29"/>
      <c r="BE547" s="29"/>
      <c r="BF547" s="111"/>
      <c r="BG547" s="111"/>
      <c r="BH547" s="111"/>
      <c r="BI547" s="111"/>
      <c r="BJ547" s="111"/>
      <c r="BK547" s="111"/>
      <c r="BL547" s="111"/>
      <c r="BM547" s="111"/>
      <c r="BN547" s="111"/>
      <c r="BO547" s="111"/>
      <c r="BP547" s="111"/>
      <c r="BQ547" s="111"/>
      <c r="BR547" s="111"/>
      <c r="BS547" s="111"/>
      <c r="DR547" s="29"/>
      <c r="DS547" s="29"/>
      <c r="DT547" s="29"/>
      <c r="DU547" s="29"/>
      <c r="DV547" s="29"/>
      <c r="DW547" s="29"/>
      <c r="DX547" s="29"/>
      <c r="DY547" s="29"/>
      <c r="DZ547" s="29"/>
      <c r="EA547" s="29"/>
      <c r="EB547" s="29"/>
      <c r="EC547" s="29"/>
      <c r="ED547" s="29"/>
      <c r="EE547" s="29"/>
      <c r="EF547" s="111"/>
      <c r="EG547" s="111"/>
      <c r="EH547" s="111"/>
      <c r="EI547" s="111"/>
      <c r="EJ547" s="111"/>
      <c r="EK547" s="111"/>
      <c r="EL547" s="111"/>
      <c r="EM547" s="111"/>
      <c r="EN547" s="111"/>
      <c r="EO547" s="111"/>
      <c r="EP547" s="111"/>
      <c r="EQ547" s="111"/>
      <c r="ER547" s="111"/>
      <c r="ES547" s="111"/>
    </row>
    <row r="548" spans="44:149">
      <c r="AR548" s="29"/>
      <c r="AS548" s="29"/>
      <c r="AT548" s="29"/>
      <c r="AU548" s="29"/>
      <c r="AV548" s="29"/>
      <c r="AW548" s="29"/>
      <c r="AX548" s="29"/>
      <c r="AY548" s="29"/>
      <c r="AZ548" s="29"/>
      <c r="BA548" s="29"/>
      <c r="BB548" s="29"/>
      <c r="BC548" s="29"/>
      <c r="BD548" s="29"/>
      <c r="BE548" s="29"/>
      <c r="BF548" s="111"/>
      <c r="BG548" s="111"/>
      <c r="BH548" s="111"/>
      <c r="BI548" s="111"/>
      <c r="BJ548" s="111"/>
      <c r="BK548" s="111"/>
      <c r="BL548" s="111"/>
      <c r="BM548" s="111"/>
      <c r="BN548" s="111"/>
      <c r="BO548" s="111"/>
      <c r="BP548" s="111"/>
      <c r="BQ548" s="111"/>
      <c r="BR548" s="111"/>
      <c r="BS548" s="111"/>
      <c r="DR548" s="29"/>
      <c r="DS548" s="29"/>
      <c r="DT548" s="29"/>
      <c r="DU548" s="29"/>
      <c r="DV548" s="29"/>
      <c r="DW548" s="29"/>
      <c r="DX548" s="29"/>
      <c r="DY548" s="29"/>
      <c r="DZ548" s="29"/>
      <c r="EA548" s="29"/>
      <c r="EB548" s="29"/>
      <c r="EC548" s="29"/>
      <c r="ED548" s="29"/>
      <c r="EE548" s="29"/>
      <c r="EF548" s="111"/>
      <c r="EG548" s="111"/>
      <c r="EH548" s="111"/>
      <c r="EI548" s="111"/>
      <c r="EJ548" s="111"/>
      <c r="EK548" s="111"/>
      <c r="EL548" s="111"/>
      <c r="EM548" s="111"/>
      <c r="EN548" s="111"/>
      <c r="EO548" s="111"/>
      <c r="EP548" s="111"/>
      <c r="EQ548" s="111"/>
      <c r="ER548" s="111"/>
      <c r="ES548" s="111"/>
    </row>
    <row r="549" spans="44:149">
      <c r="AR549" s="29"/>
      <c r="AS549" s="29"/>
      <c r="AT549" s="29"/>
      <c r="AU549" s="29"/>
      <c r="AV549" s="29"/>
      <c r="AW549" s="29"/>
      <c r="AX549" s="29"/>
      <c r="AY549" s="29"/>
      <c r="AZ549" s="29"/>
      <c r="BA549" s="29"/>
      <c r="BB549" s="29"/>
      <c r="BC549" s="29"/>
      <c r="BD549" s="29"/>
      <c r="BE549" s="29"/>
      <c r="BF549" s="111"/>
      <c r="BG549" s="111"/>
      <c r="BH549" s="111"/>
      <c r="BI549" s="111"/>
      <c r="BJ549" s="111"/>
      <c r="BK549" s="111"/>
      <c r="BL549" s="111"/>
      <c r="BM549" s="111"/>
      <c r="BN549" s="111"/>
      <c r="BO549" s="111"/>
      <c r="BP549" s="111"/>
      <c r="BQ549" s="111"/>
      <c r="BR549" s="111"/>
      <c r="BS549" s="111"/>
      <c r="DR549" s="29"/>
      <c r="DS549" s="29"/>
      <c r="DT549" s="29"/>
      <c r="DU549" s="29"/>
      <c r="DV549" s="29"/>
      <c r="DW549" s="29"/>
      <c r="DX549" s="29"/>
      <c r="DY549" s="29"/>
      <c r="DZ549" s="29"/>
      <c r="EA549" s="29"/>
      <c r="EB549" s="29"/>
      <c r="EC549" s="29"/>
      <c r="ED549" s="29"/>
      <c r="EE549" s="29"/>
      <c r="EF549" s="111"/>
      <c r="EG549" s="111"/>
      <c r="EH549" s="111"/>
      <c r="EI549" s="111"/>
      <c r="EJ549" s="111"/>
      <c r="EK549" s="111"/>
      <c r="EL549" s="111"/>
      <c r="EM549" s="111"/>
      <c r="EN549" s="111"/>
      <c r="EO549" s="111"/>
      <c r="EP549" s="111"/>
      <c r="EQ549" s="111"/>
      <c r="ER549" s="111"/>
      <c r="ES549" s="111"/>
    </row>
    <row r="550" spans="44:149">
      <c r="AR550" s="29"/>
      <c r="AS550" s="29"/>
      <c r="AT550" s="29"/>
      <c r="AU550" s="29"/>
      <c r="AV550" s="29"/>
      <c r="AW550" s="29"/>
      <c r="AX550" s="29"/>
      <c r="AY550" s="29"/>
      <c r="AZ550" s="29"/>
      <c r="BA550" s="29"/>
      <c r="BB550" s="29"/>
      <c r="BC550" s="29"/>
      <c r="BD550" s="29"/>
      <c r="BE550" s="29"/>
      <c r="BF550" s="111"/>
      <c r="BG550" s="111"/>
      <c r="BH550" s="111"/>
      <c r="BI550" s="111"/>
      <c r="BJ550" s="111"/>
      <c r="BK550" s="111"/>
      <c r="BL550" s="111"/>
      <c r="BM550" s="111"/>
      <c r="BN550" s="111"/>
      <c r="BO550" s="111"/>
      <c r="BP550" s="111"/>
      <c r="BQ550" s="111"/>
      <c r="BR550" s="111"/>
      <c r="BS550" s="111"/>
      <c r="DR550" s="29"/>
      <c r="DS550" s="29"/>
      <c r="DT550" s="29"/>
      <c r="DU550" s="29"/>
      <c r="DV550" s="29"/>
      <c r="DW550" s="29"/>
      <c r="DX550" s="29"/>
      <c r="DY550" s="29"/>
      <c r="DZ550" s="29"/>
      <c r="EA550" s="29"/>
      <c r="EB550" s="29"/>
      <c r="EC550" s="29"/>
      <c r="ED550" s="29"/>
      <c r="EE550" s="29"/>
      <c r="EF550" s="111"/>
      <c r="EG550" s="111"/>
      <c r="EH550" s="111"/>
      <c r="EI550" s="111"/>
      <c r="EJ550" s="111"/>
      <c r="EK550" s="111"/>
      <c r="EL550" s="111"/>
      <c r="EM550" s="111"/>
      <c r="EN550" s="111"/>
      <c r="EO550" s="111"/>
      <c r="EP550" s="111"/>
      <c r="EQ550" s="111"/>
      <c r="ER550" s="111"/>
      <c r="ES550" s="111"/>
    </row>
    <row r="551" spans="44:149">
      <c r="AR551" s="29"/>
      <c r="AS551" s="29"/>
      <c r="AT551" s="29"/>
      <c r="AU551" s="29"/>
      <c r="AV551" s="29"/>
      <c r="AW551" s="29"/>
      <c r="AX551" s="29"/>
      <c r="AY551" s="29"/>
      <c r="AZ551" s="29"/>
      <c r="BA551" s="29"/>
      <c r="BB551" s="29"/>
      <c r="BC551" s="29"/>
      <c r="BD551" s="29"/>
      <c r="BE551" s="29"/>
      <c r="BF551" s="111"/>
      <c r="BG551" s="111"/>
      <c r="BH551" s="111"/>
      <c r="BI551" s="111"/>
      <c r="BJ551" s="111"/>
      <c r="BK551" s="111"/>
      <c r="BL551" s="111"/>
      <c r="BM551" s="111"/>
      <c r="BN551" s="111"/>
      <c r="BO551" s="111"/>
      <c r="BP551" s="111"/>
      <c r="BQ551" s="111"/>
      <c r="BR551" s="111"/>
      <c r="BS551" s="111"/>
      <c r="DR551" s="29"/>
      <c r="DS551" s="29"/>
      <c r="DT551" s="29"/>
      <c r="DU551" s="29"/>
      <c r="DV551" s="29"/>
      <c r="DW551" s="29"/>
      <c r="DX551" s="29"/>
      <c r="DY551" s="29"/>
      <c r="DZ551" s="29"/>
      <c r="EA551" s="29"/>
      <c r="EB551" s="29"/>
      <c r="EC551" s="29"/>
      <c r="ED551" s="29"/>
      <c r="EE551" s="29"/>
      <c r="EF551" s="111"/>
      <c r="EG551" s="111"/>
      <c r="EH551" s="111"/>
      <c r="EI551" s="111"/>
      <c r="EJ551" s="111"/>
      <c r="EK551" s="111"/>
      <c r="EL551" s="111"/>
      <c r="EM551" s="111"/>
      <c r="EN551" s="111"/>
      <c r="EO551" s="111"/>
      <c r="EP551" s="111"/>
      <c r="EQ551" s="111"/>
      <c r="ER551" s="111"/>
      <c r="ES551" s="111"/>
    </row>
    <row r="552" spans="44:149">
      <c r="AR552" s="29"/>
      <c r="AS552" s="29"/>
      <c r="AT552" s="29"/>
      <c r="AU552" s="29"/>
      <c r="AV552" s="29"/>
      <c r="AW552" s="29"/>
      <c r="AX552" s="29"/>
      <c r="AY552" s="29"/>
      <c r="AZ552" s="29"/>
      <c r="BA552" s="29"/>
      <c r="BB552" s="29"/>
      <c r="BC552" s="29"/>
      <c r="BD552" s="29"/>
      <c r="BE552" s="29"/>
      <c r="BF552" s="111"/>
      <c r="BG552" s="111"/>
      <c r="BH552" s="111"/>
      <c r="BI552" s="111"/>
      <c r="BJ552" s="111"/>
      <c r="BK552" s="111"/>
      <c r="BL552" s="111"/>
      <c r="BM552" s="111"/>
      <c r="BN552" s="111"/>
      <c r="BO552" s="111"/>
      <c r="BP552" s="111"/>
      <c r="BQ552" s="111"/>
      <c r="BR552" s="111"/>
      <c r="BS552" s="111"/>
      <c r="DR552" s="29"/>
      <c r="DS552" s="29"/>
      <c r="DT552" s="29"/>
      <c r="DU552" s="29"/>
      <c r="DV552" s="29"/>
      <c r="DW552" s="29"/>
      <c r="DX552" s="29"/>
      <c r="DY552" s="29"/>
      <c r="DZ552" s="29"/>
      <c r="EA552" s="29"/>
      <c r="EB552" s="29"/>
      <c r="EC552" s="29"/>
      <c r="ED552" s="29"/>
      <c r="EE552" s="29"/>
      <c r="EF552" s="111"/>
      <c r="EG552" s="111"/>
      <c r="EH552" s="111"/>
      <c r="EI552" s="111"/>
      <c r="EJ552" s="111"/>
      <c r="EK552" s="111"/>
      <c r="EL552" s="111"/>
      <c r="EM552" s="111"/>
      <c r="EN552" s="111"/>
      <c r="EO552" s="111"/>
      <c r="EP552" s="111"/>
      <c r="EQ552" s="111"/>
      <c r="ER552" s="111"/>
      <c r="ES552" s="111"/>
    </row>
    <row r="553" spans="44:149">
      <c r="AR553" s="29"/>
      <c r="AS553" s="29"/>
      <c r="AT553" s="29"/>
      <c r="AU553" s="29"/>
      <c r="AV553" s="29"/>
      <c r="AW553" s="29"/>
      <c r="AX553" s="29"/>
      <c r="AY553" s="29"/>
      <c r="AZ553" s="29"/>
      <c r="BA553" s="29"/>
      <c r="BB553" s="29"/>
      <c r="BC553" s="29"/>
      <c r="BD553" s="29"/>
      <c r="BE553" s="29"/>
      <c r="BF553" s="111"/>
      <c r="BG553" s="111"/>
      <c r="BH553" s="111"/>
      <c r="BI553" s="111"/>
      <c r="BJ553" s="111"/>
      <c r="BK553" s="111"/>
      <c r="BL553" s="111"/>
      <c r="BM553" s="111"/>
      <c r="BN553" s="111"/>
      <c r="BO553" s="111"/>
      <c r="BP553" s="111"/>
      <c r="BQ553" s="111"/>
      <c r="BR553" s="111"/>
      <c r="BS553" s="111"/>
      <c r="DR553" s="29"/>
      <c r="DS553" s="29"/>
      <c r="DT553" s="29"/>
      <c r="DU553" s="29"/>
      <c r="DV553" s="29"/>
      <c r="DW553" s="29"/>
      <c r="DX553" s="29"/>
      <c r="DY553" s="29"/>
      <c r="DZ553" s="29"/>
      <c r="EA553" s="29"/>
      <c r="EB553" s="29"/>
      <c r="EC553" s="29"/>
      <c r="ED553" s="29"/>
      <c r="EE553" s="29"/>
      <c r="EF553" s="111"/>
      <c r="EG553" s="111"/>
      <c r="EH553" s="111"/>
      <c r="EI553" s="111"/>
      <c r="EJ553" s="111"/>
      <c r="EK553" s="111"/>
      <c r="EL553" s="111"/>
      <c r="EM553" s="111"/>
      <c r="EN553" s="111"/>
      <c r="EO553" s="111"/>
      <c r="EP553" s="111"/>
      <c r="EQ553" s="111"/>
      <c r="ER553" s="111"/>
      <c r="ES553" s="111"/>
    </row>
    <row r="554" spans="44:149">
      <c r="AR554" s="29"/>
      <c r="AS554" s="29"/>
      <c r="AT554" s="29"/>
      <c r="AU554" s="29"/>
      <c r="AV554" s="29"/>
      <c r="AW554" s="29"/>
      <c r="AX554" s="29"/>
      <c r="AY554" s="29"/>
      <c r="AZ554" s="29"/>
      <c r="BA554" s="29"/>
      <c r="BB554" s="29"/>
      <c r="BC554" s="29"/>
      <c r="BD554" s="29"/>
      <c r="BE554" s="29"/>
      <c r="BF554" s="111"/>
      <c r="BG554" s="111"/>
      <c r="BH554" s="111"/>
      <c r="BI554" s="111"/>
      <c r="BJ554" s="111"/>
      <c r="BK554" s="111"/>
      <c r="BL554" s="111"/>
      <c r="BM554" s="111"/>
      <c r="BN554" s="111"/>
      <c r="BO554" s="111"/>
      <c r="BP554" s="111"/>
      <c r="BQ554" s="111"/>
      <c r="BR554" s="111"/>
      <c r="BS554" s="111"/>
      <c r="DR554" s="29"/>
      <c r="DS554" s="29"/>
      <c r="DT554" s="29"/>
      <c r="DU554" s="29"/>
      <c r="DV554" s="29"/>
      <c r="DW554" s="29"/>
      <c r="DX554" s="29"/>
      <c r="DY554" s="29"/>
      <c r="DZ554" s="29"/>
      <c r="EA554" s="29"/>
      <c r="EB554" s="29"/>
      <c r="EC554" s="29"/>
      <c r="ED554" s="29"/>
      <c r="EE554" s="29"/>
      <c r="EF554" s="111"/>
      <c r="EG554" s="111"/>
      <c r="EH554" s="111"/>
      <c r="EI554" s="111"/>
      <c r="EJ554" s="111"/>
      <c r="EK554" s="111"/>
      <c r="EL554" s="111"/>
      <c r="EM554" s="111"/>
      <c r="EN554" s="111"/>
      <c r="EO554" s="111"/>
      <c r="EP554" s="111"/>
      <c r="EQ554" s="111"/>
      <c r="ER554" s="111"/>
      <c r="ES554" s="111"/>
    </row>
    <row r="555" spans="44:149">
      <c r="AR555" s="29"/>
      <c r="AS555" s="29"/>
      <c r="AT555" s="29"/>
      <c r="AU555" s="29"/>
      <c r="AV555" s="29"/>
      <c r="AW555" s="29"/>
      <c r="AX555" s="29"/>
      <c r="AY555" s="29"/>
      <c r="AZ555" s="29"/>
      <c r="BA555" s="29"/>
      <c r="BB555" s="29"/>
      <c r="BC555" s="29"/>
      <c r="BD555" s="29"/>
      <c r="BE555" s="29"/>
      <c r="BF555" s="111"/>
      <c r="BG555" s="111"/>
      <c r="BH555" s="111"/>
      <c r="BI555" s="111"/>
      <c r="BJ555" s="111"/>
      <c r="BK555" s="111"/>
      <c r="BL555" s="111"/>
      <c r="BM555" s="111"/>
      <c r="BN555" s="111"/>
      <c r="BO555" s="111"/>
      <c r="BP555" s="111"/>
      <c r="BQ555" s="111"/>
      <c r="BR555" s="111"/>
      <c r="BS555" s="111"/>
      <c r="DR555" s="29"/>
      <c r="DS555" s="29"/>
      <c r="DT555" s="29"/>
      <c r="DU555" s="29"/>
      <c r="DV555" s="29"/>
      <c r="DW555" s="29"/>
      <c r="DX555" s="29"/>
      <c r="DY555" s="29"/>
      <c r="DZ555" s="29"/>
      <c r="EA555" s="29"/>
      <c r="EB555" s="29"/>
      <c r="EC555" s="29"/>
      <c r="ED555" s="29"/>
      <c r="EE555" s="29"/>
      <c r="EF555" s="111"/>
      <c r="EG555" s="111"/>
      <c r="EH555" s="111"/>
      <c r="EI555" s="111"/>
      <c r="EJ555" s="111"/>
      <c r="EK555" s="111"/>
      <c r="EL555" s="111"/>
      <c r="EM555" s="111"/>
      <c r="EN555" s="111"/>
      <c r="EO555" s="111"/>
      <c r="EP555" s="111"/>
      <c r="EQ555" s="111"/>
      <c r="ER555" s="111"/>
      <c r="ES555" s="111"/>
    </row>
    <row r="556" spans="44:149">
      <c r="AR556" s="29"/>
      <c r="AS556" s="29"/>
      <c r="AT556" s="29"/>
      <c r="AU556" s="29"/>
      <c r="AV556" s="29"/>
      <c r="AW556" s="29"/>
      <c r="AX556" s="29"/>
      <c r="AY556" s="29"/>
      <c r="AZ556" s="29"/>
      <c r="BA556" s="29"/>
      <c r="BB556" s="29"/>
      <c r="BC556" s="29"/>
      <c r="BD556" s="29"/>
      <c r="BE556" s="29"/>
      <c r="BF556" s="111"/>
      <c r="BG556" s="111"/>
      <c r="BH556" s="111"/>
      <c r="BI556" s="111"/>
      <c r="BJ556" s="111"/>
      <c r="BK556" s="111"/>
      <c r="BL556" s="111"/>
      <c r="BM556" s="111"/>
      <c r="BN556" s="111"/>
      <c r="BO556" s="111"/>
      <c r="BP556" s="111"/>
      <c r="BQ556" s="111"/>
      <c r="BR556" s="111"/>
      <c r="BS556" s="111"/>
      <c r="DR556" s="29"/>
      <c r="DS556" s="29"/>
      <c r="DT556" s="29"/>
      <c r="DU556" s="29"/>
      <c r="DV556" s="29"/>
      <c r="DW556" s="29"/>
      <c r="DX556" s="29"/>
      <c r="DY556" s="29"/>
      <c r="DZ556" s="29"/>
      <c r="EA556" s="29"/>
      <c r="EB556" s="29"/>
      <c r="EC556" s="29"/>
      <c r="ED556" s="29"/>
      <c r="EE556" s="29"/>
      <c r="EF556" s="111"/>
      <c r="EG556" s="111"/>
      <c r="EH556" s="111"/>
      <c r="EI556" s="111"/>
      <c r="EJ556" s="111"/>
      <c r="EK556" s="111"/>
      <c r="EL556" s="111"/>
      <c r="EM556" s="111"/>
      <c r="EN556" s="111"/>
      <c r="EO556" s="111"/>
      <c r="EP556" s="111"/>
      <c r="EQ556" s="111"/>
      <c r="ER556" s="111"/>
      <c r="ES556" s="111"/>
    </row>
    <row r="557" spans="44:149">
      <c r="AR557" s="29"/>
      <c r="AS557" s="29"/>
      <c r="AT557" s="29"/>
      <c r="AU557" s="29"/>
      <c r="AV557" s="29"/>
      <c r="AW557" s="29"/>
      <c r="AX557" s="29"/>
      <c r="AY557" s="29"/>
      <c r="AZ557" s="29"/>
      <c r="BA557" s="29"/>
      <c r="BB557" s="29"/>
      <c r="BC557" s="29"/>
      <c r="BD557" s="29"/>
      <c r="BE557" s="29"/>
      <c r="BF557" s="111"/>
      <c r="BG557" s="111"/>
      <c r="BH557" s="111"/>
      <c r="BI557" s="111"/>
      <c r="BJ557" s="111"/>
      <c r="BK557" s="111"/>
      <c r="BL557" s="111"/>
      <c r="BM557" s="111"/>
      <c r="BN557" s="111"/>
      <c r="BO557" s="111"/>
      <c r="BP557" s="111"/>
      <c r="BQ557" s="111"/>
      <c r="BR557" s="111"/>
      <c r="BS557" s="111"/>
      <c r="DR557" s="29"/>
      <c r="DS557" s="29"/>
      <c r="DT557" s="29"/>
      <c r="DU557" s="29"/>
      <c r="DV557" s="29"/>
      <c r="DW557" s="29"/>
      <c r="DX557" s="29"/>
      <c r="DY557" s="29"/>
      <c r="DZ557" s="29"/>
      <c r="EA557" s="29"/>
      <c r="EB557" s="29"/>
      <c r="EC557" s="29"/>
      <c r="ED557" s="29"/>
      <c r="EE557" s="29"/>
      <c r="EF557" s="111"/>
      <c r="EG557" s="111"/>
      <c r="EH557" s="111"/>
      <c r="EI557" s="111"/>
      <c r="EJ557" s="111"/>
      <c r="EK557" s="111"/>
      <c r="EL557" s="111"/>
      <c r="EM557" s="111"/>
      <c r="EN557" s="111"/>
      <c r="EO557" s="111"/>
      <c r="EP557" s="111"/>
      <c r="EQ557" s="111"/>
      <c r="ER557" s="111"/>
      <c r="ES557" s="111"/>
    </row>
    <row r="558" spans="44:149">
      <c r="AR558" s="29"/>
      <c r="AS558" s="29"/>
      <c r="AT558" s="29"/>
      <c r="AU558" s="29"/>
      <c r="AV558" s="29"/>
      <c r="AW558" s="29"/>
      <c r="AX558" s="29"/>
      <c r="AY558" s="29"/>
      <c r="AZ558" s="29"/>
      <c r="BA558" s="29"/>
      <c r="BB558" s="29"/>
      <c r="BC558" s="29"/>
      <c r="BD558" s="29"/>
      <c r="BE558" s="29"/>
      <c r="BF558" s="111"/>
      <c r="BG558" s="111"/>
      <c r="BH558" s="111"/>
      <c r="BI558" s="111"/>
      <c r="BJ558" s="111"/>
      <c r="BK558" s="111"/>
      <c r="BL558" s="111"/>
      <c r="BM558" s="111"/>
      <c r="BN558" s="111"/>
      <c r="BO558" s="111"/>
      <c r="BP558" s="111"/>
      <c r="BQ558" s="111"/>
      <c r="BR558" s="111"/>
      <c r="BS558" s="111"/>
      <c r="DR558" s="29"/>
      <c r="DS558" s="29"/>
      <c r="DT558" s="29"/>
      <c r="DU558" s="29"/>
      <c r="DV558" s="29"/>
      <c r="DW558" s="29"/>
      <c r="DX558" s="29"/>
      <c r="DY558" s="29"/>
      <c r="DZ558" s="29"/>
      <c r="EA558" s="29"/>
      <c r="EB558" s="29"/>
      <c r="EC558" s="29"/>
      <c r="ED558" s="29"/>
      <c r="EE558" s="29"/>
      <c r="EF558" s="111"/>
      <c r="EG558" s="111"/>
      <c r="EH558" s="111"/>
      <c r="EI558" s="111"/>
      <c r="EJ558" s="111"/>
      <c r="EK558" s="111"/>
      <c r="EL558" s="111"/>
      <c r="EM558" s="111"/>
      <c r="EN558" s="111"/>
      <c r="EO558" s="111"/>
      <c r="EP558" s="111"/>
      <c r="EQ558" s="111"/>
      <c r="ER558" s="111"/>
      <c r="ES558" s="111"/>
    </row>
    <row r="559" spans="44:149">
      <c r="AR559" s="29"/>
      <c r="AS559" s="29"/>
      <c r="AT559" s="29"/>
      <c r="AU559" s="29"/>
      <c r="AV559" s="29"/>
      <c r="AW559" s="29"/>
      <c r="AX559" s="29"/>
      <c r="AY559" s="29"/>
      <c r="AZ559" s="29"/>
      <c r="BA559" s="29"/>
      <c r="BB559" s="29"/>
      <c r="BC559" s="29"/>
      <c r="BD559" s="29"/>
      <c r="BE559" s="29"/>
      <c r="BF559" s="111"/>
      <c r="BG559" s="111"/>
      <c r="BH559" s="111"/>
      <c r="BI559" s="111"/>
      <c r="BJ559" s="111"/>
      <c r="BK559" s="111"/>
      <c r="BL559" s="111"/>
      <c r="BM559" s="111"/>
      <c r="BN559" s="111"/>
      <c r="BO559" s="111"/>
      <c r="BP559" s="111"/>
      <c r="BQ559" s="111"/>
      <c r="BR559" s="111"/>
      <c r="BS559" s="111"/>
      <c r="DR559" s="29"/>
      <c r="DS559" s="29"/>
      <c r="DT559" s="29"/>
      <c r="DU559" s="29"/>
      <c r="DV559" s="29"/>
      <c r="DW559" s="29"/>
      <c r="DX559" s="29"/>
      <c r="DY559" s="29"/>
      <c r="DZ559" s="29"/>
      <c r="EA559" s="29"/>
      <c r="EB559" s="29"/>
      <c r="EC559" s="29"/>
      <c r="ED559" s="29"/>
      <c r="EE559" s="29"/>
      <c r="EF559" s="111"/>
      <c r="EG559" s="111"/>
      <c r="EH559" s="111"/>
      <c r="EI559" s="111"/>
      <c r="EJ559" s="111"/>
      <c r="EK559" s="111"/>
      <c r="EL559" s="111"/>
      <c r="EM559" s="111"/>
      <c r="EN559" s="111"/>
      <c r="EO559" s="111"/>
      <c r="EP559" s="111"/>
      <c r="EQ559" s="111"/>
      <c r="ER559" s="111"/>
      <c r="ES559" s="111"/>
    </row>
    <row r="560" spans="44:149">
      <c r="AR560" s="29"/>
      <c r="AS560" s="29"/>
      <c r="AT560" s="29"/>
      <c r="AU560" s="29"/>
      <c r="AV560" s="29"/>
      <c r="AW560" s="29"/>
      <c r="AX560" s="29"/>
      <c r="AY560" s="29"/>
      <c r="AZ560" s="29"/>
      <c r="BA560" s="29"/>
      <c r="BB560" s="29"/>
      <c r="BC560" s="29"/>
      <c r="BD560" s="29"/>
      <c r="BE560" s="29"/>
      <c r="BF560" s="111"/>
      <c r="BG560" s="111"/>
      <c r="BH560" s="111"/>
      <c r="BI560" s="111"/>
      <c r="BJ560" s="111"/>
      <c r="BK560" s="111"/>
      <c r="BL560" s="111"/>
      <c r="BM560" s="111"/>
      <c r="BN560" s="111"/>
      <c r="BO560" s="111"/>
      <c r="BP560" s="111"/>
      <c r="BQ560" s="111"/>
      <c r="BR560" s="111"/>
      <c r="BS560" s="111"/>
      <c r="DR560" s="29"/>
      <c r="DS560" s="29"/>
      <c r="DT560" s="29"/>
      <c r="DU560" s="29"/>
      <c r="DV560" s="29"/>
      <c r="DW560" s="29"/>
      <c r="DX560" s="29"/>
      <c r="DY560" s="29"/>
      <c r="DZ560" s="29"/>
      <c r="EA560" s="29"/>
      <c r="EB560" s="29"/>
      <c r="EC560" s="29"/>
      <c r="ED560" s="29"/>
      <c r="EE560" s="29"/>
      <c r="EF560" s="111"/>
      <c r="EG560" s="111"/>
      <c r="EH560" s="111"/>
      <c r="EI560" s="111"/>
      <c r="EJ560" s="111"/>
      <c r="EK560" s="111"/>
      <c r="EL560" s="111"/>
      <c r="EM560" s="111"/>
      <c r="EN560" s="111"/>
      <c r="EO560" s="111"/>
      <c r="EP560" s="111"/>
      <c r="EQ560" s="111"/>
      <c r="ER560" s="111"/>
      <c r="ES560" s="111"/>
    </row>
    <row r="561" spans="44:149">
      <c r="AR561" s="29"/>
      <c r="AS561" s="29"/>
      <c r="AT561" s="29"/>
      <c r="AU561" s="29"/>
      <c r="AV561" s="29"/>
      <c r="AW561" s="29"/>
      <c r="AX561" s="29"/>
      <c r="AY561" s="29"/>
      <c r="AZ561" s="29"/>
      <c r="BA561" s="29"/>
      <c r="BB561" s="29"/>
      <c r="BC561" s="29"/>
      <c r="BD561" s="29"/>
      <c r="BE561" s="29"/>
      <c r="BF561" s="111"/>
      <c r="BG561" s="111"/>
      <c r="BH561" s="111"/>
      <c r="BI561" s="111"/>
      <c r="BJ561" s="111"/>
      <c r="BK561" s="111"/>
      <c r="BL561" s="111"/>
      <c r="BM561" s="111"/>
      <c r="BN561" s="111"/>
      <c r="BO561" s="111"/>
      <c r="BP561" s="111"/>
      <c r="BQ561" s="111"/>
      <c r="BR561" s="111"/>
      <c r="BS561" s="111"/>
      <c r="DR561" s="29"/>
      <c r="DS561" s="29"/>
      <c r="DT561" s="29"/>
      <c r="DU561" s="29"/>
      <c r="DV561" s="29"/>
      <c r="DW561" s="29"/>
      <c r="DX561" s="29"/>
      <c r="DY561" s="29"/>
      <c r="DZ561" s="29"/>
      <c r="EA561" s="29"/>
      <c r="EB561" s="29"/>
      <c r="EC561" s="29"/>
      <c r="ED561" s="29"/>
      <c r="EE561" s="29"/>
      <c r="EF561" s="111"/>
      <c r="EG561" s="111"/>
      <c r="EH561" s="111"/>
      <c r="EI561" s="111"/>
      <c r="EJ561" s="111"/>
      <c r="EK561" s="111"/>
      <c r="EL561" s="111"/>
      <c r="EM561" s="111"/>
      <c r="EN561" s="111"/>
      <c r="EO561" s="111"/>
      <c r="EP561" s="111"/>
      <c r="EQ561" s="111"/>
      <c r="ER561" s="111"/>
      <c r="ES561" s="111"/>
    </row>
    <row r="562" spans="44:149">
      <c r="AR562" s="29"/>
      <c r="AS562" s="29"/>
      <c r="AT562" s="29"/>
      <c r="AU562" s="29"/>
      <c r="AV562" s="29"/>
      <c r="AW562" s="29"/>
      <c r="AX562" s="29"/>
      <c r="AY562" s="29"/>
      <c r="AZ562" s="29"/>
      <c r="BA562" s="29"/>
      <c r="BB562" s="29"/>
      <c r="BC562" s="29"/>
      <c r="BD562" s="29"/>
      <c r="BE562" s="29"/>
      <c r="BF562" s="111"/>
      <c r="BG562" s="111"/>
      <c r="BH562" s="111"/>
      <c r="BI562" s="111"/>
      <c r="BJ562" s="111"/>
      <c r="BK562" s="111"/>
      <c r="BL562" s="111"/>
      <c r="BM562" s="111"/>
      <c r="BN562" s="111"/>
      <c r="BO562" s="111"/>
      <c r="BP562" s="111"/>
      <c r="BQ562" s="111"/>
      <c r="BR562" s="111"/>
      <c r="BS562" s="111"/>
      <c r="DR562" s="29"/>
      <c r="DS562" s="29"/>
      <c r="DT562" s="29"/>
      <c r="DU562" s="29"/>
      <c r="DV562" s="29"/>
      <c r="DW562" s="29"/>
      <c r="DX562" s="29"/>
      <c r="DY562" s="29"/>
      <c r="DZ562" s="29"/>
      <c r="EA562" s="29"/>
      <c r="EB562" s="29"/>
      <c r="EC562" s="29"/>
      <c r="ED562" s="29"/>
      <c r="EE562" s="29"/>
      <c r="EF562" s="111"/>
      <c r="EG562" s="111"/>
      <c r="EH562" s="111"/>
      <c r="EI562" s="111"/>
      <c r="EJ562" s="111"/>
      <c r="EK562" s="111"/>
      <c r="EL562" s="111"/>
      <c r="EM562" s="111"/>
      <c r="EN562" s="111"/>
      <c r="EO562" s="111"/>
      <c r="EP562" s="111"/>
      <c r="EQ562" s="111"/>
      <c r="ER562" s="111"/>
      <c r="ES562" s="111"/>
    </row>
    <row r="563" spans="44:149">
      <c r="AR563" s="29"/>
      <c r="AS563" s="29"/>
      <c r="AT563" s="29"/>
      <c r="AU563" s="29"/>
      <c r="AV563" s="29"/>
      <c r="AW563" s="29"/>
      <c r="AX563" s="29"/>
      <c r="AY563" s="29"/>
      <c r="AZ563" s="29"/>
      <c r="BA563" s="29"/>
      <c r="BB563" s="29"/>
      <c r="BC563" s="29"/>
      <c r="BD563" s="29"/>
      <c r="BE563" s="29"/>
      <c r="BF563" s="111"/>
      <c r="BG563" s="111"/>
      <c r="BH563" s="111"/>
      <c r="BI563" s="111"/>
      <c r="BJ563" s="111"/>
      <c r="BK563" s="111"/>
      <c r="BL563" s="111"/>
      <c r="BM563" s="111"/>
      <c r="BN563" s="111"/>
      <c r="BO563" s="111"/>
      <c r="BP563" s="111"/>
      <c r="BQ563" s="111"/>
      <c r="BR563" s="111"/>
      <c r="BS563" s="111"/>
      <c r="DR563" s="29"/>
      <c r="DS563" s="29"/>
      <c r="DT563" s="29"/>
      <c r="DU563" s="29"/>
      <c r="DV563" s="29"/>
      <c r="DW563" s="29"/>
      <c r="DX563" s="29"/>
      <c r="DY563" s="29"/>
      <c r="DZ563" s="29"/>
      <c r="EA563" s="29"/>
      <c r="EB563" s="29"/>
      <c r="EC563" s="29"/>
      <c r="ED563" s="29"/>
      <c r="EE563" s="29"/>
      <c r="EF563" s="111"/>
      <c r="EG563" s="111"/>
      <c r="EH563" s="111"/>
      <c r="EI563" s="111"/>
      <c r="EJ563" s="111"/>
      <c r="EK563" s="111"/>
      <c r="EL563" s="111"/>
      <c r="EM563" s="111"/>
      <c r="EN563" s="111"/>
      <c r="EO563" s="111"/>
      <c r="EP563" s="111"/>
      <c r="EQ563" s="111"/>
      <c r="ER563" s="111"/>
      <c r="ES563" s="111"/>
    </row>
    <row r="564" spans="44:149">
      <c r="AR564" s="29"/>
      <c r="AS564" s="29"/>
      <c r="AT564" s="29"/>
      <c r="AU564" s="29"/>
      <c r="AV564" s="29"/>
      <c r="AW564" s="29"/>
      <c r="AX564" s="29"/>
      <c r="AY564" s="29"/>
      <c r="AZ564" s="29"/>
      <c r="BA564" s="29"/>
      <c r="BB564" s="29"/>
      <c r="BC564" s="29"/>
      <c r="BD564" s="29"/>
      <c r="BE564" s="29"/>
      <c r="BF564" s="111"/>
      <c r="BG564" s="111"/>
      <c r="BH564" s="111"/>
      <c r="BI564" s="111"/>
      <c r="BJ564" s="111"/>
      <c r="BK564" s="111"/>
      <c r="BL564" s="111"/>
      <c r="BM564" s="111"/>
      <c r="BN564" s="111"/>
      <c r="BO564" s="111"/>
      <c r="BP564" s="111"/>
      <c r="BQ564" s="111"/>
      <c r="BR564" s="111"/>
      <c r="BS564" s="111"/>
      <c r="DR564" s="29"/>
      <c r="DS564" s="29"/>
      <c r="DT564" s="29"/>
      <c r="DU564" s="29"/>
      <c r="DV564" s="29"/>
      <c r="DW564" s="29"/>
      <c r="DX564" s="29"/>
      <c r="DY564" s="29"/>
      <c r="DZ564" s="29"/>
      <c r="EA564" s="29"/>
      <c r="EB564" s="29"/>
      <c r="EC564" s="29"/>
      <c r="ED564" s="29"/>
      <c r="EE564" s="29"/>
      <c r="EF564" s="111"/>
      <c r="EG564" s="111"/>
      <c r="EH564" s="111"/>
      <c r="EI564" s="111"/>
      <c r="EJ564" s="111"/>
      <c r="EK564" s="111"/>
      <c r="EL564" s="111"/>
      <c r="EM564" s="111"/>
      <c r="EN564" s="111"/>
      <c r="EO564" s="111"/>
      <c r="EP564" s="111"/>
      <c r="EQ564" s="111"/>
      <c r="ER564" s="111"/>
      <c r="ES564" s="111"/>
    </row>
    <row r="565" spans="44:149">
      <c r="AR565" s="29"/>
      <c r="AS565" s="29"/>
      <c r="AT565" s="29"/>
      <c r="AU565" s="29"/>
      <c r="AV565" s="29"/>
      <c r="AW565" s="29"/>
      <c r="AX565" s="29"/>
      <c r="AY565" s="29"/>
      <c r="AZ565" s="29"/>
      <c r="BA565" s="29"/>
      <c r="BB565" s="29"/>
      <c r="BC565" s="29"/>
      <c r="BD565" s="29"/>
      <c r="BE565" s="29"/>
      <c r="BF565" s="111"/>
      <c r="BG565" s="111"/>
      <c r="BH565" s="111"/>
      <c r="BI565" s="111"/>
      <c r="BJ565" s="111"/>
      <c r="BK565" s="111"/>
      <c r="BL565" s="111"/>
      <c r="BM565" s="111"/>
      <c r="BN565" s="111"/>
      <c r="BO565" s="111"/>
      <c r="BP565" s="111"/>
      <c r="BQ565" s="111"/>
      <c r="BR565" s="111"/>
      <c r="BS565" s="111"/>
      <c r="DR565" s="29"/>
      <c r="DS565" s="29"/>
      <c r="DT565" s="29"/>
      <c r="DU565" s="29"/>
      <c r="DV565" s="29"/>
      <c r="DW565" s="29"/>
      <c r="DX565" s="29"/>
      <c r="DY565" s="29"/>
      <c r="DZ565" s="29"/>
      <c r="EA565" s="29"/>
      <c r="EB565" s="29"/>
      <c r="EC565" s="29"/>
      <c r="ED565" s="29"/>
      <c r="EE565" s="29"/>
      <c r="EF565" s="111"/>
      <c r="EG565" s="111"/>
      <c r="EH565" s="111"/>
      <c r="EI565" s="111"/>
      <c r="EJ565" s="111"/>
      <c r="EK565" s="111"/>
      <c r="EL565" s="111"/>
      <c r="EM565" s="111"/>
      <c r="EN565" s="111"/>
      <c r="EO565" s="111"/>
      <c r="EP565" s="111"/>
      <c r="EQ565" s="111"/>
      <c r="ER565" s="111"/>
      <c r="ES565" s="111"/>
    </row>
    <row r="566" spans="44:149">
      <c r="AR566" s="29"/>
      <c r="AS566" s="29"/>
      <c r="AT566" s="29"/>
      <c r="AU566" s="29"/>
      <c r="AV566" s="29"/>
      <c r="AW566" s="29"/>
      <c r="AX566" s="29"/>
      <c r="AY566" s="29"/>
      <c r="AZ566" s="29"/>
      <c r="BA566" s="29"/>
      <c r="BB566" s="29"/>
      <c r="BC566" s="29"/>
      <c r="BD566" s="29"/>
      <c r="BE566" s="29"/>
      <c r="BF566" s="111"/>
      <c r="BG566" s="111"/>
      <c r="BH566" s="111"/>
      <c r="BI566" s="111"/>
      <c r="BJ566" s="111"/>
      <c r="BK566" s="111"/>
      <c r="BL566" s="111"/>
      <c r="BM566" s="111"/>
      <c r="BN566" s="111"/>
      <c r="BO566" s="111"/>
      <c r="BP566" s="111"/>
      <c r="BQ566" s="111"/>
      <c r="BR566" s="111"/>
      <c r="BS566" s="111"/>
      <c r="DR566" s="29"/>
      <c r="DS566" s="29"/>
      <c r="DT566" s="29"/>
      <c r="DU566" s="29"/>
      <c r="DV566" s="29"/>
      <c r="DW566" s="29"/>
      <c r="DX566" s="29"/>
      <c r="DY566" s="29"/>
      <c r="DZ566" s="29"/>
      <c r="EA566" s="29"/>
      <c r="EB566" s="29"/>
      <c r="EC566" s="29"/>
      <c r="ED566" s="29"/>
      <c r="EE566" s="29"/>
      <c r="EF566" s="111"/>
      <c r="EG566" s="111"/>
      <c r="EH566" s="111"/>
      <c r="EI566" s="111"/>
      <c r="EJ566" s="111"/>
      <c r="EK566" s="111"/>
      <c r="EL566" s="111"/>
      <c r="EM566" s="111"/>
      <c r="EN566" s="111"/>
      <c r="EO566" s="111"/>
      <c r="EP566" s="111"/>
      <c r="EQ566" s="111"/>
      <c r="ER566" s="111"/>
      <c r="ES566" s="111"/>
    </row>
    <row r="567" spans="44:149">
      <c r="AR567" s="29"/>
      <c r="AS567" s="29"/>
      <c r="AT567" s="29"/>
      <c r="AU567" s="29"/>
      <c r="AV567" s="29"/>
      <c r="AW567" s="29"/>
      <c r="AX567" s="29"/>
      <c r="AY567" s="29"/>
      <c r="AZ567" s="29"/>
      <c r="BA567" s="29"/>
      <c r="BB567" s="29"/>
      <c r="BC567" s="29"/>
      <c r="BD567" s="29"/>
      <c r="BE567" s="29"/>
      <c r="BF567" s="111"/>
      <c r="BG567" s="111"/>
      <c r="BH567" s="111"/>
      <c r="BI567" s="111"/>
      <c r="BJ567" s="111"/>
      <c r="BK567" s="111"/>
      <c r="BL567" s="111"/>
      <c r="BM567" s="111"/>
      <c r="BN567" s="111"/>
      <c r="BO567" s="111"/>
      <c r="BP567" s="111"/>
      <c r="BQ567" s="111"/>
      <c r="BR567" s="111"/>
      <c r="BS567" s="111"/>
      <c r="DR567" s="29"/>
      <c r="DS567" s="29"/>
      <c r="DT567" s="29"/>
      <c r="DU567" s="29"/>
      <c r="DV567" s="29"/>
      <c r="DW567" s="29"/>
      <c r="DX567" s="29"/>
      <c r="DY567" s="29"/>
      <c r="DZ567" s="29"/>
      <c r="EA567" s="29"/>
      <c r="EB567" s="29"/>
      <c r="EC567" s="29"/>
      <c r="ED567" s="29"/>
      <c r="EE567" s="29"/>
      <c r="EF567" s="111"/>
      <c r="EG567" s="111"/>
      <c r="EH567" s="111"/>
      <c r="EI567" s="111"/>
      <c r="EJ567" s="111"/>
      <c r="EK567" s="111"/>
      <c r="EL567" s="111"/>
      <c r="EM567" s="111"/>
      <c r="EN567" s="111"/>
      <c r="EO567" s="111"/>
      <c r="EP567" s="111"/>
      <c r="EQ567" s="111"/>
      <c r="ER567" s="111"/>
      <c r="ES567" s="111"/>
    </row>
    <row r="568" spans="44:149">
      <c r="AR568" s="29"/>
      <c r="AS568" s="29"/>
      <c r="AT568" s="29"/>
      <c r="AU568" s="29"/>
      <c r="AV568" s="29"/>
      <c r="AW568" s="29"/>
      <c r="AX568" s="29"/>
      <c r="AY568" s="29"/>
      <c r="AZ568" s="29"/>
      <c r="BA568" s="29"/>
      <c r="BB568" s="29"/>
      <c r="BC568" s="29"/>
      <c r="BD568" s="29"/>
      <c r="BE568" s="29"/>
      <c r="BF568" s="111"/>
      <c r="BG568" s="111"/>
      <c r="BH568" s="111"/>
      <c r="BI568" s="111"/>
      <c r="BJ568" s="111"/>
      <c r="BK568" s="111"/>
      <c r="BL568" s="111"/>
      <c r="BM568" s="111"/>
      <c r="BN568" s="111"/>
      <c r="BO568" s="111"/>
      <c r="BP568" s="111"/>
      <c r="BQ568" s="111"/>
      <c r="BR568" s="111"/>
      <c r="BS568" s="111"/>
      <c r="DR568" s="29"/>
      <c r="DS568" s="29"/>
      <c r="DT568" s="29"/>
      <c r="DU568" s="29"/>
      <c r="DV568" s="29"/>
      <c r="DW568" s="29"/>
      <c r="DX568" s="29"/>
      <c r="DY568" s="29"/>
      <c r="DZ568" s="29"/>
      <c r="EA568" s="29"/>
      <c r="EB568" s="29"/>
      <c r="EC568" s="29"/>
      <c r="ED568" s="29"/>
      <c r="EE568" s="29"/>
      <c r="EF568" s="111"/>
      <c r="EG568" s="111"/>
      <c r="EH568" s="111"/>
      <c r="EI568" s="111"/>
      <c r="EJ568" s="111"/>
      <c r="EK568" s="111"/>
      <c r="EL568" s="111"/>
      <c r="EM568" s="111"/>
      <c r="EN568" s="111"/>
      <c r="EO568" s="111"/>
      <c r="EP568" s="111"/>
      <c r="EQ568" s="111"/>
      <c r="ER568" s="111"/>
      <c r="ES568" s="111"/>
    </row>
    <row r="569" spans="44:149">
      <c r="AR569" s="29"/>
      <c r="AS569" s="29"/>
      <c r="AT569" s="29"/>
      <c r="AU569" s="29"/>
      <c r="AV569" s="29"/>
      <c r="AW569" s="29"/>
      <c r="AX569" s="29"/>
      <c r="AY569" s="29"/>
      <c r="AZ569" s="29"/>
      <c r="BA569" s="29"/>
      <c r="BB569" s="29"/>
      <c r="BC569" s="29"/>
      <c r="BD569" s="29"/>
      <c r="BE569" s="29"/>
      <c r="BF569" s="111"/>
      <c r="BG569" s="111"/>
      <c r="BH569" s="111"/>
      <c r="BI569" s="111"/>
      <c r="BJ569" s="111"/>
      <c r="BK569" s="111"/>
      <c r="BL569" s="111"/>
      <c r="BM569" s="111"/>
      <c r="BN569" s="111"/>
      <c r="BO569" s="111"/>
      <c r="BP569" s="111"/>
      <c r="BQ569" s="111"/>
      <c r="BR569" s="111"/>
      <c r="BS569" s="111"/>
      <c r="DR569" s="29"/>
      <c r="DS569" s="29"/>
      <c r="DT569" s="29"/>
      <c r="DU569" s="29"/>
      <c r="DV569" s="29"/>
      <c r="DW569" s="29"/>
      <c r="DX569" s="29"/>
      <c r="DY569" s="29"/>
      <c r="DZ569" s="29"/>
      <c r="EA569" s="29"/>
      <c r="EB569" s="29"/>
      <c r="EC569" s="29"/>
      <c r="ED569" s="29"/>
      <c r="EE569" s="29"/>
      <c r="EF569" s="111"/>
      <c r="EG569" s="111"/>
      <c r="EH569" s="111"/>
      <c r="EI569" s="111"/>
      <c r="EJ569" s="111"/>
      <c r="EK569" s="111"/>
      <c r="EL569" s="111"/>
      <c r="EM569" s="111"/>
      <c r="EN569" s="111"/>
      <c r="EO569" s="111"/>
      <c r="EP569" s="111"/>
      <c r="EQ569" s="111"/>
      <c r="ER569" s="111"/>
      <c r="ES569" s="111"/>
    </row>
    <row r="570" spans="44:149">
      <c r="AR570" s="29"/>
      <c r="AS570" s="29"/>
      <c r="AT570" s="29"/>
      <c r="AU570" s="29"/>
      <c r="AV570" s="29"/>
      <c r="AW570" s="29"/>
      <c r="AX570" s="29"/>
      <c r="AY570" s="29"/>
      <c r="AZ570" s="29"/>
      <c r="BA570" s="29"/>
      <c r="BB570" s="29"/>
      <c r="BC570" s="29"/>
      <c r="BD570" s="29"/>
      <c r="BE570" s="29"/>
      <c r="BF570" s="111"/>
      <c r="BG570" s="111"/>
      <c r="BH570" s="111"/>
      <c r="BI570" s="111"/>
      <c r="BJ570" s="111"/>
      <c r="BK570" s="111"/>
      <c r="BL570" s="111"/>
      <c r="BM570" s="111"/>
      <c r="BN570" s="111"/>
      <c r="BO570" s="111"/>
      <c r="BP570" s="111"/>
      <c r="BQ570" s="111"/>
      <c r="BR570" s="111"/>
      <c r="BS570" s="111"/>
      <c r="DR570" s="29"/>
      <c r="DS570" s="29"/>
      <c r="DT570" s="29"/>
      <c r="DU570" s="29"/>
      <c r="DV570" s="29"/>
      <c r="DW570" s="29"/>
      <c r="DX570" s="29"/>
      <c r="DY570" s="29"/>
      <c r="DZ570" s="29"/>
      <c r="EA570" s="29"/>
      <c r="EB570" s="29"/>
      <c r="EC570" s="29"/>
      <c r="ED570" s="29"/>
      <c r="EE570" s="29"/>
      <c r="EF570" s="111"/>
      <c r="EG570" s="111"/>
      <c r="EH570" s="111"/>
      <c r="EI570" s="111"/>
      <c r="EJ570" s="111"/>
      <c r="EK570" s="111"/>
      <c r="EL570" s="111"/>
      <c r="EM570" s="111"/>
      <c r="EN570" s="111"/>
      <c r="EO570" s="111"/>
      <c r="EP570" s="111"/>
      <c r="EQ570" s="111"/>
      <c r="ER570" s="111"/>
      <c r="ES570" s="111"/>
    </row>
    <row r="571" spans="44:149">
      <c r="AR571" s="29"/>
      <c r="AS571" s="29"/>
      <c r="AT571" s="29"/>
      <c r="AU571" s="29"/>
      <c r="AV571" s="29"/>
      <c r="AW571" s="29"/>
      <c r="AX571" s="29"/>
      <c r="AY571" s="29"/>
      <c r="AZ571" s="29"/>
      <c r="BA571" s="29"/>
      <c r="BB571" s="29"/>
      <c r="BC571" s="29"/>
      <c r="BD571" s="29"/>
      <c r="BE571" s="29"/>
      <c r="BF571" s="111"/>
      <c r="BG571" s="111"/>
      <c r="BH571" s="111"/>
      <c r="BI571" s="111"/>
      <c r="BJ571" s="111"/>
      <c r="BK571" s="111"/>
      <c r="BL571" s="111"/>
      <c r="BM571" s="111"/>
      <c r="BN571" s="111"/>
      <c r="BO571" s="111"/>
      <c r="BP571" s="111"/>
      <c r="BQ571" s="111"/>
      <c r="BR571" s="111"/>
      <c r="BS571" s="111"/>
      <c r="DR571" s="29"/>
      <c r="DS571" s="29"/>
      <c r="DT571" s="29"/>
      <c r="DU571" s="29"/>
      <c r="DV571" s="29"/>
      <c r="DW571" s="29"/>
      <c r="DX571" s="29"/>
      <c r="DY571" s="29"/>
      <c r="DZ571" s="29"/>
      <c r="EA571" s="29"/>
      <c r="EB571" s="29"/>
      <c r="EC571" s="29"/>
      <c r="ED571" s="29"/>
      <c r="EE571" s="29"/>
      <c r="EF571" s="111"/>
      <c r="EG571" s="111"/>
      <c r="EH571" s="111"/>
      <c r="EI571" s="111"/>
      <c r="EJ571" s="111"/>
      <c r="EK571" s="111"/>
      <c r="EL571" s="111"/>
      <c r="EM571" s="111"/>
      <c r="EN571" s="111"/>
      <c r="EO571" s="111"/>
      <c r="EP571" s="111"/>
      <c r="EQ571" s="111"/>
      <c r="ER571" s="111"/>
      <c r="ES571" s="111"/>
    </row>
    <row r="572" spans="44:149">
      <c r="AR572" s="29"/>
      <c r="AS572" s="29"/>
      <c r="AT572" s="29"/>
      <c r="AU572" s="29"/>
      <c r="AV572" s="29"/>
      <c r="AW572" s="29"/>
      <c r="AX572" s="29"/>
      <c r="AY572" s="29"/>
      <c r="AZ572" s="29"/>
      <c r="BA572" s="29"/>
      <c r="BB572" s="29"/>
      <c r="BC572" s="29"/>
      <c r="BD572" s="29"/>
      <c r="BE572" s="29"/>
      <c r="BF572" s="111"/>
      <c r="BG572" s="111"/>
      <c r="BH572" s="111"/>
      <c r="BI572" s="111"/>
      <c r="BJ572" s="111"/>
      <c r="BK572" s="111"/>
      <c r="BL572" s="111"/>
      <c r="BM572" s="111"/>
      <c r="BN572" s="111"/>
      <c r="BO572" s="111"/>
      <c r="BP572" s="111"/>
      <c r="BQ572" s="111"/>
      <c r="BR572" s="111"/>
      <c r="BS572" s="111"/>
      <c r="DR572" s="29"/>
      <c r="DS572" s="29"/>
      <c r="DT572" s="29"/>
      <c r="DU572" s="29"/>
      <c r="DV572" s="29"/>
      <c r="DW572" s="29"/>
      <c r="DX572" s="29"/>
      <c r="DY572" s="29"/>
      <c r="DZ572" s="29"/>
      <c r="EA572" s="29"/>
      <c r="EB572" s="29"/>
      <c r="EC572" s="29"/>
      <c r="ED572" s="29"/>
      <c r="EE572" s="29"/>
      <c r="EF572" s="111"/>
      <c r="EG572" s="111"/>
      <c r="EH572" s="111"/>
      <c r="EI572" s="111"/>
      <c r="EJ572" s="111"/>
      <c r="EK572" s="111"/>
      <c r="EL572" s="111"/>
      <c r="EM572" s="111"/>
      <c r="EN572" s="111"/>
      <c r="EO572" s="111"/>
      <c r="EP572" s="111"/>
      <c r="EQ572" s="111"/>
      <c r="ER572" s="111"/>
      <c r="ES572" s="111"/>
    </row>
    <row r="573" spans="44:149">
      <c r="AR573" s="29"/>
      <c r="AS573" s="29"/>
      <c r="AT573" s="29"/>
      <c r="AU573" s="29"/>
      <c r="AV573" s="29"/>
      <c r="AW573" s="29"/>
      <c r="AX573" s="29"/>
      <c r="AY573" s="29"/>
      <c r="AZ573" s="29"/>
      <c r="BA573" s="29"/>
      <c r="BB573" s="29"/>
      <c r="BC573" s="29"/>
      <c r="BD573" s="29"/>
      <c r="BE573" s="29"/>
      <c r="BF573" s="111"/>
      <c r="BG573" s="111"/>
      <c r="BH573" s="111"/>
      <c r="BI573" s="111"/>
      <c r="BJ573" s="111"/>
      <c r="BK573" s="111"/>
      <c r="BL573" s="111"/>
      <c r="BM573" s="111"/>
      <c r="BN573" s="111"/>
      <c r="BO573" s="111"/>
      <c r="BP573" s="111"/>
      <c r="BQ573" s="111"/>
      <c r="BR573" s="111"/>
      <c r="BS573" s="111"/>
      <c r="DR573" s="29"/>
      <c r="DS573" s="29"/>
      <c r="DT573" s="29"/>
      <c r="DU573" s="29"/>
      <c r="DV573" s="29"/>
      <c r="DW573" s="29"/>
      <c r="DX573" s="29"/>
      <c r="DY573" s="29"/>
      <c r="DZ573" s="29"/>
      <c r="EA573" s="29"/>
      <c r="EB573" s="29"/>
      <c r="EC573" s="29"/>
      <c r="ED573" s="29"/>
      <c r="EE573" s="29"/>
      <c r="EF573" s="111"/>
      <c r="EG573" s="111"/>
      <c r="EH573" s="111"/>
      <c r="EI573" s="111"/>
      <c r="EJ573" s="111"/>
      <c r="EK573" s="111"/>
      <c r="EL573" s="111"/>
      <c r="EM573" s="111"/>
      <c r="EN573" s="111"/>
      <c r="EO573" s="111"/>
      <c r="EP573" s="111"/>
      <c r="EQ573" s="111"/>
      <c r="ER573" s="111"/>
      <c r="ES573" s="111"/>
    </row>
    <row r="574" spans="44:149">
      <c r="AR574" s="29"/>
      <c r="AS574" s="29"/>
      <c r="AT574" s="29"/>
      <c r="AU574" s="29"/>
      <c r="AV574" s="29"/>
      <c r="AW574" s="29"/>
      <c r="AX574" s="29"/>
      <c r="AY574" s="29"/>
      <c r="AZ574" s="29"/>
      <c r="BA574" s="29"/>
      <c r="BB574" s="29"/>
      <c r="BC574" s="29"/>
      <c r="BD574" s="29"/>
      <c r="BE574" s="29"/>
      <c r="BF574" s="111"/>
      <c r="BG574" s="111"/>
      <c r="BH574" s="111"/>
      <c r="BI574" s="111"/>
      <c r="BJ574" s="111"/>
      <c r="BK574" s="111"/>
      <c r="BL574" s="111"/>
      <c r="BM574" s="111"/>
      <c r="BN574" s="111"/>
      <c r="BO574" s="111"/>
      <c r="BP574" s="111"/>
      <c r="BQ574" s="111"/>
      <c r="BR574" s="111"/>
      <c r="BS574" s="111"/>
      <c r="DR574" s="29"/>
      <c r="DS574" s="29"/>
      <c r="DT574" s="29"/>
      <c r="DU574" s="29"/>
      <c r="DV574" s="29"/>
      <c r="DW574" s="29"/>
      <c r="DX574" s="29"/>
      <c r="DY574" s="29"/>
      <c r="DZ574" s="29"/>
      <c r="EA574" s="29"/>
      <c r="EB574" s="29"/>
      <c r="EC574" s="29"/>
      <c r="ED574" s="29"/>
      <c r="EE574" s="29"/>
      <c r="EF574" s="111"/>
      <c r="EG574" s="111"/>
      <c r="EH574" s="111"/>
      <c r="EI574" s="111"/>
      <c r="EJ574" s="111"/>
      <c r="EK574" s="111"/>
      <c r="EL574" s="111"/>
      <c r="EM574" s="111"/>
      <c r="EN574" s="111"/>
      <c r="EO574" s="111"/>
      <c r="EP574" s="111"/>
      <c r="EQ574" s="111"/>
      <c r="ER574" s="111"/>
      <c r="ES574" s="111"/>
    </row>
    <row r="575" spans="44:149">
      <c r="AR575" s="29"/>
      <c r="AS575" s="29"/>
      <c r="AT575" s="29"/>
      <c r="AU575" s="29"/>
      <c r="AV575" s="29"/>
      <c r="AW575" s="29"/>
      <c r="AX575" s="29"/>
      <c r="AY575" s="29"/>
      <c r="AZ575" s="29"/>
      <c r="BA575" s="29"/>
      <c r="BB575" s="29"/>
      <c r="BC575" s="29"/>
      <c r="BD575" s="29"/>
      <c r="BE575" s="29"/>
      <c r="BF575" s="111"/>
      <c r="BG575" s="111"/>
      <c r="BH575" s="111"/>
      <c r="BI575" s="111"/>
      <c r="BJ575" s="111"/>
      <c r="BK575" s="111"/>
      <c r="BL575" s="111"/>
      <c r="BM575" s="111"/>
      <c r="BN575" s="111"/>
      <c r="BO575" s="111"/>
      <c r="BP575" s="111"/>
      <c r="BQ575" s="111"/>
      <c r="BR575" s="111"/>
      <c r="BS575" s="111"/>
      <c r="DR575" s="29"/>
      <c r="DS575" s="29"/>
      <c r="DT575" s="29"/>
      <c r="DU575" s="29"/>
      <c r="DV575" s="29"/>
      <c r="DW575" s="29"/>
      <c r="DX575" s="29"/>
      <c r="DY575" s="29"/>
      <c r="DZ575" s="29"/>
      <c r="EA575" s="29"/>
      <c r="EB575" s="29"/>
      <c r="EC575" s="29"/>
      <c r="ED575" s="29"/>
      <c r="EE575" s="29"/>
      <c r="EF575" s="111"/>
      <c r="EG575" s="111"/>
      <c r="EH575" s="111"/>
      <c r="EI575" s="111"/>
      <c r="EJ575" s="111"/>
      <c r="EK575" s="111"/>
      <c r="EL575" s="111"/>
      <c r="EM575" s="111"/>
      <c r="EN575" s="111"/>
      <c r="EO575" s="111"/>
      <c r="EP575" s="111"/>
      <c r="EQ575" s="111"/>
      <c r="ER575" s="111"/>
      <c r="ES575" s="111"/>
    </row>
    <row r="576" spans="44:149">
      <c r="AR576" s="29"/>
      <c r="AS576" s="29"/>
      <c r="AT576" s="29"/>
      <c r="AU576" s="29"/>
      <c r="AV576" s="29"/>
      <c r="AW576" s="29"/>
      <c r="AX576" s="29"/>
      <c r="AY576" s="29"/>
      <c r="AZ576" s="29"/>
      <c r="BA576" s="29"/>
      <c r="BB576" s="29"/>
      <c r="BC576" s="29"/>
      <c r="BD576" s="29"/>
      <c r="BE576" s="29"/>
      <c r="BF576" s="111"/>
      <c r="BG576" s="111"/>
      <c r="BH576" s="111"/>
      <c r="BI576" s="111"/>
      <c r="BJ576" s="111"/>
      <c r="BK576" s="111"/>
      <c r="BL576" s="111"/>
      <c r="BM576" s="111"/>
      <c r="BN576" s="111"/>
      <c r="BO576" s="111"/>
      <c r="BP576" s="111"/>
      <c r="BQ576" s="111"/>
      <c r="BR576" s="111"/>
      <c r="BS576" s="111"/>
      <c r="DR576" s="29"/>
      <c r="DS576" s="29"/>
      <c r="DT576" s="29"/>
      <c r="DU576" s="29"/>
      <c r="DV576" s="29"/>
      <c r="DW576" s="29"/>
      <c r="DX576" s="29"/>
      <c r="DY576" s="29"/>
      <c r="DZ576" s="29"/>
      <c r="EA576" s="29"/>
      <c r="EB576" s="29"/>
      <c r="EC576" s="29"/>
      <c r="ED576" s="29"/>
      <c r="EE576" s="29"/>
      <c r="EF576" s="111"/>
      <c r="EG576" s="111"/>
      <c r="EH576" s="111"/>
      <c r="EI576" s="111"/>
      <c r="EJ576" s="111"/>
      <c r="EK576" s="111"/>
      <c r="EL576" s="111"/>
      <c r="EM576" s="111"/>
      <c r="EN576" s="111"/>
      <c r="EO576" s="111"/>
      <c r="EP576" s="111"/>
      <c r="EQ576" s="111"/>
      <c r="ER576" s="111"/>
      <c r="ES576" s="111"/>
    </row>
    <row r="577" spans="44:149">
      <c r="AR577" s="29"/>
      <c r="AS577" s="29"/>
      <c r="AT577" s="29"/>
      <c r="AU577" s="29"/>
      <c r="AV577" s="29"/>
      <c r="AW577" s="29"/>
      <c r="AX577" s="29"/>
      <c r="AY577" s="29"/>
      <c r="AZ577" s="29"/>
      <c r="BA577" s="29"/>
      <c r="BB577" s="29"/>
      <c r="BC577" s="29"/>
      <c r="BD577" s="29"/>
      <c r="BE577" s="29"/>
      <c r="BF577" s="111"/>
      <c r="BG577" s="111"/>
      <c r="BH577" s="111"/>
      <c r="BI577" s="111"/>
      <c r="BJ577" s="111"/>
      <c r="BK577" s="111"/>
      <c r="BL577" s="111"/>
      <c r="BM577" s="111"/>
      <c r="BN577" s="111"/>
      <c r="BO577" s="111"/>
      <c r="BP577" s="111"/>
      <c r="BQ577" s="111"/>
      <c r="BR577" s="111"/>
      <c r="BS577" s="111"/>
      <c r="DR577" s="29"/>
      <c r="DS577" s="29"/>
      <c r="DT577" s="29"/>
      <c r="DU577" s="29"/>
      <c r="DV577" s="29"/>
      <c r="DW577" s="29"/>
      <c r="DX577" s="29"/>
      <c r="DY577" s="29"/>
      <c r="DZ577" s="29"/>
      <c r="EA577" s="29"/>
      <c r="EB577" s="29"/>
      <c r="EC577" s="29"/>
      <c r="ED577" s="29"/>
      <c r="EE577" s="29"/>
      <c r="EF577" s="111"/>
      <c r="EG577" s="111"/>
      <c r="EH577" s="111"/>
      <c r="EI577" s="111"/>
      <c r="EJ577" s="111"/>
      <c r="EK577" s="111"/>
      <c r="EL577" s="111"/>
      <c r="EM577" s="111"/>
      <c r="EN577" s="111"/>
      <c r="EO577" s="111"/>
      <c r="EP577" s="111"/>
      <c r="EQ577" s="111"/>
      <c r="ER577" s="111"/>
      <c r="ES577" s="111"/>
    </row>
    <row r="578" spans="44:149">
      <c r="AR578" s="29"/>
      <c r="AS578" s="29"/>
      <c r="AT578" s="29"/>
      <c r="AU578" s="29"/>
      <c r="AV578" s="29"/>
      <c r="AW578" s="29"/>
      <c r="AX578" s="29"/>
      <c r="AY578" s="29"/>
      <c r="AZ578" s="29"/>
      <c r="BA578" s="29"/>
      <c r="BB578" s="29"/>
      <c r="BC578" s="29"/>
      <c r="BD578" s="29"/>
      <c r="BE578" s="29"/>
      <c r="BF578" s="111"/>
      <c r="BG578" s="111"/>
      <c r="BH578" s="111"/>
      <c r="BI578" s="111"/>
      <c r="BJ578" s="111"/>
      <c r="BK578" s="111"/>
      <c r="BL578" s="111"/>
      <c r="BM578" s="111"/>
      <c r="BN578" s="111"/>
      <c r="BO578" s="111"/>
      <c r="BP578" s="111"/>
      <c r="BQ578" s="111"/>
      <c r="BR578" s="111"/>
      <c r="BS578" s="111"/>
      <c r="DR578" s="29"/>
      <c r="DS578" s="29"/>
      <c r="DT578" s="29"/>
      <c r="DU578" s="29"/>
      <c r="DV578" s="29"/>
      <c r="DW578" s="29"/>
      <c r="DX578" s="29"/>
      <c r="DY578" s="29"/>
      <c r="DZ578" s="29"/>
      <c r="EA578" s="29"/>
      <c r="EB578" s="29"/>
      <c r="EC578" s="29"/>
      <c r="ED578" s="29"/>
      <c r="EE578" s="29"/>
      <c r="EF578" s="111"/>
      <c r="EG578" s="111"/>
      <c r="EH578" s="111"/>
      <c r="EI578" s="111"/>
      <c r="EJ578" s="111"/>
      <c r="EK578" s="111"/>
      <c r="EL578" s="111"/>
      <c r="EM578" s="111"/>
      <c r="EN578" s="111"/>
      <c r="EO578" s="111"/>
      <c r="EP578" s="111"/>
      <c r="EQ578" s="111"/>
      <c r="ER578" s="111"/>
      <c r="ES578" s="111"/>
    </row>
    <row r="579" spans="44:149">
      <c r="AR579" s="29"/>
      <c r="AS579" s="29"/>
      <c r="AT579" s="29"/>
      <c r="AU579" s="29"/>
      <c r="AV579" s="29"/>
      <c r="AW579" s="29"/>
      <c r="AX579" s="29"/>
      <c r="AY579" s="29"/>
      <c r="AZ579" s="29"/>
      <c r="BA579" s="29"/>
      <c r="BB579" s="29"/>
      <c r="BC579" s="29"/>
      <c r="BD579" s="29"/>
      <c r="BE579" s="29"/>
      <c r="BF579" s="111"/>
      <c r="BG579" s="111"/>
      <c r="BH579" s="111"/>
      <c r="BI579" s="111"/>
      <c r="BJ579" s="111"/>
      <c r="BK579" s="111"/>
      <c r="BL579" s="111"/>
      <c r="BM579" s="111"/>
      <c r="BN579" s="111"/>
      <c r="BO579" s="111"/>
      <c r="BP579" s="111"/>
      <c r="BQ579" s="111"/>
      <c r="BR579" s="111"/>
      <c r="BS579" s="111"/>
      <c r="DR579" s="29"/>
      <c r="DS579" s="29"/>
      <c r="DT579" s="29"/>
      <c r="DU579" s="29"/>
      <c r="DV579" s="29"/>
      <c r="DW579" s="29"/>
      <c r="DX579" s="29"/>
      <c r="DY579" s="29"/>
      <c r="DZ579" s="29"/>
      <c r="EA579" s="29"/>
      <c r="EB579" s="29"/>
      <c r="EC579" s="29"/>
      <c r="ED579" s="29"/>
      <c r="EE579" s="29"/>
      <c r="EF579" s="111"/>
      <c r="EG579" s="111"/>
      <c r="EH579" s="111"/>
      <c r="EI579" s="111"/>
      <c r="EJ579" s="111"/>
      <c r="EK579" s="111"/>
      <c r="EL579" s="111"/>
      <c r="EM579" s="111"/>
      <c r="EN579" s="111"/>
      <c r="EO579" s="111"/>
      <c r="EP579" s="111"/>
      <c r="EQ579" s="111"/>
      <c r="ER579" s="111"/>
      <c r="ES579" s="111"/>
    </row>
    <row r="580" spans="44:149">
      <c r="AR580" s="29"/>
      <c r="AS580" s="29"/>
      <c r="AT580" s="29"/>
      <c r="AU580" s="29"/>
      <c r="AV580" s="29"/>
      <c r="AW580" s="29"/>
      <c r="AX580" s="29"/>
      <c r="AY580" s="29"/>
      <c r="AZ580" s="29"/>
      <c r="BA580" s="29"/>
      <c r="BB580" s="29"/>
      <c r="BC580" s="29"/>
      <c r="BD580" s="29"/>
      <c r="BE580" s="29"/>
      <c r="BF580" s="111"/>
      <c r="BG580" s="111"/>
      <c r="BH580" s="111"/>
      <c r="BI580" s="111"/>
      <c r="BJ580" s="111"/>
      <c r="BK580" s="111"/>
      <c r="BL580" s="111"/>
      <c r="BM580" s="111"/>
      <c r="BN580" s="111"/>
      <c r="BO580" s="111"/>
      <c r="BP580" s="111"/>
      <c r="BQ580" s="111"/>
      <c r="BR580" s="111"/>
      <c r="BS580" s="111"/>
      <c r="DR580" s="29"/>
      <c r="DS580" s="29"/>
      <c r="DT580" s="29"/>
      <c r="DU580" s="29"/>
      <c r="DV580" s="29"/>
      <c r="DW580" s="29"/>
      <c r="DX580" s="29"/>
      <c r="DY580" s="29"/>
      <c r="DZ580" s="29"/>
      <c r="EA580" s="29"/>
      <c r="EB580" s="29"/>
      <c r="EC580" s="29"/>
      <c r="ED580" s="29"/>
      <c r="EE580" s="29"/>
      <c r="EF580" s="111"/>
      <c r="EG580" s="111"/>
      <c r="EH580" s="111"/>
      <c r="EI580" s="111"/>
      <c r="EJ580" s="111"/>
      <c r="EK580" s="111"/>
      <c r="EL580" s="111"/>
      <c r="EM580" s="111"/>
      <c r="EN580" s="111"/>
      <c r="EO580" s="111"/>
      <c r="EP580" s="111"/>
      <c r="EQ580" s="111"/>
      <c r="ER580" s="111"/>
      <c r="ES580" s="111"/>
    </row>
    <row r="581" spans="44:149">
      <c r="AR581" s="29"/>
      <c r="AS581" s="29"/>
      <c r="AT581" s="29"/>
      <c r="AU581" s="29"/>
      <c r="AV581" s="29"/>
      <c r="AW581" s="29"/>
      <c r="AX581" s="29"/>
      <c r="AY581" s="29"/>
      <c r="AZ581" s="29"/>
      <c r="BA581" s="29"/>
      <c r="BB581" s="29"/>
      <c r="BC581" s="29"/>
      <c r="BD581" s="29"/>
      <c r="BE581" s="29"/>
      <c r="BF581" s="111"/>
      <c r="BG581" s="111"/>
      <c r="BH581" s="111"/>
      <c r="BI581" s="111"/>
      <c r="BJ581" s="111"/>
      <c r="BK581" s="111"/>
      <c r="BL581" s="111"/>
      <c r="BM581" s="111"/>
      <c r="BN581" s="111"/>
      <c r="BO581" s="111"/>
      <c r="BP581" s="111"/>
      <c r="BQ581" s="111"/>
      <c r="BR581" s="111"/>
      <c r="BS581" s="111"/>
      <c r="DR581" s="29"/>
      <c r="DS581" s="29"/>
      <c r="DT581" s="29"/>
      <c r="DU581" s="29"/>
      <c r="DV581" s="29"/>
      <c r="DW581" s="29"/>
      <c r="DX581" s="29"/>
      <c r="DY581" s="29"/>
      <c r="DZ581" s="29"/>
      <c r="EA581" s="29"/>
      <c r="EB581" s="29"/>
      <c r="EC581" s="29"/>
      <c r="ED581" s="29"/>
      <c r="EE581" s="29"/>
      <c r="EF581" s="111"/>
      <c r="EG581" s="111"/>
      <c r="EH581" s="111"/>
      <c r="EI581" s="111"/>
      <c r="EJ581" s="111"/>
      <c r="EK581" s="111"/>
      <c r="EL581" s="111"/>
      <c r="EM581" s="111"/>
      <c r="EN581" s="111"/>
      <c r="EO581" s="111"/>
      <c r="EP581" s="111"/>
      <c r="EQ581" s="111"/>
      <c r="ER581" s="111"/>
      <c r="ES581" s="111"/>
    </row>
    <row r="582" spans="44:149">
      <c r="AR582" s="29"/>
      <c r="AS582" s="29"/>
      <c r="AT582" s="29"/>
      <c r="AU582" s="29"/>
      <c r="AV582" s="29"/>
      <c r="AW582" s="29"/>
      <c r="AX582" s="29"/>
      <c r="AY582" s="29"/>
      <c r="AZ582" s="29"/>
      <c r="BA582" s="29"/>
      <c r="BB582" s="29"/>
      <c r="BC582" s="29"/>
      <c r="BD582" s="29"/>
      <c r="BE582" s="29"/>
      <c r="BF582" s="111"/>
      <c r="BG582" s="111"/>
      <c r="BH582" s="111"/>
      <c r="BI582" s="111"/>
      <c r="BJ582" s="111"/>
      <c r="BK582" s="111"/>
      <c r="BL582" s="111"/>
      <c r="BM582" s="111"/>
      <c r="BN582" s="111"/>
      <c r="BO582" s="111"/>
      <c r="BP582" s="111"/>
      <c r="BQ582" s="111"/>
      <c r="BR582" s="111"/>
      <c r="BS582" s="111"/>
      <c r="DR582" s="29"/>
      <c r="DS582" s="29"/>
      <c r="DT582" s="29"/>
      <c r="DU582" s="29"/>
      <c r="DV582" s="29"/>
      <c r="DW582" s="29"/>
      <c r="DX582" s="29"/>
      <c r="DY582" s="29"/>
      <c r="DZ582" s="29"/>
      <c r="EA582" s="29"/>
      <c r="EB582" s="29"/>
      <c r="EC582" s="29"/>
      <c r="ED582" s="29"/>
      <c r="EE582" s="29"/>
      <c r="EF582" s="111"/>
      <c r="EG582" s="111"/>
      <c r="EH582" s="111"/>
      <c r="EI582" s="111"/>
      <c r="EJ582" s="111"/>
      <c r="EK582" s="111"/>
      <c r="EL582" s="111"/>
      <c r="EM582" s="111"/>
      <c r="EN582" s="111"/>
      <c r="EO582" s="111"/>
      <c r="EP582" s="111"/>
      <c r="EQ582" s="111"/>
      <c r="ER582" s="111"/>
      <c r="ES582" s="111"/>
    </row>
    <row r="583" spans="44:149">
      <c r="AR583" s="29"/>
      <c r="AS583" s="29"/>
      <c r="AT583" s="29"/>
      <c r="AU583" s="29"/>
      <c r="AV583" s="29"/>
      <c r="AW583" s="29"/>
      <c r="AX583" s="29"/>
      <c r="AY583" s="29"/>
      <c r="AZ583" s="29"/>
      <c r="BA583" s="29"/>
      <c r="BB583" s="29"/>
      <c r="BC583" s="29"/>
      <c r="BD583" s="29"/>
      <c r="BE583" s="29"/>
      <c r="BF583" s="111"/>
      <c r="BG583" s="111"/>
      <c r="BH583" s="111"/>
      <c r="BI583" s="111"/>
      <c r="BJ583" s="111"/>
      <c r="BK583" s="111"/>
      <c r="BL583" s="111"/>
      <c r="BM583" s="111"/>
      <c r="BN583" s="111"/>
      <c r="BO583" s="111"/>
      <c r="BP583" s="111"/>
      <c r="BQ583" s="111"/>
      <c r="BR583" s="111"/>
      <c r="BS583" s="111"/>
      <c r="DR583" s="29"/>
      <c r="DS583" s="29"/>
      <c r="DT583" s="29"/>
      <c r="DU583" s="29"/>
      <c r="DV583" s="29"/>
      <c r="DW583" s="29"/>
      <c r="DX583" s="29"/>
      <c r="DY583" s="29"/>
      <c r="DZ583" s="29"/>
      <c r="EA583" s="29"/>
      <c r="EB583" s="29"/>
      <c r="EC583" s="29"/>
      <c r="ED583" s="29"/>
      <c r="EE583" s="29"/>
      <c r="EF583" s="111"/>
      <c r="EG583" s="111"/>
      <c r="EH583" s="111"/>
      <c r="EI583" s="111"/>
      <c r="EJ583" s="111"/>
      <c r="EK583" s="111"/>
      <c r="EL583" s="111"/>
      <c r="EM583" s="111"/>
      <c r="EN583" s="111"/>
      <c r="EO583" s="111"/>
      <c r="EP583" s="111"/>
      <c r="EQ583" s="111"/>
      <c r="ER583" s="111"/>
      <c r="ES583" s="111"/>
    </row>
    <row r="584" spans="44:149">
      <c r="AR584" s="29"/>
      <c r="AS584" s="29"/>
      <c r="AT584" s="29"/>
      <c r="AU584" s="29"/>
      <c r="AV584" s="29"/>
      <c r="AW584" s="29"/>
      <c r="AX584" s="29"/>
      <c r="AY584" s="29"/>
      <c r="AZ584" s="29"/>
      <c r="BA584" s="29"/>
      <c r="BB584" s="29"/>
      <c r="BC584" s="29"/>
      <c r="BD584" s="29"/>
      <c r="BE584" s="29"/>
      <c r="BF584" s="111"/>
      <c r="BG584" s="111"/>
      <c r="BH584" s="111"/>
      <c r="BI584" s="111"/>
      <c r="BJ584" s="111"/>
      <c r="BK584" s="111"/>
      <c r="BL584" s="111"/>
      <c r="BM584" s="111"/>
      <c r="BN584" s="111"/>
      <c r="BO584" s="111"/>
      <c r="BP584" s="111"/>
      <c r="BQ584" s="111"/>
      <c r="BR584" s="111"/>
      <c r="BS584" s="111"/>
      <c r="DR584" s="29"/>
      <c r="DS584" s="29"/>
      <c r="DT584" s="29"/>
      <c r="DU584" s="29"/>
      <c r="DV584" s="29"/>
      <c r="DW584" s="29"/>
      <c r="DX584" s="29"/>
      <c r="DY584" s="29"/>
      <c r="DZ584" s="29"/>
      <c r="EA584" s="29"/>
      <c r="EB584" s="29"/>
      <c r="EC584" s="29"/>
      <c r="ED584" s="29"/>
      <c r="EE584" s="29"/>
      <c r="EF584" s="111"/>
      <c r="EG584" s="111"/>
      <c r="EH584" s="111"/>
      <c r="EI584" s="111"/>
      <c r="EJ584" s="111"/>
      <c r="EK584" s="111"/>
      <c r="EL584" s="111"/>
      <c r="EM584" s="111"/>
      <c r="EN584" s="111"/>
      <c r="EO584" s="111"/>
      <c r="EP584" s="111"/>
      <c r="EQ584" s="111"/>
      <c r="ER584" s="111"/>
      <c r="ES584" s="111"/>
    </row>
    <row r="585" spans="44:149">
      <c r="AR585" s="29"/>
      <c r="AS585" s="29"/>
      <c r="AT585" s="29"/>
      <c r="AU585" s="29"/>
      <c r="AV585" s="29"/>
      <c r="AW585" s="29"/>
      <c r="AX585" s="29"/>
      <c r="AY585" s="29"/>
      <c r="AZ585" s="29"/>
      <c r="BA585" s="29"/>
      <c r="BB585" s="29"/>
      <c r="BC585" s="29"/>
      <c r="BD585" s="29"/>
      <c r="BE585" s="29"/>
      <c r="BF585" s="111"/>
      <c r="BG585" s="111"/>
      <c r="BH585" s="111"/>
      <c r="BI585" s="111"/>
      <c r="BJ585" s="111"/>
      <c r="BK585" s="111"/>
      <c r="BL585" s="111"/>
      <c r="BM585" s="111"/>
      <c r="BN585" s="111"/>
      <c r="BO585" s="111"/>
      <c r="BP585" s="111"/>
      <c r="BQ585" s="111"/>
      <c r="BR585" s="111"/>
      <c r="BS585" s="111"/>
      <c r="DR585" s="29"/>
      <c r="DS585" s="29"/>
      <c r="DT585" s="29"/>
      <c r="DU585" s="29"/>
      <c r="DV585" s="29"/>
      <c r="DW585" s="29"/>
      <c r="DX585" s="29"/>
      <c r="DY585" s="29"/>
      <c r="DZ585" s="29"/>
      <c r="EA585" s="29"/>
      <c r="EB585" s="29"/>
      <c r="EC585" s="29"/>
      <c r="ED585" s="29"/>
      <c r="EE585" s="29"/>
      <c r="EF585" s="111"/>
      <c r="EG585" s="111"/>
      <c r="EH585" s="111"/>
      <c r="EI585" s="111"/>
      <c r="EJ585" s="111"/>
      <c r="EK585" s="111"/>
      <c r="EL585" s="111"/>
      <c r="EM585" s="111"/>
      <c r="EN585" s="111"/>
      <c r="EO585" s="111"/>
      <c r="EP585" s="111"/>
      <c r="EQ585" s="111"/>
      <c r="ER585" s="111"/>
      <c r="ES585" s="111"/>
    </row>
    <row r="586" spans="44:149">
      <c r="AR586" s="29"/>
      <c r="AS586" s="29"/>
      <c r="AT586" s="29"/>
      <c r="AU586" s="29"/>
      <c r="AV586" s="29"/>
      <c r="AW586" s="29"/>
      <c r="AX586" s="29"/>
      <c r="AY586" s="29"/>
      <c r="AZ586" s="29"/>
      <c r="BA586" s="29"/>
      <c r="BB586" s="29"/>
      <c r="BC586" s="29"/>
      <c r="BD586" s="29"/>
      <c r="BE586" s="29"/>
      <c r="BF586" s="111"/>
      <c r="BG586" s="111"/>
      <c r="BH586" s="111"/>
      <c r="BI586" s="111"/>
      <c r="BJ586" s="111"/>
      <c r="BK586" s="111"/>
      <c r="BL586" s="111"/>
      <c r="BM586" s="111"/>
      <c r="BN586" s="111"/>
      <c r="BO586" s="111"/>
      <c r="BP586" s="111"/>
      <c r="BQ586" s="111"/>
      <c r="BR586" s="111"/>
      <c r="BS586" s="111"/>
      <c r="DR586" s="29"/>
      <c r="DS586" s="29"/>
      <c r="DT586" s="29"/>
      <c r="DU586" s="29"/>
      <c r="DV586" s="29"/>
      <c r="DW586" s="29"/>
      <c r="DX586" s="29"/>
      <c r="DY586" s="29"/>
      <c r="DZ586" s="29"/>
      <c r="EA586" s="29"/>
      <c r="EB586" s="29"/>
      <c r="EC586" s="29"/>
      <c r="ED586" s="29"/>
      <c r="EE586" s="29"/>
      <c r="EF586" s="111"/>
      <c r="EG586" s="111"/>
      <c r="EH586" s="111"/>
      <c r="EI586" s="111"/>
      <c r="EJ586" s="111"/>
      <c r="EK586" s="111"/>
      <c r="EL586" s="111"/>
      <c r="EM586" s="111"/>
      <c r="EN586" s="111"/>
      <c r="EO586" s="111"/>
      <c r="EP586" s="111"/>
      <c r="EQ586" s="111"/>
      <c r="ER586" s="111"/>
      <c r="ES586" s="111"/>
    </row>
    <row r="587" spans="44:149">
      <c r="AR587" s="29"/>
      <c r="AS587" s="29"/>
      <c r="AT587" s="29"/>
      <c r="AU587" s="29"/>
      <c r="AV587" s="29"/>
      <c r="AW587" s="29"/>
      <c r="AX587" s="29"/>
      <c r="AY587" s="29"/>
      <c r="AZ587" s="29"/>
      <c r="BA587" s="29"/>
      <c r="BB587" s="29"/>
      <c r="BC587" s="29"/>
      <c r="BD587" s="29"/>
      <c r="BE587" s="29"/>
      <c r="BF587" s="111"/>
      <c r="BG587" s="111"/>
      <c r="BH587" s="111"/>
      <c r="BI587" s="111"/>
      <c r="BJ587" s="111"/>
      <c r="BK587" s="111"/>
      <c r="BL587" s="111"/>
      <c r="BM587" s="111"/>
      <c r="BN587" s="111"/>
      <c r="BO587" s="111"/>
      <c r="BP587" s="111"/>
      <c r="BQ587" s="111"/>
      <c r="BR587" s="111"/>
      <c r="BS587" s="111"/>
      <c r="DR587" s="29"/>
      <c r="DS587" s="29"/>
      <c r="DT587" s="29"/>
      <c r="DU587" s="29"/>
      <c r="DV587" s="29"/>
      <c r="DW587" s="29"/>
      <c r="DX587" s="29"/>
      <c r="DY587" s="29"/>
      <c r="DZ587" s="29"/>
      <c r="EA587" s="29"/>
      <c r="EB587" s="29"/>
      <c r="EC587" s="29"/>
      <c r="ED587" s="29"/>
      <c r="EE587" s="29"/>
      <c r="EF587" s="111"/>
      <c r="EG587" s="111"/>
      <c r="EH587" s="111"/>
      <c r="EI587" s="111"/>
      <c r="EJ587" s="111"/>
      <c r="EK587" s="111"/>
      <c r="EL587" s="111"/>
      <c r="EM587" s="111"/>
      <c r="EN587" s="111"/>
      <c r="EO587" s="111"/>
      <c r="EP587" s="111"/>
      <c r="EQ587" s="111"/>
      <c r="ER587" s="111"/>
      <c r="ES587" s="111"/>
    </row>
    <row r="588" spans="44:149">
      <c r="AR588" s="29"/>
      <c r="AS588" s="29"/>
      <c r="AT588" s="29"/>
      <c r="AU588" s="29"/>
      <c r="AV588" s="29"/>
      <c r="AW588" s="29"/>
      <c r="AX588" s="29"/>
      <c r="AY588" s="29"/>
      <c r="AZ588" s="29"/>
      <c r="BA588" s="29"/>
      <c r="BB588" s="29"/>
      <c r="BC588" s="29"/>
      <c r="BD588" s="29"/>
      <c r="BE588" s="29"/>
      <c r="BF588" s="111"/>
      <c r="BG588" s="111"/>
      <c r="BH588" s="111"/>
      <c r="BI588" s="111"/>
      <c r="BJ588" s="111"/>
      <c r="BK588" s="111"/>
      <c r="BL588" s="111"/>
      <c r="BM588" s="111"/>
      <c r="BN588" s="111"/>
      <c r="BO588" s="111"/>
      <c r="BP588" s="111"/>
      <c r="BQ588" s="111"/>
      <c r="BR588" s="111"/>
      <c r="BS588" s="111"/>
      <c r="DR588" s="29"/>
      <c r="DS588" s="29"/>
      <c r="DT588" s="29"/>
      <c r="DU588" s="29"/>
      <c r="DV588" s="29"/>
      <c r="DW588" s="29"/>
      <c r="DX588" s="29"/>
      <c r="DY588" s="29"/>
      <c r="DZ588" s="29"/>
      <c r="EA588" s="29"/>
      <c r="EB588" s="29"/>
      <c r="EC588" s="29"/>
      <c r="ED588" s="29"/>
      <c r="EE588" s="29"/>
      <c r="EF588" s="111"/>
      <c r="EG588" s="111"/>
      <c r="EH588" s="111"/>
      <c r="EI588" s="111"/>
      <c r="EJ588" s="111"/>
      <c r="EK588" s="111"/>
      <c r="EL588" s="111"/>
      <c r="EM588" s="111"/>
      <c r="EN588" s="111"/>
      <c r="EO588" s="111"/>
      <c r="EP588" s="111"/>
      <c r="EQ588" s="111"/>
      <c r="ER588" s="111"/>
      <c r="ES588" s="111"/>
    </row>
    <row r="589" spans="44:149">
      <c r="AR589" s="29"/>
      <c r="AS589" s="29"/>
      <c r="AT589" s="29"/>
      <c r="AU589" s="29"/>
      <c r="AV589" s="29"/>
      <c r="AW589" s="29"/>
      <c r="AX589" s="29"/>
      <c r="AY589" s="29"/>
      <c r="AZ589" s="29"/>
      <c r="BA589" s="29"/>
      <c r="BB589" s="29"/>
      <c r="BC589" s="29"/>
      <c r="BD589" s="29"/>
      <c r="BE589" s="29"/>
      <c r="BF589" s="111"/>
      <c r="BG589" s="111"/>
      <c r="BH589" s="111"/>
      <c r="BI589" s="111"/>
      <c r="BJ589" s="111"/>
      <c r="BK589" s="111"/>
      <c r="BL589" s="111"/>
      <c r="BM589" s="111"/>
      <c r="BN589" s="111"/>
      <c r="BO589" s="111"/>
      <c r="BP589" s="111"/>
      <c r="BQ589" s="111"/>
      <c r="BR589" s="111"/>
      <c r="BS589" s="111"/>
      <c r="DR589" s="29"/>
      <c r="DS589" s="29"/>
      <c r="DT589" s="29"/>
      <c r="DU589" s="29"/>
      <c r="DV589" s="29"/>
      <c r="DW589" s="29"/>
      <c r="DX589" s="29"/>
      <c r="DY589" s="29"/>
      <c r="DZ589" s="29"/>
      <c r="EA589" s="29"/>
      <c r="EB589" s="29"/>
      <c r="EC589" s="29"/>
      <c r="ED589" s="29"/>
      <c r="EE589" s="29"/>
      <c r="EF589" s="111"/>
      <c r="EG589" s="111"/>
      <c r="EH589" s="111"/>
      <c r="EI589" s="111"/>
      <c r="EJ589" s="111"/>
      <c r="EK589" s="111"/>
      <c r="EL589" s="111"/>
      <c r="EM589" s="111"/>
      <c r="EN589" s="111"/>
      <c r="EO589" s="111"/>
      <c r="EP589" s="111"/>
      <c r="EQ589" s="111"/>
      <c r="ER589" s="111"/>
      <c r="ES589" s="111"/>
    </row>
    <row r="590" spans="44:149">
      <c r="AR590" s="29"/>
      <c r="AS590" s="29"/>
      <c r="AT590" s="29"/>
      <c r="AU590" s="29"/>
      <c r="AV590" s="29"/>
      <c r="AW590" s="29"/>
      <c r="AX590" s="29"/>
      <c r="AY590" s="29"/>
      <c r="AZ590" s="29"/>
      <c r="BA590" s="29"/>
      <c r="BB590" s="29"/>
      <c r="BC590" s="29"/>
      <c r="BD590" s="29"/>
      <c r="BE590" s="29"/>
      <c r="BF590" s="111"/>
      <c r="BG590" s="111"/>
      <c r="BH590" s="111"/>
      <c r="BI590" s="111"/>
      <c r="BJ590" s="111"/>
      <c r="BK590" s="111"/>
      <c r="BL590" s="111"/>
      <c r="BM590" s="111"/>
      <c r="BN590" s="111"/>
      <c r="BO590" s="111"/>
      <c r="BP590" s="111"/>
      <c r="BQ590" s="111"/>
      <c r="BR590" s="111"/>
      <c r="BS590" s="111"/>
      <c r="DR590" s="29"/>
      <c r="DS590" s="29"/>
      <c r="DT590" s="29"/>
      <c r="DU590" s="29"/>
      <c r="DV590" s="29"/>
      <c r="DW590" s="29"/>
      <c r="DX590" s="29"/>
      <c r="DY590" s="29"/>
      <c r="DZ590" s="29"/>
      <c r="EA590" s="29"/>
      <c r="EB590" s="29"/>
      <c r="EC590" s="29"/>
      <c r="ED590" s="29"/>
      <c r="EE590" s="29"/>
      <c r="EF590" s="111"/>
      <c r="EG590" s="111"/>
      <c r="EH590" s="111"/>
      <c r="EI590" s="111"/>
      <c r="EJ590" s="111"/>
      <c r="EK590" s="111"/>
      <c r="EL590" s="111"/>
      <c r="EM590" s="111"/>
      <c r="EN590" s="111"/>
      <c r="EO590" s="111"/>
      <c r="EP590" s="111"/>
      <c r="EQ590" s="111"/>
      <c r="ER590" s="111"/>
      <c r="ES590" s="111"/>
    </row>
    <row r="591" spans="44:149">
      <c r="AR591" s="29"/>
      <c r="AS591" s="29"/>
      <c r="AT591" s="29"/>
      <c r="AU591" s="29"/>
      <c r="AV591" s="29"/>
      <c r="AW591" s="29"/>
      <c r="AX591" s="29"/>
      <c r="AY591" s="29"/>
      <c r="AZ591" s="29"/>
      <c r="BA591" s="29"/>
      <c r="BB591" s="29"/>
      <c r="BC591" s="29"/>
      <c r="BD591" s="29"/>
      <c r="BE591" s="29"/>
      <c r="BF591" s="111"/>
      <c r="BG591" s="111"/>
      <c r="BH591" s="111"/>
      <c r="BI591" s="111"/>
      <c r="BJ591" s="111"/>
      <c r="BK591" s="111"/>
      <c r="BL591" s="111"/>
      <c r="BM591" s="111"/>
      <c r="BN591" s="111"/>
      <c r="BO591" s="111"/>
      <c r="BP591" s="111"/>
      <c r="BQ591" s="111"/>
      <c r="BR591" s="111"/>
      <c r="BS591" s="111"/>
      <c r="DR591" s="29"/>
      <c r="DS591" s="29"/>
      <c r="DT591" s="29"/>
      <c r="DU591" s="29"/>
      <c r="DV591" s="29"/>
      <c r="DW591" s="29"/>
      <c r="DX591" s="29"/>
      <c r="DY591" s="29"/>
      <c r="DZ591" s="29"/>
      <c r="EA591" s="29"/>
      <c r="EB591" s="29"/>
      <c r="EC591" s="29"/>
      <c r="ED591" s="29"/>
      <c r="EE591" s="29"/>
      <c r="EF591" s="111"/>
      <c r="EG591" s="111"/>
      <c r="EH591" s="111"/>
      <c r="EI591" s="111"/>
      <c r="EJ591" s="111"/>
      <c r="EK591" s="111"/>
      <c r="EL591" s="111"/>
      <c r="EM591" s="111"/>
      <c r="EN591" s="111"/>
      <c r="EO591" s="111"/>
      <c r="EP591" s="111"/>
      <c r="EQ591" s="111"/>
      <c r="ER591" s="111"/>
      <c r="ES591" s="111"/>
    </row>
    <row r="592" spans="44:149">
      <c r="AR592" s="29"/>
      <c r="AS592" s="29"/>
      <c r="AT592" s="29"/>
      <c r="AU592" s="29"/>
      <c r="AV592" s="29"/>
      <c r="AW592" s="29"/>
      <c r="AX592" s="29"/>
      <c r="AY592" s="29"/>
      <c r="AZ592" s="29"/>
      <c r="BA592" s="29"/>
      <c r="BB592" s="29"/>
      <c r="BC592" s="29"/>
      <c r="BD592" s="29"/>
      <c r="BE592" s="29"/>
      <c r="BF592" s="111"/>
      <c r="BG592" s="111"/>
      <c r="BH592" s="111"/>
      <c r="BI592" s="111"/>
      <c r="BJ592" s="111"/>
      <c r="BK592" s="111"/>
      <c r="BL592" s="111"/>
      <c r="BM592" s="111"/>
      <c r="BN592" s="111"/>
      <c r="BO592" s="111"/>
      <c r="BP592" s="111"/>
      <c r="BQ592" s="111"/>
      <c r="BR592" s="111"/>
      <c r="BS592" s="111"/>
      <c r="DR592" s="29"/>
      <c r="DS592" s="29"/>
      <c r="DT592" s="29"/>
      <c r="DU592" s="29"/>
      <c r="DV592" s="29"/>
      <c r="DW592" s="29"/>
      <c r="DX592" s="29"/>
      <c r="DY592" s="29"/>
      <c r="DZ592" s="29"/>
      <c r="EA592" s="29"/>
      <c r="EB592" s="29"/>
      <c r="EC592" s="29"/>
      <c r="ED592" s="29"/>
      <c r="EE592" s="29"/>
      <c r="EF592" s="111"/>
      <c r="EG592" s="111"/>
      <c r="EH592" s="111"/>
      <c r="EI592" s="111"/>
      <c r="EJ592" s="111"/>
      <c r="EK592" s="111"/>
      <c r="EL592" s="111"/>
      <c r="EM592" s="111"/>
      <c r="EN592" s="111"/>
      <c r="EO592" s="111"/>
      <c r="EP592" s="111"/>
      <c r="EQ592" s="111"/>
      <c r="ER592" s="111"/>
      <c r="ES592" s="111"/>
    </row>
    <row r="593" spans="44:149">
      <c r="AR593" s="29"/>
      <c r="AS593" s="29"/>
      <c r="AT593" s="29"/>
      <c r="AU593" s="29"/>
      <c r="AV593" s="29"/>
      <c r="AW593" s="29"/>
      <c r="AX593" s="29"/>
      <c r="AY593" s="29"/>
      <c r="AZ593" s="29"/>
      <c r="BA593" s="29"/>
      <c r="BB593" s="29"/>
      <c r="BC593" s="29"/>
      <c r="BD593" s="29"/>
      <c r="BE593" s="29"/>
      <c r="BF593" s="111"/>
      <c r="BG593" s="111"/>
      <c r="BH593" s="111"/>
      <c r="BI593" s="111"/>
      <c r="BJ593" s="111"/>
      <c r="BK593" s="111"/>
      <c r="BL593" s="111"/>
      <c r="BM593" s="111"/>
      <c r="BN593" s="111"/>
      <c r="BO593" s="111"/>
      <c r="BP593" s="111"/>
      <c r="BQ593" s="111"/>
      <c r="BR593" s="111"/>
      <c r="BS593" s="111"/>
      <c r="DR593" s="29"/>
      <c r="DS593" s="29"/>
      <c r="DT593" s="29"/>
      <c r="DU593" s="29"/>
      <c r="DV593" s="29"/>
      <c r="DW593" s="29"/>
      <c r="DX593" s="29"/>
      <c r="DY593" s="29"/>
      <c r="DZ593" s="29"/>
      <c r="EA593" s="29"/>
      <c r="EB593" s="29"/>
      <c r="EC593" s="29"/>
      <c r="ED593" s="29"/>
      <c r="EE593" s="29"/>
      <c r="EF593" s="111"/>
      <c r="EG593" s="111"/>
      <c r="EH593" s="111"/>
      <c r="EI593" s="111"/>
      <c r="EJ593" s="111"/>
      <c r="EK593" s="111"/>
      <c r="EL593" s="111"/>
      <c r="EM593" s="111"/>
      <c r="EN593" s="111"/>
      <c r="EO593" s="111"/>
      <c r="EP593" s="111"/>
      <c r="EQ593" s="111"/>
      <c r="ER593" s="111"/>
      <c r="ES593" s="111"/>
    </row>
    <row r="594" spans="44:149">
      <c r="AR594" s="29"/>
      <c r="AS594" s="29"/>
      <c r="AT594" s="29"/>
      <c r="AU594" s="29"/>
      <c r="AV594" s="29"/>
      <c r="AW594" s="29"/>
      <c r="AX594" s="29"/>
      <c r="AY594" s="29"/>
      <c r="AZ594" s="29"/>
      <c r="BA594" s="29"/>
      <c r="BB594" s="29"/>
      <c r="BC594" s="29"/>
      <c r="BD594" s="29"/>
      <c r="BE594" s="29"/>
      <c r="BF594" s="111"/>
      <c r="BG594" s="111"/>
      <c r="BH594" s="111"/>
      <c r="BI594" s="111"/>
      <c r="BJ594" s="111"/>
      <c r="BK594" s="111"/>
      <c r="BL594" s="111"/>
      <c r="BM594" s="111"/>
      <c r="BN594" s="111"/>
      <c r="BO594" s="111"/>
      <c r="BP594" s="111"/>
      <c r="BQ594" s="111"/>
      <c r="BR594" s="111"/>
      <c r="BS594" s="111"/>
      <c r="DR594" s="29"/>
      <c r="DS594" s="29"/>
      <c r="DT594" s="29"/>
      <c r="DU594" s="29"/>
      <c r="DV594" s="29"/>
      <c r="DW594" s="29"/>
      <c r="DX594" s="29"/>
      <c r="DY594" s="29"/>
      <c r="DZ594" s="29"/>
      <c r="EA594" s="29"/>
      <c r="EB594" s="29"/>
      <c r="EC594" s="29"/>
      <c r="ED594" s="29"/>
      <c r="EE594" s="29"/>
      <c r="EF594" s="111"/>
      <c r="EG594" s="111"/>
      <c r="EH594" s="111"/>
      <c r="EI594" s="111"/>
      <c r="EJ594" s="111"/>
      <c r="EK594" s="111"/>
      <c r="EL594" s="111"/>
      <c r="EM594" s="111"/>
      <c r="EN594" s="111"/>
      <c r="EO594" s="111"/>
      <c r="EP594" s="111"/>
      <c r="EQ594" s="111"/>
      <c r="ER594" s="111"/>
      <c r="ES594" s="111"/>
    </row>
    <row r="595" spans="44:149">
      <c r="AR595" s="29"/>
      <c r="AS595" s="29"/>
      <c r="AT595" s="29"/>
      <c r="AU595" s="29"/>
      <c r="AV595" s="29"/>
      <c r="AW595" s="29"/>
      <c r="AX595" s="29"/>
      <c r="AY595" s="29"/>
      <c r="AZ595" s="29"/>
      <c r="BA595" s="29"/>
      <c r="BB595" s="29"/>
      <c r="BC595" s="29"/>
      <c r="BD595" s="29"/>
      <c r="BE595" s="29"/>
      <c r="BF595" s="111"/>
      <c r="BG595" s="111"/>
      <c r="BH595" s="111"/>
      <c r="BI595" s="111"/>
      <c r="BJ595" s="111"/>
      <c r="BK595" s="111"/>
      <c r="BL595" s="111"/>
      <c r="BM595" s="111"/>
      <c r="BN595" s="111"/>
      <c r="BO595" s="111"/>
      <c r="BP595" s="111"/>
      <c r="BQ595" s="111"/>
      <c r="BR595" s="111"/>
      <c r="BS595" s="111"/>
      <c r="DR595" s="29"/>
      <c r="DS595" s="29"/>
      <c r="DT595" s="29"/>
      <c r="DU595" s="29"/>
      <c r="DV595" s="29"/>
      <c r="DW595" s="29"/>
      <c r="DX595" s="29"/>
      <c r="DY595" s="29"/>
      <c r="DZ595" s="29"/>
      <c r="EA595" s="29"/>
      <c r="EB595" s="29"/>
      <c r="EC595" s="29"/>
      <c r="ED595" s="29"/>
      <c r="EE595" s="29"/>
      <c r="EF595" s="111"/>
      <c r="EG595" s="111"/>
      <c r="EH595" s="111"/>
      <c r="EI595" s="111"/>
      <c r="EJ595" s="111"/>
      <c r="EK595" s="111"/>
      <c r="EL595" s="111"/>
      <c r="EM595" s="111"/>
      <c r="EN595" s="111"/>
      <c r="EO595" s="111"/>
      <c r="EP595" s="111"/>
      <c r="EQ595" s="111"/>
      <c r="ER595" s="111"/>
      <c r="ES595" s="111"/>
    </row>
    <row r="596" spans="44:149">
      <c r="AR596" s="29"/>
      <c r="AS596" s="29"/>
      <c r="AT596" s="29"/>
      <c r="AU596" s="29"/>
      <c r="AV596" s="29"/>
      <c r="AW596" s="29"/>
      <c r="AX596" s="29"/>
      <c r="AY596" s="29"/>
      <c r="AZ596" s="29"/>
      <c r="BA596" s="29"/>
      <c r="BB596" s="29"/>
      <c r="BC596" s="29"/>
      <c r="BD596" s="29"/>
      <c r="BE596" s="29"/>
      <c r="BF596" s="111"/>
      <c r="BG596" s="111"/>
      <c r="BH596" s="111"/>
      <c r="BI596" s="111"/>
      <c r="BJ596" s="111"/>
      <c r="BK596" s="111"/>
      <c r="BL596" s="111"/>
      <c r="BM596" s="111"/>
      <c r="BN596" s="111"/>
      <c r="BO596" s="111"/>
      <c r="BP596" s="111"/>
      <c r="BQ596" s="111"/>
      <c r="BR596" s="111"/>
      <c r="BS596" s="111"/>
      <c r="DR596" s="29"/>
      <c r="DS596" s="29"/>
      <c r="DT596" s="29"/>
      <c r="DU596" s="29"/>
      <c r="DV596" s="29"/>
      <c r="DW596" s="29"/>
      <c r="DX596" s="29"/>
      <c r="DY596" s="29"/>
      <c r="DZ596" s="29"/>
      <c r="EA596" s="29"/>
      <c r="EB596" s="29"/>
      <c r="EC596" s="29"/>
      <c r="ED596" s="29"/>
      <c r="EE596" s="29"/>
      <c r="EF596" s="111"/>
      <c r="EG596" s="111"/>
      <c r="EH596" s="111"/>
      <c r="EI596" s="111"/>
      <c r="EJ596" s="111"/>
      <c r="EK596" s="111"/>
      <c r="EL596" s="111"/>
      <c r="EM596" s="111"/>
      <c r="EN596" s="111"/>
      <c r="EO596" s="111"/>
      <c r="EP596" s="111"/>
      <c r="EQ596" s="111"/>
      <c r="ER596" s="111"/>
      <c r="ES596" s="111"/>
    </row>
    <row r="597" spans="44:149">
      <c r="AR597" s="29"/>
      <c r="AS597" s="29"/>
      <c r="AT597" s="29"/>
      <c r="AU597" s="29"/>
      <c r="AV597" s="29"/>
      <c r="AW597" s="29"/>
      <c r="AX597" s="29"/>
      <c r="AY597" s="29"/>
      <c r="AZ597" s="29"/>
      <c r="BA597" s="29"/>
      <c r="BB597" s="29"/>
      <c r="BC597" s="29"/>
      <c r="BD597" s="29"/>
      <c r="BE597" s="29"/>
      <c r="BF597" s="111"/>
      <c r="BG597" s="111"/>
      <c r="BH597" s="111"/>
      <c r="BI597" s="111"/>
      <c r="BJ597" s="111"/>
      <c r="BK597" s="111"/>
      <c r="BL597" s="111"/>
      <c r="BM597" s="111"/>
      <c r="BN597" s="111"/>
      <c r="BO597" s="111"/>
      <c r="BP597" s="111"/>
      <c r="BQ597" s="111"/>
      <c r="BR597" s="111"/>
      <c r="BS597" s="111"/>
      <c r="DR597" s="29"/>
      <c r="DS597" s="29"/>
      <c r="DT597" s="29"/>
      <c r="DU597" s="29"/>
      <c r="DV597" s="29"/>
      <c r="DW597" s="29"/>
      <c r="DX597" s="29"/>
      <c r="DY597" s="29"/>
      <c r="DZ597" s="29"/>
      <c r="EA597" s="29"/>
      <c r="EB597" s="29"/>
      <c r="EC597" s="29"/>
      <c r="ED597" s="29"/>
      <c r="EE597" s="29"/>
      <c r="EF597" s="111"/>
      <c r="EG597" s="111"/>
      <c r="EH597" s="111"/>
      <c r="EI597" s="111"/>
      <c r="EJ597" s="111"/>
      <c r="EK597" s="111"/>
      <c r="EL597" s="111"/>
      <c r="EM597" s="111"/>
      <c r="EN597" s="111"/>
      <c r="EO597" s="111"/>
      <c r="EP597" s="111"/>
      <c r="EQ597" s="111"/>
      <c r="ER597" s="111"/>
      <c r="ES597" s="111"/>
    </row>
    <row r="598" spans="44:149">
      <c r="AR598" s="29"/>
      <c r="AS598" s="29"/>
      <c r="AT598" s="29"/>
      <c r="AU598" s="29"/>
      <c r="AV598" s="29"/>
      <c r="AW598" s="29"/>
      <c r="AX598" s="29"/>
      <c r="AY598" s="29"/>
      <c r="AZ598" s="29"/>
      <c r="BA598" s="29"/>
      <c r="BB598" s="29"/>
      <c r="BC598" s="29"/>
      <c r="BD598" s="29"/>
      <c r="BE598" s="29"/>
      <c r="BF598" s="111"/>
      <c r="BG598" s="111"/>
      <c r="BH598" s="111"/>
      <c r="BI598" s="111"/>
      <c r="BJ598" s="111"/>
      <c r="BK598" s="111"/>
      <c r="BL598" s="111"/>
      <c r="BM598" s="111"/>
      <c r="BN598" s="111"/>
      <c r="BO598" s="111"/>
      <c r="BP598" s="111"/>
      <c r="BQ598" s="111"/>
      <c r="BR598" s="111"/>
      <c r="BS598" s="111"/>
      <c r="DR598" s="29"/>
      <c r="DS598" s="29"/>
      <c r="DT598" s="29"/>
      <c r="DU598" s="29"/>
      <c r="DV598" s="29"/>
      <c r="DW598" s="29"/>
      <c r="DX598" s="29"/>
      <c r="DY598" s="29"/>
      <c r="DZ598" s="29"/>
      <c r="EA598" s="29"/>
      <c r="EB598" s="29"/>
      <c r="EC598" s="29"/>
      <c r="ED598" s="29"/>
      <c r="EE598" s="29"/>
      <c r="EF598" s="111"/>
      <c r="EG598" s="111"/>
      <c r="EH598" s="111"/>
      <c r="EI598" s="111"/>
      <c r="EJ598" s="111"/>
      <c r="EK598" s="111"/>
      <c r="EL598" s="111"/>
      <c r="EM598" s="111"/>
      <c r="EN598" s="111"/>
      <c r="EO598" s="111"/>
      <c r="EP598" s="111"/>
      <c r="EQ598" s="111"/>
      <c r="ER598" s="111"/>
      <c r="ES598" s="111"/>
    </row>
    <row r="599" spans="44:149">
      <c r="AR599" s="29"/>
      <c r="AS599" s="29"/>
      <c r="AT599" s="29"/>
      <c r="AU599" s="29"/>
      <c r="AV599" s="29"/>
      <c r="AW599" s="29"/>
      <c r="AX599" s="29"/>
      <c r="AY599" s="29"/>
      <c r="AZ599" s="29"/>
      <c r="BA599" s="29"/>
      <c r="BB599" s="29"/>
      <c r="BC599" s="29"/>
      <c r="BD599" s="29"/>
      <c r="BE599" s="29"/>
      <c r="BF599" s="111"/>
      <c r="BG599" s="111"/>
      <c r="BH599" s="111"/>
      <c r="BI599" s="111"/>
      <c r="BJ599" s="111"/>
      <c r="BK599" s="111"/>
      <c r="BL599" s="111"/>
      <c r="BM599" s="111"/>
      <c r="BN599" s="111"/>
      <c r="BO599" s="111"/>
      <c r="BP599" s="111"/>
      <c r="BQ599" s="111"/>
      <c r="BR599" s="111"/>
      <c r="BS599" s="111"/>
      <c r="DR599" s="29"/>
      <c r="DS599" s="29"/>
      <c r="DT599" s="29"/>
      <c r="DU599" s="29"/>
      <c r="DV599" s="29"/>
      <c r="DW599" s="29"/>
      <c r="DX599" s="29"/>
      <c r="DY599" s="29"/>
      <c r="DZ599" s="29"/>
      <c r="EA599" s="29"/>
      <c r="EB599" s="29"/>
      <c r="EC599" s="29"/>
      <c r="ED599" s="29"/>
      <c r="EE599" s="29"/>
      <c r="EF599" s="111"/>
      <c r="EG599" s="111"/>
      <c r="EH599" s="111"/>
      <c r="EI599" s="111"/>
      <c r="EJ599" s="111"/>
      <c r="EK599" s="111"/>
      <c r="EL599" s="111"/>
      <c r="EM599" s="111"/>
      <c r="EN599" s="111"/>
      <c r="EO599" s="111"/>
      <c r="EP599" s="111"/>
      <c r="EQ599" s="111"/>
      <c r="ER599" s="111"/>
      <c r="ES599" s="111"/>
    </row>
    <row r="600" spans="44:149">
      <c r="AR600" s="29"/>
      <c r="AS600" s="29"/>
      <c r="AT600" s="29"/>
      <c r="AU600" s="29"/>
      <c r="AV600" s="29"/>
      <c r="AW600" s="29"/>
      <c r="AX600" s="29"/>
      <c r="AY600" s="29"/>
      <c r="AZ600" s="29"/>
      <c r="BA600" s="29"/>
      <c r="BB600" s="29"/>
      <c r="BC600" s="29"/>
      <c r="BD600" s="29"/>
      <c r="BE600" s="29"/>
      <c r="BF600" s="111"/>
      <c r="BG600" s="111"/>
      <c r="BH600" s="111"/>
      <c r="BI600" s="111"/>
      <c r="BJ600" s="111"/>
      <c r="BK600" s="111"/>
      <c r="BL600" s="111"/>
      <c r="BM600" s="111"/>
      <c r="BN600" s="111"/>
      <c r="BO600" s="111"/>
      <c r="BP600" s="111"/>
      <c r="BQ600" s="111"/>
      <c r="BR600" s="111"/>
      <c r="BS600" s="111"/>
      <c r="DR600" s="29"/>
      <c r="DS600" s="29"/>
      <c r="DT600" s="29"/>
      <c r="DU600" s="29"/>
      <c r="DV600" s="29"/>
      <c r="DW600" s="29"/>
      <c r="DX600" s="29"/>
      <c r="DY600" s="29"/>
      <c r="DZ600" s="29"/>
      <c r="EA600" s="29"/>
      <c r="EB600" s="29"/>
      <c r="EC600" s="29"/>
      <c r="ED600" s="29"/>
      <c r="EE600" s="29"/>
      <c r="EF600" s="111"/>
      <c r="EG600" s="111"/>
      <c r="EH600" s="111"/>
      <c r="EI600" s="111"/>
      <c r="EJ600" s="111"/>
      <c r="EK600" s="111"/>
      <c r="EL600" s="111"/>
      <c r="EM600" s="111"/>
      <c r="EN600" s="111"/>
      <c r="EO600" s="111"/>
      <c r="EP600" s="111"/>
      <c r="EQ600" s="111"/>
      <c r="ER600" s="111"/>
      <c r="ES600" s="111"/>
    </row>
    <row r="601" spans="44:149">
      <c r="AR601" s="29"/>
      <c r="AS601" s="29"/>
      <c r="AT601" s="29"/>
      <c r="AU601" s="29"/>
      <c r="AV601" s="29"/>
      <c r="AW601" s="29"/>
      <c r="AX601" s="29"/>
      <c r="AY601" s="29"/>
      <c r="AZ601" s="29"/>
      <c r="BA601" s="29"/>
      <c r="BB601" s="29"/>
      <c r="BC601" s="29"/>
      <c r="BD601" s="29"/>
      <c r="BE601" s="29"/>
      <c r="BF601" s="111"/>
      <c r="BG601" s="111"/>
      <c r="BH601" s="111"/>
      <c r="BI601" s="111"/>
      <c r="BJ601" s="111"/>
      <c r="BK601" s="111"/>
      <c r="BL601" s="111"/>
      <c r="BM601" s="111"/>
      <c r="BN601" s="111"/>
      <c r="BO601" s="111"/>
      <c r="BP601" s="111"/>
      <c r="BQ601" s="111"/>
      <c r="BR601" s="111"/>
      <c r="BS601" s="111"/>
      <c r="DR601" s="29"/>
      <c r="DS601" s="29"/>
      <c r="DT601" s="29"/>
      <c r="DU601" s="29"/>
      <c r="DV601" s="29"/>
      <c r="DW601" s="29"/>
      <c r="DX601" s="29"/>
      <c r="DY601" s="29"/>
      <c r="DZ601" s="29"/>
      <c r="EA601" s="29"/>
      <c r="EB601" s="29"/>
      <c r="EC601" s="29"/>
      <c r="ED601" s="29"/>
      <c r="EE601" s="29"/>
      <c r="EF601" s="111"/>
      <c r="EG601" s="111"/>
      <c r="EH601" s="111"/>
      <c r="EI601" s="111"/>
      <c r="EJ601" s="111"/>
      <c r="EK601" s="111"/>
      <c r="EL601" s="111"/>
      <c r="EM601" s="111"/>
      <c r="EN601" s="111"/>
      <c r="EO601" s="111"/>
      <c r="EP601" s="111"/>
      <c r="EQ601" s="111"/>
      <c r="ER601" s="111"/>
      <c r="ES601" s="111"/>
    </row>
    <row r="602" spans="44:149">
      <c r="AR602" s="29"/>
      <c r="AS602" s="29"/>
      <c r="AT602" s="29"/>
      <c r="AU602" s="29"/>
      <c r="AV602" s="29"/>
      <c r="AW602" s="29"/>
      <c r="AX602" s="29"/>
      <c r="AY602" s="29"/>
      <c r="AZ602" s="29"/>
      <c r="BA602" s="29"/>
      <c r="BB602" s="29"/>
      <c r="BC602" s="29"/>
      <c r="BD602" s="29"/>
      <c r="BE602" s="29"/>
      <c r="BF602" s="111"/>
      <c r="BG602" s="111"/>
      <c r="BH602" s="111"/>
      <c r="BI602" s="111"/>
      <c r="BJ602" s="111"/>
      <c r="BK602" s="111"/>
      <c r="BL602" s="111"/>
      <c r="BM602" s="111"/>
      <c r="BN602" s="111"/>
      <c r="BO602" s="111"/>
      <c r="BP602" s="111"/>
      <c r="BQ602" s="111"/>
      <c r="BR602" s="111"/>
      <c r="BS602" s="111"/>
      <c r="DR602" s="29"/>
      <c r="DS602" s="29"/>
      <c r="DT602" s="29"/>
      <c r="DU602" s="29"/>
      <c r="DV602" s="29"/>
      <c r="DW602" s="29"/>
      <c r="DX602" s="29"/>
      <c r="DY602" s="29"/>
      <c r="DZ602" s="29"/>
      <c r="EA602" s="29"/>
      <c r="EB602" s="29"/>
      <c r="EC602" s="29"/>
      <c r="ED602" s="29"/>
      <c r="EE602" s="29"/>
      <c r="EF602" s="111"/>
      <c r="EG602" s="111"/>
      <c r="EH602" s="111"/>
      <c r="EI602" s="111"/>
      <c r="EJ602" s="111"/>
      <c r="EK602" s="111"/>
      <c r="EL602" s="111"/>
      <c r="EM602" s="111"/>
      <c r="EN602" s="111"/>
      <c r="EO602" s="111"/>
      <c r="EP602" s="111"/>
      <c r="EQ602" s="111"/>
      <c r="ER602" s="111"/>
      <c r="ES602" s="111"/>
    </row>
    <row r="603" spans="44:149">
      <c r="AR603" s="29"/>
      <c r="AS603" s="29"/>
      <c r="AT603" s="29"/>
      <c r="AU603" s="29"/>
      <c r="AV603" s="29"/>
      <c r="AW603" s="29"/>
      <c r="AX603" s="29"/>
      <c r="AY603" s="29"/>
      <c r="AZ603" s="29"/>
      <c r="BA603" s="29"/>
      <c r="BB603" s="29"/>
      <c r="BC603" s="29"/>
      <c r="BD603" s="29"/>
      <c r="BE603" s="29"/>
      <c r="BF603" s="111"/>
      <c r="BG603" s="111"/>
      <c r="BH603" s="111"/>
      <c r="BI603" s="111"/>
      <c r="BJ603" s="111"/>
      <c r="BK603" s="111"/>
      <c r="BL603" s="111"/>
      <c r="BM603" s="111"/>
      <c r="BN603" s="111"/>
      <c r="BO603" s="111"/>
      <c r="BP603" s="111"/>
      <c r="BQ603" s="111"/>
      <c r="BR603" s="111"/>
      <c r="BS603" s="111"/>
      <c r="DR603" s="29"/>
      <c r="DS603" s="29"/>
      <c r="DT603" s="29"/>
      <c r="DU603" s="29"/>
      <c r="DV603" s="29"/>
      <c r="DW603" s="29"/>
      <c r="DX603" s="29"/>
      <c r="DY603" s="29"/>
      <c r="DZ603" s="29"/>
      <c r="EA603" s="29"/>
      <c r="EB603" s="29"/>
      <c r="EC603" s="29"/>
      <c r="ED603" s="29"/>
      <c r="EE603" s="29"/>
      <c r="EF603" s="111"/>
      <c r="EG603" s="111"/>
      <c r="EH603" s="111"/>
      <c r="EI603" s="111"/>
      <c r="EJ603" s="111"/>
      <c r="EK603" s="111"/>
      <c r="EL603" s="111"/>
      <c r="EM603" s="111"/>
      <c r="EN603" s="111"/>
      <c r="EO603" s="111"/>
      <c r="EP603" s="111"/>
      <c r="EQ603" s="111"/>
      <c r="ER603" s="111"/>
      <c r="ES603" s="111"/>
    </row>
    <row r="604" spans="44:149">
      <c r="AR604" s="29"/>
      <c r="AS604" s="29"/>
      <c r="AT604" s="29"/>
      <c r="AU604" s="29"/>
      <c r="AV604" s="29"/>
      <c r="AW604" s="29"/>
      <c r="AX604" s="29"/>
      <c r="AY604" s="29"/>
      <c r="AZ604" s="29"/>
      <c r="BA604" s="29"/>
      <c r="BB604" s="29"/>
      <c r="BC604" s="29"/>
      <c r="BD604" s="29"/>
      <c r="BE604" s="29"/>
      <c r="BF604" s="111"/>
      <c r="BG604" s="111"/>
      <c r="BH604" s="111"/>
      <c r="BI604" s="111"/>
      <c r="BJ604" s="111"/>
      <c r="BK604" s="111"/>
      <c r="BL604" s="111"/>
      <c r="BM604" s="111"/>
      <c r="BN604" s="111"/>
      <c r="BO604" s="111"/>
      <c r="BP604" s="111"/>
      <c r="BQ604" s="111"/>
      <c r="BR604" s="111"/>
      <c r="BS604" s="111"/>
      <c r="DR604" s="29"/>
      <c r="DS604" s="29"/>
      <c r="DT604" s="29"/>
      <c r="DU604" s="29"/>
      <c r="DV604" s="29"/>
      <c r="DW604" s="29"/>
      <c r="DX604" s="29"/>
      <c r="DY604" s="29"/>
      <c r="DZ604" s="29"/>
      <c r="EA604" s="29"/>
      <c r="EB604" s="29"/>
      <c r="EC604" s="29"/>
      <c r="ED604" s="29"/>
      <c r="EE604" s="29"/>
      <c r="EF604" s="111"/>
      <c r="EG604" s="111"/>
      <c r="EH604" s="111"/>
      <c r="EI604" s="111"/>
      <c r="EJ604" s="111"/>
      <c r="EK604" s="111"/>
      <c r="EL604" s="111"/>
      <c r="EM604" s="111"/>
      <c r="EN604" s="111"/>
      <c r="EO604" s="111"/>
      <c r="EP604" s="111"/>
      <c r="EQ604" s="111"/>
      <c r="ER604" s="111"/>
      <c r="ES604" s="111"/>
    </row>
    <row r="605" spans="44:149">
      <c r="AR605" s="29"/>
      <c r="AS605" s="29"/>
      <c r="AT605" s="29"/>
      <c r="AU605" s="29"/>
      <c r="AV605" s="29"/>
      <c r="AW605" s="29"/>
      <c r="AX605" s="29"/>
      <c r="AY605" s="29"/>
      <c r="AZ605" s="29"/>
      <c r="BA605" s="29"/>
      <c r="BB605" s="29"/>
      <c r="BC605" s="29"/>
      <c r="BD605" s="29"/>
      <c r="BE605" s="29"/>
      <c r="BF605" s="111"/>
      <c r="BG605" s="111"/>
      <c r="BH605" s="111"/>
      <c r="BI605" s="111"/>
      <c r="BJ605" s="111"/>
      <c r="BK605" s="111"/>
      <c r="BL605" s="111"/>
      <c r="BM605" s="111"/>
      <c r="BN605" s="111"/>
      <c r="BO605" s="111"/>
      <c r="BP605" s="111"/>
      <c r="BQ605" s="111"/>
      <c r="BR605" s="111"/>
      <c r="BS605" s="111"/>
      <c r="DR605" s="29"/>
      <c r="DS605" s="29"/>
      <c r="DT605" s="29"/>
      <c r="DU605" s="29"/>
      <c r="DV605" s="29"/>
      <c r="DW605" s="29"/>
      <c r="DX605" s="29"/>
      <c r="DY605" s="29"/>
      <c r="DZ605" s="29"/>
      <c r="EA605" s="29"/>
      <c r="EB605" s="29"/>
      <c r="EC605" s="29"/>
      <c r="ED605" s="29"/>
      <c r="EE605" s="29"/>
      <c r="EF605" s="111"/>
      <c r="EG605" s="111"/>
      <c r="EH605" s="111"/>
      <c r="EI605" s="111"/>
      <c r="EJ605" s="111"/>
      <c r="EK605" s="111"/>
      <c r="EL605" s="111"/>
      <c r="EM605" s="111"/>
      <c r="EN605" s="111"/>
      <c r="EO605" s="111"/>
      <c r="EP605" s="111"/>
      <c r="EQ605" s="111"/>
      <c r="ER605" s="111"/>
      <c r="ES605" s="111"/>
    </row>
    <row r="606" spans="44:149">
      <c r="AR606" s="29"/>
      <c r="AS606" s="29"/>
      <c r="AT606" s="29"/>
      <c r="AU606" s="29"/>
      <c r="AV606" s="29"/>
      <c r="AW606" s="29"/>
      <c r="AX606" s="29"/>
      <c r="AY606" s="29"/>
      <c r="AZ606" s="29"/>
      <c r="BA606" s="29"/>
      <c r="BB606" s="29"/>
      <c r="BC606" s="29"/>
      <c r="BD606" s="29"/>
      <c r="BE606" s="29"/>
      <c r="BF606" s="111"/>
      <c r="BG606" s="111"/>
      <c r="BH606" s="111"/>
      <c r="BI606" s="111"/>
      <c r="BJ606" s="111"/>
      <c r="BK606" s="111"/>
      <c r="BL606" s="111"/>
      <c r="BM606" s="111"/>
      <c r="BN606" s="111"/>
      <c r="BO606" s="111"/>
      <c r="BP606" s="111"/>
      <c r="BQ606" s="111"/>
      <c r="BR606" s="111"/>
      <c r="BS606" s="111"/>
      <c r="DR606" s="29"/>
      <c r="DS606" s="29"/>
      <c r="DT606" s="29"/>
      <c r="DU606" s="29"/>
      <c r="DV606" s="29"/>
      <c r="DW606" s="29"/>
      <c r="DX606" s="29"/>
      <c r="DY606" s="29"/>
      <c r="DZ606" s="29"/>
      <c r="EA606" s="29"/>
      <c r="EB606" s="29"/>
      <c r="EC606" s="29"/>
      <c r="ED606" s="29"/>
      <c r="EE606" s="29"/>
      <c r="EF606" s="111"/>
      <c r="EG606" s="111"/>
      <c r="EH606" s="111"/>
      <c r="EI606" s="111"/>
      <c r="EJ606" s="111"/>
      <c r="EK606" s="111"/>
      <c r="EL606" s="111"/>
      <c r="EM606" s="111"/>
      <c r="EN606" s="111"/>
      <c r="EO606" s="111"/>
      <c r="EP606" s="111"/>
      <c r="EQ606" s="111"/>
      <c r="ER606" s="111"/>
      <c r="ES606" s="111"/>
    </row>
    <row r="607" spans="44:149">
      <c r="AR607" s="29"/>
      <c r="AS607" s="29"/>
      <c r="AT607" s="29"/>
      <c r="AU607" s="29"/>
      <c r="AV607" s="29"/>
      <c r="AW607" s="29"/>
      <c r="AX607" s="29"/>
      <c r="AY607" s="29"/>
      <c r="AZ607" s="29"/>
      <c r="BA607" s="29"/>
      <c r="BB607" s="29"/>
      <c r="BC607" s="29"/>
      <c r="BD607" s="29"/>
      <c r="BE607" s="29"/>
      <c r="BF607" s="111"/>
      <c r="BG607" s="111"/>
      <c r="BH607" s="111"/>
      <c r="BI607" s="111"/>
      <c r="BJ607" s="111"/>
      <c r="BK607" s="111"/>
      <c r="BL607" s="111"/>
      <c r="BM607" s="111"/>
      <c r="BN607" s="111"/>
      <c r="BO607" s="111"/>
      <c r="BP607" s="111"/>
      <c r="BQ607" s="111"/>
      <c r="BR607" s="111"/>
      <c r="BS607" s="111"/>
      <c r="DR607" s="29"/>
      <c r="DS607" s="29"/>
      <c r="DT607" s="29"/>
      <c r="DU607" s="29"/>
      <c r="DV607" s="29"/>
      <c r="DW607" s="29"/>
      <c r="DX607" s="29"/>
      <c r="DY607" s="29"/>
      <c r="DZ607" s="29"/>
      <c r="EA607" s="29"/>
      <c r="EB607" s="29"/>
      <c r="EC607" s="29"/>
      <c r="ED607" s="29"/>
      <c r="EE607" s="29"/>
      <c r="EF607" s="111"/>
      <c r="EG607" s="111"/>
      <c r="EH607" s="111"/>
      <c r="EI607" s="111"/>
      <c r="EJ607" s="111"/>
      <c r="EK607" s="111"/>
      <c r="EL607" s="111"/>
      <c r="EM607" s="111"/>
      <c r="EN607" s="111"/>
      <c r="EO607" s="111"/>
      <c r="EP607" s="111"/>
      <c r="EQ607" s="111"/>
      <c r="ER607" s="111"/>
      <c r="ES607" s="111"/>
    </row>
    <row r="608" spans="44:149">
      <c r="AR608" s="29"/>
      <c r="AS608" s="29"/>
      <c r="AT608" s="29"/>
      <c r="AU608" s="29"/>
      <c r="AV608" s="29"/>
      <c r="AW608" s="29"/>
      <c r="AX608" s="29"/>
      <c r="AY608" s="29"/>
      <c r="AZ608" s="29"/>
      <c r="BA608" s="29"/>
      <c r="BB608" s="29"/>
      <c r="BC608" s="29"/>
      <c r="BD608" s="29"/>
      <c r="BE608" s="29"/>
      <c r="BF608" s="111"/>
      <c r="BG608" s="111"/>
      <c r="BH608" s="111"/>
      <c r="BI608" s="111"/>
      <c r="BJ608" s="111"/>
      <c r="BK608" s="111"/>
      <c r="BL608" s="111"/>
      <c r="BM608" s="111"/>
      <c r="BN608" s="111"/>
      <c r="BO608" s="111"/>
      <c r="BP608" s="111"/>
      <c r="BQ608" s="111"/>
      <c r="BR608" s="111"/>
      <c r="BS608" s="111"/>
      <c r="DR608" s="29"/>
      <c r="DS608" s="29"/>
      <c r="DT608" s="29"/>
      <c r="DU608" s="29"/>
      <c r="DV608" s="29"/>
      <c r="DW608" s="29"/>
      <c r="DX608" s="29"/>
      <c r="DY608" s="29"/>
      <c r="DZ608" s="29"/>
      <c r="EA608" s="29"/>
      <c r="EB608" s="29"/>
      <c r="EC608" s="29"/>
      <c r="ED608" s="29"/>
      <c r="EE608" s="29"/>
      <c r="EF608" s="111"/>
      <c r="EG608" s="111"/>
      <c r="EH608" s="111"/>
      <c r="EI608" s="111"/>
      <c r="EJ608" s="111"/>
      <c r="EK608" s="111"/>
      <c r="EL608" s="111"/>
      <c r="EM608" s="111"/>
      <c r="EN608" s="111"/>
      <c r="EO608" s="111"/>
      <c r="EP608" s="111"/>
      <c r="EQ608" s="111"/>
      <c r="ER608" s="111"/>
      <c r="ES608" s="111"/>
    </row>
    <row r="609" spans="44:149">
      <c r="AR609" s="29"/>
      <c r="AS609" s="29"/>
      <c r="AT609" s="29"/>
      <c r="AU609" s="29"/>
      <c r="AV609" s="29"/>
      <c r="AW609" s="29"/>
      <c r="AX609" s="29"/>
      <c r="AY609" s="29"/>
      <c r="AZ609" s="29"/>
      <c r="BA609" s="29"/>
      <c r="BB609" s="29"/>
      <c r="BC609" s="29"/>
      <c r="BD609" s="29"/>
      <c r="BE609" s="29"/>
      <c r="BF609" s="111"/>
      <c r="BG609" s="111"/>
      <c r="BH609" s="111"/>
      <c r="BI609" s="111"/>
      <c r="BJ609" s="111"/>
      <c r="BK609" s="111"/>
      <c r="BL609" s="111"/>
      <c r="BM609" s="111"/>
      <c r="BN609" s="111"/>
      <c r="BO609" s="111"/>
      <c r="BP609" s="111"/>
      <c r="BQ609" s="111"/>
      <c r="BR609" s="111"/>
      <c r="BS609" s="111"/>
      <c r="DR609" s="29"/>
      <c r="DS609" s="29"/>
      <c r="DT609" s="29"/>
      <c r="DU609" s="29"/>
      <c r="DV609" s="29"/>
      <c r="DW609" s="29"/>
      <c r="DX609" s="29"/>
      <c r="DY609" s="29"/>
      <c r="DZ609" s="29"/>
      <c r="EA609" s="29"/>
      <c r="EB609" s="29"/>
      <c r="EC609" s="29"/>
      <c r="ED609" s="29"/>
      <c r="EE609" s="29"/>
      <c r="EF609" s="111"/>
      <c r="EG609" s="111"/>
      <c r="EH609" s="111"/>
      <c r="EI609" s="111"/>
      <c r="EJ609" s="111"/>
      <c r="EK609" s="111"/>
      <c r="EL609" s="111"/>
      <c r="EM609" s="111"/>
      <c r="EN609" s="111"/>
      <c r="EO609" s="111"/>
      <c r="EP609" s="111"/>
      <c r="EQ609" s="111"/>
      <c r="ER609" s="111"/>
      <c r="ES609" s="111"/>
    </row>
    <row r="610" spans="44:149">
      <c r="AR610" s="29"/>
      <c r="AS610" s="29"/>
      <c r="AT610" s="29"/>
      <c r="AU610" s="29"/>
      <c r="AV610" s="29"/>
      <c r="AW610" s="29"/>
      <c r="AX610" s="29"/>
      <c r="AY610" s="29"/>
      <c r="AZ610" s="29"/>
      <c r="BA610" s="29"/>
      <c r="BB610" s="29"/>
      <c r="BC610" s="29"/>
      <c r="BD610" s="29"/>
      <c r="BE610" s="29"/>
      <c r="BF610" s="111"/>
      <c r="BG610" s="111"/>
      <c r="BH610" s="111"/>
      <c r="BI610" s="111"/>
      <c r="BJ610" s="111"/>
      <c r="BK610" s="111"/>
      <c r="BL610" s="111"/>
      <c r="BM610" s="111"/>
      <c r="BN610" s="111"/>
      <c r="BO610" s="111"/>
      <c r="BP610" s="111"/>
      <c r="BQ610" s="111"/>
      <c r="BR610" s="111"/>
      <c r="BS610" s="111"/>
      <c r="DR610" s="29"/>
      <c r="DS610" s="29"/>
      <c r="DT610" s="29"/>
      <c r="DU610" s="29"/>
      <c r="DV610" s="29"/>
      <c r="DW610" s="29"/>
      <c r="DX610" s="29"/>
      <c r="DY610" s="29"/>
      <c r="DZ610" s="29"/>
      <c r="EA610" s="29"/>
      <c r="EB610" s="29"/>
      <c r="EC610" s="29"/>
      <c r="ED610" s="29"/>
      <c r="EE610" s="29"/>
      <c r="EF610" s="111"/>
      <c r="EG610" s="111"/>
      <c r="EH610" s="111"/>
      <c r="EI610" s="111"/>
      <c r="EJ610" s="111"/>
      <c r="EK610" s="111"/>
      <c r="EL610" s="111"/>
      <c r="EM610" s="111"/>
      <c r="EN610" s="111"/>
      <c r="EO610" s="111"/>
      <c r="EP610" s="111"/>
      <c r="EQ610" s="111"/>
      <c r="ER610" s="111"/>
      <c r="ES610" s="111"/>
    </row>
    <row r="611" spans="44:149">
      <c r="AR611" s="29"/>
      <c r="AS611" s="29"/>
      <c r="AT611" s="29"/>
      <c r="AU611" s="29"/>
      <c r="AV611" s="29"/>
      <c r="AW611" s="29"/>
      <c r="AX611" s="29"/>
      <c r="AY611" s="29"/>
      <c r="AZ611" s="29"/>
      <c r="BA611" s="29"/>
      <c r="BB611" s="29"/>
      <c r="BC611" s="29"/>
      <c r="BD611" s="29"/>
      <c r="BE611" s="29"/>
      <c r="BF611" s="111"/>
      <c r="BG611" s="111"/>
      <c r="BH611" s="111"/>
      <c r="BI611" s="111"/>
      <c r="BJ611" s="111"/>
      <c r="BK611" s="111"/>
      <c r="BL611" s="111"/>
      <c r="BM611" s="111"/>
      <c r="BN611" s="111"/>
      <c r="BO611" s="111"/>
      <c r="BP611" s="111"/>
      <c r="BQ611" s="111"/>
      <c r="BR611" s="111"/>
      <c r="BS611" s="111"/>
      <c r="DR611" s="29"/>
      <c r="DS611" s="29"/>
      <c r="DT611" s="29"/>
      <c r="DU611" s="29"/>
      <c r="DV611" s="29"/>
      <c r="DW611" s="29"/>
      <c r="DX611" s="29"/>
      <c r="DY611" s="29"/>
      <c r="DZ611" s="29"/>
      <c r="EA611" s="29"/>
      <c r="EB611" s="29"/>
      <c r="EC611" s="29"/>
      <c r="ED611" s="29"/>
      <c r="EE611" s="29"/>
      <c r="EF611" s="111"/>
      <c r="EG611" s="111"/>
      <c r="EH611" s="111"/>
      <c r="EI611" s="111"/>
      <c r="EJ611" s="111"/>
      <c r="EK611" s="111"/>
      <c r="EL611" s="111"/>
      <c r="EM611" s="111"/>
      <c r="EN611" s="111"/>
      <c r="EO611" s="111"/>
      <c r="EP611" s="111"/>
      <c r="EQ611" s="111"/>
      <c r="ER611" s="111"/>
      <c r="ES611" s="111"/>
    </row>
    <row r="612" spans="44:149">
      <c r="AR612" s="29"/>
      <c r="AS612" s="29"/>
      <c r="AT612" s="29"/>
      <c r="AU612" s="29"/>
      <c r="AV612" s="29"/>
      <c r="AW612" s="29"/>
      <c r="AX612" s="29"/>
      <c r="AY612" s="29"/>
      <c r="AZ612" s="29"/>
      <c r="BA612" s="29"/>
      <c r="BB612" s="29"/>
      <c r="BC612" s="29"/>
      <c r="BD612" s="29"/>
      <c r="BE612" s="29"/>
      <c r="BF612" s="111"/>
      <c r="BG612" s="111"/>
      <c r="BH612" s="111"/>
      <c r="BI612" s="111"/>
      <c r="BJ612" s="111"/>
      <c r="BK612" s="111"/>
      <c r="BL612" s="111"/>
      <c r="BM612" s="111"/>
      <c r="BN612" s="111"/>
      <c r="BO612" s="111"/>
      <c r="BP612" s="111"/>
      <c r="BQ612" s="111"/>
      <c r="BR612" s="111"/>
      <c r="BS612" s="111"/>
      <c r="DR612" s="29"/>
      <c r="DS612" s="29"/>
      <c r="DT612" s="29"/>
      <c r="DU612" s="29"/>
      <c r="DV612" s="29"/>
      <c r="DW612" s="29"/>
      <c r="DX612" s="29"/>
      <c r="DY612" s="29"/>
      <c r="DZ612" s="29"/>
      <c r="EA612" s="29"/>
      <c r="EB612" s="29"/>
      <c r="EC612" s="29"/>
      <c r="ED612" s="29"/>
      <c r="EE612" s="29"/>
      <c r="EF612" s="111"/>
      <c r="EG612" s="111"/>
      <c r="EH612" s="111"/>
      <c r="EI612" s="111"/>
      <c r="EJ612" s="111"/>
      <c r="EK612" s="111"/>
      <c r="EL612" s="111"/>
      <c r="EM612" s="111"/>
      <c r="EN612" s="111"/>
      <c r="EO612" s="111"/>
      <c r="EP612" s="111"/>
      <c r="EQ612" s="111"/>
      <c r="ER612" s="111"/>
      <c r="ES612" s="111"/>
    </row>
    <row r="613" spans="44:149">
      <c r="AR613" s="29"/>
      <c r="AS613" s="29"/>
      <c r="AT613" s="29"/>
      <c r="AU613" s="29"/>
      <c r="AV613" s="29"/>
      <c r="AW613" s="29"/>
      <c r="AX613" s="29"/>
      <c r="AY613" s="29"/>
      <c r="AZ613" s="29"/>
      <c r="BA613" s="29"/>
      <c r="BB613" s="29"/>
      <c r="BC613" s="29"/>
      <c r="BD613" s="29"/>
      <c r="BE613" s="29"/>
      <c r="BF613" s="111"/>
      <c r="BG613" s="111"/>
      <c r="BH613" s="111"/>
      <c r="BI613" s="111"/>
      <c r="BJ613" s="111"/>
      <c r="BK613" s="111"/>
      <c r="BL613" s="111"/>
      <c r="BM613" s="111"/>
      <c r="BN613" s="111"/>
      <c r="BO613" s="111"/>
      <c r="BP613" s="111"/>
      <c r="BQ613" s="111"/>
      <c r="BR613" s="111"/>
      <c r="BS613" s="111"/>
      <c r="DR613" s="29"/>
      <c r="DS613" s="29"/>
      <c r="DT613" s="29"/>
      <c r="DU613" s="29"/>
      <c r="DV613" s="29"/>
      <c r="DW613" s="29"/>
      <c r="DX613" s="29"/>
      <c r="DY613" s="29"/>
      <c r="DZ613" s="29"/>
      <c r="EA613" s="29"/>
      <c r="EB613" s="29"/>
      <c r="EC613" s="29"/>
      <c r="ED613" s="29"/>
      <c r="EE613" s="29"/>
      <c r="EF613" s="111"/>
      <c r="EG613" s="111"/>
      <c r="EH613" s="111"/>
      <c r="EI613" s="111"/>
      <c r="EJ613" s="111"/>
      <c r="EK613" s="111"/>
      <c r="EL613" s="111"/>
      <c r="EM613" s="111"/>
      <c r="EN613" s="111"/>
      <c r="EO613" s="111"/>
      <c r="EP613" s="111"/>
      <c r="EQ613" s="111"/>
      <c r="ER613" s="111"/>
      <c r="ES613" s="111"/>
    </row>
    <row r="614" spans="44:149">
      <c r="AR614" s="29"/>
      <c r="AS614" s="29"/>
      <c r="AT614" s="29"/>
      <c r="AU614" s="29"/>
      <c r="AV614" s="29"/>
      <c r="AW614" s="29"/>
      <c r="AX614" s="29"/>
      <c r="AY614" s="29"/>
      <c r="AZ614" s="29"/>
      <c r="BA614" s="29"/>
      <c r="BB614" s="29"/>
      <c r="BC614" s="29"/>
      <c r="BD614" s="29"/>
      <c r="BE614" s="29"/>
      <c r="BF614" s="111"/>
      <c r="BG614" s="111"/>
      <c r="BH614" s="111"/>
      <c r="BI614" s="111"/>
      <c r="BJ614" s="111"/>
      <c r="BK614" s="111"/>
      <c r="BL614" s="111"/>
      <c r="BM614" s="111"/>
      <c r="BN614" s="111"/>
      <c r="BO614" s="111"/>
      <c r="BP614" s="111"/>
      <c r="BQ614" s="111"/>
      <c r="BR614" s="111"/>
      <c r="BS614" s="111"/>
      <c r="DR614" s="29"/>
      <c r="DS614" s="29"/>
      <c r="DT614" s="29"/>
      <c r="DU614" s="29"/>
      <c r="DV614" s="29"/>
      <c r="DW614" s="29"/>
      <c r="DX614" s="29"/>
      <c r="DY614" s="29"/>
      <c r="DZ614" s="29"/>
      <c r="EA614" s="29"/>
      <c r="EB614" s="29"/>
      <c r="EC614" s="29"/>
      <c r="ED614" s="29"/>
      <c r="EE614" s="29"/>
      <c r="EF614" s="111"/>
      <c r="EG614" s="111"/>
      <c r="EH614" s="111"/>
      <c r="EI614" s="111"/>
      <c r="EJ614" s="111"/>
      <c r="EK614" s="111"/>
      <c r="EL614" s="111"/>
      <c r="EM614" s="111"/>
      <c r="EN614" s="111"/>
      <c r="EO614" s="111"/>
      <c r="EP614" s="111"/>
      <c r="EQ614" s="111"/>
      <c r="ER614" s="111"/>
      <c r="ES614" s="111"/>
    </row>
    <row r="615" spans="44:149">
      <c r="AR615" s="29"/>
      <c r="AS615" s="29"/>
      <c r="AT615" s="29"/>
      <c r="AU615" s="29"/>
      <c r="AV615" s="29"/>
      <c r="AW615" s="29"/>
      <c r="AX615" s="29"/>
      <c r="AY615" s="29"/>
      <c r="AZ615" s="29"/>
      <c r="BA615" s="29"/>
      <c r="BB615" s="29"/>
      <c r="BC615" s="29"/>
      <c r="BD615" s="29"/>
      <c r="BE615" s="29"/>
      <c r="BF615" s="111"/>
      <c r="BG615" s="111"/>
      <c r="BH615" s="111"/>
      <c r="BI615" s="111"/>
      <c r="BJ615" s="111"/>
      <c r="BK615" s="111"/>
      <c r="BL615" s="111"/>
      <c r="BM615" s="111"/>
      <c r="BN615" s="111"/>
      <c r="BO615" s="111"/>
      <c r="BP615" s="111"/>
      <c r="BQ615" s="111"/>
      <c r="BR615" s="111"/>
      <c r="BS615" s="111"/>
      <c r="DR615" s="29"/>
      <c r="DS615" s="29"/>
      <c r="DT615" s="29"/>
      <c r="DU615" s="29"/>
      <c r="DV615" s="29"/>
      <c r="DW615" s="29"/>
      <c r="DX615" s="29"/>
      <c r="DY615" s="29"/>
      <c r="DZ615" s="29"/>
      <c r="EA615" s="29"/>
      <c r="EB615" s="29"/>
      <c r="EC615" s="29"/>
      <c r="ED615" s="29"/>
      <c r="EE615" s="29"/>
      <c r="EF615" s="111"/>
      <c r="EG615" s="111"/>
      <c r="EH615" s="111"/>
      <c r="EI615" s="111"/>
      <c r="EJ615" s="111"/>
      <c r="EK615" s="111"/>
      <c r="EL615" s="111"/>
      <c r="EM615" s="111"/>
      <c r="EN615" s="111"/>
      <c r="EO615" s="111"/>
      <c r="EP615" s="111"/>
      <c r="EQ615" s="111"/>
      <c r="ER615" s="111"/>
      <c r="ES615" s="111"/>
    </row>
    <row r="616" spans="44:149">
      <c r="AR616" s="29"/>
      <c r="AS616" s="29"/>
      <c r="AT616" s="29"/>
      <c r="AU616" s="29"/>
      <c r="AV616" s="29"/>
      <c r="AW616" s="29"/>
      <c r="AX616" s="29"/>
      <c r="AY616" s="29"/>
      <c r="AZ616" s="29"/>
      <c r="BA616" s="29"/>
      <c r="BB616" s="29"/>
      <c r="BC616" s="29"/>
      <c r="BD616" s="29"/>
      <c r="BE616" s="29"/>
      <c r="BF616" s="111"/>
      <c r="BG616" s="111"/>
      <c r="BH616" s="111"/>
      <c r="BI616" s="111"/>
      <c r="BJ616" s="111"/>
      <c r="BK616" s="111"/>
      <c r="BL616" s="111"/>
      <c r="BM616" s="111"/>
      <c r="BN616" s="111"/>
      <c r="BO616" s="111"/>
      <c r="BP616" s="111"/>
      <c r="BQ616" s="111"/>
      <c r="BR616" s="111"/>
      <c r="BS616" s="111"/>
      <c r="DR616" s="29"/>
      <c r="DS616" s="29"/>
      <c r="DT616" s="29"/>
      <c r="DU616" s="29"/>
      <c r="DV616" s="29"/>
      <c r="DW616" s="29"/>
      <c r="DX616" s="29"/>
      <c r="DY616" s="29"/>
      <c r="DZ616" s="29"/>
      <c r="EA616" s="29"/>
      <c r="EB616" s="29"/>
      <c r="EC616" s="29"/>
      <c r="ED616" s="29"/>
      <c r="EE616" s="29"/>
      <c r="EF616" s="111"/>
      <c r="EG616" s="111"/>
      <c r="EH616" s="111"/>
      <c r="EI616" s="111"/>
      <c r="EJ616" s="111"/>
      <c r="EK616" s="111"/>
      <c r="EL616" s="111"/>
      <c r="EM616" s="111"/>
      <c r="EN616" s="111"/>
      <c r="EO616" s="111"/>
      <c r="EP616" s="111"/>
      <c r="EQ616" s="111"/>
      <c r="ER616" s="111"/>
      <c r="ES616" s="111"/>
    </row>
    <row r="617" spans="44:149">
      <c r="AR617" s="29"/>
      <c r="AS617" s="29"/>
      <c r="AT617" s="29"/>
      <c r="AU617" s="29"/>
      <c r="AV617" s="29"/>
      <c r="AW617" s="29"/>
      <c r="AX617" s="29"/>
      <c r="AY617" s="29"/>
      <c r="AZ617" s="29"/>
      <c r="BA617" s="29"/>
      <c r="BB617" s="29"/>
      <c r="BC617" s="29"/>
      <c r="BD617" s="29"/>
      <c r="BE617" s="29"/>
      <c r="BF617" s="111"/>
      <c r="BG617" s="111"/>
      <c r="BH617" s="111"/>
      <c r="BI617" s="111"/>
      <c r="BJ617" s="111"/>
      <c r="BK617" s="111"/>
      <c r="BL617" s="111"/>
      <c r="BM617" s="111"/>
      <c r="BN617" s="111"/>
      <c r="BO617" s="111"/>
      <c r="BP617" s="111"/>
      <c r="BQ617" s="111"/>
      <c r="BR617" s="111"/>
      <c r="BS617" s="111"/>
      <c r="DR617" s="29"/>
      <c r="DS617" s="29"/>
      <c r="DT617" s="29"/>
      <c r="DU617" s="29"/>
      <c r="DV617" s="29"/>
      <c r="DW617" s="29"/>
      <c r="DX617" s="29"/>
      <c r="DY617" s="29"/>
      <c r="DZ617" s="29"/>
      <c r="EA617" s="29"/>
      <c r="EB617" s="29"/>
      <c r="EC617" s="29"/>
      <c r="ED617" s="29"/>
      <c r="EE617" s="29"/>
      <c r="EF617" s="111"/>
      <c r="EG617" s="111"/>
      <c r="EH617" s="111"/>
      <c r="EI617" s="111"/>
      <c r="EJ617" s="111"/>
      <c r="EK617" s="111"/>
      <c r="EL617" s="111"/>
      <c r="EM617" s="111"/>
      <c r="EN617" s="111"/>
      <c r="EO617" s="111"/>
      <c r="EP617" s="111"/>
      <c r="EQ617" s="111"/>
      <c r="ER617" s="111"/>
      <c r="ES617" s="111"/>
    </row>
    <row r="618" spans="44:149">
      <c r="AR618" s="29"/>
      <c r="AS618" s="29"/>
      <c r="AT618" s="29"/>
      <c r="AU618" s="29"/>
      <c r="AV618" s="29"/>
      <c r="AW618" s="29"/>
      <c r="AX618" s="29"/>
      <c r="AY618" s="29"/>
      <c r="AZ618" s="29"/>
      <c r="BA618" s="29"/>
      <c r="BB618" s="29"/>
      <c r="BC618" s="29"/>
      <c r="BD618" s="29"/>
      <c r="BE618" s="29"/>
      <c r="BF618" s="111"/>
      <c r="BG618" s="111"/>
      <c r="BH618" s="111"/>
      <c r="BI618" s="111"/>
      <c r="BJ618" s="111"/>
      <c r="BK618" s="111"/>
      <c r="BL618" s="111"/>
      <c r="BM618" s="111"/>
      <c r="BN618" s="111"/>
      <c r="BO618" s="111"/>
      <c r="BP618" s="111"/>
      <c r="BQ618" s="111"/>
      <c r="BR618" s="111"/>
      <c r="BS618" s="111"/>
      <c r="DR618" s="29"/>
      <c r="DS618" s="29"/>
      <c r="DT618" s="29"/>
      <c r="DU618" s="29"/>
      <c r="DV618" s="29"/>
      <c r="DW618" s="29"/>
      <c r="DX618" s="29"/>
      <c r="DY618" s="29"/>
      <c r="DZ618" s="29"/>
      <c r="EA618" s="29"/>
      <c r="EB618" s="29"/>
      <c r="EC618" s="29"/>
      <c r="ED618" s="29"/>
      <c r="EE618" s="29"/>
      <c r="EF618" s="111"/>
      <c r="EG618" s="111"/>
      <c r="EH618" s="111"/>
      <c r="EI618" s="111"/>
      <c r="EJ618" s="111"/>
      <c r="EK618" s="111"/>
      <c r="EL618" s="111"/>
      <c r="EM618" s="111"/>
      <c r="EN618" s="111"/>
      <c r="EO618" s="111"/>
      <c r="EP618" s="111"/>
      <c r="EQ618" s="111"/>
      <c r="ER618" s="111"/>
      <c r="ES618" s="111"/>
    </row>
    <row r="619" spans="44:149">
      <c r="AR619" s="29"/>
      <c r="AS619" s="29"/>
      <c r="AT619" s="29"/>
      <c r="AU619" s="29"/>
      <c r="AV619" s="29"/>
      <c r="AW619" s="29"/>
      <c r="AX619" s="29"/>
      <c r="AY619" s="29"/>
      <c r="AZ619" s="29"/>
      <c r="BA619" s="29"/>
      <c r="BB619" s="29"/>
      <c r="BC619" s="29"/>
      <c r="BD619" s="29"/>
      <c r="BE619" s="29"/>
      <c r="BF619" s="111"/>
      <c r="BG619" s="111"/>
      <c r="BH619" s="111"/>
      <c r="BI619" s="111"/>
      <c r="BJ619" s="111"/>
      <c r="BK619" s="111"/>
      <c r="BL619" s="111"/>
      <c r="BM619" s="111"/>
      <c r="BN619" s="111"/>
      <c r="BO619" s="111"/>
      <c r="BP619" s="111"/>
      <c r="BQ619" s="111"/>
      <c r="BR619" s="111"/>
      <c r="BS619" s="111"/>
      <c r="DR619" s="29"/>
      <c r="DS619" s="29"/>
      <c r="DT619" s="29"/>
      <c r="DU619" s="29"/>
      <c r="DV619" s="29"/>
      <c r="DW619" s="29"/>
      <c r="DX619" s="29"/>
      <c r="DY619" s="29"/>
      <c r="DZ619" s="29"/>
      <c r="EA619" s="29"/>
      <c r="EB619" s="29"/>
      <c r="EC619" s="29"/>
      <c r="ED619" s="29"/>
      <c r="EE619" s="29"/>
      <c r="EF619" s="111"/>
      <c r="EG619" s="111"/>
      <c r="EH619" s="111"/>
      <c r="EI619" s="111"/>
      <c r="EJ619" s="111"/>
      <c r="EK619" s="111"/>
      <c r="EL619" s="111"/>
      <c r="EM619" s="111"/>
      <c r="EN619" s="111"/>
      <c r="EO619" s="111"/>
      <c r="EP619" s="111"/>
      <c r="EQ619" s="111"/>
      <c r="ER619" s="111"/>
      <c r="ES619" s="111"/>
    </row>
    <row r="620" spans="44:149">
      <c r="AR620" s="29"/>
      <c r="AS620" s="29"/>
      <c r="AT620" s="29"/>
      <c r="AU620" s="29"/>
      <c r="AV620" s="29"/>
      <c r="AW620" s="29"/>
      <c r="AX620" s="29"/>
      <c r="AY620" s="29"/>
      <c r="AZ620" s="29"/>
      <c r="BA620" s="29"/>
      <c r="BB620" s="29"/>
      <c r="BC620" s="29"/>
      <c r="BD620" s="29"/>
      <c r="BE620" s="29"/>
      <c r="BF620" s="111"/>
      <c r="BG620" s="111"/>
      <c r="BH620" s="111"/>
      <c r="BI620" s="111"/>
      <c r="BJ620" s="111"/>
      <c r="BK620" s="111"/>
      <c r="BL620" s="111"/>
      <c r="BM620" s="111"/>
      <c r="BN620" s="111"/>
      <c r="BO620" s="111"/>
      <c r="BP620" s="111"/>
      <c r="BQ620" s="111"/>
      <c r="BR620" s="111"/>
      <c r="BS620" s="111"/>
      <c r="DR620" s="29"/>
      <c r="DS620" s="29"/>
      <c r="DT620" s="29"/>
      <c r="DU620" s="29"/>
      <c r="DV620" s="29"/>
      <c r="DW620" s="29"/>
      <c r="DX620" s="29"/>
      <c r="DY620" s="29"/>
      <c r="DZ620" s="29"/>
      <c r="EA620" s="29"/>
      <c r="EB620" s="29"/>
      <c r="EC620" s="29"/>
      <c r="ED620" s="29"/>
      <c r="EE620" s="29"/>
      <c r="EF620" s="111"/>
      <c r="EG620" s="111"/>
      <c r="EH620" s="111"/>
      <c r="EI620" s="111"/>
      <c r="EJ620" s="111"/>
      <c r="EK620" s="111"/>
      <c r="EL620" s="111"/>
      <c r="EM620" s="111"/>
      <c r="EN620" s="111"/>
      <c r="EO620" s="111"/>
      <c r="EP620" s="111"/>
      <c r="EQ620" s="111"/>
      <c r="ER620" s="111"/>
      <c r="ES620" s="111"/>
    </row>
    <row r="621" spans="44:149">
      <c r="AR621" s="29"/>
      <c r="AS621" s="29"/>
      <c r="AT621" s="29"/>
      <c r="AU621" s="29"/>
      <c r="AV621" s="29"/>
      <c r="AW621" s="29"/>
      <c r="AX621" s="29"/>
      <c r="AY621" s="29"/>
      <c r="AZ621" s="29"/>
      <c r="BA621" s="29"/>
      <c r="BB621" s="29"/>
      <c r="BC621" s="29"/>
      <c r="BD621" s="29"/>
      <c r="BE621" s="29"/>
      <c r="BF621" s="111"/>
      <c r="BG621" s="111"/>
      <c r="BH621" s="111"/>
      <c r="BI621" s="111"/>
      <c r="BJ621" s="111"/>
      <c r="BK621" s="111"/>
      <c r="BL621" s="111"/>
      <c r="BM621" s="111"/>
      <c r="BN621" s="111"/>
      <c r="BO621" s="111"/>
      <c r="BP621" s="111"/>
      <c r="BQ621" s="111"/>
      <c r="BR621" s="111"/>
      <c r="BS621" s="111"/>
      <c r="DR621" s="29"/>
      <c r="DS621" s="29"/>
      <c r="DT621" s="29"/>
      <c r="DU621" s="29"/>
      <c r="DV621" s="29"/>
      <c r="DW621" s="29"/>
      <c r="DX621" s="29"/>
      <c r="DY621" s="29"/>
      <c r="DZ621" s="29"/>
      <c r="EA621" s="29"/>
      <c r="EB621" s="29"/>
      <c r="EC621" s="29"/>
      <c r="ED621" s="29"/>
      <c r="EE621" s="29"/>
      <c r="EF621" s="111"/>
      <c r="EG621" s="111"/>
      <c r="EH621" s="111"/>
      <c r="EI621" s="111"/>
      <c r="EJ621" s="111"/>
      <c r="EK621" s="111"/>
      <c r="EL621" s="111"/>
      <c r="EM621" s="111"/>
      <c r="EN621" s="111"/>
      <c r="EO621" s="111"/>
      <c r="EP621" s="111"/>
      <c r="EQ621" s="111"/>
      <c r="ER621" s="111"/>
      <c r="ES621" s="111"/>
    </row>
    <row r="622" spans="44:149">
      <c r="AR622" s="29"/>
      <c r="AS622" s="29"/>
      <c r="AT622" s="29"/>
      <c r="AU622" s="29"/>
      <c r="AV622" s="29"/>
      <c r="AW622" s="29"/>
      <c r="AX622" s="29"/>
      <c r="AY622" s="29"/>
      <c r="AZ622" s="29"/>
      <c r="BA622" s="29"/>
      <c r="BB622" s="29"/>
      <c r="BC622" s="29"/>
      <c r="BD622" s="29"/>
      <c r="BE622" s="29"/>
      <c r="BF622" s="111"/>
      <c r="BG622" s="111"/>
      <c r="BH622" s="111"/>
      <c r="BI622" s="111"/>
      <c r="BJ622" s="111"/>
      <c r="BK622" s="111"/>
      <c r="BL622" s="111"/>
      <c r="BM622" s="111"/>
      <c r="BN622" s="111"/>
      <c r="BO622" s="111"/>
      <c r="BP622" s="111"/>
      <c r="BQ622" s="111"/>
      <c r="BR622" s="111"/>
      <c r="BS622" s="111"/>
      <c r="DR622" s="29"/>
      <c r="DS622" s="29"/>
      <c r="DT622" s="29"/>
      <c r="DU622" s="29"/>
      <c r="DV622" s="29"/>
      <c r="DW622" s="29"/>
      <c r="DX622" s="29"/>
      <c r="DY622" s="29"/>
      <c r="DZ622" s="29"/>
      <c r="EA622" s="29"/>
      <c r="EB622" s="29"/>
      <c r="EC622" s="29"/>
      <c r="ED622" s="29"/>
      <c r="EE622" s="29"/>
      <c r="EF622" s="111"/>
      <c r="EG622" s="111"/>
      <c r="EH622" s="111"/>
      <c r="EI622" s="111"/>
      <c r="EJ622" s="111"/>
      <c r="EK622" s="111"/>
      <c r="EL622" s="111"/>
      <c r="EM622" s="111"/>
      <c r="EN622" s="111"/>
      <c r="EO622" s="111"/>
      <c r="EP622" s="111"/>
      <c r="EQ622" s="111"/>
      <c r="ER622" s="111"/>
      <c r="ES622" s="111"/>
    </row>
    <row r="623" spans="44:149">
      <c r="AR623" s="29"/>
      <c r="AS623" s="29"/>
      <c r="AT623" s="29"/>
      <c r="AU623" s="29"/>
      <c r="AV623" s="29"/>
      <c r="AW623" s="29"/>
      <c r="AX623" s="29"/>
      <c r="AY623" s="29"/>
      <c r="AZ623" s="29"/>
      <c r="BA623" s="29"/>
      <c r="BB623" s="29"/>
      <c r="BC623" s="29"/>
      <c r="BD623" s="29"/>
      <c r="BE623" s="29"/>
      <c r="BF623" s="111"/>
      <c r="BG623" s="111"/>
      <c r="BH623" s="111"/>
      <c r="BI623" s="111"/>
      <c r="BJ623" s="111"/>
      <c r="BK623" s="111"/>
      <c r="BL623" s="111"/>
      <c r="BM623" s="111"/>
      <c r="BN623" s="111"/>
      <c r="BO623" s="111"/>
      <c r="BP623" s="111"/>
      <c r="BQ623" s="111"/>
      <c r="BR623" s="111"/>
      <c r="BS623" s="111"/>
      <c r="DR623" s="29"/>
      <c r="DS623" s="29"/>
      <c r="DT623" s="29"/>
      <c r="DU623" s="29"/>
      <c r="DV623" s="29"/>
      <c r="DW623" s="29"/>
      <c r="DX623" s="29"/>
      <c r="DY623" s="29"/>
      <c r="DZ623" s="29"/>
      <c r="EA623" s="29"/>
      <c r="EB623" s="29"/>
      <c r="EC623" s="29"/>
      <c r="ED623" s="29"/>
      <c r="EE623" s="29"/>
      <c r="EF623" s="111"/>
      <c r="EG623" s="111"/>
      <c r="EH623" s="111"/>
      <c r="EI623" s="111"/>
      <c r="EJ623" s="111"/>
      <c r="EK623" s="111"/>
      <c r="EL623" s="111"/>
      <c r="EM623" s="111"/>
      <c r="EN623" s="111"/>
      <c r="EO623" s="111"/>
      <c r="EP623" s="111"/>
      <c r="EQ623" s="111"/>
      <c r="ER623" s="111"/>
      <c r="ES623" s="111"/>
    </row>
    <row r="624" spans="44:149">
      <c r="AR624" s="29"/>
      <c r="AS624" s="29"/>
      <c r="AT624" s="29"/>
      <c r="AU624" s="29"/>
      <c r="AV624" s="29"/>
      <c r="AW624" s="29"/>
      <c r="AX624" s="29"/>
      <c r="AY624" s="29"/>
      <c r="AZ624" s="29"/>
      <c r="BA624" s="29"/>
      <c r="BB624" s="29"/>
      <c r="BC624" s="29"/>
      <c r="BD624" s="29"/>
      <c r="BE624" s="29"/>
      <c r="BF624" s="111"/>
      <c r="BG624" s="111"/>
      <c r="BH624" s="111"/>
      <c r="BI624" s="111"/>
      <c r="BJ624" s="111"/>
      <c r="BK624" s="111"/>
      <c r="BL624" s="111"/>
      <c r="BM624" s="111"/>
      <c r="BN624" s="111"/>
      <c r="BO624" s="111"/>
      <c r="BP624" s="111"/>
      <c r="BQ624" s="111"/>
      <c r="BR624" s="111"/>
      <c r="BS624" s="111"/>
      <c r="DR624" s="29"/>
      <c r="DS624" s="29"/>
      <c r="DT624" s="29"/>
      <c r="DU624" s="29"/>
      <c r="DV624" s="29"/>
      <c r="DW624" s="29"/>
      <c r="DX624" s="29"/>
      <c r="DY624" s="29"/>
      <c r="DZ624" s="29"/>
      <c r="EA624" s="29"/>
      <c r="EB624" s="29"/>
      <c r="EC624" s="29"/>
      <c r="ED624" s="29"/>
      <c r="EE624" s="29"/>
      <c r="EF624" s="111"/>
      <c r="EG624" s="111"/>
      <c r="EH624" s="111"/>
      <c r="EI624" s="111"/>
      <c r="EJ624" s="111"/>
      <c r="EK624" s="111"/>
      <c r="EL624" s="111"/>
      <c r="EM624" s="111"/>
      <c r="EN624" s="111"/>
      <c r="EO624" s="111"/>
      <c r="EP624" s="111"/>
      <c r="EQ624" s="111"/>
      <c r="ER624" s="111"/>
      <c r="ES624" s="111"/>
    </row>
    <row r="625" spans="44:149">
      <c r="AR625" s="29"/>
      <c r="AS625" s="29"/>
      <c r="AT625" s="29"/>
      <c r="AU625" s="29"/>
      <c r="AV625" s="29"/>
      <c r="AW625" s="29"/>
      <c r="AX625" s="29"/>
      <c r="AY625" s="29"/>
      <c r="AZ625" s="29"/>
      <c r="BA625" s="29"/>
      <c r="BB625" s="29"/>
      <c r="BC625" s="29"/>
      <c r="BD625" s="29"/>
      <c r="BE625" s="29"/>
      <c r="BF625" s="111"/>
      <c r="BG625" s="111"/>
      <c r="BH625" s="111"/>
      <c r="BI625" s="111"/>
      <c r="BJ625" s="111"/>
      <c r="BK625" s="111"/>
      <c r="BL625" s="111"/>
      <c r="BM625" s="111"/>
      <c r="BN625" s="111"/>
      <c r="BO625" s="111"/>
      <c r="BP625" s="111"/>
      <c r="BQ625" s="111"/>
      <c r="BR625" s="111"/>
      <c r="BS625" s="111"/>
      <c r="DR625" s="29"/>
      <c r="DS625" s="29"/>
      <c r="DT625" s="29"/>
      <c r="DU625" s="29"/>
      <c r="DV625" s="29"/>
      <c r="DW625" s="29"/>
      <c r="DX625" s="29"/>
      <c r="DY625" s="29"/>
      <c r="DZ625" s="29"/>
      <c r="EA625" s="29"/>
      <c r="EB625" s="29"/>
      <c r="EC625" s="29"/>
      <c r="ED625" s="29"/>
      <c r="EE625" s="29"/>
      <c r="EF625" s="111"/>
      <c r="EG625" s="111"/>
      <c r="EH625" s="111"/>
      <c r="EI625" s="111"/>
      <c r="EJ625" s="111"/>
      <c r="EK625" s="111"/>
      <c r="EL625" s="111"/>
      <c r="EM625" s="111"/>
      <c r="EN625" s="111"/>
      <c r="EO625" s="111"/>
      <c r="EP625" s="111"/>
      <c r="EQ625" s="111"/>
      <c r="ER625" s="111"/>
      <c r="ES625" s="111"/>
    </row>
    <row r="626" spans="44:149">
      <c r="AR626" s="29"/>
      <c r="AS626" s="29"/>
      <c r="AT626" s="29"/>
      <c r="AU626" s="29"/>
      <c r="AV626" s="29"/>
      <c r="AW626" s="29"/>
      <c r="AX626" s="29"/>
      <c r="AY626" s="29"/>
      <c r="AZ626" s="29"/>
      <c r="BA626" s="29"/>
      <c r="BB626" s="29"/>
      <c r="BC626" s="29"/>
      <c r="BD626" s="29"/>
      <c r="BE626" s="29"/>
      <c r="BF626" s="111"/>
      <c r="BG626" s="111"/>
      <c r="BH626" s="111"/>
      <c r="BI626" s="111"/>
      <c r="BJ626" s="111"/>
      <c r="BK626" s="111"/>
      <c r="BL626" s="111"/>
      <c r="BM626" s="111"/>
      <c r="BN626" s="111"/>
      <c r="BO626" s="111"/>
      <c r="BP626" s="111"/>
      <c r="BQ626" s="111"/>
      <c r="BR626" s="111"/>
      <c r="BS626" s="111"/>
      <c r="DR626" s="29"/>
      <c r="DS626" s="29"/>
      <c r="DT626" s="29"/>
      <c r="DU626" s="29"/>
      <c r="DV626" s="29"/>
      <c r="DW626" s="29"/>
      <c r="DX626" s="29"/>
      <c r="DY626" s="29"/>
      <c r="DZ626" s="29"/>
      <c r="EA626" s="29"/>
      <c r="EB626" s="29"/>
      <c r="EC626" s="29"/>
      <c r="ED626" s="29"/>
      <c r="EE626" s="29"/>
      <c r="EF626" s="111"/>
      <c r="EG626" s="111"/>
      <c r="EH626" s="111"/>
      <c r="EI626" s="111"/>
      <c r="EJ626" s="111"/>
      <c r="EK626" s="111"/>
      <c r="EL626" s="111"/>
      <c r="EM626" s="111"/>
      <c r="EN626" s="111"/>
      <c r="EO626" s="111"/>
      <c r="EP626" s="111"/>
      <c r="EQ626" s="111"/>
      <c r="ER626" s="111"/>
      <c r="ES626" s="111"/>
    </row>
    <row r="627" spans="44:149">
      <c r="AR627" s="29"/>
      <c r="AS627" s="29"/>
      <c r="AT627" s="29"/>
      <c r="AU627" s="29"/>
      <c r="AV627" s="29"/>
      <c r="AW627" s="29"/>
      <c r="AX627" s="29"/>
      <c r="AY627" s="29"/>
      <c r="AZ627" s="29"/>
      <c r="BA627" s="29"/>
      <c r="BB627" s="29"/>
      <c r="BC627" s="29"/>
      <c r="BD627" s="29"/>
      <c r="BE627" s="29"/>
      <c r="BF627" s="111"/>
      <c r="BG627" s="111"/>
      <c r="BH627" s="111"/>
      <c r="BI627" s="111"/>
      <c r="BJ627" s="111"/>
      <c r="BK627" s="111"/>
      <c r="BL627" s="111"/>
      <c r="BM627" s="111"/>
      <c r="BN627" s="111"/>
      <c r="BO627" s="111"/>
      <c r="BP627" s="111"/>
      <c r="BQ627" s="111"/>
      <c r="BR627" s="111"/>
      <c r="BS627" s="111"/>
      <c r="DR627" s="29"/>
      <c r="DS627" s="29"/>
      <c r="DT627" s="29"/>
      <c r="DU627" s="29"/>
      <c r="DV627" s="29"/>
      <c r="DW627" s="29"/>
      <c r="DX627" s="29"/>
      <c r="DY627" s="29"/>
      <c r="DZ627" s="29"/>
      <c r="EA627" s="29"/>
      <c r="EB627" s="29"/>
      <c r="EC627" s="29"/>
      <c r="ED627" s="29"/>
      <c r="EE627" s="29"/>
      <c r="EF627" s="111"/>
      <c r="EG627" s="111"/>
      <c r="EH627" s="111"/>
      <c r="EI627" s="111"/>
      <c r="EJ627" s="111"/>
      <c r="EK627" s="111"/>
      <c r="EL627" s="111"/>
      <c r="EM627" s="111"/>
      <c r="EN627" s="111"/>
      <c r="EO627" s="111"/>
      <c r="EP627" s="111"/>
      <c r="EQ627" s="111"/>
      <c r="ER627" s="111"/>
      <c r="ES627" s="111"/>
    </row>
    <row r="628" spans="44:149">
      <c r="AR628" s="29"/>
      <c r="AS628" s="29"/>
      <c r="AT628" s="29"/>
      <c r="AU628" s="29"/>
      <c r="AV628" s="29"/>
      <c r="AW628" s="29"/>
      <c r="AX628" s="29"/>
      <c r="AY628" s="29"/>
      <c r="AZ628" s="29"/>
      <c r="BA628" s="29"/>
      <c r="BB628" s="29"/>
      <c r="BC628" s="29"/>
      <c r="BD628" s="29"/>
      <c r="BE628" s="29"/>
      <c r="BF628" s="111"/>
      <c r="BG628" s="111"/>
      <c r="BH628" s="111"/>
      <c r="BI628" s="111"/>
      <c r="BJ628" s="111"/>
      <c r="BK628" s="111"/>
      <c r="BL628" s="111"/>
      <c r="BM628" s="111"/>
      <c r="BN628" s="111"/>
      <c r="BO628" s="111"/>
      <c r="BP628" s="111"/>
      <c r="BQ628" s="111"/>
      <c r="BR628" s="111"/>
      <c r="BS628" s="111"/>
      <c r="DR628" s="29"/>
      <c r="DS628" s="29"/>
      <c r="DT628" s="29"/>
      <c r="DU628" s="29"/>
      <c r="DV628" s="29"/>
      <c r="DW628" s="29"/>
      <c r="DX628" s="29"/>
      <c r="DY628" s="29"/>
      <c r="DZ628" s="29"/>
      <c r="EA628" s="29"/>
      <c r="EB628" s="29"/>
      <c r="EC628" s="29"/>
      <c r="ED628" s="29"/>
      <c r="EE628" s="29"/>
      <c r="EF628" s="111"/>
      <c r="EG628" s="111"/>
      <c r="EH628" s="111"/>
      <c r="EI628" s="111"/>
      <c r="EJ628" s="111"/>
      <c r="EK628" s="111"/>
      <c r="EL628" s="111"/>
      <c r="EM628" s="111"/>
      <c r="EN628" s="111"/>
      <c r="EO628" s="111"/>
      <c r="EP628" s="111"/>
      <c r="EQ628" s="111"/>
      <c r="ER628" s="111"/>
      <c r="ES628" s="111"/>
    </row>
    <row r="629" spans="44:149">
      <c r="AR629" s="29"/>
      <c r="AS629" s="29"/>
      <c r="AT629" s="29"/>
      <c r="AU629" s="29"/>
      <c r="AV629" s="29"/>
      <c r="AW629" s="29"/>
      <c r="AX629" s="29"/>
      <c r="AY629" s="29"/>
      <c r="AZ629" s="29"/>
      <c r="BA629" s="29"/>
      <c r="BB629" s="29"/>
      <c r="BC629" s="29"/>
      <c r="BD629" s="29"/>
      <c r="BE629" s="29"/>
      <c r="BF629" s="111"/>
      <c r="BG629" s="111"/>
      <c r="BH629" s="111"/>
      <c r="BI629" s="111"/>
      <c r="BJ629" s="111"/>
      <c r="BK629" s="111"/>
      <c r="BL629" s="111"/>
      <c r="BM629" s="111"/>
      <c r="BN629" s="111"/>
      <c r="BO629" s="111"/>
      <c r="BP629" s="111"/>
      <c r="BQ629" s="111"/>
      <c r="BR629" s="111"/>
      <c r="BS629" s="111"/>
      <c r="DR629" s="29"/>
      <c r="DS629" s="29"/>
      <c r="DT629" s="29"/>
      <c r="DU629" s="29"/>
      <c r="DV629" s="29"/>
      <c r="DW629" s="29"/>
      <c r="DX629" s="29"/>
      <c r="DY629" s="29"/>
      <c r="DZ629" s="29"/>
      <c r="EA629" s="29"/>
      <c r="EB629" s="29"/>
      <c r="EC629" s="29"/>
      <c r="ED629" s="29"/>
      <c r="EE629" s="29"/>
      <c r="EF629" s="111"/>
      <c r="EG629" s="111"/>
      <c r="EH629" s="111"/>
      <c r="EI629" s="111"/>
      <c r="EJ629" s="111"/>
      <c r="EK629" s="111"/>
      <c r="EL629" s="111"/>
      <c r="EM629" s="111"/>
      <c r="EN629" s="111"/>
      <c r="EO629" s="111"/>
      <c r="EP629" s="111"/>
      <c r="EQ629" s="111"/>
      <c r="ER629" s="111"/>
      <c r="ES629" s="111"/>
    </row>
    <row r="630" spans="44:149">
      <c r="AR630" s="29"/>
      <c r="AS630" s="29"/>
      <c r="AT630" s="29"/>
      <c r="AU630" s="29"/>
      <c r="AV630" s="29"/>
      <c r="AW630" s="29"/>
      <c r="AX630" s="29"/>
      <c r="AY630" s="29"/>
      <c r="AZ630" s="29"/>
      <c r="BA630" s="29"/>
      <c r="BB630" s="29"/>
      <c r="BC630" s="29"/>
      <c r="BD630" s="29"/>
      <c r="BE630" s="29"/>
      <c r="BF630" s="111"/>
      <c r="BG630" s="111"/>
      <c r="BH630" s="111"/>
      <c r="BI630" s="111"/>
      <c r="BJ630" s="111"/>
      <c r="BK630" s="111"/>
      <c r="BL630" s="111"/>
      <c r="BM630" s="111"/>
      <c r="BN630" s="111"/>
      <c r="BO630" s="111"/>
      <c r="BP630" s="111"/>
      <c r="BQ630" s="111"/>
      <c r="BR630" s="111"/>
      <c r="BS630" s="111"/>
      <c r="DR630" s="29"/>
      <c r="DS630" s="29"/>
      <c r="DT630" s="29"/>
      <c r="DU630" s="29"/>
      <c r="DV630" s="29"/>
      <c r="DW630" s="29"/>
      <c r="DX630" s="29"/>
      <c r="DY630" s="29"/>
      <c r="DZ630" s="29"/>
      <c r="EA630" s="29"/>
      <c r="EB630" s="29"/>
      <c r="EC630" s="29"/>
      <c r="ED630" s="29"/>
      <c r="EE630" s="29"/>
      <c r="EF630" s="111"/>
      <c r="EG630" s="111"/>
      <c r="EH630" s="111"/>
      <c r="EI630" s="111"/>
      <c r="EJ630" s="111"/>
      <c r="EK630" s="111"/>
      <c r="EL630" s="111"/>
      <c r="EM630" s="111"/>
      <c r="EN630" s="111"/>
      <c r="EO630" s="111"/>
      <c r="EP630" s="111"/>
      <c r="EQ630" s="111"/>
      <c r="ER630" s="111"/>
      <c r="ES630" s="111"/>
    </row>
    <row r="631" spans="44:149">
      <c r="AR631" s="29"/>
      <c r="AS631" s="29"/>
      <c r="AT631" s="29"/>
      <c r="AU631" s="29"/>
      <c r="AV631" s="29"/>
      <c r="AW631" s="29"/>
      <c r="AX631" s="29"/>
      <c r="AY631" s="29"/>
      <c r="AZ631" s="29"/>
      <c r="BA631" s="29"/>
      <c r="BB631" s="29"/>
      <c r="BC631" s="29"/>
      <c r="BD631" s="29"/>
      <c r="BE631" s="29"/>
      <c r="BF631" s="111"/>
      <c r="BG631" s="111"/>
      <c r="BH631" s="111"/>
      <c r="BI631" s="111"/>
      <c r="BJ631" s="111"/>
      <c r="BK631" s="111"/>
      <c r="BL631" s="111"/>
      <c r="BM631" s="111"/>
      <c r="BN631" s="111"/>
      <c r="BO631" s="111"/>
      <c r="BP631" s="111"/>
      <c r="BQ631" s="111"/>
      <c r="BR631" s="111"/>
      <c r="BS631" s="111"/>
      <c r="DR631" s="29"/>
      <c r="DS631" s="29"/>
      <c r="DT631" s="29"/>
      <c r="DU631" s="29"/>
      <c r="DV631" s="29"/>
      <c r="DW631" s="29"/>
      <c r="DX631" s="29"/>
      <c r="DY631" s="29"/>
      <c r="DZ631" s="29"/>
      <c r="EA631" s="29"/>
      <c r="EB631" s="29"/>
      <c r="EC631" s="29"/>
      <c r="ED631" s="29"/>
      <c r="EE631" s="29"/>
      <c r="EF631" s="111"/>
      <c r="EG631" s="111"/>
      <c r="EH631" s="111"/>
      <c r="EI631" s="111"/>
      <c r="EJ631" s="111"/>
      <c r="EK631" s="111"/>
      <c r="EL631" s="111"/>
      <c r="EM631" s="111"/>
      <c r="EN631" s="111"/>
      <c r="EO631" s="111"/>
      <c r="EP631" s="111"/>
      <c r="EQ631" s="111"/>
      <c r="ER631" s="111"/>
      <c r="ES631" s="111"/>
    </row>
    <row r="632" spans="44:149">
      <c r="AR632" s="29"/>
      <c r="AS632" s="29"/>
      <c r="AT632" s="29"/>
      <c r="AU632" s="29"/>
      <c r="AV632" s="29"/>
      <c r="AW632" s="29"/>
      <c r="AX632" s="29"/>
      <c r="AY632" s="29"/>
      <c r="AZ632" s="29"/>
      <c r="BA632" s="29"/>
      <c r="BB632" s="29"/>
      <c r="BC632" s="29"/>
      <c r="BD632" s="29"/>
      <c r="BE632" s="29"/>
      <c r="BF632" s="111"/>
      <c r="BG632" s="111"/>
      <c r="BH632" s="111"/>
      <c r="BI632" s="111"/>
      <c r="BJ632" s="111"/>
      <c r="BK632" s="111"/>
      <c r="BL632" s="111"/>
      <c r="BM632" s="111"/>
      <c r="BN632" s="111"/>
      <c r="BO632" s="111"/>
      <c r="BP632" s="111"/>
      <c r="BQ632" s="111"/>
      <c r="BR632" s="111"/>
      <c r="BS632" s="111"/>
      <c r="DR632" s="29"/>
      <c r="DS632" s="29"/>
      <c r="DT632" s="29"/>
      <c r="DU632" s="29"/>
      <c r="DV632" s="29"/>
      <c r="DW632" s="29"/>
      <c r="DX632" s="29"/>
      <c r="DY632" s="29"/>
      <c r="DZ632" s="29"/>
      <c r="EA632" s="29"/>
      <c r="EB632" s="29"/>
      <c r="EC632" s="29"/>
      <c r="ED632" s="29"/>
      <c r="EE632" s="29"/>
      <c r="EF632" s="111"/>
      <c r="EG632" s="111"/>
      <c r="EH632" s="111"/>
      <c r="EI632" s="111"/>
      <c r="EJ632" s="111"/>
      <c r="EK632" s="111"/>
      <c r="EL632" s="111"/>
      <c r="EM632" s="111"/>
      <c r="EN632" s="111"/>
      <c r="EO632" s="111"/>
      <c r="EP632" s="111"/>
      <c r="EQ632" s="111"/>
      <c r="ER632" s="111"/>
      <c r="ES632" s="111"/>
    </row>
    <row r="633" spans="44:149">
      <c r="AR633" s="29"/>
      <c r="AS633" s="29"/>
      <c r="AT633" s="29"/>
      <c r="AU633" s="29"/>
      <c r="AV633" s="29"/>
      <c r="AW633" s="29"/>
      <c r="AX633" s="29"/>
      <c r="AY633" s="29"/>
      <c r="AZ633" s="29"/>
      <c r="BA633" s="29"/>
      <c r="BB633" s="29"/>
      <c r="BC633" s="29"/>
      <c r="BD633" s="29"/>
      <c r="BE633" s="29"/>
      <c r="BF633" s="111"/>
      <c r="BG633" s="111"/>
      <c r="BH633" s="111"/>
      <c r="BI633" s="111"/>
      <c r="BJ633" s="111"/>
      <c r="BK633" s="111"/>
      <c r="BL633" s="111"/>
      <c r="BM633" s="111"/>
      <c r="BN633" s="111"/>
      <c r="BO633" s="111"/>
      <c r="BP633" s="111"/>
      <c r="BQ633" s="111"/>
      <c r="BR633" s="111"/>
      <c r="BS633" s="111"/>
      <c r="DR633" s="29"/>
      <c r="DS633" s="29"/>
      <c r="DT633" s="29"/>
      <c r="DU633" s="29"/>
      <c r="DV633" s="29"/>
      <c r="DW633" s="29"/>
      <c r="DX633" s="29"/>
      <c r="DY633" s="29"/>
      <c r="DZ633" s="29"/>
      <c r="EA633" s="29"/>
      <c r="EB633" s="29"/>
      <c r="EC633" s="29"/>
      <c r="ED633" s="29"/>
      <c r="EE633" s="29"/>
      <c r="EF633" s="111"/>
      <c r="EG633" s="111"/>
      <c r="EH633" s="111"/>
      <c r="EI633" s="111"/>
      <c r="EJ633" s="111"/>
      <c r="EK633" s="111"/>
      <c r="EL633" s="111"/>
      <c r="EM633" s="111"/>
      <c r="EN633" s="111"/>
      <c r="EO633" s="111"/>
      <c r="EP633" s="111"/>
      <c r="EQ633" s="111"/>
      <c r="ER633" s="111"/>
      <c r="ES633" s="111"/>
    </row>
    <row r="634" spans="44:149">
      <c r="AR634" s="29"/>
      <c r="AS634" s="29"/>
      <c r="AT634" s="29"/>
      <c r="AU634" s="29"/>
      <c r="AV634" s="29"/>
      <c r="AW634" s="29"/>
      <c r="AX634" s="29"/>
      <c r="AY634" s="29"/>
      <c r="AZ634" s="29"/>
      <c r="BA634" s="29"/>
      <c r="BB634" s="29"/>
      <c r="BC634" s="29"/>
      <c r="BD634" s="29"/>
      <c r="BE634" s="29"/>
      <c r="BF634" s="111"/>
      <c r="BG634" s="111"/>
      <c r="BH634" s="111"/>
      <c r="BI634" s="111"/>
      <c r="BJ634" s="111"/>
      <c r="BK634" s="111"/>
      <c r="BL634" s="111"/>
      <c r="BM634" s="111"/>
      <c r="BN634" s="111"/>
      <c r="BO634" s="111"/>
      <c r="BP634" s="111"/>
      <c r="BQ634" s="111"/>
      <c r="BR634" s="111"/>
      <c r="BS634" s="111"/>
      <c r="DR634" s="29"/>
      <c r="DS634" s="29"/>
      <c r="DT634" s="29"/>
      <c r="DU634" s="29"/>
      <c r="DV634" s="29"/>
      <c r="DW634" s="29"/>
      <c r="DX634" s="29"/>
      <c r="DY634" s="29"/>
      <c r="DZ634" s="29"/>
      <c r="EA634" s="29"/>
      <c r="EB634" s="29"/>
      <c r="EC634" s="29"/>
      <c r="ED634" s="29"/>
      <c r="EE634" s="29"/>
      <c r="EF634" s="111"/>
      <c r="EG634" s="111"/>
      <c r="EH634" s="111"/>
      <c r="EI634" s="111"/>
      <c r="EJ634" s="111"/>
      <c r="EK634" s="111"/>
      <c r="EL634" s="111"/>
      <c r="EM634" s="111"/>
      <c r="EN634" s="111"/>
      <c r="EO634" s="111"/>
      <c r="EP634" s="111"/>
      <c r="EQ634" s="111"/>
      <c r="ER634" s="111"/>
      <c r="ES634" s="111"/>
    </row>
    <row r="635" spans="44:149">
      <c r="AR635" s="29"/>
      <c r="AS635" s="29"/>
      <c r="AT635" s="29"/>
      <c r="AU635" s="29"/>
      <c r="AV635" s="29"/>
      <c r="AW635" s="29"/>
      <c r="AX635" s="29"/>
      <c r="AY635" s="29"/>
      <c r="AZ635" s="29"/>
      <c r="BA635" s="29"/>
      <c r="BB635" s="29"/>
      <c r="BC635" s="29"/>
      <c r="BD635" s="29"/>
      <c r="BE635" s="29"/>
      <c r="BF635" s="111"/>
      <c r="BG635" s="111"/>
      <c r="BH635" s="111"/>
      <c r="BI635" s="111"/>
      <c r="BJ635" s="111"/>
      <c r="BK635" s="111"/>
      <c r="BL635" s="111"/>
      <c r="BM635" s="111"/>
      <c r="BN635" s="111"/>
      <c r="BO635" s="111"/>
      <c r="BP635" s="111"/>
      <c r="BQ635" s="111"/>
      <c r="BR635" s="111"/>
      <c r="BS635" s="111"/>
      <c r="DR635" s="29"/>
      <c r="DS635" s="29"/>
      <c r="DT635" s="29"/>
      <c r="DU635" s="29"/>
      <c r="DV635" s="29"/>
      <c r="DW635" s="29"/>
      <c r="DX635" s="29"/>
      <c r="DY635" s="29"/>
      <c r="DZ635" s="29"/>
      <c r="EA635" s="29"/>
      <c r="EB635" s="29"/>
      <c r="EC635" s="29"/>
      <c r="ED635" s="29"/>
      <c r="EE635" s="29"/>
      <c r="EF635" s="111"/>
      <c r="EG635" s="111"/>
      <c r="EH635" s="111"/>
      <c r="EI635" s="111"/>
      <c r="EJ635" s="111"/>
      <c r="EK635" s="111"/>
      <c r="EL635" s="111"/>
      <c r="EM635" s="111"/>
      <c r="EN635" s="111"/>
      <c r="EO635" s="111"/>
      <c r="EP635" s="111"/>
      <c r="EQ635" s="111"/>
      <c r="ER635" s="111"/>
      <c r="ES635" s="111"/>
    </row>
    <row r="636" spans="44:149">
      <c r="AR636" s="29"/>
      <c r="AS636" s="29"/>
      <c r="AT636" s="29"/>
      <c r="AU636" s="29"/>
      <c r="AV636" s="29"/>
      <c r="AW636" s="29"/>
      <c r="AX636" s="29"/>
      <c r="AY636" s="29"/>
      <c r="AZ636" s="29"/>
      <c r="BA636" s="29"/>
      <c r="BB636" s="29"/>
      <c r="BC636" s="29"/>
      <c r="BD636" s="29"/>
      <c r="BE636" s="29"/>
      <c r="BF636" s="111"/>
      <c r="BG636" s="111"/>
      <c r="BH636" s="111"/>
      <c r="BI636" s="111"/>
      <c r="BJ636" s="111"/>
      <c r="BK636" s="111"/>
      <c r="BL636" s="111"/>
      <c r="BM636" s="111"/>
      <c r="BN636" s="111"/>
      <c r="BO636" s="111"/>
      <c r="BP636" s="111"/>
      <c r="BQ636" s="111"/>
      <c r="BR636" s="111"/>
      <c r="BS636" s="111"/>
      <c r="DR636" s="29"/>
      <c r="DS636" s="29"/>
      <c r="DT636" s="29"/>
      <c r="DU636" s="29"/>
      <c r="DV636" s="29"/>
      <c r="DW636" s="29"/>
      <c r="DX636" s="29"/>
      <c r="DY636" s="29"/>
      <c r="DZ636" s="29"/>
      <c r="EA636" s="29"/>
      <c r="EB636" s="29"/>
      <c r="EC636" s="29"/>
      <c r="ED636" s="29"/>
      <c r="EE636" s="29"/>
      <c r="EF636" s="111"/>
      <c r="EG636" s="111"/>
      <c r="EH636" s="111"/>
      <c r="EI636" s="111"/>
      <c r="EJ636" s="111"/>
      <c r="EK636" s="111"/>
      <c r="EL636" s="111"/>
      <c r="EM636" s="111"/>
      <c r="EN636" s="111"/>
      <c r="EO636" s="111"/>
      <c r="EP636" s="111"/>
      <c r="EQ636" s="111"/>
      <c r="ER636" s="111"/>
      <c r="ES636" s="111"/>
    </row>
    <row r="637" spans="44:149">
      <c r="AR637" s="29"/>
      <c r="AS637" s="29"/>
      <c r="AT637" s="29"/>
      <c r="AU637" s="29"/>
      <c r="AV637" s="29"/>
      <c r="AW637" s="29"/>
      <c r="AX637" s="29"/>
      <c r="AY637" s="29"/>
      <c r="AZ637" s="29"/>
      <c r="BA637" s="29"/>
      <c r="BB637" s="29"/>
      <c r="BC637" s="29"/>
      <c r="BD637" s="29"/>
      <c r="BE637" s="29"/>
      <c r="BF637" s="111"/>
      <c r="BG637" s="111"/>
      <c r="BH637" s="111"/>
      <c r="BI637" s="111"/>
      <c r="BJ637" s="111"/>
      <c r="BK637" s="111"/>
      <c r="BL637" s="111"/>
      <c r="BM637" s="111"/>
      <c r="BN637" s="111"/>
      <c r="BO637" s="111"/>
      <c r="BP637" s="111"/>
      <c r="BQ637" s="111"/>
      <c r="BR637" s="111"/>
      <c r="BS637" s="111"/>
      <c r="DR637" s="29"/>
      <c r="DS637" s="29"/>
      <c r="DT637" s="29"/>
      <c r="DU637" s="29"/>
      <c r="DV637" s="29"/>
      <c r="DW637" s="29"/>
      <c r="DX637" s="29"/>
      <c r="DY637" s="29"/>
      <c r="DZ637" s="29"/>
      <c r="EA637" s="29"/>
      <c r="EB637" s="29"/>
      <c r="EC637" s="29"/>
      <c r="ED637" s="29"/>
      <c r="EE637" s="29"/>
      <c r="EF637" s="111"/>
      <c r="EG637" s="111"/>
      <c r="EH637" s="111"/>
      <c r="EI637" s="111"/>
      <c r="EJ637" s="111"/>
      <c r="EK637" s="111"/>
      <c r="EL637" s="111"/>
      <c r="EM637" s="111"/>
      <c r="EN637" s="111"/>
      <c r="EO637" s="111"/>
      <c r="EP637" s="111"/>
      <c r="EQ637" s="111"/>
      <c r="ER637" s="111"/>
      <c r="ES637" s="111"/>
    </row>
    <row r="638" spans="44:149">
      <c r="AR638" s="29"/>
      <c r="AS638" s="29"/>
      <c r="AT638" s="29"/>
      <c r="AU638" s="29"/>
      <c r="AV638" s="29"/>
      <c r="AW638" s="29"/>
      <c r="AX638" s="29"/>
      <c r="AY638" s="29"/>
      <c r="AZ638" s="29"/>
      <c r="BA638" s="29"/>
      <c r="BB638" s="29"/>
      <c r="BC638" s="29"/>
      <c r="BD638" s="29"/>
      <c r="BE638" s="29"/>
      <c r="BF638" s="111"/>
      <c r="BG638" s="111"/>
      <c r="BH638" s="111"/>
      <c r="BI638" s="111"/>
      <c r="BJ638" s="111"/>
      <c r="BK638" s="111"/>
      <c r="BL638" s="111"/>
      <c r="BM638" s="111"/>
      <c r="BN638" s="111"/>
      <c r="BO638" s="111"/>
      <c r="BP638" s="111"/>
      <c r="BQ638" s="111"/>
      <c r="BR638" s="111"/>
      <c r="BS638" s="111"/>
      <c r="DR638" s="29"/>
      <c r="DS638" s="29"/>
      <c r="DT638" s="29"/>
      <c r="DU638" s="29"/>
      <c r="DV638" s="29"/>
      <c r="DW638" s="29"/>
      <c r="DX638" s="29"/>
      <c r="DY638" s="29"/>
      <c r="DZ638" s="29"/>
      <c r="EA638" s="29"/>
      <c r="EB638" s="29"/>
      <c r="EC638" s="29"/>
      <c r="ED638" s="29"/>
      <c r="EE638" s="29"/>
      <c r="EF638" s="111"/>
      <c r="EG638" s="111"/>
      <c r="EH638" s="111"/>
      <c r="EI638" s="111"/>
      <c r="EJ638" s="111"/>
      <c r="EK638" s="111"/>
      <c r="EL638" s="111"/>
      <c r="EM638" s="111"/>
      <c r="EN638" s="111"/>
      <c r="EO638" s="111"/>
      <c r="EP638" s="111"/>
      <c r="EQ638" s="111"/>
      <c r="ER638" s="111"/>
      <c r="ES638" s="111"/>
    </row>
    <row r="639" spans="44:149">
      <c r="AR639" s="29"/>
      <c r="AS639" s="29"/>
      <c r="AT639" s="29"/>
      <c r="AU639" s="29"/>
      <c r="AV639" s="29"/>
      <c r="AW639" s="29"/>
      <c r="AX639" s="29"/>
      <c r="AY639" s="29"/>
      <c r="AZ639" s="29"/>
      <c r="BA639" s="29"/>
      <c r="BB639" s="29"/>
      <c r="BC639" s="29"/>
      <c r="BD639" s="29"/>
      <c r="BE639" s="29"/>
      <c r="BF639" s="111"/>
      <c r="BG639" s="111"/>
      <c r="BH639" s="111"/>
      <c r="BI639" s="111"/>
      <c r="BJ639" s="111"/>
      <c r="BK639" s="111"/>
      <c r="BL639" s="111"/>
      <c r="BM639" s="111"/>
      <c r="BN639" s="111"/>
      <c r="BO639" s="111"/>
      <c r="BP639" s="111"/>
      <c r="BQ639" s="111"/>
      <c r="BR639" s="111"/>
      <c r="BS639" s="111"/>
      <c r="DR639" s="29"/>
      <c r="DS639" s="29"/>
      <c r="DT639" s="29"/>
      <c r="DU639" s="29"/>
      <c r="DV639" s="29"/>
      <c r="DW639" s="29"/>
      <c r="DX639" s="29"/>
      <c r="DY639" s="29"/>
      <c r="DZ639" s="29"/>
      <c r="EA639" s="29"/>
      <c r="EB639" s="29"/>
      <c r="EC639" s="29"/>
      <c r="ED639" s="29"/>
      <c r="EE639" s="29"/>
      <c r="EF639" s="111"/>
      <c r="EG639" s="111"/>
      <c r="EH639" s="111"/>
      <c r="EI639" s="111"/>
      <c r="EJ639" s="111"/>
      <c r="EK639" s="111"/>
      <c r="EL639" s="111"/>
      <c r="EM639" s="111"/>
      <c r="EN639" s="111"/>
      <c r="EO639" s="111"/>
      <c r="EP639" s="111"/>
      <c r="EQ639" s="111"/>
      <c r="ER639" s="111"/>
      <c r="ES639" s="111"/>
    </row>
    <row r="640" spans="44:149">
      <c r="AR640" s="29"/>
      <c r="AS640" s="29"/>
      <c r="AT640" s="29"/>
      <c r="AU640" s="29"/>
      <c r="AV640" s="29"/>
      <c r="AW640" s="29"/>
      <c r="AX640" s="29"/>
      <c r="AY640" s="29"/>
      <c r="AZ640" s="29"/>
      <c r="BA640" s="29"/>
      <c r="BB640" s="29"/>
      <c r="BC640" s="29"/>
      <c r="BD640" s="29"/>
      <c r="BE640" s="29"/>
      <c r="BF640" s="111"/>
      <c r="BG640" s="111"/>
      <c r="BH640" s="111"/>
      <c r="BI640" s="111"/>
      <c r="BJ640" s="111"/>
      <c r="BK640" s="111"/>
      <c r="BL640" s="111"/>
      <c r="BM640" s="111"/>
      <c r="BN640" s="111"/>
      <c r="BO640" s="111"/>
      <c r="BP640" s="111"/>
      <c r="BQ640" s="111"/>
      <c r="BR640" s="111"/>
      <c r="BS640" s="111"/>
      <c r="DR640" s="29"/>
      <c r="DS640" s="29"/>
      <c r="DT640" s="29"/>
      <c r="DU640" s="29"/>
      <c r="DV640" s="29"/>
      <c r="DW640" s="29"/>
      <c r="DX640" s="29"/>
      <c r="DY640" s="29"/>
      <c r="DZ640" s="29"/>
      <c r="EA640" s="29"/>
      <c r="EB640" s="29"/>
      <c r="EC640" s="29"/>
      <c r="ED640" s="29"/>
      <c r="EE640" s="29"/>
      <c r="EF640" s="111"/>
      <c r="EG640" s="111"/>
      <c r="EH640" s="111"/>
      <c r="EI640" s="111"/>
      <c r="EJ640" s="111"/>
      <c r="EK640" s="111"/>
      <c r="EL640" s="111"/>
      <c r="EM640" s="111"/>
      <c r="EN640" s="111"/>
      <c r="EO640" s="111"/>
      <c r="EP640" s="111"/>
      <c r="EQ640" s="111"/>
      <c r="ER640" s="111"/>
      <c r="ES640" s="111"/>
    </row>
    <row r="641" spans="44:149">
      <c r="AR641" s="29"/>
      <c r="AS641" s="29"/>
      <c r="AT641" s="29"/>
      <c r="AU641" s="29"/>
      <c r="AV641" s="29"/>
      <c r="AW641" s="29"/>
      <c r="AX641" s="29"/>
      <c r="AY641" s="29"/>
      <c r="AZ641" s="29"/>
      <c r="BA641" s="29"/>
      <c r="BB641" s="29"/>
      <c r="BC641" s="29"/>
      <c r="BD641" s="29"/>
      <c r="BE641" s="29"/>
      <c r="BF641" s="111"/>
      <c r="BG641" s="111"/>
      <c r="BH641" s="111"/>
      <c r="BI641" s="111"/>
      <c r="BJ641" s="111"/>
      <c r="BK641" s="111"/>
      <c r="BL641" s="111"/>
      <c r="BM641" s="111"/>
      <c r="BN641" s="111"/>
      <c r="BO641" s="111"/>
      <c r="BP641" s="111"/>
      <c r="BQ641" s="111"/>
      <c r="BR641" s="111"/>
      <c r="BS641" s="111"/>
      <c r="DR641" s="29"/>
      <c r="DS641" s="29"/>
      <c r="DT641" s="29"/>
      <c r="DU641" s="29"/>
      <c r="DV641" s="29"/>
      <c r="DW641" s="29"/>
      <c r="DX641" s="29"/>
      <c r="DY641" s="29"/>
      <c r="DZ641" s="29"/>
      <c r="EA641" s="29"/>
      <c r="EB641" s="29"/>
      <c r="EC641" s="29"/>
      <c r="ED641" s="29"/>
      <c r="EE641" s="29"/>
      <c r="EF641" s="111"/>
      <c r="EG641" s="111"/>
      <c r="EH641" s="111"/>
      <c r="EI641" s="111"/>
      <c r="EJ641" s="111"/>
      <c r="EK641" s="111"/>
      <c r="EL641" s="111"/>
      <c r="EM641" s="111"/>
      <c r="EN641" s="111"/>
      <c r="EO641" s="111"/>
      <c r="EP641" s="111"/>
      <c r="EQ641" s="111"/>
      <c r="ER641" s="111"/>
      <c r="ES641" s="111"/>
    </row>
    <row r="642" spans="44:149">
      <c r="AR642" s="29"/>
      <c r="AS642" s="29"/>
      <c r="AT642" s="29"/>
      <c r="AU642" s="29"/>
      <c r="AV642" s="29"/>
      <c r="AW642" s="29"/>
      <c r="AX642" s="29"/>
      <c r="AY642" s="29"/>
      <c r="AZ642" s="29"/>
      <c r="BA642" s="29"/>
      <c r="BB642" s="29"/>
      <c r="BC642" s="29"/>
      <c r="BD642" s="29"/>
      <c r="BE642" s="29"/>
      <c r="BF642" s="111"/>
      <c r="BG642" s="111"/>
      <c r="BH642" s="111"/>
      <c r="BI642" s="111"/>
      <c r="BJ642" s="111"/>
      <c r="BK642" s="111"/>
      <c r="BL642" s="111"/>
      <c r="BM642" s="111"/>
      <c r="BN642" s="111"/>
      <c r="BO642" s="111"/>
      <c r="BP642" s="111"/>
      <c r="BQ642" s="111"/>
      <c r="BR642" s="111"/>
      <c r="BS642" s="111"/>
      <c r="DR642" s="29"/>
      <c r="DS642" s="29"/>
      <c r="DT642" s="29"/>
      <c r="DU642" s="29"/>
      <c r="DV642" s="29"/>
      <c r="DW642" s="29"/>
      <c r="DX642" s="29"/>
      <c r="DY642" s="29"/>
      <c r="DZ642" s="29"/>
      <c r="EA642" s="29"/>
      <c r="EB642" s="29"/>
      <c r="EC642" s="29"/>
      <c r="ED642" s="29"/>
      <c r="EE642" s="29"/>
      <c r="EF642" s="111"/>
      <c r="EG642" s="111"/>
      <c r="EH642" s="111"/>
      <c r="EI642" s="111"/>
      <c r="EJ642" s="111"/>
      <c r="EK642" s="111"/>
      <c r="EL642" s="111"/>
      <c r="EM642" s="111"/>
      <c r="EN642" s="111"/>
      <c r="EO642" s="111"/>
      <c r="EP642" s="111"/>
      <c r="EQ642" s="111"/>
      <c r="ER642" s="111"/>
      <c r="ES642" s="111"/>
    </row>
    <row r="643" spans="44:149">
      <c r="AR643" s="29"/>
      <c r="AS643" s="29"/>
      <c r="AT643" s="29"/>
      <c r="AU643" s="29"/>
      <c r="AV643" s="29"/>
      <c r="AW643" s="29"/>
      <c r="AX643" s="29"/>
      <c r="AY643" s="29"/>
      <c r="AZ643" s="29"/>
      <c r="BA643" s="29"/>
      <c r="BB643" s="29"/>
      <c r="BC643" s="29"/>
      <c r="BD643" s="29"/>
      <c r="BE643" s="29"/>
      <c r="BF643" s="111"/>
      <c r="BG643" s="111"/>
      <c r="BH643" s="111"/>
      <c r="BI643" s="111"/>
      <c r="BJ643" s="111"/>
      <c r="BK643" s="111"/>
      <c r="BL643" s="111"/>
      <c r="BM643" s="111"/>
      <c r="BN643" s="111"/>
      <c r="BO643" s="111"/>
      <c r="BP643" s="111"/>
      <c r="BQ643" s="111"/>
      <c r="BR643" s="111"/>
      <c r="BS643" s="111"/>
      <c r="DR643" s="29"/>
      <c r="DS643" s="29"/>
      <c r="DT643" s="29"/>
      <c r="DU643" s="29"/>
      <c r="DV643" s="29"/>
      <c r="DW643" s="29"/>
      <c r="DX643" s="29"/>
      <c r="DY643" s="29"/>
      <c r="DZ643" s="29"/>
      <c r="EA643" s="29"/>
      <c r="EB643" s="29"/>
      <c r="EC643" s="29"/>
      <c r="ED643" s="29"/>
      <c r="EE643" s="29"/>
      <c r="EF643" s="111"/>
      <c r="EG643" s="111"/>
      <c r="EH643" s="111"/>
      <c r="EI643" s="111"/>
      <c r="EJ643" s="111"/>
      <c r="EK643" s="111"/>
      <c r="EL643" s="111"/>
      <c r="EM643" s="111"/>
      <c r="EN643" s="111"/>
      <c r="EO643" s="111"/>
      <c r="EP643" s="111"/>
      <c r="EQ643" s="111"/>
      <c r="ER643" s="111"/>
      <c r="ES643" s="111"/>
    </row>
    <row r="644" spans="44:149">
      <c r="AR644" s="29"/>
      <c r="AS644" s="29"/>
      <c r="AT644" s="29"/>
      <c r="AU644" s="29"/>
      <c r="AV644" s="29"/>
      <c r="AW644" s="29"/>
      <c r="AX644" s="29"/>
      <c r="AY644" s="29"/>
      <c r="AZ644" s="29"/>
      <c r="BA644" s="29"/>
      <c r="BB644" s="29"/>
      <c r="BC644" s="29"/>
      <c r="BD644" s="29"/>
      <c r="BE644" s="29"/>
      <c r="BF644" s="111"/>
      <c r="BG644" s="111"/>
      <c r="BH644" s="111"/>
      <c r="BI644" s="111"/>
      <c r="BJ644" s="111"/>
      <c r="BK644" s="111"/>
      <c r="BL644" s="111"/>
      <c r="BM644" s="111"/>
      <c r="BN644" s="111"/>
      <c r="BO644" s="111"/>
      <c r="BP644" s="111"/>
      <c r="BQ644" s="111"/>
      <c r="BR644" s="111"/>
      <c r="BS644" s="111"/>
      <c r="DR644" s="29"/>
      <c r="DS644" s="29"/>
      <c r="DT644" s="29"/>
      <c r="DU644" s="29"/>
      <c r="DV644" s="29"/>
      <c r="DW644" s="29"/>
      <c r="DX644" s="29"/>
      <c r="DY644" s="29"/>
      <c r="DZ644" s="29"/>
      <c r="EA644" s="29"/>
      <c r="EB644" s="29"/>
      <c r="EC644" s="29"/>
      <c r="ED644" s="29"/>
      <c r="EE644" s="29"/>
      <c r="EF644" s="111"/>
      <c r="EG644" s="111"/>
      <c r="EH644" s="111"/>
      <c r="EI644" s="111"/>
      <c r="EJ644" s="111"/>
      <c r="EK644" s="111"/>
      <c r="EL644" s="111"/>
      <c r="EM644" s="111"/>
      <c r="EN644" s="111"/>
      <c r="EO644" s="111"/>
      <c r="EP644" s="111"/>
      <c r="EQ644" s="111"/>
      <c r="ER644" s="111"/>
      <c r="ES644" s="111"/>
    </row>
    <row r="645" spans="44:149">
      <c r="AR645" s="29"/>
      <c r="AS645" s="29"/>
      <c r="AT645" s="29"/>
      <c r="AU645" s="29"/>
      <c r="AV645" s="29"/>
      <c r="AW645" s="29"/>
      <c r="AX645" s="29"/>
      <c r="AY645" s="29"/>
      <c r="AZ645" s="29"/>
      <c r="BA645" s="29"/>
      <c r="BB645" s="29"/>
      <c r="BC645" s="29"/>
      <c r="BD645" s="29"/>
      <c r="BE645" s="29"/>
      <c r="BF645" s="111"/>
      <c r="BG645" s="111"/>
      <c r="BH645" s="111"/>
      <c r="BI645" s="111"/>
      <c r="BJ645" s="111"/>
      <c r="BK645" s="111"/>
      <c r="BL645" s="111"/>
      <c r="BM645" s="111"/>
      <c r="BN645" s="111"/>
      <c r="BO645" s="111"/>
      <c r="BP645" s="111"/>
      <c r="BQ645" s="111"/>
      <c r="BR645" s="111"/>
      <c r="BS645" s="111"/>
      <c r="DR645" s="29"/>
      <c r="DS645" s="29"/>
      <c r="DT645" s="29"/>
      <c r="DU645" s="29"/>
      <c r="DV645" s="29"/>
      <c r="DW645" s="29"/>
      <c r="DX645" s="29"/>
      <c r="DY645" s="29"/>
      <c r="DZ645" s="29"/>
      <c r="EA645" s="29"/>
      <c r="EB645" s="29"/>
      <c r="EC645" s="29"/>
      <c r="ED645" s="29"/>
      <c r="EE645" s="29"/>
      <c r="EF645" s="111"/>
      <c r="EG645" s="111"/>
      <c r="EH645" s="111"/>
      <c r="EI645" s="111"/>
      <c r="EJ645" s="111"/>
      <c r="EK645" s="111"/>
      <c r="EL645" s="111"/>
      <c r="EM645" s="111"/>
      <c r="EN645" s="111"/>
      <c r="EO645" s="111"/>
      <c r="EP645" s="111"/>
      <c r="EQ645" s="111"/>
      <c r="ER645" s="111"/>
      <c r="ES645" s="111"/>
    </row>
    <row r="646" spans="44:149">
      <c r="AR646" s="29"/>
      <c r="AS646" s="29"/>
      <c r="AT646" s="29"/>
      <c r="AU646" s="29"/>
      <c r="AV646" s="29"/>
      <c r="AW646" s="29"/>
      <c r="AX646" s="29"/>
      <c r="AY646" s="29"/>
      <c r="AZ646" s="29"/>
      <c r="BA646" s="29"/>
      <c r="BB646" s="29"/>
      <c r="BC646" s="29"/>
      <c r="BD646" s="29"/>
      <c r="BE646" s="29"/>
      <c r="BF646" s="111"/>
      <c r="BG646" s="111"/>
      <c r="BH646" s="111"/>
      <c r="BI646" s="111"/>
      <c r="BJ646" s="111"/>
      <c r="BK646" s="111"/>
      <c r="BL646" s="111"/>
      <c r="BM646" s="111"/>
      <c r="BN646" s="111"/>
      <c r="BO646" s="111"/>
      <c r="BP646" s="111"/>
      <c r="BQ646" s="111"/>
      <c r="BR646" s="111"/>
      <c r="BS646" s="111"/>
      <c r="DR646" s="29"/>
      <c r="DS646" s="29"/>
      <c r="DT646" s="29"/>
      <c r="DU646" s="29"/>
      <c r="DV646" s="29"/>
      <c r="DW646" s="29"/>
      <c r="DX646" s="29"/>
      <c r="DY646" s="29"/>
      <c r="DZ646" s="29"/>
      <c r="EA646" s="29"/>
      <c r="EB646" s="29"/>
      <c r="EC646" s="29"/>
      <c r="ED646" s="29"/>
      <c r="EE646" s="29"/>
      <c r="EF646" s="111"/>
      <c r="EG646" s="111"/>
      <c r="EH646" s="111"/>
      <c r="EI646" s="111"/>
      <c r="EJ646" s="111"/>
      <c r="EK646" s="111"/>
      <c r="EL646" s="111"/>
      <c r="EM646" s="111"/>
      <c r="EN646" s="111"/>
      <c r="EO646" s="111"/>
      <c r="EP646" s="111"/>
      <c r="EQ646" s="111"/>
      <c r="ER646" s="111"/>
      <c r="ES646" s="111"/>
    </row>
    <row r="647" spans="44:149">
      <c r="AR647" s="29"/>
      <c r="AS647" s="29"/>
      <c r="AT647" s="29"/>
      <c r="AU647" s="29"/>
      <c r="AV647" s="29"/>
      <c r="AW647" s="29"/>
      <c r="AX647" s="29"/>
      <c r="AY647" s="29"/>
      <c r="AZ647" s="29"/>
      <c r="BA647" s="29"/>
      <c r="BB647" s="29"/>
      <c r="BC647" s="29"/>
      <c r="BD647" s="29"/>
      <c r="BE647" s="29"/>
      <c r="BF647" s="111"/>
      <c r="BG647" s="111"/>
      <c r="BH647" s="111"/>
      <c r="BI647" s="111"/>
      <c r="BJ647" s="111"/>
      <c r="BK647" s="111"/>
      <c r="BL647" s="111"/>
      <c r="BM647" s="111"/>
      <c r="BN647" s="111"/>
      <c r="BO647" s="111"/>
      <c r="BP647" s="111"/>
      <c r="BQ647" s="111"/>
      <c r="BR647" s="111"/>
      <c r="BS647" s="111"/>
      <c r="DR647" s="29"/>
      <c r="DS647" s="29"/>
      <c r="DT647" s="29"/>
      <c r="DU647" s="29"/>
      <c r="DV647" s="29"/>
      <c r="DW647" s="29"/>
      <c r="DX647" s="29"/>
      <c r="DY647" s="29"/>
      <c r="DZ647" s="29"/>
      <c r="EA647" s="29"/>
      <c r="EB647" s="29"/>
      <c r="EC647" s="29"/>
      <c r="ED647" s="29"/>
      <c r="EE647" s="29"/>
      <c r="EF647" s="111"/>
      <c r="EG647" s="111"/>
      <c r="EH647" s="111"/>
      <c r="EI647" s="111"/>
      <c r="EJ647" s="111"/>
      <c r="EK647" s="111"/>
      <c r="EL647" s="111"/>
      <c r="EM647" s="111"/>
      <c r="EN647" s="111"/>
      <c r="EO647" s="111"/>
      <c r="EP647" s="111"/>
      <c r="EQ647" s="111"/>
      <c r="ER647" s="111"/>
      <c r="ES647" s="111"/>
    </row>
    <row r="648" spans="44:149">
      <c r="AR648" s="29"/>
      <c r="AS648" s="29"/>
      <c r="AT648" s="29"/>
      <c r="AU648" s="29"/>
      <c r="AV648" s="29"/>
      <c r="AW648" s="29"/>
      <c r="AX648" s="29"/>
      <c r="AY648" s="29"/>
      <c r="AZ648" s="29"/>
      <c r="BA648" s="29"/>
      <c r="BB648" s="29"/>
      <c r="BC648" s="29"/>
      <c r="BD648" s="29"/>
      <c r="BE648" s="29"/>
      <c r="BF648" s="111"/>
      <c r="BG648" s="111"/>
      <c r="BH648" s="111"/>
      <c r="BI648" s="111"/>
      <c r="BJ648" s="111"/>
      <c r="BK648" s="111"/>
      <c r="BL648" s="111"/>
      <c r="BM648" s="111"/>
      <c r="BN648" s="111"/>
      <c r="BO648" s="111"/>
      <c r="BP648" s="111"/>
      <c r="BQ648" s="111"/>
      <c r="BR648" s="111"/>
      <c r="BS648" s="111"/>
      <c r="DR648" s="29"/>
      <c r="DS648" s="29"/>
      <c r="DT648" s="29"/>
      <c r="DU648" s="29"/>
      <c r="DV648" s="29"/>
      <c r="DW648" s="29"/>
      <c r="DX648" s="29"/>
      <c r="DY648" s="29"/>
      <c r="DZ648" s="29"/>
      <c r="EA648" s="29"/>
      <c r="EB648" s="29"/>
      <c r="EC648" s="29"/>
      <c r="ED648" s="29"/>
      <c r="EE648" s="29"/>
      <c r="EF648" s="111"/>
      <c r="EG648" s="111"/>
      <c r="EH648" s="111"/>
      <c r="EI648" s="111"/>
      <c r="EJ648" s="111"/>
      <c r="EK648" s="111"/>
      <c r="EL648" s="111"/>
      <c r="EM648" s="111"/>
      <c r="EN648" s="111"/>
      <c r="EO648" s="111"/>
      <c r="EP648" s="111"/>
      <c r="EQ648" s="111"/>
      <c r="ER648" s="111"/>
      <c r="ES648" s="111"/>
    </row>
    <row r="649" spans="44:149">
      <c r="AR649" s="29"/>
      <c r="AS649" s="29"/>
      <c r="AT649" s="29"/>
      <c r="AU649" s="29"/>
      <c r="AV649" s="29"/>
      <c r="AW649" s="29"/>
      <c r="AX649" s="29"/>
      <c r="AY649" s="29"/>
      <c r="AZ649" s="29"/>
      <c r="BA649" s="29"/>
      <c r="BB649" s="29"/>
      <c r="BC649" s="29"/>
      <c r="BD649" s="29"/>
      <c r="BE649" s="29"/>
      <c r="BF649" s="111"/>
      <c r="BG649" s="111"/>
      <c r="BH649" s="111"/>
      <c r="BI649" s="111"/>
      <c r="BJ649" s="111"/>
      <c r="BK649" s="111"/>
      <c r="BL649" s="111"/>
      <c r="BM649" s="111"/>
      <c r="BN649" s="111"/>
      <c r="BO649" s="111"/>
      <c r="BP649" s="111"/>
      <c r="BQ649" s="111"/>
      <c r="BR649" s="111"/>
      <c r="BS649" s="111"/>
      <c r="DR649" s="29"/>
      <c r="DS649" s="29"/>
      <c r="DT649" s="29"/>
      <c r="DU649" s="29"/>
      <c r="DV649" s="29"/>
      <c r="DW649" s="29"/>
      <c r="DX649" s="29"/>
      <c r="DY649" s="29"/>
      <c r="DZ649" s="29"/>
      <c r="EA649" s="29"/>
      <c r="EB649" s="29"/>
      <c r="EC649" s="29"/>
      <c r="ED649" s="29"/>
      <c r="EE649" s="29"/>
      <c r="EF649" s="111"/>
      <c r="EG649" s="111"/>
      <c r="EH649" s="111"/>
      <c r="EI649" s="111"/>
      <c r="EJ649" s="111"/>
      <c r="EK649" s="111"/>
      <c r="EL649" s="111"/>
      <c r="EM649" s="111"/>
      <c r="EN649" s="111"/>
      <c r="EO649" s="111"/>
      <c r="EP649" s="111"/>
      <c r="EQ649" s="111"/>
      <c r="ER649" s="111"/>
      <c r="ES649" s="111"/>
    </row>
    <row r="650" spans="44:149">
      <c r="AR650" s="29"/>
      <c r="AS650" s="29"/>
      <c r="AT650" s="29"/>
      <c r="AU650" s="29"/>
      <c r="AV650" s="29"/>
      <c r="AW650" s="29"/>
      <c r="AX650" s="29"/>
      <c r="AY650" s="29"/>
      <c r="AZ650" s="29"/>
      <c r="BA650" s="29"/>
      <c r="BB650" s="29"/>
      <c r="BC650" s="29"/>
      <c r="BD650" s="29"/>
      <c r="BE650" s="29"/>
      <c r="BF650" s="111"/>
      <c r="BG650" s="111"/>
      <c r="BH650" s="111"/>
      <c r="BI650" s="111"/>
      <c r="BJ650" s="111"/>
      <c r="BK650" s="111"/>
      <c r="BL650" s="111"/>
      <c r="BM650" s="111"/>
      <c r="BN650" s="111"/>
      <c r="BO650" s="111"/>
      <c r="BP650" s="111"/>
      <c r="BQ650" s="111"/>
      <c r="BR650" s="111"/>
      <c r="BS650" s="111"/>
      <c r="DR650" s="29"/>
      <c r="DS650" s="29"/>
      <c r="DT650" s="29"/>
      <c r="DU650" s="29"/>
      <c r="DV650" s="29"/>
      <c r="DW650" s="29"/>
      <c r="DX650" s="29"/>
      <c r="DY650" s="29"/>
      <c r="DZ650" s="29"/>
      <c r="EA650" s="29"/>
      <c r="EB650" s="29"/>
      <c r="EC650" s="29"/>
      <c r="ED650" s="29"/>
      <c r="EE650" s="29"/>
      <c r="EF650" s="111"/>
      <c r="EG650" s="111"/>
      <c r="EH650" s="111"/>
      <c r="EI650" s="111"/>
      <c r="EJ650" s="111"/>
      <c r="EK650" s="111"/>
      <c r="EL650" s="111"/>
      <c r="EM650" s="111"/>
      <c r="EN650" s="111"/>
      <c r="EO650" s="111"/>
      <c r="EP650" s="111"/>
      <c r="EQ650" s="111"/>
      <c r="ER650" s="111"/>
      <c r="ES650" s="111"/>
    </row>
    <row r="651" spans="44:149">
      <c r="AR651" s="29"/>
      <c r="AS651" s="29"/>
      <c r="AT651" s="29"/>
      <c r="AU651" s="29"/>
      <c r="AV651" s="29"/>
      <c r="AW651" s="29"/>
      <c r="AX651" s="29"/>
      <c r="AY651" s="29"/>
      <c r="AZ651" s="29"/>
      <c r="BA651" s="29"/>
      <c r="BB651" s="29"/>
      <c r="BC651" s="29"/>
      <c r="BD651" s="29"/>
      <c r="BE651" s="29"/>
      <c r="BF651" s="111"/>
      <c r="BG651" s="111"/>
      <c r="BH651" s="111"/>
      <c r="BI651" s="111"/>
      <c r="BJ651" s="111"/>
      <c r="BK651" s="111"/>
      <c r="BL651" s="111"/>
      <c r="BM651" s="111"/>
      <c r="BN651" s="111"/>
      <c r="BO651" s="111"/>
      <c r="BP651" s="111"/>
      <c r="BQ651" s="111"/>
      <c r="BR651" s="111"/>
      <c r="BS651" s="111"/>
      <c r="DR651" s="29"/>
      <c r="DS651" s="29"/>
      <c r="DT651" s="29"/>
      <c r="DU651" s="29"/>
      <c r="DV651" s="29"/>
      <c r="DW651" s="29"/>
      <c r="DX651" s="29"/>
      <c r="DY651" s="29"/>
      <c r="DZ651" s="29"/>
      <c r="EA651" s="29"/>
      <c r="EB651" s="29"/>
      <c r="EC651" s="29"/>
      <c r="ED651" s="29"/>
      <c r="EE651" s="29"/>
      <c r="EF651" s="111"/>
      <c r="EG651" s="111"/>
      <c r="EH651" s="111"/>
      <c r="EI651" s="111"/>
      <c r="EJ651" s="111"/>
      <c r="EK651" s="111"/>
      <c r="EL651" s="111"/>
      <c r="EM651" s="111"/>
      <c r="EN651" s="111"/>
      <c r="EO651" s="111"/>
      <c r="EP651" s="111"/>
      <c r="EQ651" s="111"/>
      <c r="ER651" s="111"/>
      <c r="ES651" s="111"/>
    </row>
    <row r="652" spans="44:149">
      <c r="AR652" s="29"/>
      <c r="AS652" s="29"/>
      <c r="AT652" s="29"/>
      <c r="AU652" s="29"/>
      <c r="AV652" s="29"/>
      <c r="AW652" s="29"/>
      <c r="AX652" s="29"/>
      <c r="AY652" s="29"/>
      <c r="AZ652" s="29"/>
      <c r="BA652" s="29"/>
      <c r="BB652" s="29"/>
      <c r="BC652" s="29"/>
      <c r="BD652" s="29"/>
      <c r="BE652" s="29"/>
      <c r="BF652" s="111"/>
      <c r="BG652" s="111"/>
      <c r="BH652" s="111"/>
      <c r="BI652" s="111"/>
      <c r="BJ652" s="111"/>
      <c r="BK652" s="111"/>
      <c r="BL652" s="111"/>
      <c r="BM652" s="111"/>
      <c r="BN652" s="111"/>
      <c r="BO652" s="111"/>
      <c r="BP652" s="111"/>
      <c r="BQ652" s="111"/>
      <c r="BR652" s="111"/>
      <c r="BS652" s="111"/>
      <c r="DR652" s="29"/>
      <c r="DS652" s="29"/>
      <c r="DT652" s="29"/>
      <c r="DU652" s="29"/>
      <c r="DV652" s="29"/>
      <c r="DW652" s="29"/>
      <c r="DX652" s="29"/>
      <c r="DY652" s="29"/>
      <c r="DZ652" s="29"/>
      <c r="EA652" s="29"/>
      <c r="EB652" s="29"/>
      <c r="EC652" s="29"/>
      <c r="ED652" s="29"/>
      <c r="EE652" s="29"/>
      <c r="EF652" s="111"/>
      <c r="EG652" s="111"/>
      <c r="EH652" s="111"/>
      <c r="EI652" s="111"/>
      <c r="EJ652" s="111"/>
      <c r="EK652" s="111"/>
      <c r="EL652" s="111"/>
      <c r="EM652" s="111"/>
      <c r="EN652" s="111"/>
      <c r="EO652" s="111"/>
      <c r="EP652" s="111"/>
      <c r="EQ652" s="111"/>
      <c r="ER652" s="111"/>
      <c r="ES652" s="111"/>
    </row>
    <row r="653" spans="44:149">
      <c r="AR653" s="29"/>
      <c r="AS653" s="29"/>
      <c r="AT653" s="29"/>
      <c r="AU653" s="29"/>
      <c r="AV653" s="29"/>
      <c r="AW653" s="29"/>
      <c r="AX653" s="29"/>
      <c r="AY653" s="29"/>
      <c r="AZ653" s="29"/>
      <c r="BA653" s="29"/>
      <c r="BB653" s="29"/>
      <c r="BC653" s="29"/>
      <c r="BD653" s="29"/>
      <c r="BE653" s="29"/>
      <c r="BF653" s="111"/>
      <c r="BG653" s="111"/>
      <c r="BH653" s="111"/>
      <c r="BI653" s="111"/>
      <c r="BJ653" s="111"/>
      <c r="BK653" s="111"/>
      <c r="BL653" s="111"/>
      <c r="BM653" s="111"/>
      <c r="BN653" s="111"/>
      <c r="BO653" s="111"/>
      <c r="BP653" s="111"/>
      <c r="BQ653" s="111"/>
      <c r="BR653" s="111"/>
      <c r="BS653" s="111"/>
      <c r="DR653" s="29"/>
      <c r="DS653" s="29"/>
      <c r="DT653" s="29"/>
      <c r="DU653" s="29"/>
      <c r="DV653" s="29"/>
      <c r="DW653" s="29"/>
      <c r="DX653" s="29"/>
      <c r="DY653" s="29"/>
      <c r="DZ653" s="29"/>
      <c r="EA653" s="29"/>
      <c r="EB653" s="29"/>
      <c r="EC653" s="29"/>
      <c r="ED653" s="29"/>
      <c r="EE653" s="29"/>
      <c r="EF653" s="111"/>
      <c r="EG653" s="111"/>
      <c r="EH653" s="111"/>
      <c r="EI653" s="111"/>
      <c r="EJ653" s="111"/>
      <c r="EK653" s="111"/>
      <c r="EL653" s="111"/>
      <c r="EM653" s="111"/>
      <c r="EN653" s="111"/>
      <c r="EO653" s="111"/>
      <c r="EP653" s="111"/>
      <c r="EQ653" s="111"/>
      <c r="ER653" s="111"/>
      <c r="ES653" s="111"/>
    </row>
    <row r="654" spans="44:149">
      <c r="AR654" s="29"/>
      <c r="AS654" s="29"/>
      <c r="AT654" s="29"/>
      <c r="AU654" s="29"/>
      <c r="AV654" s="29"/>
      <c r="AW654" s="29"/>
      <c r="AX654" s="29"/>
      <c r="AY654" s="29"/>
      <c r="AZ654" s="29"/>
      <c r="BA654" s="29"/>
      <c r="BB654" s="29"/>
      <c r="BC654" s="29"/>
      <c r="BD654" s="29"/>
      <c r="BE654" s="29"/>
      <c r="BF654" s="111"/>
      <c r="BG654" s="111"/>
      <c r="BH654" s="111"/>
      <c r="BI654" s="111"/>
      <c r="BJ654" s="111"/>
      <c r="BK654" s="111"/>
      <c r="BL654" s="111"/>
      <c r="BM654" s="111"/>
      <c r="BN654" s="111"/>
      <c r="BO654" s="111"/>
      <c r="BP654" s="111"/>
      <c r="BQ654" s="111"/>
      <c r="BR654" s="111"/>
      <c r="BS654" s="111"/>
      <c r="DR654" s="29"/>
      <c r="DS654" s="29"/>
      <c r="DT654" s="29"/>
      <c r="DU654" s="29"/>
      <c r="DV654" s="29"/>
      <c r="DW654" s="29"/>
      <c r="DX654" s="29"/>
      <c r="DY654" s="29"/>
      <c r="DZ654" s="29"/>
      <c r="EA654" s="29"/>
      <c r="EB654" s="29"/>
      <c r="EC654" s="29"/>
      <c r="ED654" s="29"/>
      <c r="EE654" s="29"/>
      <c r="EF654" s="111"/>
      <c r="EG654" s="111"/>
      <c r="EH654" s="111"/>
      <c r="EI654" s="111"/>
      <c r="EJ654" s="111"/>
      <c r="EK654" s="111"/>
      <c r="EL654" s="111"/>
      <c r="EM654" s="111"/>
      <c r="EN654" s="111"/>
      <c r="EO654" s="111"/>
      <c r="EP654" s="111"/>
      <c r="EQ654" s="111"/>
      <c r="ER654" s="111"/>
      <c r="ES654" s="111"/>
    </row>
    <row r="655" spans="44:149">
      <c r="AR655" s="29"/>
      <c r="AS655" s="29"/>
      <c r="AT655" s="29"/>
      <c r="AU655" s="29"/>
      <c r="AV655" s="29"/>
      <c r="AW655" s="29"/>
      <c r="AX655" s="29"/>
      <c r="AY655" s="29"/>
      <c r="AZ655" s="29"/>
      <c r="BA655" s="29"/>
      <c r="BB655" s="29"/>
      <c r="BC655" s="29"/>
      <c r="BD655" s="29"/>
      <c r="BE655" s="29"/>
      <c r="BF655" s="111"/>
      <c r="BG655" s="111"/>
      <c r="BH655" s="111"/>
      <c r="BI655" s="111"/>
      <c r="BJ655" s="111"/>
      <c r="BK655" s="111"/>
      <c r="BL655" s="111"/>
      <c r="BM655" s="111"/>
      <c r="BN655" s="111"/>
      <c r="BO655" s="111"/>
      <c r="BP655" s="111"/>
      <c r="BQ655" s="111"/>
      <c r="BR655" s="111"/>
      <c r="BS655" s="111"/>
      <c r="DR655" s="29"/>
      <c r="DS655" s="29"/>
      <c r="DT655" s="29"/>
      <c r="DU655" s="29"/>
      <c r="DV655" s="29"/>
      <c r="DW655" s="29"/>
      <c r="DX655" s="29"/>
      <c r="DY655" s="29"/>
      <c r="DZ655" s="29"/>
      <c r="EA655" s="29"/>
      <c r="EB655" s="29"/>
      <c r="EC655" s="29"/>
      <c r="ED655" s="29"/>
      <c r="EE655" s="29"/>
      <c r="EF655" s="111"/>
      <c r="EG655" s="111"/>
      <c r="EH655" s="111"/>
      <c r="EI655" s="111"/>
      <c r="EJ655" s="111"/>
      <c r="EK655" s="111"/>
      <c r="EL655" s="111"/>
      <c r="EM655" s="111"/>
      <c r="EN655" s="111"/>
      <c r="EO655" s="111"/>
      <c r="EP655" s="111"/>
      <c r="EQ655" s="111"/>
      <c r="ER655" s="111"/>
      <c r="ES655" s="111"/>
    </row>
    <row r="656" spans="44:149">
      <c r="AR656" s="29"/>
      <c r="AS656" s="29"/>
      <c r="AT656" s="29"/>
      <c r="AU656" s="29"/>
      <c r="AV656" s="29"/>
      <c r="AW656" s="29"/>
      <c r="AX656" s="29"/>
      <c r="AY656" s="29"/>
      <c r="AZ656" s="29"/>
      <c r="BA656" s="29"/>
      <c r="BB656" s="29"/>
      <c r="BC656" s="29"/>
      <c r="BD656" s="29"/>
      <c r="BE656" s="29"/>
      <c r="BF656" s="111"/>
      <c r="BG656" s="111"/>
      <c r="BH656" s="111"/>
      <c r="BI656" s="111"/>
      <c r="BJ656" s="111"/>
      <c r="BK656" s="111"/>
      <c r="BL656" s="111"/>
      <c r="BM656" s="111"/>
      <c r="BN656" s="111"/>
      <c r="BO656" s="111"/>
      <c r="BP656" s="111"/>
      <c r="BQ656" s="111"/>
      <c r="BR656" s="111"/>
      <c r="BS656" s="111"/>
      <c r="DR656" s="29"/>
      <c r="DS656" s="29"/>
      <c r="DT656" s="29"/>
      <c r="DU656" s="29"/>
      <c r="DV656" s="29"/>
      <c r="DW656" s="29"/>
      <c r="DX656" s="29"/>
      <c r="DY656" s="29"/>
      <c r="DZ656" s="29"/>
      <c r="EA656" s="29"/>
      <c r="EB656" s="29"/>
      <c r="EC656" s="29"/>
      <c r="ED656" s="29"/>
      <c r="EE656" s="29"/>
      <c r="EF656" s="111"/>
      <c r="EG656" s="111"/>
      <c r="EH656" s="111"/>
      <c r="EI656" s="111"/>
      <c r="EJ656" s="111"/>
      <c r="EK656" s="111"/>
      <c r="EL656" s="111"/>
      <c r="EM656" s="111"/>
      <c r="EN656" s="111"/>
      <c r="EO656" s="111"/>
      <c r="EP656" s="111"/>
      <c r="EQ656" s="111"/>
      <c r="ER656" s="111"/>
      <c r="ES656" s="111"/>
    </row>
    <row r="657" spans="44:149">
      <c r="AR657" s="29"/>
      <c r="AS657" s="29"/>
      <c r="AT657" s="29"/>
      <c r="AU657" s="29"/>
      <c r="AV657" s="29"/>
      <c r="AW657" s="29"/>
      <c r="AX657" s="29"/>
      <c r="AY657" s="29"/>
      <c r="AZ657" s="29"/>
      <c r="BA657" s="29"/>
      <c r="BB657" s="29"/>
      <c r="BC657" s="29"/>
      <c r="BD657" s="29"/>
      <c r="BE657" s="29"/>
      <c r="BF657" s="111"/>
      <c r="BG657" s="111"/>
      <c r="BH657" s="111"/>
      <c r="BI657" s="111"/>
      <c r="BJ657" s="111"/>
      <c r="BK657" s="111"/>
      <c r="BL657" s="111"/>
      <c r="BM657" s="111"/>
      <c r="BN657" s="111"/>
      <c r="BO657" s="111"/>
      <c r="BP657" s="111"/>
      <c r="BQ657" s="111"/>
      <c r="BR657" s="111"/>
      <c r="BS657" s="111"/>
      <c r="DR657" s="29"/>
      <c r="DS657" s="29"/>
      <c r="DT657" s="29"/>
      <c r="DU657" s="29"/>
      <c r="DV657" s="29"/>
      <c r="DW657" s="29"/>
      <c r="DX657" s="29"/>
      <c r="DY657" s="29"/>
      <c r="DZ657" s="29"/>
      <c r="EA657" s="29"/>
      <c r="EB657" s="29"/>
      <c r="EC657" s="29"/>
      <c r="ED657" s="29"/>
      <c r="EE657" s="29"/>
      <c r="EF657" s="111"/>
      <c r="EG657" s="111"/>
      <c r="EH657" s="111"/>
      <c r="EI657" s="111"/>
      <c r="EJ657" s="111"/>
      <c r="EK657" s="111"/>
      <c r="EL657" s="111"/>
      <c r="EM657" s="111"/>
      <c r="EN657" s="111"/>
      <c r="EO657" s="111"/>
      <c r="EP657" s="111"/>
      <c r="EQ657" s="111"/>
      <c r="ER657" s="111"/>
      <c r="ES657" s="111"/>
    </row>
    <row r="658" spans="44:149">
      <c r="AR658" s="29"/>
      <c r="AS658" s="29"/>
      <c r="AT658" s="29"/>
      <c r="AU658" s="29"/>
      <c r="AV658" s="29"/>
      <c r="AW658" s="29"/>
      <c r="AX658" s="29"/>
      <c r="AY658" s="29"/>
      <c r="AZ658" s="29"/>
      <c r="BA658" s="29"/>
      <c r="BB658" s="29"/>
      <c r="BC658" s="29"/>
      <c r="BD658" s="29"/>
      <c r="BE658" s="29"/>
      <c r="BF658" s="111"/>
      <c r="BG658" s="111"/>
      <c r="BH658" s="111"/>
      <c r="BI658" s="111"/>
      <c r="BJ658" s="111"/>
      <c r="BK658" s="111"/>
      <c r="BL658" s="111"/>
      <c r="BM658" s="111"/>
      <c r="BN658" s="111"/>
      <c r="BO658" s="111"/>
      <c r="BP658" s="111"/>
      <c r="BQ658" s="111"/>
      <c r="BR658" s="111"/>
      <c r="BS658" s="111"/>
      <c r="DR658" s="29"/>
      <c r="DS658" s="29"/>
      <c r="DT658" s="29"/>
      <c r="DU658" s="29"/>
      <c r="DV658" s="29"/>
      <c r="DW658" s="29"/>
      <c r="DX658" s="29"/>
      <c r="DY658" s="29"/>
      <c r="DZ658" s="29"/>
      <c r="EA658" s="29"/>
      <c r="EB658" s="29"/>
      <c r="EC658" s="29"/>
      <c r="ED658" s="29"/>
      <c r="EE658" s="29"/>
      <c r="EF658" s="111"/>
      <c r="EG658" s="111"/>
      <c r="EH658" s="111"/>
      <c r="EI658" s="111"/>
      <c r="EJ658" s="111"/>
      <c r="EK658" s="111"/>
      <c r="EL658" s="111"/>
      <c r="EM658" s="111"/>
      <c r="EN658" s="111"/>
      <c r="EO658" s="111"/>
      <c r="EP658" s="111"/>
      <c r="EQ658" s="111"/>
      <c r="ER658" s="111"/>
      <c r="ES658" s="111"/>
    </row>
    <row r="659" spans="44:149">
      <c r="AR659" s="29"/>
      <c r="AS659" s="29"/>
      <c r="AT659" s="29"/>
      <c r="AU659" s="29"/>
      <c r="AV659" s="29"/>
      <c r="AW659" s="29"/>
      <c r="AX659" s="29"/>
      <c r="AY659" s="29"/>
      <c r="AZ659" s="29"/>
      <c r="BA659" s="29"/>
      <c r="BB659" s="29"/>
      <c r="BC659" s="29"/>
      <c r="BD659" s="29"/>
      <c r="BE659" s="29"/>
      <c r="BF659" s="111"/>
      <c r="BG659" s="111"/>
      <c r="BH659" s="111"/>
      <c r="BI659" s="111"/>
      <c r="BJ659" s="111"/>
      <c r="BK659" s="111"/>
      <c r="BL659" s="111"/>
      <c r="BM659" s="111"/>
      <c r="BN659" s="111"/>
      <c r="BO659" s="111"/>
      <c r="BP659" s="111"/>
      <c r="BQ659" s="111"/>
      <c r="BR659" s="111"/>
      <c r="BS659" s="111"/>
      <c r="DR659" s="29"/>
      <c r="DS659" s="29"/>
      <c r="DT659" s="29"/>
      <c r="DU659" s="29"/>
      <c r="DV659" s="29"/>
      <c r="DW659" s="29"/>
      <c r="DX659" s="29"/>
      <c r="DY659" s="29"/>
      <c r="DZ659" s="29"/>
      <c r="EA659" s="29"/>
      <c r="EB659" s="29"/>
      <c r="EC659" s="29"/>
      <c r="ED659" s="29"/>
      <c r="EE659" s="29"/>
      <c r="EF659" s="111"/>
      <c r="EG659" s="111"/>
      <c r="EH659" s="111"/>
      <c r="EI659" s="111"/>
      <c r="EJ659" s="111"/>
      <c r="EK659" s="111"/>
      <c r="EL659" s="111"/>
      <c r="EM659" s="111"/>
      <c r="EN659" s="111"/>
      <c r="EO659" s="111"/>
      <c r="EP659" s="111"/>
      <c r="EQ659" s="111"/>
      <c r="ER659" s="111"/>
      <c r="ES659" s="111"/>
    </row>
    <row r="660" spans="44:149">
      <c r="AR660" s="29"/>
      <c r="AS660" s="29"/>
      <c r="AT660" s="29"/>
      <c r="AU660" s="29"/>
      <c r="AV660" s="29"/>
      <c r="AW660" s="29"/>
      <c r="AX660" s="29"/>
      <c r="AY660" s="29"/>
      <c r="AZ660" s="29"/>
      <c r="BA660" s="29"/>
      <c r="BB660" s="29"/>
      <c r="BC660" s="29"/>
      <c r="BD660" s="29"/>
      <c r="BE660" s="29"/>
      <c r="BF660" s="111"/>
      <c r="BG660" s="111"/>
      <c r="BH660" s="111"/>
      <c r="BI660" s="111"/>
      <c r="BJ660" s="111"/>
      <c r="BK660" s="111"/>
      <c r="BL660" s="111"/>
      <c r="BM660" s="111"/>
      <c r="BN660" s="111"/>
      <c r="BO660" s="111"/>
      <c r="BP660" s="111"/>
      <c r="BQ660" s="111"/>
      <c r="BR660" s="111"/>
      <c r="BS660" s="111"/>
      <c r="DR660" s="29"/>
      <c r="DS660" s="29"/>
      <c r="DT660" s="29"/>
      <c r="DU660" s="29"/>
      <c r="DV660" s="29"/>
      <c r="DW660" s="29"/>
      <c r="DX660" s="29"/>
      <c r="DY660" s="29"/>
      <c r="DZ660" s="29"/>
      <c r="EA660" s="29"/>
      <c r="EB660" s="29"/>
      <c r="EC660" s="29"/>
      <c r="ED660" s="29"/>
      <c r="EE660" s="29"/>
      <c r="EF660" s="111"/>
      <c r="EG660" s="111"/>
      <c r="EH660" s="111"/>
      <c r="EI660" s="111"/>
      <c r="EJ660" s="111"/>
      <c r="EK660" s="111"/>
      <c r="EL660" s="111"/>
      <c r="EM660" s="111"/>
      <c r="EN660" s="111"/>
      <c r="EO660" s="111"/>
      <c r="EP660" s="111"/>
      <c r="EQ660" s="111"/>
      <c r="ER660" s="111"/>
      <c r="ES660" s="111"/>
    </row>
    <row r="661" spans="44:149">
      <c r="AR661" s="29"/>
      <c r="AS661" s="29"/>
      <c r="AT661" s="29"/>
      <c r="AU661" s="29"/>
      <c r="AV661" s="29"/>
      <c r="AW661" s="29"/>
      <c r="AX661" s="29"/>
      <c r="AY661" s="29"/>
      <c r="AZ661" s="29"/>
      <c r="BA661" s="29"/>
      <c r="BB661" s="29"/>
      <c r="BC661" s="29"/>
      <c r="BD661" s="29"/>
      <c r="BE661" s="29"/>
      <c r="BF661" s="111"/>
      <c r="BG661" s="111"/>
      <c r="BH661" s="111"/>
      <c r="BI661" s="111"/>
      <c r="BJ661" s="111"/>
      <c r="BK661" s="111"/>
      <c r="BL661" s="111"/>
      <c r="BM661" s="111"/>
      <c r="BN661" s="111"/>
      <c r="BO661" s="111"/>
      <c r="BP661" s="111"/>
      <c r="BQ661" s="111"/>
      <c r="BR661" s="111"/>
      <c r="BS661" s="111"/>
      <c r="DR661" s="29"/>
      <c r="DS661" s="29"/>
      <c r="DT661" s="29"/>
      <c r="DU661" s="29"/>
      <c r="DV661" s="29"/>
      <c r="DW661" s="29"/>
      <c r="DX661" s="29"/>
      <c r="DY661" s="29"/>
      <c r="DZ661" s="29"/>
      <c r="EA661" s="29"/>
      <c r="EB661" s="29"/>
      <c r="EC661" s="29"/>
      <c r="ED661" s="29"/>
      <c r="EE661" s="29"/>
      <c r="EF661" s="111"/>
      <c r="EG661" s="111"/>
      <c r="EH661" s="111"/>
      <c r="EI661" s="111"/>
      <c r="EJ661" s="111"/>
      <c r="EK661" s="111"/>
      <c r="EL661" s="111"/>
      <c r="EM661" s="111"/>
      <c r="EN661" s="111"/>
      <c r="EO661" s="111"/>
      <c r="EP661" s="111"/>
      <c r="EQ661" s="111"/>
      <c r="ER661" s="111"/>
      <c r="ES661" s="111"/>
    </row>
    <row r="662" spans="44:149">
      <c r="AR662" s="29"/>
      <c r="AS662" s="29"/>
      <c r="AT662" s="29"/>
      <c r="AU662" s="29"/>
      <c r="AV662" s="29"/>
      <c r="AW662" s="29"/>
      <c r="AX662" s="29"/>
      <c r="AY662" s="29"/>
      <c r="AZ662" s="29"/>
      <c r="BA662" s="29"/>
      <c r="BB662" s="29"/>
      <c r="BC662" s="29"/>
      <c r="BD662" s="29"/>
      <c r="BE662" s="29"/>
      <c r="BF662" s="111"/>
      <c r="BG662" s="111"/>
      <c r="BH662" s="111"/>
      <c r="BI662" s="111"/>
      <c r="BJ662" s="111"/>
      <c r="BK662" s="111"/>
      <c r="BL662" s="111"/>
      <c r="BM662" s="111"/>
      <c r="BN662" s="111"/>
      <c r="BO662" s="111"/>
      <c r="BP662" s="111"/>
      <c r="BQ662" s="111"/>
      <c r="BR662" s="111"/>
      <c r="BS662" s="111"/>
      <c r="DR662" s="29"/>
      <c r="DS662" s="29"/>
      <c r="DT662" s="29"/>
      <c r="DU662" s="29"/>
      <c r="DV662" s="29"/>
      <c r="DW662" s="29"/>
      <c r="DX662" s="29"/>
      <c r="DY662" s="29"/>
      <c r="DZ662" s="29"/>
      <c r="EA662" s="29"/>
      <c r="EB662" s="29"/>
      <c r="EC662" s="29"/>
      <c r="ED662" s="29"/>
      <c r="EE662" s="29"/>
      <c r="EF662" s="111"/>
      <c r="EG662" s="111"/>
      <c r="EH662" s="111"/>
      <c r="EI662" s="111"/>
      <c r="EJ662" s="111"/>
      <c r="EK662" s="111"/>
      <c r="EL662" s="111"/>
      <c r="EM662" s="111"/>
      <c r="EN662" s="111"/>
      <c r="EO662" s="111"/>
      <c r="EP662" s="111"/>
      <c r="EQ662" s="111"/>
      <c r="ER662" s="111"/>
      <c r="ES662" s="111"/>
    </row>
    <row r="663" spans="44:149">
      <c r="AR663" s="29"/>
      <c r="AS663" s="29"/>
      <c r="AT663" s="29"/>
      <c r="AU663" s="29"/>
      <c r="AV663" s="29"/>
      <c r="AW663" s="29"/>
      <c r="AX663" s="29"/>
      <c r="AY663" s="29"/>
      <c r="AZ663" s="29"/>
      <c r="BA663" s="29"/>
      <c r="BB663" s="29"/>
      <c r="BC663" s="29"/>
      <c r="BD663" s="29"/>
      <c r="BE663" s="29"/>
      <c r="BF663" s="111"/>
      <c r="BG663" s="111"/>
      <c r="BH663" s="111"/>
      <c r="BI663" s="111"/>
      <c r="BJ663" s="111"/>
      <c r="BK663" s="111"/>
      <c r="BL663" s="111"/>
      <c r="BM663" s="111"/>
      <c r="BN663" s="111"/>
      <c r="BO663" s="111"/>
      <c r="BP663" s="111"/>
      <c r="BQ663" s="111"/>
      <c r="BR663" s="111"/>
      <c r="BS663" s="111"/>
      <c r="DR663" s="29"/>
      <c r="DS663" s="29"/>
      <c r="DT663" s="29"/>
      <c r="DU663" s="29"/>
      <c r="DV663" s="29"/>
      <c r="DW663" s="29"/>
      <c r="DX663" s="29"/>
      <c r="DY663" s="29"/>
      <c r="DZ663" s="29"/>
      <c r="EA663" s="29"/>
      <c r="EB663" s="29"/>
      <c r="EC663" s="29"/>
      <c r="ED663" s="29"/>
      <c r="EE663" s="29"/>
      <c r="EF663" s="111"/>
      <c r="EG663" s="111"/>
      <c r="EH663" s="111"/>
      <c r="EI663" s="111"/>
      <c r="EJ663" s="111"/>
      <c r="EK663" s="111"/>
      <c r="EL663" s="111"/>
      <c r="EM663" s="111"/>
      <c r="EN663" s="111"/>
      <c r="EO663" s="111"/>
      <c r="EP663" s="111"/>
      <c r="EQ663" s="111"/>
      <c r="ER663" s="111"/>
      <c r="ES663" s="111"/>
    </row>
    <row r="664" spans="44:149">
      <c r="AR664" s="29"/>
      <c r="AS664" s="29"/>
      <c r="AT664" s="29"/>
      <c r="AU664" s="29"/>
      <c r="AV664" s="29"/>
      <c r="AW664" s="29"/>
      <c r="AX664" s="29"/>
      <c r="AY664" s="29"/>
      <c r="AZ664" s="29"/>
      <c r="BA664" s="29"/>
      <c r="BB664" s="29"/>
      <c r="BC664" s="29"/>
      <c r="BD664" s="29"/>
      <c r="BE664" s="29"/>
      <c r="BF664" s="111"/>
      <c r="BG664" s="111"/>
      <c r="BH664" s="111"/>
      <c r="BI664" s="111"/>
      <c r="BJ664" s="111"/>
      <c r="BK664" s="111"/>
      <c r="BL664" s="111"/>
      <c r="BM664" s="111"/>
      <c r="BN664" s="111"/>
      <c r="BO664" s="111"/>
      <c r="BP664" s="111"/>
      <c r="BQ664" s="111"/>
      <c r="BR664" s="111"/>
      <c r="BS664" s="111"/>
      <c r="DR664" s="29"/>
      <c r="DS664" s="29"/>
      <c r="DT664" s="29"/>
      <c r="DU664" s="29"/>
      <c r="DV664" s="29"/>
      <c r="DW664" s="29"/>
      <c r="DX664" s="29"/>
      <c r="DY664" s="29"/>
      <c r="DZ664" s="29"/>
      <c r="EA664" s="29"/>
      <c r="EB664" s="29"/>
      <c r="EC664" s="29"/>
      <c r="ED664" s="29"/>
      <c r="EE664" s="29"/>
      <c r="EF664" s="111"/>
      <c r="EG664" s="111"/>
      <c r="EH664" s="111"/>
      <c r="EI664" s="111"/>
      <c r="EJ664" s="111"/>
      <c r="EK664" s="111"/>
      <c r="EL664" s="111"/>
      <c r="EM664" s="111"/>
      <c r="EN664" s="111"/>
      <c r="EO664" s="111"/>
      <c r="EP664" s="111"/>
      <c r="EQ664" s="111"/>
      <c r="ER664" s="111"/>
      <c r="ES664" s="111"/>
    </row>
    <row r="665" spans="44:149">
      <c r="AR665" s="29"/>
      <c r="AS665" s="29"/>
      <c r="AT665" s="29"/>
      <c r="AU665" s="29"/>
      <c r="AV665" s="29"/>
      <c r="AW665" s="29"/>
      <c r="AX665" s="29"/>
      <c r="AY665" s="29"/>
      <c r="AZ665" s="29"/>
      <c r="BA665" s="29"/>
      <c r="BB665" s="29"/>
      <c r="BC665" s="29"/>
      <c r="BD665" s="29"/>
      <c r="BE665" s="29"/>
      <c r="BF665" s="111"/>
      <c r="BG665" s="111"/>
      <c r="BH665" s="111"/>
      <c r="BI665" s="111"/>
      <c r="BJ665" s="111"/>
      <c r="BK665" s="111"/>
      <c r="BL665" s="111"/>
      <c r="BM665" s="111"/>
      <c r="BN665" s="111"/>
      <c r="BO665" s="111"/>
      <c r="BP665" s="111"/>
      <c r="BQ665" s="111"/>
      <c r="BR665" s="111"/>
      <c r="BS665" s="111"/>
      <c r="DR665" s="29"/>
      <c r="DS665" s="29"/>
      <c r="DT665" s="29"/>
      <c r="DU665" s="29"/>
      <c r="DV665" s="29"/>
      <c r="DW665" s="29"/>
      <c r="DX665" s="29"/>
      <c r="DY665" s="29"/>
      <c r="DZ665" s="29"/>
      <c r="EA665" s="29"/>
      <c r="EB665" s="29"/>
      <c r="EC665" s="29"/>
      <c r="ED665" s="29"/>
      <c r="EE665" s="29"/>
      <c r="EF665" s="111"/>
      <c r="EG665" s="111"/>
      <c r="EH665" s="111"/>
      <c r="EI665" s="111"/>
      <c r="EJ665" s="111"/>
      <c r="EK665" s="111"/>
      <c r="EL665" s="111"/>
      <c r="EM665" s="111"/>
      <c r="EN665" s="111"/>
      <c r="EO665" s="111"/>
      <c r="EP665" s="111"/>
      <c r="EQ665" s="111"/>
      <c r="ER665" s="111"/>
      <c r="ES665" s="111"/>
    </row>
    <row r="666" spans="44:149">
      <c r="AR666" s="29"/>
      <c r="AS666" s="29"/>
      <c r="AT666" s="29"/>
      <c r="AU666" s="29"/>
      <c r="AV666" s="29"/>
      <c r="AW666" s="29"/>
      <c r="AX666" s="29"/>
      <c r="AY666" s="29"/>
      <c r="AZ666" s="29"/>
      <c r="BA666" s="29"/>
      <c r="BB666" s="29"/>
      <c r="BC666" s="29"/>
      <c r="BD666" s="29"/>
      <c r="BE666" s="29"/>
      <c r="BF666" s="111"/>
      <c r="BG666" s="111"/>
      <c r="BH666" s="111"/>
      <c r="BI666" s="111"/>
      <c r="BJ666" s="111"/>
      <c r="BK666" s="111"/>
      <c r="BL666" s="111"/>
      <c r="BM666" s="111"/>
      <c r="BN666" s="111"/>
      <c r="BO666" s="111"/>
      <c r="BP666" s="111"/>
      <c r="BQ666" s="111"/>
      <c r="BR666" s="111"/>
      <c r="BS666" s="111"/>
      <c r="DR666" s="29"/>
      <c r="DS666" s="29"/>
      <c r="DT666" s="29"/>
      <c r="DU666" s="29"/>
      <c r="DV666" s="29"/>
      <c r="DW666" s="29"/>
      <c r="DX666" s="29"/>
      <c r="DY666" s="29"/>
      <c r="DZ666" s="29"/>
      <c r="EA666" s="29"/>
      <c r="EB666" s="29"/>
      <c r="EC666" s="29"/>
      <c r="ED666" s="29"/>
      <c r="EE666" s="29"/>
      <c r="EF666" s="111"/>
      <c r="EG666" s="111"/>
      <c r="EH666" s="111"/>
      <c r="EI666" s="111"/>
      <c r="EJ666" s="111"/>
      <c r="EK666" s="111"/>
      <c r="EL666" s="111"/>
      <c r="EM666" s="111"/>
      <c r="EN666" s="111"/>
      <c r="EO666" s="111"/>
      <c r="EP666" s="111"/>
      <c r="EQ666" s="111"/>
      <c r="ER666" s="111"/>
      <c r="ES666" s="111"/>
    </row>
    <row r="667" spans="44:149">
      <c r="AR667" s="29"/>
      <c r="AS667" s="29"/>
      <c r="AT667" s="29"/>
      <c r="AU667" s="29"/>
      <c r="AV667" s="29"/>
      <c r="AW667" s="29"/>
      <c r="AX667" s="29"/>
      <c r="AY667" s="29"/>
      <c r="AZ667" s="29"/>
      <c r="BA667" s="29"/>
      <c r="BB667" s="29"/>
      <c r="BC667" s="29"/>
      <c r="BD667" s="29"/>
      <c r="BE667" s="29"/>
      <c r="BF667" s="111"/>
      <c r="BG667" s="111"/>
      <c r="BH667" s="111"/>
      <c r="BI667" s="111"/>
      <c r="BJ667" s="111"/>
      <c r="BK667" s="111"/>
      <c r="BL667" s="111"/>
      <c r="BM667" s="111"/>
      <c r="BN667" s="111"/>
      <c r="BO667" s="111"/>
      <c r="BP667" s="111"/>
      <c r="BQ667" s="111"/>
      <c r="BR667" s="111"/>
      <c r="BS667" s="111"/>
      <c r="DR667" s="29"/>
      <c r="DS667" s="29"/>
      <c r="DT667" s="29"/>
      <c r="DU667" s="29"/>
      <c r="DV667" s="29"/>
      <c r="DW667" s="29"/>
      <c r="DX667" s="29"/>
      <c r="DY667" s="29"/>
      <c r="DZ667" s="29"/>
      <c r="EA667" s="29"/>
      <c r="EB667" s="29"/>
      <c r="EC667" s="29"/>
      <c r="ED667" s="29"/>
      <c r="EE667" s="29"/>
      <c r="EF667" s="111"/>
      <c r="EG667" s="111"/>
      <c r="EH667" s="111"/>
      <c r="EI667" s="111"/>
      <c r="EJ667" s="111"/>
      <c r="EK667" s="111"/>
      <c r="EL667" s="111"/>
      <c r="EM667" s="111"/>
      <c r="EN667" s="111"/>
      <c r="EO667" s="111"/>
      <c r="EP667" s="111"/>
      <c r="EQ667" s="111"/>
      <c r="ER667" s="111"/>
      <c r="ES667" s="111"/>
    </row>
    <row r="668" spans="44:149">
      <c r="AR668" s="29"/>
      <c r="AS668" s="29"/>
      <c r="AT668" s="29"/>
      <c r="AU668" s="29"/>
      <c r="AV668" s="29"/>
      <c r="AW668" s="29"/>
      <c r="AX668" s="29"/>
      <c r="AY668" s="29"/>
      <c r="AZ668" s="29"/>
      <c r="BA668" s="29"/>
      <c r="BB668" s="29"/>
      <c r="BC668" s="29"/>
      <c r="BD668" s="29"/>
      <c r="BE668" s="29"/>
      <c r="BF668" s="111"/>
      <c r="BG668" s="111"/>
      <c r="BH668" s="111"/>
      <c r="BI668" s="111"/>
      <c r="BJ668" s="111"/>
      <c r="BK668" s="111"/>
      <c r="BL668" s="111"/>
      <c r="BM668" s="111"/>
      <c r="BN668" s="111"/>
      <c r="BO668" s="111"/>
      <c r="BP668" s="111"/>
      <c r="BQ668" s="111"/>
      <c r="BR668" s="111"/>
      <c r="BS668" s="111"/>
      <c r="DR668" s="29"/>
      <c r="DS668" s="29"/>
      <c r="DT668" s="29"/>
      <c r="DU668" s="29"/>
      <c r="DV668" s="29"/>
      <c r="DW668" s="29"/>
      <c r="DX668" s="29"/>
      <c r="DY668" s="29"/>
      <c r="DZ668" s="29"/>
      <c r="EA668" s="29"/>
      <c r="EB668" s="29"/>
      <c r="EC668" s="29"/>
      <c r="ED668" s="29"/>
      <c r="EE668" s="29"/>
      <c r="EF668" s="111"/>
      <c r="EG668" s="111"/>
      <c r="EH668" s="111"/>
      <c r="EI668" s="111"/>
      <c r="EJ668" s="111"/>
      <c r="EK668" s="111"/>
      <c r="EL668" s="111"/>
      <c r="EM668" s="111"/>
      <c r="EN668" s="111"/>
      <c r="EO668" s="111"/>
      <c r="EP668" s="111"/>
      <c r="EQ668" s="111"/>
      <c r="ER668" s="111"/>
      <c r="ES668" s="111"/>
    </row>
    <row r="669" spans="44:149">
      <c r="AR669" s="29"/>
      <c r="AS669" s="29"/>
      <c r="AT669" s="29"/>
      <c r="AU669" s="29"/>
      <c r="AV669" s="29"/>
      <c r="AW669" s="29"/>
      <c r="AX669" s="29"/>
      <c r="AY669" s="29"/>
      <c r="AZ669" s="29"/>
      <c r="BA669" s="29"/>
      <c r="BB669" s="29"/>
      <c r="BC669" s="29"/>
      <c r="BD669" s="29"/>
      <c r="BE669" s="29"/>
      <c r="BF669" s="111"/>
      <c r="BG669" s="111"/>
      <c r="BH669" s="111"/>
      <c r="BI669" s="111"/>
      <c r="BJ669" s="111"/>
      <c r="BK669" s="111"/>
      <c r="BL669" s="111"/>
      <c r="BM669" s="111"/>
      <c r="BN669" s="111"/>
      <c r="BO669" s="111"/>
      <c r="BP669" s="111"/>
      <c r="BQ669" s="111"/>
      <c r="BR669" s="111"/>
      <c r="BS669" s="111"/>
      <c r="DR669" s="29"/>
      <c r="DS669" s="29"/>
      <c r="DT669" s="29"/>
      <c r="DU669" s="29"/>
      <c r="DV669" s="29"/>
      <c r="DW669" s="29"/>
      <c r="DX669" s="29"/>
      <c r="DY669" s="29"/>
      <c r="DZ669" s="29"/>
      <c r="EA669" s="29"/>
      <c r="EB669" s="29"/>
      <c r="EC669" s="29"/>
      <c r="ED669" s="29"/>
      <c r="EE669" s="29"/>
      <c r="EF669" s="111"/>
      <c r="EG669" s="111"/>
      <c r="EH669" s="111"/>
      <c r="EI669" s="111"/>
      <c r="EJ669" s="111"/>
      <c r="EK669" s="111"/>
      <c r="EL669" s="111"/>
      <c r="EM669" s="111"/>
      <c r="EN669" s="111"/>
      <c r="EO669" s="111"/>
      <c r="EP669" s="111"/>
      <c r="EQ669" s="111"/>
      <c r="ER669" s="111"/>
      <c r="ES669" s="111"/>
    </row>
    <row r="670" spans="44:149">
      <c r="AR670" s="29"/>
      <c r="AS670" s="29"/>
      <c r="AT670" s="29"/>
      <c r="AU670" s="29"/>
      <c r="AV670" s="29"/>
      <c r="AW670" s="29"/>
      <c r="AX670" s="29"/>
      <c r="AY670" s="29"/>
      <c r="AZ670" s="29"/>
      <c r="BA670" s="29"/>
      <c r="BB670" s="29"/>
      <c r="BC670" s="29"/>
      <c r="BD670" s="29"/>
      <c r="BE670" s="29"/>
      <c r="BF670" s="111"/>
      <c r="BG670" s="111"/>
      <c r="BH670" s="111"/>
      <c r="BI670" s="111"/>
      <c r="BJ670" s="111"/>
      <c r="BK670" s="111"/>
      <c r="BL670" s="111"/>
      <c r="BM670" s="111"/>
      <c r="BN670" s="111"/>
      <c r="BO670" s="111"/>
      <c r="BP670" s="111"/>
      <c r="BQ670" s="111"/>
      <c r="BR670" s="111"/>
      <c r="BS670" s="111"/>
      <c r="DR670" s="29"/>
      <c r="DS670" s="29"/>
      <c r="DT670" s="29"/>
      <c r="DU670" s="29"/>
      <c r="DV670" s="29"/>
      <c r="DW670" s="29"/>
      <c r="DX670" s="29"/>
      <c r="DY670" s="29"/>
      <c r="DZ670" s="29"/>
      <c r="EA670" s="29"/>
      <c r="EB670" s="29"/>
      <c r="EC670" s="29"/>
      <c r="ED670" s="29"/>
      <c r="EE670" s="29"/>
      <c r="EF670" s="111"/>
      <c r="EG670" s="111"/>
      <c r="EH670" s="111"/>
      <c r="EI670" s="111"/>
      <c r="EJ670" s="111"/>
      <c r="EK670" s="111"/>
      <c r="EL670" s="111"/>
      <c r="EM670" s="111"/>
      <c r="EN670" s="111"/>
      <c r="EO670" s="111"/>
      <c r="EP670" s="111"/>
      <c r="EQ670" s="111"/>
      <c r="ER670" s="111"/>
      <c r="ES670" s="111"/>
    </row>
    <row r="671" spans="44:149">
      <c r="AR671" s="29"/>
      <c r="AS671" s="29"/>
      <c r="AT671" s="29"/>
      <c r="AU671" s="29"/>
      <c r="AV671" s="29"/>
      <c r="AW671" s="29"/>
      <c r="AX671" s="29"/>
      <c r="AY671" s="29"/>
      <c r="AZ671" s="29"/>
      <c r="BA671" s="29"/>
      <c r="BB671" s="29"/>
      <c r="BC671" s="29"/>
      <c r="BD671" s="29"/>
      <c r="BE671" s="29"/>
      <c r="BF671" s="111"/>
      <c r="BG671" s="111"/>
      <c r="BH671" s="111"/>
      <c r="BI671" s="111"/>
      <c r="BJ671" s="111"/>
      <c r="BK671" s="111"/>
      <c r="BL671" s="111"/>
      <c r="BM671" s="111"/>
      <c r="BN671" s="111"/>
      <c r="BO671" s="111"/>
      <c r="BP671" s="111"/>
      <c r="BQ671" s="111"/>
      <c r="BR671" s="111"/>
      <c r="BS671" s="111"/>
      <c r="DR671" s="29"/>
      <c r="DS671" s="29"/>
      <c r="DT671" s="29"/>
      <c r="DU671" s="29"/>
      <c r="DV671" s="29"/>
      <c r="DW671" s="29"/>
      <c r="DX671" s="29"/>
      <c r="DY671" s="29"/>
      <c r="DZ671" s="29"/>
      <c r="EA671" s="29"/>
      <c r="EB671" s="29"/>
      <c r="EC671" s="29"/>
      <c r="ED671" s="29"/>
      <c r="EE671" s="29"/>
      <c r="EF671" s="111"/>
      <c r="EG671" s="111"/>
      <c r="EH671" s="111"/>
      <c r="EI671" s="111"/>
      <c r="EJ671" s="111"/>
      <c r="EK671" s="111"/>
      <c r="EL671" s="111"/>
      <c r="EM671" s="111"/>
      <c r="EN671" s="111"/>
      <c r="EO671" s="111"/>
      <c r="EP671" s="111"/>
      <c r="EQ671" s="111"/>
      <c r="ER671" s="111"/>
      <c r="ES671" s="111"/>
    </row>
    <row r="672" spans="44:149">
      <c r="AR672" s="29"/>
      <c r="AS672" s="29"/>
      <c r="AT672" s="29"/>
      <c r="AU672" s="29"/>
      <c r="AV672" s="29"/>
      <c r="AW672" s="29"/>
      <c r="AX672" s="29"/>
      <c r="AY672" s="29"/>
      <c r="AZ672" s="29"/>
      <c r="BA672" s="29"/>
      <c r="BB672" s="29"/>
      <c r="BC672" s="29"/>
      <c r="BD672" s="29"/>
      <c r="BE672" s="29"/>
      <c r="BF672" s="111"/>
      <c r="BG672" s="111"/>
      <c r="BH672" s="111"/>
      <c r="BI672" s="111"/>
      <c r="BJ672" s="111"/>
      <c r="BK672" s="111"/>
      <c r="BL672" s="111"/>
      <c r="BM672" s="111"/>
      <c r="BN672" s="111"/>
      <c r="BO672" s="111"/>
      <c r="BP672" s="111"/>
      <c r="BQ672" s="111"/>
      <c r="BR672" s="111"/>
      <c r="BS672" s="111"/>
      <c r="DR672" s="29"/>
      <c r="DS672" s="29"/>
      <c r="DT672" s="29"/>
      <c r="DU672" s="29"/>
      <c r="DV672" s="29"/>
      <c r="DW672" s="29"/>
      <c r="DX672" s="29"/>
      <c r="DY672" s="29"/>
      <c r="DZ672" s="29"/>
      <c r="EA672" s="29"/>
      <c r="EB672" s="29"/>
      <c r="EC672" s="29"/>
      <c r="ED672" s="29"/>
      <c r="EE672" s="29"/>
      <c r="EF672" s="111"/>
      <c r="EG672" s="111"/>
      <c r="EH672" s="111"/>
      <c r="EI672" s="111"/>
      <c r="EJ672" s="111"/>
      <c r="EK672" s="111"/>
      <c r="EL672" s="111"/>
      <c r="EM672" s="111"/>
      <c r="EN672" s="111"/>
      <c r="EO672" s="111"/>
      <c r="EP672" s="111"/>
      <c r="EQ672" s="111"/>
      <c r="ER672" s="111"/>
      <c r="ES672" s="111"/>
    </row>
    <row r="673" spans="44:149">
      <c r="AR673" s="29"/>
      <c r="AS673" s="29"/>
      <c r="AT673" s="29"/>
      <c r="AU673" s="29"/>
      <c r="AV673" s="29"/>
      <c r="AW673" s="29"/>
      <c r="AX673" s="29"/>
      <c r="AY673" s="29"/>
      <c r="AZ673" s="29"/>
      <c r="BA673" s="29"/>
      <c r="BB673" s="29"/>
      <c r="BC673" s="29"/>
      <c r="BD673" s="29"/>
      <c r="BE673" s="29"/>
      <c r="BF673" s="111"/>
      <c r="BG673" s="111"/>
      <c r="BH673" s="111"/>
      <c r="BI673" s="111"/>
      <c r="BJ673" s="111"/>
      <c r="BK673" s="111"/>
      <c r="BL673" s="111"/>
      <c r="BM673" s="111"/>
      <c r="BN673" s="111"/>
      <c r="BO673" s="111"/>
      <c r="BP673" s="111"/>
      <c r="BQ673" s="111"/>
      <c r="BR673" s="111"/>
      <c r="BS673" s="111"/>
      <c r="DR673" s="29"/>
      <c r="DS673" s="29"/>
      <c r="DT673" s="29"/>
      <c r="DU673" s="29"/>
      <c r="DV673" s="29"/>
      <c r="DW673" s="29"/>
      <c r="DX673" s="29"/>
      <c r="DY673" s="29"/>
      <c r="DZ673" s="29"/>
      <c r="EA673" s="29"/>
      <c r="EB673" s="29"/>
      <c r="EC673" s="29"/>
      <c r="ED673" s="29"/>
      <c r="EE673" s="29"/>
      <c r="EF673" s="111"/>
      <c r="EG673" s="111"/>
      <c r="EH673" s="111"/>
      <c r="EI673" s="111"/>
      <c r="EJ673" s="111"/>
      <c r="EK673" s="111"/>
      <c r="EL673" s="111"/>
      <c r="EM673" s="111"/>
      <c r="EN673" s="111"/>
      <c r="EO673" s="111"/>
      <c r="EP673" s="111"/>
      <c r="EQ673" s="111"/>
      <c r="ER673" s="111"/>
      <c r="ES673" s="111"/>
    </row>
    <row r="674" spans="44:149">
      <c r="AR674" s="29"/>
      <c r="AS674" s="29"/>
      <c r="AT674" s="29"/>
      <c r="AU674" s="29"/>
      <c r="AV674" s="29"/>
      <c r="AW674" s="29"/>
      <c r="AX674" s="29"/>
      <c r="AY674" s="29"/>
      <c r="AZ674" s="29"/>
      <c r="BA674" s="29"/>
      <c r="BB674" s="29"/>
      <c r="BC674" s="29"/>
      <c r="BD674" s="29"/>
      <c r="BE674" s="29"/>
      <c r="BF674" s="111"/>
      <c r="BG674" s="111"/>
      <c r="BH674" s="111"/>
      <c r="BI674" s="111"/>
      <c r="BJ674" s="111"/>
      <c r="BK674" s="111"/>
      <c r="BL674" s="111"/>
      <c r="BM674" s="111"/>
      <c r="BN674" s="111"/>
      <c r="BO674" s="111"/>
      <c r="BP674" s="111"/>
      <c r="BQ674" s="111"/>
      <c r="BR674" s="111"/>
      <c r="BS674" s="111"/>
      <c r="DR674" s="29"/>
      <c r="DS674" s="29"/>
      <c r="DT674" s="29"/>
      <c r="DU674" s="29"/>
      <c r="DV674" s="29"/>
      <c r="DW674" s="29"/>
      <c r="DX674" s="29"/>
      <c r="DY674" s="29"/>
      <c r="DZ674" s="29"/>
      <c r="EA674" s="29"/>
      <c r="EB674" s="29"/>
      <c r="EC674" s="29"/>
      <c r="ED674" s="29"/>
      <c r="EE674" s="29"/>
      <c r="EF674" s="111"/>
      <c r="EG674" s="111"/>
      <c r="EH674" s="111"/>
      <c r="EI674" s="111"/>
      <c r="EJ674" s="111"/>
      <c r="EK674" s="111"/>
      <c r="EL674" s="111"/>
      <c r="EM674" s="111"/>
      <c r="EN674" s="111"/>
      <c r="EO674" s="111"/>
      <c r="EP674" s="111"/>
      <c r="EQ674" s="111"/>
      <c r="ER674" s="111"/>
      <c r="ES674" s="111"/>
    </row>
    <row r="675" spans="44:149">
      <c r="AR675" s="29"/>
      <c r="AS675" s="29"/>
      <c r="AT675" s="29"/>
      <c r="AU675" s="29"/>
      <c r="AV675" s="29"/>
      <c r="AW675" s="29"/>
      <c r="AX675" s="29"/>
      <c r="AY675" s="29"/>
      <c r="AZ675" s="29"/>
      <c r="BA675" s="29"/>
      <c r="BB675" s="29"/>
      <c r="BC675" s="29"/>
      <c r="BD675" s="29"/>
      <c r="BE675" s="29"/>
      <c r="BF675" s="111"/>
      <c r="BG675" s="111"/>
      <c r="BH675" s="111"/>
      <c r="BI675" s="111"/>
      <c r="BJ675" s="111"/>
      <c r="BK675" s="111"/>
      <c r="BL675" s="111"/>
      <c r="BM675" s="111"/>
      <c r="BN675" s="111"/>
      <c r="BO675" s="111"/>
      <c r="BP675" s="111"/>
      <c r="BQ675" s="111"/>
      <c r="BR675" s="111"/>
      <c r="BS675" s="111"/>
      <c r="DR675" s="29"/>
      <c r="DS675" s="29"/>
      <c r="DT675" s="29"/>
      <c r="DU675" s="29"/>
      <c r="DV675" s="29"/>
      <c r="DW675" s="29"/>
      <c r="DX675" s="29"/>
      <c r="DY675" s="29"/>
      <c r="DZ675" s="29"/>
      <c r="EA675" s="29"/>
      <c r="EB675" s="29"/>
      <c r="EC675" s="29"/>
      <c r="ED675" s="29"/>
      <c r="EE675" s="29"/>
      <c r="EF675" s="111"/>
      <c r="EG675" s="111"/>
      <c r="EH675" s="111"/>
      <c r="EI675" s="111"/>
      <c r="EJ675" s="111"/>
      <c r="EK675" s="111"/>
      <c r="EL675" s="111"/>
      <c r="EM675" s="111"/>
      <c r="EN675" s="111"/>
      <c r="EO675" s="111"/>
      <c r="EP675" s="111"/>
      <c r="EQ675" s="111"/>
      <c r="ER675" s="111"/>
      <c r="ES675" s="111"/>
    </row>
    <row r="676" spans="44:149">
      <c r="AR676" s="29"/>
      <c r="AS676" s="29"/>
      <c r="AT676" s="29"/>
      <c r="AU676" s="29"/>
      <c r="AV676" s="29"/>
      <c r="AW676" s="29"/>
      <c r="AX676" s="29"/>
      <c r="AY676" s="29"/>
      <c r="AZ676" s="29"/>
      <c r="BA676" s="29"/>
      <c r="BB676" s="29"/>
      <c r="BC676" s="29"/>
      <c r="BD676" s="29"/>
      <c r="BE676" s="29"/>
      <c r="BF676" s="111"/>
      <c r="BG676" s="111"/>
      <c r="BH676" s="111"/>
      <c r="BI676" s="111"/>
      <c r="BJ676" s="111"/>
      <c r="BK676" s="111"/>
      <c r="BL676" s="111"/>
      <c r="BM676" s="111"/>
      <c r="BN676" s="111"/>
      <c r="BO676" s="111"/>
      <c r="BP676" s="111"/>
      <c r="BQ676" s="111"/>
      <c r="BR676" s="111"/>
      <c r="BS676" s="111"/>
      <c r="DR676" s="29"/>
      <c r="DS676" s="29"/>
      <c r="DT676" s="29"/>
      <c r="DU676" s="29"/>
      <c r="DV676" s="29"/>
      <c r="DW676" s="29"/>
      <c r="DX676" s="29"/>
      <c r="DY676" s="29"/>
      <c r="DZ676" s="29"/>
      <c r="EA676" s="29"/>
      <c r="EB676" s="29"/>
      <c r="EC676" s="29"/>
      <c r="ED676" s="29"/>
      <c r="EE676" s="29"/>
      <c r="EF676" s="111"/>
      <c r="EG676" s="111"/>
      <c r="EH676" s="111"/>
      <c r="EI676" s="111"/>
      <c r="EJ676" s="111"/>
      <c r="EK676" s="111"/>
      <c r="EL676" s="111"/>
      <c r="EM676" s="111"/>
      <c r="EN676" s="111"/>
      <c r="EO676" s="111"/>
      <c r="EP676" s="111"/>
      <c r="EQ676" s="111"/>
      <c r="ER676" s="111"/>
      <c r="ES676" s="111"/>
    </row>
    <row r="677" spans="44:149">
      <c r="AR677" s="29"/>
      <c r="AS677" s="29"/>
      <c r="AT677" s="29"/>
      <c r="AU677" s="29"/>
      <c r="AV677" s="29"/>
      <c r="AW677" s="29"/>
      <c r="AX677" s="29"/>
      <c r="AY677" s="29"/>
      <c r="AZ677" s="29"/>
      <c r="BA677" s="29"/>
      <c r="BB677" s="29"/>
      <c r="BC677" s="29"/>
      <c r="BD677" s="29"/>
      <c r="BE677" s="29"/>
      <c r="BF677" s="111"/>
      <c r="BG677" s="111"/>
      <c r="BH677" s="111"/>
      <c r="BI677" s="111"/>
      <c r="BJ677" s="111"/>
      <c r="BK677" s="111"/>
      <c r="BL677" s="111"/>
      <c r="BM677" s="111"/>
      <c r="BN677" s="111"/>
      <c r="BO677" s="111"/>
      <c r="BP677" s="111"/>
      <c r="BQ677" s="111"/>
      <c r="BR677" s="111"/>
      <c r="BS677" s="111"/>
      <c r="DR677" s="29"/>
      <c r="DS677" s="29"/>
      <c r="DT677" s="29"/>
      <c r="DU677" s="29"/>
      <c r="DV677" s="29"/>
      <c r="DW677" s="29"/>
      <c r="DX677" s="29"/>
      <c r="DY677" s="29"/>
      <c r="DZ677" s="29"/>
      <c r="EA677" s="29"/>
      <c r="EB677" s="29"/>
      <c r="EC677" s="29"/>
      <c r="ED677" s="29"/>
      <c r="EE677" s="29"/>
      <c r="EF677" s="111"/>
      <c r="EG677" s="111"/>
      <c r="EH677" s="111"/>
      <c r="EI677" s="111"/>
      <c r="EJ677" s="111"/>
      <c r="EK677" s="111"/>
      <c r="EL677" s="111"/>
      <c r="EM677" s="111"/>
      <c r="EN677" s="111"/>
      <c r="EO677" s="111"/>
      <c r="EP677" s="111"/>
      <c r="EQ677" s="111"/>
      <c r="ER677" s="111"/>
      <c r="ES677" s="111"/>
    </row>
    <row r="678" spans="44:149">
      <c r="AR678" s="29"/>
      <c r="AS678" s="29"/>
      <c r="AT678" s="29"/>
      <c r="AU678" s="29"/>
      <c r="AV678" s="29"/>
      <c r="AW678" s="29"/>
      <c r="AX678" s="29"/>
      <c r="AY678" s="29"/>
      <c r="AZ678" s="29"/>
      <c r="BA678" s="29"/>
      <c r="BB678" s="29"/>
      <c r="BC678" s="29"/>
      <c r="BD678" s="29"/>
      <c r="BE678" s="29"/>
      <c r="BF678" s="111"/>
      <c r="BG678" s="111"/>
      <c r="BH678" s="111"/>
      <c r="BI678" s="111"/>
      <c r="BJ678" s="111"/>
      <c r="BK678" s="111"/>
      <c r="BL678" s="111"/>
      <c r="BM678" s="111"/>
      <c r="BN678" s="111"/>
      <c r="BO678" s="111"/>
      <c r="BP678" s="111"/>
      <c r="BQ678" s="111"/>
      <c r="BR678" s="111"/>
      <c r="BS678" s="111"/>
      <c r="DR678" s="29"/>
      <c r="DS678" s="29"/>
      <c r="DT678" s="29"/>
      <c r="DU678" s="29"/>
      <c r="DV678" s="29"/>
      <c r="DW678" s="29"/>
      <c r="DX678" s="29"/>
      <c r="DY678" s="29"/>
      <c r="DZ678" s="29"/>
      <c r="EA678" s="29"/>
      <c r="EB678" s="29"/>
      <c r="EC678" s="29"/>
      <c r="ED678" s="29"/>
      <c r="EE678" s="29"/>
      <c r="EF678" s="111"/>
      <c r="EG678" s="111"/>
      <c r="EH678" s="111"/>
      <c r="EI678" s="111"/>
      <c r="EJ678" s="111"/>
      <c r="EK678" s="111"/>
      <c r="EL678" s="111"/>
      <c r="EM678" s="111"/>
      <c r="EN678" s="111"/>
      <c r="EO678" s="111"/>
      <c r="EP678" s="111"/>
      <c r="EQ678" s="111"/>
      <c r="ER678" s="111"/>
      <c r="ES678" s="111"/>
    </row>
    <row r="679" spans="44:149">
      <c r="AR679" s="29"/>
      <c r="AS679" s="29"/>
      <c r="AT679" s="29"/>
      <c r="AU679" s="29"/>
      <c r="AV679" s="29"/>
      <c r="AW679" s="29"/>
      <c r="AX679" s="29"/>
      <c r="AY679" s="29"/>
      <c r="AZ679" s="29"/>
      <c r="BA679" s="29"/>
      <c r="BB679" s="29"/>
      <c r="BC679" s="29"/>
      <c r="BD679" s="29"/>
      <c r="BE679" s="29"/>
      <c r="BF679" s="111"/>
      <c r="BG679" s="111"/>
      <c r="BH679" s="111"/>
      <c r="BI679" s="111"/>
      <c r="BJ679" s="111"/>
      <c r="BK679" s="111"/>
      <c r="BL679" s="111"/>
      <c r="BM679" s="111"/>
      <c r="BN679" s="111"/>
      <c r="BO679" s="111"/>
      <c r="BP679" s="111"/>
      <c r="BQ679" s="111"/>
      <c r="BR679" s="111"/>
      <c r="BS679" s="111"/>
      <c r="DR679" s="29"/>
      <c r="DS679" s="29"/>
      <c r="DT679" s="29"/>
      <c r="DU679" s="29"/>
      <c r="DV679" s="29"/>
      <c r="DW679" s="29"/>
      <c r="DX679" s="29"/>
      <c r="DY679" s="29"/>
      <c r="DZ679" s="29"/>
      <c r="EA679" s="29"/>
      <c r="EB679" s="29"/>
      <c r="EC679" s="29"/>
      <c r="ED679" s="29"/>
      <c r="EE679" s="29"/>
      <c r="EF679" s="111"/>
      <c r="EG679" s="111"/>
      <c r="EH679" s="111"/>
      <c r="EI679" s="111"/>
      <c r="EJ679" s="111"/>
      <c r="EK679" s="111"/>
      <c r="EL679" s="111"/>
      <c r="EM679" s="111"/>
      <c r="EN679" s="111"/>
      <c r="EO679" s="111"/>
      <c r="EP679" s="111"/>
      <c r="EQ679" s="111"/>
      <c r="ER679" s="111"/>
      <c r="ES679" s="111"/>
    </row>
    <row r="680" spans="44:149">
      <c r="AR680" s="29"/>
      <c r="AS680" s="29"/>
      <c r="AT680" s="29"/>
      <c r="AU680" s="29"/>
      <c r="AV680" s="29"/>
      <c r="AW680" s="29"/>
      <c r="AX680" s="29"/>
      <c r="AY680" s="29"/>
      <c r="AZ680" s="29"/>
      <c r="BA680" s="29"/>
      <c r="BB680" s="29"/>
      <c r="BC680" s="29"/>
      <c r="BD680" s="29"/>
      <c r="BE680" s="29"/>
      <c r="BF680" s="111"/>
      <c r="BG680" s="111"/>
      <c r="BH680" s="111"/>
      <c r="BI680" s="111"/>
      <c r="BJ680" s="111"/>
      <c r="BK680" s="111"/>
      <c r="BL680" s="111"/>
      <c r="BM680" s="111"/>
      <c r="BN680" s="111"/>
      <c r="BO680" s="111"/>
      <c r="BP680" s="111"/>
      <c r="BQ680" s="111"/>
      <c r="BR680" s="111"/>
      <c r="BS680" s="111"/>
      <c r="DR680" s="29"/>
      <c r="DS680" s="29"/>
      <c r="DT680" s="29"/>
      <c r="DU680" s="29"/>
      <c r="DV680" s="29"/>
      <c r="DW680" s="29"/>
      <c r="DX680" s="29"/>
      <c r="DY680" s="29"/>
      <c r="DZ680" s="29"/>
      <c r="EA680" s="29"/>
      <c r="EB680" s="29"/>
      <c r="EC680" s="29"/>
      <c r="ED680" s="29"/>
      <c r="EE680" s="29"/>
      <c r="EF680" s="111"/>
      <c r="EG680" s="111"/>
      <c r="EH680" s="111"/>
      <c r="EI680" s="111"/>
      <c r="EJ680" s="111"/>
      <c r="EK680" s="111"/>
      <c r="EL680" s="111"/>
      <c r="EM680" s="111"/>
      <c r="EN680" s="111"/>
      <c r="EO680" s="111"/>
      <c r="EP680" s="111"/>
      <c r="EQ680" s="111"/>
      <c r="ER680" s="111"/>
      <c r="ES680" s="111"/>
    </row>
    <row r="681" spans="44:149">
      <c r="AR681" s="29"/>
      <c r="AS681" s="29"/>
      <c r="AT681" s="29"/>
      <c r="AU681" s="29"/>
      <c r="AV681" s="29"/>
      <c r="AW681" s="29"/>
      <c r="AX681" s="29"/>
      <c r="AY681" s="29"/>
      <c r="AZ681" s="29"/>
      <c r="BA681" s="29"/>
      <c r="BB681" s="29"/>
      <c r="BC681" s="29"/>
      <c r="BD681" s="29"/>
      <c r="BE681" s="29"/>
      <c r="BF681" s="111"/>
      <c r="BG681" s="111"/>
      <c r="BH681" s="111"/>
      <c r="BI681" s="111"/>
      <c r="BJ681" s="111"/>
      <c r="BK681" s="111"/>
      <c r="BL681" s="111"/>
      <c r="BM681" s="111"/>
      <c r="BN681" s="111"/>
      <c r="BO681" s="111"/>
      <c r="BP681" s="111"/>
      <c r="BQ681" s="111"/>
      <c r="BR681" s="111"/>
      <c r="BS681" s="111"/>
      <c r="DR681" s="29"/>
      <c r="DS681" s="29"/>
      <c r="DT681" s="29"/>
      <c r="DU681" s="29"/>
      <c r="DV681" s="29"/>
      <c r="DW681" s="29"/>
      <c r="DX681" s="29"/>
      <c r="DY681" s="29"/>
      <c r="DZ681" s="29"/>
      <c r="EA681" s="29"/>
      <c r="EB681" s="29"/>
      <c r="EC681" s="29"/>
      <c r="ED681" s="29"/>
      <c r="EE681" s="29"/>
      <c r="EF681" s="111"/>
      <c r="EG681" s="111"/>
      <c r="EH681" s="111"/>
      <c r="EI681" s="111"/>
      <c r="EJ681" s="111"/>
      <c r="EK681" s="111"/>
      <c r="EL681" s="111"/>
      <c r="EM681" s="111"/>
      <c r="EN681" s="111"/>
      <c r="EO681" s="111"/>
      <c r="EP681" s="111"/>
      <c r="EQ681" s="111"/>
      <c r="ER681" s="111"/>
      <c r="ES681" s="111"/>
    </row>
    <row r="682" spans="44:149">
      <c r="AR682" s="29"/>
      <c r="AS682" s="29"/>
      <c r="AT682" s="29"/>
      <c r="AU682" s="29"/>
      <c r="AV682" s="29"/>
      <c r="AW682" s="29"/>
      <c r="AX682" s="29"/>
      <c r="AY682" s="29"/>
      <c r="AZ682" s="29"/>
      <c r="BA682" s="29"/>
      <c r="BB682" s="29"/>
      <c r="BC682" s="29"/>
      <c r="BD682" s="29"/>
      <c r="BE682" s="29"/>
      <c r="BF682" s="111"/>
      <c r="BG682" s="111"/>
      <c r="BH682" s="111"/>
      <c r="BI682" s="111"/>
      <c r="BJ682" s="111"/>
      <c r="BK682" s="111"/>
      <c r="BL682" s="111"/>
      <c r="BM682" s="111"/>
      <c r="BN682" s="111"/>
      <c r="BO682" s="111"/>
      <c r="BP682" s="111"/>
      <c r="BQ682" s="111"/>
      <c r="BR682" s="111"/>
      <c r="BS682" s="111"/>
      <c r="DR682" s="29"/>
      <c r="DS682" s="29"/>
      <c r="DT682" s="29"/>
      <c r="DU682" s="29"/>
      <c r="DV682" s="29"/>
      <c r="DW682" s="29"/>
      <c r="DX682" s="29"/>
      <c r="DY682" s="29"/>
      <c r="DZ682" s="29"/>
      <c r="EA682" s="29"/>
      <c r="EB682" s="29"/>
      <c r="EC682" s="29"/>
      <c r="ED682" s="29"/>
      <c r="EE682" s="29"/>
      <c r="EF682" s="111"/>
      <c r="EG682" s="111"/>
      <c r="EH682" s="111"/>
      <c r="EI682" s="111"/>
      <c r="EJ682" s="111"/>
      <c r="EK682" s="111"/>
      <c r="EL682" s="111"/>
      <c r="EM682" s="111"/>
      <c r="EN682" s="111"/>
      <c r="EO682" s="111"/>
      <c r="EP682" s="111"/>
      <c r="EQ682" s="111"/>
      <c r="ER682" s="111"/>
      <c r="ES682" s="111"/>
    </row>
    <row r="683" spans="44:149">
      <c r="AR683" s="29"/>
      <c r="AS683" s="29"/>
      <c r="AT683" s="29"/>
      <c r="AU683" s="29"/>
      <c r="AV683" s="29"/>
      <c r="AW683" s="29"/>
      <c r="AX683" s="29"/>
      <c r="AY683" s="29"/>
      <c r="AZ683" s="29"/>
      <c r="BA683" s="29"/>
      <c r="BB683" s="29"/>
      <c r="BC683" s="29"/>
      <c r="BD683" s="29"/>
      <c r="BE683" s="29"/>
      <c r="BF683" s="111"/>
      <c r="BG683" s="111"/>
      <c r="BH683" s="111"/>
      <c r="BI683" s="111"/>
      <c r="BJ683" s="111"/>
      <c r="BK683" s="111"/>
      <c r="BL683" s="111"/>
      <c r="BM683" s="111"/>
      <c r="BN683" s="111"/>
      <c r="BO683" s="111"/>
      <c r="BP683" s="111"/>
      <c r="BQ683" s="111"/>
      <c r="BR683" s="111"/>
      <c r="BS683" s="111"/>
      <c r="DR683" s="29"/>
      <c r="DS683" s="29"/>
      <c r="DT683" s="29"/>
      <c r="DU683" s="29"/>
      <c r="DV683" s="29"/>
      <c r="DW683" s="29"/>
      <c r="DX683" s="29"/>
      <c r="DY683" s="29"/>
      <c r="DZ683" s="29"/>
      <c r="EA683" s="29"/>
      <c r="EB683" s="29"/>
      <c r="EC683" s="29"/>
      <c r="ED683" s="29"/>
      <c r="EE683" s="29"/>
      <c r="EF683" s="111"/>
      <c r="EG683" s="111"/>
      <c r="EH683" s="111"/>
      <c r="EI683" s="111"/>
      <c r="EJ683" s="111"/>
      <c r="EK683" s="111"/>
      <c r="EL683" s="111"/>
      <c r="EM683" s="111"/>
      <c r="EN683" s="111"/>
      <c r="EO683" s="111"/>
      <c r="EP683" s="111"/>
      <c r="EQ683" s="111"/>
      <c r="ER683" s="111"/>
      <c r="ES683" s="111"/>
    </row>
    <row r="684" spans="44:149">
      <c r="AR684" s="29"/>
      <c r="AS684" s="29"/>
      <c r="AT684" s="29"/>
      <c r="AU684" s="29"/>
      <c r="AV684" s="29"/>
      <c r="AW684" s="29"/>
      <c r="AX684" s="29"/>
      <c r="AY684" s="29"/>
      <c r="AZ684" s="29"/>
      <c r="BA684" s="29"/>
      <c r="BB684" s="29"/>
      <c r="BC684" s="29"/>
      <c r="BD684" s="29"/>
      <c r="BE684" s="29"/>
      <c r="BF684" s="111"/>
      <c r="BG684" s="111"/>
      <c r="BH684" s="111"/>
      <c r="BI684" s="111"/>
      <c r="BJ684" s="111"/>
      <c r="BK684" s="111"/>
      <c r="BL684" s="111"/>
      <c r="BM684" s="111"/>
      <c r="BN684" s="111"/>
      <c r="BO684" s="111"/>
      <c r="BP684" s="111"/>
      <c r="BQ684" s="111"/>
      <c r="BR684" s="111"/>
      <c r="BS684" s="111"/>
      <c r="DR684" s="29"/>
      <c r="DS684" s="29"/>
      <c r="DT684" s="29"/>
      <c r="DU684" s="29"/>
      <c r="DV684" s="29"/>
      <c r="DW684" s="29"/>
      <c r="DX684" s="29"/>
      <c r="DY684" s="29"/>
      <c r="DZ684" s="29"/>
      <c r="EA684" s="29"/>
      <c r="EB684" s="29"/>
      <c r="EC684" s="29"/>
      <c r="ED684" s="29"/>
      <c r="EE684" s="29"/>
      <c r="EF684" s="111"/>
      <c r="EG684" s="111"/>
      <c r="EH684" s="111"/>
      <c r="EI684" s="111"/>
      <c r="EJ684" s="111"/>
      <c r="EK684" s="111"/>
      <c r="EL684" s="111"/>
      <c r="EM684" s="111"/>
      <c r="EN684" s="111"/>
      <c r="EO684" s="111"/>
      <c r="EP684" s="111"/>
      <c r="EQ684" s="111"/>
      <c r="ER684" s="111"/>
      <c r="ES684" s="111"/>
    </row>
    <row r="685" spans="44:149">
      <c r="AR685" s="29"/>
      <c r="AS685" s="29"/>
      <c r="AT685" s="29"/>
      <c r="AU685" s="29"/>
      <c r="AV685" s="29"/>
      <c r="AW685" s="29"/>
      <c r="AX685" s="29"/>
      <c r="AY685" s="29"/>
      <c r="AZ685" s="29"/>
      <c r="BA685" s="29"/>
      <c r="BB685" s="29"/>
      <c r="BC685" s="29"/>
      <c r="BD685" s="29"/>
      <c r="BE685" s="29"/>
      <c r="BF685" s="111"/>
      <c r="BG685" s="111"/>
      <c r="BH685" s="111"/>
      <c r="BI685" s="111"/>
      <c r="BJ685" s="111"/>
      <c r="BK685" s="111"/>
      <c r="BL685" s="111"/>
      <c r="BM685" s="111"/>
      <c r="BN685" s="111"/>
      <c r="BO685" s="111"/>
      <c r="BP685" s="111"/>
      <c r="BQ685" s="111"/>
      <c r="BR685" s="111"/>
      <c r="BS685" s="111"/>
      <c r="DR685" s="29"/>
      <c r="DS685" s="29"/>
      <c r="DT685" s="29"/>
      <c r="DU685" s="29"/>
      <c r="DV685" s="29"/>
      <c r="DW685" s="29"/>
      <c r="DX685" s="29"/>
      <c r="DY685" s="29"/>
      <c r="DZ685" s="29"/>
      <c r="EA685" s="29"/>
      <c r="EB685" s="29"/>
      <c r="EC685" s="29"/>
      <c r="ED685" s="29"/>
      <c r="EE685" s="29"/>
      <c r="EF685" s="111"/>
      <c r="EG685" s="111"/>
      <c r="EH685" s="111"/>
      <c r="EI685" s="111"/>
      <c r="EJ685" s="111"/>
      <c r="EK685" s="111"/>
      <c r="EL685" s="111"/>
      <c r="EM685" s="111"/>
      <c r="EN685" s="111"/>
      <c r="EO685" s="111"/>
      <c r="EP685" s="111"/>
      <c r="EQ685" s="111"/>
      <c r="ER685" s="111"/>
      <c r="ES685" s="111"/>
    </row>
    <row r="686" spans="44:149">
      <c r="AR686" s="29"/>
      <c r="AS686" s="29"/>
      <c r="AT686" s="29"/>
      <c r="AU686" s="29"/>
      <c r="AV686" s="29"/>
      <c r="AW686" s="29"/>
      <c r="AX686" s="29"/>
      <c r="AY686" s="29"/>
      <c r="AZ686" s="29"/>
      <c r="BA686" s="29"/>
      <c r="BB686" s="29"/>
      <c r="BC686" s="29"/>
      <c r="BD686" s="29"/>
      <c r="BE686" s="29"/>
      <c r="BF686" s="111"/>
      <c r="BG686" s="111"/>
      <c r="BH686" s="111"/>
      <c r="BI686" s="111"/>
      <c r="BJ686" s="111"/>
      <c r="BK686" s="111"/>
      <c r="BL686" s="111"/>
      <c r="BM686" s="111"/>
      <c r="BN686" s="111"/>
      <c r="BO686" s="111"/>
      <c r="BP686" s="111"/>
      <c r="BQ686" s="111"/>
      <c r="BR686" s="111"/>
      <c r="BS686" s="111"/>
      <c r="DR686" s="29"/>
      <c r="DS686" s="29"/>
      <c r="DT686" s="29"/>
      <c r="DU686" s="29"/>
      <c r="DV686" s="29"/>
      <c r="DW686" s="29"/>
      <c r="DX686" s="29"/>
      <c r="DY686" s="29"/>
      <c r="DZ686" s="29"/>
      <c r="EA686" s="29"/>
      <c r="EB686" s="29"/>
      <c r="EC686" s="29"/>
      <c r="ED686" s="29"/>
      <c r="EE686" s="29"/>
      <c r="EF686" s="111"/>
      <c r="EG686" s="111"/>
      <c r="EH686" s="111"/>
      <c r="EI686" s="111"/>
      <c r="EJ686" s="111"/>
      <c r="EK686" s="111"/>
      <c r="EL686" s="111"/>
      <c r="EM686" s="111"/>
      <c r="EN686" s="111"/>
      <c r="EO686" s="111"/>
      <c r="EP686" s="111"/>
      <c r="EQ686" s="111"/>
      <c r="ER686" s="111"/>
      <c r="ES686" s="111"/>
    </row>
    <row r="687" spans="44:149">
      <c r="AR687" s="29"/>
      <c r="AS687" s="29"/>
      <c r="AT687" s="29"/>
      <c r="AU687" s="29"/>
      <c r="AV687" s="29"/>
      <c r="AW687" s="29"/>
      <c r="AX687" s="29"/>
      <c r="AY687" s="29"/>
      <c r="AZ687" s="29"/>
      <c r="BA687" s="29"/>
      <c r="BB687" s="29"/>
      <c r="BC687" s="29"/>
      <c r="BD687" s="29"/>
      <c r="BE687" s="29"/>
      <c r="BF687" s="111"/>
      <c r="BG687" s="111"/>
      <c r="BH687" s="111"/>
      <c r="BI687" s="111"/>
      <c r="BJ687" s="111"/>
      <c r="BK687" s="111"/>
      <c r="BL687" s="111"/>
      <c r="BM687" s="111"/>
      <c r="BN687" s="111"/>
      <c r="BO687" s="111"/>
      <c r="BP687" s="111"/>
      <c r="BQ687" s="111"/>
      <c r="BR687" s="111"/>
      <c r="BS687" s="111"/>
      <c r="DR687" s="29"/>
      <c r="DS687" s="29"/>
      <c r="DT687" s="29"/>
      <c r="DU687" s="29"/>
      <c r="DV687" s="29"/>
      <c r="DW687" s="29"/>
      <c r="DX687" s="29"/>
      <c r="DY687" s="29"/>
      <c r="DZ687" s="29"/>
      <c r="EA687" s="29"/>
      <c r="EB687" s="29"/>
      <c r="EC687" s="29"/>
      <c r="ED687" s="29"/>
      <c r="EE687" s="29"/>
      <c r="EF687" s="111"/>
      <c r="EG687" s="111"/>
      <c r="EH687" s="111"/>
      <c r="EI687" s="111"/>
      <c r="EJ687" s="111"/>
      <c r="EK687" s="111"/>
      <c r="EL687" s="111"/>
      <c r="EM687" s="111"/>
      <c r="EN687" s="111"/>
      <c r="EO687" s="111"/>
      <c r="EP687" s="111"/>
      <c r="EQ687" s="111"/>
      <c r="ER687" s="111"/>
      <c r="ES687" s="111"/>
    </row>
    <row r="688" spans="44:149">
      <c r="AR688" s="29"/>
      <c r="AS688" s="29"/>
      <c r="AT688" s="29"/>
      <c r="AU688" s="29"/>
      <c r="AV688" s="29"/>
      <c r="AW688" s="29"/>
      <c r="AX688" s="29"/>
      <c r="AY688" s="29"/>
      <c r="AZ688" s="29"/>
      <c r="BA688" s="29"/>
      <c r="BB688" s="29"/>
      <c r="BC688" s="29"/>
      <c r="BD688" s="29"/>
      <c r="BE688" s="29"/>
      <c r="BF688" s="111"/>
      <c r="BG688" s="111"/>
      <c r="BH688" s="111"/>
      <c r="BI688" s="111"/>
      <c r="BJ688" s="111"/>
      <c r="BK688" s="111"/>
      <c r="BL688" s="111"/>
      <c r="BM688" s="111"/>
      <c r="BN688" s="111"/>
      <c r="BO688" s="111"/>
      <c r="BP688" s="111"/>
      <c r="BQ688" s="111"/>
      <c r="BR688" s="111"/>
      <c r="BS688" s="111"/>
      <c r="DR688" s="29"/>
      <c r="DS688" s="29"/>
      <c r="DT688" s="29"/>
      <c r="DU688" s="29"/>
      <c r="DV688" s="29"/>
      <c r="DW688" s="29"/>
      <c r="DX688" s="29"/>
      <c r="DY688" s="29"/>
      <c r="DZ688" s="29"/>
      <c r="EA688" s="29"/>
      <c r="EB688" s="29"/>
      <c r="EC688" s="29"/>
      <c r="ED688" s="29"/>
      <c r="EE688" s="29"/>
      <c r="EF688" s="111"/>
      <c r="EG688" s="111"/>
      <c r="EH688" s="111"/>
      <c r="EI688" s="111"/>
      <c r="EJ688" s="111"/>
      <c r="EK688" s="111"/>
      <c r="EL688" s="111"/>
      <c r="EM688" s="111"/>
      <c r="EN688" s="111"/>
      <c r="EO688" s="111"/>
      <c r="EP688" s="111"/>
      <c r="EQ688" s="111"/>
      <c r="ER688" s="111"/>
      <c r="ES688" s="111"/>
    </row>
    <row r="689" spans="44:149">
      <c r="AR689" s="29"/>
      <c r="AS689" s="29"/>
      <c r="AT689" s="29"/>
      <c r="AU689" s="29"/>
      <c r="AV689" s="29"/>
      <c r="AW689" s="29"/>
      <c r="AX689" s="29"/>
      <c r="AY689" s="29"/>
      <c r="AZ689" s="29"/>
      <c r="BA689" s="29"/>
      <c r="BB689" s="29"/>
      <c r="BC689" s="29"/>
      <c r="BD689" s="29"/>
      <c r="BE689" s="29"/>
      <c r="BF689" s="111"/>
      <c r="BG689" s="111"/>
      <c r="BH689" s="111"/>
      <c r="BI689" s="111"/>
      <c r="BJ689" s="111"/>
      <c r="BK689" s="111"/>
      <c r="BL689" s="111"/>
      <c r="BM689" s="111"/>
      <c r="BN689" s="111"/>
      <c r="BO689" s="111"/>
      <c r="BP689" s="111"/>
      <c r="BQ689" s="111"/>
      <c r="BR689" s="111"/>
      <c r="BS689" s="111"/>
      <c r="DR689" s="29"/>
      <c r="DS689" s="29"/>
      <c r="DT689" s="29"/>
      <c r="DU689" s="29"/>
      <c r="DV689" s="29"/>
      <c r="DW689" s="29"/>
      <c r="DX689" s="29"/>
      <c r="DY689" s="29"/>
      <c r="DZ689" s="29"/>
      <c r="EA689" s="29"/>
      <c r="EB689" s="29"/>
      <c r="EC689" s="29"/>
      <c r="ED689" s="29"/>
      <c r="EE689" s="29"/>
      <c r="EF689" s="111"/>
      <c r="EG689" s="111"/>
      <c r="EH689" s="111"/>
      <c r="EI689" s="111"/>
      <c r="EJ689" s="111"/>
      <c r="EK689" s="111"/>
      <c r="EL689" s="111"/>
      <c r="EM689" s="111"/>
      <c r="EN689" s="111"/>
      <c r="EO689" s="111"/>
      <c r="EP689" s="111"/>
      <c r="EQ689" s="111"/>
      <c r="ER689" s="111"/>
      <c r="ES689" s="111"/>
    </row>
    <row r="690" spans="44:149">
      <c r="AR690" s="29"/>
      <c r="AS690" s="29"/>
      <c r="AT690" s="29"/>
      <c r="AU690" s="29"/>
      <c r="AV690" s="29"/>
      <c r="AW690" s="29"/>
      <c r="AX690" s="29"/>
      <c r="AY690" s="29"/>
      <c r="AZ690" s="29"/>
      <c r="BA690" s="29"/>
      <c r="BB690" s="29"/>
      <c r="BC690" s="29"/>
      <c r="BD690" s="29"/>
      <c r="BE690" s="29"/>
      <c r="BF690" s="111"/>
      <c r="BG690" s="111"/>
      <c r="BH690" s="111"/>
      <c r="BI690" s="111"/>
      <c r="BJ690" s="111"/>
      <c r="BK690" s="111"/>
      <c r="BL690" s="111"/>
      <c r="BM690" s="111"/>
      <c r="BN690" s="111"/>
      <c r="BO690" s="111"/>
      <c r="BP690" s="111"/>
      <c r="BQ690" s="111"/>
      <c r="BR690" s="111"/>
      <c r="BS690" s="111"/>
      <c r="DR690" s="29"/>
      <c r="DS690" s="29"/>
      <c r="DT690" s="29"/>
      <c r="DU690" s="29"/>
      <c r="DV690" s="29"/>
      <c r="DW690" s="29"/>
      <c r="DX690" s="29"/>
      <c r="DY690" s="29"/>
      <c r="DZ690" s="29"/>
      <c r="EA690" s="29"/>
      <c r="EB690" s="29"/>
      <c r="EC690" s="29"/>
      <c r="ED690" s="29"/>
      <c r="EE690" s="29"/>
      <c r="EF690" s="111"/>
      <c r="EG690" s="111"/>
      <c r="EH690" s="111"/>
      <c r="EI690" s="111"/>
      <c r="EJ690" s="111"/>
      <c r="EK690" s="111"/>
      <c r="EL690" s="111"/>
      <c r="EM690" s="111"/>
      <c r="EN690" s="111"/>
      <c r="EO690" s="111"/>
      <c r="EP690" s="111"/>
      <c r="EQ690" s="111"/>
      <c r="ER690" s="111"/>
      <c r="ES690" s="111"/>
    </row>
    <row r="691" spans="44:149">
      <c r="AR691" s="29"/>
      <c r="AS691" s="29"/>
      <c r="AT691" s="29"/>
      <c r="AU691" s="29"/>
      <c r="AV691" s="29"/>
      <c r="AW691" s="29"/>
      <c r="AX691" s="29"/>
      <c r="AY691" s="29"/>
      <c r="AZ691" s="29"/>
      <c r="BA691" s="29"/>
      <c r="BB691" s="29"/>
      <c r="BC691" s="29"/>
      <c r="BD691" s="29"/>
      <c r="BE691" s="29"/>
      <c r="BF691" s="111"/>
      <c r="BG691" s="111"/>
      <c r="BH691" s="111"/>
      <c r="BI691" s="111"/>
      <c r="BJ691" s="111"/>
      <c r="BK691" s="111"/>
      <c r="BL691" s="111"/>
      <c r="BM691" s="111"/>
      <c r="BN691" s="111"/>
      <c r="BO691" s="111"/>
      <c r="BP691" s="111"/>
      <c r="BQ691" s="111"/>
      <c r="BR691" s="111"/>
      <c r="BS691" s="111"/>
      <c r="DR691" s="29"/>
      <c r="DS691" s="29"/>
      <c r="DT691" s="29"/>
      <c r="DU691" s="29"/>
      <c r="DV691" s="29"/>
      <c r="DW691" s="29"/>
      <c r="DX691" s="29"/>
      <c r="DY691" s="29"/>
      <c r="DZ691" s="29"/>
      <c r="EA691" s="29"/>
      <c r="EB691" s="29"/>
      <c r="EC691" s="29"/>
      <c r="ED691" s="29"/>
      <c r="EE691" s="29"/>
      <c r="EF691" s="111"/>
      <c r="EG691" s="111"/>
      <c r="EH691" s="111"/>
      <c r="EI691" s="111"/>
      <c r="EJ691" s="111"/>
      <c r="EK691" s="111"/>
      <c r="EL691" s="111"/>
      <c r="EM691" s="111"/>
      <c r="EN691" s="111"/>
      <c r="EO691" s="111"/>
      <c r="EP691" s="111"/>
      <c r="EQ691" s="111"/>
      <c r="ER691" s="111"/>
      <c r="ES691" s="111"/>
    </row>
    <row r="692" spans="44:149">
      <c r="AR692" s="29"/>
      <c r="AS692" s="29"/>
      <c r="AT692" s="29"/>
      <c r="AU692" s="29"/>
      <c r="AV692" s="29"/>
      <c r="AW692" s="29"/>
      <c r="AX692" s="29"/>
      <c r="AY692" s="29"/>
      <c r="AZ692" s="29"/>
      <c r="BA692" s="29"/>
      <c r="BB692" s="29"/>
      <c r="BC692" s="29"/>
      <c r="BD692" s="29"/>
      <c r="BE692" s="29"/>
      <c r="BF692" s="111"/>
      <c r="BG692" s="111"/>
      <c r="BH692" s="111"/>
      <c r="BI692" s="111"/>
      <c r="BJ692" s="111"/>
      <c r="BK692" s="111"/>
      <c r="BL692" s="111"/>
      <c r="BM692" s="111"/>
      <c r="BN692" s="111"/>
      <c r="BO692" s="111"/>
      <c r="BP692" s="111"/>
      <c r="BQ692" s="111"/>
      <c r="BR692" s="111"/>
      <c r="BS692" s="111"/>
      <c r="DR692" s="29"/>
      <c r="DS692" s="29"/>
      <c r="DT692" s="29"/>
      <c r="DU692" s="29"/>
      <c r="DV692" s="29"/>
      <c r="DW692" s="29"/>
      <c r="DX692" s="29"/>
      <c r="DY692" s="29"/>
      <c r="DZ692" s="29"/>
      <c r="EA692" s="29"/>
      <c r="EB692" s="29"/>
      <c r="EC692" s="29"/>
      <c r="ED692" s="29"/>
      <c r="EE692" s="29"/>
      <c r="EF692" s="111"/>
      <c r="EG692" s="111"/>
      <c r="EH692" s="111"/>
      <c r="EI692" s="111"/>
      <c r="EJ692" s="111"/>
      <c r="EK692" s="111"/>
      <c r="EL692" s="111"/>
      <c r="EM692" s="111"/>
      <c r="EN692" s="111"/>
      <c r="EO692" s="111"/>
      <c r="EP692" s="111"/>
      <c r="EQ692" s="111"/>
      <c r="ER692" s="111"/>
      <c r="ES692" s="111"/>
    </row>
    <row r="693" spans="44:149">
      <c r="AR693" s="29"/>
      <c r="AS693" s="29"/>
      <c r="AT693" s="29"/>
      <c r="AU693" s="29"/>
      <c r="AV693" s="29"/>
      <c r="AW693" s="29"/>
      <c r="AX693" s="29"/>
      <c r="AY693" s="29"/>
      <c r="AZ693" s="29"/>
      <c r="BA693" s="29"/>
      <c r="BB693" s="29"/>
      <c r="BC693" s="29"/>
      <c r="BD693" s="29"/>
      <c r="BE693" s="29"/>
      <c r="BF693" s="111"/>
      <c r="BG693" s="111"/>
      <c r="BH693" s="111"/>
      <c r="BI693" s="111"/>
      <c r="BJ693" s="111"/>
      <c r="BK693" s="111"/>
      <c r="BL693" s="111"/>
      <c r="BM693" s="111"/>
      <c r="BN693" s="111"/>
      <c r="BO693" s="111"/>
      <c r="BP693" s="111"/>
      <c r="BQ693" s="111"/>
      <c r="BR693" s="111"/>
      <c r="BS693" s="111"/>
      <c r="DR693" s="29"/>
      <c r="DS693" s="29"/>
      <c r="DT693" s="29"/>
      <c r="DU693" s="29"/>
      <c r="DV693" s="29"/>
      <c r="DW693" s="29"/>
      <c r="DX693" s="29"/>
      <c r="DY693" s="29"/>
      <c r="DZ693" s="29"/>
      <c r="EA693" s="29"/>
      <c r="EB693" s="29"/>
      <c r="EC693" s="29"/>
      <c r="ED693" s="29"/>
      <c r="EE693" s="29"/>
      <c r="EF693" s="111"/>
      <c r="EG693" s="111"/>
      <c r="EH693" s="111"/>
      <c r="EI693" s="111"/>
      <c r="EJ693" s="111"/>
      <c r="EK693" s="111"/>
      <c r="EL693" s="111"/>
      <c r="EM693" s="111"/>
      <c r="EN693" s="111"/>
      <c r="EO693" s="111"/>
      <c r="EP693" s="111"/>
      <c r="EQ693" s="111"/>
      <c r="ER693" s="111"/>
      <c r="ES693" s="111"/>
    </row>
    <row r="694" spans="44:149">
      <c r="AR694" s="29"/>
      <c r="AS694" s="29"/>
      <c r="AT694" s="29"/>
      <c r="AU694" s="29"/>
      <c r="AV694" s="29"/>
      <c r="AW694" s="29"/>
      <c r="AX694" s="29"/>
      <c r="AY694" s="29"/>
      <c r="AZ694" s="29"/>
      <c r="BA694" s="29"/>
      <c r="BB694" s="29"/>
      <c r="BC694" s="29"/>
      <c r="BD694" s="29"/>
      <c r="BE694" s="29"/>
      <c r="BF694" s="111"/>
      <c r="BG694" s="111"/>
      <c r="BH694" s="111"/>
      <c r="BI694" s="111"/>
      <c r="BJ694" s="111"/>
      <c r="BK694" s="111"/>
      <c r="BL694" s="111"/>
      <c r="BM694" s="111"/>
      <c r="BN694" s="111"/>
      <c r="BO694" s="111"/>
      <c r="BP694" s="111"/>
      <c r="BQ694" s="111"/>
      <c r="BR694" s="111"/>
      <c r="BS694" s="111"/>
      <c r="DR694" s="29"/>
      <c r="DS694" s="29"/>
      <c r="DT694" s="29"/>
      <c r="DU694" s="29"/>
      <c r="DV694" s="29"/>
      <c r="DW694" s="29"/>
      <c r="DX694" s="29"/>
      <c r="DY694" s="29"/>
      <c r="DZ694" s="29"/>
      <c r="EA694" s="29"/>
      <c r="EB694" s="29"/>
      <c r="EC694" s="29"/>
      <c r="ED694" s="29"/>
      <c r="EE694" s="29"/>
      <c r="EF694" s="111"/>
      <c r="EG694" s="111"/>
      <c r="EH694" s="111"/>
      <c r="EI694" s="111"/>
      <c r="EJ694" s="111"/>
      <c r="EK694" s="111"/>
      <c r="EL694" s="111"/>
      <c r="EM694" s="111"/>
      <c r="EN694" s="111"/>
      <c r="EO694" s="111"/>
      <c r="EP694" s="111"/>
      <c r="EQ694" s="111"/>
      <c r="ER694" s="111"/>
      <c r="ES694" s="111"/>
    </row>
    <row r="695" spans="44:149">
      <c r="AR695" s="29"/>
      <c r="AS695" s="29"/>
      <c r="AT695" s="29"/>
      <c r="AU695" s="29"/>
      <c r="AV695" s="29"/>
      <c r="AW695" s="29"/>
      <c r="AX695" s="29"/>
      <c r="AY695" s="29"/>
      <c r="AZ695" s="29"/>
      <c r="BA695" s="29"/>
      <c r="BB695" s="29"/>
      <c r="BC695" s="29"/>
      <c r="BD695" s="29"/>
      <c r="BE695" s="29"/>
      <c r="BF695" s="111"/>
      <c r="BG695" s="111"/>
      <c r="BH695" s="111"/>
      <c r="BI695" s="111"/>
      <c r="BJ695" s="111"/>
      <c r="BK695" s="111"/>
      <c r="BL695" s="111"/>
      <c r="BM695" s="111"/>
      <c r="BN695" s="111"/>
      <c r="BO695" s="111"/>
      <c r="BP695" s="111"/>
      <c r="BQ695" s="111"/>
      <c r="BR695" s="111"/>
      <c r="BS695" s="111"/>
      <c r="DR695" s="29"/>
      <c r="DS695" s="29"/>
      <c r="DT695" s="29"/>
      <c r="DU695" s="29"/>
      <c r="DV695" s="29"/>
      <c r="DW695" s="29"/>
      <c r="DX695" s="29"/>
      <c r="DY695" s="29"/>
      <c r="DZ695" s="29"/>
      <c r="EA695" s="29"/>
      <c r="EB695" s="29"/>
      <c r="EC695" s="29"/>
      <c r="ED695" s="29"/>
      <c r="EE695" s="29"/>
      <c r="EF695" s="111"/>
      <c r="EG695" s="111"/>
      <c r="EH695" s="111"/>
      <c r="EI695" s="111"/>
      <c r="EJ695" s="111"/>
      <c r="EK695" s="111"/>
      <c r="EL695" s="111"/>
      <c r="EM695" s="111"/>
      <c r="EN695" s="111"/>
      <c r="EO695" s="111"/>
      <c r="EP695" s="111"/>
      <c r="EQ695" s="111"/>
      <c r="ER695" s="111"/>
      <c r="ES695" s="111"/>
    </row>
    <row r="696" spans="44:149">
      <c r="AR696" s="29"/>
      <c r="AS696" s="29"/>
      <c r="AT696" s="29"/>
      <c r="AU696" s="29"/>
      <c r="AV696" s="29"/>
      <c r="AW696" s="29"/>
      <c r="AX696" s="29"/>
      <c r="AY696" s="29"/>
      <c r="AZ696" s="29"/>
      <c r="BA696" s="29"/>
      <c r="BB696" s="29"/>
      <c r="BC696" s="29"/>
      <c r="BD696" s="29"/>
      <c r="BE696" s="29"/>
      <c r="BF696" s="111"/>
      <c r="BG696" s="111"/>
      <c r="BH696" s="111"/>
      <c r="BI696" s="111"/>
      <c r="BJ696" s="111"/>
      <c r="BK696" s="111"/>
      <c r="BL696" s="111"/>
      <c r="BM696" s="111"/>
      <c r="BN696" s="111"/>
      <c r="BO696" s="111"/>
      <c r="BP696" s="111"/>
      <c r="BQ696" s="111"/>
      <c r="BR696" s="111"/>
      <c r="BS696" s="111"/>
      <c r="DR696" s="29"/>
      <c r="DS696" s="29"/>
      <c r="DT696" s="29"/>
      <c r="DU696" s="29"/>
      <c r="DV696" s="29"/>
      <c r="DW696" s="29"/>
      <c r="DX696" s="29"/>
      <c r="DY696" s="29"/>
      <c r="DZ696" s="29"/>
      <c r="EA696" s="29"/>
      <c r="EB696" s="29"/>
      <c r="EC696" s="29"/>
      <c r="ED696" s="29"/>
      <c r="EE696" s="29"/>
      <c r="EF696" s="111"/>
      <c r="EG696" s="111"/>
      <c r="EH696" s="111"/>
      <c r="EI696" s="111"/>
      <c r="EJ696" s="111"/>
      <c r="EK696" s="111"/>
      <c r="EL696" s="111"/>
      <c r="EM696" s="111"/>
      <c r="EN696" s="111"/>
      <c r="EO696" s="111"/>
      <c r="EP696" s="111"/>
      <c r="EQ696" s="111"/>
      <c r="ER696" s="111"/>
      <c r="ES696" s="111"/>
    </row>
    <row r="697" spans="44:149">
      <c r="AR697" s="29"/>
      <c r="AS697" s="29"/>
      <c r="AT697" s="29"/>
      <c r="AU697" s="29"/>
      <c r="AV697" s="29"/>
      <c r="AW697" s="29"/>
      <c r="AX697" s="29"/>
      <c r="AY697" s="29"/>
      <c r="AZ697" s="29"/>
      <c r="BA697" s="29"/>
      <c r="BB697" s="29"/>
      <c r="BC697" s="29"/>
      <c r="BD697" s="29"/>
      <c r="BE697" s="29"/>
      <c r="BF697" s="111"/>
      <c r="BG697" s="111"/>
      <c r="BH697" s="111"/>
      <c r="BI697" s="111"/>
      <c r="BJ697" s="111"/>
      <c r="BK697" s="111"/>
      <c r="BL697" s="111"/>
      <c r="BM697" s="111"/>
      <c r="BN697" s="111"/>
      <c r="BO697" s="111"/>
      <c r="BP697" s="111"/>
      <c r="BQ697" s="111"/>
      <c r="BR697" s="111"/>
      <c r="BS697" s="111"/>
      <c r="DR697" s="29"/>
      <c r="DS697" s="29"/>
      <c r="DT697" s="29"/>
      <c r="DU697" s="29"/>
      <c r="DV697" s="29"/>
      <c r="DW697" s="29"/>
      <c r="DX697" s="29"/>
      <c r="DY697" s="29"/>
      <c r="DZ697" s="29"/>
      <c r="EA697" s="29"/>
      <c r="EB697" s="29"/>
      <c r="EC697" s="29"/>
      <c r="ED697" s="29"/>
      <c r="EE697" s="29"/>
      <c r="EF697" s="111"/>
      <c r="EG697" s="111"/>
      <c r="EH697" s="111"/>
      <c r="EI697" s="111"/>
      <c r="EJ697" s="111"/>
      <c r="EK697" s="111"/>
      <c r="EL697" s="111"/>
      <c r="EM697" s="111"/>
      <c r="EN697" s="111"/>
      <c r="EO697" s="111"/>
      <c r="EP697" s="111"/>
      <c r="EQ697" s="111"/>
      <c r="ER697" s="111"/>
      <c r="ES697" s="111"/>
    </row>
    <row r="698" spans="44:149">
      <c r="AR698" s="29"/>
      <c r="AS698" s="29"/>
      <c r="AT698" s="29"/>
      <c r="AU698" s="29"/>
      <c r="AV698" s="29"/>
      <c r="AW698" s="29"/>
      <c r="AX698" s="29"/>
      <c r="AY698" s="29"/>
      <c r="AZ698" s="29"/>
      <c r="BA698" s="29"/>
      <c r="BB698" s="29"/>
      <c r="BC698" s="29"/>
      <c r="BD698" s="29"/>
      <c r="BE698" s="29"/>
      <c r="BF698" s="111"/>
      <c r="BG698" s="111"/>
      <c r="BH698" s="111"/>
      <c r="BI698" s="111"/>
      <c r="BJ698" s="111"/>
      <c r="BK698" s="111"/>
      <c r="BL698" s="111"/>
      <c r="BM698" s="111"/>
      <c r="BN698" s="111"/>
      <c r="BO698" s="111"/>
      <c r="BP698" s="111"/>
      <c r="BQ698" s="111"/>
      <c r="BR698" s="111"/>
      <c r="BS698" s="111"/>
      <c r="DR698" s="29"/>
      <c r="DS698" s="29"/>
      <c r="DT698" s="29"/>
      <c r="DU698" s="29"/>
      <c r="DV698" s="29"/>
      <c r="DW698" s="29"/>
      <c r="DX698" s="29"/>
      <c r="DY698" s="29"/>
      <c r="DZ698" s="29"/>
      <c r="EA698" s="29"/>
      <c r="EB698" s="29"/>
      <c r="EC698" s="29"/>
      <c r="ED698" s="29"/>
      <c r="EE698" s="29"/>
      <c r="EF698" s="111"/>
      <c r="EG698" s="111"/>
      <c r="EH698" s="111"/>
      <c r="EI698" s="111"/>
      <c r="EJ698" s="111"/>
      <c r="EK698" s="111"/>
      <c r="EL698" s="111"/>
      <c r="EM698" s="111"/>
      <c r="EN698" s="111"/>
      <c r="EO698" s="111"/>
      <c r="EP698" s="111"/>
      <c r="EQ698" s="111"/>
      <c r="ER698" s="111"/>
      <c r="ES698" s="111"/>
    </row>
    <row r="699" spans="44:149">
      <c r="AR699" s="29"/>
      <c r="AS699" s="29"/>
      <c r="AT699" s="29"/>
      <c r="AU699" s="29"/>
      <c r="AV699" s="29"/>
      <c r="AW699" s="29"/>
      <c r="AX699" s="29"/>
      <c r="AY699" s="29"/>
      <c r="AZ699" s="29"/>
      <c r="BA699" s="29"/>
      <c r="BB699" s="29"/>
      <c r="BC699" s="29"/>
      <c r="BD699" s="29"/>
      <c r="BE699" s="29"/>
      <c r="BF699" s="111"/>
      <c r="BG699" s="111"/>
      <c r="BH699" s="111"/>
      <c r="BI699" s="111"/>
      <c r="BJ699" s="111"/>
      <c r="BK699" s="111"/>
      <c r="BL699" s="111"/>
      <c r="BM699" s="111"/>
      <c r="BN699" s="111"/>
      <c r="BO699" s="111"/>
      <c r="BP699" s="111"/>
      <c r="BQ699" s="111"/>
      <c r="BR699" s="111"/>
      <c r="BS699" s="111"/>
      <c r="DR699" s="29"/>
      <c r="DS699" s="29"/>
      <c r="DT699" s="29"/>
      <c r="DU699" s="29"/>
      <c r="DV699" s="29"/>
      <c r="DW699" s="29"/>
      <c r="DX699" s="29"/>
      <c r="DY699" s="29"/>
      <c r="DZ699" s="29"/>
      <c r="EA699" s="29"/>
      <c r="EB699" s="29"/>
      <c r="EC699" s="29"/>
      <c r="ED699" s="29"/>
      <c r="EE699" s="29"/>
      <c r="EF699" s="111"/>
      <c r="EG699" s="111"/>
      <c r="EH699" s="111"/>
      <c r="EI699" s="111"/>
      <c r="EJ699" s="111"/>
      <c r="EK699" s="111"/>
      <c r="EL699" s="111"/>
      <c r="EM699" s="111"/>
      <c r="EN699" s="111"/>
      <c r="EO699" s="111"/>
      <c r="EP699" s="111"/>
      <c r="EQ699" s="111"/>
      <c r="ER699" s="111"/>
      <c r="ES699" s="111"/>
    </row>
    <row r="700" spans="44:149">
      <c r="AR700" s="29"/>
      <c r="AS700" s="29"/>
      <c r="AT700" s="29"/>
      <c r="AU700" s="29"/>
      <c r="AV700" s="29"/>
      <c r="AW700" s="29"/>
      <c r="AX700" s="29"/>
      <c r="AY700" s="29"/>
      <c r="AZ700" s="29"/>
      <c r="BA700" s="29"/>
      <c r="BB700" s="29"/>
      <c r="BC700" s="29"/>
      <c r="BD700" s="29"/>
      <c r="BE700" s="29"/>
      <c r="BF700" s="111"/>
      <c r="BG700" s="111"/>
      <c r="BH700" s="111"/>
      <c r="BI700" s="111"/>
      <c r="BJ700" s="111"/>
      <c r="BK700" s="111"/>
      <c r="BL700" s="111"/>
      <c r="BM700" s="111"/>
      <c r="BN700" s="111"/>
      <c r="BO700" s="111"/>
      <c r="BP700" s="111"/>
      <c r="BQ700" s="111"/>
      <c r="BR700" s="111"/>
      <c r="BS700" s="111"/>
      <c r="DR700" s="29"/>
      <c r="DS700" s="29"/>
      <c r="DT700" s="29"/>
      <c r="DU700" s="29"/>
      <c r="DV700" s="29"/>
      <c r="DW700" s="29"/>
      <c r="DX700" s="29"/>
      <c r="DY700" s="29"/>
      <c r="DZ700" s="29"/>
      <c r="EA700" s="29"/>
      <c r="EB700" s="29"/>
      <c r="EC700" s="29"/>
      <c r="ED700" s="29"/>
      <c r="EE700" s="29"/>
      <c r="EF700" s="111"/>
      <c r="EG700" s="111"/>
      <c r="EH700" s="111"/>
      <c r="EI700" s="111"/>
      <c r="EJ700" s="111"/>
      <c r="EK700" s="111"/>
      <c r="EL700" s="111"/>
      <c r="EM700" s="111"/>
      <c r="EN700" s="111"/>
      <c r="EO700" s="111"/>
      <c r="EP700" s="111"/>
      <c r="EQ700" s="111"/>
      <c r="ER700" s="111"/>
      <c r="ES700" s="111"/>
    </row>
    <row r="701" spans="44:149">
      <c r="AR701" s="29"/>
      <c r="AS701" s="29"/>
      <c r="AT701" s="29"/>
      <c r="AU701" s="29"/>
      <c r="AV701" s="29"/>
      <c r="AW701" s="29"/>
      <c r="AX701" s="29"/>
      <c r="AY701" s="29"/>
      <c r="AZ701" s="29"/>
      <c r="BA701" s="29"/>
      <c r="BB701" s="29"/>
      <c r="BC701" s="29"/>
      <c r="BD701" s="29"/>
      <c r="BE701" s="29"/>
      <c r="BF701" s="111"/>
      <c r="BG701" s="111"/>
      <c r="BH701" s="111"/>
      <c r="BI701" s="111"/>
      <c r="BJ701" s="111"/>
      <c r="BK701" s="111"/>
      <c r="BL701" s="111"/>
      <c r="BM701" s="111"/>
      <c r="BN701" s="111"/>
      <c r="BO701" s="111"/>
      <c r="BP701" s="111"/>
      <c r="BQ701" s="111"/>
      <c r="BR701" s="111"/>
      <c r="BS701" s="111"/>
      <c r="DR701" s="29"/>
      <c r="DS701" s="29"/>
      <c r="DT701" s="29"/>
      <c r="DU701" s="29"/>
      <c r="DV701" s="29"/>
      <c r="DW701" s="29"/>
      <c r="DX701" s="29"/>
      <c r="DY701" s="29"/>
      <c r="DZ701" s="29"/>
      <c r="EA701" s="29"/>
      <c r="EB701" s="29"/>
      <c r="EC701" s="29"/>
      <c r="ED701" s="29"/>
      <c r="EE701" s="29"/>
      <c r="EF701" s="111"/>
      <c r="EG701" s="111"/>
      <c r="EH701" s="111"/>
      <c r="EI701" s="111"/>
      <c r="EJ701" s="111"/>
      <c r="EK701" s="111"/>
      <c r="EL701" s="111"/>
      <c r="EM701" s="111"/>
      <c r="EN701" s="111"/>
      <c r="EO701" s="111"/>
      <c r="EP701" s="111"/>
      <c r="EQ701" s="111"/>
      <c r="ER701" s="111"/>
      <c r="ES701" s="111"/>
    </row>
    <row r="702" spans="44:149">
      <c r="AR702" s="29"/>
      <c r="AS702" s="29"/>
      <c r="AT702" s="29"/>
      <c r="AU702" s="29"/>
      <c r="AV702" s="29"/>
      <c r="AW702" s="29"/>
      <c r="AX702" s="29"/>
      <c r="AY702" s="29"/>
      <c r="AZ702" s="29"/>
      <c r="BA702" s="29"/>
      <c r="BB702" s="29"/>
      <c r="BC702" s="29"/>
      <c r="BD702" s="29"/>
      <c r="BE702" s="29"/>
      <c r="BF702" s="111"/>
      <c r="BG702" s="111"/>
      <c r="BH702" s="111"/>
      <c r="BI702" s="111"/>
      <c r="BJ702" s="111"/>
      <c r="BK702" s="111"/>
      <c r="BL702" s="111"/>
      <c r="BM702" s="111"/>
      <c r="BN702" s="111"/>
      <c r="BO702" s="111"/>
      <c r="BP702" s="111"/>
      <c r="BQ702" s="111"/>
      <c r="BR702" s="111"/>
      <c r="BS702" s="111"/>
      <c r="DR702" s="29"/>
      <c r="DS702" s="29"/>
      <c r="DT702" s="29"/>
      <c r="DU702" s="29"/>
      <c r="DV702" s="29"/>
      <c r="DW702" s="29"/>
      <c r="DX702" s="29"/>
      <c r="DY702" s="29"/>
      <c r="DZ702" s="29"/>
      <c r="EA702" s="29"/>
      <c r="EB702" s="29"/>
      <c r="EC702" s="29"/>
      <c r="ED702" s="29"/>
      <c r="EE702" s="29"/>
      <c r="EF702" s="111"/>
      <c r="EG702" s="111"/>
      <c r="EH702" s="111"/>
      <c r="EI702" s="111"/>
      <c r="EJ702" s="111"/>
      <c r="EK702" s="111"/>
      <c r="EL702" s="111"/>
      <c r="EM702" s="111"/>
      <c r="EN702" s="111"/>
      <c r="EO702" s="111"/>
      <c r="EP702" s="111"/>
      <c r="EQ702" s="111"/>
      <c r="ER702" s="111"/>
      <c r="ES702" s="111"/>
    </row>
    <row r="703" spans="44:149">
      <c r="AR703" s="29"/>
      <c r="AS703" s="29"/>
      <c r="AT703" s="29"/>
      <c r="AU703" s="29"/>
      <c r="AV703" s="29"/>
      <c r="AW703" s="29"/>
      <c r="AX703" s="29"/>
      <c r="AY703" s="29"/>
      <c r="AZ703" s="29"/>
      <c r="BA703" s="29"/>
      <c r="BB703" s="29"/>
      <c r="BC703" s="29"/>
      <c r="BD703" s="29"/>
      <c r="BE703" s="29"/>
      <c r="BF703" s="111"/>
      <c r="BG703" s="111"/>
      <c r="BH703" s="111"/>
      <c r="BI703" s="111"/>
      <c r="BJ703" s="111"/>
      <c r="BK703" s="111"/>
      <c r="BL703" s="111"/>
      <c r="BM703" s="111"/>
      <c r="BN703" s="111"/>
      <c r="BO703" s="111"/>
      <c r="BP703" s="111"/>
      <c r="BQ703" s="111"/>
      <c r="BR703" s="111"/>
      <c r="BS703" s="111"/>
      <c r="DR703" s="29"/>
      <c r="DS703" s="29"/>
      <c r="DT703" s="29"/>
      <c r="DU703" s="29"/>
      <c r="DV703" s="29"/>
      <c r="DW703" s="29"/>
      <c r="DX703" s="29"/>
      <c r="DY703" s="29"/>
      <c r="DZ703" s="29"/>
      <c r="EA703" s="29"/>
      <c r="EB703" s="29"/>
      <c r="EC703" s="29"/>
      <c r="ED703" s="29"/>
      <c r="EE703" s="29"/>
      <c r="EF703" s="111"/>
      <c r="EG703" s="111"/>
      <c r="EH703" s="111"/>
      <c r="EI703" s="111"/>
      <c r="EJ703" s="111"/>
      <c r="EK703" s="111"/>
      <c r="EL703" s="111"/>
      <c r="EM703" s="111"/>
      <c r="EN703" s="111"/>
      <c r="EO703" s="111"/>
      <c r="EP703" s="111"/>
      <c r="EQ703" s="111"/>
      <c r="ER703" s="111"/>
      <c r="ES703" s="111"/>
    </row>
    <row r="704" spans="44:149">
      <c r="AR704" s="29"/>
      <c r="AS704" s="29"/>
      <c r="AT704" s="29"/>
      <c r="AU704" s="29"/>
      <c r="AV704" s="29"/>
      <c r="AW704" s="29"/>
      <c r="AX704" s="29"/>
      <c r="AY704" s="29"/>
      <c r="AZ704" s="29"/>
      <c r="BA704" s="29"/>
      <c r="BB704" s="29"/>
      <c r="BC704" s="29"/>
      <c r="BD704" s="29"/>
      <c r="BE704" s="29"/>
      <c r="BF704" s="111"/>
      <c r="BG704" s="111"/>
      <c r="BH704" s="111"/>
      <c r="BI704" s="111"/>
      <c r="BJ704" s="111"/>
      <c r="BK704" s="111"/>
      <c r="BL704" s="111"/>
      <c r="BM704" s="111"/>
      <c r="BN704" s="111"/>
      <c r="BO704" s="111"/>
      <c r="BP704" s="111"/>
      <c r="BQ704" s="111"/>
      <c r="BR704" s="111"/>
      <c r="BS704" s="111"/>
      <c r="DR704" s="29"/>
      <c r="DS704" s="29"/>
      <c r="DT704" s="29"/>
      <c r="DU704" s="29"/>
      <c r="DV704" s="29"/>
      <c r="DW704" s="29"/>
      <c r="DX704" s="29"/>
      <c r="DY704" s="29"/>
      <c r="DZ704" s="29"/>
      <c r="EA704" s="29"/>
      <c r="EB704" s="29"/>
      <c r="EC704" s="29"/>
      <c r="ED704" s="29"/>
      <c r="EE704" s="29"/>
      <c r="EF704" s="111"/>
      <c r="EG704" s="111"/>
      <c r="EH704" s="111"/>
      <c r="EI704" s="111"/>
      <c r="EJ704" s="111"/>
      <c r="EK704" s="111"/>
      <c r="EL704" s="111"/>
      <c r="EM704" s="111"/>
      <c r="EN704" s="111"/>
      <c r="EO704" s="111"/>
      <c r="EP704" s="111"/>
      <c r="EQ704" s="111"/>
      <c r="ER704" s="111"/>
      <c r="ES704" s="111"/>
    </row>
    <row r="705" spans="44:149">
      <c r="AR705" s="29"/>
      <c r="AS705" s="29"/>
      <c r="AT705" s="29"/>
      <c r="AU705" s="29"/>
      <c r="AV705" s="29"/>
      <c r="AW705" s="29"/>
      <c r="AX705" s="29"/>
      <c r="AY705" s="29"/>
      <c r="AZ705" s="29"/>
      <c r="BA705" s="29"/>
      <c r="BB705" s="29"/>
      <c r="BC705" s="29"/>
      <c r="BD705" s="29"/>
      <c r="BE705" s="29"/>
      <c r="BF705" s="111"/>
      <c r="BG705" s="111"/>
      <c r="BH705" s="111"/>
      <c r="BI705" s="111"/>
      <c r="BJ705" s="111"/>
      <c r="BK705" s="111"/>
      <c r="BL705" s="111"/>
      <c r="BM705" s="111"/>
      <c r="BN705" s="111"/>
      <c r="BO705" s="111"/>
      <c r="BP705" s="111"/>
      <c r="BQ705" s="111"/>
      <c r="BR705" s="111"/>
      <c r="BS705" s="111"/>
      <c r="DR705" s="29"/>
      <c r="DS705" s="29"/>
      <c r="DT705" s="29"/>
      <c r="DU705" s="29"/>
      <c r="DV705" s="29"/>
      <c r="DW705" s="29"/>
      <c r="DX705" s="29"/>
      <c r="DY705" s="29"/>
      <c r="DZ705" s="29"/>
      <c r="EA705" s="29"/>
      <c r="EB705" s="29"/>
      <c r="EC705" s="29"/>
      <c r="ED705" s="29"/>
      <c r="EE705" s="29"/>
      <c r="EF705" s="111"/>
      <c r="EG705" s="111"/>
      <c r="EH705" s="111"/>
      <c r="EI705" s="111"/>
      <c r="EJ705" s="111"/>
      <c r="EK705" s="111"/>
      <c r="EL705" s="111"/>
      <c r="EM705" s="111"/>
      <c r="EN705" s="111"/>
      <c r="EO705" s="111"/>
      <c r="EP705" s="111"/>
      <c r="EQ705" s="111"/>
      <c r="ER705" s="111"/>
      <c r="ES705" s="111"/>
    </row>
    <row r="706" spans="44:149">
      <c r="AR706" s="29"/>
      <c r="AS706" s="29"/>
      <c r="AT706" s="29"/>
      <c r="AU706" s="29"/>
      <c r="AV706" s="29"/>
      <c r="AW706" s="29"/>
      <c r="AX706" s="29"/>
      <c r="AY706" s="29"/>
      <c r="AZ706" s="29"/>
      <c r="BA706" s="29"/>
      <c r="BB706" s="29"/>
      <c r="BC706" s="29"/>
      <c r="BD706" s="29"/>
      <c r="BE706" s="29"/>
      <c r="BF706" s="111"/>
      <c r="BG706" s="111"/>
      <c r="BH706" s="111"/>
      <c r="BI706" s="111"/>
      <c r="BJ706" s="111"/>
      <c r="BK706" s="111"/>
      <c r="BL706" s="111"/>
      <c r="BM706" s="111"/>
      <c r="BN706" s="111"/>
      <c r="BO706" s="111"/>
      <c r="BP706" s="111"/>
      <c r="BQ706" s="111"/>
      <c r="BR706" s="111"/>
      <c r="BS706" s="111"/>
      <c r="DR706" s="29"/>
      <c r="DS706" s="29"/>
      <c r="DT706" s="29"/>
      <c r="DU706" s="29"/>
      <c r="DV706" s="29"/>
      <c r="DW706" s="29"/>
      <c r="DX706" s="29"/>
      <c r="DY706" s="29"/>
      <c r="DZ706" s="29"/>
      <c r="EA706" s="29"/>
      <c r="EB706" s="29"/>
      <c r="EC706" s="29"/>
      <c r="ED706" s="29"/>
      <c r="EE706" s="29"/>
      <c r="EF706" s="111"/>
      <c r="EG706" s="111"/>
      <c r="EH706" s="111"/>
      <c r="EI706" s="111"/>
      <c r="EJ706" s="111"/>
      <c r="EK706" s="111"/>
      <c r="EL706" s="111"/>
      <c r="EM706" s="111"/>
      <c r="EN706" s="111"/>
      <c r="EO706" s="111"/>
      <c r="EP706" s="111"/>
      <c r="EQ706" s="111"/>
      <c r="ER706" s="111"/>
      <c r="ES706" s="111"/>
    </row>
    <row r="707" spans="44:149">
      <c r="AR707" s="29"/>
      <c r="AS707" s="29"/>
      <c r="AT707" s="29"/>
      <c r="AU707" s="29"/>
      <c r="AV707" s="29"/>
      <c r="AW707" s="29"/>
      <c r="AX707" s="29"/>
      <c r="AY707" s="29"/>
      <c r="AZ707" s="29"/>
      <c r="BA707" s="29"/>
      <c r="BB707" s="29"/>
      <c r="BC707" s="29"/>
      <c r="BD707" s="29"/>
      <c r="BE707" s="29"/>
      <c r="BF707" s="111"/>
      <c r="BG707" s="111"/>
      <c r="BH707" s="111"/>
      <c r="BI707" s="111"/>
      <c r="BJ707" s="111"/>
      <c r="BK707" s="111"/>
      <c r="BL707" s="111"/>
      <c r="BM707" s="111"/>
      <c r="BN707" s="111"/>
      <c r="BO707" s="111"/>
      <c r="BP707" s="111"/>
      <c r="BQ707" s="111"/>
      <c r="BR707" s="111"/>
      <c r="BS707" s="111"/>
      <c r="DR707" s="29"/>
      <c r="DS707" s="29"/>
      <c r="DT707" s="29"/>
      <c r="DU707" s="29"/>
      <c r="DV707" s="29"/>
      <c r="DW707" s="29"/>
      <c r="DX707" s="29"/>
      <c r="DY707" s="29"/>
      <c r="DZ707" s="29"/>
      <c r="EA707" s="29"/>
      <c r="EB707" s="29"/>
      <c r="EC707" s="29"/>
      <c r="ED707" s="29"/>
      <c r="EE707" s="29"/>
      <c r="EF707" s="111"/>
      <c r="EG707" s="111"/>
      <c r="EH707" s="111"/>
      <c r="EI707" s="111"/>
      <c r="EJ707" s="111"/>
      <c r="EK707" s="111"/>
      <c r="EL707" s="111"/>
      <c r="EM707" s="111"/>
      <c r="EN707" s="111"/>
      <c r="EO707" s="111"/>
      <c r="EP707" s="111"/>
      <c r="EQ707" s="111"/>
      <c r="ER707" s="111"/>
      <c r="ES707" s="111"/>
    </row>
    <row r="708" spans="44:149">
      <c r="AR708" s="29"/>
      <c r="AS708" s="29"/>
      <c r="AT708" s="29"/>
      <c r="AU708" s="29"/>
      <c r="AV708" s="29"/>
      <c r="AW708" s="29"/>
      <c r="AX708" s="29"/>
      <c r="AY708" s="29"/>
      <c r="AZ708" s="29"/>
      <c r="BA708" s="29"/>
      <c r="BB708" s="29"/>
      <c r="BC708" s="29"/>
      <c r="BD708" s="29"/>
      <c r="BE708" s="29"/>
      <c r="BF708" s="111"/>
      <c r="BG708" s="111"/>
      <c r="BH708" s="111"/>
      <c r="BI708" s="111"/>
      <c r="BJ708" s="111"/>
      <c r="BK708" s="111"/>
      <c r="BL708" s="111"/>
      <c r="BM708" s="111"/>
      <c r="BN708" s="111"/>
      <c r="BO708" s="111"/>
      <c r="BP708" s="111"/>
      <c r="BQ708" s="111"/>
      <c r="BR708" s="111"/>
      <c r="BS708" s="111"/>
      <c r="DR708" s="29"/>
      <c r="DS708" s="29"/>
      <c r="DT708" s="29"/>
      <c r="DU708" s="29"/>
      <c r="DV708" s="29"/>
      <c r="DW708" s="29"/>
      <c r="DX708" s="29"/>
      <c r="DY708" s="29"/>
      <c r="DZ708" s="29"/>
      <c r="EA708" s="29"/>
      <c r="EB708" s="29"/>
      <c r="EC708" s="29"/>
      <c r="ED708" s="29"/>
      <c r="EE708" s="29"/>
      <c r="EF708" s="111"/>
      <c r="EG708" s="111"/>
      <c r="EH708" s="111"/>
      <c r="EI708" s="111"/>
      <c r="EJ708" s="111"/>
      <c r="EK708" s="111"/>
      <c r="EL708" s="111"/>
      <c r="EM708" s="111"/>
      <c r="EN708" s="111"/>
      <c r="EO708" s="111"/>
      <c r="EP708" s="111"/>
      <c r="EQ708" s="111"/>
      <c r="ER708" s="111"/>
      <c r="ES708" s="111"/>
    </row>
    <row r="709" spans="44:149">
      <c r="AR709" s="29"/>
      <c r="AS709" s="29"/>
      <c r="AT709" s="29"/>
      <c r="AU709" s="29"/>
      <c r="AV709" s="29"/>
      <c r="AW709" s="29"/>
      <c r="AX709" s="29"/>
      <c r="AY709" s="29"/>
      <c r="AZ709" s="29"/>
      <c r="BA709" s="29"/>
      <c r="BB709" s="29"/>
      <c r="BC709" s="29"/>
      <c r="BD709" s="29"/>
      <c r="BE709" s="29"/>
      <c r="BF709" s="111"/>
      <c r="BG709" s="111"/>
      <c r="BH709" s="111"/>
      <c r="BI709" s="111"/>
      <c r="BJ709" s="111"/>
      <c r="BK709" s="111"/>
      <c r="BL709" s="111"/>
      <c r="BM709" s="111"/>
      <c r="BN709" s="111"/>
      <c r="BO709" s="111"/>
      <c r="BP709" s="111"/>
      <c r="BQ709" s="111"/>
      <c r="BR709" s="111"/>
      <c r="BS709" s="111"/>
      <c r="DR709" s="29"/>
      <c r="DS709" s="29"/>
      <c r="DT709" s="29"/>
      <c r="DU709" s="29"/>
      <c r="DV709" s="29"/>
      <c r="DW709" s="29"/>
      <c r="DX709" s="29"/>
      <c r="DY709" s="29"/>
      <c r="DZ709" s="29"/>
      <c r="EA709" s="29"/>
      <c r="EB709" s="29"/>
      <c r="EC709" s="29"/>
      <c r="ED709" s="29"/>
      <c r="EE709" s="29"/>
      <c r="EF709" s="111"/>
      <c r="EG709" s="111"/>
      <c r="EH709" s="111"/>
      <c r="EI709" s="111"/>
      <c r="EJ709" s="111"/>
      <c r="EK709" s="111"/>
      <c r="EL709" s="111"/>
      <c r="EM709" s="111"/>
      <c r="EN709" s="111"/>
      <c r="EO709" s="111"/>
      <c r="EP709" s="111"/>
      <c r="EQ709" s="111"/>
      <c r="ER709" s="111"/>
      <c r="ES709" s="111"/>
    </row>
    <row r="710" spans="44:149">
      <c r="AR710" s="29"/>
      <c r="AS710" s="29"/>
      <c r="AT710" s="29"/>
      <c r="AU710" s="29"/>
      <c r="AV710" s="29"/>
      <c r="AW710" s="29"/>
      <c r="AX710" s="29"/>
      <c r="AY710" s="29"/>
      <c r="AZ710" s="29"/>
      <c r="BA710" s="29"/>
      <c r="BB710" s="29"/>
      <c r="BC710" s="29"/>
      <c r="BD710" s="29"/>
      <c r="BE710" s="29"/>
      <c r="BF710" s="111"/>
      <c r="BG710" s="111"/>
      <c r="BH710" s="111"/>
      <c r="BI710" s="111"/>
      <c r="BJ710" s="111"/>
      <c r="BK710" s="111"/>
      <c r="BL710" s="111"/>
      <c r="BM710" s="111"/>
      <c r="BN710" s="111"/>
      <c r="BO710" s="111"/>
      <c r="BP710" s="111"/>
      <c r="BQ710" s="111"/>
      <c r="BR710" s="111"/>
      <c r="BS710" s="111"/>
      <c r="DR710" s="29"/>
      <c r="DS710" s="29"/>
      <c r="DT710" s="29"/>
      <c r="DU710" s="29"/>
      <c r="DV710" s="29"/>
      <c r="DW710" s="29"/>
      <c r="DX710" s="29"/>
      <c r="DY710" s="29"/>
      <c r="DZ710" s="29"/>
      <c r="EA710" s="29"/>
      <c r="EB710" s="29"/>
      <c r="EC710" s="29"/>
      <c r="ED710" s="29"/>
      <c r="EE710" s="29"/>
      <c r="EF710" s="111"/>
      <c r="EG710" s="111"/>
      <c r="EH710" s="111"/>
      <c r="EI710" s="111"/>
      <c r="EJ710" s="111"/>
      <c r="EK710" s="111"/>
      <c r="EL710" s="111"/>
      <c r="EM710" s="111"/>
      <c r="EN710" s="111"/>
      <c r="EO710" s="111"/>
      <c r="EP710" s="111"/>
      <c r="EQ710" s="111"/>
      <c r="ER710" s="111"/>
      <c r="ES710" s="111"/>
    </row>
    <row r="711" spans="44:149">
      <c r="AR711" s="29"/>
      <c r="AS711" s="29"/>
      <c r="AT711" s="29"/>
      <c r="AU711" s="29"/>
      <c r="AV711" s="29"/>
      <c r="AW711" s="29"/>
      <c r="AX711" s="29"/>
      <c r="AY711" s="29"/>
      <c r="AZ711" s="29"/>
      <c r="BA711" s="29"/>
      <c r="BB711" s="29"/>
      <c r="BC711" s="29"/>
      <c r="BD711" s="29"/>
      <c r="BE711" s="29"/>
      <c r="BF711" s="111"/>
      <c r="BG711" s="111"/>
      <c r="BH711" s="111"/>
      <c r="BI711" s="111"/>
      <c r="BJ711" s="111"/>
      <c r="BK711" s="111"/>
      <c r="BL711" s="111"/>
      <c r="BM711" s="111"/>
      <c r="BN711" s="111"/>
      <c r="BO711" s="111"/>
      <c r="BP711" s="111"/>
      <c r="BQ711" s="111"/>
      <c r="BR711" s="111"/>
      <c r="BS711" s="111"/>
      <c r="DR711" s="29"/>
      <c r="DS711" s="29"/>
      <c r="DT711" s="29"/>
      <c r="DU711" s="29"/>
      <c r="DV711" s="29"/>
      <c r="DW711" s="29"/>
      <c r="DX711" s="29"/>
      <c r="DY711" s="29"/>
      <c r="DZ711" s="29"/>
      <c r="EA711" s="29"/>
      <c r="EB711" s="29"/>
      <c r="EC711" s="29"/>
      <c r="ED711" s="29"/>
      <c r="EE711" s="29"/>
      <c r="EF711" s="111"/>
      <c r="EG711" s="111"/>
      <c r="EH711" s="111"/>
      <c r="EI711" s="111"/>
      <c r="EJ711" s="111"/>
      <c r="EK711" s="111"/>
      <c r="EL711" s="111"/>
      <c r="EM711" s="111"/>
      <c r="EN711" s="111"/>
      <c r="EO711" s="111"/>
      <c r="EP711" s="111"/>
      <c r="EQ711" s="111"/>
      <c r="ER711" s="111"/>
      <c r="ES711" s="111"/>
    </row>
    <row r="712" spans="44:149">
      <c r="AR712" s="29"/>
      <c r="AS712" s="29"/>
      <c r="AT712" s="29"/>
      <c r="AU712" s="29"/>
      <c r="AV712" s="29"/>
      <c r="AW712" s="29"/>
      <c r="AX712" s="29"/>
      <c r="AY712" s="29"/>
      <c r="AZ712" s="29"/>
      <c r="BA712" s="29"/>
      <c r="BB712" s="29"/>
      <c r="BC712" s="29"/>
      <c r="BD712" s="29"/>
      <c r="BE712" s="29"/>
      <c r="BF712" s="111"/>
      <c r="BG712" s="111"/>
      <c r="BH712" s="111"/>
      <c r="BI712" s="111"/>
      <c r="BJ712" s="111"/>
      <c r="BK712" s="111"/>
      <c r="BL712" s="111"/>
      <c r="BM712" s="111"/>
      <c r="BN712" s="111"/>
      <c r="BO712" s="111"/>
      <c r="BP712" s="111"/>
      <c r="BQ712" s="111"/>
      <c r="BR712" s="111"/>
      <c r="BS712" s="111"/>
      <c r="DR712" s="29"/>
      <c r="DS712" s="29"/>
      <c r="DT712" s="29"/>
      <c r="DU712" s="29"/>
      <c r="DV712" s="29"/>
      <c r="DW712" s="29"/>
      <c r="DX712" s="29"/>
      <c r="DY712" s="29"/>
      <c r="DZ712" s="29"/>
      <c r="EA712" s="29"/>
      <c r="EB712" s="29"/>
      <c r="EC712" s="29"/>
      <c r="ED712" s="29"/>
      <c r="EE712" s="29"/>
      <c r="EF712" s="111"/>
      <c r="EG712" s="111"/>
      <c r="EH712" s="111"/>
      <c r="EI712" s="111"/>
      <c r="EJ712" s="111"/>
      <c r="EK712" s="111"/>
      <c r="EL712" s="111"/>
      <c r="EM712" s="111"/>
      <c r="EN712" s="111"/>
      <c r="EO712" s="111"/>
      <c r="EP712" s="111"/>
      <c r="EQ712" s="111"/>
      <c r="ER712" s="111"/>
      <c r="ES712" s="111"/>
    </row>
    <row r="713" spans="44:149">
      <c r="AR713" s="29"/>
      <c r="AS713" s="29"/>
      <c r="AT713" s="29"/>
      <c r="AU713" s="29"/>
      <c r="AV713" s="29"/>
      <c r="AW713" s="29"/>
      <c r="AX713" s="29"/>
      <c r="AY713" s="29"/>
      <c r="AZ713" s="29"/>
      <c r="BA713" s="29"/>
      <c r="BB713" s="29"/>
      <c r="BC713" s="29"/>
      <c r="BD713" s="29"/>
      <c r="BE713" s="29"/>
      <c r="BF713" s="111"/>
      <c r="BG713" s="111"/>
      <c r="BH713" s="111"/>
      <c r="BI713" s="111"/>
      <c r="BJ713" s="111"/>
      <c r="BK713" s="111"/>
      <c r="BL713" s="111"/>
      <c r="BM713" s="111"/>
      <c r="BN713" s="111"/>
      <c r="BO713" s="111"/>
      <c r="BP713" s="111"/>
      <c r="BQ713" s="111"/>
      <c r="BR713" s="111"/>
      <c r="BS713" s="111"/>
      <c r="DR713" s="29"/>
      <c r="DS713" s="29"/>
      <c r="DT713" s="29"/>
      <c r="DU713" s="29"/>
      <c r="DV713" s="29"/>
      <c r="DW713" s="29"/>
      <c r="DX713" s="29"/>
      <c r="DY713" s="29"/>
      <c r="DZ713" s="29"/>
      <c r="EA713" s="29"/>
      <c r="EB713" s="29"/>
      <c r="EC713" s="29"/>
      <c r="ED713" s="29"/>
      <c r="EE713" s="29"/>
      <c r="EF713" s="111"/>
      <c r="EG713" s="111"/>
      <c r="EH713" s="111"/>
      <c r="EI713" s="111"/>
      <c r="EJ713" s="111"/>
      <c r="EK713" s="111"/>
      <c r="EL713" s="111"/>
      <c r="EM713" s="111"/>
      <c r="EN713" s="111"/>
      <c r="EO713" s="111"/>
      <c r="EP713" s="111"/>
      <c r="EQ713" s="111"/>
      <c r="ER713" s="111"/>
      <c r="ES713" s="111"/>
    </row>
    <row r="714" spans="44:149">
      <c r="AR714" s="29"/>
      <c r="AS714" s="29"/>
      <c r="AT714" s="29"/>
      <c r="AU714" s="29"/>
      <c r="AV714" s="29"/>
      <c r="AW714" s="29"/>
      <c r="AX714" s="29"/>
      <c r="AY714" s="29"/>
      <c r="AZ714" s="29"/>
      <c r="BA714" s="29"/>
      <c r="BB714" s="29"/>
      <c r="BC714" s="29"/>
      <c r="BD714" s="29"/>
      <c r="BE714" s="29"/>
      <c r="BF714" s="111"/>
      <c r="BG714" s="111"/>
      <c r="BH714" s="111"/>
      <c r="BI714" s="111"/>
      <c r="BJ714" s="111"/>
      <c r="BK714" s="111"/>
      <c r="BL714" s="111"/>
      <c r="BM714" s="111"/>
      <c r="BN714" s="111"/>
      <c r="BO714" s="111"/>
      <c r="BP714" s="111"/>
      <c r="BQ714" s="111"/>
      <c r="BR714" s="111"/>
      <c r="BS714" s="111"/>
      <c r="DR714" s="29"/>
      <c r="DS714" s="29"/>
      <c r="DT714" s="29"/>
      <c r="DU714" s="29"/>
      <c r="DV714" s="29"/>
      <c r="DW714" s="29"/>
      <c r="DX714" s="29"/>
      <c r="DY714" s="29"/>
      <c r="DZ714" s="29"/>
      <c r="EA714" s="29"/>
      <c r="EB714" s="29"/>
      <c r="EC714" s="29"/>
      <c r="ED714" s="29"/>
      <c r="EE714" s="29"/>
      <c r="EF714" s="111"/>
      <c r="EG714" s="111"/>
      <c r="EH714" s="111"/>
      <c r="EI714" s="111"/>
      <c r="EJ714" s="111"/>
      <c r="EK714" s="111"/>
      <c r="EL714" s="111"/>
      <c r="EM714" s="111"/>
      <c r="EN714" s="111"/>
      <c r="EO714" s="111"/>
      <c r="EP714" s="111"/>
      <c r="EQ714" s="111"/>
      <c r="ER714" s="111"/>
      <c r="ES714" s="111"/>
    </row>
    <row r="715" spans="44:149">
      <c r="AR715" s="29"/>
      <c r="AS715" s="29"/>
      <c r="AT715" s="29"/>
      <c r="AU715" s="29"/>
      <c r="AV715" s="29"/>
      <c r="AW715" s="29"/>
      <c r="AX715" s="29"/>
      <c r="AY715" s="29"/>
      <c r="AZ715" s="29"/>
      <c r="BA715" s="29"/>
      <c r="BB715" s="29"/>
      <c r="BC715" s="29"/>
      <c r="BD715" s="29"/>
      <c r="BE715" s="29"/>
      <c r="BF715" s="111"/>
      <c r="BG715" s="111"/>
      <c r="BH715" s="111"/>
      <c r="BI715" s="111"/>
      <c r="BJ715" s="111"/>
      <c r="BK715" s="111"/>
      <c r="BL715" s="111"/>
      <c r="BM715" s="111"/>
      <c r="BN715" s="111"/>
      <c r="BO715" s="111"/>
      <c r="BP715" s="111"/>
      <c r="BQ715" s="111"/>
      <c r="BR715" s="111"/>
      <c r="BS715" s="111"/>
      <c r="DR715" s="29"/>
      <c r="DS715" s="29"/>
      <c r="DT715" s="29"/>
      <c r="DU715" s="29"/>
      <c r="DV715" s="29"/>
      <c r="DW715" s="29"/>
      <c r="DX715" s="29"/>
      <c r="DY715" s="29"/>
      <c r="DZ715" s="29"/>
      <c r="EA715" s="29"/>
      <c r="EB715" s="29"/>
      <c r="EC715" s="29"/>
      <c r="ED715" s="29"/>
      <c r="EE715" s="29"/>
      <c r="EF715" s="111"/>
      <c r="EG715" s="111"/>
      <c r="EH715" s="111"/>
      <c r="EI715" s="111"/>
      <c r="EJ715" s="111"/>
      <c r="EK715" s="111"/>
      <c r="EL715" s="111"/>
      <c r="EM715" s="111"/>
      <c r="EN715" s="111"/>
      <c r="EO715" s="111"/>
      <c r="EP715" s="111"/>
      <c r="EQ715" s="111"/>
      <c r="ER715" s="111"/>
      <c r="ES715" s="111"/>
    </row>
    <row r="716" spans="44:149">
      <c r="AR716" s="29"/>
      <c r="AS716" s="29"/>
      <c r="AT716" s="29"/>
      <c r="AU716" s="29"/>
      <c r="AV716" s="29"/>
      <c r="AW716" s="29"/>
      <c r="AX716" s="29"/>
      <c r="AY716" s="29"/>
      <c r="AZ716" s="29"/>
      <c r="BA716" s="29"/>
      <c r="BB716" s="29"/>
      <c r="BC716" s="29"/>
      <c r="BD716" s="29"/>
      <c r="BE716" s="29"/>
      <c r="BF716" s="111"/>
      <c r="BG716" s="111"/>
      <c r="BH716" s="111"/>
      <c r="BI716" s="111"/>
      <c r="BJ716" s="111"/>
      <c r="BK716" s="111"/>
      <c r="BL716" s="111"/>
      <c r="BM716" s="111"/>
      <c r="BN716" s="111"/>
      <c r="BO716" s="111"/>
      <c r="BP716" s="111"/>
      <c r="BQ716" s="111"/>
      <c r="BR716" s="111"/>
      <c r="BS716" s="111"/>
      <c r="DR716" s="29"/>
      <c r="DS716" s="29"/>
      <c r="DT716" s="29"/>
      <c r="DU716" s="29"/>
      <c r="DV716" s="29"/>
      <c r="DW716" s="29"/>
      <c r="DX716" s="29"/>
      <c r="DY716" s="29"/>
      <c r="DZ716" s="29"/>
      <c r="EA716" s="29"/>
      <c r="EB716" s="29"/>
      <c r="EC716" s="29"/>
      <c r="ED716" s="29"/>
      <c r="EE716" s="29"/>
      <c r="EF716" s="111"/>
      <c r="EG716" s="111"/>
      <c r="EH716" s="111"/>
      <c r="EI716" s="111"/>
      <c r="EJ716" s="111"/>
      <c r="EK716" s="111"/>
      <c r="EL716" s="111"/>
      <c r="EM716" s="111"/>
      <c r="EN716" s="111"/>
      <c r="EO716" s="111"/>
      <c r="EP716" s="111"/>
      <c r="EQ716" s="111"/>
      <c r="ER716" s="111"/>
      <c r="ES716" s="111"/>
    </row>
    <row r="717" spans="44:149">
      <c r="AR717" s="29"/>
      <c r="AS717" s="29"/>
      <c r="AT717" s="29"/>
      <c r="AU717" s="29"/>
      <c r="AV717" s="29"/>
      <c r="AW717" s="29"/>
      <c r="AX717" s="29"/>
      <c r="AY717" s="29"/>
      <c r="AZ717" s="29"/>
      <c r="BA717" s="29"/>
      <c r="BB717" s="29"/>
      <c r="BC717" s="29"/>
      <c r="BD717" s="29"/>
      <c r="BE717" s="29"/>
      <c r="BF717" s="111"/>
      <c r="BG717" s="111"/>
      <c r="BH717" s="111"/>
      <c r="BI717" s="111"/>
      <c r="BJ717" s="111"/>
      <c r="BK717" s="111"/>
      <c r="BL717" s="111"/>
      <c r="BM717" s="111"/>
      <c r="BN717" s="111"/>
      <c r="BO717" s="111"/>
      <c r="BP717" s="111"/>
      <c r="BQ717" s="111"/>
      <c r="BR717" s="111"/>
      <c r="BS717" s="111"/>
      <c r="DR717" s="29"/>
      <c r="DS717" s="29"/>
      <c r="DT717" s="29"/>
      <c r="DU717" s="29"/>
      <c r="DV717" s="29"/>
      <c r="DW717" s="29"/>
      <c r="DX717" s="29"/>
      <c r="DY717" s="29"/>
      <c r="DZ717" s="29"/>
      <c r="EA717" s="29"/>
      <c r="EB717" s="29"/>
      <c r="EC717" s="29"/>
      <c r="ED717" s="29"/>
      <c r="EE717" s="29"/>
      <c r="EF717" s="111"/>
      <c r="EG717" s="111"/>
      <c r="EH717" s="111"/>
      <c r="EI717" s="111"/>
      <c r="EJ717" s="111"/>
      <c r="EK717" s="111"/>
      <c r="EL717" s="111"/>
      <c r="EM717" s="111"/>
      <c r="EN717" s="111"/>
      <c r="EO717" s="111"/>
      <c r="EP717" s="111"/>
      <c r="EQ717" s="111"/>
      <c r="ER717" s="111"/>
      <c r="ES717" s="111"/>
    </row>
    <row r="718" spans="44:149">
      <c r="AR718" s="29"/>
      <c r="AS718" s="29"/>
      <c r="AT718" s="29"/>
      <c r="AU718" s="29"/>
      <c r="AV718" s="29"/>
      <c r="AW718" s="29"/>
      <c r="AX718" s="29"/>
      <c r="AY718" s="29"/>
      <c r="AZ718" s="29"/>
      <c r="BA718" s="29"/>
      <c r="BB718" s="29"/>
      <c r="BC718" s="29"/>
      <c r="BD718" s="29"/>
      <c r="BE718" s="29"/>
      <c r="BF718" s="111"/>
      <c r="BG718" s="111"/>
      <c r="BH718" s="111"/>
      <c r="BI718" s="111"/>
      <c r="BJ718" s="111"/>
      <c r="BK718" s="111"/>
      <c r="BL718" s="111"/>
      <c r="BM718" s="111"/>
      <c r="BN718" s="111"/>
      <c r="BO718" s="111"/>
      <c r="BP718" s="111"/>
      <c r="BQ718" s="111"/>
      <c r="BR718" s="111"/>
      <c r="BS718" s="111"/>
      <c r="DR718" s="29"/>
      <c r="DS718" s="29"/>
      <c r="DT718" s="29"/>
      <c r="DU718" s="29"/>
      <c r="DV718" s="29"/>
      <c r="DW718" s="29"/>
      <c r="DX718" s="29"/>
      <c r="DY718" s="29"/>
      <c r="DZ718" s="29"/>
      <c r="EA718" s="29"/>
      <c r="EB718" s="29"/>
      <c r="EC718" s="29"/>
      <c r="ED718" s="29"/>
      <c r="EE718" s="29"/>
      <c r="EF718" s="111"/>
      <c r="EG718" s="111"/>
      <c r="EH718" s="111"/>
      <c r="EI718" s="111"/>
      <c r="EJ718" s="111"/>
      <c r="EK718" s="111"/>
      <c r="EL718" s="111"/>
      <c r="EM718" s="111"/>
      <c r="EN718" s="111"/>
      <c r="EO718" s="111"/>
      <c r="EP718" s="111"/>
      <c r="EQ718" s="111"/>
      <c r="ER718" s="111"/>
      <c r="ES718" s="111"/>
    </row>
    <row r="719" spans="44:149">
      <c r="AR719" s="29"/>
      <c r="AS719" s="29"/>
      <c r="AT719" s="29"/>
      <c r="AU719" s="29"/>
      <c r="AV719" s="29"/>
      <c r="AW719" s="29"/>
      <c r="AX719" s="29"/>
      <c r="AY719" s="29"/>
      <c r="AZ719" s="29"/>
      <c r="BA719" s="29"/>
      <c r="BB719" s="29"/>
      <c r="BC719" s="29"/>
      <c r="BD719" s="29"/>
      <c r="BE719" s="29"/>
      <c r="BF719" s="111"/>
      <c r="BG719" s="111"/>
      <c r="BH719" s="111"/>
      <c r="BI719" s="111"/>
      <c r="BJ719" s="111"/>
      <c r="BK719" s="111"/>
      <c r="BL719" s="111"/>
      <c r="BM719" s="111"/>
      <c r="BN719" s="111"/>
      <c r="BO719" s="111"/>
      <c r="BP719" s="111"/>
      <c r="BQ719" s="111"/>
      <c r="BR719" s="111"/>
      <c r="BS719" s="111"/>
      <c r="DR719" s="29"/>
      <c r="DS719" s="29"/>
      <c r="DT719" s="29"/>
      <c r="DU719" s="29"/>
      <c r="DV719" s="29"/>
      <c r="DW719" s="29"/>
      <c r="DX719" s="29"/>
      <c r="DY719" s="29"/>
      <c r="DZ719" s="29"/>
      <c r="EA719" s="29"/>
      <c r="EB719" s="29"/>
      <c r="EC719" s="29"/>
      <c r="ED719" s="29"/>
      <c r="EE719" s="29"/>
      <c r="EF719" s="111"/>
      <c r="EG719" s="111"/>
      <c r="EH719" s="111"/>
      <c r="EI719" s="111"/>
      <c r="EJ719" s="111"/>
      <c r="EK719" s="111"/>
      <c r="EL719" s="111"/>
      <c r="EM719" s="111"/>
      <c r="EN719" s="111"/>
      <c r="EO719" s="111"/>
      <c r="EP719" s="111"/>
      <c r="EQ719" s="111"/>
      <c r="ER719" s="111"/>
      <c r="ES719" s="111"/>
    </row>
    <row r="720" spans="44:149">
      <c r="AR720" s="29"/>
      <c r="AS720" s="29"/>
      <c r="AT720" s="29"/>
      <c r="AU720" s="29"/>
      <c r="AV720" s="29"/>
      <c r="AW720" s="29"/>
      <c r="AX720" s="29"/>
      <c r="AY720" s="29"/>
      <c r="AZ720" s="29"/>
      <c r="BA720" s="29"/>
      <c r="BB720" s="29"/>
      <c r="BC720" s="29"/>
      <c r="BD720" s="29"/>
      <c r="BE720" s="29"/>
      <c r="BF720" s="111"/>
      <c r="BG720" s="111"/>
      <c r="BH720" s="111"/>
      <c r="BI720" s="111"/>
      <c r="BJ720" s="111"/>
      <c r="BK720" s="111"/>
      <c r="BL720" s="111"/>
      <c r="BM720" s="111"/>
      <c r="BN720" s="111"/>
      <c r="BO720" s="111"/>
      <c r="BP720" s="111"/>
      <c r="BQ720" s="111"/>
      <c r="BR720" s="111"/>
      <c r="BS720" s="111"/>
      <c r="DR720" s="29"/>
      <c r="DS720" s="29"/>
      <c r="DT720" s="29"/>
      <c r="DU720" s="29"/>
      <c r="DV720" s="29"/>
      <c r="DW720" s="29"/>
      <c r="DX720" s="29"/>
      <c r="DY720" s="29"/>
      <c r="DZ720" s="29"/>
      <c r="EA720" s="29"/>
      <c r="EB720" s="29"/>
      <c r="EC720" s="29"/>
      <c r="ED720" s="29"/>
      <c r="EE720" s="29"/>
      <c r="EF720" s="111"/>
      <c r="EG720" s="111"/>
      <c r="EH720" s="111"/>
      <c r="EI720" s="111"/>
      <c r="EJ720" s="111"/>
      <c r="EK720" s="111"/>
      <c r="EL720" s="111"/>
      <c r="EM720" s="111"/>
      <c r="EN720" s="111"/>
      <c r="EO720" s="111"/>
      <c r="EP720" s="111"/>
      <c r="EQ720" s="111"/>
      <c r="ER720" s="111"/>
      <c r="ES720" s="111"/>
    </row>
    <row r="721" spans="44:149">
      <c r="AR721" s="29"/>
      <c r="AS721" s="29"/>
      <c r="AT721" s="29"/>
      <c r="AU721" s="29"/>
      <c r="AV721" s="29"/>
      <c r="AW721" s="29"/>
      <c r="AX721" s="29"/>
      <c r="AY721" s="29"/>
      <c r="AZ721" s="29"/>
      <c r="BA721" s="29"/>
      <c r="BB721" s="29"/>
      <c r="BC721" s="29"/>
      <c r="BD721" s="29"/>
      <c r="BE721" s="29"/>
      <c r="BF721" s="111"/>
      <c r="BG721" s="111"/>
      <c r="BH721" s="111"/>
      <c r="BI721" s="111"/>
      <c r="BJ721" s="111"/>
      <c r="BK721" s="111"/>
      <c r="BL721" s="111"/>
      <c r="BM721" s="111"/>
      <c r="BN721" s="111"/>
      <c r="BO721" s="111"/>
      <c r="BP721" s="111"/>
      <c r="BQ721" s="111"/>
      <c r="BR721" s="111"/>
      <c r="BS721" s="111"/>
      <c r="DR721" s="29"/>
      <c r="DS721" s="29"/>
      <c r="DT721" s="29"/>
      <c r="DU721" s="29"/>
      <c r="DV721" s="29"/>
      <c r="DW721" s="29"/>
      <c r="DX721" s="29"/>
      <c r="DY721" s="29"/>
      <c r="DZ721" s="29"/>
      <c r="EA721" s="29"/>
      <c r="EB721" s="29"/>
      <c r="EC721" s="29"/>
      <c r="ED721" s="29"/>
      <c r="EE721" s="29"/>
      <c r="EF721" s="111"/>
      <c r="EG721" s="111"/>
      <c r="EH721" s="111"/>
      <c r="EI721" s="111"/>
      <c r="EJ721" s="111"/>
      <c r="EK721" s="111"/>
      <c r="EL721" s="111"/>
      <c r="EM721" s="111"/>
      <c r="EN721" s="111"/>
      <c r="EO721" s="111"/>
      <c r="EP721" s="111"/>
      <c r="EQ721" s="111"/>
      <c r="ER721" s="111"/>
      <c r="ES721" s="111"/>
    </row>
    <row r="722" spans="44:149">
      <c r="AR722" s="29"/>
      <c r="AS722" s="29"/>
      <c r="AT722" s="29"/>
      <c r="AU722" s="29"/>
      <c r="AV722" s="29"/>
      <c r="AW722" s="29"/>
      <c r="AX722" s="29"/>
      <c r="AY722" s="29"/>
      <c r="AZ722" s="29"/>
      <c r="BA722" s="29"/>
      <c r="BB722" s="29"/>
      <c r="BC722" s="29"/>
      <c r="BD722" s="29"/>
      <c r="BE722" s="29"/>
      <c r="BF722" s="111"/>
      <c r="BG722" s="111"/>
      <c r="BH722" s="111"/>
      <c r="BI722" s="111"/>
      <c r="BJ722" s="111"/>
      <c r="BK722" s="111"/>
      <c r="BL722" s="111"/>
      <c r="BM722" s="111"/>
      <c r="BN722" s="111"/>
      <c r="BO722" s="111"/>
      <c r="BP722" s="111"/>
      <c r="BQ722" s="111"/>
      <c r="BR722" s="111"/>
      <c r="BS722" s="111"/>
      <c r="DR722" s="29"/>
      <c r="DS722" s="29"/>
      <c r="DT722" s="29"/>
      <c r="DU722" s="29"/>
      <c r="DV722" s="29"/>
      <c r="DW722" s="29"/>
      <c r="DX722" s="29"/>
      <c r="DY722" s="29"/>
      <c r="DZ722" s="29"/>
      <c r="EA722" s="29"/>
      <c r="EB722" s="29"/>
      <c r="EC722" s="29"/>
      <c r="ED722" s="29"/>
      <c r="EE722" s="29"/>
      <c r="EF722" s="111"/>
      <c r="EG722" s="111"/>
      <c r="EH722" s="111"/>
      <c r="EI722" s="111"/>
      <c r="EJ722" s="111"/>
      <c r="EK722" s="111"/>
      <c r="EL722" s="111"/>
      <c r="EM722" s="111"/>
      <c r="EN722" s="111"/>
      <c r="EO722" s="111"/>
      <c r="EP722" s="111"/>
      <c r="EQ722" s="111"/>
      <c r="ER722" s="111"/>
      <c r="ES722" s="111"/>
    </row>
    <row r="723" spans="44:149">
      <c r="AR723" s="29"/>
      <c r="AS723" s="29"/>
      <c r="AT723" s="29"/>
      <c r="AU723" s="29"/>
      <c r="AV723" s="29"/>
      <c r="AW723" s="29"/>
      <c r="AX723" s="29"/>
      <c r="AY723" s="29"/>
      <c r="AZ723" s="29"/>
      <c r="BA723" s="29"/>
      <c r="BB723" s="29"/>
      <c r="BC723" s="29"/>
      <c r="BD723" s="29"/>
      <c r="BE723" s="29"/>
      <c r="BF723" s="111"/>
      <c r="BG723" s="111"/>
      <c r="BH723" s="111"/>
      <c r="BI723" s="111"/>
      <c r="BJ723" s="111"/>
      <c r="BK723" s="111"/>
      <c r="BL723" s="111"/>
      <c r="BM723" s="111"/>
      <c r="BN723" s="111"/>
      <c r="BO723" s="111"/>
      <c r="BP723" s="111"/>
      <c r="BQ723" s="111"/>
      <c r="BR723" s="111"/>
      <c r="BS723" s="111"/>
      <c r="DR723" s="29"/>
      <c r="DS723" s="29"/>
      <c r="DT723" s="29"/>
      <c r="DU723" s="29"/>
      <c r="DV723" s="29"/>
      <c r="DW723" s="29"/>
      <c r="DX723" s="29"/>
      <c r="DY723" s="29"/>
      <c r="DZ723" s="29"/>
      <c r="EA723" s="29"/>
      <c r="EB723" s="29"/>
      <c r="EC723" s="29"/>
      <c r="ED723" s="29"/>
      <c r="EE723" s="29"/>
      <c r="EF723" s="111"/>
      <c r="EG723" s="111"/>
      <c r="EH723" s="111"/>
      <c r="EI723" s="111"/>
      <c r="EJ723" s="111"/>
      <c r="EK723" s="111"/>
      <c r="EL723" s="111"/>
      <c r="EM723" s="111"/>
      <c r="EN723" s="111"/>
      <c r="EO723" s="111"/>
      <c r="EP723" s="111"/>
      <c r="EQ723" s="111"/>
      <c r="ER723" s="111"/>
      <c r="ES723" s="111"/>
    </row>
    <row r="724" spans="44:149">
      <c r="AR724" s="29"/>
      <c r="AS724" s="29"/>
      <c r="AT724" s="29"/>
      <c r="AU724" s="29"/>
      <c r="AV724" s="29"/>
      <c r="AW724" s="29"/>
      <c r="AX724" s="29"/>
      <c r="AY724" s="29"/>
      <c r="AZ724" s="29"/>
      <c r="BA724" s="29"/>
      <c r="BB724" s="29"/>
      <c r="BC724" s="29"/>
      <c r="BD724" s="29"/>
      <c r="BE724" s="29"/>
      <c r="BF724" s="111"/>
      <c r="BG724" s="111"/>
      <c r="BH724" s="111"/>
      <c r="BI724" s="111"/>
      <c r="BJ724" s="111"/>
      <c r="BK724" s="111"/>
      <c r="BL724" s="111"/>
      <c r="BM724" s="111"/>
      <c r="BN724" s="111"/>
      <c r="BO724" s="111"/>
      <c r="BP724" s="111"/>
      <c r="BQ724" s="111"/>
      <c r="BR724" s="111"/>
      <c r="BS724" s="111"/>
      <c r="DR724" s="29"/>
      <c r="DS724" s="29"/>
      <c r="DT724" s="29"/>
      <c r="DU724" s="29"/>
      <c r="DV724" s="29"/>
      <c r="DW724" s="29"/>
      <c r="DX724" s="29"/>
      <c r="DY724" s="29"/>
      <c r="DZ724" s="29"/>
      <c r="EA724" s="29"/>
      <c r="EB724" s="29"/>
      <c r="EC724" s="29"/>
      <c r="ED724" s="29"/>
      <c r="EE724" s="29"/>
      <c r="EF724" s="111"/>
      <c r="EG724" s="111"/>
      <c r="EH724" s="111"/>
      <c r="EI724" s="111"/>
      <c r="EJ724" s="111"/>
      <c r="EK724" s="111"/>
      <c r="EL724" s="111"/>
      <c r="EM724" s="111"/>
      <c r="EN724" s="111"/>
      <c r="EO724" s="111"/>
      <c r="EP724" s="111"/>
      <c r="EQ724" s="111"/>
      <c r="ER724" s="111"/>
      <c r="ES724" s="111"/>
    </row>
    <row r="725" spans="44:149">
      <c r="AR725" s="29"/>
      <c r="AS725" s="29"/>
      <c r="AT725" s="29"/>
      <c r="AU725" s="29"/>
      <c r="AV725" s="29"/>
      <c r="AW725" s="29"/>
      <c r="AX725" s="29"/>
      <c r="AY725" s="29"/>
      <c r="AZ725" s="29"/>
      <c r="BA725" s="29"/>
      <c r="BB725" s="29"/>
      <c r="BC725" s="29"/>
      <c r="BD725" s="29"/>
      <c r="BE725" s="29"/>
      <c r="BF725" s="111"/>
      <c r="BG725" s="111"/>
      <c r="BH725" s="111"/>
      <c r="BI725" s="111"/>
      <c r="BJ725" s="111"/>
      <c r="BK725" s="111"/>
      <c r="BL725" s="111"/>
      <c r="BM725" s="111"/>
      <c r="BN725" s="111"/>
      <c r="BO725" s="111"/>
      <c r="BP725" s="111"/>
      <c r="BQ725" s="111"/>
      <c r="BR725" s="111"/>
      <c r="BS725" s="111"/>
      <c r="DR725" s="29"/>
      <c r="DS725" s="29"/>
      <c r="DT725" s="29"/>
      <c r="DU725" s="29"/>
      <c r="DV725" s="29"/>
      <c r="DW725" s="29"/>
      <c r="DX725" s="29"/>
      <c r="DY725" s="29"/>
      <c r="DZ725" s="29"/>
      <c r="EA725" s="29"/>
      <c r="EB725" s="29"/>
      <c r="EC725" s="29"/>
      <c r="ED725" s="29"/>
      <c r="EE725" s="29"/>
      <c r="EF725" s="111"/>
      <c r="EG725" s="111"/>
      <c r="EH725" s="111"/>
      <c r="EI725" s="111"/>
      <c r="EJ725" s="111"/>
      <c r="EK725" s="111"/>
      <c r="EL725" s="111"/>
      <c r="EM725" s="111"/>
      <c r="EN725" s="111"/>
      <c r="EO725" s="111"/>
      <c r="EP725" s="111"/>
      <c r="EQ725" s="111"/>
      <c r="ER725" s="111"/>
      <c r="ES725" s="111"/>
    </row>
    <row r="726" spans="44:149">
      <c r="AR726" s="29"/>
      <c r="AS726" s="29"/>
      <c r="AT726" s="29"/>
      <c r="AU726" s="29"/>
      <c r="AV726" s="29"/>
      <c r="AW726" s="29"/>
      <c r="AX726" s="29"/>
      <c r="AY726" s="29"/>
      <c r="AZ726" s="29"/>
      <c r="BA726" s="29"/>
      <c r="BB726" s="29"/>
      <c r="BC726" s="29"/>
      <c r="BD726" s="29"/>
      <c r="BE726" s="29"/>
      <c r="BF726" s="111"/>
      <c r="BG726" s="111"/>
      <c r="BH726" s="111"/>
      <c r="BI726" s="111"/>
      <c r="BJ726" s="111"/>
      <c r="BK726" s="111"/>
      <c r="BL726" s="111"/>
      <c r="BM726" s="111"/>
      <c r="BN726" s="111"/>
      <c r="BO726" s="111"/>
      <c r="BP726" s="111"/>
      <c r="BQ726" s="111"/>
      <c r="BR726" s="111"/>
      <c r="BS726" s="111"/>
      <c r="DR726" s="29"/>
      <c r="DS726" s="29"/>
      <c r="DT726" s="29"/>
      <c r="DU726" s="29"/>
      <c r="DV726" s="29"/>
      <c r="DW726" s="29"/>
      <c r="DX726" s="29"/>
      <c r="DY726" s="29"/>
      <c r="DZ726" s="29"/>
      <c r="EA726" s="29"/>
      <c r="EB726" s="29"/>
      <c r="EC726" s="29"/>
      <c r="ED726" s="29"/>
      <c r="EE726" s="29"/>
      <c r="EF726" s="111"/>
      <c r="EG726" s="111"/>
      <c r="EH726" s="111"/>
      <c r="EI726" s="111"/>
      <c r="EJ726" s="111"/>
      <c r="EK726" s="111"/>
      <c r="EL726" s="111"/>
      <c r="EM726" s="111"/>
      <c r="EN726" s="111"/>
      <c r="EO726" s="111"/>
      <c r="EP726" s="111"/>
      <c r="EQ726" s="111"/>
      <c r="ER726" s="111"/>
      <c r="ES726" s="111"/>
    </row>
    <row r="727" spans="44:149">
      <c r="AR727" s="29"/>
      <c r="AS727" s="29"/>
      <c r="AT727" s="29"/>
      <c r="AU727" s="29"/>
      <c r="AV727" s="29"/>
      <c r="AW727" s="29"/>
      <c r="AX727" s="29"/>
      <c r="AY727" s="29"/>
      <c r="AZ727" s="29"/>
      <c r="BA727" s="29"/>
      <c r="BB727" s="29"/>
      <c r="BC727" s="29"/>
      <c r="BD727" s="29"/>
      <c r="BE727" s="29"/>
      <c r="BF727" s="111"/>
      <c r="BG727" s="111"/>
      <c r="BH727" s="111"/>
      <c r="BI727" s="111"/>
      <c r="BJ727" s="111"/>
      <c r="BK727" s="111"/>
      <c r="BL727" s="111"/>
      <c r="BM727" s="111"/>
      <c r="BN727" s="111"/>
      <c r="BO727" s="111"/>
      <c r="BP727" s="111"/>
      <c r="BQ727" s="111"/>
      <c r="BR727" s="111"/>
      <c r="BS727" s="111"/>
      <c r="DR727" s="29"/>
      <c r="DS727" s="29"/>
      <c r="DT727" s="29"/>
      <c r="DU727" s="29"/>
      <c r="DV727" s="29"/>
      <c r="DW727" s="29"/>
      <c r="DX727" s="29"/>
      <c r="DY727" s="29"/>
      <c r="DZ727" s="29"/>
      <c r="EA727" s="29"/>
      <c r="EB727" s="29"/>
      <c r="EC727" s="29"/>
      <c r="ED727" s="29"/>
      <c r="EE727" s="29"/>
      <c r="EF727" s="111"/>
      <c r="EG727" s="111"/>
      <c r="EH727" s="111"/>
      <c r="EI727" s="111"/>
      <c r="EJ727" s="111"/>
      <c r="EK727" s="111"/>
      <c r="EL727" s="111"/>
      <c r="EM727" s="111"/>
      <c r="EN727" s="111"/>
      <c r="EO727" s="111"/>
      <c r="EP727" s="111"/>
      <c r="EQ727" s="111"/>
      <c r="ER727" s="111"/>
      <c r="ES727" s="111"/>
    </row>
    <row r="728" spans="44:149">
      <c r="AR728" s="29"/>
      <c r="AS728" s="29"/>
      <c r="AT728" s="29"/>
      <c r="AU728" s="29"/>
      <c r="AV728" s="29"/>
      <c r="AW728" s="29"/>
      <c r="AX728" s="29"/>
      <c r="AY728" s="29"/>
      <c r="AZ728" s="29"/>
      <c r="BA728" s="29"/>
      <c r="BB728" s="29"/>
      <c r="BC728" s="29"/>
      <c r="BD728" s="29"/>
      <c r="BE728" s="29"/>
      <c r="BF728" s="111"/>
      <c r="BG728" s="111"/>
      <c r="BH728" s="111"/>
      <c r="BI728" s="111"/>
      <c r="BJ728" s="111"/>
      <c r="BK728" s="111"/>
      <c r="BL728" s="111"/>
      <c r="BM728" s="111"/>
      <c r="BN728" s="111"/>
      <c r="BO728" s="111"/>
      <c r="BP728" s="111"/>
      <c r="BQ728" s="111"/>
      <c r="BR728" s="111"/>
      <c r="BS728" s="111"/>
      <c r="DR728" s="29"/>
      <c r="DS728" s="29"/>
      <c r="DT728" s="29"/>
      <c r="DU728" s="29"/>
      <c r="DV728" s="29"/>
      <c r="DW728" s="29"/>
      <c r="DX728" s="29"/>
      <c r="DY728" s="29"/>
      <c r="DZ728" s="29"/>
      <c r="EA728" s="29"/>
      <c r="EB728" s="29"/>
      <c r="EC728" s="29"/>
      <c r="ED728" s="29"/>
      <c r="EE728" s="29"/>
      <c r="EF728" s="111"/>
      <c r="EG728" s="111"/>
      <c r="EH728" s="111"/>
      <c r="EI728" s="111"/>
      <c r="EJ728" s="111"/>
      <c r="EK728" s="111"/>
      <c r="EL728" s="111"/>
      <c r="EM728" s="111"/>
      <c r="EN728" s="111"/>
      <c r="EO728" s="111"/>
      <c r="EP728" s="111"/>
      <c r="EQ728" s="111"/>
      <c r="ER728" s="111"/>
      <c r="ES728" s="111"/>
    </row>
    <row r="729" spans="44:149">
      <c r="AR729" s="29"/>
      <c r="AS729" s="29"/>
      <c r="AT729" s="29"/>
      <c r="AU729" s="29"/>
      <c r="AV729" s="29"/>
      <c r="AW729" s="29"/>
      <c r="AX729" s="29"/>
      <c r="AY729" s="29"/>
      <c r="AZ729" s="29"/>
      <c r="BA729" s="29"/>
      <c r="BB729" s="29"/>
      <c r="BC729" s="29"/>
      <c r="BD729" s="29"/>
      <c r="BE729" s="29"/>
      <c r="BF729" s="111"/>
      <c r="BG729" s="111"/>
      <c r="BH729" s="111"/>
      <c r="BI729" s="111"/>
      <c r="BJ729" s="111"/>
      <c r="BK729" s="111"/>
      <c r="BL729" s="111"/>
      <c r="BM729" s="111"/>
      <c r="BN729" s="111"/>
      <c r="BO729" s="111"/>
      <c r="BP729" s="111"/>
      <c r="BQ729" s="111"/>
      <c r="BR729" s="111"/>
      <c r="BS729" s="111"/>
      <c r="DR729" s="29"/>
      <c r="DS729" s="29"/>
      <c r="DT729" s="29"/>
      <c r="DU729" s="29"/>
      <c r="DV729" s="29"/>
      <c r="DW729" s="29"/>
      <c r="DX729" s="29"/>
      <c r="DY729" s="29"/>
      <c r="DZ729" s="29"/>
      <c r="EA729" s="29"/>
      <c r="EB729" s="29"/>
      <c r="EC729" s="29"/>
      <c r="ED729" s="29"/>
      <c r="EE729" s="29"/>
      <c r="EF729" s="111"/>
      <c r="EG729" s="111"/>
      <c r="EH729" s="111"/>
      <c r="EI729" s="111"/>
      <c r="EJ729" s="111"/>
      <c r="EK729" s="111"/>
      <c r="EL729" s="111"/>
      <c r="EM729" s="111"/>
      <c r="EN729" s="111"/>
      <c r="EO729" s="111"/>
      <c r="EP729" s="111"/>
      <c r="EQ729" s="111"/>
      <c r="ER729" s="111"/>
      <c r="ES729" s="111"/>
    </row>
    <row r="730" spans="44:149">
      <c r="AR730" s="29"/>
      <c r="AS730" s="29"/>
      <c r="AT730" s="29"/>
      <c r="AU730" s="29"/>
      <c r="AV730" s="29"/>
      <c r="AW730" s="29"/>
      <c r="AX730" s="29"/>
      <c r="AY730" s="29"/>
      <c r="AZ730" s="29"/>
      <c r="BA730" s="29"/>
      <c r="BB730" s="29"/>
      <c r="BC730" s="29"/>
      <c r="BD730" s="29"/>
      <c r="BE730" s="29"/>
      <c r="BF730" s="111"/>
      <c r="BG730" s="111"/>
      <c r="BH730" s="111"/>
      <c r="BI730" s="111"/>
      <c r="BJ730" s="111"/>
      <c r="BK730" s="111"/>
      <c r="BL730" s="111"/>
      <c r="BM730" s="111"/>
      <c r="BN730" s="111"/>
      <c r="BO730" s="111"/>
      <c r="BP730" s="111"/>
      <c r="BQ730" s="111"/>
      <c r="BR730" s="111"/>
      <c r="BS730" s="111"/>
      <c r="DR730" s="29"/>
      <c r="DS730" s="29"/>
      <c r="DT730" s="29"/>
      <c r="DU730" s="29"/>
      <c r="DV730" s="29"/>
      <c r="DW730" s="29"/>
      <c r="DX730" s="29"/>
      <c r="DY730" s="29"/>
      <c r="DZ730" s="29"/>
      <c r="EA730" s="29"/>
      <c r="EB730" s="29"/>
      <c r="EC730" s="29"/>
      <c r="ED730" s="29"/>
      <c r="EE730" s="29"/>
      <c r="EF730" s="111"/>
      <c r="EG730" s="111"/>
      <c r="EH730" s="111"/>
      <c r="EI730" s="111"/>
      <c r="EJ730" s="111"/>
      <c r="EK730" s="111"/>
      <c r="EL730" s="111"/>
      <c r="EM730" s="111"/>
      <c r="EN730" s="111"/>
      <c r="EO730" s="111"/>
      <c r="EP730" s="111"/>
      <c r="EQ730" s="111"/>
      <c r="ER730" s="111"/>
      <c r="ES730" s="111"/>
    </row>
    <row r="731" spans="44:149">
      <c r="AR731" s="29"/>
      <c r="AS731" s="29"/>
      <c r="AT731" s="29"/>
      <c r="AU731" s="29"/>
      <c r="AV731" s="29"/>
      <c r="AW731" s="29"/>
      <c r="AX731" s="29"/>
      <c r="AY731" s="29"/>
      <c r="AZ731" s="29"/>
      <c r="BA731" s="29"/>
      <c r="BB731" s="29"/>
      <c r="BC731" s="29"/>
      <c r="BD731" s="29"/>
      <c r="BE731" s="29"/>
      <c r="BF731" s="111"/>
      <c r="BG731" s="111"/>
      <c r="BH731" s="111"/>
      <c r="BI731" s="111"/>
      <c r="BJ731" s="111"/>
      <c r="BK731" s="111"/>
      <c r="BL731" s="111"/>
      <c r="BM731" s="111"/>
      <c r="BN731" s="111"/>
      <c r="BO731" s="111"/>
      <c r="BP731" s="111"/>
      <c r="BQ731" s="111"/>
      <c r="BR731" s="111"/>
      <c r="BS731" s="111"/>
      <c r="DR731" s="29"/>
      <c r="DS731" s="29"/>
      <c r="DT731" s="29"/>
      <c r="DU731" s="29"/>
      <c r="DV731" s="29"/>
      <c r="DW731" s="29"/>
      <c r="DX731" s="29"/>
      <c r="DY731" s="29"/>
      <c r="DZ731" s="29"/>
      <c r="EA731" s="29"/>
      <c r="EB731" s="29"/>
      <c r="EC731" s="29"/>
      <c r="ED731" s="29"/>
      <c r="EE731" s="29"/>
      <c r="EF731" s="111"/>
      <c r="EG731" s="111"/>
      <c r="EH731" s="111"/>
      <c r="EI731" s="111"/>
      <c r="EJ731" s="111"/>
      <c r="EK731" s="111"/>
      <c r="EL731" s="111"/>
      <c r="EM731" s="111"/>
      <c r="EN731" s="111"/>
      <c r="EO731" s="111"/>
      <c r="EP731" s="111"/>
      <c r="EQ731" s="111"/>
      <c r="ER731" s="111"/>
      <c r="ES731" s="111"/>
    </row>
    <row r="732" spans="44:149">
      <c r="AR732" s="29"/>
      <c r="AS732" s="29"/>
      <c r="AT732" s="29"/>
      <c r="AU732" s="29"/>
      <c r="AV732" s="29"/>
      <c r="AW732" s="29"/>
      <c r="AX732" s="29"/>
      <c r="AY732" s="29"/>
      <c r="AZ732" s="29"/>
      <c r="BA732" s="29"/>
      <c r="BB732" s="29"/>
      <c r="BC732" s="29"/>
      <c r="BD732" s="29"/>
      <c r="BE732" s="29"/>
      <c r="BF732" s="111"/>
      <c r="BG732" s="111"/>
      <c r="BH732" s="111"/>
      <c r="BI732" s="111"/>
      <c r="BJ732" s="111"/>
      <c r="BK732" s="111"/>
      <c r="BL732" s="111"/>
      <c r="BM732" s="111"/>
      <c r="BN732" s="111"/>
      <c r="BO732" s="111"/>
      <c r="BP732" s="111"/>
      <c r="BQ732" s="111"/>
      <c r="BR732" s="111"/>
      <c r="BS732" s="111"/>
      <c r="DR732" s="29"/>
      <c r="DS732" s="29"/>
      <c r="DT732" s="29"/>
      <c r="DU732" s="29"/>
      <c r="DV732" s="29"/>
      <c r="DW732" s="29"/>
      <c r="DX732" s="29"/>
      <c r="DY732" s="29"/>
      <c r="DZ732" s="29"/>
      <c r="EA732" s="29"/>
      <c r="EB732" s="29"/>
      <c r="EC732" s="29"/>
      <c r="ED732" s="29"/>
      <c r="EE732" s="29"/>
      <c r="EF732" s="111"/>
      <c r="EG732" s="111"/>
      <c r="EH732" s="111"/>
      <c r="EI732" s="111"/>
      <c r="EJ732" s="111"/>
      <c r="EK732" s="111"/>
      <c r="EL732" s="111"/>
      <c r="EM732" s="111"/>
      <c r="EN732" s="111"/>
      <c r="EO732" s="111"/>
      <c r="EP732" s="111"/>
      <c r="EQ732" s="111"/>
      <c r="ER732" s="111"/>
      <c r="ES732" s="111"/>
    </row>
    <row r="733" spans="44:149">
      <c r="AR733" s="29"/>
      <c r="AS733" s="29"/>
      <c r="AT733" s="29"/>
      <c r="AU733" s="29"/>
      <c r="AV733" s="29"/>
      <c r="AW733" s="29"/>
      <c r="AX733" s="29"/>
      <c r="AY733" s="29"/>
      <c r="AZ733" s="29"/>
      <c r="BA733" s="29"/>
      <c r="BB733" s="29"/>
      <c r="BC733" s="29"/>
      <c r="BD733" s="29"/>
      <c r="BE733" s="29"/>
      <c r="BF733" s="111"/>
      <c r="BG733" s="111"/>
      <c r="BH733" s="111"/>
      <c r="BI733" s="111"/>
      <c r="BJ733" s="111"/>
      <c r="BK733" s="111"/>
      <c r="BL733" s="111"/>
      <c r="BM733" s="111"/>
      <c r="BN733" s="111"/>
      <c r="BO733" s="111"/>
      <c r="BP733" s="111"/>
      <c r="BQ733" s="111"/>
      <c r="BR733" s="111"/>
      <c r="BS733" s="111"/>
      <c r="DR733" s="29"/>
      <c r="DS733" s="29"/>
      <c r="DT733" s="29"/>
      <c r="DU733" s="29"/>
      <c r="DV733" s="29"/>
      <c r="DW733" s="29"/>
      <c r="DX733" s="29"/>
      <c r="DY733" s="29"/>
      <c r="DZ733" s="29"/>
      <c r="EA733" s="29"/>
      <c r="EB733" s="29"/>
      <c r="EC733" s="29"/>
      <c r="ED733" s="29"/>
      <c r="EE733" s="29"/>
      <c r="EF733" s="111"/>
      <c r="EG733" s="111"/>
      <c r="EH733" s="111"/>
      <c r="EI733" s="111"/>
      <c r="EJ733" s="111"/>
      <c r="EK733" s="111"/>
      <c r="EL733" s="111"/>
      <c r="EM733" s="111"/>
      <c r="EN733" s="111"/>
      <c r="EO733" s="111"/>
      <c r="EP733" s="111"/>
      <c r="EQ733" s="111"/>
      <c r="ER733" s="111"/>
      <c r="ES733" s="111"/>
    </row>
    <row r="734" spans="44:149">
      <c r="AR734" s="29"/>
      <c r="AS734" s="29"/>
      <c r="AT734" s="29"/>
      <c r="AU734" s="29"/>
      <c r="AV734" s="29"/>
      <c r="AW734" s="29"/>
      <c r="AX734" s="29"/>
      <c r="AY734" s="29"/>
      <c r="AZ734" s="29"/>
      <c r="BA734" s="29"/>
      <c r="BB734" s="29"/>
      <c r="BC734" s="29"/>
      <c r="BD734" s="29"/>
      <c r="BE734" s="29"/>
      <c r="BF734" s="111"/>
      <c r="BG734" s="111"/>
      <c r="BH734" s="111"/>
      <c r="BI734" s="111"/>
      <c r="BJ734" s="111"/>
      <c r="BK734" s="111"/>
      <c r="BL734" s="111"/>
      <c r="BM734" s="111"/>
      <c r="BN734" s="111"/>
      <c r="BO734" s="111"/>
      <c r="BP734" s="111"/>
      <c r="BQ734" s="111"/>
      <c r="BR734" s="111"/>
      <c r="BS734" s="111"/>
      <c r="DR734" s="29"/>
      <c r="DS734" s="29"/>
      <c r="DT734" s="29"/>
      <c r="DU734" s="29"/>
      <c r="DV734" s="29"/>
      <c r="DW734" s="29"/>
      <c r="DX734" s="29"/>
      <c r="DY734" s="29"/>
      <c r="DZ734" s="29"/>
      <c r="EA734" s="29"/>
      <c r="EB734" s="29"/>
      <c r="EC734" s="29"/>
      <c r="ED734" s="29"/>
      <c r="EE734" s="29"/>
      <c r="EF734" s="111"/>
      <c r="EG734" s="111"/>
      <c r="EH734" s="111"/>
      <c r="EI734" s="111"/>
      <c r="EJ734" s="111"/>
      <c r="EK734" s="111"/>
      <c r="EL734" s="111"/>
      <c r="EM734" s="111"/>
      <c r="EN734" s="111"/>
      <c r="EO734" s="111"/>
      <c r="EP734" s="111"/>
      <c r="EQ734" s="111"/>
      <c r="ER734" s="111"/>
      <c r="ES734" s="111"/>
    </row>
    <row r="735" spans="44:149">
      <c r="AR735" s="29"/>
      <c r="AS735" s="29"/>
      <c r="AT735" s="29"/>
      <c r="AU735" s="29"/>
      <c r="AV735" s="29"/>
      <c r="AW735" s="29"/>
      <c r="AX735" s="29"/>
      <c r="AY735" s="29"/>
      <c r="AZ735" s="29"/>
      <c r="BA735" s="29"/>
      <c r="BB735" s="29"/>
      <c r="BC735" s="29"/>
      <c r="BD735" s="29"/>
      <c r="BE735" s="29"/>
      <c r="BF735" s="111"/>
      <c r="BG735" s="111"/>
      <c r="BH735" s="111"/>
      <c r="BI735" s="111"/>
      <c r="BJ735" s="111"/>
      <c r="BK735" s="111"/>
      <c r="BL735" s="111"/>
      <c r="BM735" s="111"/>
      <c r="BN735" s="111"/>
      <c r="BO735" s="111"/>
      <c r="BP735" s="111"/>
      <c r="BQ735" s="111"/>
      <c r="BR735" s="111"/>
      <c r="BS735" s="111"/>
      <c r="DR735" s="29"/>
      <c r="DS735" s="29"/>
      <c r="DT735" s="29"/>
      <c r="DU735" s="29"/>
      <c r="DV735" s="29"/>
      <c r="DW735" s="29"/>
      <c r="DX735" s="29"/>
      <c r="DY735" s="29"/>
      <c r="DZ735" s="29"/>
      <c r="EA735" s="29"/>
      <c r="EB735" s="29"/>
      <c r="EC735" s="29"/>
      <c r="ED735" s="29"/>
      <c r="EE735" s="29"/>
      <c r="EF735" s="111"/>
      <c r="EG735" s="111"/>
      <c r="EH735" s="111"/>
      <c r="EI735" s="111"/>
      <c r="EJ735" s="111"/>
      <c r="EK735" s="111"/>
      <c r="EL735" s="111"/>
      <c r="EM735" s="111"/>
      <c r="EN735" s="111"/>
      <c r="EO735" s="111"/>
      <c r="EP735" s="111"/>
      <c r="EQ735" s="111"/>
      <c r="ER735" s="111"/>
      <c r="ES735" s="111"/>
    </row>
    <row r="736" spans="44:149">
      <c r="AR736" s="29"/>
      <c r="AS736" s="29"/>
      <c r="AT736" s="29"/>
      <c r="AU736" s="29"/>
      <c r="AV736" s="29"/>
      <c r="AW736" s="29"/>
      <c r="AX736" s="29"/>
      <c r="AY736" s="29"/>
      <c r="AZ736" s="29"/>
      <c r="BA736" s="29"/>
      <c r="BB736" s="29"/>
      <c r="BC736" s="29"/>
      <c r="BD736" s="29"/>
      <c r="BE736" s="29"/>
      <c r="BF736" s="111"/>
      <c r="BG736" s="111"/>
      <c r="BH736" s="111"/>
      <c r="BI736" s="111"/>
      <c r="BJ736" s="111"/>
      <c r="BK736" s="111"/>
      <c r="BL736" s="111"/>
      <c r="BM736" s="111"/>
      <c r="BN736" s="111"/>
      <c r="BO736" s="111"/>
      <c r="BP736" s="111"/>
      <c r="BQ736" s="111"/>
      <c r="BR736" s="111"/>
      <c r="BS736" s="111"/>
      <c r="DR736" s="29"/>
      <c r="DS736" s="29"/>
      <c r="DT736" s="29"/>
      <c r="DU736" s="29"/>
      <c r="DV736" s="29"/>
      <c r="DW736" s="29"/>
      <c r="DX736" s="29"/>
      <c r="DY736" s="29"/>
      <c r="DZ736" s="29"/>
      <c r="EA736" s="29"/>
      <c r="EB736" s="29"/>
      <c r="EC736" s="29"/>
      <c r="ED736" s="29"/>
      <c r="EE736" s="29"/>
      <c r="EF736" s="111"/>
      <c r="EG736" s="111"/>
      <c r="EH736" s="111"/>
      <c r="EI736" s="111"/>
      <c r="EJ736" s="111"/>
      <c r="EK736" s="111"/>
      <c r="EL736" s="111"/>
      <c r="EM736" s="111"/>
      <c r="EN736" s="111"/>
      <c r="EO736" s="111"/>
      <c r="EP736" s="111"/>
      <c r="EQ736" s="111"/>
      <c r="ER736" s="111"/>
      <c r="ES736" s="111"/>
    </row>
    <row r="737" spans="44:149">
      <c r="AR737" s="29"/>
      <c r="AS737" s="29"/>
      <c r="AT737" s="29"/>
      <c r="AU737" s="29"/>
      <c r="AV737" s="29"/>
      <c r="AW737" s="29"/>
      <c r="AX737" s="29"/>
      <c r="AY737" s="29"/>
      <c r="AZ737" s="29"/>
      <c r="BA737" s="29"/>
      <c r="BB737" s="29"/>
      <c r="BC737" s="29"/>
      <c r="BD737" s="29"/>
      <c r="BE737" s="29"/>
      <c r="BF737" s="111"/>
      <c r="BG737" s="111"/>
      <c r="BH737" s="111"/>
      <c r="BI737" s="111"/>
      <c r="BJ737" s="111"/>
      <c r="BK737" s="111"/>
      <c r="BL737" s="111"/>
      <c r="BM737" s="111"/>
      <c r="BN737" s="111"/>
      <c r="BO737" s="111"/>
      <c r="BP737" s="111"/>
      <c r="BQ737" s="111"/>
      <c r="BR737" s="111"/>
      <c r="BS737" s="111"/>
      <c r="DR737" s="29"/>
      <c r="DS737" s="29"/>
      <c r="DT737" s="29"/>
      <c r="DU737" s="29"/>
      <c r="DV737" s="29"/>
      <c r="DW737" s="29"/>
      <c r="DX737" s="29"/>
      <c r="DY737" s="29"/>
      <c r="DZ737" s="29"/>
      <c r="EA737" s="29"/>
      <c r="EB737" s="29"/>
      <c r="EC737" s="29"/>
      <c r="ED737" s="29"/>
      <c r="EE737" s="29"/>
      <c r="EF737" s="111"/>
      <c r="EG737" s="111"/>
      <c r="EH737" s="111"/>
      <c r="EI737" s="111"/>
      <c r="EJ737" s="111"/>
      <c r="EK737" s="111"/>
      <c r="EL737" s="111"/>
      <c r="EM737" s="111"/>
      <c r="EN737" s="111"/>
      <c r="EO737" s="111"/>
      <c r="EP737" s="111"/>
      <c r="EQ737" s="111"/>
      <c r="ER737" s="111"/>
      <c r="ES737" s="111"/>
    </row>
    <row r="738" spans="44:149">
      <c r="AR738" s="29"/>
      <c r="AS738" s="29"/>
      <c r="AT738" s="29"/>
      <c r="AU738" s="29"/>
      <c r="AV738" s="29"/>
      <c r="AW738" s="29"/>
      <c r="AX738" s="29"/>
      <c r="AY738" s="29"/>
      <c r="AZ738" s="29"/>
      <c r="BA738" s="29"/>
      <c r="BB738" s="29"/>
      <c r="BC738" s="29"/>
      <c r="BD738" s="29"/>
      <c r="BE738" s="29"/>
      <c r="BF738" s="111"/>
      <c r="BG738" s="111"/>
      <c r="BH738" s="111"/>
      <c r="BI738" s="111"/>
      <c r="BJ738" s="111"/>
      <c r="BK738" s="111"/>
      <c r="BL738" s="111"/>
      <c r="BM738" s="111"/>
      <c r="BN738" s="111"/>
      <c r="BO738" s="111"/>
      <c r="BP738" s="111"/>
      <c r="BQ738" s="111"/>
      <c r="BR738" s="111"/>
      <c r="BS738" s="111"/>
      <c r="DR738" s="29"/>
      <c r="DS738" s="29"/>
      <c r="DT738" s="29"/>
      <c r="DU738" s="29"/>
      <c r="DV738" s="29"/>
      <c r="DW738" s="29"/>
      <c r="DX738" s="29"/>
      <c r="DY738" s="29"/>
      <c r="DZ738" s="29"/>
      <c r="EA738" s="29"/>
      <c r="EB738" s="29"/>
      <c r="EC738" s="29"/>
      <c r="ED738" s="29"/>
      <c r="EE738" s="29"/>
      <c r="EF738" s="111"/>
      <c r="EG738" s="111"/>
      <c r="EH738" s="111"/>
      <c r="EI738" s="111"/>
      <c r="EJ738" s="111"/>
      <c r="EK738" s="111"/>
      <c r="EL738" s="111"/>
      <c r="EM738" s="111"/>
      <c r="EN738" s="111"/>
      <c r="EO738" s="111"/>
      <c r="EP738" s="111"/>
      <c r="EQ738" s="111"/>
      <c r="ER738" s="111"/>
      <c r="ES738" s="111"/>
    </row>
    <row r="739" spans="44:149">
      <c r="AR739" s="29"/>
      <c r="AS739" s="29"/>
      <c r="AT739" s="29"/>
      <c r="AU739" s="29"/>
      <c r="AV739" s="29"/>
      <c r="AW739" s="29"/>
      <c r="AX739" s="29"/>
      <c r="AY739" s="29"/>
      <c r="AZ739" s="29"/>
      <c r="BA739" s="29"/>
      <c r="BB739" s="29"/>
      <c r="BC739" s="29"/>
      <c r="BD739" s="29"/>
      <c r="BE739" s="29"/>
      <c r="BF739" s="111"/>
      <c r="BG739" s="111"/>
      <c r="BH739" s="111"/>
      <c r="BI739" s="111"/>
      <c r="BJ739" s="111"/>
      <c r="BK739" s="111"/>
      <c r="BL739" s="111"/>
      <c r="BM739" s="111"/>
      <c r="BN739" s="111"/>
      <c r="BO739" s="111"/>
      <c r="BP739" s="111"/>
      <c r="BQ739" s="111"/>
      <c r="BR739" s="111"/>
      <c r="BS739" s="111"/>
      <c r="DR739" s="29"/>
      <c r="DS739" s="29"/>
      <c r="DT739" s="29"/>
      <c r="DU739" s="29"/>
      <c r="DV739" s="29"/>
      <c r="DW739" s="29"/>
      <c r="DX739" s="29"/>
      <c r="DY739" s="29"/>
      <c r="DZ739" s="29"/>
      <c r="EA739" s="29"/>
      <c r="EB739" s="29"/>
      <c r="EC739" s="29"/>
      <c r="ED739" s="29"/>
      <c r="EE739" s="29"/>
      <c r="EF739" s="111"/>
      <c r="EG739" s="111"/>
      <c r="EH739" s="111"/>
      <c r="EI739" s="111"/>
      <c r="EJ739" s="111"/>
      <c r="EK739" s="111"/>
      <c r="EL739" s="111"/>
      <c r="EM739" s="111"/>
      <c r="EN739" s="111"/>
      <c r="EO739" s="111"/>
      <c r="EP739" s="111"/>
      <c r="EQ739" s="111"/>
      <c r="ER739" s="111"/>
      <c r="ES739" s="111"/>
    </row>
    <row r="740" spans="44:149">
      <c r="AR740" s="29"/>
      <c r="AS740" s="29"/>
      <c r="AT740" s="29"/>
      <c r="AU740" s="29"/>
      <c r="AV740" s="29"/>
      <c r="AW740" s="29"/>
      <c r="AX740" s="29"/>
      <c r="AY740" s="29"/>
      <c r="AZ740" s="29"/>
      <c r="BA740" s="29"/>
      <c r="BB740" s="29"/>
      <c r="BC740" s="29"/>
      <c r="BD740" s="29"/>
      <c r="BE740" s="29"/>
      <c r="BF740" s="111"/>
      <c r="BG740" s="111"/>
      <c r="BH740" s="111"/>
      <c r="BI740" s="111"/>
      <c r="BJ740" s="111"/>
      <c r="BK740" s="111"/>
      <c r="BL740" s="111"/>
      <c r="BM740" s="111"/>
      <c r="BN740" s="111"/>
      <c r="BO740" s="111"/>
      <c r="BP740" s="111"/>
      <c r="BQ740" s="111"/>
      <c r="BR740" s="111"/>
      <c r="BS740" s="111"/>
      <c r="DR740" s="29"/>
      <c r="DS740" s="29"/>
      <c r="DT740" s="29"/>
      <c r="DU740" s="29"/>
      <c r="DV740" s="29"/>
      <c r="DW740" s="29"/>
      <c r="DX740" s="29"/>
      <c r="DY740" s="29"/>
      <c r="DZ740" s="29"/>
      <c r="EA740" s="29"/>
      <c r="EB740" s="29"/>
      <c r="EC740" s="29"/>
      <c r="ED740" s="29"/>
      <c r="EE740" s="29"/>
      <c r="EF740" s="111"/>
      <c r="EG740" s="111"/>
      <c r="EH740" s="111"/>
      <c r="EI740" s="111"/>
      <c r="EJ740" s="111"/>
      <c r="EK740" s="111"/>
      <c r="EL740" s="111"/>
      <c r="EM740" s="111"/>
      <c r="EN740" s="111"/>
      <c r="EO740" s="111"/>
      <c r="EP740" s="111"/>
      <c r="EQ740" s="111"/>
      <c r="ER740" s="111"/>
      <c r="ES740" s="111"/>
    </row>
    <row r="741" spans="44:149">
      <c r="AR741" s="29"/>
      <c r="AS741" s="29"/>
      <c r="AT741" s="29"/>
      <c r="AU741" s="29"/>
      <c r="AV741" s="29"/>
      <c r="AW741" s="29"/>
      <c r="AX741" s="29"/>
      <c r="AY741" s="29"/>
      <c r="AZ741" s="29"/>
      <c r="BA741" s="29"/>
      <c r="BB741" s="29"/>
      <c r="BC741" s="29"/>
      <c r="BD741" s="29"/>
      <c r="BE741" s="29"/>
      <c r="BF741" s="111"/>
      <c r="BG741" s="111"/>
      <c r="BH741" s="111"/>
      <c r="BI741" s="111"/>
      <c r="BJ741" s="111"/>
      <c r="BK741" s="111"/>
      <c r="BL741" s="111"/>
      <c r="BM741" s="111"/>
      <c r="BN741" s="111"/>
      <c r="BO741" s="111"/>
      <c r="BP741" s="111"/>
      <c r="BQ741" s="111"/>
      <c r="BR741" s="111"/>
      <c r="BS741" s="111"/>
      <c r="DR741" s="29"/>
      <c r="DS741" s="29"/>
      <c r="DT741" s="29"/>
      <c r="DU741" s="29"/>
      <c r="DV741" s="29"/>
      <c r="DW741" s="29"/>
      <c r="DX741" s="29"/>
      <c r="DY741" s="29"/>
      <c r="DZ741" s="29"/>
      <c r="EA741" s="29"/>
      <c r="EB741" s="29"/>
      <c r="EC741" s="29"/>
      <c r="ED741" s="29"/>
      <c r="EE741" s="29"/>
      <c r="EF741" s="111"/>
      <c r="EG741" s="111"/>
      <c r="EH741" s="111"/>
      <c r="EI741" s="111"/>
      <c r="EJ741" s="111"/>
      <c r="EK741" s="111"/>
      <c r="EL741" s="111"/>
      <c r="EM741" s="111"/>
      <c r="EN741" s="111"/>
      <c r="EO741" s="111"/>
      <c r="EP741" s="111"/>
      <c r="EQ741" s="111"/>
      <c r="ER741" s="111"/>
      <c r="ES741" s="111"/>
    </row>
    <row r="742" spans="44:149">
      <c r="AR742" s="29"/>
      <c r="AS742" s="29"/>
      <c r="AT742" s="29"/>
      <c r="AU742" s="29"/>
      <c r="AV742" s="29"/>
      <c r="AW742" s="29"/>
      <c r="AX742" s="29"/>
      <c r="AY742" s="29"/>
      <c r="AZ742" s="29"/>
      <c r="BA742" s="29"/>
      <c r="BB742" s="29"/>
      <c r="BC742" s="29"/>
      <c r="BD742" s="29"/>
      <c r="BE742" s="29"/>
      <c r="BF742" s="111"/>
      <c r="BG742" s="111"/>
      <c r="BH742" s="111"/>
      <c r="BI742" s="111"/>
      <c r="BJ742" s="111"/>
      <c r="BK742" s="111"/>
      <c r="BL742" s="111"/>
      <c r="BM742" s="111"/>
      <c r="BN742" s="111"/>
      <c r="BO742" s="111"/>
      <c r="BP742" s="111"/>
      <c r="BQ742" s="111"/>
      <c r="BR742" s="111"/>
      <c r="BS742" s="111"/>
      <c r="DR742" s="29"/>
      <c r="DS742" s="29"/>
      <c r="DT742" s="29"/>
      <c r="DU742" s="29"/>
      <c r="DV742" s="29"/>
      <c r="DW742" s="29"/>
      <c r="DX742" s="29"/>
      <c r="DY742" s="29"/>
      <c r="DZ742" s="29"/>
      <c r="EA742" s="29"/>
      <c r="EB742" s="29"/>
      <c r="EC742" s="29"/>
      <c r="ED742" s="29"/>
      <c r="EE742" s="29"/>
      <c r="EF742" s="111"/>
      <c r="EG742" s="111"/>
      <c r="EH742" s="111"/>
      <c r="EI742" s="111"/>
      <c r="EJ742" s="111"/>
      <c r="EK742" s="111"/>
      <c r="EL742" s="111"/>
      <c r="EM742" s="111"/>
      <c r="EN742" s="111"/>
      <c r="EO742" s="111"/>
      <c r="EP742" s="111"/>
      <c r="EQ742" s="111"/>
      <c r="ER742" s="111"/>
      <c r="ES742" s="111"/>
    </row>
    <row r="743" spans="44:149">
      <c r="AR743" s="29"/>
      <c r="AS743" s="29"/>
      <c r="AT743" s="29"/>
      <c r="AU743" s="29"/>
      <c r="AV743" s="29"/>
      <c r="AW743" s="29"/>
      <c r="AX743" s="29"/>
      <c r="AY743" s="29"/>
      <c r="AZ743" s="29"/>
      <c r="BA743" s="29"/>
      <c r="BB743" s="29"/>
      <c r="BC743" s="29"/>
      <c r="BD743" s="29"/>
      <c r="BE743" s="29"/>
      <c r="BF743" s="111"/>
      <c r="BG743" s="111"/>
      <c r="BH743" s="111"/>
      <c r="BI743" s="111"/>
      <c r="BJ743" s="111"/>
      <c r="BK743" s="111"/>
      <c r="BL743" s="111"/>
      <c r="BM743" s="111"/>
      <c r="BN743" s="111"/>
      <c r="BO743" s="111"/>
      <c r="BP743" s="111"/>
      <c r="BQ743" s="111"/>
      <c r="BR743" s="111"/>
      <c r="BS743" s="111"/>
      <c r="DR743" s="29"/>
      <c r="DS743" s="29"/>
      <c r="DT743" s="29"/>
      <c r="DU743" s="29"/>
      <c r="DV743" s="29"/>
      <c r="DW743" s="29"/>
      <c r="DX743" s="29"/>
      <c r="DY743" s="29"/>
      <c r="DZ743" s="29"/>
      <c r="EA743" s="29"/>
      <c r="EB743" s="29"/>
      <c r="EC743" s="29"/>
      <c r="ED743" s="29"/>
      <c r="EE743" s="29"/>
      <c r="EF743" s="111"/>
      <c r="EG743" s="111"/>
      <c r="EH743" s="111"/>
      <c r="EI743" s="111"/>
      <c r="EJ743" s="111"/>
      <c r="EK743" s="111"/>
      <c r="EL743" s="111"/>
      <c r="EM743" s="111"/>
      <c r="EN743" s="111"/>
      <c r="EO743" s="111"/>
      <c r="EP743" s="111"/>
      <c r="EQ743" s="111"/>
      <c r="ER743" s="111"/>
      <c r="ES743" s="111"/>
    </row>
    <row r="744" spans="44:149">
      <c r="AR744" s="29"/>
      <c r="AS744" s="29"/>
      <c r="AT744" s="29"/>
      <c r="AU744" s="29"/>
      <c r="AV744" s="29"/>
      <c r="AW744" s="29"/>
      <c r="AX744" s="29"/>
      <c r="AY744" s="29"/>
      <c r="AZ744" s="29"/>
      <c r="BA744" s="29"/>
      <c r="BB744" s="29"/>
      <c r="BC744" s="29"/>
      <c r="BD744" s="29"/>
      <c r="BE744" s="29"/>
      <c r="BF744" s="111"/>
      <c r="BG744" s="111"/>
      <c r="BH744" s="111"/>
      <c r="BI744" s="111"/>
      <c r="BJ744" s="111"/>
      <c r="BK744" s="111"/>
      <c r="BL744" s="111"/>
      <c r="BM744" s="111"/>
      <c r="BN744" s="111"/>
      <c r="BO744" s="111"/>
      <c r="BP744" s="111"/>
      <c r="BQ744" s="111"/>
      <c r="BR744" s="111"/>
      <c r="BS744" s="111"/>
      <c r="DR744" s="29"/>
      <c r="DS744" s="29"/>
      <c r="DT744" s="29"/>
      <c r="DU744" s="29"/>
      <c r="DV744" s="29"/>
      <c r="DW744" s="29"/>
      <c r="DX744" s="29"/>
      <c r="DY744" s="29"/>
      <c r="DZ744" s="29"/>
      <c r="EA744" s="29"/>
      <c r="EB744" s="29"/>
      <c r="EC744" s="29"/>
      <c r="ED744" s="29"/>
      <c r="EE744" s="29"/>
      <c r="EF744" s="111"/>
      <c r="EG744" s="111"/>
      <c r="EH744" s="111"/>
      <c r="EI744" s="111"/>
      <c r="EJ744" s="111"/>
      <c r="EK744" s="111"/>
      <c r="EL744" s="111"/>
      <c r="EM744" s="111"/>
      <c r="EN744" s="111"/>
      <c r="EO744" s="111"/>
      <c r="EP744" s="111"/>
      <c r="EQ744" s="111"/>
      <c r="ER744" s="111"/>
      <c r="ES744" s="111"/>
    </row>
    <row r="745" spans="44:149">
      <c r="AR745" s="29"/>
      <c r="AS745" s="29"/>
      <c r="AT745" s="29"/>
      <c r="AU745" s="29"/>
      <c r="AV745" s="29"/>
      <c r="AW745" s="29"/>
      <c r="AX745" s="29"/>
      <c r="AY745" s="29"/>
      <c r="AZ745" s="29"/>
      <c r="BA745" s="29"/>
      <c r="BB745" s="29"/>
      <c r="BC745" s="29"/>
      <c r="BD745" s="29"/>
      <c r="BE745" s="29"/>
      <c r="BF745" s="111"/>
      <c r="BG745" s="111"/>
      <c r="BH745" s="111"/>
      <c r="BI745" s="111"/>
      <c r="BJ745" s="111"/>
      <c r="BK745" s="111"/>
      <c r="BL745" s="111"/>
      <c r="BM745" s="111"/>
      <c r="BN745" s="111"/>
      <c r="BO745" s="111"/>
      <c r="BP745" s="111"/>
      <c r="BQ745" s="111"/>
      <c r="BR745" s="111"/>
      <c r="BS745" s="111"/>
      <c r="DR745" s="29"/>
      <c r="DS745" s="29"/>
      <c r="DT745" s="29"/>
      <c r="DU745" s="29"/>
      <c r="DV745" s="29"/>
      <c r="DW745" s="29"/>
      <c r="DX745" s="29"/>
      <c r="DY745" s="29"/>
      <c r="DZ745" s="29"/>
      <c r="EA745" s="29"/>
      <c r="EB745" s="29"/>
      <c r="EC745" s="29"/>
      <c r="ED745" s="29"/>
      <c r="EE745" s="29"/>
      <c r="EF745" s="111"/>
      <c r="EG745" s="111"/>
      <c r="EH745" s="111"/>
      <c r="EI745" s="111"/>
      <c r="EJ745" s="111"/>
      <c r="EK745" s="111"/>
      <c r="EL745" s="111"/>
      <c r="EM745" s="111"/>
      <c r="EN745" s="111"/>
      <c r="EO745" s="111"/>
      <c r="EP745" s="111"/>
      <c r="EQ745" s="111"/>
      <c r="ER745" s="111"/>
      <c r="ES745" s="111"/>
    </row>
    <row r="746" spans="44:149">
      <c r="AR746" s="29"/>
      <c r="AS746" s="29"/>
      <c r="AT746" s="29"/>
      <c r="AU746" s="29"/>
      <c r="AV746" s="29"/>
      <c r="AW746" s="29"/>
      <c r="AX746" s="29"/>
      <c r="AY746" s="29"/>
      <c r="AZ746" s="29"/>
      <c r="BA746" s="29"/>
      <c r="BB746" s="29"/>
      <c r="BC746" s="29"/>
      <c r="BD746" s="29"/>
      <c r="BE746" s="29"/>
      <c r="BF746" s="111"/>
      <c r="BG746" s="111"/>
      <c r="BH746" s="111"/>
      <c r="BI746" s="111"/>
      <c r="BJ746" s="111"/>
      <c r="BK746" s="111"/>
      <c r="BL746" s="111"/>
      <c r="BM746" s="111"/>
      <c r="BN746" s="111"/>
      <c r="BO746" s="111"/>
      <c r="BP746" s="111"/>
      <c r="BQ746" s="111"/>
      <c r="BR746" s="111"/>
      <c r="BS746" s="111"/>
      <c r="DR746" s="29"/>
      <c r="DS746" s="29"/>
      <c r="DT746" s="29"/>
      <c r="DU746" s="29"/>
      <c r="DV746" s="29"/>
      <c r="DW746" s="29"/>
      <c r="DX746" s="29"/>
      <c r="DY746" s="29"/>
      <c r="DZ746" s="29"/>
      <c r="EA746" s="29"/>
      <c r="EB746" s="29"/>
      <c r="EC746" s="29"/>
      <c r="ED746" s="29"/>
      <c r="EE746" s="29"/>
      <c r="EF746" s="111"/>
      <c r="EG746" s="111"/>
      <c r="EH746" s="111"/>
      <c r="EI746" s="111"/>
      <c r="EJ746" s="111"/>
      <c r="EK746" s="111"/>
      <c r="EL746" s="111"/>
      <c r="EM746" s="111"/>
      <c r="EN746" s="111"/>
      <c r="EO746" s="111"/>
      <c r="EP746" s="111"/>
      <c r="EQ746" s="111"/>
      <c r="ER746" s="111"/>
      <c r="ES746" s="111"/>
    </row>
    <row r="747" spans="44:149">
      <c r="AR747" s="29"/>
      <c r="AS747" s="29"/>
      <c r="AT747" s="29"/>
      <c r="AU747" s="29"/>
      <c r="AV747" s="29"/>
      <c r="AW747" s="29"/>
      <c r="AX747" s="29"/>
      <c r="AY747" s="29"/>
      <c r="AZ747" s="29"/>
      <c r="BA747" s="29"/>
      <c r="BB747" s="29"/>
      <c r="BC747" s="29"/>
      <c r="BD747" s="29"/>
      <c r="BE747" s="29"/>
      <c r="BF747" s="111"/>
      <c r="BG747" s="111"/>
      <c r="BH747" s="111"/>
      <c r="BI747" s="111"/>
      <c r="BJ747" s="111"/>
      <c r="BK747" s="111"/>
      <c r="BL747" s="111"/>
      <c r="BM747" s="111"/>
      <c r="BN747" s="111"/>
      <c r="BO747" s="111"/>
      <c r="BP747" s="111"/>
      <c r="BQ747" s="111"/>
      <c r="BR747" s="111"/>
      <c r="BS747" s="111"/>
      <c r="DR747" s="29"/>
      <c r="DS747" s="29"/>
      <c r="DT747" s="29"/>
      <c r="DU747" s="29"/>
      <c r="DV747" s="29"/>
      <c r="DW747" s="29"/>
      <c r="DX747" s="29"/>
      <c r="DY747" s="29"/>
      <c r="DZ747" s="29"/>
      <c r="EA747" s="29"/>
      <c r="EB747" s="29"/>
      <c r="EC747" s="29"/>
      <c r="ED747" s="29"/>
      <c r="EE747" s="29"/>
      <c r="EF747" s="111"/>
      <c r="EG747" s="111"/>
      <c r="EH747" s="111"/>
      <c r="EI747" s="111"/>
      <c r="EJ747" s="111"/>
      <c r="EK747" s="111"/>
      <c r="EL747" s="111"/>
      <c r="EM747" s="111"/>
      <c r="EN747" s="111"/>
      <c r="EO747" s="111"/>
      <c r="EP747" s="111"/>
      <c r="EQ747" s="111"/>
      <c r="ER747" s="111"/>
      <c r="ES747" s="111"/>
    </row>
    <row r="748" spans="44:149">
      <c r="AR748" s="29"/>
      <c r="AS748" s="29"/>
      <c r="AT748" s="29"/>
      <c r="AU748" s="29"/>
      <c r="AV748" s="29"/>
      <c r="AW748" s="29"/>
      <c r="AX748" s="29"/>
      <c r="AY748" s="29"/>
      <c r="AZ748" s="29"/>
      <c r="BA748" s="29"/>
      <c r="BB748" s="29"/>
      <c r="BC748" s="29"/>
      <c r="BD748" s="29"/>
      <c r="BE748" s="29"/>
      <c r="BF748" s="111"/>
      <c r="BG748" s="111"/>
      <c r="BH748" s="111"/>
      <c r="BI748" s="111"/>
      <c r="BJ748" s="111"/>
      <c r="BK748" s="111"/>
      <c r="BL748" s="111"/>
      <c r="BM748" s="111"/>
      <c r="BN748" s="111"/>
      <c r="BO748" s="111"/>
      <c r="BP748" s="111"/>
      <c r="BQ748" s="111"/>
      <c r="BR748" s="111"/>
      <c r="BS748" s="111"/>
      <c r="DR748" s="29"/>
      <c r="DS748" s="29"/>
      <c r="DT748" s="29"/>
      <c r="DU748" s="29"/>
      <c r="DV748" s="29"/>
      <c r="DW748" s="29"/>
      <c r="DX748" s="29"/>
      <c r="DY748" s="29"/>
      <c r="DZ748" s="29"/>
      <c r="EA748" s="29"/>
      <c r="EB748" s="29"/>
      <c r="EC748" s="29"/>
      <c r="ED748" s="29"/>
      <c r="EE748" s="29"/>
      <c r="EF748" s="111"/>
      <c r="EG748" s="111"/>
      <c r="EH748" s="111"/>
      <c r="EI748" s="111"/>
      <c r="EJ748" s="111"/>
      <c r="EK748" s="111"/>
      <c r="EL748" s="111"/>
      <c r="EM748" s="111"/>
      <c r="EN748" s="111"/>
      <c r="EO748" s="111"/>
      <c r="EP748" s="111"/>
      <c r="EQ748" s="111"/>
      <c r="ER748" s="111"/>
      <c r="ES748" s="111"/>
    </row>
    <row r="749" spans="44:149">
      <c r="AR749" s="29"/>
      <c r="AS749" s="29"/>
      <c r="AT749" s="29"/>
      <c r="AU749" s="29"/>
      <c r="AV749" s="29"/>
      <c r="AW749" s="29"/>
      <c r="AX749" s="29"/>
      <c r="AY749" s="29"/>
      <c r="AZ749" s="29"/>
      <c r="BA749" s="29"/>
      <c r="BB749" s="29"/>
      <c r="BC749" s="29"/>
      <c r="BD749" s="29"/>
      <c r="BE749" s="29"/>
      <c r="BF749" s="111"/>
      <c r="BG749" s="111"/>
      <c r="BH749" s="111"/>
      <c r="BI749" s="111"/>
      <c r="BJ749" s="111"/>
      <c r="BK749" s="111"/>
      <c r="BL749" s="111"/>
      <c r="BM749" s="111"/>
      <c r="BN749" s="111"/>
      <c r="BO749" s="111"/>
      <c r="BP749" s="111"/>
      <c r="BQ749" s="111"/>
      <c r="BR749" s="111"/>
      <c r="BS749" s="111"/>
      <c r="DR749" s="29"/>
      <c r="DS749" s="29"/>
      <c r="DT749" s="29"/>
      <c r="DU749" s="29"/>
      <c r="DV749" s="29"/>
      <c r="DW749" s="29"/>
      <c r="DX749" s="29"/>
      <c r="DY749" s="29"/>
      <c r="DZ749" s="29"/>
      <c r="EA749" s="29"/>
      <c r="EB749" s="29"/>
      <c r="EC749" s="29"/>
      <c r="ED749" s="29"/>
      <c r="EE749" s="29"/>
      <c r="EF749" s="111"/>
      <c r="EG749" s="111"/>
      <c r="EH749" s="111"/>
      <c r="EI749" s="111"/>
      <c r="EJ749" s="111"/>
      <c r="EK749" s="111"/>
      <c r="EL749" s="111"/>
      <c r="EM749" s="111"/>
      <c r="EN749" s="111"/>
      <c r="EO749" s="111"/>
      <c r="EP749" s="111"/>
      <c r="EQ749" s="111"/>
      <c r="ER749" s="111"/>
      <c r="ES749" s="111"/>
    </row>
    <row r="750" spans="44:149">
      <c r="AR750" s="29"/>
      <c r="AS750" s="29"/>
      <c r="AT750" s="29"/>
      <c r="AU750" s="29"/>
      <c r="AV750" s="29"/>
      <c r="AW750" s="29"/>
      <c r="AX750" s="29"/>
      <c r="AY750" s="29"/>
      <c r="AZ750" s="29"/>
      <c r="BA750" s="29"/>
      <c r="BB750" s="29"/>
      <c r="BC750" s="29"/>
      <c r="BD750" s="29"/>
      <c r="BE750" s="29"/>
      <c r="BF750" s="111"/>
      <c r="BG750" s="111"/>
      <c r="BH750" s="111"/>
      <c r="BI750" s="111"/>
      <c r="BJ750" s="111"/>
      <c r="BK750" s="111"/>
      <c r="BL750" s="111"/>
      <c r="BM750" s="111"/>
      <c r="BN750" s="111"/>
      <c r="BO750" s="111"/>
      <c r="BP750" s="111"/>
      <c r="BQ750" s="111"/>
      <c r="BR750" s="111"/>
      <c r="BS750" s="111"/>
      <c r="DR750" s="29"/>
      <c r="DS750" s="29"/>
      <c r="DT750" s="29"/>
      <c r="DU750" s="29"/>
      <c r="DV750" s="29"/>
      <c r="DW750" s="29"/>
      <c r="DX750" s="29"/>
      <c r="DY750" s="29"/>
      <c r="DZ750" s="29"/>
      <c r="EA750" s="29"/>
      <c r="EB750" s="29"/>
      <c r="EC750" s="29"/>
      <c r="ED750" s="29"/>
      <c r="EE750" s="29"/>
      <c r="EF750" s="111"/>
      <c r="EG750" s="111"/>
      <c r="EH750" s="111"/>
      <c r="EI750" s="111"/>
      <c r="EJ750" s="111"/>
      <c r="EK750" s="111"/>
      <c r="EL750" s="111"/>
      <c r="EM750" s="111"/>
      <c r="EN750" s="111"/>
      <c r="EO750" s="111"/>
      <c r="EP750" s="111"/>
      <c r="EQ750" s="111"/>
      <c r="ER750" s="111"/>
      <c r="ES750" s="111"/>
    </row>
    <row r="751" spans="44:149">
      <c r="AR751" s="29"/>
      <c r="AS751" s="29"/>
      <c r="AT751" s="29"/>
      <c r="AU751" s="29"/>
      <c r="AV751" s="29"/>
      <c r="AW751" s="29"/>
      <c r="AX751" s="29"/>
      <c r="AY751" s="29"/>
      <c r="AZ751" s="29"/>
      <c r="BA751" s="29"/>
      <c r="BB751" s="29"/>
      <c r="BC751" s="29"/>
      <c r="BD751" s="29"/>
      <c r="BE751" s="29"/>
      <c r="BF751" s="111"/>
      <c r="BG751" s="111"/>
      <c r="BH751" s="111"/>
      <c r="BI751" s="111"/>
      <c r="BJ751" s="111"/>
      <c r="BK751" s="111"/>
      <c r="BL751" s="111"/>
      <c r="BM751" s="111"/>
      <c r="BN751" s="111"/>
      <c r="BO751" s="111"/>
      <c r="BP751" s="111"/>
      <c r="BQ751" s="111"/>
      <c r="BR751" s="111"/>
      <c r="BS751" s="111"/>
      <c r="DR751" s="29"/>
      <c r="DS751" s="29"/>
      <c r="DT751" s="29"/>
      <c r="DU751" s="29"/>
      <c r="DV751" s="29"/>
      <c r="DW751" s="29"/>
      <c r="DX751" s="29"/>
      <c r="DY751" s="29"/>
      <c r="DZ751" s="29"/>
      <c r="EA751" s="29"/>
      <c r="EB751" s="29"/>
      <c r="EC751" s="29"/>
      <c r="ED751" s="29"/>
      <c r="EE751" s="29"/>
      <c r="EF751" s="111"/>
      <c r="EG751" s="111"/>
      <c r="EH751" s="111"/>
      <c r="EI751" s="111"/>
      <c r="EJ751" s="111"/>
      <c r="EK751" s="111"/>
      <c r="EL751" s="111"/>
      <c r="EM751" s="111"/>
      <c r="EN751" s="111"/>
      <c r="EO751" s="111"/>
      <c r="EP751" s="111"/>
      <c r="EQ751" s="111"/>
      <c r="ER751" s="111"/>
      <c r="ES751" s="111"/>
    </row>
    <row r="752" spans="44:149">
      <c r="AR752" s="29"/>
      <c r="AS752" s="29"/>
      <c r="AT752" s="29"/>
      <c r="AU752" s="29"/>
      <c r="AV752" s="29"/>
      <c r="AW752" s="29"/>
      <c r="AX752" s="29"/>
      <c r="AY752" s="29"/>
      <c r="AZ752" s="29"/>
      <c r="BA752" s="29"/>
      <c r="BB752" s="29"/>
      <c r="BC752" s="29"/>
      <c r="BD752" s="29"/>
      <c r="BE752" s="29"/>
      <c r="BF752" s="111"/>
      <c r="BG752" s="111"/>
      <c r="BH752" s="111"/>
      <c r="BI752" s="111"/>
      <c r="BJ752" s="111"/>
      <c r="BK752" s="111"/>
      <c r="BL752" s="111"/>
      <c r="BM752" s="111"/>
      <c r="BN752" s="111"/>
      <c r="BO752" s="111"/>
      <c r="BP752" s="111"/>
      <c r="BQ752" s="111"/>
      <c r="BR752" s="111"/>
      <c r="BS752" s="111"/>
      <c r="DR752" s="29"/>
      <c r="DS752" s="29"/>
      <c r="DT752" s="29"/>
      <c r="DU752" s="29"/>
      <c r="DV752" s="29"/>
      <c r="DW752" s="29"/>
      <c r="DX752" s="29"/>
      <c r="DY752" s="29"/>
      <c r="DZ752" s="29"/>
      <c r="EA752" s="29"/>
      <c r="EB752" s="29"/>
      <c r="EC752" s="29"/>
      <c r="ED752" s="29"/>
      <c r="EE752" s="29"/>
      <c r="EF752" s="111"/>
      <c r="EG752" s="111"/>
      <c r="EH752" s="111"/>
      <c r="EI752" s="111"/>
      <c r="EJ752" s="111"/>
      <c r="EK752" s="111"/>
      <c r="EL752" s="111"/>
      <c r="EM752" s="111"/>
      <c r="EN752" s="111"/>
      <c r="EO752" s="111"/>
      <c r="EP752" s="111"/>
      <c r="EQ752" s="111"/>
      <c r="ER752" s="111"/>
      <c r="ES752" s="111"/>
    </row>
    <row r="753" spans="44:149">
      <c r="AR753" s="29"/>
      <c r="AS753" s="29"/>
      <c r="AT753" s="29"/>
      <c r="AU753" s="29"/>
      <c r="AV753" s="29"/>
      <c r="AW753" s="29"/>
      <c r="AX753" s="29"/>
      <c r="AY753" s="29"/>
      <c r="AZ753" s="29"/>
      <c r="BA753" s="29"/>
      <c r="BB753" s="29"/>
      <c r="BC753" s="29"/>
      <c r="BD753" s="29"/>
      <c r="BE753" s="29"/>
      <c r="BF753" s="111"/>
      <c r="BG753" s="111"/>
      <c r="BH753" s="111"/>
      <c r="BI753" s="111"/>
      <c r="BJ753" s="111"/>
      <c r="BK753" s="111"/>
      <c r="BL753" s="111"/>
      <c r="BM753" s="111"/>
      <c r="BN753" s="111"/>
      <c r="BO753" s="111"/>
      <c r="BP753" s="111"/>
      <c r="BQ753" s="111"/>
      <c r="BR753" s="111"/>
      <c r="BS753" s="111"/>
      <c r="DR753" s="29"/>
      <c r="DS753" s="29"/>
      <c r="DT753" s="29"/>
      <c r="DU753" s="29"/>
      <c r="DV753" s="29"/>
      <c r="DW753" s="29"/>
      <c r="DX753" s="29"/>
      <c r="DY753" s="29"/>
      <c r="DZ753" s="29"/>
      <c r="EA753" s="29"/>
      <c r="EB753" s="29"/>
      <c r="EC753" s="29"/>
      <c r="ED753" s="29"/>
      <c r="EE753" s="29"/>
      <c r="EF753" s="111"/>
      <c r="EG753" s="111"/>
      <c r="EH753" s="111"/>
      <c r="EI753" s="111"/>
      <c r="EJ753" s="111"/>
      <c r="EK753" s="111"/>
      <c r="EL753" s="111"/>
      <c r="EM753" s="111"/>
      <c r="EN753" s="111"/>
      <c r="EO753" s="111"/>
      <c r="EP753" s="111"/>
      <c r="EQ753" s="111"/>
      <c r="ER753" s="111"/>
      <c r="ES753" s="111"/>
    </row>
    <row r="754" spans="44:149">
      <c r="AR754" s="29"/>
      <c r="AS754" s="29"/>
      <c r="AT754" s="29"/>
      <c r="AU754" s="29"/>
      <c r="AV754" s="29"/>
      <c r="AW754" s="29"/>
      <c r="AX754" s="29"/>
      <c r="AY754" s="29"/>
      <c r="AZ754" s="29"/>
      <c r="BA754" s="29"/>
      <c r="BB754" s="29"/>
      <c r="BC754" s="29"/>
      <c r="BD754" s="29"/>
      <c r="BE754" s="29"/>
      <c r="BF754" s="111"/>
      <c r="BG754" s="111"/>
      <c r="BH754" s="111"/>
      <c r="BI754" s="111"/>
      <c r="BJ754" s="111"/>
      <c r="BK754" s="111"/>
      <c r="BL754" s="111"/>
      <c r="BM754" s="111"/>
      <c r="BN754" s="111"/>
      <c r="BO754" s="111"/>
      <c r="BP754" s="111"/>
      <c r="BQ754" s="111"/>
      <c r="BR754" s="111"/>
      <c r="BS754" s="111"/>
      <c r="DR754" s="29"/>
      <c r="DS754" s="29"/>
      <c r="DT754" s="29"/>
      <c r="DU754" s="29"/>
      <c r="DV754" s="29"/>
      <c r="DW754" s="29"/>
      <c r="DX754" s="29"/>
      <c r="DY754" s="29"/>
      <c r="DZ754" s="29"/>
      <c r="EA754" s="29"/>
      <c r="EB754" s="29"/>
      <c r="EC754" s="29"/>
      <c r="ED754" s="29"/>
      <c r="EE754" s="29"/>
      <c r="EF754" s="111"/>
      <c r="EG754" s="111"/>
      <c r="EH754" s="111"/>
      <c r="EI754" s="111"/>
      <c r="EJ754" s="111"/>
      <c r="EK754" s="111"/>
      <c r="EL754" s="111"/>
      <c r="EM754" s="111"/>
      <c r="EN754" s="111"/>
      <c r="EO754" s="111"/>
      <c r="EP754" s="111"/>
      <c r="EQ754" s="111"/>
      <c r="ER754" s="111"/>
      <c r="ES754" s="111"/>
    </row>
    <row r="755" spans="44:149">
      <c r="AR755" s="29"/>
      <c r="AS755" s="29"/>
      <c r="AT755" s="29"/>
      <c r="AU755" s="29"/>
      <c r="AV755" s="29"/>
      <c r="AW755" s="29"/>
      <c r="AX755" s="29"/>
      <c r="AY755" s="29"/>
      <c r="AZ755" s="29"/>
      <c r="BA755" s="29"/>
      <c r="BB755" s="29"/>
      <c r="BC755" s="29"/>
      <c r="BD755" s="29"/>
      <c r="BE755" s="29"/>
      <c r="BF755" s="111"/>
      <c r="BG755" s="111"/>
      <c r="BH755" s="111"/>
      <c r="BI755" s="111"/>
      <c r="BJ755" s="111"/>
      <c r="BK755" s="111"/>
      <c r="BL755" s="111"/>
      <c r="BM755" s="111"/>
      <c r="BN755" s="111"/>
      <c r="BO755" s="111"/>
      <c r="BP755" s="111"/>
      <c r="BQ755" s="111"/>
      <c r="BR755" s="111"/>
      <c r="BS755" s="111"/>
      <c r="DR755" s="29"/>
      <c r="DS755" s="29"/>
      <c r="DT755" s="29"/>
      <c r="DU755" s="29"/>
      <c r="DV755" s="29"/>
      <c r="DW755" s="29"/>
      <c r="DX755" s="29"/>
      <c r="DY755" s="29"/>
      <c r="DZ755" s="29"/>
      <c r="EA755" s="29"/>
      <c r="EB755" s="29"/>
      <c r="EC755" s="29"/>
      <c r="ED755" s="29"/>
      <c r="EE755" s="29"/>
      <c r="EF755" s="111"/>
      <c r="EG755" s="111"/>
      <c r="EH755" s="111"/>
      <c r="EI755" s="111"/>
      <c r="EJ755" s="111"/>
      <c r="EK755" s="111"/>
      <c r="EL755" s="111"/>
      <c r="EM755" s="111"/>
      <c r="EN755" s="111"/>
      <c r="EO755" s="111"/>
      <c r="EP755" s="111"/>
      <c r="EQ755" s="111"/>
      <c r="ER755" s="111"/>
      <c r="ES755" s="111"/>
    </row>
    <row r="756" spans="44:149">
      <c r="AR756" s="29"/>
      <c r="AS756" s="29"/>
      <c r="AT756" s="29"/>
      <c r="AU756" s="29"/>
      <c r="AV756" s="29"/>
      <c r="AW756" s="29"/>
      <c r="AX756" s="29"/>
      <c r="AY756" s="29"/>
      <c r="AZ756" s="29"/>
      <c r="BA756" s="29"/>
      <c r="BB756" s="29"/>
      <c r="BC756" s="29"/>
      <c r="BD756" s="29"/>
      <c r="BE756" s="29"/>
      <c r="BF756" s="111"/>
      <c r="BG756" s="111"/>
      <c r="BH756" s="111"/>
      <c r="BI756" s="111"/>
      <c r="BJ756" s="111"/>
      <c r="BK756" s="111"/>
      <c r="BL756" s="111"/>
      <c r="BM756" s="111"/>
      <c r="BN756" s="111"/>
      <c r="BO756" s="111"/>
      <c r="BP756" s="111"/>
      <c r="BQ756" s="111"/>
      <c r="BR756" s="111"/>
      <c r="BS756" s="111"/>
      <c r="DR756" s="29"/>
      <c r="DS756" s="29"/>
      <c r="DT756" s="29"/>
      <c r="DU756" s="29"/>
      <c r="DV756" s="29"/>
      <c r="DW756" s="29"/>
      <c r="DX756" s="29"/>
      <c r="DY756" s="29"/>
      <c r="DZ756" s="29"/>
      <c r="EA756" s="29"/>
      <c r="EB756" s="29"/>
      <c r="EC756" s="29"/>
      <c r="ED756" s="29"/>
      <c r="EE756" s="29"/>
      <c r="EF756" s="111"/>
      <c r="EG756" s="111"/>
      <c r="EH756" s="111"/>
      <c r="EI756" s="111"/>
      <c r="EJ756" s="111"/>
      <c r="EK756" s="111"/>
      <c r="EL756" s="111"/>
      <c r="EM756" s="111"/>
      <c r="EN756" s="111"/>
      <c r="EO756" s="111"/>
      <c r="EP756" s="111"/>
      <c r="EQ756" s="111"/>
      <c r="ER756" s="111"/>
      <c r="ES756" s="111"/>
    </row>
    <row r="757" spans="44:149">
      <c r="AR757" s="29"/>
      <c r="AS757" s="29"/>
      <c r="AT757" s="29"/>
      <c r="AU757" s="29"/>
      <c r="AV757" s="29"/>
      <c r="AW757" s="29"/>
      <c r="AX757" s="29"/>
      <c r="AY757" s="29"/>
      <c r="AZ757" s="29"/>
      <c r="BA757" s="29"/>
      <c r="BB757" s="29"/>
      <c r="BC757" s="29"/>
      <c r="BD757" s="29"/>
      <c r="BE757" s="29"/>
      <c r="BF757" s="111"/>
      <c r="BG757" s="111"/>
      <c r="BH757" s="111"/>
      <c r="BI757" s="111"/>
      <c r="BJ757" s="111"/>
      <c r="BK757" s="111"/>
      <c r="BL757" s="111"/>
      <c r="BM757" s="111"/>
      <c r="BN757" s="111"/>
      <c r="BO757" s="111"/>
      <c r="BP757" s="111"/>
      <c r="BQ757" s="111"/>
      <c r="BR757" s="111"/>
      <c r="BS757" s="111"/>
      <c r="DR757" s="29"/>
      <c r="DS757" s="29"/>
      <c r="DT757" s="29"/>
      <c r="DU757" s="29"/>
      <c r="DV757" s="29"/>
      <c r="DW757" s="29"/>
      <c r="DX757" s="29"/>
      <c r="DY757" s="29"/>
      <c r="DZ757" s="29"/>
      <c r="EA757" s="29"/>
      <c r="EB757" s="29"/>
      <c r="EC757" s="29"/>
      <c r="ED757" s="29"/>
      <c r="EE757" s="29"/>
      <c r="EF757" s="111"/>
      <c r="EG757" s="111"/>
      <c r="EH757" s="111"/>
      <c r="EI757" s="111"/>
      <c r="EJ757" s="111"/>
      <c r="EK757" s="111"/>
      <c r="EL757" s="111"/>
      <c r="EM757" s="111"/>
      <c r="EN757" s="111"/>
      <c r="EO757" s="111"/>
      <c r="EP757" s="111"/>
      <c r="EQ757" s="111"/>
      <c r="ER757" s="111"/>
      <c r="ES757" s="111"/>
    </row>
    <row r="758" spans="44:149">
      <c r="AR758" s="29"/>
      <c r="AS758" s="29"/>
      <c r="AT758" s="29"/>
      <c r="AU758" s="29"/>
      <c r="AV758" s="29"/>
      <c r="AW758" s="29"/>
      <c r="AX758" s="29"/>
      <c r="AY758" s="29"/>
      <c r="AZ758" s="29"/>
      <c r="BA758" s="29"/>
      <c r="BB758" s="29"/>
      <c r="BC758" s="29"/>
      <c r="BD758" s="29"/>
      <c r="BE758" s="29"/>
      <c r="BF758" s="111"/>
      <c r="BG758" s="111"/>
      <c r="BH758" s="111"/>
      <c r="BI758" s="111"/>
      <c r="BJ758" s="111"/>
      <c r="BK758" s="111"/>
      <c r="BL758" s="111"/>
      <c r="BM758" s="111"/>
      <c r="BN758" s="111"/>
      <c r="BO758" s="111"/>
      <c r="BP758" s="111"/>
      <c r="BQ758" s="111"/>
      <c r="BR758" s="111"/>
      <c r="BS758" s="111"/>
      <c r="DR758" s="29"/>
      <c r="DS758" s="29"/>
      <c r="DT758" s="29"/>
      <c r="DU758" s="29"/>
      <c r="DV758" s="29"/>
      <c r="DW758" s="29"/>
      <c r="DX758" s="29"/>
      <c r="DY758" s="29"/>
      <c r="DZ758" s="29"/>
      <c r="EA758" s="29"/>
      <c r="EB758" s="29"/>
      <c r="EC758" s="29"/>
      <c r="ED758" s="29"/>
      <c r="EE758" s="29"/>
      <c r="EF758" s="111"/>
      <c r="EG758" s="111"/>
      <c r="EH758" s="111"/>
      <c r="EI758" s="111"/>
      <c r="EJ758" s="111"/>
      <c r="EK758" s="111"/>
      <c r="EL758" s="111"/>
      <c r="EM758" s="111"/>
      <c r="EN758" s="111"/>
      <c r="EO758" s="111"/>
      <c r="EP758" s="111"/>
      <c r="EQ758" s="111"/>
      <c r="ER758" s="111"/>
      <c r="ES758" s="111"/>
    </row>
    <row r="759" spans="44:149">
      <c r="AR759" s="29"/>
      <c r="AS759" s="29"/>
      <c r="AT759" s="29"/>
      <c r="AU759" s="29"/>
      <c r="AV759" s="29"/>
      <c r="AW759" s="29"/>
      <c r="AX759" s="29"/>
      <c r="AY759" s="29"/>
      <c r="AZ759" s="29"/>
      <c r="BA759" s="29"/>
      <c r="BB759" s="29"/>
      <c r="BC759" s="29"/>
      <c r="BD759" s="29"/>
      <c r="BE759" s="29"/>
      <c r="BF759" s="111"/>
      <c r="BG759" s="111"/>
      <c r="BH759" s="111"/>
      <c r="BI759" s="111"/>
      <c r="BJ759" s="111"/>
      <c r="BK759" s="111"/>
      <c r="BL759" s="111"/>
      <c r="BM759" s="111"/>
      <c r="BN759" s="111"/>
      <c r="BO759" s="111"/>
      <c r="BP759" s="111"/>
      <c r="BQ759" s="111"/>
      <c r="BR759" s="111"/>
      <c r="BS759" s="111"/>
      <c r="DR759" s="29"/>
      <c r="DS759" s="29"/>
      <c r="DT759" s="29"/>
      <c r="DU759" s="29"/>
      <c r="DV759" s="29"/>
      <c r="DW759" s="29"/>
      <c r="DX759" s="29"/>
      <c r="DY759" s="29"/>
      <c r="DZ759" s="29"/>
      <c r="EA759" s="29"/>
      <c r="EB759" s="29"/>
      <c r="EC759" s="29"/>
      <c r="ED759" s="29"/>
      <c r="EE759" s="29"/>
      <c r="EF759" s="111"/>
      <c r="EG759" s="111"/>
      <c r="EH759" s="111"/>
      <c r="EI759" s="111"/>
      <c r="EJ759" s="111"/>
      <c r="EK759" s="111"/>
      <c r="EL759" s="111"/>
      <c r="EM759" s="111"/>
      <c r="EN759" s="111"/>
      <c r="EO759" s="111"/>
      <c r="EP759" s="111"/>
      <c r="EQ759" s="111"/>
      <c r="ER759" s="111"/>
      <c r="ES759" s="111"/>
    </row>
    <row r="760" spans="44:149">
      <c r="AR760" s="29"/>
      <c r="AS760" s="29"/>
      <c r="AT760" s="29"/>
      <c r="AU760" s="29"/>
      <c r="AV760" s="29"/>
      <c r="AW760" s="29"/>
      <c r="AX760" s="29"/>
      <c r="AY760" s="29"/>
      <c r="AZ760" s="29"/>
      <c r="BA760" s="29"/>
      <c r="BB760" s="29"/>
      <c r="BC760" s="29"/>
      <c r="BD760" s="29"/>
      <c r="BE760" s="29"/>
      <c r="BF760" s="111"/>
      <c r="BG760" s="111"/>
      <c r="BH760" s="111"/>
      <c r="BI760" s="111"/>
      <c r="BJ760" s="111"/>
      <c r="BK760" s="111"/>
      <c r="BL760" s="111"/>
      <c r="BM760" s="111"/>
      <c r="BN760" s="111"/>
      <c r="BO760" s="111"/>
      <c r="BP760" s="111"/>
      <c r="BQ760" s="111"/>
      <c r="BR760" s="111"/>
      <c r="BS760" s="111"/>
      <c r="DR760" s="29"/>
      <c r="DS760" s="29"/>
      <c r="DT760" s="29"/>
      <c r="DU760" s="29"/>
      <c r="DV760" s="29"/>
      <c r="DW760" s="29"/>
      <c r="DX760" s="29"/>
      <c r="DY760" s="29"/>
      <c r="DZ760" s="29"/>
      <c r="EA760" s="29"/>
      <c r="EB760" s="29"/>
      <c r="EC760" s="29"/>
      <c r="ED760" s="29"/>
      <c r="EE760" s="29"/>
      <c r="EF760" s="111"/>
      <c r="EG760" s="111"/>
      <c r="EH760" s="111"/>
      <c r="EI760" s="111"/>
      <c r="EJ760" s="111"/>
      <c r="EK760" s="111"/>
      <c r="EL760" s="111"/>
      <c r="EM760" s="111"/>
      <c r="EN760" s="111"/>
      <c r="EO760" s="111"/>
      <c r="EP760" s="111"/>
      <c r="EQ760" s="111"/>
      <c r="ER760" s="111"/>
      <c r="ES760" s="111"/>
    </row>
    <row r="761" spans="44:149">
      <c r="AR761" s="29"/>
      <c r="AS761" s="29"/>
      <c r="AT761" s="29"/>
      <c r="AU761" s="29"/>
      <c r="AV761" s="29"/>
      <c r="AW761" s="29"/>
      <c r="AX761" s="29"/>
      <c r="AY761" s="29"/>
      <c r="AZ761" s="29"/>
      <c r="BA761" s="29"/>
      <c r="BB761" s="29"/>
      <c r="BC761" s="29"/>
      <c r="BD761" s="29"/>
      <c r="BE761" s="29"/>
      <c r="BF761" s="111"/>
      <c r="BG761" s="111"/>
      <c r="BH761" s="111"/>
      <c r="BI761" s="111"/>
      <c r="BJ761" s="111"/>
      <c r="BK761" s="111"/>
      <c r="BL761" s="111"/>
      <c r="BM761" s="111"/>
      <c r="BN761" s="111"/>
      <c r="BO761" s="111"/>
      <c r="BP761" s="111"/>
      <c r="BQ761" s="111"/>
      <c r="BR761" s="111"/>
      <c r="BS761" s="111"/>
      <c r="DR761" s="29"/>
      <c r="DS761" s="29"/>
      <c r="DT761" s="29"/>
      <c r="DU761" s="29"/>
      <c r="DV761" s="29"/>
      <c r="DW761" s="29"/>
      <c r="DX761" s="29"/>
      <c r="DY761" s="29"/>
      <c r="DZ761" s="29"/>
      <c r="EA761" s="29"/>
      <c r="EB761" s="29"/>
      <c r="EC761" s="29"/>
      <c r="ED761" s="29"/>
      <c r="EE761" s="29"/>
      <c r="EF761" s="111"/>
      <c r="EG761" s="111"/>
      <c r="EH761" s="111"/>
      <c r="EI761" s="111"/>
      <c r="EJ761" s="111"/>
      <c r="EK761" s="111"/>
      <c r="EL761" s="111"/>
      <c r="EM761" s="111"/>
      <c r="EN761" s="111"/>
      <c r="EO761" s="111"/>
      <c r="EP761" s="111"/>
      <c r="EQ761" s="111"/>
      <c r="ER761" s="111"/>
      <c r="ES761" s="111"/>
    </row>
    <row r="762" spans="44:149">
      <c r="AR762" s="29"/>
      <c r="AS762" s="29"/>
      <c r="AT762" s="29"/>
      <c r="AU762" s="29"/>
      <c r="AV762" s="29"/>
      <c r="AW762" s="29"/>
      <c r="AX762" s="29"/>
      <c r="AY762" s="29"/>
      <c r="AZ762" s="29"/>
      <c r="BA762" s="29"/>
      <c r="BB762" s="29"/>
      <c r="BC762" s="29"/>
      <c r="BD762" s="29"/>
      <c r="BE762" s="29"/>
      <c r="BF762" s="111"/>
      <c r="BG762" s="111"/>
      <c r="BH762" s="111"/>
      <c r="BI762" s="111"/>
      <c r="BJ762" s="111"/>
      <c r="BK762" s="111"/>
      <c r="BL762" s="111"/>
      <c r="BM762" s="111"/>
      <c r="BN762" s="111"/>
      <c r="BO762" s="111"/>
      <c r="BP762" s="111"/>
      <c r="BQ762" s="111"/>
      <c r="BR762" s="111"/>
      <c r="BS762" s="111"/>
      <c r="DR762" s="29"/>
      <c r="DS762" s="29"/>
      <c r="DT762" s="29"/>
      <c r="DU762" s="29"/>
      <c r="DV762" s="29"/>
      <c r="DW762" s="29"/>
      <c r="DX762" s="29"/>
      <c r="DY762" s="29"/>
      <c r="DZ762" s="29"/>
      <c r="EA762" s="29"/>
      <c r="EB762" s="29"/>
      <c r="EC762" s="29"/>
      <c r="ED762" s="29"/>
      <c r="EE762" s="29"/>
      <c r="EF762" s="111"/>
      <c r="EG762" s="111"/>
      <c r="EH762" s="111"/>
      <c r="EI762" s="111"/>
      <c r="EJ762" s="111"/>
      <c r="EK762" s="111"/>
      <c r="EL762" s="111"/>
      <c r="EM762" s="111"/>
      <c r="EN762" s="111"/>
      <c r="EO762" s="111"/>
      <c r="EP762" s="111"/>
      <c r="EQ762" s="111"/>
      <c r="ER762" s="111"/>
      <c r="ES762" s="111"/>
    </row>
    <row r="763" spans="44:149">
      <c r="AR763" s="29"/>
      <c r="AS763" s="29"/>
      <c r="AT763" s="29"/>
      <c r="AU763" s="29"/>
      <c r="AV763" s="29"/>
      <c r="AW763" s="29"/>
      <c r="AX763" s="29"/>
      <c r="AY763" s="29"/>
      <c r="AZ763" s="29"/>
      <c r="BA763" s="29"/>
      <c r="BB763" s="29"/>
      <c r="BC763" s="29"/>
      <c r="BD763" s="29"/>
      <c r="BE763" s="29"/>
      <c r="BF763" s="111"/>
      <c r="BG763" s="111"/>
      <c r="BH763" s="111"/>
      <c r="BI763" s="111"/>
      <c r="BJ763" s="111"/>
      <c r="BK763" s="111"/>
      <c r="BL763" s="111"/>
      <c r="BM763" s="111"/>
      <c r="BN763" s="111"/>
      <c r="BO763" s="111"/>
      <c r="BP763" s="111"/>
      <c r="BQ763" s="111"/>
      <c r="BR763" s="111"/>
      <c r="BS763" s="111"/>
      <c r="DR763" s="29"/>
      <c r="DS763" s="29"/>
      <c r="DT763" s="29"/>
      <c r="DU763" s="29"/>
      <c r="DV763" s="29"/>
      <c r="DW763" s="29"/>
      <c r="DX763" s="29"/>
      <c r="DY763" s="29"/>
      <c r="DZ763" s="29"/>
      <c r="EA763" s="29"/>
      <c r="EB763" s="29"/>
      <c r="EC763" s="29"/>
      <c r="ED763" s="29"/>
      <c r="EE763" s="29"/>
      <c r="EF763" s="111"/>
      <c r="EG763" s="111"/>
      <c r="EH763" s="111"/>
      <c r="EI763" s="111"/>
      <c r="EJ763" s="111"/>
      <c r="EK763" s="111"/>
      <c r="EL763" s="111"/>
      <c r="EM763" s="111"/>
      <c r="EN763" s="111"/>
      <c r="EO763" s="111"/>
      <c r="EP763" s="111"/>
      <c r="EQ763" s="111"/>
      <c r="ER763" s="111"/>
      <c r="ES763" s="111"/>
    </row>
    <row r="764" spans="44:149">
      <c r="AR764" s="29"/>
      <c r="AS764" s="29"/>
      <c r="AT764" s="29"/>
      <c r="AU764" s="29"/>
      <c r="AV764" s="29"/>
      <c r="AW764" s="29"/>
      <c r="AX764" s="29"/>
      <c r="AY764" s="29"/>
      <c r="AZ764" s="29"/>
      <c r="BA764" s="29"/>
      <c r="BB764" s="29"/>
      <c r="BC764" s="29"/>
      <c r="BD764" s="29"/>
      <c r="BE764" s="29"/>
      <c r="BF764" s="111"/>
      <c r="BG764" s="111"/>
      <c r="BH764" s="111"/>
      <c r="BI764" s="111"/>
      <c r="BJ764" s="111"/>
      <c r="BK764" s="111"/>
      <c r="BL764" s="111"/>
      <c r="BM764" s="111"/>
      <c r="BN764" s="111"/>
      <c r="BO764" s="111"/>
      <c r="BP764" s="111"/>
      <c r="BQ764" s="111"/>
      <c r="BR764" s="111"/>
      <c r="BS764" s="111"/>
      <c r="DR764" s="29"/>
      <c r="DS764" s="29"/>
      <c r="DT764" s="29"/>
      <c r="DU764" s="29"/>
      <c r="DV764" s="29"/>
      <c r="DW764" s="29"/>
      <c r="DX764" s="29"/>
      <c r="DY764" s="29"/>
      <c r="DZ764" s="29"/>
      <c r="EA764" s="29"/>
      <c r="EB764" s="29"/>
      <c r="EC764" s="29"/>
      <c r="ED764" s="29"/>
      <c r="EE764" s="29"/>
      <c r="EF764" s="111"/>
      <c r="EG764" s="111"/>
      <c r="EH764" s="111"/>
      <c r="EI764" s="111"/>
      <c r="EJ764" s="111"/>
      <c r="EK764" s="111"/>
      <c r="EL764" s="111"/>
      <c r="EM764" s="111"/>
      <c r="EN764" s="111"/>
      <c r="EO764" s="111"/>
      <c r="EP764" s="111"/>
      <c r="EQ764" s="111"/>
      <c r="ER764" s="111"/>
      <c r="ES764" s="111"/>
    </row>
    <row r="765" spans="44:149">
      <c r="AR765" s="29"/>
      <c r="AS765" s="29"/>
      <c r="AT765" s="29"/>
      <c r="AU765" s="29"/>
      <c r="AV765" s="29"/>
      <c r="AW765" s="29"/>
      <c r="AX765" s="29"/>
      <c r="AY765" s="29"/>
      <c r="AZ765" s="29"/>
      <c r="BA765" s="29"/>
      <c r="BB765" s="29"/>
      <c r="BC765" s="29"/>
      <c r="BD765" s="29"/>
      <c r="BE765" s="29"/>
      <c r="BF765" s="111"/>
      <c r="BG765" s="111"/>
      <c r="BH765" s="111"/>
      <c r="BI765" s="111"/>
      <c r="BJ765" s="111"/>
      <c r="BK765" s="111"/>
      <c r="BL765" s="111"/>
      <c r="BM765" s="111"/>
      <c r="BN765" s="111"/>
      <c r="BO765" s="111"/>
      <c r="BP765" s="111"/>
      <c r="BQ765" s="111"/>
      <c r="BR765" s="111"/>
      <c r="BS765" s="111"/>
      <c r="DR765" s="29"/>
      <c r="DS765" s="29"/>
      <c r="DT765" s="29"/>
      <c r="DU765" s="29"/>
      <c r="DV765" s="29"/>
      <c r="DW765" s="29"/>
      <c r="DX765" s="29"/>
      <c r="DY765" s="29"/>
      <c r="DZ765" s="29"/>
      <c r="EA765" s="29"/>
      <c r="EB765" s="29"/>
      <c r="EC765" s="29"/>
      <c r="ED765" s="29"/>
      <c r="EE765" s="29"/>
      <c r="EF765" s="111"/>
      <c r="EG765" s="111"/>
      <c r="EH765" s="111"/>
      <c r="EI765" s="111"/>
      <c r="EJ765" s="111"/>
      <c r="EK765" s="111"/>
      <c r="EL765" s="111"/>
      <c r="EM765" s="111"/>
      <c r="EN765" s="111"/>
      <c r="EO765" s="111"/>
      <c r="EP765" s="111"/>
      <c r="EQ765" s="111"/>
      <c r="ER765" s="111"/>
      <c r="ES765" s="111"/>
    </row>
    <row r="766" spans="44:149">
      <c r="AR766" s="29"/>
      <c r="AS766" s="29"/>
      <c r="AT766" s="29"/>
      <c r="AU766" s="29"/>
      <c r="AV766" s="29"/>
      <c r="AW766" s="29"/>
      <c r="AX766" s="29"/>
      <c r="AY766" s="29"/>
      <c r="AZ766" s="29"/>
      <c r="BA766" s="29"/>
      <c r="BB766" s="29"/>
      <c r="BC766" s="29"/>
      <c r="BD766" s="29"/>
      <c r="BE766" s="29"/>
      <c r="BF766" s="111"/>
      <c r="BG766" s="111"/>
      <c r="BH766" s="111"/>
      <c r="BI766" s="111"/>
      <c r="BJ766" s="111"/>
      <c r="BK766" s="111"/>
      <c r="BL766" s="111"/>
      <c r="BM766" s="111"/>
      <c r="BN766" s="111"/>
      <c r="BO766" s="111"/>
      <c r="BP766" s="111"/>
      <c r="BQ766" s="111"/>
      <c r="BR766" s="111"/>
      <c r="BS766" s="111"/>
      <c r="DR766" s="29"/>
      <c r="DS766" s="29"/>
      <c r="DT766" s="29"/>
      <c r="DU766" s="29"/>
      <c r="DV766" s="29"/>
      <c r="DW766" s="29"/>
      <c r="DX766" s="29"/>
      <c r="DY766" s="29"/>
      <c r="DZ766" s="29"/>
      <c r="EA766" s="29"/>
      <c r="EB766" s="29"/>
      <c r="EC766" s="29"/>
      <c r="ED766" s="29"/>
      <c r="EE766" s="29"/>
      <c r="EF766" s="111"/>
      <c r="EG766" s="111"/>
      <c r="EH766" s="111"/>
      <c r="EI766" s="111"/>
      <c r="EJ766" s="111"/>
      <c r="EK766" s="111"/>
      <c r="EL766" s="111"/>
      <c r="EM766" s="111"/>
      <c r="EN766" s="111"/>
      <c r="EO766" s="111"/>
      <c r="EP766" s="111"/>
      <c r="EQ766" s="111"/>
      <c r="ER766" s="111"/>
      <c r="ES766" s="111"/>
    </row>
    <row r="767" spans="44:149">
      <c r="AR767" s="29"/>
      <c r="AS767" s="29"/>
      <c r="AT767" s="29"/>
      <c r="AU767" s="29"/>
      <c r="AV767" s="29"/>
      <c r="AW767" s="29"/>
      <c r="AX767" s="29"/>
      <c r="AY767" s="29"/>
      <c r="AZ767" s="29"/>
      <c r="BA767" s="29"/>
      <c r="BB767" s="29"/>
      <c r="BC767" s="29"/>
      <c r="BD767" s="29"/>
      <c r="BE767" s="29"/>
      <c r="BF767" s="111"/>
      <c r="BG767" s="111"/>
      <c r="BH767" s="111"/>
      <c r="BI767" s="111"/>
      <c r="BJ767" s="111"/>
      <c r="BK767" s="111"/>
      <c r="BL767" s="111"/>
      <c r="BM767" s="111"/>
      <c r="BN767" s="111"/>
      <c r="BO767" s="111"/>
      <c r="BP767" s="111"/>
      <c r="BQ767" s="111"/>
      <c r="BR767" s="111"/>
      <c r="BS767" s="111"/>
      <c r="DR767" s="29"/>
      <c r="DS767" s="29"/>
      <c r="DT767" s="29"/>
      <c r="DU767" s="29"/>
      <c r="DV767" s="29"/>
      <c r="DW767" s="29"/>
      <c r="DX767" s="29"/>
      <c r="DY767" s="29"/>
      <c r="DZ767" s="29"/>
      <c r="EA767" s="29"/>
      <c r="EB767" s="29"/>
      <c r="EC767" s="29"/>
      <c r="ED767" s="29"/>
      <c r="EE767" s="29"/>
      <c r="EF767" s="111"/>
      <c r="EG767" s="111"/>
      <c r="EH767" s="111"/>
      <c r="EI767" s="111"/>
      <c r="EJ767" s="111"/>
      <c r="EK767" s="111"/>
      <c r="EL767" s="111"/>
      <c r="EM767" s="111"/>
      <c r="EN767" s="111"/>
      <c r="EO767" s="111"/>
      <c r="EP767" s="111"/>
      <c r="EQ767" s="111"/>
      <c r="ER767" s="111"/>
      <c r="ES767" s="111"/>
    </row>
    <row r="768" spans="44:149">
      <c r="AR768" s="29"/>
      <c r="AS768" s="29"/>
      <c r="AT768" s="29"/>
      <c r="AU768" s="29"/>
      <c r="AV768" s="29"/>
      <c r="AW768" s="29"/>
      <c r="AX768" s="29"/>
      <c r="AY768" s="29"/>
      <c r="AZ768" s="29"/>
      <c r="BA768" s="29"/>
      <c r="BB768" s="29"/>
      <c r="BC768" s="29"/>
      <c r="BD768" s="29"/>
      <c r="BE768" s="29"/>
      <c r="BF768" s="111"/>
      <c r="BG768" s="111"/>
      <c r="BH768" s="111"/>
      <c r="BI768" s="111"/>
      <c r="BJ768" s="111"/>
      <c r="BK768" s="111"/>
      <c r="BL768" s="111"/>
      <c r="BM768" s="111"/>
      <c r="BN768" s="111"/>
      <c r="BO768" s="111"/>
      <c r="BP768" s="111"/>
      <c r="BQ768" s="111"/>
      <c r="BR768" s="111"/>
      <c r="BS768" s="111"/>
      <c r="DR768" s="29"/>
      <c r="DS768" s="29"/>
      <c r="DT768" s="29"/>
      <c r="DU768" s="29"/>
      <c r="DV768" s="29"/>
      <c r="DW768" s="29"/>
      <c r="DX768" s="29"/>
      <c r="DY768" s="29"/>
      <c r="DZ768" s="29"/>
      <c r="EA768" s="29"/>
      <c r="EB768" s="29"/>
      <c r="EC768" s="29"/>
      <c r="ED768" s="29"/>
      <c r="EE768" s="29"/>
      <c r="EF768" s="111"/>
      <c r="EG768" s="111"/>
      <c r="EH768" s="111"/>
      <c r="EI768" s="111"/>
      <c r="EJ768" s="111"/>
      <c r="EK768" s="111"/>
      <c r="EL768" s="111"/>
      <c r="EM768" s="111"/>
      <c r="EN768" s="111"/>
      <c r="EO768" s="111"/>
      <c r="EP768" s="111"/>
      <c r="EQ768" s="111"/>
      <c r="ER768" s="111"/>
      <c r="ES768" s="111"/>
    </row>
    <row r="769" spans="44:149">
      <c r="AR769" s="29"/>
      <c r="AS769" s="29"/>
      <c r="AT769" s="29"/>
      <c r="AU769" s="29"/>
      <c r="AV769" s="29"/>
      <c r="AW769" s="29"/>
      <c r="AX769" s="29"/>
      <c r="AY769" s="29"/>
      <c r="AZ769" s="29"/>
      <c r="BA769" s="29"/>
      <c r="BB769" s="29"/>
      <c r="BC769" s="29"/>
      <c r="BD769" s="29"/>
      <c r="BE769" s="29"/>
      <c r="BF769" s="111"/>
      <c r="BG769" s="111"/>
      <c r="BH769" s="111"/>
      <c r="BI769" s="111"/>
      <c r="BJ769" s="111"/>
      <c r="BK769" s="111"/>
      <c r="BL769" s="111"/>
      <c r="BM769" s="111"/>
      <c r="BN769" s="111"/>
      <c r="BO769" s="111"/>
      <c r="BP769" s="111"/>
      <c r="BQ769" s="111"/>
      <c r="BR769" s="111"/>
      <c r="BS769" s="111"/>
      <c r="DR769" s="29"/>
      <c r="DS769" s="29"/>
      <c r="DT769" s="29"/>
      <c r="DU769" s="29"/>
      <c r="DV769" s="29"/>
      <c r="DW769" s="29"/>
      <c r="DX769" s="29"/>
      <c r="DY769" s="29"/>
      <c r="DZ769" s="29"/>
      <c r="EA769" s="29"/>
      <c r="EB769" s="29"/>
      <c r="EC769" s="29"/>
      <c r="ED769" s="29"/>
      <c r="EE769" s="29"/>
      <c r="EF769" s="111"/>
      <c r="EG769" s="111"/>
      <c r="EH769" s="111"/>
      <c r="EI769" s="111"/>
      <c r="EJ769" s="111"/>
      <c r="EK769" s="111"/>
      <c r="EL769" s="111"/>
      <c r="EM769" s="111"/>
      <c r="EN769" s="111"/>
      <c r="EO769" s="111"/>
      <c r="EP769" s="111"/>
      <c r="EQ769" s="111"/>
      <c r="ER769" s="111"/>
      <c r="ES769" s="111"/>
    </row>
    <row r="770" spans="44:149">
      <c r="AR770" s="29"/>
      <c r="AS770" s="29"/>
      <c r="AT770" s="29"/>
      <c r="AU770" s="29"/>
      <c r="AV770" s="29"/>
      <c r="AW770" s="29"/>
      <c r="AX770" s="29"/>
      <c r="AY770" s="29"/>
      <c r="AZ770" s="29"/>
      <c r="BA770" s="29"/>
      <c r="BB770" s="29"/>
      <c r="BC770" s="29"/>
      <c r="BD770" s="29"/>
      <c r="BE770" s="29"/>
      <c r="BF770" s="111"/>
      <c r="BG770" s="111"/>
      <c r="BH770" s="111"/>
      <c r="BI770" s="111"/>
      <c r="BJ770" s="111"/>
      <c r="BK770" s="111"/>
      <c r="BL770" s="111"/>
      <c r="BM770" s="111"/>
      <c r="BN770" s="111"/>
      <c r="BO770" s="111"/>
      <c r="BP770" s="111"/>
      <c r="BQ770" s="111"/>
      <c r="BR770" s="111"/>
      <c r="BS770" s="111"/>
      <c r="DR770" s="29"/>
      <c r="DS770" s="29"/>
      <c r="DT770" s="29"/>
      <c r="DU770" s="29"/>
      <c r="DV770" s="29"/>
      <c r="DW770" s="29"/>
      <c r="DX770" s="29"/>
      <c r="DY770" s="29"/>
      <c r="DZ770" s="29"/>
      <c r="EA770" s="29"/>
      <c r="EB770" s="29"/>
      <c r="EC770" s="29"/>
      <c r="ED770" s="29"/>
      <c r="EE770" s="29"/>
      <c r="EF770" s="111"/>
      <c r="EG770" s="111"/>
      <c r="EH770" s="111"/>
      <c r="EI770" s="111"/>
      <c r="EJ770" s="111"/>
      <c r="EK770" s="111"/>
      <c r="EL770" s="111"/>
      <c r="EM770" s="111"/>
      <c r="EN770" s="111"/>
      <c r="EO770" s="111"/>
      <c r="EP770" s="111"/>
      <c r="EQ770" s="111"/>
      <c r="ER770" s="111"/>
      <c r="ES770" s="111"/>
    </row>
    <row r="771" spans="44:149">
      <c r="AR771" s="29"/>
      <c r="AS771" s="29"/>
      <c r="AT771" s="29"/>
      <c r="AU771" s="29"/>
      <c r="AV771" s="29"/>
      <c r="AW771" s="29"/>
      <c r="AX771" s="29"/>
      <c r="AY771" s="29"/>
      <c r="AZ771" s="29"/>
      <c r="BA771" s="29"/>
      <c r="BB771" s="29"/>
      <c r="BC771" s="29"/>
      <c r="BD771" s="29"/>
      <c r="BE771" s="29"/>
      <c r="BF771" s="111"/>
      <c r="BG771" s="111"/>
      <c r="BH771" s="111"/>
      <c r="BI771" s="111"/>
      <c r="BJ771" s="111"/>
      <c r="BK771" s="111"/>
      <c r="BL771" s="111"/>
      <c r="BM771" s="111"/>
      <c r="BN771" s="111"/>
      <c r="BO771" s="111"/>
      <c r="BP771" s="111"/>
      <c r="BQ771" s="111"/>
      <c r="BR771" s="111"/>
      <c r="BS771" s="111"/>
      <c r="DR771" s="29"/>
      <c r="DS771" s="29"/>
      <c r="DT771" s="29"/>
      <c r="DU771" s="29"/>
      <c r="DV771" s="29"/>
      <c r="DW771" s="29"/>
      <c r="DX771" s="29"/>
      <c r="DY771" s="29"/>
      <c r="DZ771" s="29"/>
      <c r="EA771" s="29"/>
      <c r="EB771" s="29"/>
      <c r="EC771" s="29"/>
      <c r="ED771" s="29"/>
      <c r="EE771" s="29"/>
      <c r="EF771" s="111"/>
      <c r="EG771" s="111"/>
      <c r="EH771" s="111"/>
      <c r="EI771" s="111"/>
      <c r="EJ771" s="111"/>
      <c r="EK771" s="111"/>
      <c r="EL771" s="111"/>
      <c r="EM771" s="111"/>
      <c r="EN771" s="111"/>
      <c r="EO771" s="111"/>
      <c r="EP771" s="111"/>
      <c r="EQ771" s="111"/>
      <c r="ER771" s="111"/>
      <c r="ES771" s="111"/>
    </row>
    <row r="772" spans="44:149">
      <c r="AR772" s="29"/>
      <c r="AS772" s="29"/>
      <c r="AT772" s="29"/>
      <c r="AU772" s="29"/>
      <c r="AV772" s="29"/>
      <c r="AW772" s="29"/>
      <c r="AX772" s="29"/>
      <c r="AY772" s="29"/>
      <c r="AZ772" s="29"/>
      <c r="BA772" s="29"/>
      <c r="BB772" s="29"/>
      <c r="BC772" s="29"/>
      <c r="BD772" s="29"/>
      <c r="BE772" s="29"/>
      <c r="BF772" s="111"/>
      <c r="BG772" s="111"/>
      <c r="BH772" s="111"/>
      <c r="BI772" s="111"/>
      <c r="BJ772" s="111"/>
      <c r="BK772" s="111"/>
      <c r="BL772" s="111"/>
      <c r="BM772" s="111"/>
      <c r="BN772" s="111"/>
      <c r="BO772" s="111"/>
      <c r="BP772" s="111"/>
      <c r="BQ772" s="111"/>
      <c r="BR772" s="111"/>
      <c r="BS772" s="111"/>
      <c r="DR772" s="29"/>
      <c r="DS772" s="29"/>
      <c r="DT772" s="29"/>
      <c r="DU772" s="29"/>
      <c r="DV772" s="29"/>
      <c r="DW772" s="29"/>
      <c r="DX772" s="29"/>
      <c r="DY772" s="29"/>
      <c r="DZ772" s="29"/>
      <c r="EA772" s="29"/>
      <c r="EB772" s="29"/>
      <c r="EC772" s="29"/>
      <c r="ED772" s="29"/>
      <c r="EE772" s="29"/>
      <c r="EF772" s="111"/>
      <c r="EG772" s="111"/>
      <c r="EH772" s="111"/>
      <c r="EI772" s="111"/>
      <c r="EJ772" s="111"/>
      <c r="EK772" s="111"/>
      <c r="EL772" s="111"/>
      <c r="EM772" s="111"/>
      <c r="EN772" s="111"/>
      <c r="EO772" s="111"/>
      <c r="EP772" s="111"/>
      <c r="EQ772" s="111"/>
      <c r="ER772" s="111"/>
      <c r="ES772" s="111"/>
    </row>
    <row r="773" spans="44:149">
      <c r="AR773" s="29"/>
      <c r="AS773" s="29"/>
      <c r="AT773" s="29"/>
      <c r="AU773" s="29"/>
      <c r="AV773" s="29"/>
      <c r="AW773" s="29"/>
      <c r="AX773" s="29"/>
      <c r="AY773" s="29"/>
      <c r="AZ773" s="29"/>
      <c r="BA773" s="29"/>
      <c r="BB773" s="29"/>
      <c r="BC773" s="29"/>
      <c r="BD773" s="29"/>
      <c r="BE773" s="29"/>
      <c r="BF773" s="111"/>
      <c r="BG773" s="111"/>
      <c r="BH773" s="111"/>
      <c r="BI773" s="111"/>
      <c r="BJ773" s="111"/>
      <c r="BK773" s="111"/>
      <c r="BL773" s="111"/>
      <c r="BM773" s="111"/>
      <c r="BN773" s="111"/>
      <c r="BO773" s="111"/>
      <c r="BP773" s="111"/>
      <c r="BQ773" s="111"/>
      <c r="BR773" s="111"/>
      <c r="BS773" s="111"/>
      <c r="DR773" s="29"/>
      <c r="DS773" s="29"/>
      <c r="DT773" s="29"/>
      <c r="DU773" s="29"/>
      <c r="DV773" s="29"/>
      <c r="DW773" s="29"/>
      <c r="DX773" s="29"/>
      <c r="DY773" s="29"/>
      <c r="DZ773" s="29"/>
      <c r="EA773" s="29"/>
      <c r="EB773" s="29"/>
      <c r="EC773" s="29"/>
      <c r="ED773" s="29"/>
      <c r="EE773" s="29"/>
      <c r="EF773" s="111"/>
      <c r="EG773" s="111"/>
      <c r="EH773" s="111"/>
      <c r="EI773" s="111"/>
      <c r="EJ773" s="111"/>
      <c r="EK773" s="111"/>
      <c r="EL773" s="111"/>
      <c r="EM773" s="111"/>
      <c r="EN773" s="111"/>
      <c r="EO773" s="111"/>
      <c r="EP773" s="111"/>
      <c r="EQ773" s="111"/>
      <c r="ER773" s="111"/>
      <c r="ES773" s="111"/>
    </row>
    <row r="774" spans="44:149">
      <c r="AR774" s="29"/>
      <c r="AS774" s="29"/>
      <c r="AT774" s="29"/>
      <c r="AU774" s="29"/>
      <c r="AV774" s="29"/>
      <c r="AW774" s="29"/>
      <c r="AX774" s="29"/>
      <c r="AY774" s="29"/>
      <c r="AZ774" s="29"/>
      <c r="BA774" s="29"/>
      <c r="BB774" s="29"/>
      <c r="BC774" s="29"/>
      <c r="BD774" s="29"/>
      <c r="BE774" s="29"/>
      <c r="BF774" s="111"/>
      <c r="BG774" s="111"/>
      <c r="BH774" s="111"/>
      <c r="BI774" s="111"/>
      <c r="BJ774" s="111"/>
      <c r="BK774" s="111"/>
      <c r="BL774" s="111"/>
      <c r="BM774" s="111"/>
      <c r="BN774" s="111"/>
      <c r="BO774" s="111"/>
      <c r="BP774" s="111"/>
      <c r="BQ774" s="111"/>
      <c r="BR774" s="111"/>
      <c r="BS774" s="111"/>
      <c r="DR774" s="29"/>
      <c r="DS774" s="29"/>
      <c r="DT774" s="29"/>
      <c r="DU774" s="29"/>
      <c r="DV774" s="29"/>
      <c r="DW774" s="29"/>
      <c r="DX774" s="29"/>
      <c r="DY774" s="29"/>
      <c r="DZ774" s="29"/>
      <c r="EA774" s="29"/>
      <c r="EB774" s="29"/>
      <c r="EC774" s="29"/>
      <c r="ED774" s="29"/>
      <c r="EE774" s="29"/>
      <c r="EF774" s="111"/>
      <c r="EG774" s="111"/>
      <c r="EH774" s="111"/>
      <c r="EI774" s="111"/>
      <c r="EJ774" s="111"/>
      <c r="EK774" s="111"/>
      <c r="EL774" s="111"/>
      <c r="EM774" s="111"/>
      <c r="EN774" s="111"/>
      <c r="EO774" s="111"/>
      <c r="EP774" s="111"/>
      <c r="EQ774" s="111"/>
      <c r="ER774" s="111"/>
      <c r="ES774" s="111"/>
    </row>
    <row r="775" spans="44:149">
      <c r="AR775" s="29"/>
      <c r="AS775" s="29"/>
      <c r="AT775" s="29"/>
      <c r="AU775" s="29"/>
      <c r="AV775" s="29"/>
      <c r="AW775" s="29"/>
      <c r="AX775" s="29"/>
      <c r="AY775" s="29"/>
      <c r="AZ775" s="29"/>
      <c r="BA775" s="29"/>
      <c r="BB775" s="29"/>
      <c r="BC775" s="29"/>
      <c r="BD775" s="29"/>
      <c r="BE775" s="29"/>
      <c r="BF775" s="111"/>
      <c r="BG775" s="111"/>
      <c r="BH775" s="111"/>
      <c r="BI775" s="111"/>
      <c r="BJ775" s="111"/>
      <c r="BK775" s="111"/>
      <c r="BL775" s="111"/>
      <c r="BM775" s="111"/>
      <c r="BN775" s="111"/>
      <c r="BO775" s="111"/>
      <c r="BP775" s="111"/>
      <c r="BQ775" s="111"/>
      <c r="BR775" s="111"/>
      <c r="BS775" s="111"/>
      <c r="DR775" s="29"/>
      <c r="DS775" s="29"/>
      <c r="DT775" s="29"/>
      <c r="DU775" s="29"/>
      <c r="DV775" s="29"/>
      <c r="DW775" s="29"/>
      <c r="DX775" s="29"/>
      <c r="DY775" s="29"/>
      <c r="DZ775" s="29"/>
      <c r="EA775" s="29"/>
      <c r="EB775" s="29"/>
      <c r="EC775" s="29"/>
      <c r="ED775" s="29"/>
      <c r="EE775" s="29"/>
      <c r="EF775" s="111"/>
      <c r="EG775" s="111"/>
      <c r="EH775" s="111"/>
      <c r="EI775" s="111"/>
      <c r="EJ775" s="111"/>
      <c r="EK775" s="111"/>
      <c r="EL775" s="111"/>
      <c r="EM775" s="111"/>
      <c r="EN775" s="111"/>
      <c r="EO775" s="111"/>
      <c r="EP775" s="111"/>
      <c r="EQ775" s="111"/>
      <c r="ER775" s="111"/>
      <c r="ES775" s="111"/>
    </row>
    <row r="776" spans="44:149">
      <c r="AR776" s="29"/>
      <c r="AS776" s="29"/>
      <c r="AT776" s="29"/>
      <c r="AU776" s="29"/>
      <c r="AV776" s="29"/>
      <c r="AW776" s="29"/>
      <c r="AX776" s="29"/>
      <c r="AY776" s="29"/>
      <c r="AZ776" s="29"/>
      <c r="BA776" s="29"/>
      <c r="BB776" s="29"/>
      <c r="BC776" s="29"/>
      <c r="BD776" s="29"/>
      <c r="BE776" s="29"/>
      <c r="BF776" s="111"/>
      <c r="BG776" s="111"/>
      <c r="BH776" s="111"/>
      <c r="BI776" s="111"/>
      <c r="BJ776" s="111"/>
      <c r="BK776" s="111"/>
      <c r="BL776" s="111"/>
      <c r="BM776" s="111"/>
      <c r="BN776" s="111"/>
      <c r="BO776" s="111"/>
      <c r="BP776" s="111"/>
      <c r="BQ776" s="111"/>
      <c r="BR776" s="111"/>
      <c r="BS776" s="111"/>
      <c r="DR776" s="29"/>
      <c r="DS776" s="29"/>
      <c r="DT776" s="29"/>
      <c r="DU776" s="29"/>
      <c r="DV776" s="29"/>
      <c r="DW776" s="29"/>
      <c r="DX776" s="29"/>
      <c r="DY776" s="29"/>
      <c r="DZ776" s="29"/>
      <c r="EA776" s="29"/>
      <c r="EB776" s="29"/>
      <c r="EC776" s="29"/>
      <c r="ED776" s="29"/>
      <c r="EE776" s="29"/>
      <c r="EF776" s="111"/>
      <c r="EG776" s="111"/>
      <c r="EH776" s="111"/>
      <c r="EI776" s="111"/>
      <c r="EJ776" s="111"/>
      <c r="EK776" s="111"/>
      <c r="EL776" s="111"/>
      <c r="EM776" s="111"/>
      <c r="EN776" s="111"/>
      <c r="EO776" s="111"/>
      <c r="EP776" s="111"/>
      <c r="EQ776" s="111"/>
      <c r="ER776" s="111"/>
      <c r="ES776" s="111"/>
    </row>
    <row r="777" spans="44:149">
      <c r="AR777" s="29"/>
      <c r="AS777" s="29"/>
      <c r="AT777" s="29"/>
      <c r="AU777" s="29"/>
      <c r="AV777" s="29"/>
      <c r="AW777" s="29"/>
      <c r="AX777" s="29"/>
      <c r="AY777" s="29"/>
      <c r="AZ777" s="29"/>
      <c r="BA777" s="29"/>
      <c r="BB777" s="29"/>
      <c r="BC777" s="29"/>
      <c r="BD777" s="29"/>
      <c r="BE777" s="29"/>
      <c r="BF777" s="111"/>
      <c r="BG777" s="111"/>
      <c r="BH777" s="111"/>
      <c r="BI777" s="111"/>
      <c r="BJ777" s="111"/>
      <c r="BK777" s="111"/>
      <c r="BL777" s="111"/>
      <c r="BM777" s="111"/>
      <c r="BN777" s="111"/>
      <c r="BO777" s="111"/>
      <c r="BP777" s="111"/>
      <c r="BQ777" s="111"/>
      <c r="BR777" s="111"/>
      <c r="BS777" s="111"/>
      <c r="DR777" s="29"/>
      <c r="DS777" s="29"/>
      <c r="DT777" s="29"/>
      <c r="DU777" s="29"/>
      <c r="DV777" s="29"/>
      <c r="DW777" s="29"/>
      <c r="DX777" s="29"/>
      <c r="DY777" s="29"/>
      <c r="DZ777" s="29"/>
      <c r="EA777" s="29"/>
      <c r="EB777" s="29"/>
      <c r="EC777" s="29"/>
      <c r="ED777" s="29"/>
      <c r="EE777" s="29"/>
      <c r="EF777" s="111"/>
      <c r="EG777" s="111"/>
      <c r="EH777" s="111"/>
      <c r="EI777" s="111"/>
      <c r="EJ777" s="111"/>
      <c r="EK777" s="111"/>
      <c r="EL777" s="111"/>
      <c r="EM777" s="111"/>
      <c r="EN777" s="111"/>
      <c r="EO777" s="111"/>
      <c r="EP777" s="111"/>
      <c r="EQ777" s="111"/>
      <c r="ER777" s="111"/>
      <c r="ES777" s="111"/>
    </row>
    <row r="778" spans="44:149">
      <c r="AR778" s="29"/>
      <c r="AS778" s="29"/>
      <c r="AT778" s="29"/>
      <c r="AU778" s="29"/>
      <c r="AV778" s="29"/>
      <c r="AW778" s="29"/>
      <c r="AX778" s="29"/>
      <c r="AY778" s="29"/>
      <c r="AZ778" s="29"/>
      <c r="BA778" s="29"/>
      <c r="BB778" s="29"/>
      <c r="BC778" s="29"/>
      <c r="BD778" s="29"/>
      <c r="BE778" s="29"/>
      <c r="BF778" s="111"/>
      <c r="BG778" s="111"/>
      <c r="BH778" s="111"/>
      <c r="BI778" s="111"/>
      <c r="BJ778" s="111"/>
      <c r="BK778" s="111"/>
      <c r="BL778" s="111"/>
      <c r="BM778" s="111"/>
      <c r="BN778" s="111"/>
      <c r="BO778" s="111"/>
      <c r="BP778" s="111"/>
      <c r="BQ778" s="111"/>
      <c r="BR778" s="111"/>
      <c r="BS778" s="111"/>
      <c r="DR778" s="29"/>
      <c r="DS778" s="29"/>
      <c r="DT778" s="29"/>
      <c r="DU778" s="29"/>
      <c r="DV778" s="29"/>
      <c r="DW778" s="29"/>
      <c r="DX778" s="29"/>
      <c r="DY778" s="29"/>
      <c r="DZ778" s="29"/>
      <c r="EA778" s="29"/>
      <c r="EB778" s="29"/>
      <c r="EC778" s="29"/>
      <c r="ED778" s="29"/>
      <c r="EE778" s="29"/>
      <c r="EF778" s="111"/>
      <c r="EG778" s="111"/>
      <c r="EH778" s="111"/>
      <c r="EI778" s="111"/>
      <c r="EJ778" s="111"/>
      <c r="EK778" s="111"/>
      <c r="EL778" s="111"/>
      <c r="EM778" s="111"/>
      <c r="EN778" s="111"/>
      <c r="EO778" s="111"/>
      <c r="EP778" s="111"/>
      <c r="EQ778" s="111"/>
      <c r="ER778" s="111"/>
      <c r="ES778" s="111"/>
    </row>
    <row r="779" spans="44:149">
      <c r="AR779" s="29"/>
      <c r="AS779" s="29"/>
      <c r="AT779" s="29"/>
      <c r="AU779" s="29"/>
      <c r="AV779" s="29"/>
      <c r="AW779" s="29"/>
      <c r="AX779" s="29"/>
      <c r="AY779" s="29"/>
      <c r="AZ779" s="29"/>
      <c r="BA779" s="29"/>
      <c r="BB779" s="29"/>
      <c r="BC779" s="29"/>
      <c r="BD779" s="29"/>
      <c r="BE779" s="29"/>
      <c r="BF779" s="111"/>
      <c r="BG779" s="111"/>
      <c r="BH779" s="111"/>
      <c r="BI779" s="111"/>
      <c r="BJ779" s="111"/>
      <c r="BK779" s="111"/>
      <c r="BL779" s="111"/>
      <c r="BM779" s="111"/>
      <c r="BN779" s="111"/>
      <c r="BO779" s="111"/>
      <c r="BP779" s="111"/>
      <c r="BQ779" s="111"/>
      <c r="BR779" s="111"/>
      <c r="BS779" s="111"/>
      <c r="DR779" s="29"/>
      <c r="DS779" s="29"/>
      <c r="DT779" s="29"/>
      <c r="DU779" s="29"/>
      <c r="DV779" s="29"/>
      <c r="DW779" s="29"/>
      <c r="DX779" s="29"/>
      <c r="DY779" s="29"/>
      <c r="DZ779" s="29"/>
      <c r="EA779" s="29"/>
      <c r="EB779" s="29"/>
      <c r="EC779" s="29"/>
      <c r="ED779" s="29"/>
      <c r="EE779" s="29"/>
      <c r="EF779" s="111"/>
      <c r="EG779" s="111"/>
      <c r="EH779" s="111"/>
      <c r="EI779" s="111"/>
      <c r="EJ779" s="111"/>
      <c r="EK779" s="111"/>
      <c r="EL779" s="111"/>
      <c r="EM779" s="111"/>
      <c r="EN779" s="111"/>
      <c r="EO779" s="111"/>
      <c r="EP779" s="111"/>
      <c r="EQ779" s="111"/>
      <c r="ER779" s="111"/>
      <c r="ES779" s="111"/>
    </row>
    <row r="780" spans="44:149">
      <c r="AR780" s="29"/>
      <c r="AS780" s="29"/>
      <c r="AT780" s="29"/>
      <c r="AU780" s="29"/>
      <c r="AV780" s="29"/>
      <c r="AW780" s="29"/>
      <c r="AX780" s="29"/>
      <c r="AY780" s="29"/>
      <c r="AZ780" s="29"/>
      <c r="BA780" s="29"/>
      <c r="BB780" s="29"/>
      <c r="BC780" s="29"/>
      <c r="BD780" s="29"/>
      <c r="BE780" s="29"/>
      <c r="BF780" s="111"/>
      <c r="BG780" s="111"/>
      <c r="BH780" s="111"/>
      <c r="BI780" s="111"/>
      <c r="BJ780" s="111"/>
      <c r="BK780" s="111"/>
      <c r="BL780" s="111"/>
      <c r="BM780" s="111"/>
      <c r="BN780" s="111"/>
      <c r="BO780" s="111"/>
      <c r="BP780" s="111"/>
      <c r="BQ780" s="111"/>
      <c r="BR780" s="111"/>
      <c r="BS780" s="111"/>
      <c r="DR780" s="29"/>
      <c r="DS780" s="29"/>
      <c r="DT780" s="29"/>
      <c r="DU780" s="29"/>
      <c r="DV780" s="29"/>
      <c r="DW780" s="29"/>
      <c r="DX780" s="29"/>
      <c r="DY780" s="29"/>
      <c r="DZ780" s="29"/>
      <c r="EA780" s="29"/>
      <c r="EB780" s="29"/>
      <c r="EC780" s="29"/>
      <c r="ED780" s="29"/>
      <c r="EE780" s="29"/>
      <c r="EF780" s="111"/>
      <c r="EG780" s="111"/>
      <c r="EH780" s="111"/>
      <c r="EI780" s="111"/>
      <c r="EJ780" s="111"/>
      <c r="EK780" s="111"/>
      <c r="EL780" s="111"/>
      <c r="EM780" s="111"/>
      <c r="EN780" s="111"/>
      <c r="EO780" s="111"/>
      <c r="EP780" s="111"/>
      <c r="EQ780" s="111"/>
      <c r="ER780" s="111"/>
      <c r="ES780" s="111"/>
    </row>
    <row r="781" spans="44:149">
      <c r="AR781" s="29"/>
      <c r="AS781" s="29"/>
      <c r="AT781" s="29"/>
      <c r="AU781" s="29"/>
      <c r="AV781" s="29"/>
      <c r="AW781" s="29"/>
      <c r="AX781" s="29"/>
      <c r="AY781" s="29"/>
      <c r="AZ781" s="29"/>
      <c r="BA781" s="29"/>
      <c r="BB781" s="29"/>
      <c r="BC781" s="29"/>
      <c r="BD781" s="29"/>
      <c r="BE781" s="29"/>
      <c r="BF781" s="111"/>
      <c r="BG781" s="111"/>
      <c r="BH781" s="111"/>
      <c r="BI781" s="111"/>
      <c r="BJ781" s="111"/>
      <c r="BK781" s="111"/>
      <c r="BL781" s="111"/>
      <c r="BM781" s="111"/>
      <c r="BN781" s="111"/>
      <c r="BO781" s="111"/>
      <c r="BP781" s="111"/>
      <c r="BQ781" s="111"/>
      <c r="BR781" s="111"/>
      <c r="BS781" s="111"/>
      <c r="DR781" s="29"/>
      <c r="DS781" s="29"/>
      <c r="DT781" s="29"/>
      <c r="DU781" s="29"/>
      <c r="DV781" s="29"/>
      <c r="DW781" s="29"/>
      <c r="DX781" s="29"/>
      <c r="DY781" s="29"/>
      <c r="DZ781" s="29"/>
      <c r="EA781" s="29"/>
      <c r="EB781" s="29"/>
      <c r="EC781" s="29"/>
      <c r="ED781" s="29"/>
      <c r="EE781" s="29"/>
      <c r="EF781" s="111"/>
      <c r="EG781" s="111"/>
      <c r="EH781" s="111"/>
      <c r="EI781" s="111"/>
      <c r="EJ781" s="111"/>
      <c r="EK781" s="111"/>
      <c r="EL781" s="111"/>
      <c r="EM781" s="111"/>
      <c r="EN781" s="111"/>
      <c r="EO781" s="111"/>
      <c r="EP781" s="111"/>
      <c r="EQ781" s="111"/>
      <c r="ER781" s="111"/>
      <c r="ES781" s="111"/>
    </row>
    <row r="782" spans="44:149">
      <c r="AR782" s="29"/>
      <c r="AS782" s="29"/>
      <c r="AT782" s="29"/>
      <c r="AU782" s="29"/>
      <c r="AV782" s="29"/>
      <c r="AW782" s="29"/>
      <c r="AX782" s="29"/>
      <c r="AY782" s="29"/>
      <c r="AZ782" s="29"/>
      <c r="BA782" s="29"/>
      <c r="BB782" s="29"/>
      <c r="BC782" s="29"/>
      <c r="BD782" s="29"/>
      <c r="BE782" s="29"/>
      <c r="BF782" s="111"/>
      <c r="BG782" s="111"/>
      <c r="BH782" s="111"/>
      <c r="BI782" s="111"/>
      <c r="BJ782" s="111"/>
      <c r="BK782" s="111"/>
      <c r="BL782" s="111"/>
      <c r="BM782" s="111"/>
      <c r="BN782" s="111"/>
      <c r="BO782" s="111"/>
      <c r="BP782" s="111"/>
      <c r="BQ782" s="111"/>
      <c r="BR782" s="111"/>
      <c r="BS782" s="111"/>
      <c r="DR782" s="29"/>
      <c r="DS782" s="29"/>
      <c r="DT782" s="29"/>
      <c r="DU782" s="29"/>
      <c r="DV782" s="29"/>
      <c r="DW782" s="29"/>
      <c r="DX782" s="29"/>
      <c r="DY782" s="29"/>
      <c r="DZ782" s="29"/>
      <c r="EA782" s="29"/>
      <c r="EB782" s="29"/>
      <c r="EC782" s="29"/>
      <c r="ED782" s="29"/>
      <c r="EE782" s="29"/>
      <c r="EF782" s="111"/>
      <c r="EG782" s="111"/>
      <c r="EH782" s="111"/>
      <c r="EI782" s="111"/>
      <c r="EJ782" s="111"/>
      <c r="EK782" s="111"/>
      <c r="EL782" s="111"/>
      <c r="EM782" s="111"/>
      <c r="EN782" s="111"/>
      <c r="EO782" s="111"/>
      <c r="EP782" s="111"/>
      <c r="EQ782" s="111"/>
      <c r="ER782" s="111"/>
      <c r="ES782" s="111"/>
    </row>
    <row r="783" spans="44:149">
      <c r="AR783" s="29"/>
      <c r="AS783" s="29"/>
      <c r="AT783" s="29"/>
      <c r="AU783" s="29"/>
      <c r="AV783" s="29"/>
      <c r="AW783" s="29"/>
      <c r="AX783" s="29"/>
      <c r="AY783" s="29"/>
      <c r="AZ783" s="29"/>
      <c r="BA783" s="29"/>
      <c r="BB783" s="29"/>
      <c r="BC783" s="29"/>
      <c r="BD783" s="29"/>
      <c r="BE783" s="29"/>
      <c r="BF783" s="111"/>
      <c r="BG783" s="111"/>
      <c r="BH783" s="111"/>
      <c r="BI783" s="111"/>
      <c r="BJ783" s="111"/>
      <c r="BK783" s="111"/>
      <c r="BL783" s="111"/>
      <c r="BM783" s="111"/>
      <c r="BN783" s="111"/>
      <c r="BO783" s="111"/>
      <c r="BP783" s="111"/>
      <c r="BQ783" s="111"/>
      <c r="BR783" s="111"/>
      <c r="BS783" s="111"/>
      <c r="DR783" s="29"/>
      <c r="DS783" s="29"/>
      <c r="DT783" s="29"/>
      <c r="DU783" s="29"/>
      <c r="DV783" s="29"/>
      <c r="DW783" s="29"/>
      <c r="DX783" s="29"/>
      <c r="DY783" s="29"/>
      <c r="DZ783" s="29"/>
      <c r="EA783" s="29"/>
      <c r="EB783" s="29"/>
      <c r="EC783" s="29"/>
      <c r="ED783" s="29"/>
      <c r="EE783" s="29"/>
      <c r="EF783" s="111"/>
      <c r="EG783" s="111"/>
      <c r="EH783" s="111"/>
      <c r="EI783" s="111"/>
      <c r="EJ783" s="111"/>
      <c r="EK783" s="111"/>
      <c r="EL783" s="111"/>
      <c r="EM783" s="111"/>
      <c r="EN783" s="111"/>
      <c r="EO783" s="111"/>
      <c r="EP783" s="111"/>
      <c r="EQ783" s="111"/>
      <c r="ER783" s="111"/>
      <c r="ES783" s="111"/>
    </row>
    <row r="784" spans="44:149">
      <c r="AR784" s="29"/>
      <c r="AS784" s="29"/>
      <c r="AT784" s="29"/>
      <c r="AU784" s="29"/>
      <c r="AV784" s="29"/>
      <c r="AW784" s="29"/>
      <c r="AX784" s="29"/>
      <c r="AY784" s="29"/>
      <c r="AZ784" s="29"/>
      <c r="BA784" s="29"/>
      <c r="BB784" s="29"/>
      <c r="BC784" s="29"/>
      <c r="BD784" s="29"/>
      <c r="BE784" s="29"/>
      <c r="BF784" s="111"/>
      <c r="BG784" s="111"/>
      <c r="BH784" s="111"/>
      <c r="BI784" s="111"/>
      <c r="BJ784" s="111"/>
      <c r="BK784" s="111"/>
      <c r="BL784" s="111"/>
      <c r="BM784" s="111"/>
      <c r="BN784" s="111"/>
      <c r="BO784" s="111"/>
      <c r="BP784" s="111"/>
      <c r="BQ784" s="111"/>
      <c r="BR784" s="111"/>
      <c r="BS784" s="111"/>
      <c r="DR784" s="29"/>
      <c r="DS784" s="29"/>
      <c r="DT784" s="29"/>
      <c r="DU784" s="29"/>
      <c r="DV784" s="29"/>
      <c r="DW784" s="29"/>
      <c r="DX784" s="29"/>
      <c r="DY784" s="29"/>
      <c r="DZ784" s="29"/>
      <c r="EA784" s="29"/>
      <c r="EB784" s="29"/>
      <c r="EC784" s="29"/>
      <c r="ED784" s="29"/>
      <c r="EE784" s="29"/>
      <c r="EF784" s="111"/>
      <c r="EG784" s="111"/>
      <c r="EH784" s="111"/>
      <c r="EI784" s="111"/>
      <c r="EJ784" s="111"/>
      <c r="EK784" s="111"/>
      <c r="EL784" s="111"/>
      <c r="EM784" s="111"/>
      <c r="EN784" s="111"/>
      <c r="EO784" s="111"/>
      <c r="EP784" s="111"/>
      <c r="EQ784" s="111"/>
      <c r="ER784" s="111"/>
      <c r="ES784" s="111"/>
    </row>
    <row r="785" spans="44:149">
      <c r="AR785" s="29"/>
      <c r="AS785" s="29"/>
      <c r="AT785" s="29"/>
      <c r="AU785" s="29"/>
      <c r="AV785" s="29"/>
      <c r="AW785" s="29"/>
      <c r="AX785" s="29"/>
      <c r="AY785" s="29"/>
      <c r="AZ785" s="29"/>
      <c r="BA785" s="29"/>
      <c r="BB785" s="29"/>
      <c r="BC785" s="29"/>
      <c r="BD785" s="29"/>
      <c r="BE785" s="29"/>
      <c r="BF785" s="111"/>
      <c r="BG785" s="111"/>
      <c r="BH785" s="111"/>
      <c r="BI785" s="111"/>
      <c r="BJ785" s="111"/>
      <c r="BK785" s="111"/>
      <c r="BL785" s="111"/>
      <c r="BM785" s="111"/>
      <c r="BN785" s="111"/>
      <c r="BO785" s="111"/>
      <c r="BP785" s="111"/>
      <c r="BQ785" s="111"/>
      <c r="BR785" s="111"/>
      <c r="BS785" s="111"/>
      <c r="DR785" s="29"/>
      <c r="DS785" s="29"/>
      <c r="DT785" s="29"/>
      <c r="DU785" s="29"/>
      <c r="DV785" s="29"/>
      <c r="DW785" s="29"/>
      <c r="DX785" s="29"/>
      <c r="DY785" s="29"/>
      <c r="DZ785" s="29"/>
      <c r="EA785" s="29"/>
      <c r="EB785" s="29"/>
      <c r="EC785" s="29"/>
      <c r="ED785" s="29"/>
      <c r="EE785" s="29"/>
      <c r="EF785" s="111"/>
      <c r="EG785" s="111"/>
      <c r="EH785" s="111"/>
      <c r="EI785" s="111"/>
      <c r="EJ785" s="111"/>
      <c r="EK785" s="111"/>
      <c r="EL785" s="111"/>
      <c r="EM785" s="111"/>
      <c r="EN785" s="111"/>
      <c r="EO785" s="111"/>
      <c r="EP785" s="111"/>
      <c r="EQ785" s="111"/>
      <c r="ER785" s="111"/>
      <c r="ES785" s="111"/>
    </row>
    <row r="786" spans="44:149">
      <c r="AR786" s="29"/>
      <c r="AS786" s="29"/>
      <c r="AT786" s="29"/>
      <c r="AU786" s="29"/>
      <c r="AV786" s="29"/>
      <c r="AW786" s="29"/>
      <c r="AX786" s="29"/>
      <c r="AY786" s="29"/>
      <c r="AZ786" s="29"/>
      <c r="BA786" s="29"/>
      <c r="BB786" s="29"/>
      <c r="BC786" s="29"/>
      <c r="BD786" s="29"/>
      <c r="BE786" s="29"/>
      <c r="BF786" s="111"/>
      <c r="BG786" s="111"/>
      <c r="BH786" s="111"/>
      <c r="BI786" s="111"/>
      <c r="BJ786" s="111"/>
      <c r="BK786" s="111"/>
      <c r="BL786" s="111"/>
      <c r="BM786" s="111"/>
      <c r="BN786" s="111"/>
      <c r="BO786" s="111"/>
      <c r="BP786" s="111"/>
      <c r="BQ786" s="111"/>
      <c r="BR786" s="111"/>
      <c r="BS786" s="111"/>
      <c r="DR786" s="29"/>
      <c r="DS786" s="29"/>
      <c r="DT786" s="29"/>
      <c r="DU786" s="29"/>
      <c r="DV786" s="29"/>
      <c r="DW786" s="29"/>
      <c r="DX786" s="29"/>
      <c r="DY786" s="29"/>
      <c r="DZ786" s="29"/>
      <c r="EA786" s="29"/>
      <c r="EB786" s="29"/>
      <c r="EC786" s="29"/>
      <c r="ED786" s="29"/>
      <c r="EE786" s="29"/>
      <c r="EF786" s="111"/>
      <c r="EG786" s="111"/>
      <c r="EH786" s="111"/>
      <c r="EI786" s="111"/>
      <c r="EJ786" s="111"/>
      <c r="EK786" s="111"/>
      <c r="EL786" s="111"/>
      <c r="EM786" s="111"/>
      <c r="EN786" s="111"/>
      <c r="EO786" s="111"/>
      <c r="EP786" s="111"/>
      <c r="EQ786" s="111"/>
      <c r="ER786" s="111"/>
      <c r="ES786" s="111"/>
    </row>
    <row r="787" spans="44:149">
      <c r="AR787" s="29"/>
      <c r="AS787" s="29"/>
      <c r="AT787" s="29"/>
      <c r="AU787" s="29"/>
      <c r="AV787" s="29"/>
      <c r="AW787" s="29"/>
      <c r="AX787" s="29"/>
      <c r="AY787" s="29"/>
      <c r="AZ787" s="29"/>
      <c r="BA787" s="29"/>
      <c r="BB787" s="29"/>
      <c r="BC787" s="29"/>
      <c r="BD787" s="29"/>
      <c r="BE787" s="29"/>
      <c r="BF787" s="111"/>
      <c r="BG787" s="111"/>
      <c r="BH787" s="111"/>
      <c r="BI787" s="111"/>
      <c r="BJ787" s="111"/>
      <c r="BK787" s="111"/>
      <c r="BL787" s="111"/>
      <c r="BM787" s="111"/>
      <c r="BN787" s="111"/>
      <c r="BO787" s="111"/>
      <c r="BP787" s="111"/>
      <c r="BQ787" s="111"/>
      <c r="BR787" s="111"/>
      <c r="BS787" s="111"/>
      <c r="DR787" s="29"/>
      <c r="DS787" s="29"/>
      <c r="DT787" s="29"/>
      <c r="DU787" s="29"/>
      <c r="DV787" s="29"/>
      <c r="DW787" s="29"/>
      <c r="DX787" s="29"/>
      <c r="DY787" s="29"/>
      <c r="DZ787" s="29"/>
      <c r="EA787" s="29"/>
      <c r="EB787" s="29"/>
      <c r="EC787" s="29"/>
      <c r="ED787" s="29"/>
      <c r="EE787" s="29"/>
      <c r="EF787" s="111"/>
      <c r="EG787" s="111"/>
      <c r="EH787" s="111"/>
      <c r="EI787" s="111"/>
      <c r="EJ787" s="111"/>
      <c r="EK787" s="111"/>
      <c r="EL787" s="111"/>
      <c r="EM787" s="111"/>
      <c r="EN787" s="111"/>
      <c r="EO787" s="111"/>
      <c r="EP787" s="111"/>
      <c r="EQ787" s="111"/>
      <c r="ER787" s="111"/>
      <c r="ES787" s="111"/>
    </row>
    <row r="788" spans="44:149">
      <c r="AR788" s="29"/>
      <c r="AS788" s="29"/>
      <c r="AT788" s="29"/>
      <c r="AU788" s="29"/>
      <c r="AV788" s="29"/>
      <c r="AW788" s="29"/>
      <c r="AX788" s="29"/>
      <c r="AY788" s="29"/>
      <c r="AZ788" s="29"/>
      <c r="BA788" s="29"/>
      <c r="BB788" s="29"/>
      <c r="BC788" s="29"/>
      <c r="BD788" s="29"/>
      <c r="BE788" s="29"/>
      <c r="BF788" s="111"/>
      <c r="BG788" s="111"/>
      <c r="BH788" s="111"/>
      <c r="BI788" s="111"/>
      <c r="BJ788" s="111"/>
      <c r="BK788" s="111"/>
      <c r="BL788" s="111"/>
      <c r="BM788" s="111"/>
      <c r="BN788" s="111"/>
      <c r="BO788" s="111"/>
      <c r="BP788" s="111"/>
      <c r="BQ788" s="111"/>
      <c r="BR788" s="111"/>
      <c r="BS788" s="111"/>
      <c r="DR788" s="29"/>
      <c r="DS788" s="29"/>
      <c r="DT788" s="29"/>
      <c r="DU788" s="29"/>
      <c r="DV788" s="29"/>
      <c r="DW788" s="29"/>
      <c r="DX788" s="29"/>
      <c r="DY788" s="29"/>
      <c r="DZ788" s="29"/>
      <c r="EA788" s="29"/>
      <c r="EB788" s="29"/>
      <c r="EC788" s="29"/>
      <c r="ED788" s="29"/>
      <c r="EE788" s="29"/>
      <c r="EF788" s="111"/>
      <c r="EG788" s="111"/>
      <c r="EH788" s="111"/>
      <c r="EI788" s="111"/>
      <c r="EJ788" s="111"/>
      <c r="EK788" s="111"/>
      <c r="EL788" s="111"/>
      <c r="EM788" s="111"/>
      <c r="EN788" s="111"/>
      <c r="EO788" s="111"/>
      <c r="EP788" s="111"/>
      <c r="EQ788" s="111"/>
      <c r="ER788" s="111"/>
      <c r="ES788" s="111"/>
    </row>
    <row r="789" spans="44:149">
      <c r="AR789" s="29"/>
      <c r="AS789" s="29"/>
      <c r="AT789" s="29"/>
      <c r="AU789" s="29"/>
      <c r="AV789" s="29"/>
      <c r="AW789" s="29"/>
      <c r="AX789" s="29"/>
      <c r="AY789" s="29"/>
      <c r="AZ789" s="29"/>
      <c r="BA789" s="29"/>
      <c r="BB789" s="29"/>
      <c r="BC789" s="29"/>
      <c r="BD789" s="29"/>
      <c r="BE789" s="29"/>
      <c r="BF789" s="111"/>
      <c r="BG789" s="111"/>
      <c r="BH789" s="111"/>
      <c r="BI789" s="111"/>
      <c r="BJ789" s="111"/>
      <c r="BK789" s="111"/>
      <c r="BL789" s="111"/>
      <c r="BM789" s="111"/>
      <c r="BN789" s="111"/>
      <c r="BO789" s="111"/>
      <c r="BP789" s="111"/>
      <c r="BQ789" s="111"/>
      <c r="BR789" s="111"/>
      <c r="BS789" s="111"/>
      <c r="DR789" s="29"/>
      <c r="DS789" s="29"/>
      <c r="DT789" s="29"/>
      <c r="DU789" s="29"/>
      <c r="DV789" s="29"/>
      <c r="DW789" s="29"/>
      <c r="DX789" s="29"/>
      <c r="DY789" s="29"/>
      <c r="DZ789" s="29"/>
      <c r="EA789" s="29"/>
      <c r="EB789" s="29"/>
      <c r="EC789" s="29"/>
      <c r="ED789" s="29"/>
      <c r="EE789" s="29"/>
      <c r="EF789" s="111"/>
      <c r="EG789" s="111"/>
      <c r="EH789" s="111"/>
      <c r="EI789" s="111"/>
      <c r="EJ789" s="111"/>
      <c r="EK789" s="111"/>
      <c r="EL789" s="111"/>
      <c r="EM789" s="111"/>
      <c r="EN789" s="111"/>
      <c r="EO789" s="111"/>
      <c r="EP789" s="111"/>
      <c r="EQ789" s="111"/>
      <c r="ER789" s="111"/>
      <c r="ES789" s="111"/>
    </row>
    <row r="790" spans="44:149">
      <c r="AR790" s="29"/>
      <c r="AS790" s="29"/>
      <c r="AT790" s="29"/>
      <c r="AU790" s="29"/>
      <c r="AV790" s="29"/>
      <c r="AW790" s="29"/>
      <c r="AX790" s="29"/>
      <c r="AY790" s="29"/>
      <c r="AZ790" s="29"/>
      <c r="BA790" s="29"/>
      <c r="BB790" s="29"/>
      <c r="BC790" s="29"/>
      <c r="BD790" s="29"/>
      <c r="BE790" s="29"/>
      <c r="BF790" s="111"/>
      <c r="BG790" s="111"/>
      <c r="BH790" s="111"/>
      <c r="BI790" s="111"/>
      <c r="BJ790" s="111"/>
      <c r="BK790" s="111"/>
      <c r="BL790" s="111"/>
      <c r="BM790" s="111"/>
      <c r="BN790" s="111"/>
      <c r="BO790" s="111"/>
      <c r="BP790" s="111"/>
      <c r="BQ790" s="111"/>
      <c r="BR790" s="111"/>
      <c r="BS790" s="111"/>
      <c r="DR790" s="29"/>
      <c r="DS790" s="29"/>
      <c r="DT790" s="29"/>
      <c r="DU790" s="29"/>
      <c r="DV790" s="29"/>
      <c r="DW790" s="29"/>
      <c r="DX790" s="29"/>
      <c r="DY790" s="29"/>
      <c r="DZ790" s="29"/>
      <c r="EA790" s="29"/>
      <c r="EB790" s="29"/>
      <c r="EC790" s="29"/>
      <c r="ED790" s="29"/>
      <c r="EE790" s="29"/>
      <c r="EF790" s="111"/>
      <c r="EG790" s="111"/>
      <c r="EH790" s="111"/>
      <c r="EI790" s="111"/>
      <c r="EJ790" s="111"/>
      <c r="EK790" s="111"/>
      <c r="EL790" s="111"/>
      <c r="EM790" s="111"/>
      <c r="EN790" s="111"/>
      <c r="EO790" s="111"/>
      <c r="EP790" s="111"/>
      <c r="EQ790" s="111"/>
      <c r="ER790" s="111"/>
      <c r="ES790" s="111"/>
    </row>
    <row r="791" spans="44:149">
      <c r="AR791" s="29"/>
      <c r="AS791" s="29"/>
      <c r="AT791" s="29"/>
      <c r="AU791" s="29"/>
      <c r="AV791" s="29"/>
      <c r="AW791" s="29"/>
      <c r="AX791" s="29"/>
      <c r="AY791" s="29"/>
      <c r="AZ791" s="29"/>
      <c r="BA791" s="29"/>
      <c r="BB791" s="29"/>
      <c r="BC791" s="29"/>
      <c r="BD791" s="29"/>
      <c r="BE791" s="29"/>
      <c r="BF791" s="111"/>
      <c r="BG791" s="111"/>
      <c r="BH791" s="111"/>
      <c r="BI791" s="111"/>
      <c r="BJ791" s="111"/>
      <c r="BK791" s="111"/>
      <c r="BL791" s="111"/>
      <c r="BM791" s="111"/>
      <c r="BN791" s="111"/>
      <c r="BO791" s="111"/>
      <c r="BP791" s="111"/>
      <c r="BQ791" s="111"/>
      <c r="BR791" s="111"/>
      <c r="BS791" s="111"/>
      <c r="DR791" s="29"/>
      <c r="DS791" s="29"/>
      <c r="DT791" s="29"/>
      <c r="DU791" s="29"/>
      <c r="DV791" s="29"/>
      <c r="DW791" s="29"/>
      <c r="DX791" s="29"/>
      <c r="DY791" s="29"/>
      <c r="DZ791" s="29"/>
      <c r="EA791" s="29"/>
      <c r="EB791" s="29"/>
      <c r="EC791" s="29"/>
      <c r="ED791" s="29"/>
      <c r="EE791" s="29"/>
      <c r="EF791" s="111"/>
      <c r="EG791" s="111"/>
      <c r="EH791" s="111"/>
      <c r="EI791" s="111"/>
      <c r="EJ791" s="111"/>
      <c r="EK791" s="111"/>
      <c r="EL791" s="111"/>
      <c r="EM791" s="111"/>
      <c r="EN791" s="111"/>
      <c r="EO791" s="111"/>
      <c r="EP791" s="111"/>
      <c r="EQ791" s="111"/>
      <c r="ER791" s="111"/>
      <c r="ES791" s="111"/>
    </row>
    <row r="792" spans="44:149">
      <c r="AR792" s="29"/>
      <c r="AS792" s="29"/>
      <c r="AT792" s="29"/>
      <c r="AU792" s="29"/>
      <c r="AV792" s="29"/>
      <c r="AW792" s="29"/>
      <c r="AX792" s="29"/>
      <c r="AY792" s="29"/>
      <c r="AZ792" s="29"/>
      <c r="BA792" s="29"/>
      <c r="BB792" s="29"/>
      <c r="BC792" s="29"/>
      <c r="BD792" s="29"/>
      <c r="BE792" s="29"/>
      <c r="BF792" s="111"/>
      <c r="BG792" s="111"/>
      <c r="BH792" s="111"/>
      <c r="BI792" s="111"/>
      <c r="BJ792" s="111"/>
      <c r="BK792" s="111"/>
      <c r="BL792" s="111"/>
      <c r="BM792" s="111"/>
      <c r="BN792" s="111"/>
      <c r="BO792" s="111"/>
      <c r="BP792" s="111"/>
      <c r="BQ792" s="111"/>
      <c r="BR792" s="111"/>
      <c r="BS792" s="111"/>
      <c r="DR792" s="29"/>
      <c r="DS792" s="29"/>
      <c r="DT792" s="29"/>
      <c r="DU792" s="29"/>
      <c r="DV792" s="29"/>
      <c r="DW792" s="29"/>
      <c r="DX792" s="29"/>
      <c r="DY792" s="29"/>
      <c r="DZ792" s="29"/>
      <c r="EA792" s="29"/>
      <c r="EB792" s="29"/>
      <c r="EC792" s="29"/>
      <c r="ED792" s="29"/>
      <c r="EE792" s="29"/>
      <c r="EF792" s="111"/>
      <c r="EG792" s="111"/>
      <c r="EH792" s="111"/>
      <c r="EI792" s="111"/>
      <c r="EJ792" s="111"/>
      <c r="EK792" s="111"/>
      <c r="EL792" s="111"/>
      <c r="EM792" s="111"/>
      <c r="EN792" s="111"/>
      <c r="EO792" s="111"/>
      <c r="EP792" s="111"/>
      <c r="EQ792" s="111"/>
      <c r="ER792" s="111"/>
      <c r="ES792" s="111"/>
    </row>
    <row r="793" spans="44:149">
      <c r="AR793" s="29"/>
      <c r="AS793" s="29"/>
      <c r="AT793" s="29"/>
      <c r="AU793" s="29"/>
      <c r="AV793" s="29"/>
      <c r="AW793" s="29"/>
      <c r="AX793" s="29"/>
      <c r="AY793" s="29"/>
      <c r="AZ793" s="29"/>
      <c r="BA793" s="29"/>
      <c r="BB793" s="29"/>
      <c r="BC793" s="29"/>
      <c r="BD793" s="29"/>
      <c r="BE793" s="29"/>
      <c r="BF793" s="111"/>
      <c r="BG793" s="111"/>
      <c r="BH793" s="111"/>
      <c r="BI793" s="111"/>
      <c r="BJ793" s="111"/>
      <c r="BK793" s="111"/>
      <c r="BL793" s="111"/>
      <c r="BM793" s="111"/>
      <c r="BN793" s="111"/>
      <c r="BO793" s="111"/>
      <c r="BP793" s="111"/>
      <c r="BQ793" s="111"/>
      <c r="BR793" s="111"/>
      <c r="BS793" s="111"/>
      <c r="DR793" s="29"/>
      <c r="DS793" s="29"/>
      <c r="DT793" s="29"/>
      <c r="DU793" s="29"/>
      <c r="DV793" s="29"/>
      <c r="DW793" s="29"/>
      <c r="DX793" s="29"/>
      <c r="DY793" s="29"/>
      <c r="DZ793" s="29"/>
      <c r="EA793" s="29"/>
      <c r="EB793" s="29"/>
      <c r="EC793" s="29"/>
      <c r="ED793" s="29"/>
      <c r="EE793" s="29"/>
      <c r="EF793" s="111"/>
      <c r="EG793" s="111"/>
      <c r="EH793" s="111"/>
      <c r="EI793" s="111"/>
      <c r="EJ793" s="111"/>
      <c r="EK793" s="111"/>
      <c r="EL793" s="111"/>
      <c r="EM793" s="111"/>
      <c r="EN793" s="111"/>
      <c r="EO793" s="111"/>
      <c r="EP793" s="111"/>
      <c r="EQ793" s="111"/>
      <c r="ER793" s="111"/>
      <c r="ES793" s="111"/>
    </row>
    <row r="794" spans="44:149">
      <c r="AR794" s="29"/>
      <c r="AS794" s="29"/>
      <c r="AT794" s="29"/>
      <c r="AU794" s="29"/>
      <c r="AV794" s="29"/>
      <c r="AW794" s="29"/>
      <c r="AX794" s="29"/>
      <c r="AY794" s="29"/>
      <c r="AZ794" s="29"/>
      <c r="BA794" s="29"/>
      <c r="BB794" s="29"/>
      <c r="BC794" s="29"/>
      <c r="BD794" s="29"/>
      <c r="BE794" s="29"/>
      <c r="BF794" s="111"/>
      <c r="BG794" s="111"/>
      <c r="BH794" s="111"/>
      <c r="BI794" s="111"/>
      <c r="BJ794" s="111"/>
      <c r="BK794" s="111"/>
      <c r="BL794" s="111"/>
      <c r="BM794" s="111"/>
      <c r="BN794" s="111"/>
      <c r="BO794" s="111"/>
      <c r="BP794" s="111"/>
      <c r="BQ794" s="111"/>
      <c r="BR794" s="111"/>
      <c r="BS794" s="111"/>
      <c r="DR794" s="29"/>
      <c r="DS794" s="29"/>
      <c r="DT794" s="29"/>
      <c r="DU794" s="29"/>
      <c r="DV794" s="29"/>
      <c r="DW794" s="29"/>
      <c r="DX794" s="29"/>
      <c r="DY794" s="29"/>
      <c r="DZ794" s="29"/>
      <c r="EA794" s="29"/>
      <c r="EB794" s="29"/>
      <c r="EC794" s="29"/>
      <c r="ED794" s="29"/>
      <c r="EE794" s="29"/>
      <c r="EF794" s="111"/>
      <c r="EG794" s="111"/>
      <c r="EH794" s="111"/>
      <c r="EI794" s="111"/>
      <c r="EJ794" s="111"/>
      <c r="EK794" s="111"/>
      <c r="EL794" s="111"/>
      <c r="EM794" s="111"/>
      <c r="EN794" s="111"/>
      <c r="EO794" s="111"/>
      <c r="EP794" s="111"/>
      <c r="EQ794" s="111"/>
      <c r="ER794" s="111"/>
      <c r="ES794" s="111"/>
    </row>
    <row r="795" spans="44:149">
      <c r="AR795" s="29"/>
      <c r="AS795" s="29"/>
      <c r="AT795" s="29"/>
      <c r="AU795" s="29"/>
      <c r="AV795" s="29"/>
      <c r="AW795" s="29"/>
      <c r="AX795" s="29"/>
      <c r="AY795" s="29"/>
      <c r="AZ795" s="29"/>
      <c r="BA795" s="29"/>
      <c r="BB795" s="29"/>
      <c r="BC795" s="29"/>
      <c r="BD795" s="29"/>
      <c r="BE795" s="29"/>
      <c r="BF795" s="111"/>
      <c r="BG795" s="111"/>
      <c r="BH795" s="111"/>
      <c r="BI795" s="111"/>
      <c r="BJ795" s="111"/>
      <c r="BK795" s="111"/>
      <c r="BL795" s="111"/>
      <c r="BM795" s="111"/>
      <c r="BN795" s="111"/>
      <c r="BO795" s="111"/>
      <c r="BP795" s="111"/>
      <c r="BQ795" s="111"/>
      <c r="BR795" s="111"/>
      <c r="BS795" s="111"/>
      <c r="DR795" s="29"/>
      <c r="DS795" s="29"/>
      <c r="DT795" s="29"/>
      <c r="DU795" s="29"/>
      <c r="DV795" s="29"/>
      <c r="DW795" s="29"/>
      <c r="DX795" s="29"/>
      <c r="DY795" s="29"/>
      <c r="DZ795" s="29"/>
      <c r="EA795" s="29"/>
      <c r="EB795" s="29"/>
      <c r="EC795" s="29"/>
      <c r="ED795" s="29"/>
      <c r="EE795" s="29"/>
      <c r="EF795" s="111"/>
      <c r="EG795" s="111"/>
      <c r="EH795" s="111"/>
      <c r="EI795" s="111"/>
      <c r="EJ795" s="111"/>
      <c r="EK795" s="111"/>
      <c r="EL795" s="111"/>
      <c r="EM795" s="111"/>
      <c r="EN795" s="111"/>
      <c r="EO795" s="111"/>
      <c r="EP795" s="111"/>
      <c r="EQ795" s="111"/>
      <c r="ER795" s="111"/>
      <c r="ES795" s="111"/>
    </row>
    <row r="796" spans="44:149">
      <c r="AR796" s="29"/>
      <c r="AS796" s="29"/>
      <c r="AT796" s="29"/>
      <c r="AU796" s="29"/>
      <c r="AV796" s="29"/>
      <c r="AW796" s="29"/>
      <c r="AX796" s="29"/>
      <c r="AY796" s="29"/>
      <c r="AZ796" s="29"/>
      <c r="BA796" s="29"/>
      <c r="BB796" s="29"/>
      <c r="BC796" s="29"/>
      <c r="BD796" s="29"/>
      <c r="BE796" s="29"/>
      <c r="BF796" s="111"/>
      <c r="BG796" s="111"/>
      <c r="BH796" s="111"/>
      <c r="BI796" s="111"/>
      <c r="BJ796" s="111"/>
      <c r="BK796" s="111"/>
      <c r="BL796" s="111"/>
      <c r="BM796" s="111"/>
      <c r="BN796" s="111"/>
      <c r="BO796" s="111"/>
      <c r="BP796" s="111"/>
      <c r="BQ796" s="111"/>
      <c r="BR796" s="111"/>
      <c r="BS796" s="111"/>
      <c r="DR796" s="29"/>
      <c r="DS796" s="29"/>
      <c r="DT796" s="29"/>
      <c r="DU796" s="29"/>
      <c r="DV796" s="29"/>
      <c r="DW796" s="29"/>
      <c r="DX796" s="29"/>
      <c r="DY796" s="29"/>
      <c r="DZ796" s="29"/>
      <c r="EA796" s="29"/>
      <c r="EB796" s="29"/>
      <c r="EC796" s="29"/>
      <c r="ED796" s="29"/>
      <c r="EE796" s="29"/>
      <c r="EF796" s="111"/>
      <c r="EG796" s="111"/>
      <c r="EH796" s="111"/>
      <c r="EI796" s="111"/>
      <c r="EJ796" s="111"/>
      <c r="EK796" s="111"/>
      <c r="EL796" s="111"/>
      <c r="EM796" s="111"/>
      <c r="EN796" s="111"/>
      <c r="EO796" s="111"/>
      <c r="EP796" s="111"/>
      <c r="EQ796" s="111"/>
      <c r="ER796" s="111"/>
      <c r="ES796" s="111"/>
    </row>
    <row r="797" spans="44:149">
      <c r="AR797" s="29"/>
      <c r="AS797" s="29"/>
      <c r="AT797" s="29"/>
      <c r="AU797" s="29"/>
      <c r="AV797" s="29"/>
      <c r="AW797" s="29"/>
      <c r="AX797" s="29"/>
      <c r="AY797" s="29"/>
      <c r="AZ797" s="29"/>
      <c r="BA797" s="29"/>
      <c r="BB797" s="29"/>
      <c r="BC797" s="29"/>
      <c r="BD797" s="29"/>
      <c r="BE797" s="29"/>
      <c r="BF797" s="111"/>
      <c r="BG797" s="111"/>
      <c r="BH797" s="111"/>
      <c r="BI797" s="111"/>
      <c r="BJ797" s="111"/>
      <c r="BK797" s="111"/>
      <c r="BL797" s="111"/>
      <c r="BM797" s="111"/>
      <c r="BN797" s="111"/>
      <c r="BO797" s="111"/>
      <c r="BP797" s="111"/>
      <c r="BQ797" s="111"/>
      <c r="BR797" s="111"/>
      <c r="BS797" s="111"/>
      <c r="DR797" s="29"/>
      <c r="DS797" s="29"/>
      <c r="DT797" s="29"/>
      <c r="DU797" s="29"/>
      <c r="DV797" s="29"/>
      <c r="DW797" s="29"/>
      <c r="DX797" s="29"/>
      <c r="DY797" s="29"/>
      <c r="DZ797" s="29"/>
      <c r="EA797" s="29"/>
      <c r="EB797" s="29"/>
      <c r="EC797" s="29"/>
      <c r="ED797" s="29"/>
      <c r="EE797" s="29"/>
      <c r="EF797" s="111"/>
      <c r="EG797" s="111"/>
      <c r="EH797" s="111"/>
      <c r="EI797" s="111"/>
      <c r="EJ797" s="111"/>
      <c r="EK797" s="111"/>
      <c r="EL797" s="111"/>
      <c r="EM797" s="111"/>
      <c r="EN797" s="111"/>
      <c r="EO797" s="111"/>
      <c r="EP797" s="111"/>
      <c r="EQ797" s="111"/>
      <c r="ER797" s="111"/>
      <c r="ES797" s="111"/>
    </row>
    <row r="798" spans="44:149">
      <c r="AR798" s="29"/>
      <c r="AS798" s="29"/>
      <c r="AT798" s="29"/>
      <c r="AU798" s="29"/>
      <c r="AV798" s="29"/>
      <c r="AW798" s="29"/>
      <c r="AX798" s="29"/>
      <c r="AY798" s="29"/>
      <c r="AZ798" s="29"/>
      <c r="BA798" s="29"/>
      <c r="BB798" s="29"/>
      <c r="BC798" s="29"/>
      <c r="BD798" s="29"/>
      <c r="BE798" s="29"/>
      <c r="BF798" s="111"/>
      <c r="BG798" s="111"/>
      <c r="BH798" s="111"/>
      <c r="BI798" s="111"/>
      <c r="BJ798" s="111"/>
      <c r="BK798" s="111"/>
      <c r="BL798" s="111"/>
      <c r="BM798" s="111"/>
      <c r="BN798" s="111"/>
      <c r="BO798" s="111"/>
      <c r="BP798" s="111"/>
      <c r="BQ798" s="111"/>
      <c r="BR798" s="111"/>
      <c r="BS798" s="111"/>
      <c r="DR798" s="29"/>
      <c r="DS798" s="29"/>
      <c r="DT798" s="29"/>
      <c r="DU798" s="29"/>
      <c r="DV798" s="29"/>
      <c r="DW798" s="29"/>
      <c r="DX798" s="29"/>
      <c r="DY798" s="29"/>
      <c r="DZ798" s="29"/>
      <c r="EA798" s="29"/>
      <c r="EB798" s="29"/>
      <c r="EC798" s="29"/>
      <c r="ED798" s="29"/>
      <c r="EE798" s="29"/>
      <c r="EF798" s="111"/>
      <c r="EG798" s="111"/>
      <c r="EH798" s="111"/>
      <c r="EI798" s="111"/>
      <c r="EJ798" s="111"/>
      <c r="EK798" s="111"/>
      <c r="EL798" s="111"/>
      <c r="EM798" s="111"/>
      <c r="EN798" s="111"/>
      <c r="EO798" s="111"/>
      <c r="EP798" s="111"/>
      <c r="EQ798" s="111"/>
      <c r="ER798" s="111"/>
      <c r="ES798" s="111"/>
    </row>
    <row r="799" spans="44:149">
      <c r="AR799" s="29"/>
      <c r="AS799" s="29"/>
      <c r="AT799" s="29"/>
      <c r="AU799" s="29"/>
      <c r="AV799" s="29"/>
      <c r="AW799" s="29"/>
      <c r="AX799" s="29"/>
      <c r="AY799" s="29"/>
      <c r="AZ799" s="29"/>
      <c r="BA799" s="29"/>
      <c r="BB799" s="29"/>
      <c r="BC799" s="29"/>
      <c r="BD799" s="29"/>
      <c r="BE799" s="29"/>
      <c r="BF799" s="111"/>
      <c r="BG799" s="111"/>
      <c r="BH799" s="111"/>
      <c r="BI799" s="111"/>
      <c r="BJ799" s="111"/>
      <c r="BK799" s="111"/>
      <c r="BL799" s="111"/>
      <c r="BM799" s="111"/>
      <c r="BN799" s="111"/>
      <c r="BO799" s="111"/>
      <c r="BP799" s="111"/>
      <c r="BQ799" s="111"/>
      <c r="BR799" s="111"/>
      <c r="BS799" s="111"/>
      <c r="DR799" s="29"/>
      <c r="DS799" s="29"/>
      <c r="DT799" s="29"/>
      <c r="DU799" s="29"/>
      <c r="DV799" s="29"/>
      <c r="DW799" s="29"/>
      <c r="DX799" s="29"/>
      <c r="DY799" s="29"/>
      <c r="DZ799" s="29"/>
      <c r="EA799" s="29"/>
      <c r="EB799" s="29"/>
      <c r="EC799" s="29"/>
      <c r="ED799" s="29"/>
      <c r="EE799" s="29"/>
      <c r="EF799" s="111"/>
      <c r="EG799" s="111"/>
      <c r="EH799" s="111"/>
      <c r="EI799" s="111"/>
      <c r="EJ799" s="111"/>
      <c r="EK799" s="111"/>
      <c r="EL799" s="111"/>
      <c r="EM799" s="111"/>
      <c r="EN799" s="111"/>
      <c r="EO799" s="111"/>
      <c r="EP799" s="111"/>
      <c r="EQ799" s="111"/>
      <c r="ER799" s="111"/>
      <c r="ES799" s="111"/>
    </row>
    <row r="800" spans="44:149">
      <c r="AR800" s="29"/>
      <c r="AS800" s="29"/>
      <c r="AT800" s="29"/>
      <c r="AU800" s="29"/>
      <c r="AV800" s="29"/>
      <c r="AW800" s="29"/>
      <c r="AX800" s="29"/>
      <c r="AY800" s="29"/>
      <c r="AZ800" s="29"/>
      <c r="BA800" s="29"/>
      <c r="BB800" s="29"/>
      <c r="BC800" s="29"/>
      <c r="BD800" s="29"/>
      <c r="BE800" s="29"/>
      <c r="BF800" s="111"/>
      <c r="BG800" s="111"/>
      <c r="BH800" s="111"/>
      <c r="BI800" s="111"/>
      <c r="BJ800" s="111"/>
      <c r="BK800" s="111"/>
      <c r="BL800" s="111"/>
      <c r="BM800" s="111"/>
      <c r="BN800" s="111"/>
      <c r="BO800" s="111"/>
      <c r="BP800" s="111"/>
      <c r="BQ800" s="111"/>
      <c r="BR800" s="111"/>
      <c r="BS800" s="111"/>
      <c r="DR800" s="29"/>
      <c r="DS800" s="29"/>
      <c r="DT800" s="29"/>
      <c r="DU800" s="29"/>
      <c r="DV800" s="29"/>
      <c r="DW800" s="29"/>
      <c r="DX800" s="29"/>
      <c r="DY800" s="29"/>
      <c r="DZ800" s="29"/>
      <c r="EA800" s="29"/>
      <c r="EB800" s="29"/>
      <c r="EC800" s="29"/>
      <c r="ED800" s="29"/>
      <c r="EE800" s="29"/>
      <c r="EF800" s="111"/>
      <c r="EG800" s="111"/>
      <c r="EH800" s="111"/>
      <c r="EI800" s="111"/>
      <c r="EJ800" s="111"/>
      <c r="EK800" s="111"/>
      <c r="EL800" s="111"/>
      <c r="EM800" s="111"/>
      <c r="EN800" s="111"/>
      <c r="EO800" s="111"/>
      <c r="EP800" s="111"/>
      <c r="EQ800" s="111"/>
      <c r="ER800" s="111"/>
      <c r="ES800" s="111"/>
    </row>
    <row r="801" spans="44:149">
      <c r="AR801" s="29"/>
      <c r="AS801" s="29"/>
      <c r="AT801" s="29"/>
      <c r="AU801" s="29"/>
      <c r="AV801" s="29"/>
      <c r="AW801" s="29"/>
      <c r="AX801" s="29"/>
      <c r="AY801" s="29"/>
      <c r="AZ801" s="29"/>
      <c r="BA801" s="29"/>
      <c r="BB801" s="29"/>
      <c r="BC801" s="29"/>
      <c r="BD801" s="29"/>
      <c r="BE801" s="29"/>
      <c r="BF801" s="111"/>
      <c r="BG801" s="111"/>
      <c r="BH801" s="111"/>
      <c r="BI801" s="111"/>
      <c r="BJ801" s="111"/>
      <c r="BK801" s="111"/>
      <c r="BL801" s="111"/>
      <c r="BM801" s="111"/>
      <c r="BN801" s="111"/>
      <c r="BO801" s="111"/>
      <c r="BP801" s="111"/>
      <c r="BQ801" s="111"/>
      <c r="BR801" s="111"/>
      <c r="BS801" s="111"/>
      <c r="DR801" s="29"/>
      <c r="DS801" s="29"/>
      <c r="DT801" s="29"/>
      <c r="DU801" s="29"/>
      <c r="DV801" s="29"/>
      <c r="DW801" s="29"/>
      <c r="DX801" s="29"/>
      <c r="DY801" s="29"/>
      <c r="DZ801" s="29"/>
      <c r="EA801" s="29"/>
      <c r="EB801" s="29"/>
      <c r="EC801" s="29"/>
      <c r="ED801" s="29"/>
      <c r="EE801" s="29"/>
      <c r="EF801" s="111"/>
      <c r="EG801" s="111"/>
      <c r="EH801" s="111"/>
      <c r="EI801" s="111"/>
      <c r="EJ801" s="111"/>
      <c r="EK801" s="111"/>
      <c r="EL801" s="111"/>
      <c r="EM801" s="111"/>
      <c r="EN801" s="111"/>
      <c r="EO801" s="111"/>
      <c r="EP801" s="111"/>
      <c r="EQ801" s="111"/>
      <c r="ER801" s="111"/>
      <c r="ES801" s="111"/>
    </row>
    <row r="802" spans="44:149">
      <c r="AR802" s="29"/>
      <c r="AS802" s="29"/>
      <c r="AT802" s="29"/>
      <c r="AU802" s="29"/>
      <c r="AV802" s="29"/>
      <c r="AW802" s="29"/>
      <c r="AX802" s="29"/>
      <c r="AY802" s="29"/>
      <c r="AZ802" s="29"/>
      <c r="BA802" s="29"/>
      <c r="BB802" s="29"/>
      <c r="BC802" s="29"/>
      <c r="BD802" s="29"/>
      <c r="BE802" s="29"/>
      <c r="BF802" s="111"/>
      <c r="BG802" s="111"/>
      <c r="BH802" s="111"/>
      <c r="BI802" s="111"/>
      <c r="BJ802" s="111"/>
      <c r="BK802" s="111"/>
      <c r="BL802" s="111"/>
      <c r="BM802" s="111"/>
      <c r="BN802" s="111"/>
      <c r="BO802" s="111"/>
      <c r="BP802" s="111"/>
      <c r="BQ802" s="111"/>
      <c r="BR802" s="111"/>
      <c r="BS802" s="111"/>
      <c r="DR802" s="29"/>
      <c r="DS802" s="29"/>
      <c r="DT802" s="29"/>
      <c r="DU802" s="29"/>
      <c r="DV802" s="29"/>
      <c r="DW802" s="29"/>
      <c r="DX802" s="29"/>
      <c r="DY802" s="29"/>
      <c r="DZ802" s="29"/>
      <c r="EA802" s="29"/>
      <c r="EB802" s="29"/>
      <c r="EC802" s="29"/>
      <c r="ED802" s="29"/>
      <c r="EE802" s="29"/>
      <c r="EF802" s="111"/>
      <c r="EG802" s="111"/>
      <c r="EH802" s="111"/>
      <c r="EI802" s="111"/>
      <c r="EJ802" s="111"/>
      <c r="EK802" s="111"/>
      <c r="EL802" s="111"/>
      <c r="EM802" s="111"/>
      <c r="EN802" s="111"/>
      <c r="EO802" s="111"/>
      <c r="EP802" s="111"/>
      <c r="EQ802" s="111"/>
      <c r="ER802" s="111"/>
      <c r="ES802" s="111"/>
    </row>
    <row r="803" spans="44:149">
      <c r="AR803" s="29"/>
      <c r="AS803" s="29"/>
      <c r="AT803" s="29"/>
      <c r="AU803" s="29"/>
      <c r="AV803" s="29"/>
      <c r="AW803" s="29"/>
      <c r="AX803" s="29"/>
      <c r="AY803" s="29"/>
      <c r="AZ803" s="29"/>
      <c r="BA803" s="29"/>
      <c r="BB803" s="29"/>
      <c r="BC803" s="29"/>
      <c r="BD803" s="29"/>
      <c r="BE803" s="29"/>
      <c r="BF803" s="111"/>
      <c r="BG803" s="111"/>
      <c r="BH803" s="111"/>
      <c r="BI803" s="111"/>
      <c r="BJ803" s="111"/>
      <c r="BK803" s="111"/>
      <c r="BL803" s="111"/>
      <c r="BM803" s="111"/>
      <c r="BN803" s="111"/>
      <c r="BO803" s="111"/>
      <c r="BP803" s="111"/>
      <c r="BQ803" s="111"/>
      <c r="BR803" s="111"/>
      <c r="BS803" s="111"/>
      <c r="DR803" s="29"/>
      <c r="DS803" s="29"/>
      <c r="DT803" s="29"/>
      <c r="DU803" s="29"/>
      <c r="DV803" s="29"/>
      <c r="DW803" s="29"/>
      <c r="DX803" s="29"/>
      <c r="DY803" s="29"/>
      <c r="DZ803" s="29"/>
      <c r="EA803" s="29"/>
      <c r="EB803" s="29"/>
      <c r="EC803" s="29"/>
      <c r="ED803" s="29"/>
      <c r="EE803" s="29"/>
      <c r="EF803" s="111"/>
      <c r="EG803" s="111"/>
      <c r="EH803" s="111"/>
      <c r="EI803" s="111"/>
      <c r="EJ803" s="111"/>
      <c r="EK803" s="111"/>
      <c r="EL803" s="111"/>
      <c r="EM803" s="111"/>
      <c r="EN803" s="111"/>
      <c r="EO803" s="111"/>
      <c r="EP803" s="111"/>
      <c r="EQ803" s="111"/>
      <c r="ER803" s="111"/>
      <c r="ES803" s="111"/>
    </row>
    <row r="804" spans="44:149">
      <c r="AR804" s="29"/>
      <c r="AS804" s="29"/>
      <c r="AT804" s="29"/>
      <c r="AU804" s="29"/>
      <c r="AV804" s="29"/>
      <c r="AW804" s="29"/>
      <c r="AX804" s="29"/>
      <c r="AY804" s="29"/>
      <c r="AZ804" s="29"/>
      <c r="BA804" s="29"/>
      <c r="BB804" s="29"/>
      <c r="BC804" s="29"/>
      <c r="BD804" s="29"/>
      <c r="BE804" s="29"/>
      <c r="BF804" s="111"/>
      <c r="BG804" s="111"/>
      <c r="BH804" s="111"/>
      <c r="BI804" s="111"/>
      <c r="BJ804" s="111"/>
      <c r="BK804" s="111"/>
      <c r="BL804" s="111"/>
      <c r="BM804" s="111"/>
      <c r="BN804" s="111"/>
      <c r="BO804" s="111"/>
      <c r="BP804" s="111"/>
      <c r="BQ804" s="111"/>
      <c r="BR804" s="111"/>
      <c r="BS804" s="111"/>
      <c r="DR804" s="29"/>
      <c r="DS804" s="29"/>
      <c r="DT804" s="29"/>
      <c r="DU804" s="29"/>
      <c r="DV804" s="29"/>
      <c r="DW804" s="29"/>
      <c r="DX804" s="29"/>
      <c r="DY804" s="29"/>
      <c r="DZ804" s="29"/>
      <c r="EA804" s="29"/>
      <c r="EB804" s="29"/>
      <c r="EC804" s="29"/>
      <c r="ED804" s="29"/>
      <c r="EE804" s="29"/>
      <c r="EF804" s="111"/>
      <c r="EG804" s="111"/>
      <c r="EH804" s="111"/>
      <c r="EI804" s="111"/>
      <c r="EJ804" s="111"/>
      <c r="EK804" s="111"/>
      <c r="EL804" s="111"/>
      <c r="EM804" s="111"/>
      <c r="EN804" s="111"/>
      <c r="EO804" s="111"/>
      <c r="EP804" s="111"/>
      <c r="EQ804" s="111"/>
      <c r="ER804" s="111"/>
      <c r="ES804" s="111"/>
    </row>
    <row r="805" spans="44:149">
      <c r="AR805" s="29"/>
      <c r="AS805" s="29"/>
      <c r="AT805" s="29"/>
      <c r="AU805" s="29"/>
      <c r="AV805" s="29"/>
      <c r="AW805" s="29"/>
      <c r="AX805" s="29"/>
      <c r="AY805" s="29"/>
      <c r="AZ805" s="29"/>
      <c r="BA805" s="29"/>
      <c r="BB805" s="29"/>
      <c r="BC805" s="29"/>
      <c r="BD805" s="29"/>
      <c r="BE805" s="29"/>
      <c r="BF805" s="111"/>
      <c r="BG805" s="111"/>
      <c r="BH805" s="111"/>
      <c r="BI805" s="111"/>
      <c r="BJ805" s="111"/>
      <c r="BK805" s="111"/>
      <c r="BL805" s="111"/>
      <c r="BM805" s="111"/>
      <c r="BN805" s="111"/>
      <c r="BO805" s="111"/>
      <c r="BP805" s="111"/>
      <c r="BQ805" s="111"/>
      <c r="BR805" s="111"/>
      <c r="BS805" s="111"/>
      <c r="DR805" s="29"/>
      <c r="DS805" s="29"/>
      <c r="DT805" s="29"/>
      <c r="DU805" s="29"/>
      <c r="DV805" s="29"/>
      <c r="DW805" s="29"/>
      <c r="DX805" s="29"/>
      <c r="DY805" s="29"/>
      <c r="DZ805" s="29"/>
      <c r="EA805" s="29"/>
      <c r="EB805" s="29"/>
      <c r="EC805" s="29"/>
      <c r="ED805" s="29"/>
      <c r="EE805" s="29"/>
      <c r="EF805" s="111"/>
      <c r="EG805" s="111"/>
      <c r="EH805" s="111"/>
      <c r="EI805" s="111"/>
      <c r="EJ805" s="111"/>
      <c r="EK805" s="111"/>
      <c r="EL805" s="111"/>
      <c r="EM805" s="111"/>
      <c r="EN805" s="111"/>
      <c r="EO805" s="111"/>
      <c r="EP805" s="111"/>
      <c r="EQ805" s="111"/>
      <c r="ER805" s="111"/>
      <c r="ES805" s="111"/>
    </row>
    <row r="806" spans="44:149">
      <c r="AR806" s="29"/>
      <c r="AS806" s="29"/>
      <c r="AT806" s="29"/>
      <c r="AU806" s="29"/>
      <c r="AV806" s="29"/>
      <c r="AW806" s="29"/>
      <c r="AX806" s="29"/>
      <c r="AY806" s="29"/>
      <c r="AZ806" s="29"/>
      <c r="BA806" s="29"/>
      <c r="BB806" s="29"/>
      <c r="BC806" s="29"/>
      <c r="BD806" s="29"/>
      <c r="BE806" s="29"/>
      <c r="BF806" s="111"/>
      <c r="BG806" s="111"/>
      <c r="BH806" s="111"/>
      <c r="BI806" s="111"/>
      <c r="BJ806" s="111"/>
      <c r="BK806" s="111"/>
      <c r="BL806" s="111"/>
      <c r="BM806" s="111"/>
      <c r="BN806" s="111"/>
      <c r="BO806" s="111"/>
      <c r="BP806" s="111"/>
      <c r="BQ806" s="111"/>
      <c r="BR806" s="111"/>
      <c r="BS806" s="111"/>
      <c r="DR806" s="29"/>
      <c r="DS806" s="29"/>
      <c r="DT806" s="29"/>
      <c r="DU806" s="29"/>
      <c r="DV806" s="29"/>
      <c r="DW806" s="29"/>
      <c r="DX806" s="29"/>
      <c r="DY806" s="29"/>
      <c r="DZ806" s="29"/>
      <c r="EA806" s="29"/>
      <c r="EB806" s="29"/>
      <c r="EC806" s="29"/>
      <c r="ED806" s="29"/>
      <c r="EE806" s="29"/>
      <c r="EF806" s="111"/>
      <c r="EG806" s="111"/>
      <c r="EH806" s="111"/>
      <c r="EI806" s="111"/>
      <c r="EJ806" s="111"/>
      <c r="EK806" s="111"/>
      <c r="EL806" s="111"/>
      <c r="EM806" s="111"/>
      <c r="EN806" s="111"/>
      <c r="EO806" s="111"/>
      <c r="EP806" s="111"/>
      <c r="EQ806" s="111"/>
      <c r="ER806" s="111"/>
      <c r="ES806" s="111"/>
    </row>
    <row r="807" spans="44:149">
      <c r="AR807" s="29"/>
      <c r="AS807" s="29"/>
      <c r="AT807" s="29"/>
      <c r="AU807" s="29"/>
      <c r="AV807" s="29"/>
      <c r="AW807" s="29"/>
      <c r="AX807" s="29"/>
      <c r="AY807" s="29"/>
      <c r="AZ807" s="29"/>
      <c r="BA807" s="29"/>
      <c r="BB807" s="29"/>
      <c r="BC807" s="29"/>
      <c r="BD807" s="29"/>
      <c r="BE807" s="29"/>
      <c r="BF807" s="111"/>
      <c r="BG807" s="111"/>
      <c r="BH807" s="111"/>
      <c r="BI807" s="111"/>
      <c r="BJ807" s="111"/>
      <c r="BK807" s="111"/>
      <c r="BL807" s="111"/>
      <c r="BM807" s="111"/>
      <c r="BN807" s="111"/>
      <c r="BO807" s="111"/>
      <c r="BP807" s="111"/>
      <c r="BQ807" s="111"/>
      <c r="BR807" s="111"/>
      <c r="BS807" s="111"/>
      <c r="DR807" s="29"/>
      <c r="DS807" s="29"/>
      <c r="DT807" s="29"/>
      <c r="DU807" s="29"/>
      <c r="DV807" s="29"/>
      <c r="DW807" s="29"/>
      <c r="DX807" s="29"/>
      <c r="DY807" s="29"/>
      <c r="DZ807" s="29"/>
      <c r="EA807" s="29"/>
      <c r="EB807" s="29"/>
      <c r="EC807" s="29"/>
      <c r="ED807" s="29"/>
      <c r="EE807" s="29"/>
      <c r="EF807" s="111"/>
      <c r="EG807" s="111"/>
      <c r="EH807" s="111"/>
      <c r="EI807" s="111"/>
      <c r="EJ807" s="111"/>
      <c r="EK807" s="111"/>
      <c r="EL807" s="111"/>
      <c r="EM807" s="111"/>
      <c r="EN807" s="111"/>
      <c r="EO807" s="111"/>
      <c r="EP807" s="111"/>
      <c r="EQ807" s="111"/>
      <c r="ER807" s="111"/>
      <c r="ES807" s="111"/>
    </row>
    <row r="808" spans="44:149">
      <c r="AR808" s="29"/>
      <c r="AS808" s="29"/>
      <c r="AT808" s="29"/>
      <c r="AU808" s="29"/>
      <c r="AV808" s="29"/>
      <c r="AW808" s="29"/>
      <c r="AX808" s="29"/>
      <c r="AY808" s="29"/>
      <c r="AZ808" s="29"/>
      <c r="BA808" s="29"/>
      <c r="BB808" s="29"/>
      <c r="BC808" s="29"/>
      <c r="BD808" s="29"/>
      <c r="BE808" s="29"/>
      <c r="BF808" s="111"/>
      <c r="BG808" s="111"/>
      <c r="BH808" s="111"/>
      <c r="BI808" s="111"/>
      <c r="BJ808" s="111"/>
      <c r="BK808" s="111"/>
      <c r="BL808" s="111"/>
      <c r="BM808" s="111"/>
      <c r="BN808" s="111"/>
      <c r="BO808" s="111"/>
      <c r="BP808" s="111"/>
      <c r="BQ808" s="111"/>
      <c r="BR808" s="111"/>
      <c r="BS808" s="111"/>
      <c r="DR808" s="29"/>
      <c r="DS808" s="29"/>
      <c r="DT808" s="29"/>
      <c r="DU808" s="29"/>
      <c r="DV808" s="29"/>
      <c r="DW808" s="29"/>
      <c r="DX808" s="29"/>
      <c r="DY808" s="29"/>
      <c r="DZ808" s="29"/>
      <c r="EA808" s="29"/>
      <c r="EB808" s="29"/>
      <c r="EC808" s="29"/>
      <c r="ED808" s="29"/>
      <c r="EE808" s="29"/>
      <c r="EF808" s="111"/>
      <c r="EG808" s="111"/>
      <c r="EH808" s="111"/>
      <c r="EI808" s="111"/>
      <c r="EJ808" s="111"/>
      <c r="EK808" s="111"/>
      <c r="EL808" s="111"/>
      <c r="EM808" s="111"/>
      <c r="EN808" s="111"/>
      <c r="EO808" s="111"/>
      <c r="EP808" s="111"/>
      <c r="EQ808" s="111"/>
      <c r="ER808" s="111"/>
      <c r="ES808" s="111"/>
    </row>
    <row r="809" spans="44:149">
      <c r="AR809" s="29"/>
      <c r="AS809" s="29"/>
      <c r="AT809" s="29"/>
      <c r="AU809" s="29"/>
      <c r="AV809" s="29"/>
      <c r="AW809" s="29"/>
      <c r="AX809" s="29"/>
      <c r="AY809" s="29"/>
      <c r="AZ809" s="29"/>
      <c r="BA809" s="29"/>
      <c r="BB809" s="29"/>
      <c r="BC809" s="29"/>
      <c r="BD809" s="29"/>
      <c r="BE809" s="29"/>
      <c r="BF809" s="111"/>
      <c r="BG809" s="111"/>
      <c r="BH809" s="111"/>
      <c r="BI809" s="111"/>
      <c r="BJ809" s="111"/>
      <c r="BK809" s="111"/>
      <c r="BL809" s="111"/>
      <c r="BM809" s="111"/>
      <c r="BN809" s="111"/>
      <c r="BO809" s="111"/>
      <c r="BP809" s="111"/>
      <c r="BQ809" s="111"/>
      <c r="BR809" s="111"/>
      <c r="BS809" s="111"/>
      <c r="DR809" s="29"/>
      <c r="DS809" s="29"/>
      <c r="DT809" s="29"/>
      <c r="DU809" s="29"/>
      <c r="DV809" s="29"/>
      <c r="DW809" s="29"/>
      <c r="DX809" s="29"/>
      <c r="DY809" s="29"/>
      <c r="DZ809" s="29"/>
      <c r="EA809" s="29"/>
      <c r="EB809" s="29"/>
      <c r="EC809" s="29"/>
      <c r="ED809" s="29"/>
      <c r="EE809" s="29"/>
      <c r="EF809" s="111"/>
      <c r="EG809" s="111"/>
      <c r="EH809" s="111"/>
      <c r="EI809" s="111"/>
      <c r="EJ809" s="111"/>
      <c r="EK809" s="111"/>
      <c r="EL809" s="111"/>
      <c r="EM809" s="111"/>
      <c r="EN809" s="111"/>
      <c r="EO809" s="111"/>
      <c r="EP809" s="111"/>
      <c r="EQ809" s="111"/>
      <c r="ER809" s="111"/>
      <c r="ES809" s="111"/>
    </row>
    <row r="810" spans="44:149">
      <c r="AR810" s="29"/>
      <c r="AS810" s="29"/>
      <c r="AT810" s="29"/>
      <c r="AU810" s="29"/>
      <c r="AV810" s="29"/>
      <c r="AW810" s="29"/>
      <c r="AX810" s="29"/>
      <c r="AY810" s="29"/>
      <c r="AZ810" s="29"/>
      <c r="BA810" s="29"/>
      <c r="BB810" s="29"/>
      <c r="BC810" s="29"/>
      <c r="BD810" s="29"/>
      <c r="BE810" s="29"/>
      <c r="BF810" s="111"/>
      <c r="BG810" s="111"/>
      <c r="BH810" s="111"/>
      <c r="BI810" s="111"/>
      <c r="BJ810" s="111"/>
      <c r="BK810" s="111"/>
      <c r="BL810" s="111"/>
      <c r="BM810" s="111"/>
      <c r="BN810" s="111"/>
      <c r="BO810" s="111"/>
      <c r="BP810" s="111"/>
      <c r="BQ810" s="111"/>
      <c r="BR810" s="111"/>
      <c r="BS810" s="111"/>
      <c r="DR810" s="29"/>
      <c r="DS810" s="29"/>
      <c r="DT810" s="29"/>
      <c r="DU810" s="29"/>
      <c r="DV810" s="29"/>
      <c r="DW810" s="29"/>
      <c r="DX810" s="29"/>
      <c r="DY810" s="29"/>
      <c r="DZ810" s="29"/>
      <c r="EA810" s="29"/>
      <c r="EB810" s="29"/>
      <c r="EC810" s="29"/>
      <c r="ED810" s="29"/>
      <c r="EE810" s="29"/>
      <c r="EF810" s="111"/>
      <c r="EG810" s="111"/>
      <c r="EH810" s="111"/>
      <c r="EI810" s="111"/>
      <c r="EJ810" s="111"/>
      <c r="EK810" s="111"/>
      <c r="EL810" s="111"/>
      <c r="EM810" s="111"/>
      <c r="EN810" s="111"/>
      <c r="EO810" s="111"/>
      <c r="EP810" s="111"/>
      <c r="EQ810" s="111"/>
      <c r="ER810" s="111"/>
      <c r="ES810" s="111"/>
    </row>
    <row r="811" spans="44:149">
      <c r="AR811" s="29"/>
      <c r="AS811" s="29"/>
      <c r="AT811" s="29"/>
      <c r="AU811" s="29"/>
      <c r="AV811" s="29"/>
      <c r="AW811" s="29"/>
      <c r="AX811" s="29"/>
      <c r="AY811" s="29"/>
      <c r="AZ811" s="29"/>
      <c r="BA811" s="29"/>
      <c r="BB811" s="29"/>
      <c r="BC811" s="29"/>
      <c r="BD811" s="29"/>
      <c r="BE811" s="29"/>
      <c r="BF811" s="111"/>
      <c r="BG811" s="111"/>
      <c r="BH811" s="111"/>
      <c r="BI811" s="111"/>
      <c r="BJ811" s="111"/>
      <c r="BK811" s="111"/>
      <c r="BL811" s="111"/>
      <c r="BM811" s="111"/>
      <c r="BN811" s="111"/>
      <c r="BO811" s="111"/>
      <c r="BP811" s="111"/>
      <c r="BQ811" s="111"/>
      <c r="BR811" s="111"/>
      <c r="BS811" s="111"/>
      <c r="DR811" s="29"/>
      <c r="DS811" s="29"/>
      <c r="DT811" s="29"/>
      <c r="DU811" s="29"/>
      <c r="DV811" s="29"/>
      <c r="DW811" s="29"/>
      <c r="DX811" s="29"/>
      <c r="DY811" s="29"/>
      <c r="DZ811" s="29"/>
      <c r="EA811" s="29"/>
      <c r="EB811" s="29"/>
      <c r="EC811" s="29"/>
      <c r="ED811" s="29"/>
      <c r="EE811" s="29"/>
      <c r="EF811" s="111"/>
      <c r="EG811" s="111"/>
      <c r="EH811" s="111"/>
      <c r="EI811" s="111"/>
      <c r="EJ811" s="111"/>
      <c r="EK811" s="111"/>
      <c r="EL811" s="111"/>
      <c r="EM811" s="111"/>
      <c r="EN811" s="111"/>
      <c r="EO811" s="111"/>
      <c r="EP811" s="111"/>
      <c r="EQ811" s="111"/>
      <c r="ER811" s="111"/>
      <c r="ES811" s="111"/>
    </row>
    <row r="812" spans="44:149">
      <c r="AR812" s="29"/>
      <c r="AS812" s="29"/>
      <c r="AT812" s="29"/>
      <c r="AU812" s="29"/>
      <c r="AV812" s="29"/>
      <c r="AW812" s="29"/>
      <c r="AX812" s="29"/>
      <c r="AY812" s="29"/>
      <c r="AZ812" s="29"/>
      <c r="BA812" s="29"/>
      <c r="BB812" s="29"/>
      <c r="BC812" s="29"/>
      <c r="BD812" s="29"/>
      <c r="BE812" s="29"/>
      <c r="BF812" s="111"/>
      <c r="BG812" s="111"/>
      <c r="BH812" s="111"/>
      <c r="BI812" s="111"/>
      <c r="BJ812" s="111"/>
      <c r="BK812" s="111"/>
      <c r="BL812" s="111"/>
      <c r="BM812" s="111"/>
      <c r="BN812" s="111"/>
      <c r="BO812" s="111"/>
      <c r="BP812" s="111"/>
      <c r="BQ812" s="111"/>
      <c r="BR812" s="111"/>
      <c r="BS812" s="111"/>
      <c r="DR812" s="29"/>
      <c r="DS812" s="29"/>
      <c r="DT812" s="29"/>
      <c r="DU812" s="29"/>
      <c r="DV812" s="29"/>
      <c r="DW812" s="29"/>
      <c r="DX812" s="29"/>
      <c r="DY812" s="29"/>
      <c r="DZ812" s="29"/>
      <c r="EA812" s="29"/>
      <c r="EB812" s="29"/>
      <c r="EC812" s="29"/>
      <c r="ED812" s="29"/>
      <c r="EE812" s="29"/>
      <c r="EF812" s="111"/>
      <c r="EG812" s="111"/>
      <c r="EH812" s="111"/>
      <c r="EI812" s="111"/>
      <c r="EJ812" s="111"/>
      <c r="EK812" s="111"/>
      <c r="EL812" s="111"/>
      <c r="EM812" s="111"/>
      <c r="EN812" s="111"/>
      <c r="EO812" s="111"/>
      <c r="EP812" s="111"/>
      <c r="EQ812" s="111"/>
      <c r="ER812" s="111"/>
      <c r="ES812" s="111"/>
    </row>
    <row r="813" spans="44:149">
      <c r="AR813" s="29"/>
      <c r="AS813" s="29"/>
      <c r="AT813" s="29"/>
      <c r="AU813" s="29"/>
      <c r="AV813" s="29"/>
      <c r="AW813" s="29"/>
      <c r="AX813" s="29"/>
      <c r="AY813" s="29"/>
      <c r="AZ813" s="29"/>
      <c r="BA813" s="29"/>
      <c r="BB813" s="29"/>
      <c r="BC813" s="29"/>
      <c r="BD813" s="29"/>
      <c r="BE813" s="29"/>
      <c r="BF813" s="111"/>
      <c r="BG813" s="111"/>
      <c r="BH813" s="111"/>
      <c r="BI813" s="111"/>
      <c r="BJ813" s="111"/>
      <c r="BK813" s="111"/>
      <c r="BL813" s="111"/>
      <c r="BM813" s="111"/>
      <c r="BN813" s="111"/>
      <c r="BO813" s="111"/>
      <c r="BP813" s="111"/>
      <c r="BQ813" s="111"/>
      <c r="BR813" s="111"/>
      <c r="BS813" s="111"/>
      <c r="DR813" s="29"/>
      <c r="DS813" s="29"/>
      <c r="DT813" s="29"/>
      <c r="DU813" s="29"/>
      <c r="DV813" s="29"/>
      <c r="DW813" s="29"/>
      <c r="DX813" s="29"/>
      <c r="DY813" s="29"/>
      <c r="DZ813" s="29"/>
      <c r="EA813" s="29"/>
      <c r="EB813" s="29"/>
      <c r="EC813" s="29"/>
      <c r="ED813" s="29"/>
      <c r="EE813" s="29"/>
      <c r="EF813" s="111"/>
      <c r="EG813" s="111"/>
      <c r="EH813" s="111"/>
      <c r="EI813" s="111"/>
      <c r="EJ813" s="111"/>
      <c r="EK813" s="111"/>
      <c r="EL813" s="111"/>
      <c r="EM813" s="111"/>
      <c r="EN813" s="111"/>
      <c r="EO813" s="111"/>
      <c r="EP813" s="111"/>
      <c r="EQ813" s="111"/>
      <c r="ER813" s="111"/>
      <c r="ES813" s="111"/>
    </row>
    <row r="814" spans="44:149">
      <c r="AR814" s="29"/>
      <c r="AS814" s="29"/>
      <c r="AT814" s="29"/>
      <c r="AU814" s="29"/>
      <c r="AV814" s="29"/>
      <c r="AW814" s="29"/>
      <c r="AX814" s="29"/>
      <c r="AY814" s="29"/>
      <c r="AZ814" s="29"/>
      <c r="BA814" s="29"/>
      <c r="BB814" s="29"/>
      <c r="BC814" s="29"/>
      <c r="BD814" s="29"/>
      <c r="BE814" s="29"/>
      <c r="BF814" s="111"/>
      <c r="BG814" s="111"/>
      <c r="BH814" s="111"/>
      <c r="BI814" s="111"/>
      <c r="BJ814" s="111"/>
      <c r="BK814" s="111"/>
      <c r="BL814" s="111"/>
      <c r="BM814" s="111"/>
      <c r="BN814" s="111"/>
      <c r="BO814" s="111"/>
      <c r="BP814" s="111"/>
      <c r="BQ814" s="111"/>
      <c r="BR814" s="111"/>
      <c r="BS814" s="111"/>
      <c r="DR814" s="29"/>
      <c r="DS814" s="29"/>
      <c r="DT814" s="29"/>
      <c r="DU814" s="29"/>
      <c r="DV814" s="29"/>
      <c r="DW814" s="29"/>
      <c r="DX814" s="29"/>
      <c r="DY814" s="29"/>
      <c r="DZ814" s="29"/>
      <c r="EA814" s="29"/>
      <c r="EB814" s="29"/>
      <c r="EC814" s="29"/>
      <c r="ED814" s="29"/>
      <c r="EE814" s="29"/>
      <c r="EF814" s="111"/>
      <c r="EG814" s="111"/>
      <c r="EH814" s="111"/>
      <c r="EI814" s="111"/>
      <c r="EJ814" s="111"/>
      <c r="EK814" s="111"/>
      <c r="EL814" s="111"/>
      <c r="EM814" s="111"/>
      <c r="EN814" s="111"/>
      <c r="EO814" s="111"/>
      <c r="EP814" s="111"/>
      <c r="EQ814" s="111"/>
      <c r="ER814" s="111"/>
      <c r="ES814" s="111"/>
    </row>
    <row r="815" spans="44:149">
      <c r="AR815" s="29"/>
      <c r="AS815" s="29"/>
      <c r="AT815" s="29"/>
      <c r="AU815" s="29"/>
      <c r="AV815" s="29"/>
      <c r="AW815" s="29"/>
      <c r="AX815" s="29"/>
      <c r="AY815" s="29"/>
      <c r="AZ815" s="29"/>
      <c r="BA815" s="29"/>
      <c r="BB815" s="29"/>
      <c r="BC815" s="29"/>
      <c r="BD815" s="29"/>
      <c r="BE815" s="29"/>
      <c r="BF815" s="111"/>
      <c r="BG815" s="111"/>
      <c r="BH815" s="111"/>
      <c r="BI815" s="111"/>
      <c r="BJ815" s="111"/>
      <c r="BK815" s="111"/>
      <c r="BL815" s="111"/>
      <c r="BM815" s="111"/>
      <c r="BN815" s="111"/>
      <c r="BO815" s="111"/>
      <c r="BP815" s="111"/>
      <c r="BQ815" s="111"/>
      <c r="BR815" s="111"/>
      <c r="BS815" s="111"/>
      <c r="DR815" s="29"/>
      <c r="DS815" s="29"/>
      <c r="DT815" s="29"/>
      <c r="DU815" s="29"/>
      <c r="DV815" s="29"/>
      <c r="DW815" s="29"/>
      <c r="DX815" s="29"/>
      <c r="DY815" s="29"/>
      <c r="DZ815" s="29"/>
      <c r="EA815" s="29"/>
      <c r="EB815" s="29"/>
      <c r="EC815" s="29"/>
      <c r="ED815" s="29"/>
      <c r="EE815" s="29"/>
      <c r="EF815" s="111"/>
      <c r="EG815" s="111"/>
      <c r="EH815" s="111"/>
      <c r="EI815" s="111"/>
      <c r="EJ815" s="111"/>
      <c r="EK815" s="111"/>
      <c r="EL815" s="111"/>
      <c r="EM815" s="111"/>
      <c r="EN815" s="111"/>
      <c r="EO815" s="111"/>
      <c r="EP815" s="111"/>
      <c r="EQ815" s="111"/>
      <c r="ER815" s="111"/>
      <c r="ES815" s="111"/>
    </row>
    <row r="816" spans="44:149">
      <c r="AR816" s="29"/>
      <c r="AS816" s="29"/>
      <c r="AT816" s="29"/>
      <c r="AU816" s="29"/>
      <c r="AV816" s="29"/>
      <c r="AW816" s="29"/>
      <c r="AX816" s="29"/>
      <c r="AY816" s="29"/>
      <c r="AZ816" s="29"/>
      <c r="BA816" s="29"/>
      <c r="BB816" s="29"/>
      <c r="BC816" s="29"/>
      <c r="BD816" s="29"/>
      <c r="BE816" s="29"/>
      <c r="BF816" s="111"/>
      <c r="BG816" s="111"/>
      <c r="BH816" s="111"/>
      <c r="BI816" s="111"/>
      <c r="BJ816" s="111"/>
      <c r="BK816" s="111"/>
      <c r="BL816" s="111"/>
      <c r="BM816" s="111"/>
      <c r="BN816" s="111"/>
      <c r="BO816" s="111"/>
      <c r="BP816" s="111"/>
      <c r="BQ816" s="111"/>
      <c r="BR816" s="111"/>
      <c r="BS816" s="111"/>
      <c r="DR816" s="29"/>
      <c r="DS816" s="29"/>
      <c r="DT816" s="29"/>
      <c r="DU816" s="29"/>
      <c r="DV816" s="29"/>
      <c r="DW816" s="29"/>
      <c r="DX816" s="29"/>
      <c r="DY816" s="29"/>
      <c r="DZ816" s="29"/>
      <c r="EA816" s="29"/>
      <c r="EB816" s="29"/>
      <c r="EC816" s="29"/>
      <c r="ED816" s="29"/>
      <c r="EE816" s="29"/>
      <c r="EF816" s="111"/>
      <c r="EG816" s="111"/>
      <c r="EH816" s="111"/>
      <c r="EI816" s="111"/>
      <c r="EJ816" s="111"/>
      <c r="EK816" s="111"/>
      <c r="EL816" s="111"/>
      <c r="EM816" s="111"/>
      <c r="EN816" s="111"/>
      <c r="EO816" s="111"/>
      <c r="EP816" s="111"/>
      <c r="EQ816" s="111"/>
      <c r="ER816" s="111"/>
      <c r="ES816" s="111"/>
    </row>
    <row r="817" spans="44:149">
      <c r="AR817" s="29"/>
      <c r="AS817" s="29"/>
      <c r="AT817" s="29"/>
      <c r="AU817" s="29"/>
      <c r="AV817" s="29"/>
      <c r="AW817" s="29"/>
      <c r="AX817" s="29"/>
      <c r="AY817" s="29"/>
      <c r="AZ817" s="29"/>
      <c r="BA817" s="29"/>
      <c r="BB817" s="29"/>
      <c r="BC817" s="29"/>
      <c r="BD817" s="29"/>
      <c r="BE817" s="29"/>
      <c r="BF817" s="111"/>
      <c r="BG817" s="111"/>
      <c r="BH817" s="111"/>
      <c r="BI817" s="111"/>
      <c r="BJ817" s="111"/>
      <c r="BK817" s="111"/>
      <c r="BL817" s="111"/>
      <c r="BM817" s="111"/>
      <c r="BN817" s="111"/>
      <c r="BO817" s="111"/>
      <c r="BP817" s="111"/>
      <c r="BQ817" s="111"/>
      <c r="BR817" s="111"/>
      <c r="BS817" s="111"/>
      <c r="DR817" s="29"/>
      <c r="DS817" s="29"/>
      <c r="DT817" s="29"/>
      <c r="DU817" s="29"/>
      <c r="DV817" s="29"/>
      <c r="DW817" s="29"/>
      <c r="DX817" s="29"/>
      <c r="DY817" s="29"/>
      <c r="DZ817" s="29"/>
      <c r="EA817" s="29"/>
      <c r="EB817" s="29"/>
      <c r="EC817" s="29"/>
      <c r="ED817" s="29"/>
      <c r="EE817" s="29"/>
      <c r="EF817" s="111"/>
      <c r="EG817" s="111"/>
      <c r="EH817" s="111"/>
      <c r="EI817" s="111"/>
      <c r="EJ817" s="111"/>
      <c r="EK817" s="111"/>
      <c r="EL817" s="111"/>
      <c r="EM817" s="111"/>
      <c r="EN817" s="111"/>
      <c r="EO817" s="111"/>
      <c r="EP817" s="111"/>
      <c r="EQ817" s="111"/>
      <c r="ER817" s="111"/>
      <c r="ES817" s="111"/>
    </row>
    <row r="818" spans="44:149">
      <c r="AR818" s="29"/>
      <c r="AS818" s="29"/>
      <c r="AT818" s="29"/>
      <c r="AU818" s="29"/>
      <c r="AV818" s="29"/>
      <c r="AW818" s="29"/>
      <c r="AX818" s="29"/>
      <c r="AY818" s="29"/>
      <c r="AZ818" s="29"/>
      <c r="BA818" s="29"/>
      <c r="BB818" s="29"/>
      <c r="BC818" s="29"/>
      <c r="BD818" s="29"/>
      <c r="BE818" s="29"/>
      <c r="BF818" s="111"/>
      <c r="BG818" s="111"/>
      <c r="BH818" s="111"/>
      <c r="BI818" s="111"/>
      <c r="BJ818" s="111"/>
      <c r="BK818" s="111"/>
      <c r="BL818" s="111"/>
      <c r="BM818" s="111"/>
      <c r="BN818" s="111"/>
      <c r="BO818" s="111"/>
      <c r="BP818" s="111"/>
      <c r="BQ818" s="111"/>
      <c r="BR818" s="111"/>
      <c r="BS818" s="111"/>
      <c r="DR818" s="29"/>
      <c r="DS818" s="29"/>
      <c r="DT818" s="29"/>
      <c r="DU818" s="29"/>
      <c r="DV818" s="29"/>
      <c r="DW818" s="29"/>
      <c r="DX818" s="29"/>
      <c r="DY818" s="29"/>
      <c r="DZ818" s="29"/>
      <c r="EA818" s="29"/>
      <c r="EB818" s="29"/>
      <c r="EC818" s="29"/>
      <c r="ED818" s="29"/>
      <c r="EE818" s="29"/>
      <c r="EF818" s="111"/>
      <c r="EG818" s="111"/>
      <c r="EH818" s="111"/>
      <c r="EI818" s="111"/>
      <c r="EJ818" s="111"/>
      <c r="EK818" s="111"/>
      <c r="EL818" s="111"/>
      <c r="EM818" s="111"/>
      <c r="EN818" s="111"/>
      <c r="EO818" s="111"/>
      <c r="EP818" s="111"/>
      <c r="EQ818" s="111"/>
      <c r="ER818" s="111"/>
      <c r="ES818" s="111"/>
    </row>
    <row r="819" spans="44:149">
      <c r="AR819" s="29"/>
      <c r="AS819" s="29"/>
      <c r="AT819" s="29"/>
      <c r="AU819" s="29"/>
      <c r="AV819" s="29"/>
      <c r="AW819" s="29"/>
      <c r="AX819" s="29"/>
      <c r="AY819" s="29"/>
      <c r="AZ819" s="29"/>
      <c r="BA819" s="29"/>
      <c r="BB819" s="29"/>
      <c r="BC819" s="29"/>
      <c r="BD819" s="29"/>
      <c r="BE819" s="29"/>
      <c r="BF819" s="111"/>
      <c r="BG819" s="111"/>
      <c r="BH819" s="111"/>
      <c r="BI819" s="111"/>
      <c r="BJ819" s="111"/>
      <c r="BK819" s="111"/>
      <c r="BL819" s="111"/>
      <c r="BM819" s="111"/>
      <c r="BN819" s="111"/>
      <c r="BO819" s="111"/>
      <c r="BP819" s="111"/>
      <c r="BQ819" s="111"/>
      <c r="BR819" s="111"/>
      <c r="BS819" s="111"/>
      <c r="DR819" s="29"/>
      <c r="DS819" s="29"/>
      <c r="DT819" s="29"/>
      <c r="DU819" s="29"/>
      <c r="DV819" s="29"/>
      <c r="DW819" s="29"/>
      <c r="DX819" s="29"/>
      <c r="DY819" s="29"/>
      <c r="DZ819" s="29"/>
      <c r="EA819" s="29"/>
      <c r="EB819" s="29"/>
      <c r="EC819" s="29"/>
      <c r="ED819" s="29"/>
      <c r="EE819" s="29"/>
      <c r="EF819" s="111"/>
      <c r="EG819" s="111"/>
      <c r="EH819" s="111"/>
      <c r="EI819" s="111"/>
      <c r="EJ819" s="111"/>
      <c r="EK819" s="111"/>
      <c r="EL819" s="111"/>
      <c r="EM819" s="111"/>
      <c r="EN819" s="111"/>
      <c r="EO819" s="111"/>
      <c r="EP819" s="111"/>
      <c r="EQ819" s="111"/>
      <c r="ER819" s="111"/>
      <c r="ES819" s="111"/>
    </row>
    <row r="820" spans="44:149">
      <c r="AR820" s="29"/>
      <c r="AS820" s="29"/>
      <c r="AT820" s="29"/>
      <c r="AU820" s="29"/>
      <c r="AV820" s="29"/>
      <c r="AW820" s="29"/>
      <c r="AX820" s="29"/>
      <c r="AY820" s="29"/>
      <c r="AZ820" s="29"/>
      <c r="BA820" s="29"/>
      <c r="BB820" s="29"/>
      <c r="BC820" s="29"/>
      <c r="BD820" s="29"/>
      <c r="BE820" s="29"/>
      <c r="BF820" s="111"/>
      <c r="BG820" s="111"/>
      <c r="BH820" s="111"/>
      <c r="BI820" s="111"/>
      <c r="BJ820" s="111"/>
      <c r="BK820" s="111"/>
      <c r="BL820" s="111"/>
      <c r="BM820" s="111"/>
      <c r="BN820" s="111"/>
      <c r="BO820" s="111"/>
      <c r="BP820" s="111"/>
      <c r="BQ820" s="111"/>
      <c r="BR820" s="111"/>
      <c r="BS820" s="111"/>
      <c r="DR820" s="29"/>
      <c r="DS820" s="29"/>
      <c r="DT820" s="29"/>
      <c r="DU820" s="29"/>
      <c r="DV820" s="29"/>
      <c r="DW820" s="29"/>
      <c r="DX820" s="29"/>
      <c r="DY820" s="29"/>
      <c r="DZ820" s="29"/>
      <c r="EA820" s="29"/>
      <c r="EB820" s="29"/>
      <c r="EC820" s="29"/>
      <c r="ED820" s="29"/>
      <c r="EE820" s="29"/>
      <c r="EF820" s="111"/>
      <c r="EG820" s="111"/>
      <c r="EH820" s="111"/>
      <c r="EI820" s="111"/>
      <c r="EJ820" s="111"/>
      <c r="EK820" s="111"/>
      <c r="EL820" s="111"/>
      <c r="EM820" s="111"/>
      <c r="EN820" s="111"/>
      <c r="EO820" s="111"/>
      <c r="EP820" s="111"/>
      <c r="EQ820" s="111"/>
      <c r="ER820" s="111"/>
      <c r="ES820" s="111"/>
    </row>
    <row r="821" spans="44:149">
      <c r="AR821" s="29"/>
      <c r="AS821" s="29"/>
      <c r="AT821" s="29"/>
      <c r="AU821" s="29"/>
      <c r="AV821" s="29"/>
      <c r="AW821" s="29"/>
      <c r="AX821" s="29"/>
      <c r="AY821" s="29"/>
      <c r="AZ821" s="29"/>
      <c r="BA821" s="29"/>
      <c r="BB821" s="29"/>
      <c r="BC821" s="29"/>
      <c r="BD821" s="29"/>
      <c r="BE821" s="29"/>
      <c r="BF821" s="111"/>
      <c r="BG821" s="111"/>
      <c r="BH821" s="111"/>
      <c r="BI821" s="111"/>
      <c r="BJ821" s="111"/>
      <c r="BK821" s="111"/>
      <c r="BL821" s="111"/>
      <c r="BM821" s="111"/>
      <c r="BN821" s="111"/>
      <c r="BO821" s="111"/>
      <c r="BP821" s="111"/>
      <c r="BQ821" s="111"/>
      <c r="BR821" s="111"/>
      <c r="BS821" s="111"/>
      <c r="DR821" s="29"/>
      <c r="DS821" s="29"/>
      <c r="DT821" s="29"/>
      <c r="DU821" s="29"/>
      <c r="DV821" s="29"/>
      <c r="DW821" s="29"/>
      <c r="DX821" s="29"/>
      <c r="DY821" s="29"/>
      <c r="DZ821" s="29"/>
      <c r="EA821" s="29"/>
      <c r="EB821" s="29"/>
      <c r="EC821" s="29"/>
      <c r="ED821" s="29"/>
      <c r="EE821" s="29"/>
      <c r="EF821" s="111"/>
      <c r="EG821" s="111"/>
      <c r="EH821" s="111"/>
      <c r="EI821" s="111"/>
      <c r="EJ821" s="111"/>
      <c r="EK821" s="111"/>
      <c r="EL821" s="111"/>
      <c r="EM821" s="111"/>
      <c r="EN821" s="111"/>
      <c r="EO821" s="111"/>
      <c r="EP821" s="111"/>
      <c r="EQ821" s="111"/>
      <c r="ER821" s="111"/>
      <c r="ES821" s="111"/>
    </row>
    <row r="822" spans="44:149">
      <c r="AR822" s="29"/>
      <c r="AS822" s="29"/>
      <c r="AT822" s="29"/>
      <c r="AU822" s="29"/>
      <c r="AV822" s="29"/>
      <c r="AW822" s="29"/>
      <c r="AX822" s="29"/>
      <c r="AY822" s="29"/>
      <c r="AZ822" s="29"/>
      <c r="BA822" s="29"/>
      <c r="BB822" s="29"/>
      <c r="BC822" s="29"/>
      <c r="BD822" s="29"/>
      <c r="BE822" s="29"/>
      <c r="BF822" s="111"/>
      <c r="BG822" s="111"/>
      <c r="BH822" s="111"/>
      <c r="BI822" s="111"/>
      <c r="BJ822" s="111"/>
      <c r="BK822" s="111"/>
      <c r="BL822" s="111"/>
      <c r="BM822" s="111"/>
      <c r="BN822" s="111"/>
      <c r="BO822" s="111"/>
      <c r="BP822" s="111"/>
      <c r="BQ822" s="111"/>
      <c r="BR822" s="111"/>
      <c r="BS822" s="111"/>
      <c r="DR822" s="29"/>
      <c r="DS822" s="29"/>
      <c r="DT822" s="29"/>
      <c r="DU822" s="29"/>
      <c r="DV822" s="29"/>
      <c r="DW822" s="29"/>
      <c r="DX822" s="29"/>
      <c r="DY822" s="29"/>
      <c r="DZ822" s="29"/>
      <c r="EA822" s="29"/>
      <c r="EB822" s="29"/>
      <c r="EC822" s="29"/>
      <c r="ED822" s="29"/>
      <c r="EE822" s="29"/>
      <c r="EF822" s="111"/>
      <c r="EG822" s="111"/>
      <c r="EH822" s="111"/>
      <c r="EI822" s="111"/>
      <c r="EJ822" s="111"/>
      <c r="EK822" s="111"/>
      <c r="EL822" s="111"/>
      <c r="EM822" s="111"/>
      <c r="EN822" s="111"/>
      <c r="EO822" s="111"/>
      <c r="EP822" s="111"/>
      <c r="EQ822" s="111"/>
      <c r="ER822" s="111"/>
      <c r="ES822" s="111"/>
    </row>
    <row r="823" spans="44:149">
      <c r="AR823" s="29"/>
      <c r="AS823" s="29"/>
      <c r="AT823" s="29"/>
      <c r="AU823" s="29"/>
      <c r="AV823" s="29"/>
      <c r="AW823" s="29"/>
      <c r="AX823" s="29"/>
      <c r="AY823" s="29"/>
      <c r="AZ823" s="29"/>
      <c r="BA823" s="29"/>
      <c r="BB823" s="29"/>
      <c r="BC823" s="29"/>
      <c r="BD823" s="29"/>
      <c r="BE823" s="29"/>
      <c r="BF823" s="111"/>
      <c r="BG823" s="111"/>
      <c r="BH823" s="111"/>
      <c r="BI823" s="111"/>
      <c r="BJ823" s="111"/>
      <c r="BK823" s="111"/>
      <c r="BL823" s="111"/>
      <c r="BM823" s="111"/>
      <c r="BN823" s="111"/>
      <c r="BO823" s="111"/>
      <c r="BP823" s="111"/>
      <c r="BQ823" s="111"/>
      <c r="BR823" s="111"/>
      <c r="BS823" s="111"/>
      <c r="DR823" s="29"/>
      <c r="DS823" s="29"/>
      <c r="DT823" s="29"/>
      <c r="DU823" s="29"/>
      <c r="DV823" s="29"/>
      <c r="DW823" s="29"/>
      <c r="DX823" s="29"/>
      <c r="DY823" s="29"/>
      <c r="DZ823" s="29"/>
      <c r="EA823" s="29"/>
      <c r="EB823" s="29"/>
      <c r="EC823" s="29"/>
      <c r="ED823" s="29"/>
      <c r="EE823" s="29"/>
      <c r="EF823" s="111"/>
      <c r="EG823" s="111"/>
      <c r="EH823" s="111"/>
      <c r="EI823" s="111"/>
      <c r="EJ823" s="111"/>
      <c r="EK823" s="111"/>
      <c r="EL823" s="111"/>
      <c r="EM823" s="111"/>
      <c r="EN823" s="111"/>
      <c r="EO823" s="111"/>
      <c r="EP823" s="111"/>
      <c r="EQ823" s="111"/>
      <c r="ER823" s="111"/>
      <c r="ES823" s="111"/>
    </row>
    <row r="824" spans="44:149">
      <c r="AR824" s="29"/>
      <c r="AS824" s="29"/>
      <c r="AT824" s="29"/>
      <c r="AU824" s="29"/>
      <c r="AV824" s="29"/>
      <c r="AW824" s="29"/>
      <c r="AX824" s="29"/>
      <c r="AY824" s="29"/>
      <c r="AZ824" s="29"/>
      <c r="BA824" s="29"/>
      <c r="BB824" s="29"/>
      <c r="BC824" s="29"/>
      <c r="BD824" s="29"/>
      <c r="BE824" s="29"/>
      <c r="BF824" s="111"/>
      <c r="BG824" s="111"/>
      <c r="BH824" s="111"/>
      <c r="BI824" s="111"/>
      <c r="BJ824" s="111"/>
      <c r="BK824" s="111"/>
      <c r="BL824" s="111"/>
      <c r="BM824" s="111"/>
      <c r="BN824" s="111"/>
      <c r="BO824" s="111"/>
      <c r="BP824" s="111"/>
      <c r="BQ824" s="111"/>
      <c r="BR824" s="111"/>
      <c r="BS824" s="111"/>
      <c r="DR824" s="29"/>
      <c r="DS824" s="29"/>
      <c r="DT824" s="29"/>
      <c r="DU824" s="29"/>
      <c r="DV824" s="29"/>
      <c r="DW824" s="29"/>
      <c r="DX824" s="29"/>
      <c r="DY824" s="29"/>
      <c r="DZ824" s="29"/>
      <c r="EA824" s="29"/>
      <c r="EB824" s="29"/>
      <c r="EC824" s="29"/>
      <c r="ED824" s="29"/>
      <c r="EE824" s="29"/>
      <c r="EF824" s="111"/>
      <c r="EG824" s="111"/>
      <c r="EH824" s="111"/>
      <c r="EI824" s="111"/>
      <c r="EJ824" s="111"/>
      <c r="EK824" s="111"/>
      <c r="EL824" s="111"/>
      <c r="EM824" s="111"/>
      <c r="EN824" s="111"/>
      <c r="EO824" s="111"/>
      <c r="EP824" s="111"/>
      <c r="EQ824" s="111"/>
      <c r="ER824" s="111"/>
      <c r="ES824" s="111"/>
    </row>
    <row r="825" spans="44:149">
      <c r="AR825" s="29"/>
      <c r="AS825" s="29"/>
      <c r="AT825" s="29"/>
      <c r="AU825" s="29"/>
      <c r="AV825" s="29"/>
      <c r="AW825" s="29"/>
      <c r="AX825" s="29"/>
      <c r="AY825" s="29"/>
      <c r="AZ825" s="29"/>
      <c r="BA825" s="29"/>
      <c r="BB825" s="29"/>
      <c r="BC825" s="29"/>
      <c r="BD825" s="29"/>
      <c r="BE825" s="29"/>
      <c r="BF825" s="111"/>
      <c r="BG825" s="111"/>
      <c r="BH825" s="111"/>
      <c r="BI825" s="111"/>
      <c r="BJ825" s="111"/>
      <c r="BK825" s="111"/>
      <c r="BL825" s="111"/>
      <c r="BM825" s="111"/>
      <c r="BN825" s="111"/>
      <c r="BO825" s="111"/>
      <c r="BP825" s="111"/>
      <c r="BQ825" s="111"/>
      <c r="BR825" s="111"/>
      <c r="BS825" s="111"/>
      <c r="DR825" s="29"/>
      <c r="DS825" s="29"/>
      <c r="DT825" s="29"/>
      <c r="DU825" s="29"/>
      <c r="DV825" s="29"/>
      <c r="DW825" s="29"/>
      <c r="DX825" s="29"/>
      <c r="DY825" s="29"/>
      <c r="DZ825" s="29"/>
      <c r="EA825" s="29"/>
      <c r="EB825" s="29"/>
      <c r="EC825" s="29"/>
      <c r="ED825" s="29"/>
      <c r="EE825" s="29"/>
      <c r="EF825" s="111"/>
      <c r="EG825" s="111"/>
      <c r="EH825" s="111"/>
      <c r="EI825" s="111"/>
      <c r="EJ825" s="111"/>
      <c r="EK825" s="111"/>
      <c r="EL825" s="111"/>
      <c r="EM825" s="111"/>
      <c r="EN825" s="111"/>
      <c r="EO825" s="111"/>
      <c r="EP825" s="111"/>
      <c r="EQ825" s="111"/>
      <c r="ER825" s="111"/>
      <c r="ES825" s="111"/>
    </row>
    <row r="826" spans="44:149">
      <c r="AR826" s="29"/>
      <c r="AS826" s="29"/>
      <c r="AT826" s="29"/>
      <c r="AU826" s="29"/>
      <c r="AV826" s="29"/>
      <c r="AW826" s="29"/>
      <c r="AX826" s="29"/>
      <c r="AY826" s="29"/>
      <c r="AZ826" s="29"/>
      <c r="BA826" s="29"/>
      <c r="BB826" s="29"/>
      <c r="BC826" s="29"/>
      <c r="BD826" s="29"/>
      <c r="BE826" s="29"/>
      <c r="BF826" s="111"/>
      <c r="BG826" s="111"/>
      <c r="BH826" s="111"/>
      <c r="BI826" s="111"/>
      <c r="BJ826" s="111"/>
      <c r="BK826" s="111"/>
      <c r="BL826" s="111"/>
      <c r="BM826" s="111"/>
      <c r="BN826" s="111"/>
      <c r="BO826" s="111"/>
      <c r="BP826" s="111"/>
      <c r="BQ826" s="111"/>
      <c r="BR826" s="111"/>
      <c r="BS826" s="111"/>
      <c r="DR826" s="29"/>
      <c r="DS826" s="29"/>
      <c r="DT826" s="29"/>
      <c r="DU826" s="29"/>
      <c r="DV826" s="29"/>
      <c r="DW826" s="29"/>
      <c r="DX826" s="29"/>
      <c r="DY826" s="29"/>
      <c r="DZ826" s="29"/>
      <c r="EA826" s="29"/>
      <c r="EB826" s="29"/>
      <c r="EC826" s="29"/>
      <c r="ED826" s="29"/>
      <c r="EE826" s="29"/>
      <c r="EF826" s="111"/>
      <c r="EG826" s="111"/>
      <c r="EH826" s="111"/>
      <c r="EI826" s="111"/>
      <c r="EJ826" s="111"/>
      <c r="EK826" s="111"/>
      <c r="EL826" s="111"/>
      <c r="EM826" s="111"/>
      <c r="EN826" s="111"/>
      <c r="EO826" s="111"/>
      <c r="EP826" s="111"/>
      <c r="EQ826" s="111"/>
      <c r="ER826" s="111"/>
      <c r="ES826" s="111"/>
    </row>
    <row r="827" spans="44:149">
      <c r="AR827" s="29"/>
      <c r="AS827" s="29"/>
      <c r="AT827" s="29"/>
      <c r="AU827" s="29"/>
      <c r="AV827" s="29"/>
      <c r="AW827" s="29"/>
      <c r="AX827" s="29"/>
      <c r="AY827" s="29"/>
      <c r="AZ827" s="29"/>
      <c r="BA827" s="29"/>
      <c r="BB827" s="29"/>
      <c r="BC827" s="29"/>
      <c r="BD827" s="29"/>
      <c r="BE827" s="29"/>
      <c r="BF827" s="111"/>
      <c r="BG827" s="111"/>
      <c r="BH827" s="111"/>
      <c r="BI827" s="111"/>
      <c r="BJ827" s="111"/>
      <c r="BK827" s="111"/>
      <c r="BL827" s="111"/>
      <c r="BM827" s="111"/>
      <c r="BN827" s="111"/>
      <c r="BO827" s="111"/>
      <c r="BP827" s="111"/>
      <c r="BQ827" s="111"/>
      <c r="BR827" s="111"/>
      <c r="BS827" s="111"/>
      <c r="DR827" s="29"/>
      <c r="DS827" s="29"/>
      <c r="DT827" s="29"/>
      <c r="DU827" s="29"/>
      <c r="DV827" s="29"/>
      <c r="DW827" s="29"/>
      <c r="DX827" s="29"/>
      <c r="DY827" s="29"/>
      <c r="DZ827" s="29"/>
      <c r="EA827" s="29"/>
      <c r="EB827" s="29"/>
      <c r="EC827" s="29"/>
      <c r="ED827" s="29"/>
      <c r="EE827" s="29"/>
      <c r="EF827" s="111"/>
      <c r="EG827" s="111"/>
      <c r="EH827" s="111"/>
      <c r="EI827" s="111"/>
      <c r="EJ827" s="111"/>
      <c r="EK827" s="111"/>
      <c r="EL827" s="111"/>
      <c r="EM827" s="111"/>
      <c r="EN827" s="111"/>
      <c r="EO827" s="111"/>
      <c r="EP827" s="111"/>
      <c r="EQ827" s="111"/>
      <c r="ER827" s="111"/>
      <c r="ES827" s="111"/>
    </row>
    <row r="828" spans="44:149">
      <c r="AR828" s="29"/>
      <c r="AS828" s="29"/>
      <c r="AT828" s="29"/>
      <c r="AU828" s="29"/>
      <c r="AV828" s="29"/>
      <c r="AW828" s="29"/>
      <c r="AX828" s="29"/>
      <c r="AY828" s="29"/>
      <c r="AZ828" s="29"/>
      <c r="BA828" s="29"/>
      <c r="BB828" s="29"/>
      <c r="BC828" s="29"/>
      <c r="BD828" s="29"/>
      <c r="BE828" s="29"/>
      <c r="BF828" s="111"/>
      <c r="BG828" s="111"/>
      <c r="BH828" s="111"/>
      <c r="BI828" s="111"/>
      <c r="BJ828" s="111"/>
      <c r="BK828" s="111"/>
      <c r="BL828" s="111"/>
      <c r="BM828" s="111"/>
      <c r="BN828" s="111"/>
      <c r="BO828" s="111"/>
      <c r="BP828" s="111"/>
      <c r="BQ828" s="111"/>
      <c r="BR828" s="111"/>
      <c r="BS828" s="111"/>
      <c r="DR828" s="29"/>
      <c r="DS828" s="29"/>
      <c r="DT828" s="29"/>
      <c r="DU828" s="29"/>
      <c r="DV828" s="29"/>
      <c r="DW828" s="29"/>
      <c r="DX828" s="29"/>
      <c r="DY828" s="29"/>
      <c r="DZ828" s="29"/>
      <c r="EA828" s="29"/>
      <c r="EB828" s="29"/>
      <c r="EC828" s="29"/>
      <c r="ED828" s="29"/>
      <c r="EE828" s="29"/>
      <c r="EF828" s="111"/>
      <c r="EG828" s="111"/>
      <c r="EH828" s="111"/>
      <c r="EI828" s="111"/>
      <c r="EJ828" s="111"/>
      <c r="EK828" s="111"/>
      <c r="EL828" s="111"/>
      <c r="EM828" s="111"/>
      <c r="EN828" s="111"/>
      <c r="EO828" s="111"/>
      <c r="EP828" s="111"/>
      <c r="EQ828" s="111"/>
      <c r="ER828" s="111"/>
      <c r="ES828" s="111"/>
    </row>
    <row r="829" spans="44:149">
      <c r="AR829" s="29"/>
      <c r="AS829" s="29"/>
      <c r="AT829" s="29"/>
      <c r="AU829" s="29"/>
      <c r="AV829" s="29"/>
      <c r="AW829" s="29"/>
      <c r="AX829" s="29"/>
      <c r="AY829" s="29"/>
      <c r="AZ829" s="29"/>
      <c r="BA829" s="29"/>
      <c r="BB829" s="29"/>
      <c r="BC829" s="29"/>
      <c r="BD829" s="29"/>
      <c r="BE829" s="29"/>
      <c r="BF829" s="111"/>
      <c r="BG829" s="111"/>
      <c r="BH829" s="111"/>
      <c r="BI829" s="111"/>
      <c r="BJ829" s="111"/>
      <c r="BK829" s="111"/>
      <c r="BL829" s="111"/>
      <c r="BM829" s="111"/>
      <c r="BN829" s="111"/>
      <c r="BO829" s="111"/>
      <c r="BP829" s="111"/>
      <c r="BQ829" s="111"/>
      <c r="BR829" s="111"/>
      <c r="BS829" s="111"/>
      <c r="DR829" s="29"/>
      <c r="DS829" s="29"/>
      <c r="DT829" s="29"/>
      <c r="DU829" s="29"/>
      <c r="DV829" s="29"/>
      <c r="DW829" s="29"/>
      <c r="DX829" s="29"/>
      <c r="DY829" s="29"/>
      <c r="DZ829" s="29"/>
      <c r="EA829" s="29"/>
      <c r="EB829" s="29"/>
      <c r="EC829" s="29"/>
      <c r="ED829" s="29"/>
      <c r="EE829" s="29"/>
      <c r="EF829" s="111"/>
      <c r="EG829" s="111"/>
      <c r="EH829" s="111"/>
      <c r="EI829" s="111"/>
      <c r="EJ829" s="111"/>
      <c r="EK829" s="111"/>
      <c r="EL829" s="111"/>
      <c r="EM829" s="111"/>
      <c r="EN829" s="111"/>
      <c r="EO829" s="111"/>
      <c r="EP829" s="111"/>
      <c r="EQ829" s="111"/>
      <c r="ER829" s="111"/>
      <c r="ES829" s="111"/>
    </row>
    <row r="830" spans="44:149">
      <c r="AR830" s="29"/>
      <c r="AS830" s="29"/>
      <c r="AT830" s="29"/>
      <c r="AU830" s="29"/>
      <c r="AV830" s="29"/>
      <c r="AW830" s="29"/>
      <c r="AX830" s="29"/>
      <c r="AY830" s="29"/>
      <c r="AZ830" s="29"/>
      <c r="BA830" s="29"/>
      <c r="BB830" s="29"/>
      <c r="BC830" s="29"/>
      <c r="BD830" s="29"/>
      <c r="BE830" s="29"/>
      <c r="BF830" s="111"/>
      <c r="BG830" s="111"/>
      <c r="BH830" s="111"/>
      <c r="BI830" s="111"/>
      <c r="BJ830" s="111"/>
      <c r="BK830" s="111"/>
      <c r="BL830" s="111"/>
      <c r="BM830" s="111"/>
      <c r="BN830" s="111"/>
      <c r="BO830" s="111"/>
      <c r="BP830" s="111"/>
      <c r="BQ830" s="111"/>
      <c r="BR830" s="111"/>
      <c r="BS830" s="111"/>
      <c r="DR830" s="29"/>
      <c r="DS830" s="29"/>
      <c r="DT830" s="29"/>
      <c r="DU830" s="29"/>
      <c r="DV830" s="29"/>
      <c r="DW830" s="29"/>
      <c r="DX830" s="29"/>
      <c r="DY830" s="29"/>
      <c r="DZ830" s="29"/>
      <c r="EA830" s="29"/>
      <c r="EB830" s="29"/>
      <c r="EC830" s="29"/>
      <c r="ED830" s="29"/>
      <c r="EE830" s="29"/>
      <c r="EF830" s="111"/>
      <c r="EG830" s="111"/>
      <c r="EH830" s="111"/>
      <c r="EI830" s="111"/>
      <c r="EJ830" s="111"/>
      <c r="EK830" s="111"/>
      <c r="EL830" s="111"/>
      <c r="EM830" s="111"/>
      <c r="EN830" s="111"/>
      <c r="EO830" s="111"/>
      <c r="EP830" s="111"/>
      <c r="EQ830" s="111"/>
      <c r="ER830" s="111"/>
      <c r="ES830" s="111"/>
    </row>
    <row r="831" spans="44:149">
      <c r="AR831" s="29"/>
      <c r="AS831" s="29"/>
      <c r="AT831" s="29"/>
      <c r="AU831" s="29"/>
      <c r="AV831" s="29"/>
      <c r="AW831" s="29"/>
      <c r="AX831" s="29"/>
      <c r="AY831" s="29"/>
      <c r="AZ831" s="29"/>
      <c r="BA831" s="29"/>
      <c r="BB831" s="29"/>
      <c r="BC831" s="29"/>
      <c r="BD831" s="29"/>
      <c r="BE831" s="29"/>
      <c r="BF831" s="111"/>
      <c r="BG831" s="111"/>
      <c r="BH831" s="111"/>
      <c r="BI831" s="111"/>
      <c r="BJ831" s="111"/>
      <c r="BK831" s="111"/>
      <c r="BL831" s="111"/>
      <c r="BM831" s="111"/>
      <c r="BN831" s="111"/>
      <c r="BO831" s="111"/>
      <c r="BP831" s="111"/>
      <c r="BQ831" s="111"/>
      <c r="BR831" s="111"/>
      <c r="BS831" s="111"/>
      <c r="DR831" s="29"/>
      <c r="DS831" s="29"/>
      <c r="DT831" s="29"/>
      <c r="DU831" s="29"/>
      <c r="DV831" s="29"/>
      <c r="DW831" s="29"/>
      <c r="DX831" s="29"/>
      <c r="DY831" s="29"/>
      <c r="DZ831" s="29"/>
      <c r="EA831" s="29"/>
      <c r="EB831" s="29"/>
      <c r="EC831" s="29"/>
      <c r="ED831" s="29"/>
      <c r="EE831" s="29"/>
      <c r="EF831" s="111"/>
      <c r="EG831" s="111"/>
      <c r="EH831" s="111"/>
      <c r="EI831" s="111"/>
      <c r="EJ831" s="111"/>
      <c r="EK831" s="111"/>
      <c r="EL831" s="111"/>
      <c r="EM831" s="111"/>
      <c r="EN831" s="111"/>
      <c r="EO831" s="111"/>
      <c r="EP831" s="111"/>
      <c r="EQ831" s="111"/>
      <c r="ER831" s="111"/>
      <c r="ES831" s="111"/>
    </row>
    <row r="832" spans="44:149">
      <c r="AR832" s="29"/>
      <c r="AS832" s="29"/>
      <c r="AT832" s="29"/>
      <c r="AU832" s="29"/>
      <c r="AV832" s="29"/>
      <c r="AW832" s="29"/>
      <c r="AX832" s="29"/>
      <c r="AY832" s="29"/>
      <c r="AZ832" s="29"/>
      <c r="BA832" s="29"/>
      <c r="BB832" s="29"/>
      <c r="BC832" s="29"/>
      <c r="BD832" s="29"/>
      <c r="BE832" s="29"/>
      <c r="BF832" s="111"/>
      <c r="BG832" s="111"/>
      <c r="BH832" s="111"/>
      <c r="BI832" s="111"/>
      <c r="BJ832" s="111"/>
      <c r="BK832" s="111"/>
      <c r="BL832" s="111"/>
      <c r="BM832" s="111"/>
      <c r="BN832" s="111"/>
      <c r="BO832" s="111"/>
      <c r="BP832" s="111"/>
      <c r="BQ832" s="111"/>
      <c r="BR832" s="111"/>
      <c r="BS832" s="111"/>
      <c r="DR832" s="29"/>
      <c r="DS832" s="29"/>
      <c r="DT832" s="29"/>
      <c r="DU832" s="29"/>
      <c r="DV832" s="29"/>
      <c r="DW832" s="29"/>
      <c r="DX832" s="29"/>
      <c r="DY832" s="29"/>
      <c r="DZ832" s="29"/>
      <c r="EA832" s="29"/>
      <c r="EB832" s="29"/>
      <c r="EC832" s="29"/>
      <c r="ED832" s="29"/>
      <c r="EE832" s="29"/>
      <c r="EF832" s="111"/>
      <c r="EG832" s="111"/>
      <c r="EH832" s="111"/>
      <c r="EI832" s="111"/>
      <c r="EJ832" s="111"/>
      <c r="EK832" s="111"/>
      <c r="EL832" s="111"/>
      <c r="EM832" s="111"/>
      <c r="EN832" s="111"/>
      <c r="EO832" s="111"/>
      <c r="EP832" s="111"/>
      <c r="EQ832" s="111"/>
      <c r="ER832" s="111"/>
      <c r="ES832" s="111"/>
    </row>
    <row r="833" spans="44:149">
      <c r="AR833" s="29"/>
      <c r="AS833" s="29"/>
      <c r="AT833" s="29"/>
      <c r="AU833" s="29"/>
      <c r="AV833" s="29"/>
      <c r="AW833" s="29"/>
      <c r="AX833" s="29"/>
      <c r="AY833" s="29"/>
      <c r="AZ833" s="29"/>
      <c r="BA833" s="29"/>
      <c r="BB833" s="29"/>
      <c r="BC833" s="29"/>
      <c r="BD833" s="29"/>
      <c r="BE833" s="29"/>
      <c r="BF833" s="111"/>
      <c r="BG833" s="111"/>
      <c r="BH833" s="111"/>
      <c r="BI833" s="111"/>
      <c r="BJ833" s="111"/>
      <c r="BK833" s="111"/>
      <c r="BL833" s="111"/>
      <c r="BM833" s="111"/>
      <c r="BN833" s="111"/>
      <c r="BO833" s="111"/>
      <c r="BP833" s="111"/>
      <c r="BQ833" s="111"/>
      <c r="BR833" s="111"/>
      <c r="BS833" s="111"/>
      <c r="DR833" s="29"/>
      <c r="DS833" s="29"/>
      <c r="DT833" s="29"/>
      <c r="DU833" s="29"/>
      <c r="DV833" s="29"/>
      <c r="DW833" s="29"/>
      <c r="DX833" s="29"/>
      <c r="DY833" s="29"/>
      <c r="DZ833" s="29"/>
      <c r="EA833" s="29"/>
      <c r="EB833" s="29"/>
      <c r="EC833" s="29"/>
      <c r="ED833" s="29"/>
      <c r="EE833" s="29"/>
      <c r="EF833" s="111"/>
      <c r="EG833" s="111"/>
      <c r="EH833" s="111"/>
      <c r="EI833" s="111"/>
      <c r="EJ833" s="111"/>
      <c r="EK833" s="111"/>
      <c r="EL833" s="111"/>
      <c r="EM833" s="111"/>
      <c r="EN833" s="111"/>
      <c r="EO833" s="111"/>
      <c r="EP833" s="111"/>
      <c r="EQ833" s="111"/>
      <c r="ER833" s="111"/>
      <c r="ES833" s="111"/>
    </row>
    <row r="834" spans="44:149">
      <c r="AR834" s="29"/>
      <c r="AS834" s="29"/>
      <c r="AT834" s="29"/>
      <c r="AU834" s="29"/>
      <c r="AV834" s="29"/>
      <c r="AW834" s="29"/>
      <c r="AX834" s="29"/>
      <c r="AY834" s="29"/>
      <c r="AZ834" s="29"/>
      <c r="BA834" s="29"/>
      <c r="BB834" s="29"/>
      <c r="BC834" s="29"/>
      <c r="BD834" s="29"/>
      <c r="BE834" s="29"/>
      <c r="BF834" s="111"/>
      <c r="BG834" s="111"/>
      <c r="BH834" s="111"/>
      <c r="BI834" s="111"/>
      <c r="BJ834" s="111"/>
      <c r="BK834" s="111"/>
      <c r="BL834" s="111"/>
      <c r="BM834" s="111"/>
      <c r="BN834" s="111"/>
      <c r="BO834" s="111"/>
      <c r="BP834" s="111"/>
      <c r="BQ834" s="111"/>
      <c r="BR834" s="111"/>
      <c r="BS834" s="111"/>
      <c r="DR834" s="29"/>
      <c r="DS834" s="29"/>
      <c r="DT834" s="29"/>
      <c r="DU834" s="29"/>
      <c r="DV834" s="29"/>
      <c r="DW834" s="29"/>
      <c r="DX834" s="29"/>
      <c r="DY834" s="29"/>
      <c r="DZ834" s="29"/>
      <c r="EA834" s="29"/>
      <c r="EB834" s="29"/>
      <c r="EC834" s="29"/>
      <c r="ED834" s="29"/>
      <c r="EE834" s="29"/>
      <c r="EF834" s="111"/>
      <c r="EG834" s="111"/>
      <c r="EH834" s="111"/>
      <c r="EI834" s="111"/>
      <c r="EJ834" s="111"/>
      <c r="EK834" s="111"/>
      <c r="EL834" s="111"/>
      <c r="EM834" s="111"/>
      <c r="EN834" s="111"/>
      <c r="EO834" s="111"/>
      <c r="EP834" s="111"/>
      <c r="EQ834" s="111"/>
      <c r="ER834" s="111"/>
      <c r="ES834" s="111"/>
    </row>
    <row r="835" spans="44:149">
      <c r="AR835" s="29"/>
      <c r="AS835" s="29"/>
      <c r="AT835" s="29"/>
      <c r="AU835" s="29"/>
      <c r="AV835" s="29"/>
      <c r="AW835" s="29"/>
      <c r="AX835" s="29"/>
      <c r="AY835" s="29"/>
      <c r="AZ835" s="29"/>
      <c r="BA835" s="29"/>
      <c r="BB835" s="29"/>
      <c r="BC835" s="29"/>
      <c r="BD835" s="29"/>
      <c r="BE835" s="29"/>
      <c r="BF835" s="111"/>
      <c r="BG835" s="111"/>
      <c r="BH835" s="111"/>
      <c r="BI835" s="111"/>
      <c r="BJ835" s="111"/>
      <c r="BK835" s="111"/>
      <c r="BL835" s="111"/>
      <c r="BM835" s="111"/>
      <c r="BN835" s="111"/>
      <c r="BO835" s="111"/>
      <c r="BP835" s="111"/>
      <c r="BQ835" s="111"/>
      <c r="BR835" s="111"/>
      <c r="BS835" s="111"/>
      <c r="DR835" s="29"/>
      <c r="DS835" s="29"/>
      <c r="DT835" s="29"/>
      <c r="DU835" s="29"/>
      <c r="DV835" s="29"/>
      <c r="DW835" s="29"/>
      <c r="DX835" s="29"/>
      <c r="DY835" s="29"/>
      <c r="DZ835" s="29"/>
      <c r="EA835" s="29"/>
      <c r="EB835" s="29"/>
      <c r="EC835" s="29"/>
      <c r="ED835" s="29"/>
      <c r="EE835" s="29"/>
      <c r="EF835" s="111"/>
      <c r="EG835" s="111"/>
      <c r="EH835" s="111"/>
      <c r="EI835" s="111"/>
      <c r="EJ835" s="111"/>
      <c r="EK835" s="111"/>
      <c r="EL835" s="111"/>
      <c r="EM835" s="111"/>
      <c r="EN835" s="111"/>
      <c r="EO835" s="111"/>
      <c r="EP835" s="111"/>
      <c r="EQ835" s="111"/>
      <c r="ER835" s="111"/>
      <c r="ES835" s="111"/>
    </row>
    <row r="836" spans="44:149">
      <c r="AR836" s="29"/>
      <c r="AS836" s="29"/>
      <c r="AT836" s="29"/>
      <c r="AU836" s="29"/>
      <c r="AV836" s="29"/>
      <c r="AW836" s="29"/>
      <c r="AX836" s="29"/>
      <c r="AY836" s="29"/>
      <c r="AZ836" s="29"/>
      <c r="BA836" s="29"/>
      <c r="BB836" s="29"/>
      <c r="BC836" s="29"/>
      <c r="BD836" s="29"/>
      <c r="BE836" s="29"/>
      <c r="BF836" s="111"/>
      <c r="BG836" s="111"/>
      <c r="BH836" s="111"/>
      <c r="BI836" s="111"/>
      <c r="BJ836" s="111"/>
      <c r="BK836" s="111"/>
      <c r="BL836" s="111"/>
      <c r="BM836" s="111"/>
      <c r="BN836" s="111"/>
      <c r="BO836" s="111"/>
      <c r="BP836" s="111"/>
      <c r="BQ836" s="111"/>
      <c r="BR836" s="111"/>
      <c r="BS836" s="111"/>
      <c r="DR836" s="29"/>
      <c r="DS836" s="29"/>
      <c r="DT836" s="29"/>
      <c r="DU836" s="29"/>
      <c r="DV836" s="29"/>
      <c r="DW836" s="29"/>
      <c r="DX836" s="29"/>
      <c r="DY836" s="29"/>
      <c r="DZ836" s="29"/>
      <c r="EA836" s="29"/>
      <c r="EB836" s="29"/>
      <c r="EC836" s="29"/>
      <c r="ED836" s="29"/>
      <c r="EE836" s="29"/>
      <c r="EF836" s="111"/>
      <c r="EG836" s="111"/>
      <c r="EH836" s="111"/>
      <c r="EI836" s="111"/>
      <c r="EJ836" s="111"/>
      <c r="EK836" s="111"/>
      <c r="EL836" s="111"/>
      <c r="EM836" s="111"/>
      <c r="EN836" s="111"/>
      <c r="EO836" s="111"/>
      <c r="EP836" s="111"/>
      <c r="EQ836" s="111"/>
      <c r="ER836" s="111"/>
      <c r="ES836" s="111"/>
    </row>
    <row r="837" spans="44:149">
      <c r="AR837" s="29"/>
      <c r="AS837" s="29"/>
      <c r="AT837" s="29"/>
      <c r="AU837" s="29"/>
      <c r="AV837" s="29"/>
      <c r="AW837" s="29"/>
      <c r="AX837" s="29"/>
      <c r="AY837" s="29"/>
      <c r="AZ837" s="29"/>
      <c r="BA837" s="29"/>
      <c r="BB837" s="29"/>
      <c r="BC837" s="29"/>
      <c r="BD837" s="29"/>
      <c r="BE837" s="29"/>
      <c r="BF837" s="111"/>
      <c r="BG837" s="111"/>
      <c r="BH837" s="111"/>
      <c r="BI837" s="111"/>
      <c r="BJ837" s="111"/>
      <c r="BK837" s="111"/>
      <c r="BL837" s="111"/>
      <c r="BM837" s="111"/>
      <c r="BN837" s="111"/>
      <c r="BO837" s="111"/>
      <c r="BP837" s="111"/>
      <c r="BQ837" s="111"/>
      <c r="BR837" s="111"/>
      <c r="BS837" s="111"/>
      <c r="DR837" s="29"/>
      <c r="DS837" s="29"/>
      <c r="DT837" s="29"/>
      <c r="DU837" s="29"/>
      <c r="DV837" s="29"/>
      <c r="DW837" s="29"/>
      <c r="DX837" s="29"/>
      <c r="DY837" s="29"/>
      <c r="DZ837" s="29"/>
      <c r="EA837" s="29"/>
      <c r="EB837" s="29"/>
      <c r="EC837" s="29"/>
      <c r="ED837" s="29"/>
      <c r="EE837" s="29"/>
      <c r="EF837" s="111"/>
      <c r="EG837" s="111"/>
      <c r="EH837" s="111"/>
      <c r="EI837" s="111"/>
      <c r="EJ837" s="111"/>
      <c r="EK837" s="111"/>
      <c r="EL837" s="111"/>
      <c r="EM837" s="111"/>
      <c r="EN837" s="111"/>
      <c r="EO837" s="111"/>
      <c r="EP837" s="111"/>
      <c r="EQ837" s="111"/>
      <c r="ER837" s="111"/>
      <c r="ES837" s="111"/>
    </row>
    <row r="838" spans="44:149">
      <c r="AR838" s="29"/>
      <c r="AS838" s="29"/>
      <c r="AT838" s="29"/>
      <c r="AU838" s="29"/>
      <c r="AV838" s="29"/>
      <c r="AW838" s="29"/>
      <c r="AX838" s="29"/>
      <c r="AY838" s="29"/>
      <c r="AZ838" s="29"/>
      <c r="BA838" s="29"/>
      <c r="BB838" s="29"/>
      <c r="BC838" s="29"/>
      <c r="BD838" s="29"/>
      <c r="BE838" s="29"/>
      <c r="BF838" s="111"/>
      <c r="BG838" s="111"/>
      <c r="BH838" s="111"/>
      <c r="BI838" s="111"/>
      <c r="BJ838" s="111"/>
      <c r="BK838" s="111"/>
      <c r="BL838" s="111"/>
      <c r="BM838" s="111"/>
      <c r="BN838" s="111"/>
      <c r="BO838" s="111"/>
      <c r="BP838" s="111"/>
      <c r="BQ838" s="111"/>
      <c r="BR838" s="111"/>
      <c r="BS838" s="111"/>
      <c r="DR838" s="29"/>
      <c r="DS838" s="29"/>
      <c r="DT838" s="29"/>
      <c r="DU838" s="29"/>
      <c r="DV838" s="29"/>
      <c r="DW838" s="29"/>
      <c r="DX838" s="29"/>
      <c r="DY838" s="29"/>
      <c r="DZ838" s="29"/>
      <c r="EA838" s="29"/>
      <c r="EB838" s="29"/>
      <c r="EC838" s="29"/>
      <c r="ED838" s="29"/>
      <c r="EE838" s="29"/>
      <c r="EF838" s="111"/>
      <c r="EG838" s="111"/>
      <c r="EH838" s="111"/>
      <c r="EI838" s="111"/>
      <c r="EJ838" s="111"/>
      <c r="EK838" s="111"/>
      <c r="EL838" s="111"/>
      <c r="EM838" s="111"/>
      <c r="EN838" s="111"/>
      <c r="EO838" s="111"/>
      <c r="EP838" s="111"/>
      <c r="EQ838" s="111"/>
      <c r="ER838" s="111"/>
      <c r="ES838" s="111"/>
    </row>
    <row r="839" spans="44:149">
      <c r="AR839" s="29"/>
      <c r="AS839" s="29"/>
      <c r="AT839" s="29"/>
      <c r="AU839" s="29"/>
      <c r="AV839" s="29"/>
      <c r="AW839" s="29"/>
      <c r="AX839" s="29"/>
      <c r="AY839" s="29"/>
      <c r="AZ839" s="29"/>
      <c r="BA839" s="29"/>
      <c r="BB839" s="29"/>
      <c r="BC839" s="29"/>
      <c r="BD839" s="29"/>
      <c r="BE839" s="29"/>
      <c r="BF839" s="111"/>
      <c r="BG839" s="111"/>
      <c r="BH839" s="111"/>
      <c r="BI839" s="111"/>
      <c r="BJ839" s="111"/>
      <c r="BK839" s="111"/>
      <c r="BL839" s="111"/>
      <c r="BM839" s="111"/>
      <c r="BN839" s="111"/>
      <c r="BO839" s="111"/>
      <c r="BP839" s="111"/>
      <c r="BQ839" s="111"/>
      <c r="BR839" s="111"/>
      <c r="BS839" s="111"/>
      <c r="DR839" s="29"/>
      <c r="DS839" s="29"/>
      <c r="DT839" s="29"/>
      <c r="DU839" s="29"/>
      <c r="DV839" s="29"/>
      <c r="DW839" s="29"/>
      <c r="DX839" s="29"/>
      <c r="DY839" s="29"/>
      <c r="DZ839" s="29"/>
      <c r="EA839" s="29"/>
      <c r="EB839" s="29"/>
      <c r="EC839" s="29"/>
      <c r="ED839" s="29"/>
      <c r="EE839" s="29"/>
      <c r="EF839" s="111"/>
      <c r="EG839" s="111"/>
      <c r="EH839" s="111"/>
      <c r="EI839" s="111"/>
      <c r="EJ839" s="111"/>
      <c r="EK839" s="111"/>
      <c r="EL839" s="111"/>
      <c r="EM839" s="111"/>
      <c r="EN839" s="111"/>
      <c r="EO839" s="111"/>
      <c r="EP839" s="111"/>
      <c r="EQ839" s="111"/>
      <c r="ER839" s="111"/>
      <c r="ES839" s="111"/>
    </row>
    <row r="840" spans="44:149">
      <c r="AR840" s="29"/>
      <c r="AS840" s="29"/>
      <c r="AT840" s="29"/>
      <c r="AU840" s="29"/>
      <c r="AV840" s="29"/>
      <c r="AW840" s="29"/>
      <c r="AX840" s="29"/>
      <c r="AY840" s="29"/>
      <c r="AZ840" s="29"/>
      <c r="BA840" s="29"/>
      <c r="BB840" s="29"/>
      <c r="BC840" s="29"/>
      <c r="BD840" s="29"/>
      <c r="BE840" s="29"/>
      <c r="BF840" s="111"/>
      <c r="BG840" s="111"/>
      <c r="BH840" s="111"/>
      <c r="BI840" s="111"/>
      <c r="BJ840" s="111"/>
      <c r="BK840" s="111"/>
      <c r="BL840" s="111"/>
      <c r="BM840" s="111"/>
      <c r="BN840" s="111"/>
      <c r="BO840" s="111"/>
      <c r="BP840" s="111"/>
      <c r="BQ840" s="111"/>
      <c r="BR840" s="111"/>
      <c r="BS840" s="111"/>
      <c r="DR840" s="29"/>
      <c r="DS840" s="29"/>
      <c r="DT840" s="29"/>
      <c r="DU840" s="29"/>
      <c r="DV840" s="29"/>
      <c r="DW840" s="29"/>
      <c r="DX840" s="29"/>
      <c r="DY840" s="29"/>
      <c r="DZ840" s="29"/>
      <c r="EA840" s="29"/>
      <c r="EB840" s="29"/>
      <c r="EC840" s="29"/>
      <c r="ED840" s="29"/>
      <c r="EE840" s="29"/>
      <c r="EF840" s="111"/>
      <c r="EG840" s="111"/>
      <c r="EH840" s="111"/>
      <c r="EI840" s="111"/>
      <c r="EJ840" s="111"/>
      <c r="EK840" s="111"/>
      <c r="EL840" s="111"/>
      <c r="EM840" s="111"/>
      <c r="EN840" s="111"/>
      <c r="EO840" s="111"/>
      <c r="EP840" s="111"/>
      <c r="EQ840" s="111"/>
      <c r="ER840" s="111"/>
      <c r="ES840" s="111"/>
    </row>
    <row r="841" spans="44:149">
      <c r="AR841" s="29"/>
      <c r="AS841" s="29"/>
      <c r="AT841" s="29"/>
      <c r="AU841" s="29"/>
      <c r="AV841" s="29"/>
      <c r="AW841" s="29"/>
      <c r="AX841" s="29"/>
      <c r="AY841" s="29"/>
      <c r="AZ841" s="29"/>
      <c r="BA841" s="29"/>
      <c r="BB841" s="29"/>
      <c r="BC841" s="29"/>
      <c r="BD841" s="29"/>
      <c r="BE841" s="29"/>
      <c r="BF841" s="111"/>
      <c r="BG841" s="111"/>
      <c r="BH841" s="111"/>
      <c r="BI841" s="111"/>
      <c r="BJ841" s="111"/>
      <c r="BK841" s="111"/>
      <c r="BL841" s="111"/>
      <c r="BM841" s="111"/>
      <c r="BN841" s="111"/>
      <c r="BO841" s="111"/>
      <c r="BP841" s="111"/>
      <c r="BQ841" s="111"/>
      <c r="BR841" s="111"/>
      <c r="BS841" s="111"/>
      <c r="DR841" s="29"/>
      <c r="DS841" s="29"/>
      <c r="DT841" s="29"/>
      <c r="DU841" s="29"/>
      <c r="DV841" s="29"/>
      <c r="DW841" s="29"/>
      <c r="DX841" s="29"/>
      <c r="DY841" s="29"/>
      <c r="DZ841" s="29"/>
      <c r="EA841" s="29"/>
      <c r="EB841" s="29"/>
      <c r="EC841" s="29"/>
      <c r="ED841" s="29"/>
      <c r="EE841" s="29"/>
      <c r="EF841" s="111"/>
      <c r="EG841" s="111"/>
      <c r="EH841" s="111"/>
      <c r="EI841" s="111"/>
      <c r="EJ841" s="111"/>
      <c r="EK841" s="111"/>
      <c r="EL841" s="111"/>
      <c r="EM841" s="111"/>
      <c r="EN841" s="111"/>
      <c r="EO841" s="111"/>
      <c r="EP841" s="111"/>
      <c r="EQ841" s="111"/>
      <c r="ER841" s="111"/>
      <c r="ES841" s="111"/>
    </row>
    <row r="842" spans="44:149">
      <c r="AR842" s="29"/>
      <c r="AS842" s="29"/>
      <c r="AT842" s="29"/>
      <c r="AU842" s="29"/>
      <c r="AV842" s="29"/>
      <c r="AW842" s="29"/>
      <c r="AX842" s="29"/>
      <c r="AY842" s="29"/>
      <c r="AZ842" s="29"/>
      <c r="BA842" s="29"/>
      <c r="BB842" s="29"/>
      <c r="BC842" s="29"/>
      <c r="BD842" s="29"/>
      <c r="BE842" s="29"/>
      <c r="BF842" s="111"/>
      <c r="BG842" s="111"/>
      <c r="BH842" s="111"/>
      <c r="BI842" s="111"/>
      <c r="BJ842" s="111"/>
      <c r="BK842" s="111"/>
      <c r="BL842" s="111"/>
      <c r="BM842" s="111"/>
      <c r="BN842" s="111"/>
      <c r="BO842" s="111"/>
      <c r="BP842" s="111"/>
      <c r="BQ842" s="111"/>
      <c r="BR842" s="111"/>
      <c r="BS842" s="111"/>
      <c r="DR842" s="29"/>
      <c r="DS842" s="29"/>
      <c r="DT842" s="29"/>
      <c r="DU842" s="29"/>
      <c r="DV842" s="29"/>
      <c r="DW842" s="29"/>
      <c r="DX842" s="29"/>
      <c r="DY842" s="29"/>
      <c r="DZ842" s="29"/>
      <c r="EA842" s="29"/>
      <c r="EB842" s="29"/>
      <c r="EC842" s="29"/>
      <c r="ED842" s="29"/>
      <c r="EE842" s="29"/>
      <c r="EF842" s="111"/>
      <c r="EG842" s="111"/>
      <c r="EH842" s="111"/>
      <c r="EI842" s="111"/>
      <c r="EJ842" s="111"/>
      <c r="EK842" s="111"/>
      <c r="EL842" s="111"/>
      <c r="EM842" s="111"/>
      <c r="EN842" s="111"/>
      <c r="EO842" s="111"/>
      <c r="EP842" s="111"/>
      <c r="EQ842" s="111"/>
      <c r="ER842" s="111"/>
      <c r="ES842" s="111"/>
    </row>
    <row r="843" spans="44:149">
      <c r="AR843" s="29"/>
      <c r="AS843" s="29"/>
      <c r="AT843" s="29"/>
      <c r="AU843" s="29"/>
      <c r="AV843" s="29"/>
      <c r="AW843" s="29"/>
      <c r="AX843" s="29"/>
      <c r="AY843" s="29"/>
      <c r="AZ843" s="29"/>
      <c r="BA843" s="29"/>
      <c r="BB843" s="29"/>
      <c r="BC843" s="29"/>
      <c r="BD843" s="29"/>
      <c r="BE843" s="29"/>
      <c r="BF843" s="111"/>
      <c r="BG843" s="111"/>
      <c r="BH843" s="111"/>
      <c r="BI843" s="111"/>
      <c r="BJ843" s="111"/>
      <c r="BK843" s="111"/>
      <c r="BL843" s="111"/>
      <c r="BM843" s="111"/>
      <c r="BN843" s="111"/>
      <c r="BO843" s="111"/>
      <c r="BP843" s="111"/>
      <c r="BQ843" s="111"/>
      <c r="BR843" s="111"/>
      <c r="BS843" s="111"/>
      <c r="DR843" s="29"/>
      <c r="DS843" s="29"/>
      <c r="DT843" s="29"/>
      <c r="DU843" s="29"/>
      <c r="DV843" s="29"/>
      <c r="DW843" s="29"/>
      <c r="DX843" s="29"/>
      <c r="DY843" s="29"/>
      <c r="DZ843" s="29"/>
      <c r="EA843" s="29"/>
      <c r="EB843" s="29"/>
      <c r="EC843" s="29"/>
      <c r="ED843" s="29"/>
      <c r="EE843" s="29"/>
      <c r="EF843" s="111"/>
      <c r="EG843" s="111"/>
      <c r="EH843" s="111"/>
      <c r="EI843" s="111"/>
      <c r="EJ843" s="111"/>
      <c r="EK843" s="111"/>
      <c r="EL843" s="111"/>
      <c r="EM843" s="111"/>
      <c r="EN843" s="111"/>
      <c r="EO843" s="111"/>
      <c r="EP843" s="111"/>
      <c r="EQ843" s="111"/>
      <c r="ER843" s="111"/>
      <c r="ES843" s="111"/>
    </row>
    <row r="844" spans="44:149">
      <c r="AR844" s="29"/>
      <c r="AS844" s="29"/>
      <c r="AT844" s="29"/>
      <c r="AU844" s="29"/>
      <c r="AV844" s="29"/>
      <c r="AW844" s="29"/>
      <c r="AX844" s="29"/>
      <c r="AY844" s="29"/>
      <c r="AZ844" s="29"/>
      <c r="BA844" s="29"/>
      <c r="BB844" s="29"/>
      <c r="BC844" s="29"/>
      <c r="BD844" s="29"/>
      <c r="BE844" s="29"/>
      <c r="BF844" s="111"/>
      <c r="BG844" s="111"/>
      <c r="BH844" s="111"/>
      <c r="BI844" s="111"/>
      <c r="BJ844" s="111"/>
      <c r="BK844" s="111"/>
      <c r="BL844" s="111"/>
      <c r="BM844" s="111"/>
      <c r="BN844" s="111"/>
      <c r="BO844" s="111"/>
      <c r="BP844" s="111"/>
      <c r="BQ844" s="111"/>
      <c r="BR844" s="111"/>
      <c r="BS844" s="111"/>
      <c r="DR844" s="29"/>
      <c r="DS844" s="29"/>
      <c r="DT844" s="29"/>
      <c r="DU844" s="29"/>
      <c r="DV844" s="29"/>
      <c r="DW844" s="29"/>
      <c r="DX844" s="29"/>
      <c r="DY844" s="29"/>
      <c r="DZ844" s="29"/>
      <c r="EA844" s="29"/>
      <c r="EB844" s="29"/>
      <c r="EC844" s="29"/>
      <c r="ED844" s="29"/>
      <c r="EE844" s="29"/>
      <c r="EF844" s="111"/>
      <c r="EG844" s="111"/>
      <c r="EH844" s="111"/>
      <c r="EI844" s="111"/>
      <c r="EJ844" s="111"/>
      <c r="EK844" s="111"/>
      <c r="EL844" s="111"/>
      <c r="EM844" s="111"/>
      <c r="EN844" s="111"/>
      <c r="EO844" s="111"/>
      <c r="EP844" s="111"/>
      <c r="EQ844" s="111"/>
      <c r="ER844" s="111"/>
      <c r="ES844" s="111"/>
    </row>
    <row r="845" spans="44:149">
      <c r="AR845" s="29"/>
      <c r="AS845" s="29"/>
      <c r="AT845" s="29"/>
      <c r="AU845" s="29"/>
      <c r="AV845" s="29"/>
      <c r="AW845" s="29"/>
      <c r="AX845" s="29"/>
      <c r="AY845" s="29"/>
      <c r="AZ845" s="29"/>
      <c r="BA845" s="29"/>
      <c r="BB845" s="29"/>
      <c r="BC845" s="29"/>
      <c r="BD845" s="29"/>
      <c r="BE845" s="29"/>
      <c r="BF845" s="111"/>
      <c r="BG845" s="111"/>
      <c r="BH845" s="111"/>
      <c r="BI845" s="111"/>
      <c r="BJ845" s="111"/>
      <c r="BK845" s="111"/>
      <c r="BL845" s="111"/>
      <c r="BM845" s="111"/>
      <c r="BN845" s="111"/>
      <c r="BO845" s="111"/>
      <c r="BP845" s="111"/>
      <c r="BQ845" s="111"/>
      <c r="BR845" s="111"/>
      <c r="BS845" s="111"/>
      <c r="DR845" s="29"/>
      <c r="DS845" s="29"/>
      <c r="DT845" s="29"/>
      <c r="DU845" s="29"/>
      <c r="DV845" s="29"/>
      <c r="DW845" s="29"/>
      <c r="DX845" s="29"/>
      <c r="DY845" s="29"/>
      <c r="DZ845" s="29"/>
      <c r="EA845" s="29"/>
      <c r="EB845" s="29"/>
      <c r="EC845" s="29"/>
      <c r="ED845" s="29"/>
      <c r="EE845" s="29"/>
      <c r="EF845" s="111"/>
      <c r="EG845" s="111"/>
      <c r="EH845" s="111"/>
      <c r="EI845" s="111"/>
      <c r="EJ845" s="111"/>
      <c r="EK845" s="111"/>
      <c r="EL845" s="111"/>
      <c r="EM845" s="111"/>
      <c r="EN845" s="111"/>
      <c r="EO845" s="111"/>
      <c r="EP845" s="111"/>
      <c r="EQ845" s="111"/>
      <c r="ER845" s="111"/>
      <c r="ES845" s="111"/>
    </row>
    <row r="846" spans="44:149">
      <c r="AR846" s="29"/>
      <c r="AS846" s="29"/>
      <c r="AT846" s="29"/>
      <c r="AU846" s="29"/>
      <c r="AV846" s="29"/>
      <c r="AW846" s="29"/>
      <c r="AX846" s="29"/>
      <c r="AY846" s="29"/>
      <c r="AZ846" s="29"/>
      <c r="BA846" s="29"/>
      <c r="BB846" s="29"/>
      <c r="BC846" s="29"/>
      <c r="BD846" s="29"/>
      <c r="BE846" s="29"/>
      <c r="BF846" s="111"/>
      <c r="BG846" s="111"/>
      <c r="BH846" s="111"/>
      <c r="BI846" s="111"/>
      <c r="BJ846" s="111"/>
      <c r="BK846" s="111"/>
      <c r="BL846" s="111"/>
      <c r="BM846" s="111"/>
      <c r="BN846" s="111"/>
      <c r="BO846" s="111"/>
      <c r="BP846" s="111"/>
      <c r="BQ846" s="111"/>
      <c r="BR846" s="111"/>
      <c r="BS846" s="111"/>
      <c r="DR846" s="29"/>
      <c r="DS846" s="29"/>
      <c r="DT846" s="29"/>
      <c r="DU846" s="29"/>
      <c r="DV846" s="29"/>
      <c r="DW846" s="29"/>
      <c r="DX846" s="29"/>
      <c r="DY846" s="29"/>
      <c r="DZ846" s="29"/>
      <c r="EA846" s="29"/>
      <c r="EB846" s="29"/>
      <c r="EC846" s="29"/>
      <c r="ED846" s="29"/>
      <c r="EE846" s="29"/>
      <c r="EF846" s="111"/>
      <c r="EG846" s="111"/>
      <c r="EH846" s="111"/>
      <c r="EI846" s="111"/>
      <c r="EJ846" s="111"/>
      <c r="EK846" s="111"/>
      <c r="EL846" s="111"/>
      <c r="EM846" s="111"/>
      <c r="EN846" s="111"/>
      <c r="EO846" s="111"/>
      <c r="EP846" s="111"/>
      <c r="EQ846" s="111"/>
      <c r="ER846" s="111"/>
      <c r="ES846" s="111"/>
    </row>
    <row r="847" spans="44:149">
      <c r="AR847" s="29"/>
      <c r="AS847" s="29"/>
      <c r="AT847" s="29"/>
      <c r="AU847" s="29"/>
      <c r="AV847" s="29"/>
      <c r="AW847" s="29"/>
      <c r="AX847" s="29"/>
      <c r="AY847" s="29"/>
      <c r="AZ847" s="29"/>
      <c r="BA847" s="29"/>
      <c r="BB847" s="29"/>
      <c r="BC847" s="29"/>
      <c r="BD847" s="29"/>
      <c r="BE847" s="29"/>
      <c r="BF847" s="111"/>
      <c r="BG847" s="111"/>
      <c r="BH847" s="111"/>
      <c r="BI847" s="111"/>
      <c r="BJ847" s="111"/>
      <c r="BK847" s="111"/>
      <c r="BL847" s="111"/>
      <c r="BM847" s="111"/>
      <c r="BN847" s="111"/>
      <c r="BO847" s="111"/>
      <c r="BP847" s="111"/>
      <c r="BQ847" s="111"/>
      <c r="BR847" s="111"/>
      <c r="BS847" s="111"/>
      <c r="DR847" s="29"/>
      <c r="DS847" s="29"/>
      <c r="DT847" s="29"/>
      <c r="DU847" s="29"/>
      <c r="DV847" s="29"/>
      <c r="DW847" s="29"/>
      <c r="DX847" s="29"/>
      <c r="DY847" s="29"/>
      <c r="DZ847" s="29"/>
      <c r="EA847" s="29"/>
      <c r="EB847" s="29"/>
      <c r="EC847" s="29"/>
      <c r="ED847" s="29"/>
      <c r="EE847" s="29"/>
      <c r="EF847" s="111"/>
      <c r="EG847" s="111"/>
      <c r="EH847" s="111"/>
      <c r="EI847" s="111"/>
      <c r="EJ847" s="111"/>
      <c r="EK847" s="111"/>
      <c r="EL847" s="111"/>
      <c r="EM847" s="111"/>
      <c r="EN847" s="111"/>
      <c r="EO847" s="111"/>
      <c r="EP847" s="111"/>
      <c r="EQ847" s="111"/>
      <c r="ER847" s="111"/>
      <c r="ES847" s="111"/>
    </row>
    <row r="848" spans="44:149">
      <c r="AR848" s="29"/>
      <c r="AS848" s="29"/>
      <c r="AT848" s="29"/>
      <c r="AU848" s="29"/>
      <c r="AV848" s="29"/>
      <c r="AW848" s="29"/>
      <c r="AX848" s="29"/>
      <c r="AY848" s="29"/>
      <c r="AZ848" s="29"/>
      <c r="BA848" s="29"/>
      <c r="BB848" s="29"/>
      <c r="BC848" s="29"/>
      <c r="BD848" s="29"/>
      <c r="BE848" s="29"/>
      <c r="BF848" s="111"/>
      <c r="BG848" s="111"/>
      <c r="BH848" s="111"/>
      <c r="BI848" s="111"/>
      <c r="BJ848" s="111"/>
      <c r="BK848" s="111"/>
      <c r="BL848" s="111"/>
      <c r="BM848" s="111"/>
      <c r="BN848" s="111"/>
      <c r="BO848" s="111"/>
      <c r="BP848" s="111"/>
      <c r="BQ848" s="111"/>
      <c r="BR848" s="111"/>
      <c r="BS848" s="111"/>
      <c r="DR848" s="29"/>
      <c r="DS848" s="29"/>
      <c r="DT848" s="29"/>
      <c r="DU848" s="29"/>
      <c r="DV848" s="29"/>
      <c r="DW848" s="29"/>
      <c r="DX848" s="29"/>
      <c r="DY848" s="29"/>
      <c r="DZ848" s="29"/>
      <c r="EA848" s="29"/>
      <c r="EB848" s="29"/>
      <c r="EC848" s="29"/>
      <c r="ED848" s="29"/>
      <c r="EE848" s="29"/>
      <c r="EF848" s="111"/>
      <c r="EG848" s="111"/>
      <c r="EH848" s="111"/>
      <c r="EI848" s="111"/>
      <c r="EJ848" s="111"/>
      <c r="EK848" s="111"/>
      <c r="EL848" s="111"/>
      <c r="EM848" s="111"/>
      <c r="EN848" s="111"/>
      <c r="EO848" s="111"/>
      <c r="EP848" s="111"/>
      <c r="EQ848" s="111"/>
      <c r="ER848" s="111"/>
      <c r="ES848" s="111"/>
    </row>
    <row r="849" spans="44:149">
      <c r="AR849" s="29"/>
      <c r="AS849" s="29"/>
      <c r="AT849" s="29"/>
      <c r="AU849" s="29"/>
      <c r="AV849" s="29"/>
      <c r="AW849" s="29"/>
      <c r="AX849" s="29"/>
      <c r="AY849" s="29"/>
      <c r="AZ849" s="29"/>
      <c r="BA849" s="29"/>
      <c r="BB849" s="29"/>
      <c r="BC849" s="29"/>
      <c r="BD849" s="29"/>
      <c r="BE849" s="29"/>
      <c r="BF849" s="111"/>
      <c r="BG849" s="111"/>
      <c r="BH849" s="111"/>
      <c r="BI849" s="111"/>
      <c r="BJ849" s="111"/>
      <c r="BK849" s="111"/>
      <c r="BL849" s="111"/>
      <c r="BM849" s="111"/>
      <c r="BN849" s="111"/>
      <c r="BO849" s="111"/>
      <c r="BP849" s="111"/>
      <c r="BQ849" s="111"/>
      <c r="BR849" s="111"/>
      <c r="BS849" s="111"/>
      <c r="DR849" s="29"/>
      <c r="DS849" s="29"/>
      <c r="DT849" s="29"/>
      <c r="DU849" s="29"/>
      <c r="DV849" s="29"/>
      <c r="DW849" s="29"/>
      <c r="DX849" s="29"/>
      <c r="DY849" s="29"/>
      <c r="DZ849" s="29"/>
      <c r="EA849" s="29"/>
      <c r="EB849" s="29"/>
      <c r="EC849" s="29"/>
      <c r="ED849" s="29"/>
      <c r="EE849" s="29"/>
      <c r="EF849" s="111"/>
      <c r="EG849" s="111"/>
      <c r="EH849" s="111"/>
      <c r="EI849" s="111"/>
      <c r="EJ849" s="111"/>
      <c r="EK849" s="111"/>
      <c r="EL849" s="111"/>
      <c r="EM849" s="111"/>
      <c r="EN849" s="111"/>
      <c r="EO849" s="111"/>
      <c r="EP849" s="111"/>
      <c r="EQ849" s="111"/>
      <c r="ER849" s="111"/>
      <c r="ES849" s="111"/>
    </row>
    <row r="850" spans="44:149">
      <c r="AR850" s="29"/>
      <c r="AS850" s="29"/>
      <c r="AT850" s="29"/>
      <c r="AU850" s="29"/>
      <c r="AV850" s="29"/>
      <c r="AW850" s="29"/>
      <c r="AX850" s="29"/>
      <c r="AY850" s="29"/>
      <c r="AZ850" s="29"/>
      <c r="BA850" s="29"/>
      <c r="BB850" s="29"/>
      <c r="BC850" s="29"/>
      <c r="BD850" s="29"/>
      <c r="BE850" s="29"/>
      <c r="BF850" s="111"/>
      <c r="BG850" s="111"/>
      <c r="BH850" s="111"/>
      <c r="BI850" s="111"/>
      <c r="BJ850" s="111"/>
      <c r="BK850" s="111"/>
      <c r="BL850" s="111"/>
      <c r="BM850" s="111"/>
      <c r="BN850" s="111"/>
      <c r="BO850" s="111"/>
      <c r="BP850" s="111"/>
      <c r="BQ850" s="111"/>
      <c r="BR850" s="111"/>
      <c r="BS850" s="111"/>
      <c r="DR850" s="29"/>
      <c r="DS850" s="29"/>
      <c r="DT850" s="29"/>
      <c r="DU850" s="29"/>
      <c r="DV850" s="29"/>
      <c r="DW850" s="29"/>
      <c r="DX850" s="29"/>
      <c r="DY850" s="29"/>
      <c r="DZ850" s="29"/>
      <c r="EA850" s="29"/>
      <c r="EB850" s="29"/>
      <c r="EC850" s="29"/>
      <c r="ED850" s="29"/>
      <c r="EE850" s="29"/>
      <c r="EF850" s="111"/>
      <c r="EG850" s="111"/>
      <c r="EH850" s="111"/>
      <c r="EI850" s="111"/>
      <c r="EJ850" s="111"/>
      <c r="EK850" s="111"/>
      <c r="EL850" s="111"/>
      <c r="EM850" s="111"/>
      <c r="EN850" s="111"/>
      <c r="EO850" s="111"/>
      <c r="EP850" s="111"/>
      <c r="EQ850" s="111"/>
      <c r="ER850" s="111"/>
      <c r="ES850" s="111"/>
    </row>
    <row r="851" spans="44:149">
      <c r="AR851" s="29"/>
      <c r="AS851" s="29"/>
      <c r="AT851" s="29"/>
      <c r="AU851" s="29"/>
      <c r="AV851" s="29"/>
      <c r="AW851" s="29"/>
      <c r="AX851" s="29"/>
      <c r="AY851" s="29"/>
      <c r="AZ851" s="29"/>
      <c r="BA851" s="29"/>
      <c r="BB851" s="29"/>
      <c r="BC851" s="29"/>
      <c r="BD851" s="29"/>
      <c r="BE851" s="29"/>
      <c r="BF851" s="111"/>
      <c r="BG851" s="111"/>
      <c r="BH851" s="111"/>
      <c r="BI851" s="111"/>
      <c r="BJ851" s="111"/>
      <c r="BK851" s="111"/>
      <c r="BL851" s="111"/>
      <c r="BM851" s="111"/>
      <c r="BN851" s="111"/>
      <c r="BO851" s="111"/>
      <c r="BP851" s="111"/>
      <c r="BQ851" s="111"/>
      <c r="BR851" s="111"/>
      <c r="BS851" s="111"/>
      <c r="DR851" s="29"/>
      <c r="DS851" s="29"/>
      <c r="DT851" s="29"/>
      <c r="DU851" s="29"/>
      <c r="DV851" s="29"/>
      <c r="DW851" s="29"/>
      <c r="DX851" s="29"/>
      <c r="DY851" s="29"/>
      <c r="DZ851" s="29"/>
      <c r="EA851" s="29"/>
      <c r="EB851" s="29"/>
      <c r="EC851" s="29"/>
      <c r="ED851" s="29"/>
      <c r="EE851" s="29"/>
      <c r="EF851" s="111"/>
      <c r="EG851" s="111"/>
      <c r="EH851" s="111"/>
      <c r="EI851" s="111"/>
      <c r="EJ851" s="111"/>
      <c r="EK851" s="111"/>
      <c r="EL851" s="111"/>
      <c r="EM851" s="111"/>
      <c r="EN851" s="111"/>
      <c r="EO851" s="111"/>
      <c r="EP851" s="111"/>
      <c r="EQ851" s="111"/>
      <c r="ER851" s="111"/>
      <c r="ES851" s="111"/>
    </row>
    <row r="852" spans="44:149">
      <c r="AR852" s="29"/>
      <c r="AS852" s="29"/>
      <c r="AT852" s="29"/>
      <c r="AU852" s="29"/>
      <c r="AV852" s="29"/>
      <c r="AW852" s="29"/>
      <c r="AX852" s="29"/>
      <c r="AY852" s="29"/>
      <c r="AZ852" s="29"/>
      <c r="BA852" s="29"/>
      <c r="BB852" s="29"/>
      <c r="BC852" s="29"/>
      <c r="BD852" s="29"/>
      <c r="BE852" s="29"/>
      <c r="BF852" s="111"/>
      <c r="BG852" s="111"/>
      <c r="BH852" s="111"/>
      <c r="BI852" s="111"/>
      <c r="BJ852" s="111"/>
      <c r="BK852" s="111"/>
      <c r="BL852" s="111"/>
      <c r="BM852" s="111"/>
      <c r="BN852" s="111"/>
      <c r="BO852" s="111"/>
      <c r="BP852" s="111"/>
      <c r="BQ852" s="111"/>
      <c r="BR852" s="111"/>
      <c r="BS852" s="111"/>
      <c r="DR852" s="29"/>
      <c r="DS852" s="29"/>
      <c r="DT852" s="29"/>
      <c r="DU852" s="29"/>
      <c r="DV852" s="29"/>
      <c r="DW852" s="29"/>
      <c r="DX852" s="29"/>
      <c r="DY852" s="29"/>
      <c r="DZ852" s="29"/>
      <c r="EA852" s="29"/>
      <c r="EB852" s="29"/>
      <c r="EC852" s="29"/>
      <c r="ED852" s="29"/>
      <c r="EE852" s="29"/>
      <c r="EF852" s="111"/>
      <c r="EG852" s="111"/>
      <c r="EH852" s="111"/>
      <c r="EI852" s="111"/>
      <c r="EJ852" s="111"/>
      <c r="EK852" s="111"/>
      <c r="EL852" s="111"/>
      <c r="EM852" s="111"/>
      <c r="EN852" s="111"/>
      <c r="EO852" s="111"/>
      <c r="EP852" s="111"/>
      <c r="EQ852" s="111"/>
      <c r="ER852" s="111"/>
      <c r="ES852" s="111"/>
    </row>
    <row r="853" spans="44:149">
      <c r="AR853" s="29"/>
      <c r="AS853" s="29"/>
      <c r="AT853" s="29"/>
      <c r="AU853" s="29"/>
      <c r="AV853" s="29"/>
      <c r="AW853" s="29"/>
      <c r="AX853" s="29"/>
      <c r="AY853" s="29"/>
      <c r="AZ853" s="29"/>
      <c r="BA853" s="29"/>
      <c r="BB853" s="29"/>
      <c r="BC853" s="29"/>
      <c r="BD853" s="29"/>
      <c r="BE853" s="29"/>
      <c r="BF853" s="111"/>
      <c r="BG853" s="111"/>
      <c r="BH853" s="111"/>
      <c r="BI853" s="111"/>
      <c r="BJ853" s="111"/>
      <c r="BK853" s="111"/>
      <c r="BL853" s="111"/>
      <c r="BM853" s="111"/>
      <c r="BN853" s="111"/>
      <c r="BO853" s="111"/>
      <c r="BP853" s="111"/>
      <c r="BQ853" s="111"/>
      <c r="BR853" s="111"/>
      <c r="BS853" s="111"/>
      <c r="DR853" s="29"/>
      <c r="DS853" s="29"/>
      <c r="DT853" s="29"/>
      <c r="DU853" s="29"/>
      <c r="DV853" s="29"/>
      <c r="DW853" s="29"/>
      <c r="DX853" s="29"/>
      <c r="DY853" s="29"/>
      <c r="DZ853" s="29"/>
      <c r="EA853" s="29"/>
      <c r="EB853" s="29"/>
      <c r="EC853" s="29"/>
      <c r="ED853" s="29"/>
      <c r="EE853" s="29"/>
      <c r="EF853" s="111"/>
      <c r="EG853" s="111"/>
      <c r="EH853" s="111"/>
      <c r="EI853" s="111"/>
      <c r="EJ853" s="111"/>
      <c r="EK853" s="111"/>
      <c r="EL853" s="111"/>
      <c r="EM853" s="111"/>
      <c r="EN853" s="111"/>
      <c r="EO853" s="111"/>
      <c r="EP853" s="111"/>
      <c r="EQ853" s="111"/>
      <c r="ER853" s="111"/>
      <c r="ES853" s="111"/>
    </row>
    <row r="854" spans="44:149">
      <c r="AR854" s="29"/>
      <c r="AS854" s="29"/>
      <c r="AT854" s="29"/>
      <c r="AU854" s="29"/>
      <c r="AV854" s="29"/>
      <c r="AW854" s="29"/>
      <c r="AX854" s="29"/>
      <c r="AY854" s="29"/>
      <c r="AZ854" s="29"/>
      <c r="BA854" s="29"/>
      <c r="BB854" s="29"/>
      <c r="BC854" s="29"/>
      <c r="BD854" s="29"/>
      <c r="BE854" s="29"/>
      <c r="BF854" s="111"/>
      <c r="BG854" s="111"/>
      <c r="BH854" s="111"/>
      <c r="BI854" s="111"/>
      <c r="BJ854" s="111"/>
      <c r="BK854" s="111"/>
      <c r="BL854" s="111"/>
      <c r="BM854" s="111"/>
      <c r="BN854" s="111"/>
      <c r="BO854" s="111"/>
      <c r="BP854" s="111"/>
      <c r="BQ854" s="111"/>
      <c r="BR854" s="111"/>
      <c r="BS854" s="111"/>
      <c r="DR854" s="29"/>
      <c r="DS854" s="29"/>
      <c r="DT854" s="29"/>
      <c r="DU854" s="29"/>
      <c r="DV854" s="29"/>
      <c r="DW854" s="29"/>
      <c r="DX854" s="29"/>
      <c r="DY854" s="29"/>
      <c r="DZ854" s="29"/>
      <c r="EA854" s="29"/>
      <c r="EB854" s="29"/>
      <c r="EC854" s="29"/>
      <c r="ED854" s="29"/>
      <c r="EE854" s="29"/>
      <c r="EF854" s="111"/>
      <c r="EG854" s="111"/>
      <c r="EH854" s="111"/>
      <c r="EI854" s="111"/>
      <c r="EJ854" s="111"/>
      <c r="EK854" s="111"/>
      <c r="EL854" s="111"/>
      <c r="EM854" s="111"/>
      <c r="EN854" s="111"/>
      <c r="EO854" s="111"/>
      <c r="EP854" s="111"/>
      <c r="EQ854" s="111"/>
      <c r="ER854" s="111"/>
      <c r="ES854" s="111"/>
    </row>
    <row r="855" spans="44:149">
      <c r="AR855" s="29"/>
      <c r="AS855" s="29"/>
      <c r="AT855" s="29"/>
      <c r="AU855" s="29"/>
      <c r="AV855" s="29"/>
      <c r="AW855" s="29"/>
      <c r="AX855" s="29"/>
      <c r="AY855" s="29"/>
      <c r="AZ855" s="29"/>
      <c r="BA855" s="29"/>
      <c r="BB855" s="29"/>
      <c r="BC855" s="29"/>
      <c r="BD855" s="29"/>
      <c r="BE855" s="29"/>
      <c r="BF855" s="111"/>
      <c r="BG855" s="111"/>
      <c r="BH855" s="111"/>
      <c r="BI855" s="111"/>
      <c r="BJ855" s="111"/>
      <c r="BK855" s="111"/>
      <c r="BL855" s="111"/>
      <c r="BM855" s="111"/>
      <c r="BN855" s="111"/>
      <c r="BO855" s="111"/>
      <c r="BP855" s="111"/>
      <c r="BQ855" s="111"/>
      <c r="BR855" s="111"/>
      <c r="BS855" s="111"/>
      <c r="DR855" s="29"/>
      <c r="DS855" s="29"/>
      <c r="DT855" s="29"/>
      <c r="DU855" s="29"/>
      <c r="DV855" s="29"/>
      <c r="DW855" s="29"/>
      <c r="DX855" s="29"/>
      <c r="DY855" s="29"/>
      <c r="DZ855" s="29"/>
      <c r="EA855" s="29"/>
      <c r="EB855" s="29"/>
      <c r="EC855" s="29"/>
      <c r="ED855" s="29"/>
      <c r="EE855" s="29"/>
      <c r="EF855" s="111"/>
      <c r="EG855" s="111"/>
      <c r="EH855" s="111"/>
      <c r="EI855" s="111"/>
      <c r="EJ855" s="111"/>
      <c r="EK855" s="111"/>
      <c r="EL855" s="111"/>
      <c r="EM855" s="111"/>
      <c r="EN855" s="111"/>
      <c r="EO855" s="111"/>
      <c r="EP855" s="111"/>
      <c r="EQ855" s="111"/>
      <c r="ER855" s="111"/>
      <c r="ES855" s="111"/>
    </row>
    <row r="856" spans="44:149">
      <c r="AR856" s="29"/>
      <c r="AS856" s="29"/>
      <c r="AT856" s="29"/>
      <c r="AU856" s="29"/>
      <c r="AV856" s="29"/>
      <c r="AW856" s="29"/>
      <c r="AX856" s="29"/>
      <c r="AY856" s="29"/>
      <c r="AZ856" s="29"/>
      <c r="BA856" s="29"/>
      <c r="BB856" s="29"/>
      <c r="BC856" s="29"/>
      <c r="BD856" s="29"/>
      <c r="BE856" s="29"/>
      <c r="BF856" s="111"/>
      <c r="BG856" s="111"/>
      <c r="BH856" s="111"/>
      <c r="BI856" s="111"/>
      <c r="BJ856" s="111"/>
      <c r="BK856" s="111"/>
      <c r="BL856" s="111"/>
      <c r="BM856" s="111"/>
      <c r="BN856" s="111"/>
      <c r="BO856" s="111"/>
      <c r="BP856" s="111"/>
      <c r="BQ856" s="111"/>
      <c r="BR856" s="111"/>
      <c r="BS856" s="111"/>
      <c r="DR856" s="29"/>
      <c r="DS856" s="29"/>
      <c r="DT856" s="29"/>
      <c r="DU856" s="29"/>
      <c r="DV856" s="29"/>
      <c r="DW856" s="29"/>
      <c r="DX856" s="29"/>
      <c r="DY856" s="29"/>
      <c r="DZ856" s="29"/>
      <c r="EA856" s="29"/>
      <c r="EB856" s="29"/>
      <c r="EC856" s="29"/>
      <c r="ED856" s="29"/>
      <c r="EE856" s="29"/>
      <c r="EF856" s="111"/>
      <c r="EG856" s="111"/>
      <c r="EH856" s="111"/>
      <c r="EI856" s="111"/>
      <c r="EJ856" s="111"/>
      <c r="EK856" s="111"/>
      <c r="EL856" s="111"/>
      <c r="EM856" s="111"/>
      <c r="EN856" s="111"/>
      <c r="EO856" s="111"/>
      <c r="EP856" s="111"/>
      <c r="EQ856" s="111"/>
      <c r="ER856" s="111"/>
      <c r="ES856" s="111"/>
    </row>
    <row r="857" spans="44:149">
      <c r="AR857" s="29"/>
      <c r="AS857" s="29"/>
      <c r="AT857" s="29"/>
      <c r="AU857" s="29"/>
      <c r="AV857" s="29"/>
      <c r="AW857" s="29"/>
      <c r="AX857" s="29"/>
      <c r="AY857" s="29"/>
      <c r="AZ857" s="29"/>
      <c r="BA857" s="29"/>
      <c r="BB857" s="29"/>
      <c r="BC857" s="29"/>
      <c r="BD857" s="29"/>
      <c r="BE857" s="29"/>
      <c r="BF857" s="111"/>
      <c r="BG857" s="111"/>
      <c r="BH857" s="111"/>
      <c r="BI857" s="111"/>
      <c r="BJ857" s="111"/>
      <c r="BK857" s="111"/>
      <c r="BL857" s="111"/>
      <c r="BM857" s="111"/>
      <c r="BN857" s="111"/>
      <c r="BO857" s="111"/>
      <c r="BP857" s="111"/>
      <c r="BQ857" s="111"/>
      <c r="BR857" s="111"/>
      <c r="BS857" s="111"/>
      <c r="DR857" s="29"/>
      <c r="DS857" s="29"/>
      <c r="DT857" s="29"/>
      <c r="DU857" s="29"/>
      <c r="DV857" s="29"/>
      <c r="DW857" s="29"/>
      <c r="DX857" s="29"/>
      <c r="DY857" s="29"/>
      <c r="DZ857" s="29"/>
      <c r="EA857" s="29"/>
      <c r="EB857" s="29"/>
      <c r="EC857" s="29"/>
      <c r="ED857" s="29"/>
      <c r="EE857" s="29"/>
      <c r="EF857" s="111"/>
      <c r="EG857" s="111"/>
      <c r="EH857" s="111"/>
      <c r="EI857" s="111"/>
      <c r="EJ857" s="111"/>
      <c r="EK857" s="111"/>
      <c r="EL857" s="111"/>
      <c r="EM857" s="111"/>
      <c r="EN857" s="111"/>
      <c r="EO857" s="111"/>
      <c r="EP857" s="111"/>
      <c r="EQ857" s="111"/>
      <c r="ER857" s="111"/>
      <c r="ES857" s="111"/>
    </row>
    <row r="858" spans="44:149">
      <c r="AR858" s="29"/>
      <c r="AS858" s="29"/>
      <c r="AT858" s="29"/>
      <c r="AU858" s="29"/>
      <c r="AV858" s="29"/>
      <c r="AW858" s="29"/>
      <c r="AX858" s="29"/>
      <c r="AY858" s="29"/>
      <c r="AZ858" s="29"/>
      <c r="BA858" s="29"/>
      <c r="BB858" s="29"/>
      <c r="BC858" s="29"/>
      <c r="BD858" s="29"/>
      <c r="BE858" s="29"/>
      <c r="BF858" s="111"/>
      <c r="BG858" s="111"/>
      <c r="BH858" s="111"/>
      <c r="BI858" s="111"/>
      <c r="BJ858" s="111"/>
      <c r="BK858" s="111"/>
      <c r="BL858" s="111"/>
      <c r="BM858" s="111"/>
      <c r="BN858" s="111"/>
      <c r="BO858" s="111"/>
      <c r="BP858" s="111"/>
      <c r="BQ858" s="111"/>
      <c r="BR858" s="111"/>
      <c r="BS858" s="111"/>
      <c r="DR858" s="29"/>
      <c r="DS858" s="29"/>
      <c r="DT858" s="29"/>
      <c r="DU858" s="29"/>
      <c r="DV858" s="29"/>
      <c r="DW858" s="29"/>
      <c r="DX858" s="29"/>
      <c r="DY858" s="29"/>
      <c r="DZ858" s="29"/>
      <c r="EA858" s="29"/>
      <c r="EB858" s="29"/>
      <c r="EC858" s="29"/>
      <c r="ED858" s="29"/>
      <c r="EE858" s="29"/>
      <c r="EF858" s="111"/>
      <c r="EG858" s="111"/>
      <c r="EH858" s="111"/>
      <c r="EI858" s="111"/>
      <c r="EJ858" s="111"/>
      <c r="EK858" s="111"/>
      <c r="EL858" s="111"/>
      <c r="EM858" s="111"/>
      <c r="EN858" s="111"/>
      <c r="EO858" s="111"/>
      <c r="EP858" s="111"/>
      <c r="EQ858" s="111"/>
      <c r="ER858" s="111"/>
      <c r="ES858" s="111"/>
    </row>
    <row r="859" spans="44:149">
      <c r="AR859" s="29"/>
      <c r="AS859" s="29"/>
      <c r="AT859" s="29"/>
      <c r="AU859" s="29"/>
      <c r="AV859" s="29"/>
      <c r="AW859" s="29"/>
      <c r="AX859" s="29"/>
      <c r="AY859" s="29"/>
      <c r="AZ859" s="29"/>
      <c r="BA859" s="29"/>
      <c r="BB859" s="29"/>
      <c r="BC859" s="29"/>
      <c r="BD859" s="29"/>
      <c r="BE859" s="29"/>
      <c r="BF859" s="111"/>
      <c r="BG859" s="111"/>
      <c r="BH859" s="111"/>
      <c r="BI859" s="111"/>
      <c r="BJ859" s="111"/>
      <c r="BK859" s="111"/>
      <c r="BL859" s="111"/>
      <c r="BM859" s="111"/>
      <c r="BN859" s="111"/>
      <c r="BO859" s="111"/>
      <c r="BP859" s="111"/>
      <c r="BQ859" s="111"/>
      <c r="BR859" s="111"/>
      <c r="BS859" s="111"/>
      <c r="DR859" s="29"/>
      <c r="DS859" s="29"/>
      <c r="DT859" s="29"/>
      <c r="DU859" s="29"/>
      <c r="DV859" s="29"/>
      <c r="DW859" s="29"/>
      <c r="DX859" s="29"/>
      <c r="DY859" s="29"/>
      <c r="DZ859" s="29"/>
      <c r="EA859" s="29"/>
      <c r="EB859" s="29"/>
      <c r="EC859" s="29"/>
      <c r="ED859" s="29"/>
      <c r="EE859" s="29"/>
      <c r="EF859" s="111"/>
      <c r="EG859" s="111"/>
      <c r="EH859" s="111"/>
      <c r="EI859" s="111"/>
      <c r="EJ859" s="111"/>
      <c r="EK859" s="111"/>
      <c r="EL859" s="111"/>
      <c r="EM859" s="111"/>
      <c r="EN859" s="111"/>
      <c r="EO859" s="111"/>
      <c r="EP859" s="111"/>
      <c r="EQ859" s="111"/>
      <c r="ER859" s="111"/>
      <c r="ES859" s="111"/>
    </row>
    <row r="860" spans="44:149">
      <c r="AR860" s="29"/>
      <c r="AS860" s="29"/>
      <c r="AT860" s="29"/>
      <c r="AU860" s="29"/>
      <c r="AV860" s="29"/>
      <c r="AW860" s="29"/>
      <c r="AX860" s="29"/>
      <c r="AY860" s="29"/>
      <c r="AZ860" s="29"/>
      <c r="BA860" s="29"/>
      <c r="BB860" s="29"/>
      <c r="BC860" s="29"/>
      <c r="BD860" s="29"/>
      <c r="BE860" s="29"/>
      <c r="BF860" s="111"/>
      <c r="BG860" s="111"/>
      <c r="BH860" s="111"/>
      <c r="BI860" s="111"/>
      <c r="BJ860" s="111"/>
      <c r="BK860" s="111"/>
      <c r="BL860" s="111"/>
      <c r="BM860" s="111"/>
      <c r="BN860" s="111"/>
      <c r="BO860" s="111"/>
      <c r="BP860" s="111"/>
      <c r="BQ860" s="111"/>
      <c r="BR860" s="111"/>
      <c r="BS860" s="111"/>
      <c r="DR860" s="29"/>
      <c r="DS860" s="29"/>
      <c r="DT860" s="29"/>
      <c r="DU860" s="29"/>
      <c r="DV860" s="29"/>
      <c r="DW860" s="29"/>
      <c r="DX860" s="29"/>
      <c r="DY860" s="29"/>
      <c r="DZ860" s="29"/>
      <c r="EA860" s="29"/>
      <c r="EB860" s="29"/>
      <c r="EC860" s="29"/>
      <c r="ED860" s="29"/>
      <c r="EE860" s="29"/>
      <c r="EF860" s="111"/>
      <c r="EG860" s="111"/>
      <c r="EH860" s="111"/>
      <c r="EI860" s="111"/>
      <c r="EJ860" s="111"/>
      <c r="EK860" s="111"/>
      <c r="EL860" s="111"/>
      <c r="EM860" s="111"/>
      <c r="EN860" s="111"/>
      <c r="EO860" s="111"/>
      <c r="EP860" s="111"/>
      <c r="EQ860" s="111"/>
      <c r="ER860" s="111"/>
      <c r="ES860" s="111"/>
    </row>
    <row r="861" spans="44:149">
      <c r="AR861" s="29"/>
      <c r="AS861" s="29"/>
      <c r="AT861" s="29"/>
      <c r="AU861" s="29"/>
      <c r="AV861" s="29"/>
      <c r="AW861" s="29"/>
      <c r="AX861" s="29"/>
      <c r="AY861" s="29"/>
      <c r="AZ861" s="29"/>
      <c r="BA861" s="29"/>
      <c r="BB861" s="29"/>
      <c r="BC861" s="29"/>
      <c r="BD861" s="29"/>
      <c r="BE861" s="29"/>
      <c r="BF861" s="111"/>
      <c r="BG861" s="111"/>
      <c r="BH861" s="111"/>
      <c r="BI861" s="111"/>
      <c r="BJ861" s="111"/>
      <c r="BK861" s="111"/>
      <c r="BL861" s="111"/>
      <c r="BM861" s="111"/>
      <c r="BN861" s="111"/>
      <c r="BO861" s="111"/>
      <c r="BP861" s="111"/>
      <c r="BQ861" s="111"/>
      <c r="BR861" s="111"/>
      <c r="BS861" s="111"/>
      <c r="DR861" s="29"/>
      <c r="DS861" s="29"/>
      <c r="DT861" s="29"/>
      <c r="DU861" s="29"/>
      <c r="DV861" s="29"/>
      <c r="DW861" s="29"/>
      <c r="DX861" s="29"/>
      <c r="DY861" s="29"/>
      <c r="DZ861" s="29"/>
      <c r="EA861" s="29"/>
      <c r="EB861" s="29"/>
      <c r="EC861" s="29"/>
      <c r="ED861" s="29"/>
      <c r="EE861" s="29"/>
      <c r="EF861" s="111"/>
      <c r="EG861" s="111"/>
      <c r="EH861" s="111"/>
      <c r="EI861" s="111"/>
      <c r="EJ861" s="111"/>
      <c r="EK861" s="111"/>
      <c r="EL861" s="111"/>
      <c r="EM861" s="111"/>
      <c r="EN861" s="111"/>
      <c r="EO861" s="111"/>
      <c r="EP861" s="111"/>
      <c r="EQ861" s="111"/>
      <c r="ER861" s="111"/>
      <c r="ES861" s="111"/>
    </row>
    <row r="862" spans="44:149">
      <c r="AR862" s="29"/>
      <c r="AS862" s="29"/>
      <c r="AT862" s="29"/>
      <c r="AU862" s="29"/>
      <c r="AV862" s="29"/>
      <c r="AW862" s="29"/>
      <c r="AX862" s="29"/>
      <c r="AY862" s="29"/>
      <c r="AZ862" s="29"/>
      <c r="BA862" s="29"/>
      <c r="BB862" s="29"/>
      <c r="BC862" s="29"/>
      <c r="BD862" s="29"/>
      <c r="BE862" s="29"/>
      <c r="BF862" s="111"/>
      <c r="BG862" s="111"/>
      <c r="BH862" s="111"/>
      <c r="BI862" s="111"/>
      <c r="BJ862" s="111"/>
      <c r="BK862" s="111"/>
      <c r="BL862" s="111"/>
      <c r="BM862" s="111"/>
      <c r="BN862" s="111"/>
      <c r="BO862" s="111"/>
      <c r="BP862" s="111"/>
      <c r="BQ862" s="111"/>
      <c r="BR862" s="111"/>
      <c r="BS862" s="111"/>
      <c r="DR862" s="29"/>
      <c r="DS862" s="29"/>
      <c r="DT862" s="29"/>
      <c r="DU862" s="29"/>
      <c r="DV862" s="29"/>
      <c r="DW862" s="29"/>
      <c r="DX862" s="29"/>
      <c r="DY862" s="29"/>
      <c r="DZ862" s="29"/>
      <c r="EA862" s="29"/>
      <c r="EB862" s="29"/>
      <c r="EC862" s="29"/>
      <c r="ED862" s="29"/>
      <c r="EE862" s="29"/>
      <c r="EF862" s="111"/>
      <c r="EG862" s="111"/>
      <c r="EH862" s="111"/>
      <c r="EI862" s="111"/>
      <c r="EJ862" s="111"/>
      <c r="EK862" s="111"/>
      <c r="EL862" s="111"/>
      <c r="EM862" s="111"/>
      <c r="EN862" s="111"/>
      <c r="EO862" s="111"/>
      <c r="EP862" s="111"/>
      <c r="EQ862" s="111"/>
      <c r="ER862" s="111"/>
      <c r="ES862" s="111"/>
    </row>
    <row r="863" spans="44:149">
      <c r="AR863" s="29"/>
      <c r="AS863" s="29"/>
      <c r="AT863" s="29"/>
      <c r="AU863" s="29"/>
      <c r="AV863" s="29"/>
      <c r="AW863" s="29"/>
      <c r="AX863" s="29"/>
      <c r="AY863" s="29"/>
      <c r="AZ863" s="29"/>
      <c r="BA863" s="29"/>
      <c r="BB863" s="29"/>
      <c r="BC863" s="29"/>
      <c r="BD863" s="29"/>
      <c r="BE863" s="29"/>
      <c r="BF863" s="111"/>
      <c r="BG863" s="111"/>
      <c r="BH863" s="111"/>
      <c r="BI863" s="111"/>
      <c r="BJ863" s="111"/>
      <c r="BK863" s="111"/>
      <c r="BL863" s="111"/>
      <c r="BM863" s="111"/>
      <c r="BN863" s="111"/>
      <c r="BO863" s="111"/>
      <c r="BP863" s="111"/>
      <c r="BQ863" s="111"/>
      <c r="BR863" s="111"/>
      <c r="BS863" s="111"/>
      <c r="DR863" s="29"/>
      <c r="DS863" s="29"/>
      <c r="DT863" s="29"/>
      <c r="DU863" s="29"/>
      <c r="DV863" s="29"/>
      <c r="DW863" s="29"/>
      <c r="DX863" s="29"/>
      <c r="DY863" s="29"/>
      <c r="DZ863" s="29"/>
      <c r="EA863" s="29"/>
      <c r="EB863" s="29"/>
      <c r="EC863" s="29"/>
      <c r="ED863" s="29"/>
      <c r="EE863" s="29"/>
      <c r="EF863" s="111"/>
      <c r="EG863" s="111"/>
      <c r="EH863" s="111"/>
      <c r="EI863" s="111"/>
      <c r="EJ863" s="111"/>
      <c r="EK863" s="111"/>
      <c r="EL863" s="111"/>
      <c r="EM863" s="111"/>
      <c r="EN863" s="111"/>
      <c r="EO863" s="111"/>
      <c r="EP863" s="111"/>
      <c r="EQ863" s="111"/>
      <c r="ER863" s="111"/>
      <c r="ES863" s="111"/>
    </row>
    <row r="864" spans="44:149">
      <c r="AR864" s="29"/>
      <c r="AS864" s="29"/>
      <c r="AT864" s="29"/>
      <c r="AU864" s="29"/>
      <c r="AV864" s="29"/>
      <c r="AW864" s="29"/>
      <c r="AX864" s="29"/>
      <c r="AY864" s="29"/>
      <c r="AZ864" s="29"/>
      <c r="BA864" s="29"/>
      <c r="BB864" s="29"/>
      <c r="BC864" s="29"/>
      <c r="BD864" s="29"/>
      <c r="BE864" s="29"/>
      <c r="BF864" s="111"/>
      <c r="BG864" s="111"/>
      <c r="BH864" s="111"/>
      <c r="BI864" s="111"/>
      <c r="BJ864" s="111"/>
      <c r="BK864" s="111"/>
      <c r="BL864" s="111"/>
      <c r="BM864" s="111"/>
      <c r="BN864" s="111"/>
      <c r="BO864" s="111"/>
      <c r="BP864" s="111"/>
      <c r="BQ864" s="111"/>
      <c r="BR864" s="111"/>
      <c r="BS864" s="111"/>
      <c r="DR864" s="29"/>
      <c r="DS864" s="29"/>
      <c r="DT864" s="29"/>
      <c r="DU864" s="29"/>
      <c r="DV864" s="29"/>
      <c r="DW864" s="29"/>
      <c r="DX864" s="29"/>
      <c r="DY864" s="29"/>
      <c r="DZ864" s="29"/>
      <c r="EA864" s="29"/>
      <c r="EB864" s="29"/>
      <c r="EC864" s="29"/>
      <c r="ED864" s="29"/>
      <c r="EE864" s="29"/>
      <c r="EF864" s="111"/>
      <c r="EG864" s="111"/>
      <c r="EH864" s="111"/>
      <c r="EI864" s="111"/>
      <c r="EJ864" s="111"/>
      <c r="EK864" s="111"/>
      <c r="EL864" s="111"/>
      <c r="EM864" s="111"/>
      <c r="EN864" s="111"/>
      <c r="EO864" s="111"/>
      <c r="EP864" s="111"/>
      <c r="EQ864" s="111"/>
      <c r="ER864" s="111"/>
      <c r="ES864" s="111"/>
    </row>
    <row r="865" spans="44:149">
      <c r="AR865" s="29"/>
      <c r="AS865" s="29"/>
      <c r="AT865" s="29"/>
      <c r="AU865" s="29"/>
      <c r="AV865" s="29"/>
      <c r="AW865" s="29"/>
      <c r="AX865" s="29"/>
      <c r="AY865" s="29"/>
      <c r="AZ865" s="29"/>
      <c r="BA865" s="29"/>
      <c r="BB865" s="29"/>
      <c r="BC865" s="29"/>
      <c r="BD865" s="29"/>
      <c r="BE865" s="29"/>
      <c r="BF865" s="111"/>
      <c r="BG865" s="111"/>
      <c r="BH865" s="111"/>
      <c r="BI865" s="111"/>
      <c r="BJ865" s="111"/>
      <c r="BK865" s="111"/>
      <c r="BL865" s="111"/>
      <c r="BM865" s="111"/>
      <c r="BN865" s="111"/>
      <c r="BO865" s="111"/>
      <c r="BP865" s="111"/>
      <c r="BQ865" s="111"/>
      <c r="BR865" s="111"/>
      <c r="BS865" s="111"/>
      <c r="DR865" s="29"/>
      <c r="DS865" s="29"/>
      <c r="DT865" s="29"/>
      <c r="DU865" s="29"/>
      <c r="DV865" s="29"/>
      <c r="DW865" s="29"/>
      <c r="DX865" s="29"/>
      <c r="DY865" s="29"/>
      <c r="DZ865" s="29"/>
      <c r="EA865" s="29"/>
      <c r="EB865" s="29"/>
      <c r="EC865" s="29"/>
      <c r="ED865" s="29"/>
      <c r="EE865" s="29"/>
      <c r="EF865" s="111"/>
      <c r="EG865" s="111"/>
      <c r="EH865" s="111"/>
      <c r="EI865" s="111"/>
      <c r="EJ865" s="111"/>
      <c r="EK865" s="111"/>
      <c r="EL865" s="111"/>
      <c r="EM865" s="111"/>
      <c r="EN865" s="111"/>
      <c r="EO865" s="111"/>
      <c r="EP865" s="111"/>
      <c r="EQ865" s="111"/>
      <c r="ER865" s="111"/>
      <c r="ES865" s="111"/>
    </row>
    <row r="866" spans="44:149">
      <c r="AR866" s="29"/>
      <c r="AS866" s="29"/>
      <c r="AT866" s="29"/>
      <c r="AU866" s="29"/>
      <c r="AV866" s="29"/>
      <c r="AW866" s="29"/>
      <c r="AX866" s="29"/>
      <c r="AY866" s="29"/>
      <c r="AZ866" s="29"/>
      <c r="BA866" s="29"/>
      <c r="BB866" s="29"/>
      <c r="BC866" s="29"/>
      <c r="BD866" s="29"/>
      <c r="BE866" s="29"/>
      <c r="BF866" s="111"/>
      <c r="BG866" s="111"/>
      <c r="BH866" s="111"/>
      <c r="BI866" s="111"/>
      <c r="BJ866" s="111"/>
      <c r="BK866" s="111"/>
      <c r="BL866" s="111"/>
      <c r="BM866" s="111"/>
      <c r="BN866" s="111"/>
      <c r="BO866" s="111"/>
      <c r="BP866" s="111"/>
      <c r="BQ866" s="111"/>
      <c r="BR866" s="111"/>
      <c r="BS866" s="111"/>
      <c r="DR866" s="29"/>
      <c r="DS866" s="29"/>
      <c r="DT866" s="29"/>
      <c r="DU866" s="29"/>
      <c r="DV866" s="29"/>
      <c r="DW866" s="29"/>
      <c r="DX866" s="29"/>
      <c r="DY866" s="29"/>
      <c r="DZ866" s="29"/>
      <c r="EA866" s="29"/>
      <c r="EB866" s="29"/>
      <c r="EC866" s="29"/>
      <c r="ED866" s="29"/>
      <c r="EE866" s="29"/>
      <c r="EF866" s="111"/>
      <c r="EG866" s="111"/>
      <c r="EH866" s="111"/>
      <c r="EI866" s="111"/>
      <c r="EJ866" s="111"/>
      <c r="EK866" s="111"/>
      <c r="EL866" s="111"/>
      <c r="EM866" s="111"/>
      <c r="EN866" s="111"/>
      <c r="EO866" s="111"/>
      <c r="EP866" s="111"/>
      <c r="EQ866" s="111"/>
      <c r="ER866" s="111"/>
      <c r="ES866" s="111"/>
    </row>
    <row r="867" spans="44:149">
      <c r="AR867" s="29"/>
      <c r="AS867" s="29"/>
      <c r="AT867" s="29"/>
      <c r="AU867" s="29"/>
      <c r="AV867" s="29"/>
      <c r="AW867" s="29"/>
      <c r="AX867" s="29"/>
      <c r="AY867" s="29"/>
      <c r="AZ867" s="29"/>
      <c r="BA867" s="29"/>
      <c r="BB867" s="29"/>
      <c r="BC867" s="29"/>
      <c r="BD867" s="29"/>
      <c r="BE867" s="29"/>
      <c r="BF867" s="111"/>
      <c r="BG867" s="111"/>
      <c r="BH867" s="111"/>
      <c r="BI867" s="111"/>
      <c r="BJ867" s="111"/>
      <c r="BK867" s="111"/>
      <c r="BL867" s="111"/>
      <c r="BM867" s="111"/>
      <c r="BN867" s="111"/>
      <c r="BO867" s="111"/>
      <c r="BP867" s="111"/>
      <c r="BQ867" s="111"/>
      <c r="BR867" s="111"/>
      <c r="BS867" s="111"/>
      <c r="DR867" s="29"/>
      <c r="DS867" s="29"/>
      <c r="DT867" s="29"/>
      <c r="DU867" s="29"/>
      <c r="DV867" s="29"/>
      <c r="DW867" s="29"/>
      <c r="DX867" s="29"/>
      <c r="DY867" s="29"/>
      <c r="DZ867" s="29"/>
      <c r="EA867" s="29"/>
      <c r="EB867" s="29"/>
      <c r="EC867" s="29"/>
      <c r="ED867" s="29"/>
      <c r="EE867" s="29"/>
      <c r="EF867" s="111"/>
      <c r="EG867" s="111"/>
      <c r="EH867" s="111"/>
      <c r="EI867" s="111"/>
      <c r="EJ867" s="111"/>
      <c r="EK867" s="111"/>
      <c r="EL867" s="111"/>
      <c r="EM867" s="111"/>
      <c r="EN867" s="111"/>
      <c r="EO867" s="111"/>
      <c r="EP867" s="111"/>
      <c r="EQ867" s="111"/>
      <c r="ER867" s="111"/>
      <c r="ES867" s="111"/>
    </row>
    <row r="868" spans="44:149">
      <c r="AR868" s="29"/>
      <c r="AS868" s="29"/>
      <c r="AT868" s="29"/>
      <c r="AU868" s="29"/>
      <c r="AV868" s="29"/>
      <c r="AW868" s="29"/>
      <c r="AX868" s="29"/>
      <c r="AY868" s="29"/>
      <c r="AZ868" s="29"/>
      <c r="BA868" s="29"/>
      <c r="BB868" s="29"/>
      <c r="BC868" s="29"/>
      <c r="BD868" s="29"/>
      <c r="BE868" s="29"/>
      <c r="BF868" s="111"/>
      <c r="BG868" s="111"/>
      <c r="BH868" s="111"/>
      <c r="BI868" s="111"/>
      <c r="BJ868" s="111"/>
      <c r="BK868" s="111"/>
      <c r="BL868" s="111"/>
      <c r="BM868" s="111"/>
      <c r="BN868" s="111"/>
      <c r="BO868" s="111"/>
      <c r="BP868" s="111"/>
      <c r="BQ868" s="111"/>
      <c r="BR868" s="111"/>
      <c r="BS868" s="111"/>
      <c r="DR868" s="29"/>
      <c r="DS868" s="29"/>
      <c r="DT868" s="29"/>
      <c r="DU868" s="29"/>
      <c r="DV868" s="29"/>
      <c r="DW868" s="29"/>
      <c r="DX868" s="29"/>
      <c r="DY868" s="29"/>
      <c r="DZ868" s="29"/>
      <c r="EA868" s="29"/>
      <c r="EB868" s="29"/>
      <c r="EC868" s="29"/>
      <c r="ED868" s="29"/>
      <c r="EE868" s="29"/>
      <c r="EF868" s="111"/>
      <c r="EG868" s="111"/>
      <c r="EH868" s="111"/>
      <c r="EI868" s="111"/>
      <c r="EJ868" s="111"/>
      <c r="EK868" s="111"/>
      <c r="EL868" s="111"/>
      <c r="EM868" s="111"/>
      <c r="EN868" s="111"/>
      <c r="EO868" s="111"/>
      <c r="EP868" s="111"/>
      <c r="EQ868" s="111"/>
      <c r="ER868" s="111"/>
      <c r="ES868" s="111"/>
    </row>
    <row r="869" spans="44:149">
      <c r="AR869" s="29"/>
      <c r="AS869" s="29"/>
      <c r="AT869" s="29"/>
      <c r="AU869" s="29"/>
      <c r="AV869" s="29"/>
      <c r="AW869" s="29"/>
      <c r="AX869" s="29"/>
      <c r="AY869" s="29"/>
      <c r="AZ869" s="29"/>
      <c r="BA869" s="29"/>
      <c r="BB869" s="29"/>
      <c r="BC869" s="29"/>
      <c r="BD869" s="29"/>
      <c r="BE869" s="29"/>
      <c r="BF869" s="111"/>
      <c r="BG869" s="111"/>
      <c r="BH869" s="111"/>
      <c r="BI869" s="111"/>
      <c r="BJ869" s="111"/>
      <c r="BK869" s="111"/>
      <c r="BL869" s="111"/>
      <c r="BM869" s="111"/>
      <c r="BN869" s="111"/>
      <c r="BO869" s="111"/>
      <c r="BP869" s="111"/>
      <c r="BQ869" s="111"/>
      <c r="BR869" s="111"/>
      <c r="BS869" s="111"/>
      <c r="DR869" s="29"/>
      <c r="DS869" s="29"/>
      <c r="DT869" s="29"/>
      <c r="DU869" s="29"/>
      <c r="DV869" s="29"/>
      <c r="DW869" s="29"/>
      <c r="DX869" s="29"/>
      <c r="DY869" s="29"/>
      <c r="DZ869" s="29"/>
      <c r="EA869" s="29"/>
      <c r="EB869" s="29"/>
      <c r="EC869" s="29"/>
      <c r="ED869" s="29"/>
      <c r="EE869" s="29"/>
      <c r="EF869" s="111"/>
      <c r="EG869" s="111"/>
      <c r="EH869" s="111"/>
      <c r="EI869" s="111"/>
      <c r="EJ869" s="111"/>
      <c r="EK869" s="111"/>
      <c r="EL869" s="111"/>
      <c r="EM869" s="111"/>
      <c r="EN869" s="111"/>
      <c r="EO869" s="111"/>
      <c r="EP869" s="111"/>
      <c r="EQ869" s="111"/>
      <c r="ER869" s="111"/>
      <c r="ES869" s="111"/>
    </row>
    <row r="870" spans="44:149">
      <c r="AR870" s="29"/>
      <c r="AS870" s="29"/>
      <c r="AT870" s="29"/>
      <c r="AU870" s="29"/>
      <c r="AV870" s="29"/>
      <c r="AW870" s="29"/>
      <c r="AX870" s="29"/>
      <c r="AY870" s="29"/>
      <c r="AZ870" s="29"/>
      <c r="BA870" s="29"/>
      <c r="BB870" s="29"/>
      <c r="BC870" s="29"/>
      <c r="BD870" s="29"/>
      <c r="BE870" s="29"/>
      <c r="BF870" s="111"/>
      <c r="BG870" s="111"/>
      <c r="BH870" s="111"/>
      <c r="BI870" s="111"/>
      <c r="BJ870" s="111"/>
      <c r="BK870" s="111"/>
      <c r="BL870" s="111"/>
      <c r="BM870" s="111"/>
      <c r="BN870" s="111"/>
      <c r="BO870" s="111"/>
      <c r="BP870" s="111"/>
      <c r="BQ870" s="111"/>
      <c r="BR870" s="111"/>
      <c r="BS870" s="111"/>
      <c r="DR870" s="29"/>
      <c r="DS870" s="29"/>
      <c r="DT870" s="29"/>
      <c r="DU870" s="29"/>
      <c r="DV870" s="29"/>
      <c r="DW870" s="29"/>
      <c r="DX870" s="29"/>
      <c r="DY870" s="29"/>
      <c r="DZ870" s="29"/>
      <c r="EA870" s="29"/>
      <c r="EB870" s="29"/>
      <c r="EC870" s="29"/>
      <c r="ED870" s="29"/>
      <c r="EE870" s="29"/>
      <c r="EF870" s="111"/>
      <c r="EG870" s="111"/>
      <c r="EH870" s="111"/>
      <c r="EI870" s="111"/>
      <c r="EJ870" s="111"/>
      <c r="EK870" s="111"/>
      <c r="EL870" s="111"/>
      <c r="EM870" s="111"/>
      <c r="EN870" s="111"/>
      <c r="EO870" s="111"/>
      <c r="EP870" s="111"/>
      <c r="EQ870" s="111"/>
      <c r="ER870" s="111"/>
      <c r="ES870" s="111"/>
    </row>
    <row r="871" spans="44:149">
      <c r="AR871" s="29"/>
      <c r="AS871" s="29"/>
      <c r="AT871" s="29"/>
      <c r="AU871" s="29"/>
      <c r="AV871" s="29"/>
      <c r="AW871" s="29"/>
      <c r="AX871" s="29"/>
      <c r="AY871" s="29"/>
      <c r="AZ871" s="29"/>
      <c r="BA871" s="29"/>
      <c r="BB871" s="29"/>
      <c r="BC871" s="29"/>
      <c r="BD871" s="29"/>
      <c r="BE871" s="29"/>
      <c r="BF871" s="111"/>
      <c r="BG871" s="111"/>
      <c r="BH871" s="111"/>
      <c r="BI871" s="111"/>
      <c r="BJ871" s="111"/>
      <c r="BK871" s="111"/>
      <c r="BL871" s="111"/>
      <c r="BM871" s="111"/>
      <c r="BN871" s="111"/>
      <c r="BO871" s="111"/>
      <c r="BP871" s="111"/>
      <c r="BQ871" s="111"/>
      <c r="BR871" s="111"/>
      <c r="BS871" s="111"/>
      <c r="DR871" s="29"/>
      <c r="DS871" s="29"/>
      <c r="DT871" s="29"/>
      <c r="DU871" s="29"/>
      <c r="DV871" s="29"/>
      <c r="DW871" s="29"/>
      <c r="DX871" s="29"/>
      <c r="DY871" s="29"/>
      <c r="DZ871" s="29"/>
      <c r="EA871" s="29"/>
      <c r="EB871" s="29"/>
      <c r="EC871" s="29"/>
      <c r="ED871" s="29"/>
      <c r="EE871" s="29"/>
      <c r="EF871" s="111"/>
      <c r="EG871" s="111"/>
      <c r="EH871" s="111"/>
      <c r="EI871" s="111"/>
      <c r="EJ871" s="111"/>
      <c r="EK871" s="111"/>
      <c r="EL871" s="111"/>
      <c r="EM871" s="111"/>
      <c r="EN871" s="111"/>
      <c r="EO871" s="111"/>
      <c r="EP871" s="111"/>
      <c r="EQ871" s="111"/>
      <c r="ER871" s="111"/>
      <c r="ES871" s="111"/>
    </row>
    <row r="872" spans="44:149">
      <c r="AR872" s="29"/>
      <c r="AS872" s="29"/>
      <c r="AT872" s="29"/>
      <c r="AU872" s="29"/>
      <c r="AV872" s="29"/>
      <c r="AW872" s="29"/>
      <c r="AX872" s="29"/>
      <c r="AY872" s="29"/>
      <c r="AZ872" s="29"/>
      <c r="BA872" s="29"/>
      <c r="BB872" s="29"/>
      <c r="BC872" s="29"/>
      <c r="BD872" s="29"/>
      <c r="BE872" s="29"/>
      <c r="BF872" s="111"/>
      <c r="BG872" s="111"/>
      <c r="BH872" s="111"/>
      <c r="BI872" s="111"/>
      <c r="BJ872" s="111"/>
      <c r="BK872" s="111"/>
      <c r="BL872" s="111"/>
      <c r="BM872" s="111"/>
      <c r="BN872" s="111"/>
      <c r="BO872" s="111"/>
      <c r="BP872" s="111"/>
      <c r="BQ872" s="111"/>
      <c r="BR872" s="111"/>
      <c r="BS872" s="111"/>
      <c r="DR872" s="29"/>
      <c r="DS872" s="29"/>
      <c r="DT872" s="29"/>
      <c r="DU872" s="29"/>
      <c r="DV872" s="29"/>
      <c r="DW872" s="29"/>
      <c r="DX872" s="29"/>
      <c r="DY872" s="29"/>
      <c r="DZ872" s="29"/>
      <c r="EA872" s="29"/>
      <c r="EB872" s="29"/>
      <c r="EC872" s="29"/>
      <c r="ED872" s="29"/>
      <c r="EE872" s="29"/>
      <c r="EF872" s="111"/>
      <c r="EG872" s="111"/>
      <c r="EH872" s="111"/>
      <c r="EI872" s="111"/>
      <c r="EJ872" s="111"/>
      <c r="EK872" s="111"/>
      <c r="EL872" s="111"/>
      <c r="EM872" s="111"/>
      <c r="EN872" s="111"/>
      <c r="EO872" s="111"/>
      <c r="EP872" s="111"/>
      <c r="EQ872" s="111"/>
      <c r="ER872" s="111"/>
      <c r="ES872" s="111"/>
    </row>
    <row r="873" spans="44:149">
      <c r="AR873" s="29"/>
      <c r="AS873" s="29"/>
      <c r="AT873" s="29"/>
      <c r="AU873" s="29"/>
      <c r="AV873" s="29"/>
      <c r="AW873" s="29"/>
      <c r="AX873" s="29"/>
      <c r="AY873" s="29"/>
      <c r="AZ873" s="29"/>
      <c r="BA873" s="29"/>
      <c r="BB873" s="29"/>
      <c r="BC873" s="29"/>
      <c r="BD873" s="29"/>
      <c r="BE873" s="29"/>
      <c r="BF873" s="111"/>
      <c r="BG873" s="111"/>
      <c r="BH873" s="111"/>
      <c r="BI873" s="111"/>
      <c r="BJ873" s="111"/>
      <c r="BK873" s="111"/>
      <c r="BL873" s="111"/>
      <c r="BM873" s="111"/>
      <c r="BN873" s="111"/>
      <c r="BO873" s="111"/>
      <c r="BP873" s="111"/>
      <c r="BQ873" s="111"/>
      <c r="BR873" s="111"/>
      <c r="BS873" s="111"/>
      <c r="DR873" s="29"/>
      <c r="DS873" s="29"/>
      <c r="DT873" s="29"/>
      <c r="DU873" s="29"/>
      <c r="DV873" s="29"/>
      <c r="DW873" s="29"/>
      <c r="DX873" s="29"/>
      <c r="DY873" s="29"/>
      <c r="DZ873" s="29"/>
      <c r="EA873" s="29"/>
      <c r="EB873" s="29"/>
      <c r="EC873" s="29"/>
      <c r="ED873" s="29"/>
      <c r="EE873" s="29"/>
      <c r="EF873" s="111"/>
      <c r="EG873" s="111"/>
      <c r="EH873" s="111"/>
      <c r="EI873" s="111"/>
      <c r="EJ873" s="111"/>
      <c r="EK873" s="111"/>
      <c r="EL873" s="111"/>
      <c r="EM873" s="111"/>
      <c r="EN873" s="111"/>
      <c r="EO873" s="111"/>
      <c r="EP873" s="111"/>
      <c r="EQ873" s="111"/>
      <c r="ER873" s="111"/>
      <c r="ES873" s="111"/>
    </row>
    <row r="874" spans="44:149">
      <c r="AR874" s="29"/>
      <c r="AS874" s="29"/>
      <c r="AT874" s="29"/>
      <c r="AU874" s="29"/>
      <c r="AV874" s="29"/>
      <c r="AW874" s="29"/>
      <c r="AX874" s="29"/>
      <c r="AY874" s="29"/>
      <c r="AZ874" s="29"/>
      <c r="BA874" s="29"/>
      <c r="BB874" s="29"/>
      <c r="BC874" s="29"/>
      <c r="BD874" s="29"/>
      <c r="BE874" s="29"/>
      <c r="BF874" s="111"/>
      <c r="BG874" s="111"/>
      <c r="BH874" s="111"/>
      <c r="BI874" s="111"/>
      <c r="BJ874" s="111"/>
      <c r="BK874" s="111"/>
      <c r="BL874" s="111"/>
      <c r="BM874" s="111"/>
      <c r="BN874" s="111"/>
      <c r="BO874" s="111"/>
      <c r="BP874" s="111"/>
      <c r="BQ874" s="111"/>
      <c r="BR874" s="111"/>
      <c r="BS874" s="111"/>
      <c r="DR874" s="29"/>
      <c r="DS874" s="29"/>
      <c r="DT874" s="29"/>
      <c r="DU874" s="29"/>
      <c r="DV874" s="29"/>
      <c r="DW874" s="29"/>
      <c r="DX874" s="29"/>
      <c r="DY874" s="29"/>
      <c r="DZ874" s="29"/>
      <c r="EA874" s="29"/>
      <c r="EB874" s="29"/>
      <c r="EC874" s="29"/>
      <c r="ED874" s="29"/>
      <c r="EE874" s="29"/>
      <c r="EF874" s="111"/>
      <c r="EG874" s="111"/>
      <c r="EH874" s="111"/>
      <c r="EI874" s="111"/>
      <c r="EJ874" s="111"/>
      <c r="EK874" s="111"/>
      <c r="EL874" s="111"/>
      <c r="EM874" s="111"/>
      <c r="EN874" s="111"/>
      <c r="EO874" s="111"/>
      <c r="EP874" s="111"/>
      <c r="EQ874" s="111"/>
      <c r="ER874" s="111"/>
      <c r="ES874" s="111"/>
    </row>
    <row r="875" spans="44:149">
      <c r="AR875" s="29"/>
      <c r="AS875" s="29"/>
      <c r="AT875" s="29"/>
      <c r="AU875" s="29"/>
      <c r="AV875" s="29"/>
      <c r="AW875" s="29"/>
      <c r="AX875" s="29"/>
      <c r="AY875" s="29"/>
      <c r="AZ875" s="29"/>
      <c r="BA875" s="29"/>
      <c r="BB875" s="29"/>
      <c r="BC875" s="29"/>
      <c r="BD875" s="29"/>
      <c r="BE875" s="29"/>
      <c r="BF875" s="111"/>
      <c r="BG875" s="111"/>
      <c r="BH875" s="111"/>
      <c r="BI875" s="111"/>
      <c r="BJ875" s="111"/>
      <c r="BK875" s="111"/>
      <c r="BL875" s="111"/>
      <c r="BM875" s="111"/>
      <c r="BN875" s="111"/>
      <c r="BO875" s="111"/>
      <c r="BP875" s="111"/>
      <c r="BQ875" s="111"/>
      <c r="BR875" s="111"/>
      <c r="BS875" s="111"/>
      <c r="DR875" s="29"/>
      <c r="DS875" s="29"/>
      <c r="DT875" s="29"/>
      <c r="DU875" s="29"/>
      <c r="DV875" s="29"/>
      <c r="DW875" s="29"/>
      <c r="DX875" s="29"/>
      <c r="DY875" s="29"/>
      <c r="DZ875" s="29"/>
      <c r="EA875" s="29"/>
      <c r="EB875" s="29"/>
      <c r="EC875" s="29"/>
      <c r="ED875" s="29"/>
      <c r="EE875" s="29"/>
      <c r="EF875" s="111"/>
      <c r="EG875" s="111"/>
      <c r="EH875" s="111"/>
      <c r="EI875" s="111"/>
      <c r="EJ875" s="111"/>
      <c r="EK875" s="111"/>
      <c r="EL875" s="111"/>
      <c r="EM875" s="111"/>
      <c r="EN875" s="111"/>
      <c r="EO875" s="111"/>
      <c r="EP875" s="111"/>
      <c r="EQ875" s="111"/>
      <c r="ER875" s="111"/>
      <c r="ES875" s="111"/>
    </row>
    <row r="876" spans="44:149">
      <c r="AR876" s="29"/>
      <c r="AS876" s="29"/>
      <c r="AT876" s="29"/>
      <c r="AU876" s="29"/>
      <c r="AV876" s="29"/>
      <c r="AW876" s="29"/>
      <c r="AX876" s="29"/>
      <c r="AY876" s="29"/>
      <c r="AZ876" s="29"/>
      <c r="BA876" s="29"/>
      <c r="BB876" s="29"/>
      <c r="BC876" s="29"/>
      <c r="BD876" s="29"/>
      <c r="BE876" s="29"/>
      <c r="BF876" s="111"/>
      <c r="BG876" s="111"/>
      <c r="BH876" s="111"/>
      <c r="BI876" s="111"/>
      <c r="BJ876" s="111"/>
      <c r="BK876" s="111"/>
      <c r="BL876" s="111"/>
      <c r="BM876" s="111"/>
      <c r="BN876" s="111"/>
      <c r="BO876" s="111"/>
      <c r="BP876" s="111"/>
      <c r="BQ876" s="111"/>
      <c r="BR876" s="111"/>
      <c r="BS876" s="111"/>
      <c r="DR876" s="29"/>
      <c r="DS876" s="29"/>
      <c r="DT876" s="29"/>
      <c r="DU876" s="29"/>
      <c r="DV876" s="29"/>
      <c r="DW876" s="29"/>
      <c r="DX876" s="29"/>
      <c r="DY876" s="29"/>
      <c r="DZ876" s="29"/>
      <c r="EA876" s="29"/>
      <c r="EB876" s="29"/>
      <c r="EC876" s="29"/>
      <c r="ED876" s="29"/>
      <c r="EE876" s="29"/>
      <c r="EF876" s="111"/>
      <c r="EG876" s="111"/>
      <c r="EH876" s="111"/>
      <c r="EI876" s="111"/>
      <c r="EJ876" s="111"/>
      <c r="EK876" s="111"/>
      <c r="EL876" s="111"/>
      <c r="EM876" s="111"/>
      <c r="EN876" s="111"/>
      <c r="EO876" s="111"/>
      <c r="EP876" s="111"/>
      <c r="EQ876" s="111"/>
      <c r="ER876" s="111"/>
      <c r="ES876" s="111"/>
    </row>
    <row r="877" spans="44:149">
      <c r="AR877" s="29"/>
      <c r="AS877" s="29"/>
      <c r="AT877" s="29"/>
      <c r="AU877" s="29"/>
      <c r="AV877" s="29"/>
      <c r="AW877" s="29"/>
      <c r="AX877" s="29"/>
      <c r="AY877" s="29"/>
      <c r="AZ877" s="29"/>
      <c r="BA877" s="29"/>
      <c r="BB877" s="29"/>
      <c r="BC877" s="29"/>
      <c r="BD877" s="29"/>
      <c r="BE877" s="29"/>
      <c r="BF877" s="111"/>
      <c r="BG877" s="111"/>
      <c r="BH877" s="111"/>
      <c r="BI877" s="111"/>
      <c r="BJ877" s="111"/>
      <c r="BK877" s="111"/>
      <c r="BL877" s="111"/>
      <c r="BM877" s="111"/>
      <c r="BN877" s="111"/>
      <c r="BO877" s="111"/>
      <c r="BP877" s="111"/>
      <c r="BQ877" s="111"/>
      <c r="BR877" s="111"/>
      <c r="BS877" s="111"/>
      <c r="DR877" s="29"/>
      <c r="DS877" s="29"/>
      <c r="DT877" s="29"/>
      <c r="DU877" s="29"/>
      <c r="DV877" s="29"/>
      <c r="DW877" s="29"/>
      <c r="DX877" s="29"/>
      <c r="DY877" s="29"/>
      <c r="DZ877" s="29"/>
      <c r="EA877" s="29"/>
      <c r="EB877" s="29"/>
      <c r="EC877" s="29"/>
      <c r="ED877" s="29"/>
      <c r="EE877" s="29"/>
      <c r="EF877" s="111"/>
      <c r="EG877" s="111"/>
      <c r="EH877" s="111"/>
      <c r="EI877" s="111"/>
      <c r="EJ877" s="111"/>
      <c r="EK877" s="111"/>
      <c r="EL877" s="111"/>
      <c r="EM877" s="111"/>
      <c r="EN877" s="111"/>
      <c r="EO877" s="111"/>
      <c r="EP877" s="111"/>
      <c r="EQ877" s="111"/>
      <c r="ER877" s="111"/>
      <c r="ES877" s="111"/>
    </row>
    <row r="878" spans="44:149">
      <c r="AR878" s="29"/>
      <c r="AS878" s="29"/>
      <c r="AT878" s="29"/>
      <c r="AU878" s="29"/>
      <c r="AV878" s="29"/>
      <c r="AW878" s="29"/>
      <c r="AX878" s="29"/>
      <c r="AY878" s="29"/>
      <c r="AZ878" s="29"/>
      <c r="BA878" s="29"/>
      <c r="BB878" s="29"/>
      <c r="BC878" s="29"/>
      <c r="BD878" s="29"/>
      <c r="BE878" s="29"/>
      <c r="BF878" s="111"/>
      <c r="BG878" s="111"/>
      <c r="BH878" s="111"/>
      <c r="BI878" s="111"/>
      <c r="BJ878" s="111"/>
      <c r="BK878" s="111"/>
      <c r="BL878" s="111"/>
      <c r="BM878" s="111"/>
      <c r="BN878" s="111"/>
      <c r="BO878" s="111"/>
      <c r="BP878" s="111"/>
      <c r="BQ878" s="111"/>
      <c r="BR878" s="111"/>
      <c r="BS878" s="111"/>
      <c r="DR878" s="29"/>
      <c r="DS878" s="29"/>
      <c r="DT878" s="29"/>
      <c r="DU878" s="29"/>
      <c r="DV878" s="29"/>
      <c r="DW878" s="29"/>
      <c r="DX878" s="29"/>
      <c r="DY878" s="29"/>
      <c r="DZ878" s="29"/>
      <c r="EA878" s="29"/>
      <c r="EB878" s="29"/>
      <c r="EC878" s="29"/>
      <c r="ED878" s="29"/>
      <c r="EE878" s="29"/>
      <c r="EF878" s="111"/>
      <c r="EG878" s="111"/>
      <c r="EH878" s="111"/>
      <c r="EI878" s="111"/>
      <c r="EJ878" s="111"/>
      <c r="EK878" s="111"/>
      <c r="EL878" s="111"/>
      <c r="EM878" s="111"/>
      <c r="EN878" s="111"/>
      <c r="EO878" s="111"/>
      <c r="EP878" s="111"/>
      <c r="EQ878" s="111"/>
      <c r="ER878" s="111"/>
      <c r="ES878" s="111"/>
    </row>
    <row r="879" spans="44:149">
      <c r="AR879" s="29"/>
      <c r="AS879" s="29"/>
      <c r="AT879" s="29"/>
      <c r="AU879" s="29"/>
      <c r="AV879" s="29"/>
      <c r="AW879" s="29"/>
      <c r="AX879" s="29"/>
      <c r="AY879" s="29"/>
      <c r="AZ879" s="29"/>
      <c r="BA879" s="29"/>
      <c r="BB879" s="29"/>
      <c r="BC879" s="29"/>
      <c r="BD879" s="29"/>
      <c r="BE879" s="29"/>
      <c r="BF879" s="111"/>
      <c r="BG879" s="111"/>
      <c r="BH879" s="111"/>
      <c r="BI879" s="111"/>
      <c r="BJ879" s="111"/>
      <c r="BK879" s="111"/>
      <c r="BL879" s="111"/>
      <c r="BM879" s="111"/>
      <c r="BN879" s="111"/>
      <c r="BO879" s="111"/>
      <c r="BP879" s="111"/>
      <c r="BQ879" s="111"/>
      <c r="BR879" s="111"/>
      <c r="BS879" s="111"/>
      <c r="DR879" s="29"/>
      <c r="DS879" s="29"/>
      <c r="DT879" s="29"/>
      <c r="DU879" s="29"/>
      <c r="DV879" s="29"/>
      <c r="DW879" s="29"/>
      <c r="DX879" s="29"/>
      <c r="DY879" s="29"/>
      <c r="DZ879" s="29"/>
      <c r="EA879" s="29"/>
      <c r="EB879" s="29"/>
      <c r="EC879" s="29"/>
      <c r="ED879" s="29"/>
      <c r="EE879" s="29"/>
      <c r="EF879" s="111"/>
      <c r="EG879" s="111"/>
      <c r="EH879" s="111"/>
      <c r="EI879" s="111"/>
      <c r="EJ879" s="111"/>
      <c r="EK879" s="111"/>
      <c r="EL879" s="111"/>
      <c r="EM879" s="111"/>
      <c r="EN879" s="111"/>
      <c r="EO879" s="111"/>
      <c r="EP879" s="111"/>
      <c r="EQ879" s="111"/>
      <c r="ER879" s="111"/>
      <c r="ES879" s="111"/>
    </row>
    <row r="880" spans="44:149">
      <c r="AR880" s="29"/>
      <c r="AS880" s="29"/>
      <c r="AT880" s="29"/>
      <c r="AU880" s="29"/>
      <c r="AV880" s="29"/>
      <c r="AW880" s="29"/>
      <c r="AX880" s="29"/>
      <c r="AY880" s="29"/>
      <c r="AZ880" s="29"/>
      <c r="BA880" s="29"/>
      <c r="BB880" s="29"/>
      <c r="BC880" s="29"/>
      <c r="BD880" s="29"/>
      <c r="BE880" s="29"/>
      <c r="BF880" s="111"/>
      <c r="BG880" s="111"/>
      <c r="BH880" s="111"/>
      <c r="BI880" s="111"/>
      <c r="BJ880" s="111"/>
      <c r="BK880" s="111"/>
      <c r="BL880" s="111"/>
      <c r="BM880" s="111"/>
      <c r="BN880" s="111"/>
      <c r="BO880" s="111"/>
      <c r="BP880" s="111"/>
      <c r="BQ880" s="111"/>
      <c r="BR880" s="111"/>
      <c r="BS880" s="111"/>
      <c r="DR880" s="29"/>
      <c r="DS880" s="29"/>
      <c r="DT880" s="29"/>
      <c r="DU880" s="29"/>
      <c r="DV880" s="29"/>
      <c r="DW880" s="29"/>
      <c r="DX880" s="29"/>
      <c r="DY880" s="29"/>
      <c r="DZ880" s="29"/>
      <c r="EA880" s="29"/>
      <c r="EB880" s="29"/>
      <c r="EC880" s="29"/>
      <c r="ED880" s="29"/>
      <c r="EE880" s="29"/>
      <c r="EF880" s="111"/>
      <c r="EG880" s="111"/>
      <c r="EH880" s="111"/>
      <c r="EI880" s="111"/>
      <c r="EJ880" s="111"/>
      <c r="EK880" s="111"/>
      <c r="EL880" s="111"/>
      <c r="EM880" s="111"/>
      <c r="EN880" s="111"/>
      <c r="EO880" s="111"/>
      <c r="EP880" s="111"/>
      <c r="EQ880" s="111"/>
      <c r="ER880" s="111"/>
      <c r="ES880" s="111"/>
    </row>
    <row r="881" spans="44:149">
      <c r="AR881" s="29"/>
      <c r="AS881" s="29"/>
      <c r="AT881" s="29"/>
      <c r="AU881" s="29"/>
      <c r="AV881" s="29"/>
      <c r="AW881" s="29"/>
      <c r="AX881" s="29"/>
      <c r="AY881" s="29"/>
      <c r="AZ881" s="29"/>
      <c r="BA881" s="29"/>
      <c r="BB881" s="29"/>
      <c r="BC881" s="29"/>
      <c r="BD881" s="29"/>
      <c r="BE881" s="29"/>
      <c r="BF881" s="111"/>
      <c r="BG881" s="111"/>
      <c r="BH881" s="111"/>
      <c r="BI881" s="111"/>
      <c r="BJ881" s="111"/>
      <c r="BK881" s="111"/>
      <c r="BL881" s="111"/>
      <c r="BM881" s="111"/>
      <c r="BN881" s="111"/>
      <c r="BO881" s="111"/>
      <c r="BP881" s="111"/>
      <c r="BQ881" s="111"/>
      <c r="BR881" s="111"/>
      <c r="BS881" s="111"/>
      <c r="DR881" s="29"/>
      <c r="DS881" s="29"/>
      <c r="DT881" s="29"/>
      <c r="DU881" s="29"/>
      <c r="DV881" s="29"/>
      <c r="DW881" s="29"/>
      <c r="DX881" s="29"/>
      <c r="DY881" s="29"/>
      <c r="DZ881" s="29"/>
      <c r="EA881" s="29"/>
      <c r="EB881" s="29"/>
      <c r="EC881" s="29"/>
      <c r="ED881" s="29"/>
      <c r="EE881" s="29"/>
      <c r="EF881" s="111"/>
      <c r="EG881" s="111"/>
      <c r="EH881" s="111"/>
      <c r="EI881" s="111"/>
      <c r="EJ881" s="111"/>
      <c r="EK881" s="111"/>
      <c r="EL881" s="111"/>
      <c r="EM881" s="111"/>
      <c r="EN881" s="111"/>
      <c r="EO881" s="111"/>
      <c r="EP881" s="111"/>
      <c r="EQ881" s="111"/>
      <c r="ER881" s="111"/>
      <c r="ES881" s="111"/>
    </row>
    <row r="882" spans="44:149">
      <c r="AR882" s="29"/>
      <c r="AS882" s="29"/>
      <c r="AT882" s="29"/>
      <c r="AU882" s="29"/>
      <c r="AV882" s="29"/>
      <c r="AW882" s="29"/>
      <c r="AX882" s="29"/>
      <c r="AY882" s="29"/>
      <c r="AZ882" s="29"/>
      <c r="BA882" s="29"/>
      <c r="BB882" s="29"/>
      <c r="BC882" s="29"/>
      <c r="BD882" s="29"/>
      <c r="BE882" s="29"/>
      <c r="BF882" s="111"/>
      <c r="BG882" s="111"/>
      <c r="BH882" s="111"/>
      <c r="BI882" s="111"/>
      <c r="BJ882" s="111"/>
      <c r="BK882" s="111"/>
      <c r="BL882" s="111"/>
      <c r="BM882" s="111"/>
      <c r="BN882" s="111"/>
      <c r="BO882" s="111"/>
      <c r="BP882" s="111"/>
      <c r="BQ882" s="111"/>
      <c r="BR882" s="111"/>
      <c r="BS882" s="111"/>
      <c r="DR882" s="29"/>
      <c r="DS882" s="29"/>
      <c r="DT882" s="29"/>
      <c r="DU882" s="29"/>
      <c r="DV882" s="29"/>
      <c r="DW882" s="29"/>
      <c r="DX882" s="29"/>
      <c r="DY882" s="29"/>
      <c r="DZ882" s="29"/>
      <c r="EA882" s="29"/>
      <c r="EB882" s="29"/>
      <c r="EC882" s="29"/>
      <c r="ED882" s="29"/>
      <c r="EE882" s="29"/>
      <c r="EF882" s="111"/>
      <c r="EG882" s="111"/>
      <c r="EH882" s="111"/>
      <c r="EI882" s="111"/>
      <c r="EJ882" s="111"/>
      <c r="EK882" s="111"/>
      <c r="EL882" s="111"/>
      <c r="EM882" s="111"/>
      <c r="EN882" s="111"/>
      <c r="EO882" s="111"/>
      <c r="EP882" s="111"/>
      <c r="EQ882" s="111"/>
      <c r="ER882" s="111"/>
      <c r="ES882" s="111"/>
    </row>
    <row r="883" spans="44:149">
      <c r="AR883" s="29"/>
      <c r="AS883" s="29"/>
      <c r="AT883" s="29"/>
      <c r="AU883" s="29"/>
      <c r="AV883" s="29"/>
      <c r="AW883" s="29"/>
      <c r="AX883" s="29"/>
      <c r="AY883" s="29"/>
      <c r="AZ883" s="29"/>
      <c r="BA883" s="29"/>
      <c r="BB883" s="29"/>
      <c r="BC883" s="29"/>
      <c r="BD883" s="29"/>
      <c r="BE883" s="29"/>
      <c r="BF883" s="111"/>
      <c r="BG883" s="111"/>
      <c r="BH883" s="111"/>
      <c r="BI883" s="111"/>
      <c r="BJ883" s="111"/>
      <c r="BK883" s="111"/>
      <c r="BL883" s="111"/>
      <c r="BM883" s="111"/>
      <c r="BN883" s="111"/>
      <c r="BO883" s="111"/>
      <c r="BP883" s="111"/>
      <c r="BQ883" s="111"/>
      <c r="BR883" s="111"/>
      <c r="BS883" s="111"/>
      <c r="DR883" s="29"/>
      <c r="DS883" s="29"/>
      <c r="DT883" s="29"/>
      <c r="DU883" s="29"/>
      <c r="DV883" s="29"/>
      <c r="DW883" s="29"/>
      <c r="DX883" s="29"/>
      <c r="DY883" s="29"/>
      <c r="DZ883" s="29"/>
      <c r="EA883" s="29"/>
      <c r="EB883" s="29"/>
      <c r="EC883" s="29"/>
      <c r="ED883" s="29"/>
      <c r="EE883" s="29"/>
      <c r="EF883" s="111"/>
      <c r="EG883" s="111"/>
      <c r="EH883" s="111"/>
      <c r="EI883" s="111"/>
      <c r="EJ883" s="111"/>
      <c r="EK883" s="111"/>
      <c r="EL883" s="111"/>
      <c r="EM883" s="111"/>
      <c r="EN883" s="111"/>
      <c r="EO883" s="111"/>
      <c r="EP883" s="111"/>
      <c r="EQ883" s="111"/>
      <c r="ER883" s="111"/>
      <c r="ES883" s="111"/>
    </row>
    <row r="884" spans="44:149">
      <c r="AR884" s="29"/>
      <c r="AS884" s="29"/>
      <c r="AT884" s="29"/>
      <c r="AU884" s="29"/>
      <c r="AV884" s="29"/>
      <c r="AW884" s="29"/>
      <c r="AX884" s="29"/>
      <c r="AY884" s="29"/>
      <c r="AZ884" s="29"/>
      <c r="BA884" s="29"/>
      <c r="BB884" s="29"/>
      <c r="BC884" s="29"/>
      <c r="BD884" s="29"/>
      <c r="BE884" s="29"/>
      <c r="BF884" s="111"/>
      <c r="BG884" s="111"/>
      <c r="BH884" s="111"/>
      <c r="BI884" s="111"/>
      <c r="BJ884" s="111"/>
      <c r="BK884" s="111"/>
      <c r="BL884" s="111"/>
      <c r="BM884" s="111"/>
      <c r="BN884" s="111"/>
      <c r="BO884" s="111"/>
      <c r="BP884" s="111"/>
      <c r="BQ884" s="111"/>
      <c r="BR884" s="111"/>
      <c r="BS884" s="111"/>
      <c r="DR884" s="29"/>
      <c r="DS884" s="29"/>
      <c r="DT884" s="29"/>
      <c r="DU884" s="29"/>
      <c r="DV884" s="29"/>
      <c r="DW884" s="29"/>
      <c r="DX884" s="29"/>
      <c r="DY884" s="29"/>
      <c r="DZ884" s="29"/>
      <c r="EA884" s="29"/>
      <c r="EB884" s="29"/>
      <c r="EC884" s="29"/>
      <c r="ED884" s="29"/>
      <c r="EE884" s="29"/>
      <c r="EF884" s="111"/>
      <c r="EG884" s="111"/>
      <c r="EH884" s="111"/>
      <c r="EI884" s="111"/>
      <c r="EJ884" s="111"/>
      <c r="EK884" s="111"/>
      <c r="EL884" s="111"/>
      <c r="EM884" s="111"/>
      <c r="EN884" s="111"/>
      <c r="EO884" s="111"/>
      <c r="EP884" s="111"/>
      <c r="EQ884" s="111"/>
      <c r="ER884" s="111"/>
      <c r="ES884" s="111"/>
    </row>
    <row r="885" spans="44:149">
      <c r="AR885" s="29"/>
      <c r="AS885" s="29"/>
      <c r="AT885" s="29"/>
      <c r="AU885" s="29"/>
      <c r="AV885" s="29"/>
      <c r="AW885" s="29"/>
      <c r="AX885" s="29"/>
      <c r="AY885" s="29"/>
      <c r="AZ885" s="29"/>
      <c r="BA885" s="29"/>
      <c r="BB885" s="29"/>
      <c r="BC885" s="29"/>
      <c r="BD885" s="29"/>
      <c r="BE885" s="29"/>
      <c r="BF885" s="111"/>
      <c r="BG885" s="111"/>
      <c r="BH885" s="111"/>
      <c r="BI885" s="111"/>
      <c r="BJ885" s="111"/>
      <c r="BK885" s="111"/>
      <c r="BL885" s="111"/>
      <c r="BM885" s="111"/>
      <c r="BN885" s="111"/>
      <c r="BO885" s="111"/>
      <c r="BP885" s="111"/>
      <c r="BQ885" s="111"/>
      <c r="BR885" s="111"/>
      <c r="BS885" s="111"/>
      <c r="DR885" s="29"/>
      <c r="DS885" s="29"/>
      <c r="DT885" s="29"/>
      <c r="DU885" s="29"/>
      <c r="DV885" s="29"/>
      <c r="DW885" s="29"/>
      <c r="DX885" s="29"/>
      <c r="DY885" s="29"/>
      <c r="DZ885" s="29"/>
      <c r="EA885" s="29"/>
      <c r="EB885" s="29"/>
      <c r="EC885" s="29"/>
      <c r="ED885" s="29"/>
      <c r="EE885" s="29"/>
      <c r="EF885" s="111"/>
      <c r="EG885" s="111"/>
      <c r="EH885" s="111"/>
      <c r="EI885" s="111"/>
      <c r="EJ885" s="111"/>
      <c r="EK885" s="111"/>
      <c r="EL885" s="111"/>
      <c r="EM885" s="111"/>
      <c r="EN885" s="111"/>
      <c r="EO885" s="111"/>
      <c r="EP885" s="111"/>
      <c r="EQ885" s="111"/>
      <c r="ER885" s="111"/>
      <c r="ES885" s="111"/>
    </row>
    <row r="886" spans="44:149">
      <c r="AR886" s="29"/>
      <c r="AS886" s="29"/>
      <c r="AT886" s="29"/>
      <c r="AU886" s="29"/>
      <c r="AV886" s="29"/>
      <c r="AW886" s="29"/>
      <c r="AX886" s="29"/>
      <c r="AY886" s="29"/>
      <c r="AZ886" s="29"/>
      <c r="BA886" s="29"/>
      <c r="BB886" s="29"/>
      <c r="BC886" s="29"/>
      <c r="BD886" s="29"/>
      <c r="BE886" s="29"/>
      <c r="BF886" s="111"/>
      <c r="BG886" s="111"/>
      <c r="BH886" s="111"/>
      <c r="BI886" s="111"/>
      <c r="BJ886" s="111"/>
      <c r="BK886" s="111"/>
      <c r="BL886" s="111"/>
      <c r="BM886" s="111"/>
      <c r="BN886" s="111"/>
      <c r="BO886" s="111"/>
      <c r="BP886" s="111"/>
      <c r="BQ886" s="111"/>
      <c r="BR886" s="111"/>
      <c r="BS886" s="111"/>
      <c r="DR886" s="29"/>
      <c r="DS886" s="29"/>
      <c r="DT886" s="29"/>
      <c r="DU886" s="29"/>
      <c r="DV886" s="29"/>
      <c r="DW886" s="29"/>
      <c r="DX886" s="29"/>
      <c r="DY886" s="29"/>
      <c r="DZ886" s="29"/>
      <c r="EA886" s="29"/>
      <c r="EB886" s="29"/>
      <c r="EC886" s="29"/>
      <c r="ED886" s="29"/>
      <c r="EE886" s="29"/>
      <c r="EF886" s="111"/>
      <c r="EG886" s="111"/>
      <c r="EH886" s="111"/>
      <c r="EI886" s="111"/>
      <c r="EJ886" s="111"/>
      <c r="EK886" s="111"/>
      <c r="EL886" s="111"/>
      <c r="EM886" s="111"/>
      <c r="EN886" s="111"/>
      <c r="EO886" s="111"/>
      <c r="EP886" s="111"/>
      <c r="EQ886" s="111"/>
      <c r="ER886" s="111"/>
      <c r="ES886" s="111"/>
    </row>
    <row r="887" spans="44:149">
      <c r="AR887" s="29"/>
      <c r="AS887" s="29"/>
      <c r="AT887" s="29"/>
      <c r="AU887" s="29"/>
      <c r="AV887" s="29"/>
      <c r="AW887" s="29"/>
      <c r="AX887" s="29"/>
      <c r="AY887" s="29"/>
      <c r="AZ887" s="29"/>
      <c r="BA887" s="29"/>
      <c r="BB887" s="29"/>
      <c r="BC887" s="29"/>
      <c r="BD887" s="29"/>
      <c r="BE887" s="29"/>
      <c r="BF887" s="111"/>
      <c r="BG887" s="111"/>
      <c r="BH887" s="111"/>
      <c r="BI887" s="111"/>
      <c r="BJ887" s="111"/>
      <c r="BK887" s="111"/>
      <c r="BL887" s="111"/>
      <c r="BM887" s="111"/>
      <c r="BN887" s="111"/>
      <c r="BO887" s="111"/>
      <c r="BP887" s="111"/>
      <c r="BQ887" s="111"/>
      <c r="BR887" s="111"/>
      <c r="BS887" s="111"/>
      <c r="DR887" s="29"/>
      <c r="DS887" s="29"/>
      <c r="DT887" s="29"/>
      <c r="DU887" s="29"/>
      <c r="DV887" s="29"/>
      <c r="DW887" s="29"/>
      <c r="DX887" s="29"/>
      <c r="DY887" s="29"/>
      <c r="DZ887" s="29"/>
      <c r="EA887" s="29"/>
      <c r="EB887" s="29"/>
      <c r="EC887" s="29"/>
      <c r="ED887" s="29"/>
      <c r="EE887" s="29"/>
      <c r="EF887" s="111"/>
      <c r="EG887" s="111"/>
      <c r="EH887" s="111"/>
      <c r="EI887" s="111"/>
      <c r="EJ887" s="111"/>
      <c r="EK887" s="111"/>
      <c r="EL887" s="111"/>
      <c r="EM887" s="111"/>
      <c r="EN887" s="111"/>
      <c r="EO887" s="111"/>
      <c r="EP887" s="111"/>
      <c r="EQ887" s="111"/>
      <c r="ER887" s="111"/>
      <c r="ES887" s="111"/>
    </row>
    <row r="888" spans="44:149">
      <c r="AR888" s="29"/>
      <c r="AS888" s="29"/>
      <c r="AT888" s="29"/>
      <c r="AU888" s="29"/>
      <c r="AV888" s="29"/>
      <c r="AW888" s="29"/>
      <c r="AX888" s="29"/>
      <c r="AY888" s="29"/>
      <c r="AZ888" s="29"/>
      <c r="BA888" s="29"/>
      <c r="BB888" s="29"/>
      <c r="BC888" s="29"/>
      <c r="BD888" s="29"/>
      <c r="BE888" s="29"/>
      <c r="BF888" s="111"/>
      <c r="BG888" s="111"/>
      <c r="BH888" s="111"/>
      <c r="BI888" s="111"/>
      <c r="BJ888" s="111"/>
      <c r="BK888" s="111"/>
      <c r="BL888" s="111"/>
      <c r="BM888" s="111"/>
      <c r="BN888" s="111"/>
      <c r="BO888" s="111"/>
      <c r="BP888" s="111"/>
      <c r="BQ888" s="111"/>
      <c r="BR888" s="111"/>
      <c r="BS888" s="111"/>
      <c r="DR888" s="29"/>
      <c r="DS888" s="29"/>
      <c r="DT888" s="29"/>
      <c r="DU888" s="29"/>
      <c r="DV888" s="29"/>
      <c r="DW888" s="29"/>
      <c r="DX888" s="29"/>
      <c r="DY888" s="29"/>
      <c r="DZ888" s="29"/>
      <c r="EA888" s="29"/>
      <c r="EB888" s="29"/>
      <c r="EC888" s="29"/>
      <c r="ED888" s="29"/>
      <c r="EE888" s="29"/>
      <c r="EF888" s="111"/>
      <c r="EG888" s="111"/>
      <c r="EH888" s="111"/>
      <c r="EI888" s="111"/>
      <c r="EJ888" s="111"/>
      <c r="EK888" s="111"/>
      <c r="EL888" s="111"/>
      <c r="EM888" s="111"/>
      <c r="EN888" s="111"/>
      <c r="EO888" s="111"/>
      <c r="EP888" s="111"/>
      <c r="EQ888" s="111"/>
      <c r="ER888" s="111"/>
      <c r="ES888" s="111"/>
    </row>
    <row r="889" spans="44:149">
      <c r="AR889" s="29"/>
      <c r="AS889" s="29"/>
      <c r="AT889" s="29"/>
      <c r="AU889" s="29"/>
      <c r="AV889" s="29"/>
      <c r="AW889" s="29"/>
      <c r="AX889" s="29"/>
      <c r="AY889" s="29"/>
      <c r="AZ889" s="29"/>
      <c r="BA889" s="29"/>
      <c r="BB889" s="29"/>
      <c r="BC889" s="29"/>
      <c r="BD889" s="29"/>
      <c r="BE889" s="29"/>
      <c r="BF889" s="111"/>
      <c r="BG889" s="111"/>
      <c r="BH889" s="111"/>
      <c r="BI889" s="111"/>
      <c r="BJ889" s="111"/>
      <c r="BK889" s="111"/>
      <c r="BL889" s="111"/>
      <c r="BM889" s="111"/>
      <c r="BN889" s="111"/>
      <c r="BO889" s="111"/>
      <c r="BP889" s="111"/>
      <c r="BQ889" s="111"/>
      <c r="BR889" s="111"/>
      <c r="BS889" s="111"/>
      <c r="DR889" s="29"/>
      <c r="DS889" s="29"/>
      <c r="DT889" s="29"/>
      <c r="DU889" s="29"/>
      <c r="DV889" s="29"/>
      <c r="DW889" s="29"/>
      <c r="DX889" s="29"/>
      <c r="DY889" s="29"/>
      <c r="DZ889" s="29"/>
      <c r="EA889" s="29"/>
      <c r="EB889" s="29"/>
      <c r="EC889" s="29"/>
      <c r="ED889" s="29"/>
      <c r="EE889" s="29"/>
      <c r="EF889" s="111"/>
      <c r="EG889" s="111"/>
      <c r="EH889" s="111"/>
      <c r="EI889" s="111"/>
      <c r="EJ889" s="111"/>
      <c r="EK889" s="111"/>
      <c r="EL889" s="111"/>
      <c r="EM889" s="111"/>
      <c r="EN889" s="111"/>
      <c r="EO889" s="111"/>
      <c r="EP889" s="111"/>
      <c r="EQ889" s="111"/>
      <c r="ER889" s="111"/>
      <c r="ES889" s="111"/>
    </row>
    <row r="890" spans="44:149">
      <c r="AR890" s="29"/>
      <c r="AS890" s="29"/>
      <c r="AT890" s="29"/>
      <c r="AU890" s="29"/>
      <c r="AV890" s="29"/>
      <c r="AW890" s="29"/>
      <c r="AX890" s="29"/>
      <c r="AY890" s="29"/>
      <c r="AZ890" s="29"/>
      <c r="BA890" s="29"/>
      <c r="BB890" s="29"/>
      <c r="BC890" s="29"/>
      <c r="BD890" s="29"/>
      <c r="BE890" s="29"/>
      <c r="BF890" s="111"/>
      <c r="BG890" s="111"/>
      <c r="BH890" s="111"/>
      <c r="BI890" s="111"/>
      <c r="BJ890" s="111"/>
      <c r="BK890" s="111"/>
      <c r="BL890" s="111"/>
      <c r="BM890" s="111"/>
      <c r="BN890" s="111"/>
      <c r="BO890" s="111"/>
      <c r="BP890" s="111"/>
      <c r="BQ890" s="111"/>
      <c r="BR890" s="111"/>
      <c r="BS890" s="111"/>
      <c r="DR890" s="29"/>
      <c r="DS890" s="29"/>
      <c r="DT890" s="29"/>
      <c r="DU890" s="29"/>
      <c r="DV890" s="29"/>
      <c r="DW890" s="29"/>
      <c r="DX890" s="29"/>
      <c r="DY890" s="29"/>
      <c r="DZ890" s="29"/>
      <c r="EA890" s="29"/>
      <c r="EB890" s="29"/>
      <c r="EC890" s="29"/>
      <c r="ED890" s="29"/>
      <c r="EE890" s="29"/>
      <c r="EF890" s="111"/>
      <c r="EG890" s="111"/>
      <c r="EH890" s="111"/>
      <c r="EI890" s="111"/>
      <c r="EJ890" s="111"/>
      <c r="EK890" s="111"/>
      <c r="EL890" s="111"/>
      <c r="EM890" s="111"/>
      <c r="EN890" s="111"/>
      <c r="EO890" s="111"/>
      <c r="EP890" s="111"/>
      <c r="EQ890" s="111"/>
      <c r="ER890" s="111"/>
      <c r="ES890" s="111"/>
    </row>
    <row r="891" spans="44:149">
      <c r="AR891" s="29"/>
      <c r="AS891" s="29"/>
      <c r="AT891" s="29"/>
      <c r="AU891" s="29"/>
      <c r="AV891" s="29"/>
      <c r="AW891" s="29"/>
      <c r="AX891" s="29"/>
      <c r="AY891" s="29"/>
      <c r="AZ891" s="29"/>
      <c r="BA891" s="29"/>
      <c r="BB891" s="29"/>
      <c r="BC891" s="29"/>
      <c r="BD891" s="29"/>
      <c r="BE891" s="29"/>
      <c r="BF891" s="111"/>
      <c r="BG891" s="111"/>
      <c r="BH891" s="111"/>
      <c r="BI891" s="111"/>
      <c r="BJ891" s="111"/>
      <c r="BK891" s="111"/>
      <c r="BL891" s="111"/>
      <c r="BM891" s="111"/>
      <c r="BN891" s="111"/>
      <c r="BO891" s="111"/>
      <c r="BP891" s="111"/>
      <c r="BQ891" s="111"/>
      <c r="BR891" s="111"/>
      <c r="BS891" s="111"/>
      <c r="DR891" s="29"/>
      <c r="DS891" s="29"/>
      <c r="DT891" s="29"/>
      <c r="DU891" s="29"/>
      <c r="DV891" s="29"/>
      <c r="DW891" s="29"/>
      <c r="DX891" s="29"/>
      <c r="DY891" s="29"/>
      <c r="DZ891" s="29"/>
      <c r="EA891" s="29"/>
      <c r="EB891" s="29"/>
      <c r="EC891" s="29"/>
      <c r="ED891" s="29"/>
      <c r="EE891" s="29"/>
      <c r="EF891" s="111"/>
      <c r="EG891" s="111"/>
      <c r="EH891" s="111"/>
      <c r="EI891" s="111"/>
      <c r="EJ891" s="111"/>
      <c r="EK891" s="111"/>
      <c r="EL891" s="111"/>
      <c r="EM891" s="111"/>
      <c r="EN891" s="111"/>
      <c r="EO891" s="111"/>
      <c r="EP891" s="111"/>
      <c r="EQ891" s="111"/>
      <c r="ER891" s="111"/>
      <c r="ES891" s="111"/>
    </row>
    <row r="892" spans="44:149">
      <c r="AR892" s="29"/>
      <c r="AS892" s="29"/>
      <c r="AT892" s="29"/>
      <c r="AU892" s="29"/>
      <c r="AV892" s="29"/>
      <c r="AW892" s="29"/>
      <c r="AX892" s="29"/>
      <c r="AY892" s="29"/>
      <c r="AZ892" s="29"/>
      <c r="BA892" s="29"/>
      <c r="BB892" s="29"/>
      <c r="BC892" s="29"/>
      <c r="BD892" s="29"/>
      <c r="BE892" s="29"/>
      <c r="BF892" s="111"/>
      <c r="BG892" s="111"/>
      <c r="BH892" s="111"/>
      <c r="BI892" s="111"/>
      <c r="BJ892" s="111"/>
      <c r="BK892" s="111"/>
      <c r="BL892" s="111"/>
      <c r="BM892" s="111"/>
      <c r="BN892" s="111"/>
      <c r="BO892" s="111"/>
      <c r="BP892" s="111"/>
      <c r="BQ892" s="111"/>
      <c r="BR892" s="111"/>
      <c r="BS892" s="111"/>
      <c r="DR892" s="29"/>
      <c r="DS892" s="29"/>
      <c r="DT892" s="29"/>
      <c r="DU892" s="29"/>
      <c r="DV892" s="29"/>
      <c r="DW892" s="29"/>
      <c r="DX892" s="29"/>
      <c r="DY892" s="29"/>
      <c r="DZ892" s="29"/>
      <c r="EA892" s="29"/>
      <c r="EB892" s="29"/>
      <c r="EC892" s="29"/>
      <c r="ED892" s="29"/>
      <c r="EE892" s="29"/>
      <c r="EF892" s="111"/>
      <c r="EG892" s="111"/>
      <c r="EH892" s="111"/>
      <c r="EI892" s="111"/>
      <c r="EJ892" s="111"/>
      <c r="EK892" s="111"/>
      <c r="EL892" s="111"/>
      <c r="EM892" s="111"/>
      <c r="EN892" s="111"/>
      <c r="EO892" s="111"/>
      <c r="EP892" s="111"/>
      <c r="EQ892" s="111"/>
      <c r="ER892" s="111"/>
      <c r="ES892" s="111"/>
    </row>
    <row r="893" spans="44:149">
      <c r="AR893" s="29"/>
      <c r="AS893" s="29"/>
      <c r="AT893" s="29"/>
      <c r="AU893" s="29"/>
      <c r="AV893" s="29"/>
      <c r="AW893" s="29"/>
      <c r="AX893" s="29"/>
      <c r="AY893" s="29"/>
      <c r="AZ893" s="29"/>
      <c r="BA893" s="29"/>
      <c r="BB893" s="29"/>
      <c r="BC893" s="29"/>
      <c r="BD893" s="29"/>
      <c r="BE893" s="29"/>
      <c r="BF893" s="111"/>
      <c r="BG893" s="111"/>
      <c r="BH893" s="111"/>
      <c r="BI893" s="111"/>
      <c r="BJ893" s="111"/>
      <c r="BK893" s="111"/>
      <c r="BL893" s="111"/>
      <c r="BM893" s="111"/>
      <c r="BN893" s="111"/>
      <c r="BO893" s="111"/>
      <c r="BP893" s="111"/>
      <c r="BQ893" s="111"/>
      <c r="BR893" s="111"/>
      <c r="BS893" s="111"/>
      <c r="DR893" s="29"/>
      <c r="DS893" s="29"/>
      <c r="DT893" s="29"/>
      <c r="DU893" s="29"/>
      <c r="DV893" s="29"/>
      <c r="DW893" s="29"/>
      <c r="DX893" s="29"/>
      <c r="DY893" s="29"/>
      <c r="DZ893" s="29"/>
      <c r="EA893" s="29"/>
      <c r="EB893" s="29"/>
      <c r="EC893" s="29"/>
      <c r="ED893" s="29"/>
      <c r="EE893" s="29"/>
      <c r="EF893" s="111"/>
      <c r="EG893" s="111"/>
      <c r="EH893" s="111"/>
      <c r="EI893" s="111"/>
      <c r="EJ893" s="111"/>
      <c r="EK893" s="111"/>
      <c r="EL893" s="111"/>
      <c r="EM893" s="111"/>
      <c r="EN893" s="111"/>
      <c r="EO893" s="111"/>
      <c r="EP893" s="111"/>
      <c r="EQ893" s="111"/>
      <c r="ER893" s="111"/>
      <c r="ES893" s="111"/>
    </row>
    <row r="894" spans="44:149">
      <c r="AR894" s="29"/>
      <c r="AS894" s="29"/>
      <c r="AT894" s="29"/>
      <c r="AU894" s="29"/>
      <c r="AV894" s="29"/>
      <c r="AW894" s="29"/>
      <c r="AX894" s="29"/>
      <c r="AY894" s="29"/>
      <c r="AZ894" s="29"/>
      <c r="BA894" s="29"/>
      <c r="BB894" s="29"/>
      <c r="BC894" s="29"/>
      <c r="BD894" s="29"/>
      <c r="BE894" s="29"/>
      <c r="BF894" s="111"/>
      <c r="BG894" s="111"/>
      <c r="BH894" s="111"/>
      <c r="BI894" s="111"/>
      <c r="BJ894" s="111"/>
      <c r="BK894" s="111"/>
      <c r="BL894" s="111"/>
      <c r="BM894" s="111"/>
      <c r="BN894" s="111"/>
      <c r="BO894" s="111"/>
      <c r="BP894" s="111"/>
      <c r="BQ894" s="111"/>
      <c r="BR894" s="111"/>
      <c r="BS894" s="111"/>
      <c r="DR894" s="29"/>
      <c r="DS894" s="29"/>
      <c r="DT894" s="29"/>
      <c r="DU894" s="29"/>
      <c r="DV894" s="29"/>
      <c r="DW894" s="29"/>
      <c r="DX894" s="29"/>
      <c r="DY894" s="29"/>
      <c r="DZ894" s="29"/>
      <c r="EA894" s="29"/>
      <c r="EB894" s="29"/>
      <c r="EC894" s="29"/>
      <c r="ED894" s="29"/>
      <c r="EE894" s="29"/>
      <c r="EF894" s="111"/>
      <c r="EG894" s="111"/>
      <c r="EH894" s="111"/>
      <c r="EI894" s="111"/>
      <c r="EJ894" s="111"/>
      <c r="EK894" s="111"/>
      <c r="EL894" s="111"/>
      <c r="EM894" s="111"/>
      <c r="EN894" s="111"/>
      <c r="EO894" s="111"/>
      <c r="EP894" s="111"/>
      <c r="EQ894" s="111"/>
      <c r="ER894" s="111"/>
      <c r="ES894" s="111"/>
    </row>
    <row r="895" spans="44:149">
      <c r="AR895" s="29"/>
      <c r="AS895" s="29"/>
      <c r="AT895" s="29"/>
      <c r="AU895" s="29"/>
      <c r="AV895" s="29"/>
      <c r="AW895" s="29"/>
      <c r="AX895" s="29"/>
      <c r="AY895" s="29"/>
      <c r="AZ895" s="29"/>
      <c r="BA895" s="29"/>
      <c r="BB895" s="29"/>
      <c r="BC895" s="29"/>
      <c r="BD895" s="29"/>
      <c r="BE895" s="29"/>
      <c r="BF895" s="111"/>
      <c r="BG895" s="111"/>
      <c r="BH895" s="111"/>
      <c r="BI895" s="111"/>
      <c r="BJ895" s="111"/>
      <c r="BK895" s="111"/>
      <c r="BL895" s="111"/>
      <c r="BM895" s="111"/>
      <c r="BN895" s="111"/>
      <c r="BO895" s="111"/>
      <c r="BP895" s="111"/>
      <c r="BQ895" s="111"/>
      <c r="BR895" s="111"/>
      <c r="BS895" s="111"/>
      <c r="DR895" s="29"/>
      <c r="DS895" s="29"/>
      <c r="DT895" s="29"/>
      <c r="DU895" s="29"/>
      <c r="DV895" s="29"/>
      <c r="DW895" s="29"/>
      <c r="DX895" s="29"/>
      <c r="DY895" s="29"/>
      <c r="DZ895" s="29"/>
      <c r="EA895" s="29"/>
      <c r="EB895" s="29"/>
      <c r="EC895" s="29"/>
      <c r="ED895" s="29"/>
      <c r="EE895" s="29"/>
      <c r="EF895" s="111"/>
      <c r="EG895" s="111"/>
      <c r="EH895" s="111"/>
      <c r="EI895" s="111"/>
      <c r="EJ895" s="111"/>
      <c r="EK895" s="111"/>
      <c r="EL895" s="111"/>
      <c r="EM895" s="111"/>
      <c r="EN895" s="111"/>
      <c r="EO895" s="111"/>
      <c r="EP895" s="111"/>
      <c r="EQ895" s="111"/>
      <c r="ER895" s="111"/>
      <c r="ES895" s="111"/>
    </row>
    <row r="896" spans="44:149">
      <c r="AR896" s="29"/>
      <c r="AS896" s="29"/>
      <c r="AT896" s="29"/>
      <c r="AU896" s="29"/>
      <c r="AV896" s="29"/>
      <c r="AW896" s="29"/>
      <c r="AX896" s="29"/>
      <c r="AY896" s="29"/>
      <c r="AZ896" s="29"/>
      <c r="BA896" s="29"/>
      <c r="BB896" s="29"/>
      <c r="BC896" s="29"/>
      <c r="BD896" s="29"/>
      <c r="BE896" s="29"/>
      <c r="BF896" s="111"/>
      <c r="BG896" s="111"/>
      <c r="BH896" s="111"/>
      <c r="BI896" s="111"/>
      <c r="BJ896" s="111"/>
      <c r="BK896" s="111"/>
      <c r="BL896" s="111"/>
      <c r="BM896" s="111"/>
      <c r="BN896" s="111"/>
      <c r="BO896" s="111"/>
      <c r="BP896" s="111"/>
      <c r="BQ896" s="111"/>
      <c r="BR896" s="111"/>
      <c r="BS896" s="111"/>
      <c r="DR896" s="29"/>
      <c r="DS896" s="29"/>
      <c r="DT896" s="29"/>
      <c r="DU896" s="29"/>
      <c r="DV896" s="29"/>
      <c r="DW896" s="29"/>
      <c r="DX896" s="29"/>
      <c r="DY896" s="29"/>
      <c r="DZ896" s="29"/>
      <c r="EA896" s="29"/>
      <c r="EB896" s="29"/>
      <c r="EC896" s="29"/>
      <c r="ED896" s="29"/>
      <c r="EE896" s="29"/>
      <c r="EF896" s="111"/>
      <c r="EG896" s="111"/>
      <c r="EH896" s="111"/>
      <c r="EI896" s="111"/>
      <c r="EJ896" s="111"/>
      <c r="EK896" s="111"/>
      <c r="EL896" s="111"/>
      <c r="EM896" s="111"/>
      <c r="EN896" s="111"/>
      <c r="EO896" s="111"/>
      <c r="EP896" s="111"/>
      <c r="EQ896" s="111"/>
      <c r="ER896" s="111"/>
      <c r="ES896" s="111"/>
    </row>
    <row r="897" spans="44:149">
      <c r="AR897" s="29"/>
      <c r="AS897" s="29"/>
      <c r="AT897" s="29"/>
      <c r="AU897" s="29"/>
      <c r="AV897" s="29"/>
      <c r="AW897" s="29"/>
      <c r="AX897" s="29"/>
      <c r="AY897" s="29"/>
      <c r="AZ897" s="29"/>
      <c r="BA897" s="29"/>
      <c r="BB897" s="29"/>
      <c r="BC897" s="29"/>
      <c r="BD897" s="29"/>
      <c r="BE897" s="29"/>
      <c r="BF897" s="111"/>
      <c r="BG897" s="111"/>
      <c r="BH897" s="111"/>
      <c r="BI897" s="111"/>
      <c r="BJ897" s="111"/>
      <c r="BK897" s="111"/>
      <c r="BL897" s="111"/>
      <c r="BM897" s="111"/>
      <c r="BN897" s="111"/>
      <c r="BO897" s="111"/>
      <c r="BP897" s="111"/>
      <c r="BQ897" s="111"/>
      <c r="BR897" s="111"/>
      <c r="BS897" s="111"/>
      <c r="DR897" s="29"/>
      <c r="DS897" s="29"/>
      <c r="DT897" s="29"/>
      <c r="DU897" s="29"/>
      <c r="DV897" s="29"/>
      <c r="DW897" s="29"/>
      <c r="DX897" s="29"/>
      <c r="DY897" s="29"/>
      <c r="DZ897" s="29"/>
      <c r="EA897" s="29"/>
      <c r="EB897" s="29"/>
      <c r="EC897" s="29"/>
      <c r="ED897" s="29"/>
      <c r="EE897" s="29"/>
      <c r="EF897" s="111"/>
      <c r="EG897" s="111"/>
      <c r="EH897" s="111"/>
      <c r="EI897" s="111"/>
      <c r="EJ897" s="111"/>
      <c r="EK897" s="111"/>
      <c r="EL897" s="111"/>
      <c r="EM897" s="111"/>
      <c r="EN897" s="111"/>
      <c r="EO897" s="111"/>
      <c r="EP897" s="111"/>
      <c r="EQ897" s="111"/>
      <c r="ER897" s="111"/>
      <c r="ES897" s="111"/>
    </row>
    <row r="898" spans="44:149">
      <c r="AR898" s="29"/>
      <c r="AS898" s="29"/>
      <c r="AT898" s="29"/>
      <c r="AU898" s="29"/>
      <c r="AV898" s="29"/>
      <c r="AW898" s="29"/>
      <c r="AX898" s="29"/>
      <c r="AY898" s="29"/>
      <c r="AZ898" s="29"/>
      <c r="BA898" s="29"/>
      <c r="BB898" s="29"/>
      <c r="BC898" s="29"/>
      <c r="BD898" s="29"/>
      <c r="BE898" s="29"/>
      <c r="BF898" s="111"/>
      <c r="BG898" s="111"/>
      <c r="BH898" s="111"/>
      <c r="BI898" s="111"/>
      <c r="BJ898" s="111"/>
      <c r="BK898" s="111"/>
      <c r="BL898" s="111"/>
      <c r="BM898" s="111"/>
      <c r="BN898" s="111"/>
      <c r="BO898" s="111"/>
      <c r="BP898" s="111"/>
      <c r="BQ898" s="111"/>
      <c r="BR898" s="111"/>
      <c r="BS898" s="111"/>
      <c r="DR898" s="29"/>
      <c r="DS898" s="29"/>
      <c r="DT898" s="29"/>
      <c r="DU898" s="29"/>
      <c r="DV898" s="29"/>
      <c r="DW898" s="29"/>
      <c r="DX898" s="29"/>
      <c r="DY898" s="29"/>
      <c r="DZ898" s="29"/>
      <c r="EA898" s="29"/>
      <c r="EB898" s="29"/>
      <c r="EC898" s="29"/>
      <c r="ED898" s="29"/>
      <c r="EE898" s="29"/>
      <c r="EF898" s="111"/>
      <c r="EG898" s="111"/>
      <c r="EH898" s="111"/>
      <c r="EI898" s="111"/>
      <c r="EJ898" s="111"/>
      <c r="EK898" s="111"/>
      <c r="EL898" s="111"/>
      <c r="EM898" s="111"/>
      <c r="EN898" s="111"/>
      <c r="EO898" s="111"/>
      <c r="EP898" s="111"/>
      <c r="EQ898" s="111"/>
      <c r="ER898" s="111"/>
      <c r="ES898" s="111"/>
    </row>
    <row r="899" spans="44:149">
      <c r="AR899" s="29"/>
      <c r="AS899" s="29"/>
      <c r="AT899" s="29"/>
      <c r="AU899" s="29"/>
      <c r="AV899" s="29"/>
      <c r="AW899" s="29"/>
      <c r="AX899" s="29"/>
      <c r="AY899" s="29"/>
      <c r="AZ899" s="29"/>
      <c r="BA899" s="29"/>
      <c r="BB899" s="29"/>
      <c r="BC899" s="29"/>
      <c r="BD899" s="29"/>
      <c r="BE899" s="29"/>
      <c r="BF899" s="111"/>
      <c r="BG899" s="111"/>
      <c r="BH899" s="111"/>
      <c r="BI899" s="111"/>
      <c r="BJ899" s="111"/>
      <c r="BK899" s="111"/>
      <c r="BL899" s="111"/>
      <c r="BM899" s="111"/>
      <c r="BN899" s="111"/>
      <c r="BO899" s="111"/>
      <c r="BP899" s="111"/>
      <c r="BQ899" s="111"/>
      <c r="BR899" s="111"/>
      <c r="BS899" s="111"/>
      <c r="DR899" s="29"/>
      <c r="DS899" s="29"/>
      <c r="DT899" s="29"/>
      <c r="DU899" s="29"/>
      <c r="DV899" s="29"/>
      <c r="DW899" s="29"/>
      <c r="DX899" s="29"/>
      <c r="DY899" s="29"/>
      <c r="DZ899" s="29"/>
      <c r="EA899" s="29"/>
      <c r="EB899" s="29"/>
      <c r="EC899" s="29"/>
      <c r="ED899" s="29"/>
      <c r="EE899" s="29"/>
      <c r="EF899" s="111"/>
      <c r="EG899" s="111"/>
      <c r="EH899" s="111"/>
      <c r="EI899" s="111"/>
      <c r="EJ899" s="111"/>
      <c r="EK899" s="111"/>
      <c r="EL899" s="111"/>
      <c r="EM899" s="111"/>
      <c r="EN899" s="111"/>
      <c r="EO899" s="111"/>
      <c r="EP899" s="111"/>
      <c r="EQ899" s="111"/>
      <c r="ER899" s="111"/>
      <c r="ES899" s="111"/>
    </row>
    <row r="900" spans="44:149">
      <c r="AR900" s="29"/>
      <c r="AS900" s="29"/>
      <c r="AT900" s="29"/>
      <c r="AU900" s="29"/>
      <c r="AV900" s="29"/>
      <c r="AW900" s="29"/>
      <c r="AX900" s="29"/>
      <c r="AY900" s="29"/>
      <c r="AZ900" s="29"/>
      <c r="BA900" s="29"/>
      <c r="BB900" s="29"/>
      <c r="BC900" s="29"/>
      <c r="BD900" s="29"/>
      <c r="BE900" s="29"/>
      <c r="BF900" s="111"/>
      <c r="BG900" s="111"/>
      <c r="BH900" s="111"/>
      <c r="BI900" s="111"/>
      <c r="BJ900" s="111"/>
      <c r="BK900" s="111"/>
      <c r="BL900" s="111"/>
      <c r="BM900" s="111"/>
      <c r="BN900" s="111"/>
      <c r="BO900" s="111"/>
      <c r="BP900" s="111"/>
      <c r="BQ900" s="111"/>
      <c r="BR900" s="111"/>
      <c r="BS900" s="111"/>
      <c r="DR900" s="29"/>
      <c r="DS900" s="29"/>
      <c r="DT900" s="29"/>
      <c r="DU900" s="29"/>
      <c r="DV900" s="29"/>
      <c r="DW900" s="29"/>
      <c r="DX900" s="29"/>
      <c r="DY900" s="29"/>
      <c r="DZ900" s="29"/>
      <c r="EA900" s="29"/>
      <c r="EB900" s="29"/>
      <c r="EC900" s="29"/>
      <c r="ED900" s="29"/>
      <c r="EE900" s="29"/>
      <c r="EF900" s="111"/>
      <c r="EG900" s="111"/>
      <c r="EH900" s="111"/>
      <c r="EI900" s="111"/>
      <c r="EJ900" s="111"/>
      <c r="EK900" s="111"/>
      <c r="EL900" s="111"/>
      <c r="EM900" s="111"/>
      <c r="EN900" s="111"/>
      <c r="EO900" s="111"/>
      <c r="EP900" s="111"/>
      <c r="EQ900" s="111"/>
      <c r="ER900" s="111"/>
      <c r="ES900" s="111"/>
    </row>
    <row r="901" spans="44:149">
      <c r="AR901" s="29"/>
      <c r="AS901" s="29"/>
      <c r="AT901" s="29"/>
      <c r="AU901" s="29"/>
      <c r="AV901" s="29"/>
      <c r="AW901" s="29"/>
      <c r="AX901" s="29"/>
      <c r="AY901" s="29"/>
      <c r="AZ901" s="29"/>
      <c r="BA901" s="29"/>
      <c r="BB901" s="29"/>
      <c r="BC901" s="29"/>
      <c r="BD901" s="29"/>
      <c r="BE901" s="29"/>
      <c r="BF901" s="111"/>
      <c r="BG901" s="111"/>
      <c r="BH901" s="111"/>
      <c r="BI901" s="111"/>
      <c r="BJ901" s="111"/>
      <c r="BK901" s="111"/>
      <c r="BL901" s="111"/>
      <c r="BM901" s="111"/>
      <c r="BN901" s="111"/>
      <c r="BO901" s="111"/>
      <c r="BP901" s="111"/>
      <c r="BQ901" s="111"/>
      <c r="BR901" s="111"/>
      <c r="BS901" s="111"/>
      <c r="DR901" s="29"/>
      <c r="DS901" s="29"/>
      <c r="DT901" s="29"/>
      <c r="DU901" s="29"/>
      <c r="DV901" s="29"/>
      <c r="DW901" s="29"/>
      <c r="DX901" s="29"/>
      <c r="DY901" s="29"/>
      <c r="DZ901" s="29"/>
      <c r="EA901" s="29"/>
      <c r="EB901" s="29"/>
      <c r="EC901" s="29"/>
      <c r="ED901" s="29"/>
      <c r="EE901" s="29"/>
      <c r="EF901" s="111"/>
      <c r="EG901" s="111"/>
      <c r="EH901" s="111"/>
      <c r="EI901" s="111"/>
      <c r="EJ901" s="111"/>
      <c r="EK901" s="111"/>
      <c r="EL901" s="111"/>
      <c r="EM901" s="111"/>
      <c r="EN901" s="111"/>
      <c r="EO901" s="111"/>
      <c r="EP901" s="111"/>
      <c r="EQ901" s="111"/>
      <c r="ER901" s="111"/>
      <c r="ES901" s="111"/>
    </row>
    <row r="902" spans="44:149">
      <c r="AR902" s="29"/>
      <c r="AS902" s="29"/>
      <c r="AT902" s="29"/>
      <c r="AU902" s="29"/>
      <c r="AV902" s="29"/>
      <c r="AW902" s="29"/>
      <c r="AX902" s="29"/>
      <c r="AY902" s="29"/>
      <c r="AZ902" s="29"/>
      <c r="BA902" s="29"/>
      <c r="BB902" s="29"/>
      <c r="BC902" s="29"/>
      <c r="BD902" s="29"/>
      <c r="BE902" s="29"/>
      <c r="BF902" s="111"/>
      <c r="BG902" s="111"/>
      <c r="BH902" s="111"/>
      <c r="BI902" s="111"/>
      <c r="BJ902" s="111"/>
      <c r="BK902" s="111"/>
      <c r="BL902" s="111"/>
      <c r="BM902" s="111"/>
      <c r="BN902" s="111"/>
      <c r="BO902" s="111"/>
      <c r="BP902" s="111"/>
      <c r="BQ902" s="111"/>
      <c r="BR902" s="111"/>
      <c r="BS902" s="111"/>
      <c r="DR902" s="29"/>
      <c r="DS902" s="29"/>
      <c r="DT902" s="29"/>
      <c r="DU902" s="29"/>
      <c r="DV902" s="29"/>
      <c r="DW902" s="29"/>
      <c r="DX902" s="29"/>
      <c r="DY902" s="29"/>
      <c r="DZ902" s="29"/>
      <c r="EA902" s="29"/>
      <c r="EB902" s="29"/>
      <c r="EC902" s="29"/>
      <c r="ED902" s="29"/>
      <c r="EE902" s="29"/>
      <c r="EF902" s="111"/>
      <c r="EG902" s="111"/>
      <c r="EH902" s="111"/>
      <c r="EI902" s="111"/>
      <c r="EJ902" s="111"/>
      <c r="EK902" s="111"/>
      <c r="EL902" s="111"/>
      <c r="EM902" s="111"/>
      <c r="EN902" s="111"/>
      <c r="EO902" s="111"/>
      <c r="EP902" s="111"/>
      <c r="EQ902" s="111"/>
      <c r="ER902" s="111"/>
      <c r="ES902" s="111"/>
    </row>
    <row r="903" spans="44:149">
      <c r="AR903" s="29"/>
      <c r="AS903" s="29"/>
      <c r="AT903" s="29"/>
      <c r="AU903" s="29"/>
      <c r="AV903" s="29"/>
      <c r="AW903" s="29"/>
      <c r="AX903" s="29"/>
      <c r="AY903" s="29"/>
      <c r="AZ903" s="29"/>
      <c r="BA903" s="29"/>
      <c r="BB903" s="29"/>
      <c r="BC903" s="29"/>
      <c r="BD903" s="29"/>
      <c r="BE903" s="29"/>
      <c r="BF903" s="111"/>
      <c r="BG903" s="111"/>
      <c r="BH903" s="111"/>
      <c r="BI903" s="111"/>
      <c r="BJ903" s="111"/>
      <c r="BK903" s="111"/>
      <c r="BL903" s="111"/>
      <c r="BM903" s="111"/>
      <c r="BN903" s="111"/>
      <c r="BO903" s="111"/>
      <c r="BP903" s="111"/>
      <c r="BQ903" s="111"/>
      <c r="BR903" s="111"/>
      <c r="BS903" s="111"/>
      <c r="DR903" s="29"/>
      <c r="DS903" s="29"/>
      <c r="DT903" s="29"/>
      <c r="DU903" s="29"/>
      <c r="DV903" s="29"/>
      <c r="DW903" s="29"/>
      <c r="DX903" s="29"/>
      <c r="DY903" s="29"/>
      <c r="DZ903" s="29"/>
      <c r="EA903" s="29"/>
      <c r="EB903" s="29"/>
      <c r="EC903" s="29"/>
      <c r="ED903" s="29"/>
      <c r="EE903" s="29"/>
      <c r="EF903" s="111"/>
      <c r="EG903" s="111"/>
      <c r="EH903" s="111"/>
      <c r="EI903" s="111"/>
      <c r="EJ903" s="111"/>
      <c r="EK903" s="111"/>
      <c r="EL903" s="111"/>
      <c r="EM903" s="111"/>
      <c r="EN903" s="111"/>
      <c r="EO903" s="111"/>
      <c r="EP903" s="111"/>
      <c r="EQ903" s="111"/>
      <c r="ER903" s="111"/>
      <c r="ES903" s="111"/>
    </row>
    <row r="904" spans="44:149">
      <c r="AR904" s="29"/>
      <c r="AS904" s="29"/>
      <c r="AT904" s="29"/>
      <c r="AU904" s="29"/>
      <c r="AV904" s="29"/>
      <c r="AW904" s="29"/>
      <c r="AX904" s="29"/>
      <c r="AY904" s="29"/>
      <c r="AZ904" s="29"/>
      <c r="BA904" s="29"/>
      <c r="BB904" s="29"/>
      <c r="BC904" s="29"/>
      <c r="BD904" s="29"/>
      <c r="BE904" s="29"/>
      <c r="BF904" s="111"/>
      <c r="BG904" s="111"/>
      <c r="BH904" s="111"/>
      <c r="BI904" s="111"/>
      <c r="BJ904" s="111"/>
      <c r="BK904" s="111"/>
      <c r="BL904" s="111"/>
      <c r="BM904" s="111"/>
      <c r="BN904" s="111"/>
      <c r="BO904" s="111"/>
      <c r="BP904" s="111"/>
      <c r="BQ904" s="111"/>
      <c r="BR904" s="111"/>
      <c r="BS904" s="111"/>
      <c r="DR904" s="29"/>
      <c r="DS904" s="29"/>
      <c r="DT904" s="29"/>
      <c r="DU904" s="29"/>
      <c r="DV904" s="29"/>
      <c r="DW904" s="29"/>
      <c r="DX904" s="29"/>
      <c r="DY904" s="29"/>
      <c r="DZ904" s="29"/>
      <c r="EA904" s="29"/>
      <c r="EB904" s="29"/>
      <c r="EC904" s="29"/>
      <c r="ED904" s="29"/>
      <c r="EE904" s="29"/>
      <c r="EF904" s="111"/>
      <c r="EG904" s="111"/>
      <c r="EH904" s="111"/>
      <c r="EI904" s="111"/>
      <c r="EJ904" s="111"/>
      <c r="EK904" s="111"/>
      <c r="EL904" s="111"/>
      <c r="EM904" s="111"/>
      <c r="EN904" s="111"/>
      <c r="EO904" s="111"/>
      <c r="EP904" s="111"/>
      <c r="EQ904" s="111"/>
      <c r="ER904" s="111"/>
      <c r="ES904" s="111"/>
    </row>
    <row r="905" spans="44:149">
      <c r="AR905" s="29"/>
      <c r="AS905" s="29"/>
      <c r="AT905" s="29"/>
      <c r="AU905" s="29"/>
      <c r="AV905" s="29"/>
      <c r="AW905" s="29"/>
      <c r="AX905" s="29"/>
      <c r="AY905" s="29"/>
      <c r="AZ905" s="29"/>
      <c r="BA905" s="29"/>
      <c r="BB905" s="29"/>
      <c r="BC905" s="29"/>
      <c r="BD905" s="29"/>
      <c r="BE905" s="29"/>
      <c r="BF905" s="111"/>
      <c r="BG905" s="111"/>
      <c r="BH905" s="111"/>
      <c r="BI905" s="111"/>
      <c r="BJ905" s="111"/>
      <c r="BK905" s="111"/>
      <c r="BL905" s="111"/>
      <c r="BM905" s="111"/>
      <c r="BN905" s="111"/>
      <c r="BO905" s="111"/>
      <c r="BP905" s="111"/>
      <c r="BQ905" s="111"/>
      <c r="BR905" s="111"/>
      <c r="BS905" s="111"/>
      <c r="DR905" s="29"/>
      <c r="DS905" s="29"/>
      <c r="DT905" s="29"/>
      <c r="DU905" s="29"/>
      <c r="DV905" s="29"/>
      <c r="DW905" s="29"/>
      <c r="DX905" s="29"/>
      <c r="DY905" s="29"/>
      <c r="DZ905" s="29"/>
      <c r="EA905" s="29"/>
      <c r="EB905" s="29"/>
      <c r="EC905" s="29"/>
      <c r="ED905" s="29"/>
      <c r="EE905" s="29"/>
      <c r="EF905" s="111"/>
      <c r="EG905" s="111"/>
      <c r="EH905" s="111"/>
      <c r="EI905" s="111"/>
      <c r="EJ905" s="111"/>
      <c r="EK905" s="111"/>
      <c r="EL905" s="111"/>
      <c r="EM905" s="111"/>
      <c r="EN905" s="111"/>
      <c r="EO905" s="111"/>
      <c r="EP905" s="111"/>
      <c r="EQ905" s="111"/>
      <c r="ER905" s="111"/>
      <c r="ES905" s="111"/>
    </row>
    <row r="906" spans="44:149">
      <c r="AR906" s="29"/>
      <c r="AS906" s="29"/>
      <c r="AT906" s="29"/>
      <c r="AU906" s="29"/>
      <c r="AV906" s="29"/>
      <c r="AW906" s="29"/>
      <c r="AX906" s="29"/>
      <c r="AY906" s="29"/>
      <c r="AZ906" s="29"/>
      <c r="BA906" s="29"/>
      <c r="BB906" s="29"/>
      <c r="BC906" s="29"/>
      <c r="BD906" s="29"/>
      <c r="BE906" s="29"/>
      <c r="BF906" s="111"/>
      <c r="BG906" s="111"/>
      <c r="BH906" s="111"/>
      <c r="BI906" s="111"/>
      <c r="BJ906" s="111"/>
      <c r="BK906" s="111"/>
      <c r="BL906" s="111"/>
      <c r="BM906" s="111"/>
      <c r="BN906" s="111"/>
      <c r="BO906" s="111"/>
      <c r="BP906" s="111"/>
      <c r="BQ906" s="111"/>
      <c r="BR906" s="111"/>
      <c r="BS906" s="111"/>
      <c r="DR906" s="29"/>
      <c r="DS906" s="29"/>
      <c r="DT906" s="29"/>
      <c r="DU906" s="29"/>
      <c r="DV906" s="29"/>
      <c r="DW906" s="29"/>
      <c r="DX906" s="29"/>
      <c r="DY906" s="29"/>
      <c r="DZ906" s="29"/>
      <c r="EA906" s="29"/>
      <c r="EB906" s="29"/>
      <c r="EC906" s="29"/>
      <c r="ED906" s="29"/>
      <c r="EE906" s="29"/>
      <c r="EF906" s="111"/>
      <c r="EG906" s="111"/>
      <c r="EH906" s="111"/>
      <c r="EI906" s="111"/>
      <c r="EJ906" s="111"/>
      <c r="EK906" s="111"/>
      <c r="EL906" s="111"/>
      <c r="EM906" s="111"/>
      <c r="EN906" s="111"/>
      <c r="EO906" s="111"/>
      <c r="EP906" s="111"/>
      <c r="EQ906" s="111"/>
      <c r="ER906" s="111"/>
      <c r="ES906" s="111"/>
    </row>
    <row r="907" spans="44:149">
      <c r="AR907" s="29"/>
      <c r="AS907" s="29"/>
      <c r="AT907" s="29"/>
      <c r="AU907" s="29"/>
      <c r="AV907" s="29"/>
      <c r="AW907" s="29"/>
      <c r="AX907" s="29"/>
      <c r="AY907" s="29"/>
      <c r="AZ907" s="29"/>
      <c r="BA907" s="29"/>
      <c r="BB907" s="29"/>
      <c r="BC907" s="29"/>
      <c r="BD907" s="29"/>
      <c r="BE907" s="29"/>
      <c r="BF907" s="111"/>
      <c r="BG907" s="111"/>
      <c r="BH907" s="111"/>
      <c r="BI907" s="111"/>
      <c r="BJ907" s="111"/>
      <c r="BK907" s="111"/>
      <c r="BL907" s="111"/>
      <c r="BM907" s="111"/>
      <c r="BN907" s="111"/>
      <c r="BO907" s="111"/>
      <c r="BP907" s="111"/>
      <c r="BQ907" s="111"/>
      <c r="BR907" s="111"/>
      <c r="BS907" s="111"/>
      <c r="DR907" s="29"/>
      <c r="DS907" s="29"/>
      <c r="DT907" s="29"/>
      <c r="DU907" s="29"/>
      <c r="DV907" s="29"/>
      <c r="DW907" s="29"/>
      <c r="DX907" s="29"/>
      <c r="DY907" s="29"/>
      <c r="DZ907" s="29"/>
      <c r="EA907" s="29"/>
      <c r="EB907" s="29"/>
      <c r="EC907" s="29"/>
      <c r="ED907" s="29"/>
      <c r="EE907" s="29"/>
      <c r="EF907" s="111"/>
      <c r="EG907" s="111"/>
      <c r="EH907" s="111"/>
      <c r="EI907" s="111"/>
      <c r="EJ907" s="111"/>
      <c r="EK907" s="111"/>
      <c r="EL907" s="111"/>
      <c r="EM907" s="111"/>
      <c r="EN907" s="111"/>
      <c r="EO907" s="111"/>
      <c r="EP907" s="111"/>
      <c r="EQ907" s="111"/>
      <c r="ER907" s="111"/>
      <c r="ES907" s="111"/>
    </row>
    <row r="908" spans="44:149">
      <c r="AR908" s="29"/>
      <c r="AS908" s="29"/>
      <c r="AT908" s="29"/>
      <c r="AU908" s="29"/>
      <c r="AV908" s="29"/>
      <c r="AW908" s="29"/>
      <c r="AX908" s="29"/>
      <c r="AY908" s="29"/>
      <c r="AZ908" s="29"/>
      <c r="BA908" s="29"/>
      <c r="BB908" s="29"/>
      <c r="BC908" s="29"/>
      <c r="BD908" s="29"/>
      <c r="BE908" s="29"/>
      <c r="BF908" s="111"/>
      <c r="BG908" s="111"/>
      <c r="BH908" s="111"/>
      <c r="BI908" s="111"/>
      <c r="BJ908" s="111"/>
      <c r="BK908" s="111"/>
      <c r="BL908" s="111"/>
      <c r="BM908" s="111"/>
      <c r="BN908" s="111"/>
      <c r="BO908" s="111"/>
      <c r="BP908" s="111"/>
      <c r="BQ908" s="111"/>
      <c r="BR908" s="111"/>
      <c r="BS908" s="111"/>
      <c r="DR908" s="29"/>
      <c r="DS908" s="29"/>
      <c r="DT908" s="29"/>
      <c r="DU908" s="29"/>
      <c r="DV908" s="29"/>
      <c r="DW908" s="29"/>
      <c r="DX908" s="29"/>
      <c r="DY908" s="29"/>
      <c r="DZ908" s="29"/>
      <c r="EA908" s="29"/>
      <c r="EB908" s="29"/>
      <c r="EC908" s="29"/>
      <c r="ED908" s="29"/>
      <c r="EE908" s="29"/>
      <c r="EF908" s="111"/>
      <c r="EG908" s="111"/>
      <c r="EH908" s="111"/>
      <c r="EI908" s="111"/>
      <c r="EJ908" s="111"/>
      <c r="EK908" s="111"/>
      <c r="EL908" s="111"/>
      <c r="EM908" s="111"/>
      <c r="EN908" s="111"/>
      <c r="EO908" s="111"/>
      <c r="EP908" s="111"/>
      <c r="EQ908" s="111"/>
      <c r="ER908" s="111"/>
      <c r="ES908" s="111"/>
    </row>
    <row r="909" spans="44:149">
      <c r="AR909" s="29"/>
      <c r="AS909" s="29"/>
      <c r="AT909" s="29"/>
      <c r="AU909" s="29"/>
      <c r="AV909" s="29"/>
      <c r="AW909" s="29"/>
      <c r="AX909" s="29"/>
      <c r="AY909" s="29"/>
      <c r="AZ909" s="29"/>
      <c r="BA909" s="29"/>
      <c r="BB909" s="29"/>
      <c r="BC909" s="29"/>
      <c r="BD909" s="29"/>
      <c r="BE909" s="29"/>
      <c r="BF909" s="111"/>
      <c r="BG909" s="111"/>
      <c r="BH909" s="111"/>
      <c r="BI909" s="111"/>
      <c r="BJ909" s="111"/>
      <c r="BK909" s="111"/>
      <c r="BL909" s="111"/>
      <c r="BM909" s="111"/>
      <c r="BN909" s="111"/>
      <c r="BO909" s="111"/>
      <c r="BP909" s="111"/>
      <c r="BQ909" s="111"/>
      <c r="BR909" s="111"/>
      <c r="BS909" s="111"/>
      <c r="DR909" s="29"/>
      <c r="DS909" s="29"/>
      <c r="DT909" s="29"/>
      <c r="DU909" s="29"/>
      <c r="DV909" s="29"/>
      <c r="DW909" s="29"/>
      <c r="DX909" s="29"/>
      <c r="DY909" s="29"/>
      <c r="DZ909" s="29"/>
      <c r="EA909" s="29"/>
      <c r="EB909" s="29"/>
      <c r="EC909" s="29"/>
      <c r="ED909" s="29"/>
      <c r="EE909" s="29"/>
      <c r="EF909" s="111"/>
      <c r="EG909" s="111"/>
      <c r="EH909" s="111"/>
      <c r="EI909" s="111"/>
      <c r="EJ909" s="111"/>
      <c r="EK909" s="111"/>
      <c r="EL909" s="111"/>
      <c r="EM909" s="111"/>
      <c r="EN909" s="111"/>
      <c r="EO909" s="111"/>
      <c r="EP909" s="111"/>
      <c r="EQ909" s="111"/>
      <c r="ER909" s="111"/>
      <c r="ES909" s="111"/>
    </row>
    <row r="910" spans="44:149">
      <c r="AR910" s="29"/>
      <c r="AS910" s="29"/>
      <c r="AT910" s="29"/>
      <c r="AU910" s="29"/>
      <c r="AV910" s="29"/>
      <c r="AW910" s="29"/>
      <c r="AX910" s="29"/>
      <c r="AY910" s="29"/>
      <c r="AZ910" s="29"/>
      <c r="BA910" s="29"/>
      <c r="BB910" s="29"/>
      <c r="BC910" s="29"/>
      <c r="BD910" s="29"/>
      <c r="BE910" s="29"/>
      <c r="BF910" s="111"/>
      <c r="BG910" s="111"/>
      <c r="BH910" s="111"/>
      <c r="BI910" s="111"/>
      <c r="BJ910" s="111"/>
      <c r="BK910" s="111"/>
      <c r="BL910" s="111"/>
      <c r="BM910" s="111"/>
      <c r="BN910" s="111"/>
      <c r="BO910" s="111"/>
      <c r="BP910" s="111"/>
      <c r="BQ910" s="111"/>
      <c r="BR910" s="111"/>
      <c r="BS910" s="111"/>
      <c r="DR910" s="29"/>
      <c r="DS910" s="29"/>
      <c r="DT910" s="29"/>
      <c r="DU910" s="29"/>
      <c r="DV910" s="29"/>
      <c r="DW910" s="29"/>
      <c r="DX910" s="29"/>
      <c r="DY910" s="29"/>
      <c r="DZ910" s="29"/>
      <c r="EA910" s="29"/>
      <c r="EB910" s="29"/>
      <c r="EC910" s="29"/>
      <c r="ED910" s="29"/>
      <c r="EE910" s="29"/>
      <c r="EF910" s="111"/>
      <c r="EG910" s="111"/>
      <c r="EH910" s="111"/>
      <c r="EI910" s="111"/>
      <c r="EJ910" s="111"/>
      <c r="EK910" s="111"/>
      <c r="EL910" s="111"/>
      <c r="EM910" s="111"/>
      <c r="EN910" s="111"/>
      <c r="EO910" s="111"/>
      <c r="EP910" s="111"/>
      <c r="EQ910" s="111"/>
      <c r="ER910" s="111"/>
      <c r="ES910" s="111"/>
    </row>
    <row r="911" spans="44:149">
      <c r="AR911" s="29"/>
      <c r="AS911" s="29"/>
      <c r="AT911" s="29"/>
      <c r="AU911" s="29"/>
      <c r="AV911" s="29"/>
      <c r="AW911" s="29"/>
      <c r="AX911" s="29"/>
      <c r="AY911" s="29"/>
      <c r="AZ911" s="29"/>
      <c r="BA911" s="29"/>
      <c r="BB911" s="29"/>
      <c r="BC911" s="29"/>
      <c r="BD911" s="29"/>
      <c r="BE911" s="29"/>
      <c r="BF911" s="111"/>
      <c r="BG911" s="111"/>
      <c r="BH911" s="111"/>
      <c r="BI911" s="111"/>
      <c r="BJ911" s="111"/>
      <c r="BK911" s="111"/>
      <c r="BL911" s="111"/>
      <c r="BM911" s="111"/>
      <c r="BN911" s="111"/>
      <c r="BO911" s="111"/>
      <c r="BP911" s="111"/>
      <c r="BQ911" s="111"/>
      <c r="BR911" s="111"/>
      <c r="BS911" s="111"/>
      <c r="DR911" s="29"/>
      <c r="DS911" s="29"/>
      <c r="DT911" s="29"/>
      <c r="DU911" s="29"/>
      <c r="DV911" s="29"/>
      <c r="DW911" s="29"/>
      <c r="DX911" s="29"/>
      <c r="DY911" s="29"/>
      <c r="DZ911" s="29"/>
      <c r="EA911" s="29"/>
      <c r="EB911" s="29"/>
      <c r="EC911" s="29"/>
      <c r="ED911" s="29"/>
      <c r="EE911" s="29"/>
      <c r="EF911" s="111"/>
      <c r="EG911" s="111"/>
      <c r="EH911" s="111"/>
      <c r="EI911" s="111"/>
      <c r="EJ911" s="111"/>
      <c r="EK911" s="111"/>
      <c r="EL911" s="111"/>
      <c r="EM911" s="111"/>
      <c r="EN911" s="111"/>
      <c r="EO911" s="111"/>
      <c r="EP911" s="111"/>
      <c r="EQ911" s="111"/>
      <c r="ER911" s="111"/>
      <c r="ES911" s="111"/>
    </row>
    <row r="912" spans="44:149">
      <c r="AR912" s="29"/>
      <c r="AS912" s="29"/>
      <c r="AT912" s="29"/>
      <c r="AU912" s="29"/>
      <c r="AV912" s="29"/>
      <c r="AW912" s="29"/>
      <c r="AX912" s="29"/>
      <c r="AY912" s="29"/>
      <c r="AZ912" s="29"/>
      <c r="BA912" s="29"/>
      <c r="BB912" s="29"/>
      <c r="BC912" s="29"/>
      <c r="BD912" s="29"/>
      <c r="BE912" s="29"/>
      <c r="BF912" s="111"/>
      <c r="BG912" s="111"/>
      <c r="BH912" s="111"/>
      <c r="BI912" s="111"/>
      <c r="BJ912" s="111"/>
      <c r="BK912" s="111"/>
      <c r="BL912" s="111"/>
      <c r="BM912" s="111"/>
      <c r="BN912" s="111"/>
      <c r="BO912" s="111"/>
      <c r="BP912" s="111"/>
      <c r="BQ912" s="111"/>
      <c r="BR912" s="111"/>
      <c r="BS912" s="111"/>
      <c r="DR912" s="29"/>
      <c r="DS912" s="29"/>
      <c r="DT912" s="29"/>
      <c r="DU912" s="29"/>
      <c r="DV912" s="29"/>
      <c r="DW912" s="29"/>
      <c r="DX912" s="29"/>
      <c r="DY912" s="29"/>
      <c r="DZ912" s="29"/>
      <c r="EA912" s="29"/>
      <c r="EB912" s="29"/>
      <c r="EC912" s="29"/>
      <c r="ED912" s="29"/>
      <c r="EE912" s="29"/>
      <c r="EF912" s="111"/>
      <c r="EG912" s="111"/>
      <c r="EH912" s="111"/>
      <c r="EI912" s="111"/>
      <c r="EJ912" s="111"/>
      <c r="EK912" s="111"/>
      <c r="EL912" s="111"/>
      <c r="EM912" s="111"/>
      <c r="EN912" s="111"/>
      <c r="EO912" s="111"/>
      <c r="EP912" s="111"/>
      <c r="EQ912" s="111"/>
      <c r="ER912" s="111"/>
      <c r="ES912" s="111"/>
    </row>
    <row r="913" spans="44:149">
      <c r="AR913" s="29"/>
      <c r="AS913" s="29"/>
      <c r="AT913" s="29"/>
      <c r="AU913" s="29"/>
      <c r="AV913" s="29"/>
      <c r="AW913" s="29"/>
      <c r="AX913" s="29"/>
      <c r="AY913" s="29"/>
      <c r="AZ913" s="29"/>
      <c r="BA913" s="29"/>
      <c r="BB913" s="29"/>
      <c r="BC913" s="29"/>
      <c r="BD913" s="29"/>
      <c r="BE913" s="29"/>
      <c r="BF913" s="111"/>
      <c r="BG913" s="111"/>
      <c r="BH913" s="111"/>
      <c r="BI913" s="111"/>
      <c r="BJ913" s="111"/>
      <c r="BK913" s="111"/>
      <c r="BL913" s="111"/>
      <c r="BM913" s="111"/>
      <c r="BN913" s="111"/>
      <c r="BO913" s="111"/>
      <c r="BP913" s="111"/>
      <c r="BQ913" s="111"/>
      <c r="BR913" s="111"/>
      <c r="BS913" s="111"/>
      <c r="DR913" s="29"/>
      <c r="DS913" s="29"/>
      <c r="DT913" s="29"/>
      <c r="DU913" s="29"/>
      <c r="DV913" s="29"/>
      <c r="DW913" s="29"/>
      <c r="DX913" s="29"/>
      <c r="DY913" s="29"/>
      <c r="DZ913" s="29"/>
      <c r="EA913" s="29"/>
      <c r="EB913" s="29"/>
      <c r="EC913" s="29"/>
      <c r="ED913" s="29"/>
      <c r="EE913" s="29"/>
      <c r="EF913" s="111"/>
      <c r="EG913" s="111"/>
      <c r="EH913" s="111"/>
      <c r="EI913" s="111"/>
      <c r="EJ913" s="111"/>
      <c r="EK913" s="111"/>
      <c r="EL913" s="111"/>
      <c r="EM913" s="111"/>
      <c r="EN913" s="111"/>
      <c r="EO913" s="111"/>
      <c r="EP913" s="111"/>
      <c r="EQ913" s="111"/>
      <c r="ER913" s="111"/>
      <c r="ES913" s="111"/>
    </row>
    <row r="914" spans="44:149">
      <c r="AR914" s="29"/>
      <c r="AS914" s="29"/>
      <c r="AT914" s="29"/>
      <c r="AU914" s="29"/>
      <c r="AV914" s="29"/>
      <c r="AW914" s="29"/>
      <c r="AX914" s="29"/>
      <c r="AY914" s="29"/>
      <c r="AZ914" s="29"/>
      <c r="BA914" s="29"/>
      <c r="BB914" s="29"/>
      <c r="BC914" s="29"/>
      <c r="BD914" s="29"/>
      <c r="BE914" s="29"/>
      <c r="BF914" s="111"/>
      <c r="BG914" s="111"/>
      <c r="BH914" s="111"/>
      <c r="BI914" s="111"/>
      <c r="BJ914" s="111"/>
      <c r="BK914" s="111"/>
      <c r="BL914" s="111"/>
      <c r="BM914" s="111"/>
      <c r="BN914" s="111"/>
      <c r="BO914" s="111"/>
      <c r="BP914" s="111"/>
      <c r="BQ914" s="111"/>
      <c r="BR914" s="111"/>
      <c r="BS914" s="111"/>
      <c r="DR914" s="29"/>
      <c r="DS914" s="29"/>
      <c r="DT914" s="29"/>
      <c r="DU914" s="29"/>
      <c r="DV914" s="29"/>
      <c r="DW914" s="29"/>
      <c r="DX914" s="29"/>
      <c r="DY914" s="29"/>
      <c r="DZ914" s="29"/>
      <c r="EA914" s="29"/>
      <c r="EB914" s="29"/>
      <c r="EC914" s="29"/>
      <c r="ED914" s="29"/>
      <c r="EE914" s="29"/>
      <c r="EF914" s="111"/>
      <c r="EG914" s="111"/>
      <c r="EH914" s="111"/>
      <c r="EI914" s="111"/>
      <c r="EJ914" s="111"/>
      <c r="EK914" s="111"/>
      <c r="EL914" s="111"/>
      <c r="EM914" s="111"/>
      <c r="EN914" s="111"/>
      <c r="EO914" s="111"/>
      <c r="EP914" s="111"/>
      <c r="EQ914" s="111"/>
      <c r="ER914" s="111"/>
      <c r="ES914" s="111"/>
    </row>
    <row r="915" spans="44:149">
      <c r="AR915" s="29"/>
      <c r="AS915" s="29"/>
      <c r="AT915" s="29"/>
      <c r="AU915" s="29"/>
      <c r="AV915" s="29"/>
      <c r="AW915" s="29"/>
      <c r="AX915" s="29"/>
      <c r="AY915" s="29"/>
      <c r="AZ915" s="29"/>
      <c r="BA915" s="29"/>
      <c r="BB915" s="29"/>
      <c r="BC915" s="29"/>
      <c r="BD915" s="29"/>
      <c r="BE915" s="29"/>
      <c r="BF915" s="111"/>
      <c r="BG915" s="111"/>
      <c r="BH915" s="111"/>
      <c r="BI915" s="111"/>
      <c r="BJ915" s="111"/>
      <c r="BK915" s="111"/>
      <c r="BL915" s="111"/>
      <c r="BM915" s="111"/>
      <c r="BN915" s="111"/>
      <c r="BO915" s="111"/>
      <c r="BP915" s="111"/>
      <c r="BQ915" s="111"/>
      <c r="BR915" s="111"/>
      <c r="BS915" s="111"/>
      <c r="DR915" s="29"/>
      <c r="DS915" s="29"/>
      <c r="DT915" s="29"/>
      <c r="DU915" s="29"/>
      <c r="DV915" s="29"/>
      <c r="DW915" s="29"/>
      <c r="DX915" s="29"/>
      <c r="DY915" s="29"/>
      <c r="DZ915" s="29"/>
      <c r="EA915" s="29"/>
      <c r="EB915" s="29"/>
      <c r="EC915" s="29"/>
      <c r="ED915" s="29"/>
      <c r="EE915" s="29"/>
      <c r="EF915" s="111"/>
      <c r="EG915" s="111"/>
      <c r="EH915" s="111"/>
      <c r="EI915" s="111"/>
      <c r="EJ915" s="111"/>
      <c r="EK915" s="111"/>
      <c r="EL915" s="111"/>
      <c r="EM915" s="111"/>
      <c r="EN915" s="111"/>
      <c r="EO915" s="111"/>
      <c r="EP915" s="111"/>
      <c r="EQ915" s="111"/>
      <c r="ER915" s="111"/>
      <c r="ES915" s="111"/>
    </row>
    <row r="916" spans="44:149">
      <c r="AR916" s="29"/>
      <c r="AS916" s="29"/>
      <c r="AT916" s="29"/>
      <c r="AU916" s="29"/>
      <c r="AV916" s="29"/>
      <c r="AW916" s="29"/>
      <c r="AX916" s="29"/>
      <c r="AY916" s="29"/>
      <c r="AZ916" s="29"/>
      <c r="BA916" s="29"/>
      <c r="BB916" s="29"/>
      <c r="BC916" s="29"/>
      <c r="BD916" s="29"/>
      <c r="BE916" s="29"/>
      <c r="BF916" s="111"/>
      <c r="BG916" s="111"/>
      <c r="BH916" s="111"/>
      <c r="BI916" s="111"/>
      <c r="BJ916" s="111"/>
      <c r="BK916" s="111"/>
      <c r="BL916" s="111"/>
      <c r="BM916" s="111"/>
      <c r="BN916" s="111"/>
      <c r="BO916" s="111"/>
      <c r="BP916" s="111"/>
      <c r="BQ916" s="111"/>
      <c r="BR916" s="111"/>
      <c r="BS916" s="111"/>
      <c r="DR916" s="29"/>
      <c r="DS916" s="29"/>
      <c r="DT916" s="29"/>
      <c r="DU916" s="29"/>
      <c r="DV916" s="29"/>
      <c r="DW916" s="29"/>
      <c r="DX916" s="29"/>
      <c r="DY916" s="29"/>
      <c r="DZ916" s="29"/>
      <c r="EA916" s="29"/>
      <c r="EB916" s="29"/>
      <c r="EC916" s="29"/>
      <c r="ED916" s="29"/>
      <c r="EE916" s="29"/>
      <c r="EF916" s="111"/>
      <c r="EG916" s="111"/>
      <c r="EH916" s="111"/>
      <c r="EI916" s="111"/>
      <c r="EJ916" s="111"/>
      <c r="EK916" s="111"/>
      <c r="EL916" s="111"/>
      <c r="EM916" s="111"/>
      <c r="EN916" s="111"/>
      <c r="EO916" s="111"/>
      <c r="EP916" s="111"/>
      <c r="EQ916" s="111"/>
      <c r="ER916" s="111"/>
      <c r="ES916" s="111"/>
    </row>
    <row r="917" spans="44:149">
      <c r="AR917" s="29"/>
      <c r="AS917" s="29"/>
      <c r="AT917" s="29"/>
      <c r="AU917" s="29"/>
      <c r="AV917" s="29"/>
      <c r="AW917" s="29"/>
      <c r="AX917" s="29"/>
      <c r="AY917" s="29"/>
      <c r="AZ917" s="29"/>
      <c r="BA917" s="29"/>
      <c r="BB917" s="29"/>
      <c r="BC917" s="29"/>
      <c r="BD917" s="29"/>
      <c r="BE917" s="29"/>
      <c r="BF917" s="111"/>
      <c r="BG917" s="111"/>
      <c r="BH917" s="111"/>
      <c r="BI917" s="111"/>
      <c r="BJ917" s="111"/>
      <c r="BK917" s="111"/>
      <c r="BL917" s="111"/>
      <c r="BM917" s="111"/>
      <c r="BN917" s="111"/>
      <c r="BO917" s="111"/>
      <c r="BP917" s="111"/>
      <c r="BQ917" s="111"/>
      <c r="BR917" s="111"/>
      <c r="BS917" s="111"/>
      <c r="DR917" s="29"/>
      <c r="DS917" s="29"/>
      <c r="DT917" s="29"/>
      <c r="DU917" s="29"/>
      <c r="DV917" s="29"/>
      <c r="DW917" s="29"/>
      <c r="DX917" s="29"/>
      <c r="DY917" s="29"/>
      <c r="DZ917" s="29"/>
      <c r="EA917" s="29"/>
      <c r="EB917" s="29"/>
      <c r="EC917" s="29"/>
      <c r="ED917" s="29"/>
      <c r="EE917" s="29"/>
      <c r="EF917" s="111"/>
      <c r="EG917" s="111"/>
      <c r="EH917" s="111"/>
      <c r="EI917" s="111"/>
      <c r="EJ917" s="111"/>
      <c r="EK917" s="111"/>
      <c r="EL917" s="111"/>
      <c r="EM917" s="111"/>
      <c r="EN917" s="111"/>
      <c r="EO917" s="111"/>
      <c r="EP917" s="111"/>
      <c r="EQ917" s="111"/>
      <c r="ER917" s="111"/>
      <c r="ES917" s="111"/>
    </row>
    <row r="918" spans="44:149">
      <c r="AR918" s="29"/>
      <c r="AS918" s="29"/>
      <c r="AT918" s="29"/>
      <c r="AU918" s="29"/>
      <c r="AV918" s="29"/>
      <c r="AW918" s="29"/>
      <c r="AX918" s="29"/>
      <c r="AY918" s="29"/>
      <c r="AZ918" s="29"/>
      <c r="BA918" s="29"/>
      <c r="BB918" s="29"/>
      <c r="BC918" s="29"/>
      <c r="BD918" s="29"/>
      <c r="BE918" s="29"/>
      <c r="BF918" s="111"/>
      <c r="BG918" s="111"/>
      <c r="BH918" s="111"/>
      <c r="BI918" s="111"/>
      <c r="BJ918" s="111"/>
      <c r="BK918" s="111"/>
      <c r="BL918" s="111"/>
      <c r="BM918" s="111"/>
      <c r="BN918" s="111"/>
      <c r="BO918" s="111"/>
      <c r="BP918" s="111"/>
      <c r="BQ918" s="111"/>
      <c r="BR918" s="111"/>
      <c r="BS918" s="111"/>
      <c r="DR918" s="29"/>
      <c r="DS918" s="29"/>
      <c r="DT918" s="29"/>
      <c r="DU918" s="29"/>
      <c r="DV918" s="29"/>
      <c r="DW918" s="29"/>
      <c r="DX918" s="29"/>
      <c r="DY918" s="29"/>
      <c r="DZ918" s="29"/>
      <c r="EA918" s="29"/>
      <c r="EB918" s="29"/>
      <c r="EC918" s="29"/>
      <c r="ED918" s="29"/>
      <c r="EE918" s="29"/>
      <c r="EF918" s="111"/>
      <c r="EG918" s="111"/>
      <c r="EH918" s="111"/>
      <c r="EI918" s="111"/>
      <c r="EJ918" s="111"/>
      <c r="EK918" s="111"/>
      <c r="EL918" s="111"/>
      <c r="EM918" s="111"/>
      <c r="EN918" s="111"/>
      <c r="EO918" s="111"/>
      <c r="EP918" s="111"/>
      <c r="EQ918" s="111"/>
      <c r="ER918" s="111"/>
      <c r="ES918" s="111"/>
    </row>
    <row r="919" spans="44:149">
      <c r="AR919" s="29"/>
      <c r="AS919" s="29"/>
      <c r="AT919" s="29"/>
      <c r="AU919" s="29"/>
      <c r="AV919" s="29"/>
      <c r="AW919" s="29"/>
      <c r="AX919" s="29"/>
      <c r="AY919" s="29"/>
      <c r="AZ919" s="29"/>
      <c r="BA919" s="29"/>
      <c r="BB919" s="29"/>
      <c r="BC919" s="29"/>
      <c r="BD919" s="29"/>
      <c r="BE919" s="29"/>
      <c r="BF919" s="111"/>
      <c r="BG919" s="111"/>
      <c r="BH919" s="111"/>
      <c r="BI919" s="111"/>
      <c r="BJ919" s="111"/>
      <c r="BK919" s="111"/>
      <c r="BL919" s="111"/>
      <c r="BM919" s="111"/>
      <c r="BN919" s="111"/>
      <c r="BO919" s="111"/>
      <c r="BP919" s="111"/>
      <c r="BQ919" s="111"/>
      <c r="BR919" s="111"/>
      <c r="BS919" s="111"/>
      <c r="DR919" s="29"/>
      <c r="DS919" s="29"/>
      <c r="DT919" s="29"/>
      <c r="DU919" s="29"/>
      <c r="DV919" s="29"/>
      <c r="DW919" s="29"/>
      <c r="DX919" s="29"/>
      <c r="DY919" s="29"/>
      <c r="DZ919" s="29"/>
      <c r="EA919" s="29"/>
      <c r="EB919" s="29"/>
      <c r="EC919" s="29"/>
      <c r="ED919" s="29"/>
      <c r="EE919" s="29"/>
      <c r="EF919" s="111"/>
      <c r="EG919" s="111"/>
      <c r="EH919" s="111"/>
      <c r="EI919" s="111"/>
      <c r="EJ919" s="111"/>
      <c r="EK919" s="111"/>
      <c r="EL919" s="111"/>
      <c r="EM919" s="111"/>
      <c r="EN919" s="111"/>
      <c r="EO919" s="111"/>
      <c r="EP919" s="111"/>
      <c r="EQ919" s="111"/>
      <c r="ER919" s="111"/>
      <c r="ES919" s="111"/>
    </row>
    <row r="920" spans="44:149">
      <c r="AR920" s="29"/>
      <c r="AS920" s="29"/>
      <c r="AT920" s="29"/>
      <c r="AU920" s="29"/>
      <c r="AV920" s="29"/>
      <c r="AW920" s="29"/>
      <c r="AX920" s="29"/>
      <c r="AY920" s="29"/>
      <c r="AZ920" s="29"/>
      <c r="BA920" s="29"/>
      <c r="BB920" s="29"/>
      <c r="BC920" s="29"/>
      <c r="BD920" s="29"/>
      <c r="BE920" s="29"/>
      <c r="BF920" s="111"/>
      <c r="BG920" s="111"/>
      <c r="BH920" s="111"/>
      <c r="BI920" s="111"/>
      <c r="BJ920" s="111"/>
      <c r="BK920" s="111"/>
      <c r="BL920" s="111"/>
      <c r="BM920" s="111"/>
      <c r="BN920" s="111"/>
      <c r="BO920" s="111"/>
      <c r="BP920" s="111"/>
      <c r="BQ920" s="111"/>
      <c r="BR920" s="111"/>
      <c r="BS920" s="111"/>
      <c r="DR920" s="29"/>
      <c r="DS920" s="29"/>
      <c r="DT920" s="29"/>
      <c r="DU920" s="29"/>
      <c r="DV920" s="29"/>
      <c r="DW920" s="29"/>
      <c r="DX920" s="29"/>
      <c r="DY920" s="29"/>
      <c r="DZ920" s="29"/>
      <c r="EA920" s="29"/>
      <c r="EB920" s="29"/>
      <c r="EC920" s="29"/>
      <c r="ED920" s="29"/>
      <c r="EE920" s="29"/>
      <c r="EF920" s="111"/>
      <c r="EG920" s="111"/>
      <c r="EH920" s="111"/>
      <c r="EI920" s="111"/>
      <c r="EJ920" s="111"/>
      <c r="EK920" s="111"/>
      <c r="EL920" s="111"/>
      <c r="EM920" s="111"/>
      <c r="EN920" s="111"/>
      <c r="EO920" s="111"/>
      <c r="EP920" s="111"/>
      <c r="EQ920" s="111"/>
      <c r="ER920" s="111"/>
      <c r="ES920" s="111"/>
    </row>
    <row r="921" spans="44:149">
      <c r="AR921" s="29"/>
      <c r="AS921" s="29"/>
      <c r="AT921" s="29"/>
      <c r="AU921" s="29"/>
      <c r="AV921" s="29"/>
      <c r="AW921" s="29"/>
      <c r="AX921" s="29"/>
      <c r="AY921" s="29"/>
      <c r="AZ921" s="29"/>
      <c r="BA921" s="29"/>
      <c r="BB921" s="29"/>
      <c r="BC921" s="29"/>
      <c r="BD921" s="29"/>
      <c r="BE921" s="29"/>
      <c r="BF921" s="111"/>
      <c r="BG921" s="111"/>
      <c r="BH921" s="111"/>
      <c r="BI921" s="111"/>
      <c r="BJ921" s="111"/>
      <c r="BK921" s="111"/>
      <c r="BL921" s="111"/>
      <c r="BM921" s="111"/>
      <c r="BN921" s="111"/>
      <c r="BO921" s="111"/>
      <c r="BP921" s="111"/>
      <c r="BQ921" s="111"/>
      <c r="BR921" s="111"/>
      <c r="BS921" s="111"/>
      <c r="DR921" s="29"/>
      <c r="DS921" s="29"/>
      <c r="DT921" s="29"/>
      <c r="DU921" s="29"/>
      <c r="DV921" s="29"/>
      <c r="DW921" s="29"/>
      <c r="DX921" s="29"/>
      <c r="DY921" s="29"/>
      <c r="DZ921" s="29"/>
      <c r="EA921" s="29"/>
      <c r="EB921" s="29"/>
      <c r="EC921" s="29"/>
      <c r="ED921" s="29"/>
      <c r="EE921" s="29"/>
      <c r="EF921" s="111"/>
      <c r="EG921" s="111"/>
      <c r="EH921" s="111"/>
      <c r="EI921" s="111"/>
      <c r="EJ921" s="111"/>
      <c r="EK921" s="111"/>
      <c r="EL921" s="111"/>
      <c r="EM921" s="111"/>
      <c r="EN921" s="111"/>
      <c r="EO921" s="111"/>
      <c r="EP921" s="111"/>
      <c r="EQ921" s="111"/>
      <c r="ER921" s="111"/>
      <c r="ES921" s="111"/>
    </row>
    <row r="922" spans="44:149">
      <c r="AR922" s="29"/>
      <c r="AS922" s="29"/>
      <c r="AT922" s="29"/>
      <c r="AU922" s="29"/>
      <c r="AV922" s="29"/>
      <c r="AW922" s="29"/>
      <c r="AX922" s="29"/>
      <c r="AY922" s="29"/>
      <c r="AZ922" s="29"/>
      <c r="BA922" s="29"/>
      <c r="BB922" s="29"/>
      <c r="BC922" s="29"/>
      <c r="BD922" s="29"/>
      <c r="BE922" s="29"/>
      <c r="BF922" s="111"/>
      <c r="BG922" s="111"/>
      <c r="BH922" s="111"/>
      <c r="BI922" s="111"/>
      <c r="BJ922" s="111"/>
      <c r="BK922" s="111"/>
      <c r="BL922" s="111"/>
      <c r="BM922" s="111"/>
      <c r="BN922" s="111"/>
      <c r="BO922" s="111"/>
      <c r="BP922" s="111"/>
      <c r="BQ922" s="111"/>
      <c r="BR922" s="111"/>
      <c r="BS922" s="111"/>
      <c r="DR922" s="29"/>
      <c r="DS922" s="29"/>
      <c r="DT922" s="29"/>
      <c r="DU922" s="29"/>
      <c r="DV922" s="29"/>
      <c r="DW922" s="29"/>
      <c r="DX922" s="29"/>
      <c r="DY922" s="29"/>
      <c r="DZ922" s="29"/>
      <c r="EA922" s="29"/>
      <c r="EB922" s="29"/>
      <c r="EC922" s="29"/>
      <c r="ED922" s="29"/>
      <c r="EE922" s="29"/>
      <c r="EF922" s="111"/>
      <c r="EG922" s="111"/>
      <c r="EH922" s="111"/>
      <c r="EI922" s="111"/>
      <c r="EJ922" s="111"/>
      <c r="EK922" s="111"/>
      <c r="EL922" s="111"/>
      <c r="EM922" s="111"/>
      <c r="EN922" s="111"/>
      <c r="EO922" s="111"/>
      <c r="EP922" s="111"/>
      <c r="EQ922" s="111"/>
      <c r="ER922" s="111"/>
      <c r="ES922" s="111"/>
    </row>
    <row r="923" spans="44:149">
      <c r="AR923" s="29"/>
      <c r="AS923" s="29"/>
      <c r="AT923" s="29"/>
      <c r="AU923" s="29"/>
      <c r="AV923" s="29"/>
      <c r="AW923" s="29"/>
      <c r="AX923" s="29"/>
      <c r="AY923" s="29"/>
      <c r="AZ923" s="29"/>
      <c r="BA923" s="29"/>
      <c r="BB923" s="29"/>
      <c r="BC923" s="29"/>
      <c r="BD923" s="29"/>
      <c r="BE923" s="29"/>
      <c r="BF923" s="111"/>
      <c r="BG923" s="111"/>
      <c r="BH923" s="111"/>
      <c r="BI923" s="111"/>
      <c r="BJ923" s="111"/>
      <c r="BK923" s="111"/>
      <c r="BL923" s="111"/>
      <c r="BM923" s="111"/>
      <c r="BN923" s="111"/>
      <c r="BO923" s="111"/>
      <c r="BP923" s="111"/>
      <c r="BQ923" s="111"/>
      <c r="BR923" s="111"/>
      <c r="BS923" s="111"/>
      <c r="DR923" s="29"/>
      <c r="DS923" s="29"/>
      <c r="DT923" s="29"/>
      <c r="DU923" s="29"/>
      <c r="DV923" s="29"/>
      <c r="DW923" s="29"/>
      <c r="DX923" s="29"/>
      <c r="DY923" s="29"/>
      <c r="DZ923" s="29"/>
      <c r="EA923" s="29"/>
      <c r="EB923" s="29"/>
      <c r="EC923" s="29"/>
      <c r="ED923" s="29"/>
      <c r="EE923" s="29"/>
      <c r="EF923" s="111"/>
      <c r="EG923" s="111"/>
      <c r="EH923" s="111"/>
      <c r="EI923" s="111"/>
      <c r="EJ923" s="111"/>
      <c r="EK923" s="111"/>
      <c r="EL923" s="111"/>
      <c r="EM923" s="111"/>
      <c r="EN923" s="111"/>
      <c r="EO923" s="111"/>
      <c r="EP923" s="111"/>
      <c r="EQ923" s="111"/>
      <c r="ER923" s="111"/>
      <c r="ES923" s="111"/>
    </row>
    <row r="924" spans="44:149">
      <c r="AR924" s="29"/>
      <c r="AS924" s="29"/>
      <c r="AT924" s="29"/>
      <c r="AU924" s="29"/>
      <c r="AV924" s="29"/>
      <c r="AW924" s="29"/>
      <c r="AX924" s="29"/>
      <c r="AY924" s="29"/>
      <c r="AZ924" s="29"/>
      <c r="BA924" s="29"/>
      <c r="BB924" s="29"/>
      <c r="BC924" s="29"/>
      <c r="BD924" s="29"/>
      <c r="BE924" s="29"/>
      <c r="BF924" s="111"/>
      <c r="BG924" s="111"/>
      <c r="BH924" s="111"/>
      <c r="BI924" s="111"/>
      <c r="BJ924" s="111"/>
      <c r="BK924" s="111"/>
      <c r="BL924" s="111"/>
      <c r="BM924" s="111"/>
      <c r="BN924" s="111"/>
      <c r="BO924" s="111"/>
      <c r="BP924" s="111"/>
      <c r="BQ924" s="111"/>
      <c r="BR924" s="111"/>
      <c r="BS924" s="111"/>
      <c r="DR924" s="29"/>
      <c r="DS924" s="29"/>
      <c r="DT924" s="29"/>
      <c r="DU924" s="29"/>
      <c r="DV924" s="29"/>
      <c r="DW924" s="29"/>
      <c r="DX924" s="29"/>
      <c r="DY924" s="29"/>
      <c r="DZ924" s="29"/>
      <c r="EA924" s="29"/>
      <c r="EB924" s="29"/>
      <c r="EC924" s="29"/>
      <c r="ED924" s="29"/>
      <c r="EE924" s="29"/>
      <c r="EF924" s="111"/>
      <c r="EG924" s="111"/>
      <c r="EH924" s="111"/>
      <c r="EI924" s="111"/>
      <c r="EJ924" s="111"/>
      <c r="EK924" s="111"/>
      <c r="EL924" s="111"/>
      <c r="EM924" s="111"/>
      <c r="EN924" s="111"/>
      <c r="EO924" s="111"/>
      <c r="EP924" s="111"/>
      <c r="EQ924" s="111"/>
      <c r="ER924" s="111"/>
      <c r="ES924" s="111"/>
    </row>
    <row r="925" spans="44:149">
      <c r="AR925" s="29"/>
      <c r="AS925" s="29"/>
      <c r="AT925" s="29"/>
      <c r="AU925" s="29"/>
      <c r="AV925" s="29"/>
      <c r="AW925" s="29"/>
      <c r="AX925" s="29"/>
      <c r="AY925" s="29"/>
      <c r="AZ925" s="29"/>
      <c r="BA925" s="29"/>
      <c r="BB925" s="29"/>
      <c r="BC925" s="29"/>
      <c r="BD925" s="29"/>
      <c r="BE925" s="29"/>
      <c r="BF925" s="111"/>
      <c r="BG925" s="111"/>
      <c r="BH925" s="111"/>
      <c r="BI925" s="111"/>
      <c r="BJ925" s="111"/>
      <c r="BK925" s="111"/>
      <c r="BL925" s="111"/>
      <c r="BM925" s="111"/>
      <c r="BN925" s="111"/>
      <c r="BO925" s="111"/>
      <c r="BP925" s="111"/>
      <c r="BQ925" s="111"/>
      <c r="BR925" s="111"/>
      <c r="BS925" s="111"/>
      <c r="DR925" s="29"/>
      <c r="DS925" s="29"/>
      <c r="DT925" s="29"/>
      <c r="DU925" s="29"/>
      <c r="DV925" s="29"/>
      <c r="DW925" s="29"/>
      <c r="DX925" s="29"/>
      <c r="DY925" s="29"/>
      <c r="DZ925" s="29"/>
      <c r="EA925" s="29"/>
      <c r="EB925" s="29"/>
      <c r="EC925" s="29"/>
      <c r="ED925" s="29"/>
      <c r="EE925" s="29"/>
      <c r="EF925" s="111"/>
      <c r="EG925" s="111"/>
      <c r="EH925" s="111"/>
      <c r="EI925" s="111"/>
      <c r="EJ925" s="111"/>
      <c r="EK925" s="111"/>
      <c r="EL925" s="111"/>
      <c r="EM925" s="111"/>
      <c r="EN925" s="111"/>
      <c r="EO925" s="111"/>
      <c r="EP925" s="111"/>
      <c r="EQ925" s="111"/>
      <c r="ER925" s="111"/>
      <c r="ES925" s="111"/>
    </row>
    <row r="926" spans="44:149">
      <c r="AR926" s="29"/>
      <c r="AS926" s="29"/>
      <c r="AT926" s="29"/>
      <c r="AU926" s="29"/>
      <c r="AV926" s="29"/>
      <c r="AW926" s="29"/>
      <c r="AX926" s="29"/>
      <c r="AY926" s="29"/>
      <c r="AZ926" s="29"/>
      <c r="BA926" s="29"/>
      <c r="BB926" s="29"/>
      <c r="BC926" s="29"/>
      <c r="BD926" s="29"/>
      <c r="BE926" s="29"/>
      <c r="BF926" s="111"/>
      <c r="BG926" s="111"/>
      <c r="BH926" s="111"/>
      <c r="BI926" s="111"/>
      <c r="BJ926" s="111"/>
      <c r="BK926" s="111"/>
      <c r="BL926" s="111"/>
      <c r="BM926" s="111"/>
      <c r="BN926" s="111"/>
      <c r="BO926" s="111"/>
      <c r="BP926" s="111"/>
      <c r="BQ926" s="111"/>
      <c r="BR926" s="111"/>
      <c r="BS926" s="111"/>
      <c r="DR926" s="29"/>
      <c r="DS926" s="29"/>
      <c r="DT926" s="29"/>
      <c r="DU926" s="29"/>
      <c r="DV926" s="29"/>
      <c r="DW926" s="29"/>
      <c r="DX926" s="29"/>
      <c r="DY926" s="29"/>
      <c r="DZ926" s="29"/>
      <c r="EA926" s="29"/>
      <c r="EB926" s="29"/>
      <c r="EC926" s="29"/>
      <c r="ED926" s="29"/>
      <c r="EE926" s="29"/>
      <c r="EF926" s="111"/>
      <c r="EG926" s="111"/>
      <c r="EH926" s="111"/>
      <c r="EI926" s="111"/>
      <c r="EJ926" s="111"/>
      <c r="EK926" s="111"/>
      <c r="EL926" s="111"/>
      <c r="EM926" s="111"/>
      <c r="EN926" s="111"/>
      <c r="EO926" s="111"/>
      <c r="EP926" s="111"/>
      <c r="EQ926" s="111"/>
      <c r="ER926" s="111"/>
      <c r="ES926" s="111"/>
    </row>
    <row r="927" spans="44:149">
      <c r="AR927" s="29"/>
      <c r="AS927" s="29"/>
      <c r="AT927" s="29"/>
      <c r="AU927" s="29"/>
      <c r="AV927" s="29"/>
      <c r="AW927" s="29"/>
      <c r="AX927" s="29"/>
      <c r="AY927" s="29"/>
      <c r="AZ927" s="29"/>
      <c r="BA927" s="29"/>
      <c r="BB927" s="29"/>
      <c r="BC927" s="29"/>
      <c r="BD927" s="29"/>
      <c r="BE927" s="29"/>
      <c r="BF927" s="111"/>
      <c r="BG927" s="111"/>
      <c r="BH927" s="111"/>
      <c r="BI927" s="111"/>
      <c r="BJ927" s="111"/>
      <c r="BK927" s="111"/>
      <c r="BL927" s="111"/>
      <c r="BM927" s="111"/>
      <c r="BN927" s="111"/>
      <c r="BO927" s="111"/>
      <c r="BP927" s="111"/>
      <c r="BQ927" s="111"/>
      <c r="BR927" s="111"/>
      <c r="BS927" s="111"/>
      <c r="DR927" s="29"/>
      <c r="DS927" s="29"/>
      <c r="DT927" s="29"/>
      <c r="DU927" s="29"/>
      <c r="DV927" s="29"/>
      <c r="DW927" s="29"/>
      <c r="DX927" s="29"/>
      <c r="DY927" s="29"/>
      <c r="DZ927" s="29"/>
      <c r="EA927" s="29"/>
      <c r="EB927" s="29"/>
      <c r="EC927" s="29"/>
      <c r="ED927" s="29"/>
      <c r="EE927" s="29"/>
      <c r="EF927" s="111"/>
      <c r="EG927" s="111"/>
      <c r="EH927" s="111"/>
      <c r="EI927" s="111"/>
      <c r="EJ927" s="111"/>
      <c r="EK927" s="111"/>
      <c r="EL927" s="111"/>
      <c r="EM927" s="111"/>
      <c r="EN927" s="111"/>
      <c r="EO927" s="111"/>
      <c r="EP927" s="111"/>
      <c r="EQ927" s="111"/>
      <c r="ER927" s="111"/>
      <c r="ES927" s="111"/>
    </row>
    <row r="928" spans="44:149">
      <c r="AR928" s="29"/>
      <c r="AS928" s="29"/>
      <c r="AT928" s="29"/>
      <c r="AU928" s="29"/>
      <c r="AV928" s="29"/>
      <c r="AW928" s="29"/>
      <c r="AX928" s="29"/>
      <c r="AY928" s="29"/>
      <c r="AZ928" s="29"/>
      <c r="BA928" s="29"/>
      <c r="BB928" s="29"/>
      <c r="BC928" s="29"/>
      <c r="BD928" s="29"/>
      <c r="BE928" s="29"/>
      <c r="BF928" s="111"/>
      <c r="BG928" s="111"/>
      <c r="BH928" s="111"/>
      <c r="BI928" s="111"/>
      <c r="BJ928" s="111"/>
      <c r="BK928" s="111"/>
      <c r="BL928" s="111"/>
      <c r="BM928" s="111"/>
      <c r="BN928" s="111"/>
      <c r="BO928" s="111"/>
      <c r="BP928" s="111"/>
      <c r="BQ928" s="111"/>
      <c r="BR928" s="111"/>
      <c r="BS928" s="111"/>
      <c r="DR928" s="29"/>
      <c r="DS928" s="29"/>
      <c r="DT928" s="29"/>
      <c r="DU928" s="29"/>
      <c r="DV928" s="29"/>
      <c r="DW928" s="29"/>
      <c r="DX928" s="29"/>
      <c r="DY928" s="29"/>
      <c r="DZ928" s="29"/>
      <c r="EA928" s="29"/>
      <c r="EB928" s="29"/>
      <c r="EC928" s="29"/>
      <c r="ED928" s="29"/>
      <c r="EE928" s="29"/>
      <c r="EF928" s="111"/>
      <c r="EG928" s="111"/>
      <c r="EH928" s="111"/>
      <c r="EI928" s="111"/>
      <c r="EJ928" s="111"/>
      <c r="EK928" s="111"/>
      <c r="EL928" s="111"/>
      <c r="EM928" s="111"/>
      <c r="EN928" s="111"/>
      <c r="EO928" s="111"/>
      <c r="EP928" s="111"/>
      <c r="EQ928" s="111"/>
      <c r="ER928" s="111"/>
      <c r="ES928" s="111"/>
    </row>
    <row r="929" spans="44:149">
      <c r="AR929" s="29"/>
      <c r="AS929" s="29"/>
      <c r="AT929" s="29"/>
      <c r="AU929" s="29"/>
      <c r="AV929" s="29"/>
      <c r="AW929" s="29"/>
      <c r="AX929" s="29"/>
      <c r="AY929" s="29"/>
      <c r="AZ929" s="29"/>
      <c r="BA929" s="29"/>
      <c r="BB929" s="29"/>
      <c r="BC929" s="29"/>
      <c r="BD929" s="29"/>
      <c r="BE929" s="29"/>
      <c r="BF929" s="111"/>
      <c r="BG929" s="111"/>
      <c r="BH929" s="111"/>
      <c r="BI929" s="111"/>
      <c r="BJ929" s="111"/>
      <c r="BK929" s="111"/>
      <c r="BL929" s="111"/>
      <c r="BM929" s="111"/>
      <c r="BN929" s="111"/>
      <c r="BO929" s="111"/>
      <c r="BP929" s="111"/>
      <c r="BQ929" s="111"/>
      <c r="BR929" s="111"/>
      <c r="BS929" s="111"/>
      <c r="DR929" s="29"/>
      <c r="DS929" s="29"/>
      <c r="DT929" s="29"/>
      <c r="DU929" s="29"/>
      <c r="DV929" s="29"/>
      <c r="DW929" s="29"/>
      <c r="DX929" s="29"/>
      <c r="DY929" s="29"/>
      <c r="DZ929" s="29"/>
      <c r="EA929" s="29"/>
      <c r="EB929" s="29"/>
      <c r="EC929" s="29"/>
      <c r="ED929" s="29"/>
      <c r="EE929" s="29"/>
      <c r="EF929" s="111"/>
      <c r="EG929" s="111"/>
      <c r="EH929" s="111"/>
      <c r="EI929" s="111"/>
      <c r="EJ929" s="111"/>
      <c r="EK929" s="111"/>
      <c r="EL929" s="111"/>
      <c r="EM929" s="111"/>
      <c r="EN929" s="111"/>
      <c r="EO929" s="111"/>
      <c r="EP929" s="111"/>
      <c r="EQ929" s="111"/>
      <c r="ER929" s="111"/>
      <c r="ES929" s="111"/>
    </row>
    <row r="930" spans="44:149">
      <c r="AR930" s="29"/>
      <c r="AS930" s="29"/>
      <c r="AT930" s="29"/>
      <c r="AU930" s="29"/>
      <c r="AV930" s="29"/>
      <c r="AW930" s="29"/>
      <c r="AX930" s="29"/>
      <c r="AY930" s="29"/>
      <c r="AZ930" s="29"/>
      <c r="BA930" s="29"/>
      <c r="BB930" s="29"/>
      <c r="BC930" s="29"/>
      <c r="BD930" s="29"/>
      <c r="BE930" s="29"/>
      <c r="BF930" s="111"/>
      <c r="BG930" s="111"/>
      <c r="BH930" s="111"/>
      <c r="BI930" s="111"/>
      <c r="BJ930" s="111"/>
      <c r="BK930" s="111"/>
      <c r="BL930" s="111"/>
      <c r="BM930" s="111"/>
      <c r="BN930" s="111"/>
      <c r="BO930" s="111"/>
      <c r="BP930" s="111"/>
      <c r="BQ930" s="111"/>
      <c r="BR930" s="111"/>
      <c r="BS930" s="111"/>
      <c r="DR930" s="29"/>
      <c r="DS930" s="29"/>
      <c r="DT930" s="29"/>
      <c r="DU930" s="29"/>
      <c r="DV930" s="29"/>
      <c r="DW930" s="29"/>
      <c r="DX930" s="29"/>
      <c r="DY930" s="29"/>
      <c r="DZ930" s="29"/>
      <c r="EA930" s="29"/>
      <c r="EB930" s="29"/>
      <c r="EC930" s="29"/>
      <c r="ED930" s="29"/>
      <c r="EE930" s="29"/>
      <c r="EF930" s="111"/>
      <c r="EG930" s="111"/>
      <c r="EH930" s="111"/>
      <c r="EI930" s="111"/>
      <c r="EJ930" s="111"/>
      <c r="EK930" s="111"/>
      <c r="EL930" s="111"/>
      <c r="EM930" s="111"/>
      <c r="EN930" s="111"/>
      <c r="EO930" s="111"/>
      <c r="EP930" s="111"/>
      <c r="EQ930" s="111"/>
      <c r="ER930" s="111"/>
      <c r="ES930" s="111"/>
    </row>
    <row r="931" spans="44:149">
      <c r="AR931" s="29"/>
      <c r="AS931" s="29"/>
      <c r="AT931" s="29"/>
      <c r="AU931" s="29"/>
      <c r="AV931" s="29"/>
      <c r="AW931" s="29"/>
      <c r="AX931" s="29"/>
      <c r="AY931" s="29"/>
      <c r="AZ931" s="29"/>
      <c r="BA931" s="29"/>
      <c r="BB931" s="29"/>
      <c r="BC931" s="29"/>
      <c r="BD931" s="29"/>
      <c r="BE931" s="29"/>
      <c r="BF931" s="111"/>
      <c r="BG931" s="111"/>
      <c r="BH931" s="111"/>
      <c r="BI931" s="111"/>
      <c r="BJ931" s="111"/>
      <c r="BK931" s="111"/>
      <c r="BL931" s="111"/>
      <c r="BM931" s="111"/>
      <c r="BN931" s="111"/>
      <c r="BO931" s="111"/>
      <c r="BP931" s="111"/>
      <c r="BQ931" s="111"/>
      <c r="BR931" s="111"/>
      <c r="BS931" s="111"/>
      <c r="DR931" s="29"/>
      <c r="DS931" s="29"/>
      <c r="DT931" s="29"/>
      <c r="DU931" s="29"/>
      <c r="DV931" s="29"/>
      <c r="DW931" s="29"/>
      <c r="DX931" s="29"/>
      <c r="DY931" s="29"/>
      <c r="DZ931" s="29"/>
      <c r="EA931" s="29"/>
      <c r="EB931" s="29"/>
      <c r="EC931" s="29"/>
      <c r="ED931" s="29"/>
      <c r="EE931" s="29"/>
      <c r="EF931" s="111"/>
      <c r="EG931" s="111"/>
      <c r="EH931" s="111"/>
      <c r="EI931" s="111"/>
      <c r="EJ931" s="111"/>
      <c r="EK931" s="111"/>
      <c r="EL931" s="111"/>
      <c r="EM931" s="111"/>
      <c r="EN931" s="111"/>
      <c r="EO931" s="111"/>
      <c r="EP931" s="111"/>
      <c r="EQ931" s="111"/>
      <c r="ER931" s="111"/>
      <c r="ES931" s="111"/>
    </row>
    <row r="932" spans="44:149">
      <c r="AR932" s="29"/>
      <c r="AS932" s="29"/>
      <c r="AT932" s="29"/>
      <c r="AU932" s="29"/>
      <c r="AV932" s="29"/>
      <c r="AW932" s="29"/>
      <c r="AX932" s="29"/>
      <c r="AY932" s="29"/>
      <c r="AZ932" s="29"/>
      <c r="BA932" s="29"/>
      <c r="BB932" s="29"/>
      <c r="BC932" s="29"/>
      <c r="BD932" s="29"/>
      <c r="BE932" s="29"/>
      <c r="BF932" s="111"/>
      <c r="BG932" s="111"/>
      <c r="BH932" s="111"/>
      <c r="BI932" s="111"/>
      <c r="BJ932" s="111"/>
      <c r="BK932" s="111"/>
      <c r="BL932" s="111"/>
      <c r="BM932" s="111"/>
      <c r="BN932" s="111"/>
      <c r="BO932" s="111"/>
      <c r="BP932" s="111"/>
      <c r="BQ932" s="111"/>
      <c r="BR932" s="111"/>
      <c r="BS932" s="111"/>
      <c r="DR932" s="29"/>
      <c r="DS932" s="29"/>
      <c r="DT932" s="29"/>
      <c r="DU932" s="29"/>
      <c r="DV932" s="29"/>
      <c r="DW932" s="29"/>
      <c r="DX932" s="29"/>
      <c r="DY932" s="29"/>
      <c r="DZ932" s="29"/>
      <c r="EA932" s="29"/>
      <c r="EB932" s="29"/>
      <c r="EC932" s="29"/>
      <c r="ED932" s="29"/>
      <c r="EE932" s="29"/>
      <c r="EF932" s="111"/>
      <c r="EG932" s="111"/>
      <c r="EH932" s="111"/>
      <c r="EI932" s="111"/>
      <c r="EJ932" s="111"/>
      <c r="EK932" s="111"/>
      <c r="EL932" s="111"/>
      <c r="EM932" s="111"/>
      <c r="EN932" s="111"/>
      <c r="EO932" s="111"/>
      <c r="EP932" s="111"/>
      <c r="EQ932" s="111"/>
      <c r="ER932" s="111"/>
      <c r="ES932" s="111"/>
    </row>
    <row r="933" spans="44:149">
      <c r="AR933" s="29"/>
      <c r="AS933" s="29"/>
      <c r="AT933" s="29"/>
      <c r="AU933" s="29"/>
      <c r="AV933" s="29"/>
      <c r="AW933" s="29"/>
      <c r="AX933" s="29"/>
      <c r="AY933" s="29"/>
      <c r="AZ933" s="29"/>
      <c r="BA933" s="29"/>
      <c r="BB933" s="29"/>
      <c r="BC933" s="29"/>
      <c r="BD933" s="29"/>
      <c r="BE933" s="29"/>
      <c r="BF933" s="111"/>
      <c r="BG933" s="111"/>
      <c r="BH933" s="111"/>
      <c r="BI933" s="111"/>
      <c r="BJ933" s="111"/>
      <c r="BK933" s="111"/>
      <c r="BL933" s="111"/>
      <c r="BM933" s="111"/>
      <c r="BN933" s="111"/>
      <c r="BO933" s="111"/>
      <c r="BP933" s="111"/>
      <c r="BQ933" s="111"/>
      <c r="BR933" s="111"/>
      <c r="BS933" s="111"/>
      <c r="DR933" s="29"/>
      <c r="DS933" s="29"/>
      <c r="DT933" s="29"/>
      <c r="DU933" s="29"/>
      <c r="DV933" s="29"/>
      <c r="DW933" s="29"/>
      <c r="DX933" s="29"/>
      <c r="DY933" s="29"/>
      <c r="DZ933" s="29"/>
      <c r="EA933" s="29"/>
      <c r="EB933" s="29"/>
      <c r="EC933" s="29"/>
      <c r="ED933" s="29"/>
      <c r="EE933" s="29"/>
      <c r="EF933" s="111"/>
      <c r="EG933" s="111"/>
      <c r="EH933" s="111"/>
      <c r="EI933" s="111"/>
      <c r="EJ933" s="111"/>
      <c r="EK933" s="111"/>
      <c r="EL933" s="111"/>
      <c r="EM933" s="111"/>
      <c r="EN933" s="111"/>
      <c r="EO933" s="111"/>
      <c r="EP933" s="111"/>
      <c r="EQ933" s="111"/>
      <c r="ER933" s="111"/>
      <c r="ES933" s="111"/>
    </row>
    <row r="934" spans="44:149">
      <c r="AR934" s="29"/>
      <c r="AS934" s="29"/>
      <c r="AT934" s="29"/>
      <c r="AU934" s="29"/>
      <c r="AV934" s="29"/>
      <c r="AW934" s="29"/>
      <c r="AX934" s="29"/>
      <c r="AY934" s="29"/>
      <c r="AZ934" s="29"/>
      <c r="BA934" s="29"/>
      <c r="BB934" s="29"/>
      <c r="BC934" s="29"/>
      <c r="BD934" s="29"/>
      <c r="BE934" s="29"/>
      <c r="BF934" s="111"/>
      <c r="BG934" s="111"/>
      <c r="BH934" s="111"/>
      <c r="BI934" s="111"/>
      <c r="BJ934" s="111"/>
      <c r="BK934" s="111"/>
      <c r="BL934" s="111"/>
      <c r="BM934" s="111"/>
      <c r="BN934" s="111"/>
      <c r="BO934" s="111"/>
      <c r="BP934" s="111"/>
      <c r="BQ934" s="111"/>
      <c r="BR934" s="111"/>
      <c r="BS934" s="111"/>
      <c r="DR934" s="29"/>
      <c r="DS934" s="29"/>
      <c r="DT934" s="29"/>
      <c r="DU934" s="29"/>
      <c r="DV934" s="29"/>
      <c r="DW934" s="29"/>
      <c r="DX934" s="29"/>
      <c r="DY934" s="29"/>
      <c r="DZ934" s="29"/>
      <c r="EA934" s="29"/>
      <c r="EB934" s="29"/>
      <c r="EC934" s="29"/>
      <c r="ED934" s="29"/>
      <c r="EE934" s="29"/>
      <c r="EF934" s="111"/>
      <c r="EG934" s="111"/>
      <c r="EH934" s="111"/>
      <c r="EI934" s="111"/>
      <c r="EJ934" s="111"/>
      <c r="EK934" s="111"/>
      <c r="EL934" s="111"/>
      <c r="EM934" s="111"/>
      <c r="EN934" s="111"/>
      <c r="EO934" s="111"/>
      <c r="EP934" s="111"/>
      <c r="EQ934" s="111"/>
      <c r="ER934" s="111"/>
      <c r="ES934" s="111"/>
    </row>
    <row r="935" spans="44:149">
      <c r="AR935" s="29"/>
      <c r="AS935" s="29"/>
      <c r="AT935" s="29"/>
      <c r="AU935" s="29"/>
      <c r="AV935" s="29"/>
      <c r="AW935" s="29"/>
      <c r="AX935" s="29"/>
      <c r="AY935" s="29"/>
      <c r="AZ935" s="29"/>
      <c r="BA935" s="29"/>
      <c r="BB935" s="29"/>
      <c r="BC935" s="29"/>
      <c r="BD935" s="29"/>
      <c r="BE935" s="29"/>
      <c r="BF935" s="111"/>
      <c r="BG935" s="111"/>
      <c r="BH935" s="111"/>
      <c r="BI935" s="111"/>
      <c r="BJ935" s="111"/>
      <c r="BK935" s="111"/>
      <c r="BL935" s="111"/>
      <c r="BM935" s="111"/>
      <c r="BN935" s="111"/>
      <c r="BO935" s="111"/>
      <c r="BP935" s="111"/>
      <c r="BQ935" s="111"/>
      <c r="BR935" s="111"/>
      <c r="BS935" s="111"/>
      <c r="DR935" s="29"/>
      <c r="DS935" s="29"/>
      <c r="DT935" s="29"/>
      <c r="DU935" s="29"/>
      <c r="DV935" s="29"/>
      <c r="DW935" s="29"/>
      <c r="DX935" s="29"/>
      <c r="DY935" s="29"/>
      <c r="DZ935" s="29"/>
      <c r="EA935" s="29"/>
      <c r="EB935" s="29"/>
      <c r="EC935" s="29"/>
      <c r="ED935" s="29"/>
      <c r="EE935" s="29"/>
      <c r="EF935" s="111"/>
      <c r="EG935" s="111"/>
      <c r="EH935" s="111"/>
      <c r="EI935" s="111"/>
      <c r="EJ935" s="111"/>
      <c r="EK935" s="111"/>
      <c r="EL935" s="111"/>
      <c r="EM935" s="111"/>
      <c r="EN935" s="111"/>
      <c r="EO935" s="111"/>
      <c r="EP935" s="111"/>
      <c r="EQ935" s="111"/>
      <c r="ER935" s="111"/>
      <c r="ES935" s="111"/>
    </row>
    <row r="936" spans="44:149">
      <c r="AR936" s="29"/>
      <c r="AS936" s="29"/>
      <c r="AT936" s="29"/>
      <c r="AU936" s="29"/>
      <c r="AV936" s="29"/>
      <c r="AW936" s="29"/>
      <c r="AX936" s="29"/>
      <c r="AY936" s="29"/>
      <c r="AZ936" s="29"/>
      <c r="BA936" s="29"/>
      <c r="BB936" s="29"/>
      <c r="BC936" s="29"/>
      <c r="BD936" s="29"/>
      <c r="BE936" s="29"/>
      <c r="BF936" s="111"/>
      <c r="BG936" s="111"/>
      <c r="BH936" s="111"/>
      <c r="BI936" s="111"/>
      <c r="BJ936" s="111"/>
      <c r="BK936" s="111"/>
      <c r="BL936" s="111"/>
      <c r="BM936" s="111"/>
      <c r="BN936" s="111"/>
      <c r="BO936" s="111"/>
      <c r="BP936" s="111"/>
      <c r="BQ936" s="111"/>
      <c r="BR936" s="111"/>
      <c r="BS936" s="111"/>
      <c r="DR936" s="29"/>
      <c r="DS936" s="29"/>
      <c r="DT936" s="29"/>
      <c r="DU936" s="29"/>
      <c r="DV936" s="29"/>
      <c r="DW936" s="29"/>
      <c r="DX936" s="29"/>
      <c r="DY936" s="29"/>
      <c r="DZ936" s="29"/>
      <c r="EA936" s="29"/>
      <c r="EB936" s="29"/>
      <c r="EC936" s="29"/>
      <c r="ED936" s="29"/>
      <c r="EE936" s="29"/>
      <c r="EF936" s="111"/>
      <c r="EG936" s="111"/>
      <c r="EH936" s="111"/>
      <c r="EI936" s="111"/>
      <c r="EJ936" s="111"/>
      <c r="EK936" s="111"/>
      <c r="EL936" s="111"/>
      <c r="EM936" s="111"/>
      <c r="EN936" s="111"/>
      <c r="EO936" s="111"/>
      <c r="EP936" s="111"/>
      <c r="EQ936" s="111"/>
      <c r="ER936" s="111"/>
      <c r="ES936" s="111"/>
    </row>
    <row r="937" spans="44:149">
      <c r="AR937" s="29"/>
      <c r="AS937" s="29"/>
      <c r="AT937" s="29"/>
      <c r="AU937" s="29"/>
      <c r="AV937" s="29"/>
      <c r="AW937" s="29"/>
      <c r="AX937" s="29"/>
      <c r="AY937" s="29"/>
      <c r="AZ937" s="29"/>
      <c r="BA937" s="29"/>
      <c r="BB937" s="29"/>
      <c r="BC937" s="29"/>
      <c r="BD937" s="29"/>
      <c r="BE937" s="29"/>
      <c r="BF937" s="111"/>
      <c r="BG937" s="111"/>
      <c r="BH937" s="111"/>
      <c r="BI937" s="111"/>
      <c r="BJ937" s="111"/>
      <c r="BK937" s="111"/>
      <c r="BL937" s="111"/>
      <c r="BM937" s="111"/>
      <c r="BN937" s="111"/>
      <c r="BO937" s="111"/>
      <c r="BP937" s="111"/>
      <c r="BQ937" s="111"/>
      <c r="BR937" s="111"/>
      <c r="BS937" s="111"/>
      <c r="DR937" s="29"/>
      <c r="DS937" s="29"/>
      <c r="DT937" s="29"/>
      <c r="DU937" s="29"/>
      <c r="DV937" s="29"/>
      <c r="DW937" s="29"/>
      <c r="DX937" s="29"/>
      <c r="DY937" s="29"/>
      <c r="DZ937" s="29"/>
      <c r="EA937" s="29"/>
      <c r="EB937" s="29"/>
      <c r="EC937" s="29"/>
      <c r="ED937" s="29"/>
      <c r="EE937" s="29"/>
      <c r="EF937" s="111"/>
      <c r="EG937" s="111"/>
      <c r="EH937" s="111"/>
      <c r="EI937" s="111"/>
      <c r="EJ937" s="111"/>
      <c r="EK937" s="111"/>
      <c r="EL937" s="111"/>
      <c r="EM937" s="111"/>
      <c r="EN937" s="111"/>
      <c r="EO937" s="111"/>
      <c r="EP937" s="111"/>
      <c r="EQ937" s="111"/>
      <c r="ER937" s="111"/>
      <c r="ES937" s="111"/>
    </row>
    <row r="938" spans="44:149">
      <c r="AR938" s="29"/>
      <c r="AS938" s="29"/>
      <c r="AT938" s="29"/>
      <c r="AU938" s="29"/>
      <c r="AV938" s="29"/>
      <c r="AW938" s="29"/>
      <c r="AX938" s="29"/>
      <c r="AY938" s="29"/>
      <c r="AZ938" s="29"/>
      <c r="BA938" s="29"/>
      <c r="BB938" s="29"/>
      <c r="BC938" s="29"/>
      <c r="BD938" s="29"/>
      <c r="BE938" s="29"/>
      <c r="BF938" s="111"/>
      <c r="BG938" s="111"/>
      <c r="BH938" s="111"/>
      <c r="BI938" s="111"/>
      <c r="BJ938" s="111"/>
      <c r="BK938" s="111"/>
      <c r="BL938" s="111"/>
      <c r="BM938" s="111"/>
      <c r="BN938" s="111"/>
      <c r="BO938" s="111"/>
      <c r="BP938" s="111"/>
      <c r="BQ938" s="111"/>
      <c r="BR938" s="111"/>
      <c r="BS938" s="111"/>
      <c r="DR938" s="29"/>
      <c r="DS938" s="29"/>
      <c r="DT938" s="29"/>
      <c r="DU938" s="29"/>
      <c r="DV938" s="29"/>
      <c r="DW938" s="29"/>
      <c r="DX938" s="29"/>
      <c r="DY938" s="29"/>
      <c r="DZ938" s="29"/>
      <c r="EA938" s="29"/>
      <c r="EB938" s="29"/>
      <c r="EC938" s="29"/>
      <c r="ED938" s="29"/>
      <c r="EE938" s="29"/>
      <c r="EF938" s="111"/>
      <c r="EG938" s="111"/>
      <c r="EH938" s="111"/>
      <c r="EI938" s="111"/>
      <c r="EJ938" s="111"/>
      <c r="EK938" s="111"/>
      <c r="EL938" s="111"/>
      <c r="EM938" s="111"/>
      <c r="EN938" s="111"/>
      <c r="EO938" s="111"/>
      <c r="EP938" s="111"/>
      <c r="EQ938" s="111"/>
      <c r="ER938" s="111"/>
      <c r="ES938" s="111"/>
    </row>
    <row r="939" spans="44:149">
      <c r="AR939" s="29"/>
      <c r="AS939" s="29"/>
      <c r="AT939" s="29"/>
      <c r="AU939" s="29"/>
      <c r="AV939" s="29"/>
      <c r="AW939" s="29"/>
      <c r="AX939" s="29"/>
      <c r="AY939" s="29"/>
      <c r="AZ939" s="29"/>
      <c r="BA939" s="29"/>
      <c r="BB939" s="29"/>
      <c r="BC939" s="29"/>
      <c r="BD939" s="29"/>
      <c r="BE939" s="29"/>
      <c r="BF939" s="111"/>
      <c r="BG939" s="111"/>
      <c r="BH939" s="111"/>
      <c r="BI939" s="111"/>
      <c r="BJ939" s="111"/>
      <c r="BK939" s="111"/>
      <c r="BL939" s="111"/>
      <c r="BM939" s="111"/>
      <c r="BN939" s="111"/>
      <c r="BO939" s="111"/>
      <c r="BP939" s="111"/>
      <c r="BQ939" s="111"/>
      <c r="BR939" s="111"/>
      <c r="BS939" s="111"/>
      <c r="DR939" s="29"/>
      <c r="DS939" s="29"/>
      <c r="DT939" s="29"/>
      <c r="DU939" s="29"/>
      <c r="DV939" s="29"/>
      <c r="DW939" s="29"/>
      <c r="DX939" s="29"/>
      <c r="DY939" s="29"/>
      <c r="DZ939" s="29"/>
      <c r="EA939" s="29"/>
      <c r="EB939" s="29"/>
      <c r="EC939" s="29"/>
      <c r="ED939" s="29"/>
      <c r="EE939" s="29"/>
      <c r="EF939" s="111"/>
      <c r="EG939" s="111"/>
      <c r="EH939" s="111"/>
      <c r="EI939" s="111"/>
      <c r="EJ939" s="111"/>
      <c r="EK939" s="111"/>
      <c r="EL939" s="111"/>
      <c r="EM939" s="111"/>
      <c r="EN939" s="111"/>
      <c r="EO939" s="111"/>
      <c r="EP939" s="111"/>
      <c r="EQ939" s="111"/>
      <c r="ER939" s="111"/>
      <c r="ES939" s="111"/>
    </row>
    <row r="940" spans="44:149">
      <c r="AR940" s="29"/>
      <c r="AS940" s="29"/>
      <c r="AT940" s="29"/>
      <c r="AU940" s="29"/>
      <c r="AV940" s="29"/>
      <c r="AW940" s="29"/>
      <c r="AX940" s="29"/>
      <c r="AY940" s="29"/>
      <c r="AZ940" s="29"/>
      <c r="BA940" s="29"/>
      <c r="BB940" s="29"/>
      <c r="BC940" s="29"/>
      <c r="BD940" s="29"/>
      <c r="BE940" s="29"/>
      <c r="BF940" s="111"/>
      <c r="BG940" s="111"/>
      <c r="BH940" s="111"/>
      <c r="BI940" s="111"/>
      <c r="BJ940" s="111"/>
      <c r="BK940" s="111"/>
      <c r="BL940" s="111"/>
      <c r="BM940" s="111"/>
      <c r="BN940" s="111"/>
      <c r="BO940" s="111"/>
      <c r="BP940" s="111"/>
      <c r="BQ940" s="111"/>
      <c r="BR940" s="111"/>
      <c r="BS940" s="111"/>
      <c r="DR940" s="29"/>
      <c r="DS940" s="29"/>
      <c r="DT940" s="29"/>
      <c r="DU940" s="29"/>
      <c r="DV940" s="29"/>
      <c r="DW940" s="29"/>
      <c r="DX940" s="29"/>
      <c r="DY940" s="29"/>
      <c r="DZ940" s="29"/>
      <c r="EA940" s="29"/>
      <c r="EB940" s="29"/>
      <c r="EC940" s="29"/>
      <c r="ED940" s="29"/>
      <c r="EE940" s="29"/>
      <c r="EF940" s="111"/>
      <c r="EG940" s="111"/>
      <c r="EH940" s="111"/>
      <c r="EI940" s="111"/>
      <c r="EJ940" s="111"/>
      <c r="EK940" s="111"/>
      <c r="EL940" s="111"/>
      <c r="EM940" s="111"/>
      <c r="EN940" s="111"/>
      <c r="EO940" s="111"/>
      <c r="EP940" s="111"/>
      <c r="EQ940" s="111"/>
      <c r="ER940" s="111"/>
      <c r="ES940" s="111"/>
    </row>
    <row r="941" spans="44:149">
      <c r="AR941" s="29"/>
      <c r="AS941" s="29"/>
      <c r="AT941" s="29"/>
      <c r="AU941" s="29"/>
      <c r="AV941" s="29"/>
      <c r="AW941" s="29"/>
      <c r="AX941" s="29"/>
      <c r="AY941" s="29"/>
      <c r="AZ941" s="29"/>
      <c r="BA941" s="29"/>
      <c r="BB941" s="29"/>
      <c r="BC941" s="29"/>
      <c r="BD941" s="29"/>
      <c r="BE941" s="29"/>
      <c r="BF941" s="111"/>
      <c r="BG941" s="111"/>
      <c r="BH941" s="111"/>
      <c r="BI941" s="111"/>
      <c r="BJ941" s="111"/>
      <c r="BK941" s="111"/>
      <c r="BL941" s="111"/>
      <c r="BM941" s="111"/>
      <c r="BN941" s="111"/>
      <c r="BO941" s="111"/>
      <c r="BP941" s="111"/>
      <c r="BQ941" s="111"/>
      <c r="BR941" s="111"/>
      <c r="BS941" s="111"/>
      <c r="DR941" s="29"/>
      <c r="DS941" s="29"/>
      <c r="DT941" s="29"/>
      <c r="DU941" s="29"/>
      <c r="DV941" s="29"/>
      <c r="DW941" s="29"/>
      <c r="DX941" s="29"/>
      <c r="DY941" s="29"/>
      <c r="DZ941" s="29"/>
      <c r="EA941" s="29"/>
      <c r="EB941" s="29"/>
      <c r="EC941" s="29"/>
      <c r="ED941" s="29"/>
      <c r="EE941" s="29"/>
      <c r="EF941" s="111"/>
      <c r="EG941" s="111"/>
      <c r="EH941" s="111"/>
      <c r="EI941" s="111"/>
      <c r="EJ941" s="111"/>
      <c r="EK941" s="111"/>
      <c r="EL941" s="111"/>
      <c r="EM941" s="111"/>
      <c r="EN941" s="111"/>
      <c r="EO941" s="111"/>
      <c r="EP941" s="111"/>
      <c r="EQ941" s="111"/>
      <c r="ER941" s="111"/>
      <c r="ES941" s="111"/>
    </row>
    <row r="942" spans="44:149">
      <c r="AR942" s="29"/>
      <c r="AS942" s="29"/>
      <c r="AT942" s="29"/>
      <c r="AU942" s="29"/>
      <c r="AV942" s="29"/>
      <c r="AW942" s="29"/>
      <c r="AX942" s="29"/>
      <c r="AY942" s="29"/>
      <c r="AZ942" s="29"/>
      <c r="BA942" s="29"/>
      <c r="BB942" s="29"/>
      <c r="BC942" s="29"/>
      <c r="BD942" s="29"/>
      <c r="BE942" s="29"/>
      <c r="BF942" s="111"/>
      <c r="BG942" s="111"/>
      <c r="BH942" s="111"/>
      <c r="BI942" s="111"/>
      <c r="BJ942" s="111"/>
      <c r="BK942" s="111"/>
      <c r="BL942" s="111"/>
      <c r="BM942" s="111"/>
      <c r="BN942" s="111"/>
      <c r="BO942" s="111"/>
      <c r="BP942" s="111"/>
      <c r="BQ942" s="111"/>
      <c r="BR942" s="111"/>
      <c r="BS942" s="111"/>
      <c r="DR942" s="29"/>
      <c r="DS942" s="29"/>
      <c r="DT942" s="29"/>
      <c r="DU942" s="29"/>
      <c r="DV942" s="29"/>
      <c r="DW942" s="29"/>
      <c r="DX942" s="29"/>
      <c r="DY942" s="29"/>
      <c r="DZ942" s="29"/>
      <c r="EA942" s="29"/>
      <c r="EB942" s="29"/>
      <c r="EC942" s="29"/>
      <c r="ED942" s="29"/>
      <c r="EE942" s="29"/>
      <c r="EF942" s="111"/>
      <c r="EG942" s="111"/>
      <c r="EH942" s="111"/>
      <c r="EI942" s="111"/>
      <c r="EJ942" s="111"/>
      <c r="EK942" s="111"/>
      <c r="EL942" s="111"/>
      <c r="EM942" s="111"/>
      <c r="EN942" s="111"/>
      <c r="EO942" s="111"/>
      <c r="EP942" s="111"/>
      <c r="EQ942" s="111"/>
      <c r="ER942" s="111"/>
      <c r="ES942" s="111"/>
    </row>
    <row r="943" spans="44:149">
      <c r="AR943" s="29"/>
      <c r="AS943" s="29"/>
      <c r="AT943" s="29"/>
      <c r="AU943" s="29"/>
      <c r="AV943" s="29"/>
      <c r="AW943" s="29"/>
      <c r="AX943" s="29"/>
      <c r="AY943" s="29"/>
      <c r="AZ943" s="29"/>
      <c r="BA943" s="29"/>
      <c r="BB943" s="29"/>
      <c r="BC943" s="29"/>
      <c r="BD943" s="29"/>
      <c r="BE943" s="29"/>
      <c r="BF943" s="111"/>
      <c r="BG943" s="111"/>
      <c r="BH943" s="111"/>
      <c r="BI943" s="111"/>
      <c r="BJ943" s="111"/>
      <c r="BK943" s="111"/>
      <c r="BL943" s="111"/>
      <c r="BM943" s="111"/>
      <c r="BN943" s="111"/>
      <c r="BO943" s="111"/>
      <c r="BP943" s="111"/>
      <c r="BQ943" s="111"/>
      <c r="BR943" s="111"/>
      <c r="BS943" s="111"/>
      <c r="DR943" s="29"/>
      <c r="DS943" s="29"/>
      <c r="DT943" s="29"/>
      <c r="DU943" s="29"/>
      <c r="DV943" s="29"/>
      <c r="DW943" s="29"/>
      <c r="DX943" s="29"/>
      <c r="DY943" s="29"/>
      <c r="DZ943" s="29"/>
      <c r="EA943" s="29"/>
      <c r="EB943" s="29"/>
      <c r="EC943" s="29"/>
      <c r="ED943" s="29"/>
      <c r="EE943" s="29"/>
      <c r="EF943" s="111"/>
      <c r="EG943" s="111"/>
      <c r="EH943" s="111"/>
      <c r="EI943" s="111"/>
      <c r="EJ943" s="111"/>
      <c r="EK943" s="111"/>
      <c r="EL943" s="111"/>
      <c r="EM943" s="111"/>
      <c r="EN943" s="111"/>
      <c r="EO943" s="111"/>
      <c r="EP943" s="111"/>
      <c r="EQ943" s="111"/>
      <c r="ER943" s="111"/>
      <c r="ES943" s="111"/>
    </row>
    <row r="944" spans="44:149">
      <c r="AR944" s="29"/>
      <c r="AS944" s="29"/>
      <c r="AT944" s="29"/>
      <c r="AU944" s="29"/>
      <c r="AV944" s="29"/>
      <c r="AW944" s="29"/>
      <c r="AX944" s="29"/>
      <c r="AY944" s="29"/>
      <c r="AZ944" s="29"/>
      <c r="BA944" s="29"/>
      <c r="BB944" s="29"/>
      <c r="BC944" s="29"/>
      <c r="BD944" s="29"/>
      <c r="BE944" s="29"/>
      <c r="BF944" s="111"/>
      <c r="BG944" s="111"/>
      <c r="BH944" s="111"/>
      <c r="BI944" s="111"/>
      <c r="BJ944" s="111"/>
      <c r="BK944" s="111"/>
      <c r="BL944" s="111"/>
      <c r="BM944" s="111"/>
      <c r="BN944" s="111"/>
      <c r="BO944" s="111"/>
      <c r="BP944" s="111"/>
      <c r="BQ944" s="111"/>
      <c r="BR944" s="111"/>
      <c r="BS944" s="111"/>
      <c r="DR944" s="29"/>
      <c r="DS944" s="29"/>
      <c r="DT944" s="29"/>
      <c r="DU944" s="29"/>
      <c r="DV944" s="29"/>
      <c r="DW944" s="29"/>
      <c r="DX944" s="29"/>
      <c r="DY944" s="29"/>
      <c r="DZ944" s="29"/>
      <c r="EA944" s="29"/>
      <c r="EB944" s="29"/>
      <c r="EC944" s="29"/>
      <c r="ED944" s="29"/>
      <c r="EE944" s="29"/>
      <c r="EF944" s="111"/>
      <c r="EG944" s="111"/>
      <c r="EH944" s="111"/>
      <c r="EI944" s="111"/>
      <c r="EJ944" s="111"/>
      <c r="EK944" s="111"/>
      <c r="EL944" s="111"/>
      <c r="EM944" s="111"/>
      <c r="EN944" s="111"/>
      <c r="EO944" s="111"/>
      <c r="EP944" s="111"/>
      <c r="EQ944" s="111"/>
      <c r="ER944" s="111"/>
      <c r="ES944" s="111"/>
    </row>
    <row r="945" spans="44:149">
      <c r="AR945" s="29"/>
      <c r="AS945" s="29"/>
      <c r="AT945" s="29"/>
      <c r="AU945" s="29"/>
      <c r="AV945" s="29"/>
      <c r="AW945" s="29"/>
      <c r="AX945" s="29"/>
      <c r="AY945" s="29"/>
      <c r="AZ945" s="29"/>
      <c r="BA945" s="29"/>
      <c r="BB945" s="29"/>
      <c r="BC945" s="29"/>
      <c r="BD945" s="29"/>
      <c r="BE945" s="29"/>
      <c r="BF945" s="111"/>
      <c r="BG945" s="111"/>
      <c r="BH945" s="111"/>
      <c r="BI945" s="111"/>
      <c r="BJ945" s="111"/>
      <c r="BK945" s="111"/>
      <c r="BL945" s="111"/>
      <c r="BM945" s="111"/>
      <c r="BN945" s="111"/>
      <c r="BO945" s="111"/>
      <c r="BP945" s="111"/>
      <c r="BQ945" s="111"/>
      <c r="BR945" s="111"/>
      <c r="BS945" s="111"/>
      <c r="DR945" s="29"/>
      <c r="DS945" s="29"/>
      <c r="DT945" s="29"/>
      <c r="DU945" s="29"/>
      <c r="DV945" s="29"/>
      <c r="DW945" s="29"/>
      <c r="DX945" s="29"/>
      <c r="DY945" s="29"/>
      <c r="DZ945" s="29"/>
      <c r="EA945" s="29"/>
      <c r="EB945" s="29"/>
      <c r="EC945" s="29"/>
      <c r="ED945" s="29"/>
      <c r="EE945" s="29"/>
      <c r="EF945" s="111"/>
      <c r="EG945" s="111"/>
      <c r="EH945" s="111"/>
      <c r="EI945" s="111"/>
      <c r="EJ945" s="111"/>
      <c r="EK945" s="111"/>
      <c r="EL945" s="111"/>
      <c r="EM945" s="111"/>
      <c r="EN945" s="111"/>
      <c r="EO945" s="111"/>
      <c r="EP945" s="111"/>
      <c r="EQ945" s="111"/>
      <c r="ER945" s="111"/>
      <c r="ES945" s="111"/>
    </row>
    <row r="946" spans="44:149">
      <c r="AR946" s="29"/>
      <c r="AS946" s="29"/>
      <c r="AT946" s="29"/>
      <c r="AU946" s="29"/>
      <c r="AV946" s="29"/>
      <c r="AW946" s="29"/>
      <c r="AX946" s="29"/>
      <c r="AY946" s="29"/>
      <c r="AZ946" s="29"/>
      <c r="BA946" s="29"/>
      <c r="BB946" s="29"/>
      <c r="BC946" s="29"/>
      <c r="BD946" s="29"/>
      <c r="BE946" s="29"/>
      <c r="BF946" s="111"/>
      <c r="BG946" s="111"/>
      <c r="BH946" s="111"/>
      <c r="BI946" s="111"/>
      <c r="BJ946" s="111"/>
      <c r="BK946" s="111"/>
      <c r="BL946" s="111"/>
      <c r="BM946" s="111"/>
      <c r="BN946" s="111"/>
      <c r="BO946" s="111"/>
      <c r="BP946" s="111"/>
      <c r="BQ946" s="111"/>
      <c r="BR946" s="111"/>
      <c r="BS946" s="111"/>
      <c r="DR946" s="29"/>
      <c r="DS946" s="29"/>
      <c r="DT946" s="29"/>
      <c r="DU946" s="29"/>
      <c r="DV946" s="29"/>
      <c r="DW946" s="29"/>
      <c r="DX946" s="29"/>
      <c r="DY946" s="29"/>
      <c r="DZ946" s="29"/>
      <c r="EA946" s="29"/>
      <c r="EB946" s="29"/>
      <c r="EC946" s="29"/>
      <c r="ED946" s="29"/>
      <c r="EE946" s="29"/>
      <c r="EF946" s="111"/>
      <c r="EG946" s="111"/>
      <c r="EH946" s="111"/>
      <c r="EI946" s="111"/>
      <c r="EJ946" s="111"/>
      <c r="EK946" s="111"/>
      <c r="EL946" s="111"/>
      <c r="EM946" s="111"/>
      <c r="EN946" s="111"/>
      <c r="EO946" s="111"/>
      <c r="EP946" s="111"/>
      <c r="EQ946" s="111"/>
      <c r="ER946" s="111"/>
      <c r="ES946" s="111"/>
    </row>
    <row r="947" spans="44:149">
      <c r="AR947" s="29"/>
      <c r="AS947" s="29"/>
      <c r="AT947" s="29"/>
      <c r="AU947" s="29"/>
      <c r="AV947" s="29"/>
      <c r="AW947" s="29"/>
      <c r="AX947" s="29"/>
      <c r="AY947" s="29"/>
      <c r="AZ947" s="29"/>
      <c r="BA947" s="29"/>
      <c r="BB947" s="29"/>
      <c r="BC947" s="29"/>
      <c r="BD947" s="29"/>
      <c r="BE947" s="29"/>
      <c r="BF947" s="111"/>
      <c r="BG947" s="111"/>
      <c r="BH947" s="111"/>
      <c r="BI947" s="111"/>
      <c r="BJ947" s="111"/>
      <c r="BK947" s="111"/>
      <c r="BL947" s="111"/>
      <c r="BM947" s="111"/>
      <c r="BN947" s="111"/>
      <c r="BO947" s="111"/>
      <c r="BP947" s="111"/>
      <c r="BQ947" s="111"/>
      <c r="BR947" s="111"/>
      <c r="BS947" s="111"/>
      <c r="DR947" s="29"/>
      <c r="DS947" s="29"/>
      <c r="DT947" s="29"/>
      <c r="DU947" s="29"/>
      <c r="DV947" s="29"/>
      <c r="DW947" s="29"/>
      <c r="DX947" s="29"/>
      <c r="DY947" s="29"/>
      <c r="DZ947" s="29"/>
      <c r="EA947" s="29"/>
      <c r="EB947" s="29"/>
      <c r="EC947" s="29"/>
      <c r="ED947" s="29"/>
      <c r="EE947" s="29"/>
      <c r="EF947" s="111"/>
      <c r="EG947" s="111"/>
      <c r="EH947" s="111"/>
      <c r="EI947" s="111"/>
      <c r="EJ947" s="111"/>
      <c r="EK947" s="111"/>
      <c r="EL947" s="111"/>
      <c r="EM947" s="111"/>
      <c r="EN947" s="111"/>
      <c r="EO947" s="111"/>
      <c r="EP947" s="111"/>
      <c r="EQ947" s="111"/>
      <c r="ER947" s="111"/>
      <c r="ES947" s="111"/>
    </row>
    <row r="948" spans="44:149">
      <c r="AR948" s="29"/>
      <c r="AS948" s="29"/>
      <c r="AT948" s="29"/>
      <c r="AU948" s="29"/>
      <c r="AV948" s="29"/>
      <c r="AW948" s="29"/>
      <c r="AX948" s="29"/>
      <c r="AY948" s="29"/>
      <c r="AZ948" s="29"/>
      <c r="BA948" s="29"/>
      <c r="BB948" s="29"/>
      <c r="BC948" s="29"/>
      <c r="BD948" s="29"/>
      <c r="BE948" s="29"/>
      <c r="BF948" s="111"/>
      <c r="BG948" s="111"/>
      <c r="BH948" s="111"/>
      <c r="BI948" s="111"/>
      <c r="BJ948" s="111"/>
      <c r="BK948" s="111"/>
      <c r="BL948" s="111"/>
      <c r="BM948" s="111"/>
      <c r="BN948" s="111"/>
      <c r="BO948" s="111"/>
      <c r="BP948" s="111"/>
      <c r="BQ948" s="111"/>
      <c r="BR948" s="111"/>
      <c r="BS948" s="111"/>
      <c r="DR948" s="29"/>
      <c r="DS948" s="29"/>
      <c r="DT948" s="29"/>
      <c r="DU948" s="29"/>
      <c r="DV948" s="29"/>
      <c r="DW948" s="29"/>
      <c r="DX948" s="29"/>
      <c r="DY948" s="29"/>
      <c r="DZ948" s="29"/>
      <c r="EA948" s="29"/>
      <c r="EB948" s="29"/>
      <c r="EC948" s="29"/>
      <c r="ED948" s="29"/>
      <c r="EE948" s="29"/>
      <c r="EF948" s="111"/>
      <c r="EG948" s="111"/>
      <c r="EH948" s="111"/>
      <c r="EI948" s="111"/>
      <c r="EJ948" s="111"/>
      <c r="EK948" s="111"/>
      <c r="EL948" s="111"/>
      <c r="EM948" s="111"/>
      <c r="EN948" s="111"/>
      <c r="EO948" s="111"/>
      <c r="EP948" s="111"/>
      <c r="EQ948" s="111"/>
      <c r="ER948" s="111"/>
      <c r="ES948" s="111"/>
    </row>
    <row r="949" spans="44:149">
      <c r="AR949" s="29"/>
      <c r="AS949" s="29"/>
      <c r="AT949" s="29"/>
      <c r="AU949" s="29"/>
      <c r="AV949" s="29"/>
      <c r="AW949" s="29"/>
      <c r="AX949" s="29"/>
      <c r="AY949" s="29"/>
      <c r="AZ949" s="29"/>
      <c r="BA949" s="29"/>
      <c r="BB949" s="29"/>
      <c r="BC949" s="29"/>
      <c r="BD949" s="29"/>
      <c r="BE949" s="29"/>
      <c r="BF949" s="111"/>
      <c r="BG949" s="111"/>
      <c r="BH949" s="111"/>
      <c r="BI949" s="111"/>
      <c r="BJ949" s="111"/>
      <c r="BK949" s="111"/>
      <c r="BL949" s="111"/>
      <c r="BM949" s="111"/>
      <c r="BN949" s="111"/>
      <c r="BO949" s="111"/>
      <c r="BP949" s="111"/>
      <c r="BQ949" s="111"/>
      <c r="BR949" s="111"/>
      <c r="BS949" s="111"/>
      <c r="DR949" s="29"/>
      <c r="DS949" s="29"/>
      <c r="DT949" s="29"/>
      <c r="DU949" s="29"/>
      <c r="DV949" s="29"/>
      <c r="DW949" s="29"/>
      <c r="DX949" s="29"/>
      <c r="DY949" s="29"/>
      <c r="DZ949" s="29"/>
      <c r="EA949" s="29"/>
      <c r="EB949" s="29"/>
      <c r="EC949" s="29"/>
      <c r="ED949" s="29"/>
      <c r="EE949" s="29"/>
      <c r="EF949" s="111"/>
      <c r="EG949" s="111"/>
      <c r="EH949" s="111"/>
      <c r="EI949" s="111"/>
      <c r="EJ949" s="111"/>
      <c r="EK949" s="111"/>
      <c r="EL949" s="111"/>
      <c r="EM949" s="111"/>
      <c r="EN949" s="111"/>
      <c r="EO949" s="111"/>
      <c r="EP949" s="111"/>
      <c r="EQ949" s="111"/>
      <c r="ER949" s="111"/>
      <c r="ES949" s="111"/>
    </row>
    <row r="950" spans="44:149">
      <c r="AR950" s="29"/>
      <c r="AS950" s="29"/>
      <c r="AT950" s="29"/>
      <c r="AU950" s="29"/>
      <c r="AV950" s="29"/>
      <c r="AW950" s="29"/>
      <c r="AX950" s="29"/>
      <c r="AY950" s="29"/>
      <c r="AZ950" s="29"/>
      <c r="BA950" s="29"/>
      <c r="BB950" s="29"/>
      <c r="BC950" s="29"/>
      <c r="BD950" s="29"/>
      <c r="BE950" s="29"/>
      <c r="BF950" s="111"/>
      <c r="BG950" s="111"/>
      <c r="BH950" s="111"/>
      <c r="BI950" s="111"/>
      <c r="BJ950" s="111"/>
      <c r="BK950" s="111"/>
      <c r="BL950" s="111"/>
      <c r="BM950" s="111"/>
      <c r="BN950" s="111"/>
      <c r="BO950" s="111"/>
      <c r="BP950" s="111"/>
      <c r="BQ950" s="111"/>
      <c r="BR950" s="111"/>
      <c r="BS950" s="111"/>
      <c r="DR950" s="29"/>
      <c r="DS950" s="29"/>
      <c r="DT950" s="29"/>
      <c r="DU950" s="29"/>
      <c r="DV950" s="29"/>
      <c r="DW950" s="29"/>
      <c r="DX950" s="29"/>
      <c r="DY950" s="29"/>
      <c r="DZ950" s="29"/>
      <c r="EA950" s="29"/>
      <c r="EB950" s="29"/>
      <c r="EC950" s="29"/>
      <c r="ED950" s="29"/>
      <c r="EE950" s="29"/>
      <c r="EF950" s="111"/>
      <c r="EG950" s="111"/>
      <c r="EH950" s="111"/>
      <c r="EI950" s="111"/>
      <c r="EJ950" s="111"/>
      <c r="EK950" s="111"/>
      <c r="EL950" s="111"/>
      <c r="EM950" s="111"/>
      <c r="EN950" s="111"/>
      <c r="EO950" s="111"/>
      <c r="EP950" s="111"/>
      <c r="EQ950" s="111"/>
      <c r="ER950" s="111"/>
      <c r="ES950" s="111"/>
    </row>
    <row r="951" spans="44:149">
      <c r="AR951" s="29"/>
      <c r="AS951" s="29"/>
      <c r="AT951" s="29"/>
      <c r="AU951" s="29"/>
      <c r="AV951" s="29"/>
      <c r="AW951" s="29"/>
      <c r="AX951" s="29"/>
      <c r="AY951" s="29"/>
      <c r="AZ951" s="29"/>
      <c r="BA951" s="29"/>
      <c r="BB951" s="29"/>
      <c r="BC951" s="29"/>
      <c r="BD951" s="29"/>
      <c r="BE951" s="29"/>
      <c r="BF951" s="111"/>
      <c r="BG951" s="111"/>
      <c r="BH951" s="111"/>
      <c r="BI951" s="111"/>
      <c r="BJ951" s="111"/>
      <c r="BK951" s="111"/>
      <c r="BL951" s="111"/>
      <c r="BM951" s="111"/>
      <c r="BN951" s="111"/>
      <c r="BO951" s="111"/>
      <c r="BP951" s="111"/>
      <c r="BQ951" s="111"/>
      <c r="BR951" s="111"/>
      <c r="BS951" s="111"/>
      <c r="DR951" s="29"/>
      <c r="DS951" s="29"/>
      <c r="DT951" s="29"/>
      <c r="DU951" s="29"/>
      <c r="DV951" s="29"/>
      <c r="DW951" s="29"/>
      <c r="DX951" s="29"/>
      <c r="DY951" s="29"/>
      <c r="DZ951" s="29"/>
      <c r="EA951" s="29"/>
      <c r="EB951" s="29"/>
      <c r="EC951" s="29"/>
      <c r="ED951" s="29"/>
      <c r="EE951" s="29"/>
      <c r="EF951" s="111"/>
      <c r="EG951" s="111"/>
      <c r="EH951" s="111"/>
      <c r="EI951" s="111"/>
      <c r="EJ951" s="111"/>
      <c r="EK951" s="111"/>
      <c r="EL951" s="111"/>
      <c r="EM951" s="111"/>
      <c r="EN951" s="111"/>
      <c r="EO951" s="111"/>
      <c r="EP951" s="111"/>
      <c r="EQ951" s="111"/>
      <c r="ER951" s="111"/>
      <c r="ES951" s="111"/>
    </row>
    <row r="952" spans="44:149">
      <c r="AR952" s="29"/>
      <c r="AS952" s="29"/>
      <c r="AT952" s="29"/>
      <c r="AU952" s="29"/>
      <c r="AV952" s="29"/>
      <c r="AW952" s="29"/>
      <c r="AX952" s="29"/>
      <c r="AY952" s="29"/>
      <c r="AZ952" s="29"/>
      <c r="BA952" s="29"/>
      <c r="BB952" s="29"/>
      <c r="BC952" s="29"/>
      <c r="BD952" s="29"/>
      <c r="BE952" s="29"/>
      <c r="BF952" s="111"/>
      <c r="BG952" s="111"/>
      <c r="BH952" s="111"/>
      <c r="BI952" s="111"/>
      <c r="BJ952" s="111"/>
      <c r="BK952" s="111"/>
      <c r="BL952" s="111"/>
      <c r="BM952" s="111"/>
      <c r="BN952" s="111"/>
      <c r="BO952" s="111"/>
      <c r="BP952" s="111"/>
      <c r="BQ952" s="111"/>
      <c r="BR952" s="111"/>
      <c r="BS952" s="111"/>
      <c r="DR952" s="29"/>
      <c r="DS952" s="29"/>
      <c r="DT952" s="29"/>
      <c r="DU952" s="29"/>
      <c r="DV952" s="29"/>
      <c r="DW952" s="29"/>
      <c r="DX952" s="29"/>
      <c r="DY952" s="29"/>
      <c r="DZ952" s="29"/>
      <c r="EA952" s="29"/>
      <c r="EB952" s="29"/>
      <c r="EC952" s="29"/>
      <c r="ED952" s="29"/>
      <c r="EE952" s="29"/>
      <c r="EF952" s="111"/>
      <c r="EG952" s="111"/>
      <c r="EH952" s="111"/>
      <c r="EI952" s="111"/>
      <c r="EJ952" s="111"/>
      <c r="EK952" s="111"/>
      <c r="EL952" s="111"/>
      <c r="EM952" s="111"/>
      <c r="EN952" s="111"/>
      <c r="EO952" s="111"/>
      <c r="EP952" s="111"/>
      <c r="EQ952" s="111"/>
      <c r="ER952" s="111"/>
      <c r="ES952" s="111"/>
    </row>
    <row r="953" spans="44:149">
      <c r="AR953" s="29"/>
      <c r="AS953" s="29"/>
      <c r="AT953" s="29"/>
      <c r="AU953" s="29"/>
      <c r="AV953" s="29"/>
      <c r="AW953" s="29"/>
      <c r="AX953" s="29"/>
      <c r="AY953" s="29"/>
      <c r="AZ953" s="29"/>
      <c r="BA953" s="29"/>
      <c r="BB953" s="29"/>
      <c r="BC953" s="29"/>
      <c r="BD953" s="29"/>
      <c r="BE953" s="29"/>
      <c r="BF953" s="111"/>
      <c r="BG953" s="111"/>
      <c r="BH953" s="111"/>
      <c r="BI953" s="111"/>
      <c r="BJ953" s="111"/>
      <c r="BK953" s="111"/>
      <c r="BL953" s="111"/>
      <c r="BM953" s="111"/>
      <c r="BN953" s="111"/>
      <c r="BO953" s="111"/>
      <c r="BP953" s="111"/>
      <c r="BQ953" s="111"/>
      <c r="BR953" s="111"/>
      <c r="BS953" s="111"/>
      <c r="DR953" s="29"/>
      <c r="DS953" s="29"/>
      <c r="DT953" s="29"/>
      <c r="DU953" s="29"/>
      <c r="DV953" s="29"/>
      <c r="DW953" s="29"/>
      <c r="DX953" s="29"/>
      <c r="DY953" s="29"/>
      <c r="DZ953" s="29"/>
      <c r="EA953" s="29"/>
      <c r="EB953" s="29"/>
      <c r="EC953" s="29"/>
      <c r="ED953" s="29"/>
      <c r="EE953" s="29"/>
      <c r="EF953" s="111"/>
      <c r="EG953" s="111"/>
      <c r="EH953" s="111"/>
      <c r="EI953" s="111"/>
      <c r="EJ953" s="111"/>
      <c r="EK953" s="111"/>
      <c r="EL953" s="111"/>
      <c r="EM953" s="111"/>
      <c r="EN953" s="111"/>
      <c r="EO953" s="111"/>
      <c r="EP953" s="111"/>
      <c r="EQ953" s="111"/>
      <c r="ER953" s="111"/>
      <c r="ES953" s="111"/>
    </row>
    <row r="954" spans="44:149">
      <c r="AR954" s="29"/>
      <c r="AS954" s="29"/>
      <c r="AT954" s="29"/>
      <c r="AU954" s="29"/>
      <c r="AV954" s="29"/>
      <c r="AW954" s="29"/>
      <c r="AX954" s="29"/>
      <c r="AY954" s="29"/>
      <c r="AZ954" s="29"/>
      <c r="BA954" s="29"/>
      <c r="BB954" s="29"/>
      <c r="BC954" s="29"/>
      <c r="BD954" s="29"/>
      <c r="BE954" s="29"/>
      <c r="BF954" s="111"/>
      <c r="BG954" s="111"/>
      <c r="BH954" s="111"/>
      <c r="BI954" s="111"/>
      <c r="BJ954" s="111"/>
      <c r="BK954" s="111"/>
      <c r="BL954" s="111"/>
      <c r="BM954" s="111"/>
      <c r="BN954" s="111"/>
      <c r="BO954" s="111"/>
      <c r="BP954" s="111"/>
      <c r="BQ954" s="111"/>
      <c r="BR954" s="111"/>
      <c r="BS954" s="111"/>
      <c r="DR954" s="29"/>
      <c r="DS954" s="29"/>
      <c r="DT954" s="29"/>
      <c r="DU954" s="29"/>
      <c r="DV954" s="29"/>
      <c r="DW954" s="29"/>
      <c r="DX954" s="29"/>
      <c r="DY954" s="29"/>
      <c r="DZ954" s="29"/>
      <c r="EA954" s="29"/>
      <c r="EB954" s="29"/>
      <c r="EC954" s="29"/>
      <c r="ED954" s="29"/>
      <c r="EE954" s="29"/>
      <c r="EF954" s="111"/>
      <c r="EG954" s="111"/>
      <c r="EH954" s="111"/>
      <c r="EI954" s="111"/>
      <c r="EJ954" s="111"/>
      <c r="EK954" s="111"/>
      <c r="EL954" s="111"/>
      <c r="EM954" s="111"/>
      <c r="EN954" s="111"/>
      <c r="EO954" s="111"/>
      <c r="EP954" s="111"/>
      <c r="EQ954" s="111"/>
      <c r="ER954" s="111"/>
      <c r="ES954" s="111"/>
    </row>
    <row r="955" spans="44:149">
      <c r="AR955" s="29"/>
      <c r="AS955" s="29"/>
      <c r="AT955" s="29"/>
      <c r="AU955" s="29"/>
      <c r="AV955" s="29"/>
      <c r="AW955" s="29"/>
      <c r="AX955" s="29"/>
      <c r="AY955" s="29"/>
      <c r="AZ955" s="29"/>
      <c r="BA955" s="29"/>
      <c r="BB955" s="29"/>
      <c r="BC955" s="29"/>
      <c r="BD955" s="29"/>
      <c r="BE955" s="29"/>
      <c r="BF955" s="111"/>
      <c r="BG955" s="111"/>
      <c r="BH955" s="111"/>
      <c r="BI955" s="111"/>
      <c r="BJ955" s="111"/>
      <c r="BK955" s="111"/>
      <c r="BL955" s="111"/>
      <c r="BM955" s="111"/>
      <c r="BN955" s="111"/>
      <c r="BO955" s="111"/>
      <c r="BP955" s="111"/>
      <c r="BQ955" s="111"/>
      <c r="BR955" s="111"/>
      <c r="BS955" s="111"/>
      <c r="DR955" s="29"/>
      <c r="DS955" s="29"/>
      <c r="DT955" s="29"/>
      <c r="DU955" s="29"/>
      <c r="DV955" s="29"/>
      <c r="DW955" s="29"/>
      <c r="DX955" s="29"/>
      <c r="DY955" s="29"/>
      <c r="DZ955" s="29"/>
      <c r="EA955" s="29"/>
      <c r="EB955" s="29"/>
      <c r="EC955" s="29"/>
      <c r="ED955" s="29"/>
      <c r="EE955" s="29"/>
      <c r="EF955" s="111"/>
      <c r="EG955" s="111"/>
      <c r="EH955" s="111"/>
      <c r="EI955" s="111"/>
      <c r="EJ955" s="111"/>
      <c r="EK955" s="111"/>
      <c r="EL955" s="111"/>
      <c r="EM955" s="111"/>
      <c r="EN955" s="111"/>
      <c r="EO955" s="111"/>
      <c r="EP955" s="111"/>
      <c r="EQ955" s="111"/>
      <c r="ER955" s="111"/>
      <c r="ES955" s="111"/>
    </row>
    <row r="956" spans="44:149">
      <c r="AR956" s="29"/>
      <c r="AS956" s="29"/>
      <c r="AT956" s="29"/>
      <c r="AU956" s="29"/>
      <c r="AV956" s="29"/>
      <c r="AW956" s="29"/>
      <c r="AX956" s="29"/>
      <c r="AY956" s="29"/>
      <c r="AZ956" s="29"/>
      <c r="BA956" s="29"/>
      <c r="BB956" s="29"/>
      <c r="BC956" s="29"/>
      <c r="BD956" s="29"/>
      <c r="BE956" s="29"/>
      <c r="BF956" s="111"/>
      <c r="BG956" s="111"/>
      <c r="BH956" s="111"/>
      <c r="BI956" s="111"/>
      <c r="BJ956" s="111"/>
      <c r="BK956" s="111"/>
      <c r="BL956" s="111"/>
      <c r="BM956" s="111"/>
      <c r="BN956" s="111"/>
      <c r="BO956" s="111"/>
      <c r="BP956" s="111"/>
      <c r="BQ956" s="111"/>
      <c r="BR956" s="111"/>
      <c r="BS956" s="111"/>
      <c r="DR956" s="29"/>
      <c r="DS956" s="29"/>
      <c r="DT956" s="29"/>
      <c r="DU956" s="29"/>
      <c r="DV956" s="29"/>
      <c r="DW956" s="29"/>
      <c r="DX956" s="29"/>
      <c r="DY956" s="29"/>
      <c r="DZ956" s="29"/>
      <c r="EA956" s="29"/>
      <c r="EB956" s="29"/>
      <c r="EC956" s="29"/>
      <c r="ED956" s="29"/>
      <c r="EE956" s="29"/>
      <c r="EF956" s="111"/>
      <c r="EG956" s="111"/>
      <c r="EH956" s="111"/>
      <c r="EI956" s="111"/>
      <c r="EJ956" s="111"/>
      <c r="EK956" s="111"/>
      <c r="EL956" s="111"/>
      <c r="EM956" s="111"/>
      <c r="EN956" s="111"/>
      <c r="EO956" s="111"/>
      <c r="EP956" s="111"/>
      <c r="EQ956" s="111"/>
      <c r="ER956" s="111"/>
      <c r="ES956" s="111"/>
    </row>
    <row r="957" spans="44:149">
      <c r="AR957" s="29"/>
      <c r="AS957" s="29"/>
      <c r="AT957" s="29"/>
      <c r="AU957" s="29"/>
      <c r="AV957" s="29"/>
      <c r="AW957" s="29"/>
      <c r="AX957" s="29"/>
      <c r="AY957" s="29"/>
      <c r="AZ957" s="29"/>
      <c r="BA957" s="29"/>
      <c r="BB957" s="29"/>
      <c r="BC957" s="29"/>
      <c r="BD957" s="29"/>
      <c r="BE957" s="29"/>
      <c r="BF957" s="111"/>
      <c r="BG957" s="111"/>
      <c r="BH957" s="111"/>
      <c r="BI957" s="111"/>
      <c r="BJ957" s="111"/>
      <c r="BK957" s="111"/>
      <c r="BL957" s="111"/>
      <c r="BM957" s="111"/>
      <c r="BN957" s="111"/>
      <c r="BO957" s="111"/>
      <c r="BP957" s="111"/>
      <c r="BQ957" s="111"/>
      <c r="BR957" s="111"/>
      <c r="BS957" s="111"/>
      <c r="DR957" s="29"/>
      <c r="DS957" s="29"/>
      <c r="DT957" s="29"/>
      <c r="DU957" s="29"/>
      <c r="DV957" s="29"/>
      <c r="DW957" s="29"/>
      <c r="DX957" s="29"/>
      <c r="DY957" s="29"/>
      <c r="DZ957" s="29"/>
      <c r="EA957" s="29"/>
      <c r="EB957" s="29"/>
      <c r="EC957" s="29"/>
      <c r="ED957" s="29"/>
      <c r="EE957" s="29"/>
      <c r="EF957" s="111"/>
      <c r="EG957" s="111"/>
      <c r="EH957" s="111"/>
      <c r="EI957" s="111"/>
      <c r="EJ957" s="111"/>
      <c r="EK957" s="111"/>
      <c r="EL957" s="111"/>
      <c r="EM957" s="111"/>
      <c r="EN957" s="111"/>
      <c r="EO957" s="111"/>
      <c r="EP957" s="111"/>
      <c r="EQ957" s="111"/>
      <c r="ER957" s="111"/>
      <c r="ES957" s="111"/>
    </row>
    <row r="958" spans="44:149">
      <c r="AR958" s="29"/>
      <c r="AS958" s="29"/>
      <c r="AT958" s="29"/>
      <c r="AU958" s="29"/>
      <c r="AV958" s="29"/>
      <c r="AW958" s="29"/>
      <c r="AX958" s="29"/>
      <c r="AY958" s="29"/>
      <c r="AZ958" s="29"/>
      <c r="BA958" s="29"/>
      <c r="BB958" s="29"/>
      <c r="BC958" s="29"/>
      <c r="BD958" s="29"/>
      <c r="BE958" s="29"/>
      <c r="BF958" s="111"/>
      <c r="BG958" s="111"/>
      <c r="BH958" s="111"/>
      <c r="BI958" s="111"/>
      <c r="BJ958" s="111"/>
      <c r="BK958" s="111"/>
      <c r="BL958" s="111"/>
      <c r="BM958" s="111"/>
      <c r="BN958" s="111"/>
      <c r="BO958" s="111"/>
      <c r="BP958" s="111"/>
      <c r="BQ958" s="111"/>
      <c r="BR958" s="111"/>
      <c r="BS958" s="111"/>
      <c r="DR958" s="29"/>
      <c r="DS958" s="29"/>
      <c r="DT958" s="29"/>
      <c r="DU958" s="29"/>
      <c r="DV958" s="29"/>
      <c r="DW958" s="29"/>
      <c r="DX958" s="29"/>
      <c r="DY958" s="29"/>
      <c r="DZ958" s="29"/>
      <c r="EA958" s="29"/>
      <c r="EB958" s="29"/>
      <c r="EC958" s="29"/>
      <c r="ED958" s="29"/>
      <c r="EE958" s="29"/>
      <c r="EF958" s="111"/>
      <c r="EG958" s="111"/>
      <c r="EH958" s="111"/>
      <c r="EI958" s="111"/>
      <c r="EJ958" s="111"/>
      <c r="EK958" s="111"/>
      <c r="EL958" s="111"/>
      <c r="EM958" s="111"/>
      <c r="EN958" s="111"/>
      <c r="EO958" s="111"/>
      <c r="EP958" s="111"/>
      <c r="EQ958" s="111"/>
      <c r="ER958" s="111"/>
      <c r="ES958" s="111"/>
    </row>
    <row r="959" spans="44:149">
      <c r="AR959" s="29"/>
      <c r="AS959" s="29"/>
      <c r="AT959" s="29"/>
      <c r="AU959" s="29"/>
      <c r="AV959" s="29"/>
      <c r="AW959" s="29"/>
      <c r="AX959" s="29"/>
      <c r="AY959" s="29"/>
      <c r="AZ959" s="29"/>
      <c r="BA959" s="29"/>
      <c r="BB959" s="29"/>
      <c r="BC959" s="29"/>
      <c r="BD959" s="29"/>
      <c r="BE959" s="29"/>
      <c r="BF959" s="111"/>
      <c r="BG959" s="111"/>
      <c r="BH959" s="111"/>
      <c r="BI959" s="111"/>
      <c r="BJ959" s="111"/>
      <c r="BK959" s="111"/>
      <c r="BL959" s="111"/>
      <c r="BM959" s="111"/>
      <c r="BN959" s="111"/>
      <c r="BO959" s="111"/>
      <c r="BP959" s="111"/>
      <c r="BQ959" s="111"/>
      <c r="BR959" s="111"/>
      <c r="BS959" s="111"/>
      <c r="DR959" s="29"/>
      <c r="DS959" s="29"/>
      <c r="DT959" s="29"/>
      <c r="DU959" s="29"/>
      <c r="DV959" s="29"/>
      <c r="DW959" s="29"/>
      <c r="DX959" s="29"/>
      <c r="DY959" s="29"/>
      <c r="DZ959" s="29"/>
      <c r="EA959" s="29"/>
      <c r="EB959" s="29"/>
      <c r="EC959" s="29"/>
      <c r="ED959" s="29"/>
      <c r="EE959" s="29"/>
      <c r="EF959" s="111"/>
      <c r="EG959" s="111"/>
      <c r="EH959" s="111"/>
      <c r="EI959" s="111"/>
      <c r="EJ959" s="111"/>
      <c r="EK959" s="111"/>
      <c r="EL959" s="111"/>
      <c r="EM959" s="111"/>
      <c r="EN959" s="111"/>
      <c r="EO959" s="111"/>
      <c r="EP959" s="111"/>
      <c r="EQ959" s="111"/>
      <c r="ER959" s="111"/>
      <c r="ES959" s="111"/>
    </row>
    <row r="960" spans="44:149">
      <c r="AR960" s="29"/>
      <c r="AS960" s="29"/>
      <c r="AT960" s="29"/>
      <c r="AU960" s="29"/>
      <c r="AV960" s="29"/>
      <c r="AW960" s="29"/>
      <c r="AX960" s="29"/>
      <c r="AY960" s="29"/>
      <c r="AZ960" s="29"/>
      <c r="BA960" s="29"/>
      <c r="BB960" s="29"/>
      <c r="BC960" s="29"/>
      <c r="BD960" s="29"/>
      <c r="BE960" s="29"/>
      <c r="BF960" s="111"/>
      <c r="BG960" s="111"/>
      <c r="BH960" s="111"/>
      <c r="BI960" s="111"/>
      <c r="BJ960" s="111"/>
      <c r="BK960" s="111"/>
      <c r="BL960" s="111"/>
      <c r="BM960" s="111"/>
      <c r="BN960" s="111"/>
      <c r="BO960" s="111"/>
      <c r="BP960" s="111"/>
      <c r="BQ960" s="111"/>
      <c r="BR960" s="111"/>
      <c r="BS960" s="111"/>
      <c r="DR960" s="29"/>
      <c r="DS960" s="29"/>
      <c r="DT960" s="29"/>
      <c r="DU960" s="29"/>
      <c r="DV960" s="29"/>
      <c r="DW960" s="29"/>
      <c r="DX960" s="29"/>
      <c r="DY960" s="29"/>
      <c r="DZ960" s="29"/>
      <c r="EA960" s="29"/>
      <c r="EB960" s="29"/>
      <c r="EC960" s="29"/>
      <c r="ED960" s="29"/>
      <c r="EE960" s="29"/>
      <c r="EF960" s="111"/>
      <c r="EG960" s="111"/>
      <c r="EH960" s="111"/>
      <c r="EI960" s="111"/>
      <c r="EJ960" s="111"/>
      <c r="EK960" s="111"/>
      <c r="EL960" s="111"/>
      <c r="EM960" s="111"/>
      <c r="EN960" s="111"/>
      <c r="EO960" s="111"/>
      <c r="EP960" s="111"/>
      <c r="EQ960" s="111"/>
      <c r="ER960" s="111"/>
      <c r="ES960" s="111"/>
    </row>
    <row r="961" spans="44:149">
      <c r="AR961" s="29"/>
      <c r="AS961" s="29"/>
      <c r="AT961" s="29"/>
      <c r="AU961" s="29"/>
      <c r="AV961" s="29"/>
      <c r="AW961" s="29"/>
      <c r="AX961" s="29"/>
      <c r="AY961" s="29"/>
      <c r="AZ961" s="29"/>
      <c r="BA961" s="29"/>
      <c r="BB961" s="29"/>
      <c r="BC961" s="29"/>
      <c r="BD961" s="29"/>
      <c r="BE961" s="29"/>
      <c r="BF961" s="111"/>
      <c r="BG961" s="111"/>
      <c r="BH961" s="111"/>
      <c r="BI961" s="111"/>
      <c r="BJ961" s="111"/>
      <c r="BK961" s="111"/>
      <c r="BL961" s="111"/>
      <c r="BM961" s="111"/>
      <c r="BN961" s="111"/>
      <c r="BO961" s="111"/>
      <c r="BP961" s="111"/>
      <c r="BQ961" s="111"/>
      <c r="BR961" s="111"/>
      <c r="BS961" s="111"/>
      <c r="DR961" s="29"/>
      <c r="DS961" s="29"/>
      <c r="DT961" s="29"/>
      <c r="DU961" s="29"/>
      <c r="DV961" s="29"/>
      <c r="DW961" s="29"/>
      <c r="DX961" s="29"/>
      <c r="DY961" s="29"/>
      <c r="DZ961" s="29"/>
      <c r="EA961" s="29"/>
      <c r="EB961" s="29"/>
      <c r="EC961" s="29"/>
      <c r="ED961" s="29"/>
      <c r="EE961" s="29"/>
      <c r="EF961" s="111"/>
      <c r="EG961" s="111"/>
      <c r="EH961" s="111"/>
      <c r="EI961" s="111"/>
      <c r="EJ961" s="111"/>
      <c r="EK961" s="111"/>
      <c r="EL961" s="111"/>
      <c r="EM961" s="111"/>
      <c r="EN961" s="111"/>
      <c r="EO961" s="111"/>
      <c r="EP961" s="111"/>
      <c r="EQ961" s="111"/>
      <c r="ER961" s="111"/>
      <c r="ES961" s="111"/>
    </row>
    <row r="962" spans="44:149">
      <c r="AR962" s="29"/>
      <c r="AS962" s="29"/>
      <c r="AT962" s="29"/>
      <c r="AU962" s="29"/>
      <c r="AV962" s="29"/>
      <c r="AW962" s="29"/>
      <c r="AX962" s="29"/>
      <c r="AY962" s="29"/>
      <c r="AZ962" s="29"/>
      <c r="BA962" s="29"/>
      <c r="BB962" s="29"/>
      <c r="BC962" s="29"/>
      <c r="BD962" s="29"/>
      <c r="BE962" s="29"/>
      <c r="BF962" s="111"/>
      <c r="BG962" s="111"/>
      <c r="BH962" s="111"/>
      <c r="BI962" s="111"/>
      <c r="BJ962" s="111"/>
      <c r="BK962" s="111"/>
      <c r="BL962" s="111"/>
      <c r="BM962" s="111"/>
      <c r="BN962" s="111"/>
      <c r="BO962" s="111"/>
      <c r="BP962" s="111"/>
      <c r="BQ962" s="111"/>
      <c r="BR962" s="111"/>
      <c r="BS962" s="111"/>
      <c r="DR962" s="29"/>
      <c r="DS962" s="29"/>
      <c r="DT962" s="29"/>
      <c r="DU962" s="29"/>
      <c r="DV962" s="29"/>
      <c r="DW962" s="29"/>
      <c r="DX962" s="29"/>
      <c r="DY962" s="29"/>
      <c r="DZ962" s="29"/>
      <c r="EA962" s="29"/>
      <c r="EB962" s="29"/>
      <c r="EC962" s="29"/>
      <c r="ED962" s="29"/>
      <c r="EE962" s="29"/>
      <c r="EF962" s="111"/>
      <c r="EG962" s="111"/>
      <c r="EH962" s="111"/>
      <c r="EI962" s="111"/>
      <c r="EJ962" s="111"/>
      <c r="EK962" s="111"/>
      <c r="EL962" s="111"/>
      <c r="EM962" s="111"/>
      <c r="EN962" s="111"/>
      <c r="EO962" s="111"/>
      <c r="EP962" s="111"/>
      <c r="EQ962" s="111"/>
      <c r="ER962" s="111"/>
      <c r="ES962" s="111"/>
    </row>
    <row r="963" spans="44:149">
      <c r="AR963" s="29"/>
      <c r="AS963" s="29"/>
      <c r="AT963" s="29"/>
      <c r="AU963" s="29"/>
      <c r="AV963" s="29"/>
      <c r="AW963" s="29"/>
      <c r="AX963" s="29"/>
      <c r="AY963" s="29"/>
      <c r="AZ963" s="29"/>
      <c r="BA963" s="29"/>
      <c r="BB963" s="29"/>
      <c r="BC963" s="29"/>
      <c r="BD963" s="29"/>
      <c r="BE963" s="29"/>
      <c r="BF963" s="111"/>
      <c r="BG963" s="111"/>
      <c r="BH963" s="111"/>
      <c r="BI963" s="111"/>
      <c r="BJ963" s="111"/>
      <c r="BK963" s="111"/>
      <c r="BL963" s="111"/>
      <c r="BM963" s="111"/>
      <c r="BN963" s="111"/>
      <c r="BO963" s="111"/>
      <c r="BP963" s="111"/>
      <c r="BQ963" s="111"/>
      <c r="BR963" s="111"/>
      <c r="BS963" s="111"/>
      <c r="DR963" s="29"/>
      <c r="DS963" s="29"/>
      <c r="DT963" s="29"/>
      <c r="DU963" s="29"/>
      <c r="DV963" s="29"/>
      <c r="DW963" s="29"/>
      <c r="DX963" s="29"/>
      <c r="DY963" s="29"/>
      <c r="DZ963" s="29"/>
      <c r="EA963" s="29"/>
      <c r="EB963" s="29"/>
      <c r="EC963" s="29"/>
      <c r="ED963" s="29"/>
      <c r="EE963" s="29"/>
      <c r="EF963" s="111"/>
      <c r="EG963" s="111"/>
      <c r="EH963" s="111"/>
      <c r="EI963" s="111"/>
      <c r="EJ963" s="111"/>
      <c r="EK963" s="111"/>
      <c r="EL963" s="111"/>
      <c r="EM963" s="111"/>
      <c r="EN963" s="111"/>
      <c r="EO963" s="111"/>
      <c r="EP963" s="111"/>
      <c r="EQ963" s="111"/>
      <c r="ER963" s="111"/>
      <c r="ES963" s="111"/>
    </row>
    <row r="964" spans="44:149">
      <c r="AR964" s="29"/>
      <c r="AS964" s="29"/>
      <c r="AT964" s="29"/>
      <c r="AU964" s="29"/>
      <c r="AV964" s="29"/>
      <c r="AW964" s="29"/>
      <c r="AX964" s="29"/>
      <c r="AY964" s="29"/>
      <c r="AZ964" s="29"/>
      <c r="BA964" s="29"/>
      <c r="BB964" s="29"/>
      <c r="BC964" s="29"/>
      <c r="BD964" s="29"/>
      <c r="BE964" s="29"/>
      <c r="BF964" s="111"/>
      <c r="BG964" s="111"/>
      <c r="BH964" s="111"/>
      <c r="BI964" s="111"/>
      <c r="BJ964" s="111"/>
      <c r="BK964" s="111"/>
      <c r="BL964" s="111"/>
      <c r="BM964" s="111"/>
      <c r="BN964" s="111"/>
      <c r="BO964" s="111"/>
      <c r="BP964" s="111"/>
      <c r="BQ964" s="111"/>
      <c r="BR964" s="111"/>
      <c r="BS964" s="111"/>
      <c r="DR964" s="29"/>
      <c r="DS964" s="29"/>
      <c r="DT964" s="29"/>
      <c r="DU964" s="29"/>
      <c r="DV964" s="29"/>
      <c r="DW964" s="29"/>
      <c r="DX964" s="29"/>
      <c r="DY964" s="29"/>
      <c r="DZ964" s="29"/>
      <c r="EA964" s="29"/>
      <c r="EB964" s="29"/>
      <c r="EC964" s="29"/>
      <c r="ED964" s="29"/>
      <c r="EE964" s="29"/>
      <c r="EF964" s="111"/>
      <c r="EG964" s="111"/>
      <c r="EH964" s="111"/>
      <c r="EI964" s="111"/>
      <c r="EJ964" s="111"/>
      <c r="EK964" s="111"/>
      <c r="EL964" s="111"/>
      <c r="EM964" s="111"/>
      <c r="EN964" s="111"/>
      <c r="EO964" s="111"/>
      <c r="EP964" s="111"/>
      <c r="EQ964" s="111"/>
      <c r="ER964" s="111"/>
      <c r="ES964" s="111"/>
    </row>
    <row r="965" spans="44:149">
      <c r="AR965" s="29"/>
      <c r="AS965" s="29"/>
      <c r="AT965" s="29"/>
      <c r="AU965" s="29"/>
      <c r="AV965" s="29"/>
      <c r="AW965" s="29"/>
      <c r="AX965" s="29"/>
      <c r="AY965" s="29"/>
      <c r="AZ965" s="29"/>
      <c r="BA965" s="29"/>
      <c r="BB965" s="29"/>
      <c r="BC965" s="29"/>
      <c r="BD965" s="29"/>
      <c r="BE965" s="29"/>
      <c r="BF965" s="111"/>
      <c r="BG965" s="111"/>
      <c r="BH965" s="111"/>
      <c r="BI965" s="111"/>
      <c r="BJ965" s="111"/>
      <c r="BK965" s="111"/>
      <c r="BL965" s="111"/>
      <c r="BM965" s="111"/>
      <c r="BN965" s="111"/>
      <c r="BO965" s="111"/>
      <c r="BP965" s="111"/>
      <c r="BQ965" s="111"/>
      <c r="BR965" s="111"/>
      <c r="BS965" s="111"/>
      <c r="DR965" s="29"/>
      <c r="DS965" s="29"/>
      <c r="DT965" s="29"/>
      <c r="DU965" s="29"/>
      <c r="DV965" s="29"/>
      <c r="DW965" s="29"/>
      <c r="DX965" s="29"/>
      <c r="DY965" s="29"/>
      <c r="DZ965" s="29"/>
      <c r="EA965" s="29"/>
      <c r="EB965" s="29"/>
      <c r="EC965" s="29"/>
      <c r="ED965" s="29"/>
      <c r="EE965" s="29"/>
      <c r="EF965" s="111"/>
      <c r="EG965" s="111"/>
      <c r="EH965" s="111"/>
      <c r="EI965" s="111"/>
      <c r="EJ965" s="111"/>
      <c r="EK965" s="111"/>
      <c r="EL965" s="111"/>
      <c r="EM965" s="111"/>
      <c r="EN965" s="111"/>
      <c r="EO965" s="111"/>
      <c r="EP965" s="111"/>
      <c r="EQ965" s="111"/>
      <c r="ER965" s="111"/>
      <c r="ES965" s="111"/>
    </row>
    <row r="966" spans="44:149">
      <c r="AR966" s="29"/>
      <c r="AS966" s="29"/>
      <c r="AT966" s="29"/>
      <c r="AU966" s="29"/>
      <c r="AV966" s="29"/>
      <c r="AW966" s="29"/>
      <c r="AX966" s="29"/>
      <c r="AY966" s="29"/>
      <c r="AZ966" s="29"/>
      <c r="BA966" s="29"/>
      <c r="BB966" s="29"/>
      <c r="BC966" s="29"/>
      <c r="BD966" s="29"/>
      <c r="BE966" s="29"/>
      <c r="BF966" s="111"/>
      <c r="BG966" s="111"/>
      <c r="BH966" s="111"/>
      <c r="BI966" s="111"/>
      <c r="BJ966" s="111"/>
      <c r="BK966" s="111"/>
      <c r="BL966" s="111"/>
      <c r="BM966" s="111"/>
      <c r="BN966" s="111"/>
      <c r="BO966" s="111"/>
      <c r="BP966" s="111"/>
      <c r="BQ966" s="111"/>
      <c r="BR966" s="111"/>
      <c r="BS966" s="111"/>
      <c r="DR966" s="29"/>
      <c r="DS966" s="29"/>
      <c r="DT966" s="29"/>
      <c r="DU966" s="29"/>
      <c r="DV966" s="29"/>
      <c r="DW966" s="29"/>
      <c r="DX966" s="29"/>
      <c r="DY966" s="29"/>
      <c r="DZ966" s="29"/>
      <c r="EA966" s="29"/>
      <c r="EB966" s="29"/>
      <c r="EC966" s="29"/>
      <c r="ED966" s="29"/>
      <c r="EE966" s="29"/>
      <c r="EF966" s="111"/>
      <c r="EG966" s="111"/>
      <c r="EH966" s="111"/>
      <c r="EI966" s="111"/>
      <c r="EJ966" s="111"/>
      <c r="EK966" s="111"/>
      <c r="EL966" s="111"/>
      <c r="EM966" s="111"/>
      <c r="EN966" s="111"/>
      <c r="EO966" s="111"/>
      <c r="EP966" s="111"/>
      <c r="EQ966" s="111"/>
      <c r="ER966" s="111"/>
      <c r="ES966" s="111"/>
    </row>
    <row r="967" spans="44:149">
      <c r="AR967" s="29"/>
      <c r="AS967" s="29"/>
      <c r="AT967" s="29"/>
      <c r="AU967" s="29"/>
      <c r="AV967" s="29"/>
      <c r="AW967" s="29"/>
      <c r="AX967" s="29"/>
      <c r="AY967" s="29"/>
      <c r="AZ967" s="29"/>
      <c r="BA967" s="29"/>
      <c r="BB967" s="29"/>
      <c r="BC967" s="29"/>
      <c r="BD967" s="29"/>
      <c r="BE967" s="29"/>
      <c r="BF967" s="111"/>
      <c r="BG967" s="111"/>
      <c r="BH967" s="111"/>
      <c r="BI967" s="111"/>
      <c r="BJ967" s="111"/>
      <c r="BK967" s="111"/>
      <c r="BL967" s="111"/>
      <c r="BM967" s="111"/>
      <c r="BN967" s="111"/>
      <c r="BO967" s="111"/>
      <c r="BP967" s="111"/>
      <c r="BQ967" s="111"/>
      <c r="BR967" s="111"/>
      <c r="BS967" s="111"/>
      <c r="DR967" s="29"/>
      <c r="DS967" s="29"/>
      <c r="DT967" s="29"/>
      <c r="DU967" s="29"/>
      <c r="DV967" s="29"/>
      <c r="DW967" s="29"/>
      <c r="DX967" s="29"/>
      <c r="DY967" s="29"/>
      <c r="DZ967" s="29"/>
      <c r="EA967" s="29"/>
      <c r="EB967" s="29"/>
      <c r="EC967" s="29"/>
      <c r="ED967" s="29"/>
      <c r="EE967" s="29"/>
      <c r="EF967" s="111"/>
      <c r="EG967" s="111"/>
      <c r="EH967" s="111"/>
      <c r="EI967" s="111"/>
      <c r="EJ967" s="111"/>
      <c r="EK967" s="111"/>
      <c r="EL967" s="111"/>
      <c r="EM967" s="111"/>
      <c r="EN967" s="111"/>
      <c r="EO967" s="111"/>
      <c r="EP967" s="111"/>
      <c r="EQ967" s="111"/>
      <c r="ER967" s="111"/>
      <c r="ES967" s="111"/>
    </row>
    <row r="968" spans="44:149">
      <c r="AR968" s="29"/>
      <c r="AS968" s="29"/>
      <c r="AT968" s="29"/>
      <c r="AU968" s="29"/>
      <c r="AV968" s="29"/>
      <c r="AW968" s="29"/>
      <c r="AX968" s="29"/>
      <c r="AY968" s="29"/>
      <c r="AZ968" s="29"/>
      <c r="BA968" s="29"/>
      <c r="BB968" s="29"/>
      <c r="BC968" s="29"/>
      <c r="BD968" s="29"/>
      <c r="BE968" s="29"/>
      <c r="BF968" s="111"/>
      <c r="BG968" s="111"/>
      <c r="BH968" s="111"/>
      <c r="BI968" s="111"/>
      <c r="BJ968" s="111"/>
      <c r="BK968" s="111"/>
      <c r="BL968" s="111"/>
      <c r="BM968" s="111"/>
      <c r="BN968" s="111"/>
      <c r="BO968" s="111"/>
      <c r="BP968" s="111"/>
      <c r="BQ968" s="111"/>
      <c r="BR968" s="111"/>
      <c r="BS968" s="111"/>
      <c r="DR968" s="29"/>
      <c r="DS968" s="29"/>
      <c r="DT968" s="29"/>
      <c r="DU968" s="29"/>
      <c r="DV968" s="29"/>
      <c r="DW968" s="29"/>
      <c r="DX968" s="29"/>
      <c r="DY968" s="29"/>
      <c r="DZ968" s="29"/>
      <c r="EA968" s="29"/>
      <c r="EB968" s="29"/>
      <c r="EC968" s="29"/>
      <c r="ED968" s="29"/>
      <c r="EE968" s="29"/>
      <c r="EF968" s="111"/>
      <c r="EG968" s="111"/>
      <c r="EH968" s="111"/>
      <c r="EI968" s="111"/>
      <c r="EJ968" s="111"/>
      <c r="EK968" s="111"/>
      <c r="EL968" s="111"/>
      <c r="EM968" s="111"/>
      <c r="EN968" s="111"/>
      <c r="EO968" s="111"/>
      <c r="EP968" s="111"/>
      <c r="EQ968" s="111"/>
      <c r="ER968" s="111"/>
      <c r="ES968" s="111"/>
    </row>
    <row r="969" spans="44:149">
      <c r="AR969" s="29"/>
      <c r="AS969" s="29"/>
      <c r="AT969" s="29"/>
      <c r="AU969" s="29"/>
      <c r="AV969" s="29"/>
      <c r="AW969" s="29"/>
      <c r="AX969" s="29"/>
      <c r="AY969" s="29"/>
      <c r="AZ969" s="29"/>
      <c r="BA969" s="29"/>
      <c r="BB969" s="29"/>
      <c r="BC969" s="29"/>
      <c r="BD969" s="29"/>
      <c r="BE969" s="29"/>
      <c r="BF969" s="111"/>
      <c r="BG969" s="111"/>
      <c r="BH969" s="111"/>
      <c r="BI969" s="111"/>
      <c r="BJ969" s="111"/>
      <c r="BK969" s="111"/>
      <c r="BL969" s="111"/>
      <c r="BM969" s="111"/>
      <c r="BN969" s="111"/>
      <c r="BO969" s="111"/>
      <c r="BP969" s="111"/>
      <c r="BQ969" s="111"/>
      <c r="BR969" s="111"/>
      <c r="BS969" s="111"/>
      <c r="DR969" s="29"/>
      <c r="DS969" s="29"/>
      <c r="DT969" s="29"/>
      <c r="DU969" s="29"/>
      <c r="DV969" s="29"/>
      <c r="DW969" s="29"/>
      <c r="DX969" s="29"/>
      <c r="DY969" s="29"/>
      <c r="DZ969" s="29"/>
      <c r="EA969" s="29"/>
      <c r="EB969" s="29"/>
      <c r="EC969" s="29"/>
      <c r="ED969" s="29"/>
      <c r="EE969" s="29"/>
      <c r="EF969" s="111"/>
      <c r="EG969" s="111"/>
      <c r="EH969" s="111"/>
      <c r="EI969" s="111"/>
      <c r="EJ969" s="111"/>
      <c r="EK969" s="111"/>
      <c r="EL969" s="111"/>
      <c r="EM969" s="111"/>
      <c r="EN969" s="111"/>
      <c r="EO969" s="111"/>
      <c r="EP969" s="111"/>
      <c r="EQ969" s="111"/>
      <c r="ER969" s="111"/>
      <c r="ES969" s="111"/>
    </row>
    <row r="970" spans="44:149">
      <c r="AR970" s="29"/>
      <c r="AS970" s="29"/>
      <c r="AT970" s="29"/>
      <c r="AU970" s="29"/>
      <c r="AV970" s="29"/>
      <c r="AW970" s="29"/>
      <c r="AX970" s="29"/>
      <c r="AY970" s="29"/>
      <c r="AZ970" s="29"/>
      <c r="BA970" s="29"/>
      <c r="BB970" s="29"/>
      <c r="BC970" s="29"/>
      <c r="BD970" s="29"/>
      <c r="BE970" s="29"/>
      <c r="BF970" s="111"/>
      <c r="BG970" s="111"/>
      <c r="BH970" s="111"/>
      <c r="BI970" s="111"/>
      <c r="BJ970" s="111"/>
      <c r="BK970" s="111"/>
      <c r="BL970" s="111"/>
      <c r="BM970" s="111"/>
      <c r="BN970" s="111"/>
      <c r="BO970" s="111"/>
      <c r="BP970" s="111"/>
      <c r="BQ970" s="111"/>
      <c r="BR970" s="111"/>
      <c r="BS970" s="111"/>
      <c r="DR970" s="29"/>
      <c r="DS970" s="29"/>
      <c r="DT970" s="29"/>
      <c r="DU970" s="29"/>
      <c r="DV970" s="29"/>
      <c r="DW970" s="29"/>
      <c r="DX970" s="29"/>
      <c r="DY970" s="29"/>
      <c r="DZ970" s="29"/>
      <c r="EA970" s="29"/>
      <c r="EB970" s="29"/>
      <c r="EC970" s="29"/>
      <c r="ED970" s="29"/>
      <c r="EE970" s="29"/>
      <c r="EF970" s="111"/>
      <c r="EG970" s="111"/>
      <c r="EH970" s="111"/>
      <c r="EI970" s="111"/>
      <c r="EJ970" s="111"/>
      <c r="EK970" s="111"/>
      <c r="EL970" s="111"/>
      <c r="EM970" s="111"/>
      <c r="EN970" s="111"/>
      <c r="EO970" s="111"/>
      <c r="EP970" s="111"/>
      <c r="EQ970" s="111"/>
      <c r="ER970" s="111"/>
      <c r="ES970" s="111"/>
    </row>
    <row r="971" spans="44:149">
      <c r="AR971" s="29"/>
      <c r="AS971" s="29"/>
      <c r="AT971" s="29"/>
      <c r="AU971" s="29"/>
      <c r="AV971" s="29"/>
      <c r="AW971" s="29"/>
      <c r="AX971" s="29"/>
      <c r="AY971" s="29"/>
      <c r="AZ971" s="29"/>
      <c r="BA971" s="29"/>
      <c r="BB971" s="29"/>
      <c r="BC971" s="29"/>
      <c r="BD971" s="29"/>
      <c r="BE971" s="29"/>
      <c r="BF971" s="111"/>
      <c r="BG971" s="111"/>
      <c r="BH971" s="111"/>
      <c r="BI971" s="111"/>
      <c r="BJ971" s="111"/>
      <c r="BK971" s="111"/>
      <c r="BL971" s="111"/>
      <c r="BM971" s="111"/>
      <c r="BN971" s="111"/>
      <c r="BO971" s="111"/>
      <c r="BP971" s="111"/>
      <c r="BQ971" s="111"/>
      <c r="BR971" s="111"/>
      <c r="BS971" s="111"/>
      <c r="DR971" s="29"/>
      <c r="DS971" s="29"/>
      <c r="DT971" s="29"/>
      <c r="DU971" s="29"/>
      <c r="DV971" s="29"/>
      <c r="DW971" s="29"/>
      <c r="DX971" s="29"/>
      <c r="DY971" s="29"/>
      <c r="DZ971" s="29"/>
      <c r="EA971" s="29"/>
      <c r="EB971" s="29"/>
      <c r="EC971" s="29"/>
      <c r="ED971" s="29"/>
      <c r="EE971" s="29"/>
      <c r="EF971" s="111"/>
      <c r="EG971" s="111"/>
      <c r="EH971" s="111"/>
      <c r="EI971" s="111"/>
      <c r="EJ971" s="111"/>
      <c r="EK971" s="111"/>
      <c r="EL971" s="111"/>
      <c r="EM971" s="111"/>
      <c r="EN971" s="111"/>
      <c r="EO971" s="111"/>
      <c r="EP971" s="111"/>
      <c r="EQ971" s="111"/>
      <c r="ER971" s="111"/>
      <c r="ES971" s="111"/>
    </row>
    <row r="972" spans="44:149">
      <c r="AR972" s="29"/>
      <c r="AS972" s="29"/>
      <c r="AT972" s="29"/>
      <c r="AU972" s="29"/>
      <c r="AV972" s="29"/>
      <c r="AW972" s="29"/>
      <c r="AX972" s="29"/>
      <c r="AY972" s="29"/>
      <c r="AZ972" s="29"/>
      <c r="BA972" s="29"/>
      <c r="BB972" s="29"/>
      <c r="BC972" s="29"/>
      <c r="BD972" s="29"/>
      <c r="BE972" s="29"/>
      <c r="BF972" s="111"/>
      <c r="BG972" s="111"/>
      <c r="BH972" s="111"/>
      <c r="BI972" s="111"/>
      <c r="BJ972" s="111"/>
      <c r="BK972" s="111"/>
      <c r="BL972" s="111"/>
      <c r="BM972" s="111"/>
      <c r="BN972" s="111"/>
      <c r="BO972" s="111"/>
      <c r="BP972" s="111"/>
      <c r="BQ972" s="111"/>
      <c r="BR972" s="111"/>
      <c r="BS972" s="111"/>
      <c r="DR972" s="29"/>
      <c r="DS972" s="29"/>
      <c r="DT972" s="29"/>
      <c r="DU972" s="29"/>
      <c r="DV972" s="29"/>
      <c r="DW972" s="29"/>
      <c r="DX972" s="29"/>
      <c r="DY972" s="29"/>
      <c r="DZ972" s="29"/>
      <c r="EA972" s="29"/>
      <c r="EB972" s="29"/>
      <c r="EC972" s="29"/>
      <c r="ED972" s="29"/>
      <c r="EE972" s="29"/>
      <c r="EF972" s="111"/>
      <c r="EG972" s="111"/>
      <c r="EH972" s="111"/>
      <c r="EI972" s="111"/>
      <c r="EJ972" s="111"/>
      <c r="EK972" s="111"/>
      <c r="EL972" s="111"/>
      <c r="EM972" s="111"/>
      <c r="EN972" s="111"/>
      <c r="EO972" s="111"/>
      <c r="EP972" s="111"/>
      <c r="EQ972" s="111"/>
      <c r="ER972" s="111"/>
      <c r="ES972" s="111"/>
    </row>
    <row r="973" spans="44:149">
      <c r="AR973" s="29"/>
      <c r="AS973" s="29"/>
      <c r="AT973" s="29"/>
      <c r="AU973" s="29"/>
      <c r="AV973" s="29"/>
      <c r="AW973" s="29"/>
      <c r="AX973" s="29"/>
      <c r="AY973" s="29"/>
      <c r="AZ973" s="29"/>
      <c r="BA973" s="29"/>
      <c r="BB973" s="29"/>
      <c r="BC973" s="29"/>
      <c r="BD973" s="29"/>
      <c r="BE973" s="29"/>
      <c r="BF973" s="111"/>
      <c r="BG973" s="111"/>
      <c r="BH973" s="111"/>
      <c r="BI973" s="111"/>
      <c r="BJ973" s="111"/>
      <c r="BK973" s="111"/>
      <c r="BL973" s="111"/>
      <c r="BM973" s="111"/>
      <c r="BN973" s="111"/>
      <c r="BO973" s="111"/>
      <c r="BP973" s="111"/>
      <c r="BQ973" s="111"/>
      <c r="BR973" s="111"/>
      <c r="BS973" s="111"/>
      <c r="DR973" s="29"/>
      <c r="DS973" s="29"/>
      <c r="DT973" s="29"/>
      <c r="DU973" s="29"/>
      <c r="DV973" s="29"/>
      <c r="DW973" s="29"/>
      <c r="DX973" s="29"/>
      <c r="DY973" s="29"/>
      <c r="DZ973" s="29"/>
      <c r="EA973" s="29"/>
      <c r="EB973" s="29"/>
      <c r="EC973" s="29"/>
      <c r="ED973" s="29"/>
      <c r="EE973" s="29"/>
      <c r="EF973" s="111"/>
      <c r="EG973" s="111"/>
      <c r="EH973" s="111"/>
      <c r="EI973" s="111"/>
      <c r="EJ973" s="111"/>
      <c r="EK973" s="111"/>
      <c r="EL973" s="111"/>
      <c r="EM973" s="111"/>
      <c r="EN973" s="111"/>
      <c r="EO973" s="111"/>
      <c r="EP973" s="111"/>
      <c r="EQ973" s="111"/>
      <c r="ER973" s="111"/>
      <c r="ES973" s="111"/>
    </row>
    <row r="974" spans="44:149">
      <c r="AR974" s="29"/>
      <c r="AS974" s="29"/>
      <c r="AT974" s="29"/>
      <c r="AU974" s="29"/>
      <c r="AV974" s="29"/>
      <c r="AW974" s="29"/>
      <c r="AX974" s="29"/>
      <c r="AY974" s="29"/>
      <c r="AZ974" s="29"/>
      <c r="BA974" s="29"/>
      <c r="BB974" s="29"/>
      <c r="BC974" s="29"/>
      <c r="BD974" s="29"/>
      <c r="BE974" s="29"/>
      <c r="BF974" s="111"/>
      <c r="BG974" s="111"/>
      <c r="BH974" s="111"/>
      <c r="BI974" s="111"/>
      <c r="BJ974" s="111"/>
      <c r="BK974" s="111"/>
      <c r="BL974" s="111"/>
      <c r="BM974" s="111"/>
      <c r="BN974" s="111"/>
      <c r="BO974" s="111"/>
      <c r="BP974" s="111"/>
      <c r="BQ974" s="111"/>
      <c r="BR974" s="111"/>
      <c r="BS974" s="111"/>
      <c r="DR974" s="29"/>
      <c r="DS974" s="29"/>
      <c r="DT974" s="29"/>
      <c r="DU974" s="29"/>
      <c r="DV974" s="29"/>
      <c r="DW974" s="29"/>
      <c r="DX974" s="29"/>
      <c r="DY974" s="29"/>
      <c r="DZ974" s="29"/>
      <c r="EA974" s="29"/>
      <c r="EB974" s="29"/>
      <c r="EC974" s="29"/>
      <c r="ED974" s="29"/>
      <c r="EE974" s="29"/>
      <c r="EF974" s="111"/>
      <c r="EG974" s="111"/>
      <c r="EH974" s="111"/>
      <c r="EI974" s="111"/>
      <c r="EJ974" s="111"/>
      <c r="EK974" s="111"/>
      <c r="EL974" s="111"/>
      <c r="EM974" s="111"/>
      <c r="EN974" s="111"/>
      <c r="EO974" s="111"/>
      <c r="EP974" s="111"/>
      <c r="EQ974" s="111"/>
      <c r="ER974" s="111"/>
      <c r="ES974" s="111"/>
    </row>
    <row r="975" spans="44:149">
      <c r="AR975" s="29"/>
      <c r="AS975" s="29"/>
      <c r="AT975" s="29"/>
      <c r="AU975" s="29"/>
      <c r="AV975" s="29"/>
      <c r="AW975" s="29"/>
      <c r="AX975" s="29"/>
      <c r="AY975" s="29"/>
      <c r="AZ975" s="29"/>
      <c r="BA975" s="29"/>
      <c r="BB975" s="29"/>
      <c r="BC975" s="29"/>
      <c r="BD975" s="29"/>
      <c r="BE975" s="29"/>
      <c r="BF975" s="111"/>
      <c r="BG975" s="111"/>
      <c r="BH975" s="111"/>
      <c r="BI975" s="111"/>
      <c r="BJ975" s="111"/>
      <c r="BK975" s="111"/>
      <c r="BL975" s="111"/>
      <c r="BM975" s="111"/>
      <c r="BN975" s="111"/>
      <c r="BO975" s="111"/>
      <c r="BP975" s="111"/>
      <c r="BQ975" s="111"/>
      <c r="BR975" s="111"/>
      <c r="BS975" s="111"/>
      <c r="DR975" s="29"/>
      <c r="DS975" s="29"/>
      <c r="DT975" s="29"/>
      <c r="DU975" s="29"/>
      <c r="DV975" s="29"/>
      <c r="DW975" s="29"/>
      <c r="DX975" s="29"/>
      <c r="DY975" s="29"/>
      <c r="DZ975" s="29"/>
      <c r="EA975" s="29"/>
      <c r="EB975" s="29"/>
      <c r="EC975" s="29"/>
      <c r="ED975" s="29"/>
      <c r="EE975" s="29"/>
      <c r="EF975" s="111"/>
      <c r="EG975" s="111"/>
      <c r="EH975" s="111"/>
      <c r="EI975" s="111"/>
      <c r="EJ975" s="111"/>
      <c r="EK975" s="111"/>
      <c r="EL975" s="111"/>
      <c r="EM975" s="111"/>
      <c r="EN975" s="111"/>
      <c r="EO975" s="111"/>
      <c r="EP975" s="111"/>
      <c r="EQ975" s="111"/>
      <c r="ER975" s="111"/>
      <c r="ES975" s="111"/>
    </row>
    <row r="976" spans="44:149">
      <c r="AR976" s="29"/>
      <c r="AS976" s="29"/>
      <c r="AT976" s="29"/>
      <c r="AU976" s="29"/>
      <c r="AV976" s="29"/>
      <c r="AW976" s="29"/>
      <c r="AX976" s="29"/>
      <c r="AY976" s="29"/>
      <c r="AZ976" s="29"/>
      <c r="BA976" s="29"/>
      <c r="BB976" s="29"/>
      <c r="BC976" s="29"/>
      <c r="BD976" s="29"/>
      <c r="BE976" s="29"/>
      <c r="BF976" s="111"/>
      <c r="BG976" s="111"/>
      <c r="BH976" s="111"/>
      <c r="BI976" s="111"/>
      <c r="BJ976" s="111"/>
      <c r="BK976" s="111"/>
      <c r="BL976" s="111"/>
      <c r="BM976" s="111"/>
      <c r="BN976" s="111"/>
      <c r="BO976" s="111"/>
      <c r="BP976" s="111"/>
      <c r="BQ976" s="111"/>
      <c r="BR976" s="111"/>
      <c r="BS976" s="111"/>
      <c r="DR976" s="29"/>
      <c r="DS976" s="29"/>
      <c r="DT976" s="29"/>
      <c r="DU976" s="29"/>
      <c r="DV976" s="29"/>
      <c r="DW976" s="29"/>
      <c r="DX976" s="29"/>
      <c r="DY976" s="29"/>
      <c r="DZ976" s="29"/>
      <c r="EA976" s="29"/>
      <c r="EB976" s="29"/>
      <c r="EC976" s="29"/>
      <c r="ED976" s="29"/>
      <c r="EE976" s="29"/>
      <c r="EF976" s="111"/>
      <c r="EG976" s="111"/>
      <c r="EH976" s="111"/>
      <c r="EI976" s="111"/>
      <c r="EJ976" s="111"/>
      <c r="EK976" s="111"/>
      <c r="EL976" s="111"/>
      <c r="EM976" s="111"/>
      <c r="EN976" s="111"/>
      <c r="EO976" s="111"/>
      <c r="EP976" s="111"/>
      <c r="EQ976" s="111"/>
      <c r="ER976" s="111"/>
      <c r="ES976" s="111"/>
    </row>
    <row r="977" spans="44:149">
      <c r="AR977" s="29"/>
      <c r="AS977" s="29"/>
      <c r="AT977" s="29"/>
      <c r="AU977" s="29"/>
      <c r="AV977" s="29"/>
      <c r="AW977" s="29"/>
      <c r="AX977" s="29"/>
      <c r="AY977" s="29"/>
      <c r="AZ977" s="29"/>
      <c r="BA977" s="29"/>
      <c r="BB977" s="29"/>
      <c r="BC977" s="29"/>
      <c r="BD977" s="29"/>
      <c r="BE977" s="29"/>
      <c r="BF977" s="111"/>
      <c r="BG977" s="111"/>
      <c r="BH977" s="111"/>
      <c r="BI977" s="111"/>
      <c r="BJ977" s="111"/>
      <c r="BK977" s="111"/>
      <c r="BL977" s="111"/>
      <c r="BM977" s="111"/>
      <c r="BN977" s="111"/>
      <c r="BO977" s="111"/>
      <c r="BP977" s="111"/>
      <c r="BQ977" s="111"/>
      <c r="BR977" s="111"/>
      <c r="BS977" s="111"/>
      <c r="DR977" s="29"/>
      <c r="DS977" s="29"/>
      <c r="DT977" s="29"/>
      <c r="DU977" s="29"/>
      <c r="DV977" s="29"/>
      <c r="DW977" s="29"/>
      <c r="DX977" s="29"/>
      <c r="DY977" s="29"/>
      <c r="DZ977" s="29"/>
      <c r="EA977" s="29"/>
      <c r="EB977" s="29"/>
      <c r="EC977" s="29"/>
      <c r="ED977" s="29"/>
      <c r="EE977" s="29"/>
      <c r="EF977" s="111"/>
      <c r="EG977" s="111"/>
      <c r="EH977" s="111"/>
      <c r="EI977" s="111"/>
      <c r="EJ977" s="111"/>
      <c r="EK977" s="111"/>
      <c r="EL977" s="111"/>
      <c r="EM977" s="111"/>
      <c r="EN977" s="111"/>
      <c r="EO977" s="111"/>
      <c r="EP977" s="111"/>
      <c r="EQ977" s="111"/>
      <c r="ER977" s="111"/>
      <c r="ES977" s="111"/>
    </row>
    <row r="978" spans="44:149">
      <c r="AR978" s="29"/>
      <c r="AS978" s="29"/>
      <c r="AT978" s="29"/>
      <c r="AU978" s="29"/>
      <c r="AV978" s="29"/>
      <c r="AW978" s="29"/>
      <c r="AX978" s="29"/>
      <c r="AY978" s="29"/>
      <c r="AZ978" s="29"/>
      <c r="BA978" s="29"/>
      <c r="BB978" s="29"/>
      <c r="BC978" s="29"/>
      <c r="BD978" s="29"/>
      <c r="BE978" s="29"/>
      <c r="BF978" s="111"/>
      <c r="BG978" s="111"/>
      <c r="BH978" s="111"/>
      <c r="BI978" s="111"/>
      <c r="BJ978" s="111"/>
      <c r="BK978" s="111"/>
      <c r="BL978" s="111"/>
      <c r="BM978" s="111"/>
      <c r="BN978" s="111"/>
      <c r="BO978" s="111"/>
      <c r="BP978" s="111"/>
      <c r="BQ978" s="111"/>
      <c r="BR978" s="111"/>
      <c r="BS978" s="111"/>
      <c r="DR978" s="29"/>
      <c r="DS978" s="29"/>
      <c r="DT978" s="29"/>
      <c r="DU978" s="29"/>
      <c r="DV978" s="29"/>
      <c r="DW978" s="29"/>
      <c r="DX978" s="29"/>
      <c r="DY978" s="29"/>
      <c r="DZ978" s="29"/>
      <c r="EA978" s="29"/>
      <c r="EB978" s="29"/>
      <c r="EC978" s="29"/>
      <c r="ED978" s="29"/>
      <c r="EE978" s="29"/>
      <c r="EF978" s="111"/>
      <c r="EG978" s="111"/>
      <c r="EH978" s="111"/>
      <c r="EI978" s="111"/>
      <c r="EJ978" s="111"/>
      <c r="EK978" s="111"/>
      <c r="EL978" s="111"/>
      <c r="EM978" s="111"/>
      <c r="EN978" s="111"/>
      <c r="EO978" s="111"/>
      <c r="EP978" s="111"/>
      <c r="EQ978" s="111"/>
      <c r="ER978" s="111"/>
      <c r="ES978" s="111"/>
    </row>
    <row r="979" spans="44:149">
      <c r="AR979" s="29"/>
      <c r="AS979" s="29"/>
      <c r="AT979" s="29"/>
      <c r="AU979" s="29"/>
      <c r="AV979" s="29"/>
      <c r="AW979" s="29"/>
      <c r="AX979" s="29"/>
      <c r="AY979" s="29"/>
      <c r="AZ979" s="29"/>
      <c r="BA979" s="29"/>
      <c r="BB979" s="29"/>
      <c r="BC979" s="29"/>
      <c r="BD979" s="29"/>
      <c r="BE979" s="29"/>
      <c r="BF979" s="111"/>
      <c r="BG979" s="111"/>
      <c r="BH979" s="111"/>
      <c r="BI979" s="111"/>
      <c r="BJ979" s="111"/>
      <c r="BK979" s="111"/>
      <c r="BL979" s="111"/>
      <c r="BM979" s="111"/>
      <c r="BN979" s="111"/>
      <c r="BO979" s="111"/>
      <c r="BP979" s="111"/>
      <c r="BQ979" s="111"/>
      <c r="BR979" s="111"/>
      <c r="BS979" s="111"/>
      <c r="DR979" s="29"/>
      <c r="DS979" s="29"/>
      <c r="DT979" s="29"/>
      <c r="DU979" s="29"/>
      <c r="DV979" s="29"/>
      <c r="DW979" s="29"/>
      <c r="DX979" s="29"/>
      <c r="DY979" s="29"/>
      <c r="DZ979" s="29"/>
      <c r="EA979" s="29"/>
      <c r="EB979" s="29"/>
      <c r="EC979" s="29"/>
      <c r="ED979" s="29"/>
      <c r="EE979" s="29"/>
      <c r="EF979" s="111"/>
      <c r="EG979" s="111"/>
      <c r="EH979" s="111"/>
      <c r="EI979" s="111"/>
      <c r="EJ979" s="111"/>
      <c r="EK979" s="111"/>
      <c r="EL979" s="111"/>
      <c r="EM979" s="111"/>
      <c r="EN979" s="111"/>
      <c r="EO979" s="111"/>
      <c r="EP979" s="111"/>
      <c r="EQ979" s="111"/>
      <c r="ER979" s="111"/>
      <c r="ES979" s="111"/>
    </row>
    <row r="980" spans="44:149">
      <c r="AR980" s="29"/>
      <c r="AS980" s="29"/>
      <c r="AT980" s="29"/>
      <c r="AU980" s="29"/>
      <c r="AV980" s="29"/>
      <c r="AW980" s="29"/>
      <c r="AX980" s="29"/>
      <c r="AY980" s="29"/>
      <c r="AZ980" s="29"/>
      <c r="BA980" s="29"/>
      <c r="BB980" s="29"/>
      <c r="BC980" s="29"/>
      <c r="BD980" s="29"/>
      <c r="BE980" s="29"/>
      <c r="BF980" s="111"/>
      <c r="BG980" s="111"/>
      <c r="BH980" s="111"/>
      <c r="BI980" s="111"/>
      <c r="BJ980" s="111"/>
      <c r="BK980" s="111"/>
      <c r="BL980" s="111"/>
      <c r="BM980" s="111"/>
      <c r="BN980" s="111"/>
      <c r="BO980" s="111"/>
      <c r="BP980" s="111"/>
      <c r="BQ980" s="111"/>
      <c r="BR980" s="111"/>
      <c r="BS980" s="111"/>
      <c r="DR980" s="29"/>
      <c r="DS980" s="29"/>
      <c r="DT980" s="29"/>
      <c r="DU980" s="29"/>
      <c r="DV980" s="29"/>
      <c r="DW980" s="29"/>
      <c r="DX980" s="29"/>
      <c r="DY980" s="29"/>
      <c r="DZ980" s="29"/>
      <c r="EA980" s="29"/>
      <c r="EB980" s="29"/>
      <c r="EC980" s="29"/>
      <c r="ED980" s="29"/>
      <c r="EE980" s="29"/>
      <c r="EF980" s="111"/>
      <c r="EG980" s="111"/>
      <c r="EH980" s="111"/>
      <c r="EI980" s="111"/>
      <c r="EJ980" s="111"/>
      <c r="EK980" s="111"/>
      <c r="EL980" s="111"/>
      <c r="EM980" s="111"/>
      <c r="EN980" s="111"/>
      <c r="EO980" s="111"/>
      <c r="EP980" s="111"/>
      <c r="EQ980" s="111"/>
      <c r="ER980" s="111"/>
      <c r="ES980" s="111"/>
    </row>
    <row r="981" spans="44:149">
      <c r="AR981" s="29"/>
      <c r="AS981" s="29"/>
      <c r="AT981" s="29"/>
      <c r="AU981" s="29"/>
      <c r="AV981" s="29"/>
      <c r="AW981" s="29"/>
      <c r="AX981" s="29"/>
      <c r="AY981" s="29"/>
      <c r="AZ981" s="29"/>
      <c r="BA981" s="29"/>
      <c r="BB981" s="29"/>
      <c r="BC981" s="29"/>
      <c r="BD981" s="29"/>
      <c r="BE981" s="29"/>
      <c r="BF981" s="111"/>
      <c r="BG981" s="111"/>
      <c r="BH981" s="111"/>
      <c r="BI981" s="111"/>
      <c r="BJ981" s="111"/>
      <c r="BK981" s="111"/>
      <c r="BL981" s="111"/>
      <c r="BM981" s="111"/>
      <c r="BN981" s="111"/>
      <c r="BO981" s="111"/>
      <c r="BP981" s="111"/>
      <c r="BQ981" s="111"/>
      <c r="BR981" s="111"/>
      <c r="BS981" s="111"/>
      <c r="DR981" s="29"/>
      <c r="DS981" s="29"/>
      <c r="DT981" s="29"/>
      <c r="DU981" s="29"/>
      <c r="DV981" s="29"/>
      <c r="DW981" s="29"/>
      <c r="DX981" s="29"/>
      <c r="DY981" s="29"/>
      <c r="DZ981" s="29"/>
      <c r="EA981" s="29"/>
      <c r="EB981" s="29"/>
      <c r="EC981" s="29"/>
      <c r="ED981" s="29"/>
      <c r="EE981" s="29"/>
      <c r="EF981" s="111"/>
      <c r="EG981" s="111"/>
      <c r="EH981" s="111"/>
      <c r="EI981" s="111"/>
      <c r="EJ981" s="111"/>
      <c r="EK981" s="111"/>
      <c r="EL981" s="111"/>
      <c r="EM981" s="111"/>
      <c r="EN981" s="111"/>
      <c r="EO981" s="111"/>
      <c r="EP981" s="111"/>
      <c r="EQ981" s="111"/>
      <c r="ER981" s="111"/>
      <c r="ES981" s="111"/>
    </row>
    <row r="982" spans="44:149">
      <c r="AR982" s="29"/>
      <c r="AS982" s="29"/>
      <c r="AT982" s="29"/>
      <c r="AU982" s="29"/>
      <c r="AV982" s="29"/>
      <c r="AW982" s="29"/>
      <c r="AX982" s="29"/>
      <c r="AY982" s="29"/>
      <c r="AZ982" s="29"/>
      <c r="BA982" s="29"/>
      <c r="BB982" s="29"/>
      <c r="BC982" s="29"/>
      <c r="BD982" s="29"/>
      <c r="BE982" s="29"/>
      <c r="BF982" s="111"/>
      <c r="BG982" s="111"/>
      <c r="BH982" s="111"/>
      <c r="BI982" s="111"/>
      <c r="BJ982" s="111"/>
      <c r="BK982" s="111"/>
      <c r="BL982" s="111"/>
      <c r="BM982" s="111"/>
      <c r="BN982" s="111"/>
      <c r="BO982" s="111"/>
      <c r="BP982" s="111"/>
      <c r="BQ982" s="111"/>
      <c r="BR982" s="111"/>
      <c r="BS982" s="111"/>
      <c r="DR982" s="29"/>
      <c r="DS982" s="29"/>
      <c r="DT982" s="29"/>
      <c r="DU982" s="29"/>
      <c r="DV982" s="29"/>
      <c r="DW982" s="29"/>
      <c r="DX982" s="29"/>
      <c r="DY982" s="29"/>
      <c r="DZ982" s="29"/>
      <c r="EA982" s="29"/>
      <c r="EB982" s="29"/>
      <c r="EC982" s="29"/>
      <c r="ED982" s="29"/>
      <c r="EE982" s="29"/>
      <c r="EF982" s="111"/>
      <c r="EG982" s="111"/>
      <c r="EH982" s="111"/>
      <c r="EI982" s="111"/>
      <c r="EJ982" s="111"/>
      <c r="EK982" s="111"/>
      <c r="EL982" s="111"/>
      <c r="EM982" s="111"/>
      <c r="EN982" s="111"/>
      <c r="EO982" s="111"/>
      <c r="EP982" s="111"/>
      <c r="EQ982" s="111"/>
      <c r="ER982" s="111"/>
      <c r="ES982" s="111"/>
    </row>
    <row r="983" spans="44:149">
      <c r="AR983" s="29"/>
      <c r="AS983" s="29"/>
      <c r="AT983" s="29"/>
      <c r="AU983" s="29"/>
      <c r="AV983" s="29"/>
      <c r="AW983" s="29"/>
      <c r="AX983" s="29"/>
      <c r="AY983" s="29"/>
      <c r="AZ983" s="29"/>
      <c r="BA983" s="29"/>
      <c r="BB983" s="29"/>
      <c r="BC983" s="29"/>
      <c r="BD983" s="29"/>
      <c r="BE983" s="29"/>
      <c r="BF983" s="111"/>
      <c r="BG983" s="111"/>
      <c r="BH983" s="111"/>
      <c r="BI983" s="111"/>
      <c r="BJ983" s="111"/>
      <c r="BK983" s="111"/>
      <c r="BL983" s="111"/>
      <c r="BM983" s="111"/>
      <c r="BN983" s="111"/>
      <c r="BO983" s="111"/>
      <c r="BP983" s="111"/>
      <c r="BQ983" s="111"/>
      <c r="BR983" s="111"/>
      <c r="BS983" s="111"/>
      <c r="DR983" s="29"/>
      <c r="DS983" s="29"/>
      <c r="DT983" s="29"/>
      <c r="DU983" s="29"/>
      <c r="DV983" s="29"/>
      <c r="DW983" s="29"/>
      <c r="DX983" s="29"/>
      <c r="DY983" s="29"/>
      <c r="DZ983" s="29"/>
      <c r="EA983" s="29"/>
      <c r="EB983" s="29"/>
      <c r="EC983" s="29"/>
      <c r="ED983" s="29"/>
      <c r="EE983" s="29"/>
      <c r="EF983" s="111"/>
      <c r="EG983" s="111"/>
      <c r="EH983" s="111"/>
      <c r="EI983" s="111"/>
      <c r="EJ983" s="111"/>
      <c r="EK983" s="111"/>
      <c r="EL983" s="111"/>
      <c r="EM983" s="111"/>
      <c r="EN983" s="111"/>
      <c r="EO983" s="111"/>
      <c r="EP983" s="111"/>
      <c r="EQ983" s="111"/>
      <c r="ER983" s="111"/>
      <c r="ES983" s="111"/>
    </row>
    <row r="984" spans="44:149">
      <c r="AR984" s="29"/>
      <c r="AS984" s="29"/>
      <c r="AT984" s="29"/>
      <c r="AU984" s="29"/>
      <c r="AV984" s="29"/>
      <c r="AW984" s="29"/>
      <c r="AX984" s="29"/>
      <c r="AY984" s="29"/>
      <c r="AZ984" s="29"/>
      <c r="BA984" s="29"/>
      <c r="BB984" s="29"/>
      <c r="BC984" s="29"/>
      <c r="BD984" s="29"/>
      <c r="BE984" s="29"/>
      <c r="BF984" s="111"/>
      <c r="BG984" s="111"/>
      <c r="BH984" s="111"/>
      <c r="BI984" s="111"/>
      <c r="BJ984" s="111"/>
      <c r="BK984" s="111"/>
      <c r="BL984" s="111"/>
      <c r="BM984" s="111"/>
      <c r="BN984" s="111"/>
      <c r="BO984" s="111"/>
      <c r="BP984" s="111"/>
      <c r="BQ984" s="111"/>
      <c r="BR984" s="111"/>
      <c r="BS984" s="111"/>
      <c r="DR984" s="29"/>
      <c r="DS984" s="29"/>
      <c r="DT984" s="29"/>
      <c r="DU984" s="29"/>
      <c r="DV984" s="29"/>
      <c r="DW984" s="29"/>
      <c r="DX984" s="29"/>
      <c r="DY984" s="29"/>
      <c r="DZ984" s="29"/>
      <c r="EA984" s="29"/>
      <c r="EB984" s="29"/>
      <c r="EC984" s="29"/>
      <c r="ED984" s="29"/>
      <c r="EE984" s="29"/>
      <c r="EF984" s="111"/>
      <c r="EG984" s="111"/>
      <c r="EH984" s="111"/>
      <c r="EI984" s="111"/>
      <c r="EJ984" s="111"/>
      <c r="EK984" s="111"/>
      <c r="EL984" s="111"/>
      <c r="EM984" s="111"/>
      <c r="EN984" s="111"/>
      <c r="EO984" s="111"/>
      <c r="EP984" s="111"/>
      <c r="EQ984" s="111"/>
      <c r="ER984" s="111"/>
      <c r="ES984" s="111"/>
    </row>
    <row r="985" spans="44:149">
      <c r="AR985" s="29"/>
      <c r="AS985" s="29"/>
      <c r="AT985" s="29"/>
      <c r="AU985" s="29"/>
      <c r="AV985" s="29"/>
      <c r="AW985" s="29"/>
      <c r="AX985" s="29"/>
      <c r="AY985" s="29"/>
      <c r="AZ985" s="29"/>
      <c r="BA985" s="29"/>
      <c r="BB985" s="29"/>
      <c r="BC985" s="29"/>
      <c r="BD985" s="29"/>
      <c r="BE985" s="29"/>
      <c r="BF985" s="111"/>
      <c r="BG985" s="111"/>
      <c r="BH985" s="111"/>
      <c r="BI985" s="111"/>
      <c r="BJ985" s="111"/>
      <c r="BK985" s="111"/>
      <c r="BL985" s="111"/>
      <c r="BM985" s="111"/>
      <c r="BN985" s="111"/>
      <c r="BO985" s="111"/>
      <c r="BP985" s="111"/>
      <c r="BQ985" s="111"/>
      <c r="BR985" s="111"/>
      <c r="BS985" s="111"/>
      <c r="DR985" s="29"/>
      <c r="DS985" s="29"/>
      <c r="DT985" s="29"/>
      <c r="DU985" s="29"/>
      <c r="DV985" s="29"/>
      <c r="DW985" s="29"/>
      <c r="DX985" s="29"/>
      <c r="DY985" s="29"/>
      <c r="DZ985" s="29"/>
      <c r="EA985" s="29"/>
      <c r="EB985" s="29"/>
      <c r="EC985" s="29"/>
      <c r="ED985" s="29"/>
      <c r="EE985" s="29"/>
      <c r="EF985" s="111"/>
      <c r="EG985" s="111"/>
      <c r="EH985" s="111"/>
      <c r="EI985" s="111"/>
      <c r="EJ985" s="111"/>
      <c r="EK985" s="111"/>
      <c r="EL985" s="111"/>
      <c r="EM985" s="111"/>
      <c r="EN985" s="111"/>
      <c r="EO985" s="111"/>
      <c r="EP985" s="111"/>
      <c r="EQ985" s="111"/>
      <c r="ER985" s="111"/>
      <c r="ES985" s="111"/>
    </row>
    <row r="986" spans="44:149">
      <c r="AR986" s="29"/>
      <c r="AS986" s="29"/>
      <c r="AT986" s="29"/>
      <c r="AU986" s="29"/>
      <c r="AV986" s="29"/>
      <c r="AW986" s="29"/>
      <c r="AX986" s="29"/>
      <c r="AY986" s="29"/>
      <c r="AZ986" s="29"/>
      <c r="BA986" s="29"/>
      <c r="BB986" s="29"/>
      <c r="BC986" s="29"/>
      <c r="BD986" s="29"/>
      <c r="BE986" s="29"/>
      <c r="BF986" s="111"/>
      <c r="BG986" s="111"/>
      <c r="BH986" s="111"/>
      <c r="BI986" s="111"/>
      <c r="BJ986" s="111"/>
      <c r="BK986" s="111"/>
      <c r="BL986" s="111"/>
      <c r="BM986" s="111"/>
      <c r="BN986" s="111"/>
      <c r="BO986" s="111"/>
      <c r="BP986" s="111"/>
      <c r="BQ986" s="111"/>
      <c r="BR986" s="111"/>
      <c r="BS986" s="111"/>
      <c r="DR986" s="29"/>
      <c r="DS986" s="29"/>
      <c r="DT986" s="29"/>
      <c r="DU986" s="29"/>
      <c r="DV986" s="29"/>
      <c r="DW986" s="29"/>
      <c r="DX986" s="29"/>
      <c r="DY986" s="29"/>
      <c r="DZ986" s="29"/>
      <c r="EA986" s="29"/>
      <c r="EB986" s="29"/>
      <c r="EC986" s="29"/>
      <c r="ED986" s="29"/>
      <c r="EE986" s="29"/>
      <c r="EF986" s="111"/>
      <c r="EG986" s="111"/>
      <c r="EH986" s="111"/>
      <c r="EI986" s="111"/>
      <c r="EJ986" s="111"/>
      <c r="EK986" s="111"/>
      <c r="EL986" s="111"/>
      <c r="EM986" s="111"/>
      <c r="EN986" s="111"/>
      <c r="EO986" s="111"/>
      <c r="EP986" s="111"/>
      <c r="EQ986" s="111"/>
      <c r="ER986" s="111"/>
      <c r="ES986" s="111"/>
    </row>
    <row r="987" spans="44:149">
      <c r="AR987" s="29"/>
      <c r="AS987" s="29"/>
      <c r="AT987" s="29"/>
      <c r="AU987" s="29"/>
      <c r="AV987" s="29"/>
      <c r="AW987" s="29"/>
      <c r="AX987" s="29"/>
      <c r="AY987" s="29"/>
      <c r="AZ987" s="29"/>
      <c r="BA987" s="29"/>
      <c r="BB987" s="29"/>
      <c r="BC987" s="29"/>
      <c r="BD987" s="29"/>
      <c r="BE987" s="29"/>
      <c r="BF987" s="111"/>
      <c r="BG987" s="111"/>
      <c r="BH987" s="111"/>
      <c r="BI987" s="111"/>
      <c r="BJ987" s="111"/>
      <c r="BK987" s="111"/>
      <c r="BL987" s="111"/>
      <c r="BM987" s="111"/>
      <c r="BN987" s="111"/>
      <c r="BO987" s="111"/>
      <c r="BP987" s="111"/>
      <c r="BQ987" s="111"/>
      <c r="BR987" s="111"/>
      <c r="BS987" s="111"/>
      <c r="DR987" s="29"/>
      <c r="DS987" s="29"/>
      <c r="DT987" s="29"/>
      <c r="DU987" s="29"/>
      <c r="DV987" s="29"/>
      <c r="DW987" s="29"/>
      <c r="DX987" s="29"/>
      <c r="DY987" s="29"/>
      <c r="DZ987" s="29"/>
      <c r="EA987" s="29"/>
      <c r="EB987" s="29"/>
      <c r="EC987" s="29"/>
      <c r="ED987" s="29"/>
      <c r="EE987" s="29"/>
      <c r="EF987" s="111"/>
      <c r="EG987" s="111"/>
      <c r="EH987" s="111"/>
      <c r="EI987" s="111"/>
      <c r="EJ987" s="111"/>
      <c r="EK987" s="111"/>
      <c r="EL987" s="111"/>
      <c r="EM987" s="111"/>
      <c r="EN987" s="111"/>
      <c r="EO987" s="111"/>
      <c r="EP987" s="111"/>
      <c r="EQ987" s="111"/>
      <c r="ER987" s="111"/>
      <c r="ES987" s="111"/>
    </row>
    <row r="988" spans="44:149">
      <c r="AR988" s="29"/>
      <c r="AS988" s="29"/>
      <c r="AT988" s="29"/>
      <c r="AU988" s="29"/>
      <c r="AV988" s="29"/>
      <c r="AW988" s="29"/>
      <c r="AX988" s="29"/>
      <c r="AY988" s="29"/>
      <c r="AZ988" s="29"/>
      <c r="BA988" s="29"/>
      <c r="BB988" s="29"/>
      <c r="BC988" s="29"/>
      <c r="BD988" s="29"/>
      <c r="BE988" s="29"/>
      <c r="BF988" s="111"/>
      <c r="BG988" s="111"/>
      <c r="BH988" s="111"/>
      <c r="BI988" s="111"/>
      <c r="BJ988" s="111"/>
      <c r="BK988" s="111"/>
      <c r="BL988" s="111"/>
      <c r="BM988" s="111"/>
      <c r="BN988" s="111"/>
      <c r="BO988" s="111"/>
      <c r="BP988" s="111"/>
      <c r="BQ988" s="111"/>
      <c r="BR988" s="111"/>
      <c r="BS988" s="111"/>
      <c r="DR988" s="29"/>
      <c r="DS988" s="29"/>
      <c r="DT988" s="29"/>
      <c r="DU988" s="29"/>
      <c r="DV988" s="29"/>
      <c r="DW988" s="29"/>
      <c r="DX988" s="29"/>
      <c r="DY988" s="29"/>
      <c r="DZ988" s="29"/>
      <c r="EA988" s="29"/>
      <c r="EB988" s="29"/>
      <c r="EC988" s="29"/>
      <c r="ED988" s="29"/>
      <c r="EE988" s="29"/>
      <c r="EF988" s="111"/>
      <c r="EG988" s="111"/>
      <c r="EH988" s="111"/>
      <c r="EI988" s="111"/>
      <c r="EJ988" s="111"/>
      <c r="EK988" s="111"/>
      <c r="EL988" s="111"/>
      <c r="EM988" s="111"/>
      <c r="EN988" s="111"/>
      <c r="EO988" s="111"/>
      <c r="EP988" s="111"/>
      <c r="EQ988" s="111"/>
      <c r="ER988" s="111"/>
      <c r="ES988" s="111"/>
    </row>
    <row r="989" spans="44:149">
      <c r="AR989" s="29"/>
      <c r="AS989" s="29"/>
      <c r="AT989" s="29"/>
      <c r="AU989" s="29"/>
      <c r="AV989" s="29"/>
      <c r="AW989" s="29"/>
      <c r="AX989" s="29"/>
      <c r="AY989" s="29"/>
      <c r="AZ989" s="29"/>
      <c r="BA989" s="29"/>
      <c r="BB989" s="29"/>
      <c r="BC989" s="29"/>
      <c r="BD989" s="29"/>
      <c r="BE989" s="29"/>
      <c r="BF989" s="111"/>
      <c r="BG989" s="111"/>
      <c r="BH989" s="111"/>
      <c r="BI989" s="111"/>
      <c r="BJ989" s="111"/>
      <c r="BK989" s="111"/>
      <c r="BL989" s="111"/>
      <c r="BM989" s="111"/>
      <c r="BN989" s="111"/>
      <c r="BO989" s="111"/>
      <c r="BP989" s="111"/>
      <c r="BQ989" s="111"/>
      <c r="BR989" s="111"/>
      <c r="BS989" s="111"/>
      <c r="DR989" s="29"/>
      <c r="DS989" s="29"/>
      <c r="DT989" s="29"/>
      <c r="DU989" s="29"/>
      <c r="DV989" s="29"/>
      <c r="DW989" s="29"/>
      <c r="DX989" s="29"/>
      <c r="DY989" s="29"/>
      <c r="DZ989" s="29"/>
      <c r="EA989" s="29"/>
      <c r="EB989" s="29"/>
      <c r="EC989" s="29"/>
      <c r="ED989" s="29"/>
      <c r="EE989" s="29"/>
      <c r="EF989" s="111"/>
      <c r="EG989" s="111"/>
      <c r="EH989" s="111"/>
      <c r="EI989" s="111"/>
      <c r="EJ989" s="111"/>
      <c r="EK989" s="111"/>
      <c r="EL989" s="111"/>
      <c r="EM989" s="111"/>
      <c r="EN989" s="111"/>
      <c r="EO989" s="111"/>
      <c r="EP989" s="111"/>
      <c r="EQ989" s="111"/>
      <c r="ER989" s="111"/>
      <c r="ES989" s="111"/>
    </row>
    <row r="990" spans="44:149">
      <c r="AR990" s="29"/>
      <c r="AS990" s="29"/>
      <c r="AT990" s="29"/>
      <c r="AU990" s="29"/>
      <c r="AV990" s="29"/>
      <c r="AW990" s="29"/>
      <c r="AX990" s="29"/>
      <c r="AY990" s="29"/>
      <c r="AZ990" s="29"/>
      <c r="BA990" s="29"/>
      <c r="BB990" s="29"/>
      <c r="BC990" s="29"/>
      <c r="BD990" s="29"/>
      <c r="BE990" s="29"/>
      <c r="BF990" s="111"/>
      <c r="BG990" s="111"/>
      <c r="BH990" s="111"/>
      <c r="BI990" s="111"/>
      <c r="BJ990" s="111"/>
      <c r="BK990" s="111"/>
      <c r="BL990" s="111"/>
      <c r="BM990" s="111"/>
      <c r="BN990" s="111"/>
      <c r="BO990" s="111"/>
      <c r="BP990" s="111"/>
      <c r="BQ990" s="111"/>
      <c r="BR990" s="111"/>
      <c r="BS990" s="111"/>
      <c r="DR990" s="29"/>
      <c r="DS990" s="29"/>
      <c r="DT990" s="29"/>
      <c r="DU990" s="29"/>
      <c r="DV990" s="29"/>
      <c r="DW990" s="29"/>
      <c r="DX990" s="29"/>
      <c r="DY990" s="29"/>
      <c r="DZ990" s="29"/>
      <c r="EA990" s="29"/>
      <c r="EB990" s="29"/>
      <c r="EC990" s="29"/>
      <c r="ED990" s="29"/>
      <c r="EE990" s="29"/>
      <c r="EF990" s="111"/>
      <c r="EG990" s="111"/>
      <c r="EH990" s="111"/>
      <c r="EI990" s="111"/>
      <c r="EJ990" s="111"/>
      <c r="EK990" s="111"/>
      <c r="EL990" s="111"/>
      <c r="EM990" s="111"/>
      <c r="EN990" s="111"/>
      <c r="EO990" s="111"/>
      <c r="EP990" s="111"/>
      <c r="EQ990" s="111"/>
      <c r="ER990" s="111"/>
      <c r="ES990" s="111"/>
    </row>
    <row r="991" spans="44:149">
      <c r="AR991" s="29"/>
      <c r="AS991" s="29"/>
      <c r="AT991" s="29"/>
      <c r="AU991" s="29"/>
      <c r="AV991" s="29"/>
      <c r="AW991" s="29"/>
      <c r="AX991" s="29"/>
      <c r="AY991" s="29"/>
      <c r="AZ991" s="29"/>
      <c r="BA991" s="29"/>
      <c r="BB991" s="29"/>
      <c r="BC991" s="29"/>
      <c r="BD991" s="29"/>
      <c r="BE991" s="29"/>
      <c r="BF991" s="111"/>
      <c r="BG991" s="111"/>
      <c r="BH991" s="111"/>
      <c r="BI991" s="111"/>
      <c r="BJ991" s="111"/>
      <c r="BK991" s="111"/>
      <c r="BL991" s="111"/>
      <c r="BM991" s="111"/>
      <c r="BN991" s="111"/>
      <c r="BO991" s="111"/>
      <c r="BP991" s="111"/>
      <c r="BQ991" s="111"/>
      <c r="BR991" s="111"/>
      <c r="BS991" s="111"/>
      <c r="DR991" s="29"/>
      <c r="DS991" s="29"/>
      <c r="DT991" s="29"/>
      <c r="DU991" s="29"/>
      <c r="DV991" s="29"/>
      <c r="DW991" s="29"/>
      <c r="DX991" s="29"/>
      <c r="DY991" s="29"/>
      <c r="DZ991" s="29"/>
      <c r="EA991" s="29"/>
      <c r="EB991" s="29"/>
      <c r="EC991" s="29"/>
      <c r="ED991" s="29"/>
      <c r="EE991" s="29"/>
      <c r="EF991" s="111"/>
      <c r="EG991" s="111"/>
      <c r="EH991" s="111"/>
      <c r="EI991" s="111"/>
      <c r="EJ991" s="111"/>
      <c r="EK991" s="111"/>
      <c r="EL991" s="111"/>
      <c r="EM991" s="111"/>
      <c r="EN991" s="111"/>
      <c r="EO991" s="111"/>
      <c r="EP991" s="111"/>
      <c r="EQ991" s="111"/>
      <c r="ER991" s="111"/>
      <c r="ES991" s="111"/>
    </row>
    <row r="992" spans="44:149">
      <c r="AR992" s="29"/>
      <c r="AS992" s="29"/>
      <c r="AT992" s="29"/>
      <c r="AU992" s="29"/>
      <c r="AV992" s="29"/>
      <c r="AW992" s="29"/>
      <c r="AX992" s="29"/>
      <c r="AY992" s="29"/>
      <c r="AZ992" s="29"/>
      <c r="BA992" s="29"/>
      <c r="BB992" s="29"/>
      <c r="BC992" s="29"/>
      <c r="BD992" s="29"/>
      <c r="BE992" s="29"/>
      <c r="BF992" s="111"/>
      <c r="BG992" s="111"/>
      <c r="BH992" s="111"/>
      <c r="BI992" s="111"/>
      <c r="BJ992" s="111"/>
      <c r="BK992" s="111"/>
      <c r="BL992" s="111"/>
      <c r="BM992" s="111"/>
      <c r="BN992" s="111"/>
      <c r="BO992" s="111"/>
      <c r="BP992" s="111"/>
      <c r="BQ992" s="111"/>
      <c r="BR992" s="111"/>
      <c r="BS992" s="111"/>
      <c r="DR992" s="29"/>
      <c r="DS992" s="29"/>
      <c r="DT992" s="29"/>
      <c r="DU992" s="29"/>
      <c r="DV992" s="29"/>
      <c r="DW992" s="29"/>
      <c r="DX992" s="29"/>
      <c r="DY992" s="29"/>
      <c r="DZ992" s="29"/>
      <c r="EA992" s="29"/>
      <c r="EB992" s="29"/>
      <c r="EC992" s="29"/>
      <c r="ED992" s="29"/>
      <c r="EE992" s="29"/>
      <c r="EF992" s="111"/>
      <c r="EG992" s="111"/>
      <c r="EH992" s="111"/>
      <c r="EI992" s="111"/>
      <c r="EJ992" s="111"/>
      <c r="EK992" s="111"/>
      <c r="EL992" s="111"/>
      <c r="EM992" s="111"/>
      <c r="EN992" s="111"/>
      <c r="EO992" s="111"/>
      <c r="EP992" s="111"/>
      <c r="EQ992" s="111"/>
      <c r="ER992" s="111"/>
      <c r="ES992" s="111"/>
    </row>
    <row r="993" spans="44:149">
      <c r="AR993" s="29"/>
      <c r="AS993" s="29"/>
      <c r="AT993" s="29"/>
      <c r="AU993" s="29"/>
      <c r="AV993" s="29"/>
      <c r="AW993" s="29"/>
      <c r="AX993" s="29"/>
      <c r="AY993" s="29"/>
      <c r="AZ993" s="29"/>
      <c r="BA993" s="29"/>
      <c r="BB993" s="29"/>
      <c r="BC993" s="29"/>
      <c r="BD993" s="29"/>
      <c r="BE993" s="29"/>
      <c r="BF993" s="111"/>
      <c r="BG993" s="111"/>
      <c r="BH993" s="111"/>
      <c r="BI993" s="111"/>
      <c r="BJ993" s="111"/>
      <c r="BK993" s="111"/>
      <c r="BL993" s="111"/>
      <c r="BM993" s="111"/>
      <c r="BN993" s="111"/>
      <c r="BO993" s="111"/>
      <c r="BP993" s="111"/>
      <c r="BQ993" s="111"/>
      <c r="BR993" s="111"/>
      <c r="BS993" s="111"/>
      <c r="DR993" s="29"/>
      <c r="DS993" s="29"/>
      <c r="DT993" s="29"/>
      <c r="DU993" s="29"/>
      <c r="DV993" s="29"/>
      <c r="DW993" s="29"/>
      <c r="DX993" s="29"/>
      <c r="DY993" s="29"/>
      <c r="DZ993" s="29"/>
      <c r="EA993" s="29"/>
      <c r="EB993" s="29"/>
      <c r="EC993" s="29"/>
      <c r="ED993" s="29"/>
      <c r="EE993" s="29"/>
      <c r="EF993" s="111"/>
      <c r="EG993" s="111"/>
      <c r="EH993" s="111"/>
      <c r="EI993" s="111"/>
      <c r="EJ993" s="111"/>
      <c r="EK993" s="111"/>
      <c r="EL993" s="111"/>
      <c r="EM993" s="111"/>
      <c r="EN993" s="111"/>
      <c r="EO993" s="111"/>
      <c r="EP993" s="111"/>
      <c r="EQ993" s="111"/>
      <c r="ER993" s="111"/>
      <c r="ES993" s="111"/>
    </row>
    <row r="994" spans="44:149">
      <c r="AR994" s="29"/>
      <c r="AS994" s="29"/>
      <c r="AT994" s="29"/>
      <c r="AU994" s="29"/>
      <c r="AV994" s="29"/>
      <c r="AW994" s="29"/>
      <c r="AX994" s="29"/>
      <c r="AY994" s="29"/>
      <c r="AZ994" s="29"/>
      <c r="BA994" s="29"/>
      <c r="BB994" s="29"/>
      <c r="BC994" s="29"/>
      <c r="BD994" s="29"/>
      <c r="BE994" s="29"/>
      <c r="BF994" s="111"/>
      <c r="BG994" s="111"/>
      <c r="BH994" s="111"/>
      <c r="BI994" s="111"/>
      <c r="BJ994" s="111"/>
      <c r="BK994" s="111"/>
      <c r="BL994" s="111"/>
      <c r="BM994" s="111"/>
      <c r="BN994" s="111"/>
      <c r="BO994" s="111"/>
      <c r="BP994" s="111"/>
      <c r="BQ994" s="111"/>
      <c r="BR994" s="111"/>
      <c r="BS994" s="111"/>
      <c r="DR994" s="29"/>
      <c r="DS994" s="29"/>
      <c r="DT994" s="29"/>
      <c r="DU994" s="29"/>
      <c r="DV994" s="29"/>
      <c r="DW994" s="29"/>
      <c r="DX994" s="29"/>
      <c r="DY994" s="29"/>
      <c r="DZ994" s="29"/>
      <c r="EA994" s="29"/>
      <c r="EB994" s="29"/>
      <c r="EC994" s="29"/>
      <c r="ED994" s="29"/>
      <c r="EE994" s="29"/>
      <c r="EF994" s="111"/>
      <c r="EG994" s="111"/>
      <c r="EH994" s="111"/>
      <c r="EI994" s="111"/>
      <c r="EJ994" s="111"/>
      <c r="EK994" s="111"/>
      <c r="EL994" s="111"/>
      <c r="EM994" s="111"/>
      <c r="EN994" s="111"/>
      <c r="EO994" s="111"/>
      <c r="EP994" s="111"/>
      <c r="EQ994" s="111"/>
      <c r="ER994" s="111"/>
      <c r="ES994" s="111"/>
    </row>
    <row r="995" spans="44:149">
      <c r="AR995" s="29"/>
      <c r="AS995" s="29"/>
      <c r="AT995" s="29"/>
      <c r="AU995" s="29"/>
      <c r="AV995" s="29"/>
      <c r="AW995" s="29"/>
      <c r="AX995" s="29"/>
      <c r="AY995" s="29"/>
      <c r="AZ995" s="29"/>
      <c r="BA995" s="29"/>
      <c r="BB995" s="29"/>
      <c r="BC995" s="29"/>
      <c r="BD995" s="29"/>
      <c r="BE995" s="29"/>
      <c r="BF995" s="111"/>
      <c r="BG995" s="111"/>
      <c r="BH995" s="111"/>
      <c r="BI995" s="111"/>
      <c r="BJ995" s="111"/>
      <c r="BK995" s="111"/>
      <c r="BL995" s="111"/>
      <c r="BM995" s="111"/>
      <c r="BN995" s="111"/>
      <c r="BO995" s="111"/>
      <c r="BP995" s="111"/>
      <c r="BQ995" s="111"/>
      <c r="BR995" s="111"/>
      <c r="BS995" s="111"/>
      <c r="DR995" s="29"/>
      <c r="DS995" s="29"/>
      <c r="DT995" s="29"/>
      <c r="DU995" s="29"/>
      <c r="DV995" s="29"/>
      <c r="DW995" s="29"/>
      <c r="DX995" s="29"/>
      <c r="DY995" s="29"/>
      <c r="DZ995" s="29"/>
      <c r="EA995" s="29"/>
      <c r="EB995" s="29"/>
      <c r="EC995" s="29"/>
      <c r="ED995" s="29"/>
      <c r="EE995" s="29"/>
      <c r="EF995" s="111"/>
      <c r="EG995" s="111"/>
      <c r="EH995" s="111"/>
      <c r="EI995" s="111"/>
      <c r="EJ995" s="111"/>
      <c r="EK995" s="111"/>
      <c r="EL995" s="111"/>
      <c r="EM995" s="111"/>
      <c r="EN995" s="111"/>
      <c r="EO995" s="111"/>
      <c r="EP995" s="111"/>
      <c r="EQ995" s="111"/>
      <c r="ER995" s="111"/>
      <c r="ES995" s="111"/>
    </row>
    <row r="996" spans="44:149">
      <c r="AR996" s="29"/>
      <c r="AS996" s="29"/>
      <c r="AT996" s="29"/>
      <c r="AU996" s="29"/>
      <c r="AV996" s="29"/>
      <c r="AW996" s="29"/>
      <c r="AX996" s="29"/>
      <c r="AY996" s="29"/>
      <c r="AZ996" s="29"/>
      <c r="BA996" s="29"/>
      <c r="BB996" s="29"/>
      <c r="BC996" s="29"/>
      <c r="BD996" s="29"/>
      <c r="BE996" s="29"/>
      <c r="BF996" s="111"/>
      <c r="BG996" s="111"/>
      <c r="BH996" s="111"/>
      <c r="BI996" s="111"/>
      <c r="BJ996" s="111"/>
      <c r="BK996" s="111"/>
      <c r="BL996" s="111"/>
      <c r="BM996" s="111"/>
      <c r="BN996" s="111"/>
      <c r="BO996" s="111"/>
      <c r="BP996" s="111"/>
      <c r="BQ996" s="111"/>
      <c r="BR996" s="111"/>
      <c r="BS996" s="111"/>
      <c r="DR996" s="29"/>
      <c r="DS996" s="29"/>
      <c r="DT996" s="29"/>
      <c r="DU996" s="29"/>
      <c r="DV996" s="29"/>
      <c r="DW996" s="29"/>
      <c r="DX996" s="29"/>
      <c r="DY996" s="29"/>
      <c r="DZ996" s="29"/>
      <c r="EA996" s="29"/>
      <c r="EB996" s="29"/>
      <c r="EC996" s="29"/>
      <c r="ED996" s="29"/>
      <c r="EE996" s="29"/>
      <c r="EF996" s="111"/>
      <c r="EG996" s="111"/>
      <c r="EH996" s="111"/>
      <c r="EI996" s="111"/>
      <c r="EJ996" s="111"/>
      <c r="EK996" s="111"/>
      <c r="EL996" s="111"/>
      <c r="EM996" s="111"/>
      <c r="EN996" s="111"/>
      <c r="EO996" s="111"/>
      <c r="EP996" s="111"/>
      <c r="EQ996" s="111"/>
      <c r="ER996" s="111"/>
      <c r="ES996" s="111"/>
    </row>
    <row r="997" spans="44:149">
      <c r="AR997" s="29"/>
      <c r="AS997" s="29"/>
      <c r="AT997" s="29"/>
      <c r="AU997" s="29"/>
      <c r="AV997" s="29"/>
      <c r="AW997" s="29"/>
      <c r="AX997" s="29"/>
      <c r="AY997" s="29"/>
      <c r="AZ997" s="29"/>
      <c r="BA997" s="29"/>
      <c r="BB997" s="29"/>
      <c r="BC997" s="29"/>
      <c r="BD997" s="29"/>
      <c r="BE997" s="29"/>
      <c r="BF997" s="111"/>
      <c r="BG997" s="111"/>
      <c r="BH997" s="111"/>
      <c r="BI997" s="111"/>
      <c r="BJ997" s="111"/>
      <c r="BK997" s="111"/>
      <c r="BL997" s="111"/>
      <c r="BM997" s="111"/>
      <c r="BN997" s="111"/>
      <c r="BO997" s="111"/>
      <c r="BP997" s="111"/>
      <c r="BQ997" s="111"/>
      <c r="BR997" s="111"/>
      <c r="BS997" s="111"/>
      <c r="DR997" s="29"/>
      <c r="DS997" s="29"/>
      <c r="DT997" s="29"/>
      <c r="DU997" s="29"/>
      <c r="DV997" s="29"/>
      <c r="DW997" s="29"/>
      <c r="DX997" s="29"/>
      <c r="DY997" s="29"/>
      <c r="DZ997" s="29"/>
      <c r="EA997" s="29"/>
      <c r="EB997" s="29"/>
      <c r="EC997" s="29"/>
      <c r="ED997" s="29"/>
      <c r="EE997" s="29"/>
      <c r="EF997" s="111"/>
      <c r="EG997" s="111"/>
      <c r="EH997" s="111"/>
      <c r="EI997" s="111"/>
      <c r="EJ997" s="111"/>
      <c r="EK997" s="111"/>
      <c r="EL997" s="111"/>
      <c r="EM997" s="111"/>
      <c r="EN997" s="111"/>
      <c r="EO997" s="111"/>
      <c r="EP997" s="111"/>
      <c r="EQ997" s="111"/>
      <c r="ER997" s="111"/>
      <c r="ES997" s="111"/>
    </row>
    <row r="998" spans="44:149">
      <c r="AR998" s="29"/>
      <c r="AS998" s="29"/>
      <c r="AT998" s="29"/>
      <c r="AU998" s="29"/>
      <c r="AV998" s="29"/>
      <c r="AW998" s="29"/>
      <c r="AX998" s="29"/>
      <c r="AY998" s="29"/>
      <c r="AZ998" s="29"/>
      <c r="BA998" s="29"/>
      <c r="BB998" s="29"/>
      <c r="BC998" s="29"/>
      <c r="BD998" s="29"/>
      <c r="BE998" s="29"/>
      <c r="BF998" s="111"/>
      <c r="BG998" s="111"/>
      <c r="BH998" s="111"/>
      <c r="BI998" s="111"/>
      <c r="BJ998" s="111"/>
      <c r="BK998" s="111"/>
      <c r="BL998" s="111"/>
      <c r="BM998" s="111"/>
      <c r="BN998" s="111"/>
      <c r="BO998" s="111"/>
      <c r="BP998" s="111"/>
      <c r="BQ998" s="111"/>
      <c r="BR998" s="111"/>
      <c r="BS998" s="111"/>
      <c r="DR998" s="29"/>
      <c r="DS998" s="29"/>
      <c r="DT998" s="29"/>
      <c r="DU998" s="29"/>
      <c r="DV998" s="29"/>
      <c r="DW998" s="29"/>
      <c r="DX998" s="29"/>
      <c r="DY998" s="29"/>
      <c r="DZ998" s="29"/>
      <c r="EA998" s="29"/>
      <c r="EB998" s="29"/>
      <c r="EC998" s="29"/>
      <c r="ED998" s="29"/>
      <c r="EE998" s="29"/>
      <c r="EF998" s="111"/>
      <c r="EG998" s="111"/>
      <c r="EH998" s="111"/>
      <c r="EI998" s="111"/>
      <c r="EJ998" s="111"/>
      <c r="EK998" s="111"/>
      <c r="EL998" s="111"/>
      <c r="EM998" s="111"/>
      <c r="EN998" s="111"/>
      <c r="EO998" s="111"/>
      <c r="EP998" s="111"/>
      <c r="EQ998" s="111"/>
      <c r="ER998" s="111"/>
      <c r="ES998" s="111"/>
    </row>
    <row r="999" spans="44:149">
      <c r="AR999" s="29"/>
      <c r="AS999" s="29"/>
      <c r="AT999" s="29"/>
      <c r="AU999" s="29"/>
      <c r="AV999" s="29"/>
      <c r="AW999" s="29"/>
      <c r="AX999" s="29"/>
      <c r="AY999" s="29"/>
      <c r="AZ999" s="29"/>
      <c r="BA999" s="29"/>
      <c r="BB999" s="29"/>
      <c r="BC999" s="29"/>
      <c r="BD999" s="29"/>
      <c r="BE999" s="29"/>
      <c r="BF999" s="111"/>
      <c r="BG999" s="111"/>
      <c r="BH999" s="111"/>
      <c r="BI999" s="111"/>
      <c r="BJ999" s="111"/>
      <c r="BK999" s="111"/>
      <c r="BL999" s="111"/>
      <c r="BM999" s="111"/>
      <c r="BN999" s="111"/>
      <c r="BO999" s="111"/>
      <c r="BP999" s="111"/>
      <c r="BQ999" s="111"/>
      <c r="BR999" s="111"/>
      <c r="BS999" s="111"/>
      <c r="DR999" s="29"/>
      <c r="DS999" s="29"/>
      <c r="DT999" s="29"/>
      <c r="DU999" s="29"/>
      <c r="DV999" s="29"/>
      <c r="DW999" s="29"/>
      <c r="DX999" s="29"/>
      <c r="DY999" s="29"/>
      <c r="DZ999" s="29"/>
      <c r="EA999" s="29"/>
      <c r="EB999" s="29"/>
      <c r="EC999" s="29"/>
      <c r="ED999" s="29"/>
      <c r="EE999" s="29"/>
      <c r="EF999" s="111"/>
      <c r="EG999" s="111"/>
      <c r="EH999" s="111"/>
      <c r="EI999" s="111"/>
      <c r="EJ999" s="111"/>
      <c r="EK999" s="111"/>
      <c r="EL999" s="111"/>
      <c r="EM999" s="111"/>
      <c r="EN999" s="111"/>
      <c r="EO999" s="111"/>
      <c r="EP999" s="111"/>
      <c r="EQ999" s="111"/>
      <c r="ER999" s="111"/>
      <c r="ES999" s="111"/>
    </row>
    <row r="1000" spans="44:149">
      <c r="AR1000" s="29"/>
      <c r="AS1000" s="29"/>
      <c r="AT1000" s="29"/>
      <c r="AU1000" s="29"/>
      <c r="AV1000" s="29"/>
      <c r="AW1000" s="29"/>
      <c r="AX1000" s="29"/>
      <c r="AY1000" s="29"/>
      <c r="AZ1000" s="29"/>
      <c r="BA1000" s="29"/>
      <c r="BB1000" s="29"/>
      <c r="BC1000" s="29"/>
      <c r="BD1000" s="29"/>
      <c r="BE1000" s="29"/>
      <c r="BF1000" s="111"/>
      <c r="BG1000" s="111"/>
      <c r="BH1000" s="111"/>
      <c r="BI1000" s="111"/>
      <c r="BJ1000" s="111"/>
      <c r="BK1000" s="111"/>
      <c r="BL1000" s="111"/>
      <c r="BM1000" s="111"/>
      <c r="BN1000" s="111"/>
      <c r="BO1000" s="111"/>
      <c r="BP1000" s="111"/>
      <c r="BQ1000" s="111"/>
      <c r="BR1000" s="111"/>
      <c r="BS1000" s="111"/>
      <c r="DR1000" s="29"/>
      <c r="DS1000" s="29"/>
      <c r="DT1000" s="29"/>
      <c r="DU1000" s="29"/>
      <c r="DV1000" s="29"/>
      <c r="DW1000" s="29"/>
      <c r="DX1000" s="29"/>
      <c r="DY1000" s="29"/>
      <c r="DZ1000" s="29"/>
      <c r="EA1000" s="29"/>
      <c r="EB1000" s="29"/>
      <c r="EC1000" s="29"/>
      <c r="ED1000" s="29"/>
      <c r="EE1000" s="29"/>
      <c r="EF1000" s="111"/>
      <c r="EG1000" s="111"/>
      <c r="EH1000" s="111"/>
      <c r="EI1000" s="111"/>
      <c r="EJ1000" s="111"/>
      <c r="EK1000" s="111"/>
      <c r="EL1000" s="111"/>
      <c r="EM1000" s="111"/>
      <c r="EN1000" s="111"/>
      <c r="EO1000" s="111"/>
      <c r="EP1000" s="111"/>
      <c r="EQ1000" s="111"/>
      <c r="ER1000" s="111"/>
      <c r="ES1000" s="111"/>
    </row>
    <row r="1001" spans="44:149">
      <c r="AR1001" s="29"/>
      <c r="AS1001" s="29"/>
      <c r="AT1001" s="29"/>
      <c r="AU1001" s="29"/>
      <c r="AV1001" s="29"/>
      <c r="AW1001" s="29"/>
      <c r="AX1001" s="29"/>
      <c r="AY1001" s="29"/>
      <c r="AZ1001" s="29"/>
      <c r="BA1001" s="29"/>
      <c r="BB1001" s="29"/>
      <c r="BC1001" s="29"/>
      <c r="BD1001" s="29"/>
      <c r="BE1001" s="29"/>
      <c r="BF1001" s="111"/>
      <c r="BG1001" s="111"/>
      <c r="BH1001" s="111"/>
      <c r="BI1001" s="111"/>
      <c r="BJ1001" s="111"/>
      <c r="BK1001" s="111"/>
      <c r="BL1001" s="111"/>
      <c r="BM1001" s="111"/>
      <c r="BN1001" s="111"/>
      <c r="BO1001" s="111"/>
      <c r="BP1001" s="111"/>
      <c r="BQ1001" s="111"/>
      <c r="BR1001" s="111"/>
      <c r="BS1001" s="111"/>
      <c r="DR1001" s="29"/>
      <c r="DS1001" s="29"/>
      <c r="DT1001" s="29"/>
      <c r="DU1001" s="29"/>
      <c r="DV1001" s="29"/>
      <c r="DW1001" s="29"/>
      <c r="DX1001" s="29"/>
      <c r="DY1001" s="29"/>
      <c r="DZ1001" s="29"/>
      <c r="EA1001" s="29"/>
      <c r="EB1001" s="29"/>
      <c r="EC1001" s="29"/>
      <c r="ED1001" s="29"/>
      <c r="EE1001" s="29"/>
      <c r="EF1001" s="111"/>
      <c r="EG1001" s="111"/>
      <c r="EH1001" s="111"/>
      <c r="EI1001" s="111"/>
      <c r="EJ1001" s="111"/>
      <c r="EK1001" s="111"/>
      <c r="EL1001" s="111"/>
      <c r="EM1001" s="111"/>
      <c r="EN1001" s="111"/>
      <c r="EO1001" s="111"/>
      <c r="EP1001" s="111"/>
      <c r="EQ1001" s="111"/>
      <c r="ER1001" s="111"/>
      <c r="ES1001" s="111"/>
    </row>
    <row r="1002" spans="44:149">
      <c r="AR1002" s="29"/>
      <c r="AS1002" s="29"/>
      <c r="AT1002" s="29"/>
      <c r="AU1002" s="29"/>
      <c r="AV1002" s="29"/>
      <c r="AW1002" s="29"/>
      <c r="AX1002" s="29"/>
      <c r="AY1002" s="29"/>
      <c r="AZ1002" s="29"/>
      <c r="BA1002" s="29"/>
      <c r="BB1002" s="29"/>
      <c r="BC1002" s="29"/>
      <c r="BD1002" s="29"/>
      <c r="BE1002" s="29"/>
      <c r="BF1002" s="111"/>
      <c r="BG1002" s="111"/>
      <c r="BH1002" s="111"/>
      <c r="BI1002" s="111"/>
      <c r="BJ1002" s="111"/>
      <c r="BK1002" s="111"/>
      <c r="BL1002" s="111"/>
      <c r="BM1002" s="111"/>
      <c r="BN1002" s="111"/>
      <c r="BO1002" s="111"/>
      <c r="BP1002" s="111"/>
      <c r="BQ1002" s="111"/>
      <c r="BR1002" s="111"/>
      <c r="BS1002" s="111"/>
      <c r="DR1002" s="29"/>
      <c r="DS1002" s="29"/>
      <c r="DT1002" s="29"/>
      <c r="DU1002" s="29"/>
      <c r="DV1002" s="29"/>
      <c r="DW1002" s="29"/>
      <c r="DX1002" s="29"/>
      <c r="DY1002" s="29"/>
      <c r="DZ1002" s="29"/>
      <c r="EA1002" s="29"/>
      <c r="EB1002" s="29"/>
      <c r="EC1002" s="29"/>
      <c r="ED1002" s="29"/>
      <c r="EE1002" s="29"/>
      <c r="EF1002" s="111"/>
      <c r="EG1002" s="111"/>
      <c r="EH1002" s="111"/>
      <c r="EI1002" s="111"/>
      <c r="EJ1002" s="111"/>
      <c r="EK1002" s="111"/>
      <c r="EL1002" s="111"/>
      <c r="EM1002" s="111"/>
      <c r="EN1002" s="111"/>
      <c r="EO1002" s="111"/>
      <c r="EP1002" s="111"/>
      <c r="EQ1002" s="111"/>
      <c r="ER1002" s="111"/>
      <c r="ES1002" s="111"/>
    </row>
    <row r="1003" spans="44:149">
      <c r="AR1003" s="29"/>
      <c r="AS1003" s="29"/>
      <c r="AT1003" s="29"/>
      <c r="AU1003" s="29"/>
      <c r="AV1003" s="29"/>
      <c r="AW1003" s="29"/>
      <c r="AX1003" s="29"/>
      <c r="AY1003" s="29"/>
      <c r="AZ1003" s="29"/>
      <c r="BA1003" s="29"/>
      <c r="BB1003" s="29"/>
      <c r="BC1003" s="29"/>
      <c r="BD1003" s="29"/>
      <c r="BE1003" s="29"/>
      <c r="BF1003" s="111"/>
      <c r="BG1003" s="111"/>
      <c r="BH1003" s="111"/>
      <c r="BI1003" s="111"/>
      <c r="BJ1003" s="111"/>
      <c r="BK1003" s="111"/>
      <c r="BL1003" s="111"/>
      <c r="BM1003" s="111"/>
      <c r="BN1003" s="111"/>
      <c r="BO1003" s="111"/>
      <c r="BP1003" s="111"/>
      <c r="BQ1003" s="111"/>
      <c r="BR1003" s="111"/>
      <c r="BS1003" s="111"/>
      <c r="DR1003" s="29"/>
      <c r="DS1003" s="29"/>
      <c r="DT1003" s="29"/>
      <c r="DU1003" s="29"/>
      <c r="DV1003" s="29"/>
      <c r="DW1003" s="29"/>
      <c r="DX1003" s="29"/>
      <c r="DY1003" s="29"/>
      <c r="DZ1003" s="29"/>
      <c r="EA1003" s="29"/>
      <c r="EB1003" s="29"/>
      <c r="EC1003" s="29"/>
      <c r="ED1003" s="29"/>
      <c r="EE1003" s="29"/>
      <c r="EF1003" s="111"/>
      <c r="EG1003" s="111"/>
      <c r="EH1003" s="111"/>
      <c r="EI1003" s="111"/>
      <c r="EJ1003" s="111"/>
      <c r="EK1003" s="111"/>
      <c r="EL1003" s="111"/>
      <c r="EM1003" s="111"/>
      <c r="EN1003" s="111"/>
      <c r="EO1003" s="111"/>
      <c r="EP1003" s="111"/>
      <c r="EQ1003" s="111"/>
      <c r="ER1003" s="111"/>
      <c r="ES1003" s="111"/>
    </row>
    <row r="1004" spans="44:149">
      <c r="AR1004" s="29"/>
      <c r="AS1004" s="29"/>
      <c r="AT1004" s="29"/>
      <c r="AU1004" s="29"/>
      <c r="AV1004" s="29"/>
      <c r="AW1004" s="29"/>
      <c r="AX1004" s="29"/>
      <c r="AY1004" s="29"/>
      <c r="AZ1004" s="29"/>
      <c r="BA1004" s="29"/>
      <c r="BB1004" s="29"/>
      <c r="BC1004" s="29"/>
      <c r="BD1004" s="29"/>
      <c r="BE1004" s="29"/>
      <c r="BF1004" s="111"/>
      <c r="BG1004" s="111"/>
      <c r="BH1004" s="111"/>
      <c r="BI1004" s="111"/>
      <c r="BJ1004" s="111"/>
      <c r="BK1004" s="111"/>
      <c r="BL1004" s="111"/>
      <c r="BM1004" s="111"/>
      <c r="BN1004" s="111"/>
      <c r="BO1004" s="111"/>
      <c r="BP1004" s="111"/>
      <c r="BQ1004" s="111"/>
      <c r="BR1004" s="111"/>
      <c r="BS1004" s="111"/>
      <c r="DR1004" s="29"/>
      <c r="DS1004" s="29"/>
      <c r="DT1004" s="29"/>
      <c r="DU1004" s="29"/>
      <c r="DV1004" s="29"/>
      <c r="DW1004" s="29"/>
      <c r="DX1004" s="29"/>
      <c r="DY1004" s="29"/>
      <c r="DZ1004" s="29"/>
      <c r="EA1004" s="29"/>
      <c r="EB1004" s="29"/>
      <c r="EC1004" s="29"/>
      <c r="ED1004" s="29"/>
      <c r="EE1004" s="29"/>
      <c r="EF1004" s="111"/>
      <c r="EG1004" s="111"/>
      <c r="EH1004" s="111"/>
      <c r="EI1004" s="111"/>
      <c r="EJ1004" s="111"/>
      <c r="EK1004" s="111"/>
      <c r="EL1004" s="111"/>
      <c r="EM1004" s="111"/>
      <c r="EN1004" s="111"/>
      <c r="EO1004" s="111"/>
      <c r="EP1004" s="111"/>
      <c r="EQ1004" s="111"/>
      <c r="ER1004" s="111"/>
      <c r="ES1004" s="111"/>
    </row>
    <row r="1005" spans="44:149">
      <c r="AR1005" s="29"/>
      <c r="AS1005" s="29"/>
      <c r="AT1005" s="29"/>
      <c r="AU1005" s="29"/>
      <c r="AV1005" s="29"/>
      <c r="AW1005" s="29"/>
      <c r="AX1005" s="29"/>
      <c r="AY1005" s="29"/>
      <c r="AZ1005" s="29"/>
      <c r="BA1005" s="29"/>
      <c r="BB1005" s="29"/>
      <c r="BC1005" s="29"/>
      <c r="BD1005" s="29"/>
      <c r="BE1005" s="29"/>
      <c r="BF1005" s="111"/>
      <c r="BG1005" s="111"/>
      <c r="BH1005" s="111"/>
      <c r="BI1005" s="111"/>
      <c r="BJ1005" s="111"/>
      <c r="BK1005" s="111"/>
      <c r="BL1005" s="111"/>
      <c r="BM1005" s="111"/>
      <c r="BN1005" s="111"/>
      <c r="BO1005" s="111"/>
      <c r="BP1005" s="111"/>
      <c r="BQ1005" s="111"/>
      <c r="BR1005" s="111"/>
      <c r="BS1005" s="111"/>
      <c r="DR1005" s="29"/>
      <c r="DS1005" s="29"/>
      <c r="DT1005" s="29"/>
      <c r="DU1005" s="29"/>
      <c r="DV1005" s="29"/>
      <c r="DW1005" s="29"/>
      <c r="DX1005" s="29"/>
      <c r="DY1005" s="29"/>
      <c r="DZ1005" s="29"/>
      <c r="EA1005" s="29"/>
      <c r="EB1005" s="29"/>
      <c r="EC1005" s="29"/>
      <c r="ED1005" s="29"/>
      <c r="EE1005" s="29"/>
      <c r="EF1005" s="111"/>
      <c r="EG1005" s="111"/>
      <c r="EH1005" s="111"/>
      <c r="EI1005" s="111"/>
      <c r="EJ1005" s="111"/>
      <c r="EK1005" s="111"/>
      <c r="EL1005" s="111"/>
      <c r="EM1005" s="111"/>
      <c r="EN1005" s="111"/>
      <c r="EO1005" s="111"/>
      <c r="EP1005" s="111"/>
      <c r="EQ1005" s="111"/>
      <c r="ER1005" s="111"/>
      <c r="ES1005" s="111"/>
    </row>
    <row r="1006" spans="44:149">
      <c r="AR1006" s="29"/>
      <c r="AS1006" s="29"/>
      <c r="AT1006" s="29"/>
      <c r="AU1006" s="29"/>
      <c r="AV1006" s="29"/>
      <c r="AW1006" s="29"/>
      <c r="AX1006" s="29"/>
      <c r="AY1006" s="29"/>
      <c r="AZ1006" s="29"/>
      <c r="BA1006" s="29"/>
      <c r="BB1006" s="29"/>
      <c r="BC1006" s="29"/>
      <c r="BD1006" s="29"/>
      <c r="BE1006" s="29"/>
      <c r="BF1006" s="111"/>
      <c r="BG1006" s="111"/>
      <c r="BH1006" s="111"/>
      <c r="BI1006" s="111"/>
      <c r="BJ1006" s="111"/>
      <c r="BK1006" s="111"/>
      <c r="BL1006" s="111"/>
      <c r="BM1006" s="111"/>
      <c r="BN1006" s="111"/>
      <c r="BO1006" s="111"/>
      <c r="BP1006" s="111"/>
      <c r="BQ1006" s="111"/>
      <c r="BR1006" s="111"/>
      <c r="BS1006" s="111"/>
      <c r="DR1006" s="29"/>
      <c r="DS1006" s="29"/>
      <c r="DT1006" s="29"/>
      <c r="DU1006" s="29"/>
      <c r="DV1006" s="29"/>
      <c r="DW1006" s="29"/>
      <c r="DX1006" s="29"/>
      <c r="DY1006" s="29"/>
      <c r="DZ1006" s="29"/>
      <c r="EA1006" s="29"/>
      <c r="EB1006" s="29"/>
      <c r="EC1006" s="29"/>
      <c r="ED1006" s="29"/>
      <c r="EE1006" s="29"/>
      <c r="EF1006" s="111"/>
      <c r="EG1006" s="111"/>
      <c r="EH1006" s="111"/>
      <c r="EI1006" s="111"/>
      <c r="EJ1006" s="111"/>
      <c r="EK1006" s="111"/>
      <c r="EL1006" s="111"/>
      <c r="EM1006" s="111"/>
      <c r="EN1006" s="111"/>
      <c r="EO1006" s="111"/>
      <c r="EP1006" s="111"/>
      <c r="EQ1006" s="111"/>
      <c r="ER1006" s="111"/>
      <c r="ES1006" s="111"/>
    </row>
    <row r="1007" spans="44:149">
      <c r="AR1007" s="29"/>
      <c r="AS1007" s="29"/>
      <c r="AT1007" s="29"/>
      <c r="AU1007" s="29"/>
      <c r="AV1007" s="29"/>
      <c r="AW1007" s="29"/>
      <c r="AX1007" s="29"/>
      <c r="AY1007" s="29"/>
      <c r="AZ1007" s="29"/>
      <c r="BA1007" s="29"/>
      <c r="BB1007" s="29"/>
      <c r="BC1007" s="29"/>
      <c r="BD1007" s="29"/>
      <c r="BE1007" s="29"/>
      <c r="BF1007" s="111"/>
      <c r="BG1007" s="111"/>
      <c r="BH1007" s="111"/>
      <c r="BI1007" s="111"/>
      <c r="BJ1007" s="111"/>
      <c r="BK1007" s="111"/>
      <c r="BL1007" s="111"/>
      <c r="BM1007" s="111"/>
      <c r="BN1007" s="111"/>
      <c r="BO1007" s="111"/>
      <c r="BP1007" s="111"/>
      <c r="BQ1007" s="111"/>
      <c r="BR1007" s="111"/>
      <c r="BS1007" s="111"/>
      <c r="DR1007" s="29"/>
      <c r="DS1007" s="29"/>
      <c r="DT1007" s="29"/>
      <c r="DU1007" s="29"/>
      <c r="DV1007" s="29"/>
      <c r="DW1007" s="29"/>
      <c r="DX1007" s="29"/>
      <c r="DY1007" s="29"/>
      <c r="DZ1007" s="29"/>
      <c r="EA1007" s="29"/>
      <c r="EB1007" s="29"/>
      <c r="EC1007" s="29"/>
      <c r="ED1007" s="29"/>
      <c r="EE1007" s="29"/>
      <c r="EF1007" s="111"/>
      <c r="EG1007" s="111"/>
      <c r="EH1007" s="111"/>
      <c r="EI1007" s="111"/>
      <c r="EJ1007" s="111"/>
      <c r="EK1007" s="111"/>
      <c r="EL1007" s="111"/>
      <c r="EM1007" s="111"/>
      <c r="EN1007" s="111"/>
      <c r="EO1007" s="111"/>
      <c r="EP1007" s="111"/>
      <c r="EQ1007" s="111"/>
      <c r="ER1007" s="111"/>
      <c r="ES1007" s="111"/>
    </row>
    <row r="1008" spans="44:149">
      <c r="AR1008" s="29"/>
      <c r="AS1008" s="29"/>
      <c r="AT1008" s="29"/>
      <c r="AU1008" s="29"/>
      <c r="AV1008" s="29"/>
      <c r="AW1008" s="29"/>
      <c r="AX1008" s="29"/>
      <c r="AY1008" s="29"/>
      <c r="AZ1008" s="29"/>
      <c r="BA1008" s="29"/>
      <c r="BB1008" s="29"/>
      <c r="BC1008" s="29"/>
      <c r="BD1008" s="29"/>
      <c r="BE1008" s="29"/>
      <c r="BF1008" s="111"/>
      <c r="BG1008" s="111"/>
      <c r="BH1008" s="111"/>
      <c r="BI1008" s="111"/>
      <c r="BJ1008" s="111"/>
      <c r="BK1008" s="111"/>
      <c r="BL1008" s="111"/>
      <c r="BM1008" s="111"/>
      <c r="BN1008" s="111"/>
      <c r="BO1008" s="111"/>
      <c r="BP1008" s="111"/>
      <c r="BQ1008" s="111"/>
      <c r="BR1008" s="111"/>
      <c r="BS1008" s="111"/>
      <c r="DR1008" s="29"/>
      <c r="DS1008" s="29"/>
      <c r="DT1008" s="29"/>
      <c r="DU1008" s="29"/>
      <c r="DV1008" s="29"/>
      <c r="DW1008" s="29"/>
      <c r="DX1008" s="29"/>
      <c r="DY1008" s="29"/>
      <c r="DZ1008" s="29"/>
      <c r="EA1008" s="29"/>
      <c r="EB1008" s="29"/>
      <c r="EC1008" s="29"/>
      <c r="ED1008" s="29"/>
      <c r="EE1008" s="29"/>
      <c r="EF1008" s="111"/>
      <c r="EG1008" s="111"/>
      <c r="EH1008" s="111"/>
      <c r="EI1008" s="111"/>
      <c r="EJ1008" s="111"/>
      <c r="EK1008" s="111"/>
      <c r="EL1008" s="111"/>
      <c r="EM1008" s="111"/>
      <c r="EN1008" s="111"/>
      <c r="EO1008" s="111"/>
      <c r="EP1008" s="111"/>
      <c r="EQ1008" s="111"/>
      <c r="ER1008" s="111"/>
      <c r="ES1008" s="111"/>
    </row>
    <row r="1009" spans="44:149">
      <c r="AR1009" s="29"/>
      <c r="AS1009" s="29"/>
      <c r="AT1009" s="29"/>
      <c r="AU1009" s="29"/>
      <c r="AV1009" s="29"/>
      <c r="AW1009" s="29"/>
      <c r="AX1009" s="29"/>
      <c r="AY1009" s="29"/>
      <c r="AZ1009" s="29"/>
      <c r="BA1009" s="29"/>
      <c r="BB1009" s="29"/>
      <c r="BC1009" s="29"/>
      <c r="BD1009" s="29"/>
      <c r="BE1009" s="29"/>
      <c r="BF1009" s="111"/>
      <c r="BG1009" s="111"/>
      <c r="BH1009" s="111"/>
      <c r="BI1009" s="111"/>
      <c r="BJ1009" s="111"/>
      <c r="BK1009" s="111"/>
      <c r="BL1009" s="111"/>
      <c r="BM1009" s="111"/>
      <c r="BN1009" s="111"/>
      <c r="BO1009" s="111"/>
      <c r="BP1009" s="111"/>
      <c r="BQ1009" s="111"/>
      <c r="BR1009" s="111"/>
      <c r="BS1009" s="111"/>
      <c r="DR1009" s="29"/>
      <c r="DS1009" s="29"/>
      <c r="DT1009" s="29"/>
      <c r="DU1009" s="29"/>
      <c r="DV1009" s="29"/>
      <c r="DW1009" s="29"/>
      <c r="DX1009" s="29"/>
      <c r="DY1009" s="29"/>
      <c r="DZ1009" s="29"/>
      <c r="EA1009" s="29"/>
      <c r="EB1009" s="29"/>
      <c r="EC1009" s="29"/>
      <c r="ED1009" s="29"/>
      <c r="EE1009" s="29"/>
      <c r="EF1009" s="111"/>
      <c r="EG1009" s="111"/>
      <c r="EH1009" s="111"/>
      <c r="EI1009" s="111"/>
      <c r="EJ1009" s="111"/>
      <c r="EK1009" s="111"/>
      <c r="EL1009" s="111"/>
      <c r="EM1009" s="111"/>
      <c r="EN1009" s="111"/>
      <c r="EO1009" s="111"/>
      <c r="EP1009" s="111"/>
      <c r="EQ1009" s="111"/>
      <c r="ER1009" s="111"/>
      <c r="ES1009" s="111"/>
    </row>
    <row r="1010" spans="44:149">
      <c r="AR1010" s="29"/>
      <c r="AS1010" s="29"/>
      <c r="AT1010" s="29"/>
      <c r="AU1010" s="29"/>
      <c r="AV1010" s="29"/>
      <c r="AW1010" s="29"/>
      <c r="AX1010" s="29"/>
      <c r="AY1010" s="29"/>
      <c r="AZ1010" s="29"/>
      <c r="BA1010" s="29"/>
      <c r="BB1010" s="29"/>
      <c r="BC1010" s="29"/>
      <c r="BD1010" s="29"/>
      <c r="BE1010" s="29"/>
      <c r="BF1010" s="111"/>
      <c r="BG1010" s="111"/>
      <c r="BH1010" s="111"/>
      <c r="BI1010" s="111"/>
      <c r="BJ1010" s="111"/>
      <c r="BK1010" s="111"/>
      <c r="BL1010" s="111"/>
      <c r="BM1010" s="111"/>
      <c r="BN1010" s="111"/>
      <c r="BO1010" s="111"/>
      <c r="BP1010" s="111"/>
      <c r="BQ1010" s="111"/>
      <c r="BR1010" s="111"/>
      <c r="BS1010" s="111"/>
      <c r="DR1010" s="29"/>
      <c r="DS1010" s="29"/>
      <c r="DT1010" s="29"/>
      <c r="DU1010" s="29"/>
      <c r="DV1010" s="29"/>
      <c r="DW1010" s="29"/>
      <c r="DX1010" s="29"/>
      <c r="DY1010" s="29"/>
      <c r="DZ1010" s="29"/>
      <c r="EA1010" s="29"/>
      <c r="EB1010" s="29"/>
      <c r="EC1010" s="29"/>
      <c r="ED1010" s="29"/>
      <c r="EE1010" s="29"/>
      <c r="EF1010" s="111"/>
      <c r="EG1010" s="111"/>
      <c r="EH1010" s="111"/>
      <c r="EI1010" s="111"/>
      <c r="EJ1010" s="111"/>
      <c r="EK1010" s="111"/>
      <c r="EL1010" s="111"/>
      <c r="EM1010" s="111"/>
      <c r="EN1010" s="111"/>
      <c r="EO1010" s="111"/>
      <c r="EP1010" s="111"/>
      <c r="EQ1010" s="111"/>
      <c r="ER1010" s="111"/>
      <c r="ES1010" s="111"/>
    </row>
    <row r="1011" spans="44:149">
      <c r="AR1011" s="29"/>
      <c r="AS1011" s="29"/>
      <c r="AT1011" s="29"/>
      <c r="AU1011" s="29"/>
      <c r="AV1011" s="29"/>
      <c r="AW1011" s="29"/>
      <c r="AX1011" s="29"/>
      <c r="AY1011" s="29"/>
      <c r="AZ1011" s="29"/>
      <c r="BA1011" s="29"/>
      <c r="BB1011" s="29"/>
      <c r="BC1011" s="29"/>
      <c r="BD1011" s="29"/>
      <c r="BE1011" s="29"/>
      <c r="BF1011" s="111"/>
      <c r="BG1011" s="111"/>
      <c r="BH1011" s="111"/>
      <c r="BI1011" s="111"/>
      <c r="BJ1011" s="111"/>
      <c r="BK1011" s="111"/>
      <c r="BL1011" s="111"/>
      <c r="BM1011" s="111"/>
      <c r="BN1011" s="111"/>
      <c r="BO1011" s="111"/>
      <c r="BP1011" s="111"/>
      <c r="BQ1011" s="111"/>
      <c r="BR1011" s="111"/>
      <c r="BS1011" s="111"/>
      <c r="DR1011" s="29"/>
      <c r="DS1011" s="29"/>
      <c r="DT1011" s="29"/>
      <c r="DU1011" s="29"/>
      <c r="DV1011" s="29"/>
      <c r="DW1011" s="29"/>
      <c r="DX1011" s="29"/>
      <c r="DY1011" s="29"/>
      <c r="DZ1011" s="29"/>
      <c r="EA1011" s="29"/>
      <c r="EB1011" s="29"/>
      <c r="EC1011" s="29"/>
      <c r="ED1011" s="29"/>
      <c r="EE1011" s="29"/>
      <c r="EF1011" s="111"/>
      <c r="EG1011" s="111"/>
      <c r="EH1011" s="111"/>
      <c r="EI1011" s="111"/>
      <c r="EJ1011" s="111"/>
      <c r="EK1011" s="111"/>
      <c r="EL1011" s="111"/>
      <c r="EM1011" s="111"/>
      <c r="EN1011" s="111"/>
      <c r="EO1011" s="111"/>
      <c r="EP1011" s="111"/>
      <c r="EQ1011" s="111"/>
      <c r="ER1011" s="111"/>
      <c r="ES1011" s="111"/>
    </row>
    <row r="1012" spans="44:149">
      <c r="AR1012" s="29"/>
      <c r="AS1012" s="29"/>
      <c r="AT1012" s="29"/>
      <c r="AU1012" s="29"/>
      <c r="AV1012" s="29"/>
      <c r="AW1012" s="29"/>
      <c r="AX1012" s="29"/>
      <c r="AY1012" s="29"/>
      <c r="AZ1012" s="29"/>
      <c r="BA1012" s="29"/>
      <c r="BB1012" s="29"/>
      <c r="BC1012" s="29"/>
      <c r="BD1012" s="29"/>
      <c r="BE1012" s="29"/>
      <c r="BF1012" s="111"/>
      <c r="BG1012" s="111"/>
      <c r="BH1012" s="111"/>
      <c r="BI1012" s="111"/>
      <c r="BJ1012" s="111"/>
      <c r="BK1012" s="111"/>
      <c r="BL1012" s="111"/>
      <c r="BM1012" s="111"/>
      <c r="BN1012" s="111"/>
      <c r="BO1012" s="111"/>
      <c r="BP1012" s="111"/>
      <c r="BQ1012" s="111"/>
      <c r="BR1012" s="111"/>
      <c r="BS1012" s="111"/>
      <c r="DR1012" s="29"/>
      <c r="DS1012" s="29"/>
      <c r="DT1012" s="29"/>
      <c r="DU1012" s="29"/>
      <c r="DV1012" s="29"/>
      <c r="DW1012" s="29"/>
      <c r="DX1012" s="29"/>
      <c r="DY1012" s="29"/>
      <c r="DZ1012" s="29"/>
      <c r="EA1012" s="29"/>
      <c r="EB1012" s="29"/>
      <c r="EC1012" s="29"/>
      <c r="ED1012" s="29"/>
      <c r="EE1012" s="29"/>
      <c r="EF1012" s="111"/>
      <c r="EG1012" s="111"/>
      <c r="EH1012" s="111"/>
      <c r="EI1012" s="111"/>
      <c r="EJ1012" s="111"/>
      <c r="EK1012" s="111"/>
      <c r="EL1012" s="111"/>
      <c r="EM1012" s="111"/>
      <c r="EN1012" s="111"/>
      <c r="EO1012" s="111"/>
      <c r="EP1012" s="111"/>
      <c r="EQ1012" s="111"/>
      <c r="ER1012" s="111"/>
      <c r="ES1012" s="111"/>
    </row>
    <row r="1013" spans="44:149">
      <c r="AR1013" s="29"/>
      <c r="AS1013" s="29"/>
      <c r="AT1013" s="29"/>
      <c r="AU1013" s="29"/>
      <c r="AV1013" s="29"/>
      <c r="AW1013" s="29"/>
      <c r="AX1013" s="29"/>
      <c r="AY1013" s="29"/>
      <c r="AZ1013" s="29"/>
      <c r="BA1013" s="29"/>
      <c r="BB1013" s="29"/>
      <c r="BC1013" s="29"/>
      <c r="BD1013" s="29"/>
      <c r="BE1013" s="29"/>
      <c r="BF1013" s="111"/>
      <c r="BG1013" s="111"/>
      <c r="BH1013" s="111"/>
      <c r="BI1013" s="111"/>
      <c r="BJ1013" s="111"/>
      <c r="BK1013" s="111"/>
      <c r="BL1013" s="111"/>
      <c r="BM1013" s="111"/>
      <c r="BN1013" s="111"/>
      <c r="BO1013" s="111"/>
      <c r="BP1013" s="111"/>
      <c r="BQ1013" s="111"/>
      <c r="BR1013" s="111"/>
      <c r="BS1013" s="111"/>
      <c r="DR1013" s="29"/>
      <c r="DS1013" s="29"/>
      <c r="DT1013" s="29"/>
      <c r="DU1013" s="29"/>
      <c r="DV1013" s="29"/>
      <c r="DW1013" s="29"/>
      <c r="DX1013" s="29"/>
      <c r="DY1013" s="29"/>
      <c r="DZ1013" s="29"/>
      <c r="EA1013" s="29"/>
      <c r="EB1013" s="29"/>
      <c r="EC1013" s="29"/>
      <c r="ED1013" s="29"/>
      <c r="EE1013" s="29"/>
      <c r="EF1013" s="111"/>
      <c r="EG1013" s="111"/>
      <c r="EH1013" s="111"/>
      <c r="EI1013" s="111"/>
      <c r="EJ1013" s="111"/>
      <c r="EK1013" s="111"/>
      <c r="EL1013" s="111"/>
      <c r="EM1013" s="111"/>
      <c r="EN1013" s="111"/>
      <c r="EO1013" s="111"/>
      <c r="EP1013" s="111"/>
      <c r="EQ1013" s="111"/>
      <c r="ER1013" s="111"/>
      <c r="ES1013" s="111"/>
    </row>
    <row r="1014" spans="44:149">
      <c r="AR1014" s="29"/>
      <c r="AS1014" s="29"/>
      <c r="AT1014" s="29"/>
      <c r="AU1014" s="29"/>
      <c r="AV1014" s="29"/>
      <c r="AW1014" s="29"/>
      <c r="AX1014" s="29"/>
      <c r="AY1014" s="29"/>
      <c r="AZ1014" s="29"/>
      <c r="BA1014" s="29"/>
      <c r="BB1014" s="29"/>
      <c r="BC1014" s="29"/>
      <c r="BD1014" s="29"/>
      <c r="BE1014" s="29"/>
      <c r="BF1014" s="111"/>
      <c r="BG1014" s="111"/>
      <c r="BH1014" s="111"/>
      <c r="BI1014" s="111"/>
      <c r="BJ1014" s="111"/>
      <c r="BK1014" s="111"/>
      <c r="BL1014" s="111"/>
      <c r="BM1014" s="111"/>
      <c r="BN1014" s="111"/>
      <c r="BO1014" s="111"/>
      <c r="BP1014" s="111"/>
      <c r="BQ1014" s="111"/>
      <c r="BR1014" s="111"/>
      <c r="BS1014" s="111"/>
      <c r="DR1014" s="29"/>
      <c r="DS1014" s="29"/>
      <c r="DT1014" s="29"/>
      <c r="DU1014" s="29"/>
      <c r="DV1014" s="29"/>
      <c r="DW1014" s="29"/>
      <c r="DX1014" s="29"/>
      <c r="DY1014" s="29"/>
      <c r="DZ1014" s="29"/>
      <c r="EA1014" s="29"/>
      <c r="EB1014" s="29"/>
      <c r="EC1014" s="29"/>
      <c r="ED1014" s="29"/>
      <c r="EE1014" s="29"/>
      <c r="EF1014" s="111"/>
      <c r="EG1014" s="111"/>
      <c r="EH1014" s="111"/>
      <c r="EI1014" s="111"/>
      <c r="EJ1014" s="111"/>
      <c r="EK1014" s="111"/>
      <c r="EL1014" s="111"/>
      <c r="EM1014" s="111"/>
      <c r="EN1014" s="111"/>
      <c r="EO1014" s="111"/>
      <c r="EP1014" s="111"/>
      <c r="EQ1014" s="111"/>
      <c r="ER1014" s="111"/>
      <c r="ES1014" s="111"/>
    </row>
    <row r="1015" spans="44:149">
      <c r="AR1015" s="29"/>
      <c r="AS1015" s="29"/>
      <c r="AT1015" s="29"/>
      <c r="AU1015" s="29"/>
      <c r="AV1015" s="29"/>
      <c r="AW1015" s="29"/>
      <c r="AX1015" s="29"/>
      <c r="AY1015" s="29"/>
      <c r="AZ1015" s="29"/>
      <c r="BA1015" s="29"/>
      <c r="BB1015" s="29"/>
      <c r="BC1015" s="29"/>
      <c r="BD1015" s="29"/>
      <c r="BE1015" s="29"/>
      <c r="BF1015" s="111"/>
      <c r="BG1015" s="111"/>
      <c r="BH1015" s="111"/>
      <c r="BI1015" s="111"/>
      <c r="BJ1015" s="111"/>
      <c r="BK1015" s="111"/>
      <c r="BL1015" s="111"/>
      <c r="BM1015" s="111"/>
      <c r="BN1015" s="111"/>
      <c r="BO1015" s="111"/>
      <c r="BP1015" s="111"/>
      <c r="BQ1015" s="111"/>
      <c r="BR1015" s="111"/>
      <c r="BS1015" s="111"/>
      <c r="DR1015" s="29"/>
      <c r="DS1015" s="29"/>
      <c r="DT1015" s="29"/>
      <c r="DU1015" s="29"/>
      <c r="DV1015" s="29"/>
      <c r="DW1015" s="29"/>
      <c r="DX1015" s="29"/>
      <c r="DY1015" s="29"/>
      <c r="DZ1015" s="29"/>
      <c r="EA1015" s="29"/>
      <c r="EB1015" s="29"/>
      <c r="EC1015" s="29"/>
      <c r="ED1015" s="29"/>
      <c r="EE1015" s="29"/>
      <c r="EF1015" s="111"/>
      <c r="EG1015" s="111"/>
      <c r="EH1015" s="111"/>
      <c r="EI1015" s="111"/>
      <c r="EJ1015" s="111"/>
      <c r="EK1015" s="111"/>
      <c r="EL1015" s="111"/>
      <c r="EM1015" s="111"/>
      <c r="EN1015" s="111"/>
      <c r="EO1015" s="111"/>
      <c r="EP1015" s="111"/>
      <c r="EQ1015" s="111"/>
      <c r="ER1015" s="111"/>
      <c r="ES1015" s="111"/>
    </row>
    <row r="1016" spans="44:149">
      <c r="AR1016" s="29"/>
      <c r="AS1016" s="29"/>
      <c r="AT1016" s="29"/>
      <c r="AU1016" s="29"/>
      <c r="AV1016" s="29"/>
      <c r="AW1016" s="29"/>
      <c r="AX1016" s="29"/>
      <c r="AY1016" s="29"/>
      <c r="AZ1016" s="29"/>
      <c r="BA1016" s="29"/>
      <c r="BB1016" s="29"/>
      <c r="BC1016" s="29"/>
      <c r="BD1016" s="29"/>
      <c r="BE1016" s="29"/>
      <c r="BF1016" s="111"/>
      <c r="BG1016" s="111"/>
      <c r="BH1016" s="111"/>
      <c r="BI1016" s="111"/>
      <c r="BJ1016" s="111"/>
      <c r="BK1016" s="111"/>
      <c r="BL1016" s="111"/>
      <c r="BM1016" s="111"/>
      <c r="BN1016" s="111"/>
      <c r="BO1016" s="111"/>
      <c r="BP1016" s="111"/>
      <c r="BQ1016" s="111"/>
      <c r="BR1016" s="111"/>
      <c r="BS1016" s="111"/>
      <c r="DR1016" s="29"/>
      <c r="DS1016" s="29"/>
      <c r="DT1016" s="29"/>
      <c r="DU1016" s="29"/>
      <c r="DV1016" s="29"/>
      <c r="DW1016" s="29"/>
      <c r="DX1016" s="29"/>
      <c r="DY1016" s="29"/>
      <c r="DZ1016" s="29"/>
      <c r="EA1016" s="29"/>
      <c r="EB1016" s="29"/>
      <c r="EC1016" s="29"/>
      <c r="ED1016" s="29"/>
      <c r="EE1016" s="29"/>
      <c r="EF1016" s="111"/>
      <c r="EG1016" s="111"/>
      <c r="EH1016" s="111"/>
      <c r="EI1016" s="111"/>
      <c r="EJ1016" s="111"/>
      <c r="EK1016" s="111"/>
      <c r="EL1016" s="111"/>
      <c r="EM1016" s="111"/>
      <c r="EN1016" s="111"/>
      <c r="EO1016" s="111"/>
      <c r="EP1016" s="111"/>
      <c r="EQ1016" s="111"/>
      <c r="ER1016" s="111"/>
      <c r="ES1016" s="111"/>
    </row>
    <row r="1017" spans="44:149">
      <c r="AR1017" s="29"/>
      <c r="AS1017" s="29"/>
      <c r="AT1017" s="29"/>
      <c r="AU1017" s="29"/>
      <c r="AV1017" s="29"/>
      <c r="AW1017" s="29"/>
      <c r="AX1017" s="29"/>
      <c r="AY1017" s="29"/>
      <c r="AZ1017" s="29"/>
      <c r="BA1017" s="29"/>
      <c r="BB1017" s="29"/>
      <c r="BC1017" s="29"/>
      <c r="BD1017" s="29"/>
      <c r="BE1017" s="29"/>
      <c r="BF1017" s="111"/>
      <c r="BG1017" s="111"/>
      <c r="BH1017" s="111"/>
      <c r="BI1017" s="111"/>
      <c r="BJ1017" s="111"/>
      <c r="BK1017" s="111"/>
      <c r="BL1017" s="111"/>
      <c r="BM1017" s="111"/>
      <c r="BN1017" s="111"/>
      <c r="BO1017" s="111"/>
      <c r="BP1017" s="111"/>
      <c r="BQ1017" s="111"/>
      <c r="BR1017" s="111"/>
      <c r="BS1017" s="111"/>
      <c r="DR1017" s="29"/>
      <c r="DS1017" s="29"/>
      <c r="DT1017" s="29"/>
      <c r="DU1017" s="29"/>
      <c r="DV1017" s="29"/>
      <c r="DW1017" s="29"/>
      <c r="DX1017" s="29"/>
      <c r="DY1017" s="29"/>
      <c r="DZ1017" s="29"/>
      <c r="EA1017" s="29"/>
      <c r="EB1017" s="29"/>
      <c r="EC1017" s="29"/>
      <c r="ED1017" s="29"/>
      <c r="EE1017" s="29"/>
      <c r="EF1017" s="111"/>
      <c r="EG1017" s="111"/>
      <c r="EH1017" s="111"/>
      <c r="EI1017" s="111"/>
      <c r="EJ1017" s="111"/>
      <c r="EK1017" s="111"/>
      <c r="EL1017" s="111"/>
      <c r="EM1017" s="111"/>
      <c r="EN1017" s="111"/>
      <c r="EO1017" s="111"/>
      <c r="EP1017" s="111"/>
      <c r="EQ1017" s="111"/>
      <c r="ER1017" s="111"/>
      <c r="ES1017" s="111"/>
    </row>
    <row r="1018" spans="44:149">
      <c r="AR1018" s="29"/>
      <c r="AS1018" s="29"/>
      <c r="AT1018" s="29"/>
      <c r="AU1018" s="29"/>
      <c r="AV1018" s="29"/>
      <c r="AW1018" s="29"/>
      <c r="AX1018" s="29"/>
      <c r="AY1018" s="29"/>
      <c r="AZ1018" s="29"/>
      <c r="BA1018" s="29"/>
      <c r="BB1018" s="29"/>
      <c r="BC1018" s="29"/>
      <c r="BD1018" s="29"/>
      <c r="BE1018" s="29"/>
      <c r="BF1018" s="111"/>
      <c r="BG1018" s="111"/>
      <c r="BH1018" s="111"/>
      <c r="BI1018" s="111"/>
      <c r="BJ1018" s="111"/>
      <c r="BK1018" s="111"/>
      <c r="BL1018" s="111"/>
      <c r="BM1018" s="111"/>
      <c r="BN1018" s="111"/>
      <c r="BO1018" s="111"/>
      <c r="BP1018" s="111"/>
      <c r="BQ1018" s="111"/>
      <c r="BR1018" s="111"/>
      <c r="BS1018" s="111"/>
      <c r="DR1018" s="29"/>
      <c r="DS1018" s="29"/>
      <c r="DT1018" s="29"/>
      <c r="DU1018" s="29"/>
      <c r="DV1018" s="29"/>
      <c r="DW1018" s="29"/>
      <c r="DX1018" s="29"/>
      <c r="DY1018" s="29"/>
      <c r="DZ1018" s="29"/>
      <c r="EA1018" s="29"/>
      <c r="EB1018" s="29"/>
      <c r="EC1018" s="29"/>
      <c r="ED1018" s="29"/>
      <c r="EE1018" s="29"/>
      <c r="EF1018" s="111"/>
      <c r="EG1018" s="111"/>
      <c r="EH1018" s="111"/>
      <c r="EI1018" s="111"/>
      <c r="EJ1018" s="111"/>
      <c r="EK1018" s="111"/>
      <c r="EL1018" s="111"/>
      <c r="EM1018" s="111"/>
      <c r="EN1018" s="111"/>
      <c r="EO1018" s="111"/>
      <c r="EP1018" s="111"/>
      <c r="EQ1018" s="111"/>
      <c r="ER1018" s="111"/>
      <c r="ES1018" s="111"/>
    </row>
    <row r="1019" spans="44:149">
      <c r="AR1019" s="29"/>
      <c r="AS1019" s="29"/>
      <c r="AT1019" s="29"/>
      <c r="AU1019" s="29"/>
      <c r="AV1019" s="29"/>
      <c r="AW1019" s="29"/>
      <c r="AX1019" s="29"/>
      <c r="AY1019" s="29"/>
      <c r="AZ1019" s="29"/>
      <c r="BA1019" s="29"/>
      <c r="BB1019" s="29"/>
      <c r="BC1019" s="29"/>
      <c r="BD1019" s="29"/>
      <c r="BE1019" s="29"/>
      <c r="BF1019" s="111"/>
      <c r="BG1019" s="111"/>
      <c r="BH1019" s="111"/>
      <c r="BI1019" s="111"/>
      <c r="BJ1019" s="111"/>
      <c r="BK1019" s="111"/>
      <c r="BL1019" s="111"/>
      <c r="BM1019" s="111"/>
      <c r="BN1019" s="111"/>
      <c r="BO1019" s="111"/>
      <c r="BP1019" s="111"/>
      <c r="BQ1019" s="111"/>
      <c r="BR1019" s="111"/>
      <c r="BS1019" s="111"/>
      <c r="DR1019" s="29"/>
      <c r="DS1019" s="29"/>
      <c r="DT1019" s="29"/>
      <c r="DU1019" s="29"/>
      <c r="DV1019" s="29"/>
      <c r="DW1019" s="29"/>
      <c r="DX1019" s="29"/>
      <c r="DY1019" s="29"/>
      <c r="DZ1019" s="29"/>
      <c r="EA1019" s="29"/>
      <c r="EB1019" s="29"/>
      <c r="EC1019" s="29"/>
      <c r="ED1019" s="29"/>
      <c r="EE1019" s="29"/>
      <c r="EF1019" s="111"/>
      <c r="EG1019" s="111"/>
      <c r="EH1019" s="111"/>
      <c r="EI1019" s="111"/>
      <c r="EJ1019" s="111"/>
      <c r="EK1019" s="111"/>
      <c r="EL1019" s="111"/>
      <c r="EM1019" s="111"/>
      <c r="EN1019" s="111"/>
      <c r="EO1019" s="111"/>
      <c r="EP1019" s="111"/>
      <c r="EQ1019" s="111"/>
      <c r="ER1019" s="111"/>
      <c r="ES1019" s="111"/>
    </row>
    <row r="1020" spans="44:149">
      <c r="AR1020" s="29"/>
      <c r="AS1020" s="29"/>
      <c r="AT1020" s="29"/>
      <c r="AU1020" s="29"/>
      <c r="AV1020" s="29"/>
      <c r="AW1020" s="29"/>
      <c r="AX1020" s="29"/>
      <c r="AY1020" s="29"/>
      <c r="AZ1020" s="29"/>
      <c r="BA1020" s="29"/>
      <c r="BB1020" s="29"/>
      <c r="BC1020" s="29"/>
      <c r="BD1020" s="29"/>
      <c r="BE1020" s="29"/>
      <c r="BF1020" s="111"/>
      <c r="BG1020" s="111"/>
      <c r="BH1020" s="111"/>
      <c r="BI1020" s="111"/>
      <c r="BJ1020" s="111"/>
      <c r="BK1020" s="111"/>
      <c r="BL1020" s="111"/>
      <c r="BM1020" s="111"/>
      <c r="BN1020" s="111"/>
      <c r="BO1020" s="111"/>
      <c r="BP1020" s="111"/>
      <c r="BQ1020" s="111"/>
      <c r="BR1020" s="111"/>
      <c r="BS1020" s="111"/>
      <c r="DR1020" s="29"/>
      <c r="DS1020" s="29"/>
      <c r="DT1020" s="29"/>
      <c r="DU1020" s="29"/>
      <c r="DV1020" s="29"/>
      <c r="DW1020" s="29"/>
      <c r="DX1020" s="29"/>
      <c r="DY1020" s="29"/>
      <c r="DZ1020" s="29"/>
      <c r="EA1020" s="29"/>
      <c r="EB1020" s="29"/>
      <c r="EC1020" s="29"/>
      <c r="ED1020" s="29"/>
      <c r="EE1020" s="29"/>
      <c r="EF1020" s="111"/>
      <c r="EG1020" s="111"/>
      <c r="EH1020" s="111"/>
      <c r="EI1020" s="111"/>
      <c r="EJ1020" s="111"/>
      <c r="EK1020" s="111"/>
      <c r="EL1020" s="111"/>
      <c r="EM1020" s="111"/>
      <c r="EN1020" s="111"/>
      <c r="EO1020" s="111"/>
      <c r="EP1020" s="111"/>
      <c r="EQ1020" s="111"/>
      <c r="ER1020" s="111"/>
      <c r="ES1020" s="111"/>
    </row>
    <row r="1021" spans="44:149">
      <c r="AR1021" s="29"/>
      <c r="AS1021" s="29"/>
      <c r="AT1021" s="29"/>
      <c r="AU1021" s="29"/>
      <c r="AV1021" s="29"/>
      <c r="AW1021" s="29"/>
      <c r="AX1021" s="29"/>
      <c r="AY1021" s="29"/>
      <c r="AZ1021" s="29"/>
      <c r="BA1021" s="29"/>
      <c r="BB1021" s="29"/>
      <c r="BC1021" s="29"/>
      <c r="BD1021" s="29"/>
      <c r="BE1021" s="29"/>
      <c r="BF1021" s="111"/>
      <c r="BG1021" s="111"/>
      <c r="BH1021" s="111"/>
      <c r="BI1021" s="111"/>
      <c r="BJ1021" s="111"/>
      <c r="BK1021" s="111"/>
      <c r="BL1021" s="111"/>
      <c r="BM1021" s="111"/>
      <c r="BN1021" s="111"/>
      <c r="BO1021" s="111"/>
      <c r="BP1021" s="111"/>
      <c r="BQ1021" s="111"/>
      <c r="BR1021" s="111"/>
      <c r="BS1021" s="111"/>
      <c r="DR1021" s="29"/>
      <c r="DS1021" s="29"/>
      <c r="DT1021" s="29"/>
      <c r="DU1021" s="29"/>
      <c r="DV1021" s="29"/>
      <c r="DW1021" s="29"/>
      <c r="DX1021" s="29"/>
      <c r="DY1021" s="29"/>
      <c r="DZ1021" s="29"/>
      <c r="EA1021" s="29"/>
      <c r="EB1021" s="29"/>
      <c r="EC1021" s="29"/>
      <c r="ED1021" s="29"/>
      <c r="EE1021" s="29"/>
      <c r="EF1021" s="111"/>
      <c r="EG1021" s="111"/>
      <c r="EH1021" s="111"/>
      <c r="EI1021" s="111"/>
      <c r="EJ1021" s="111"/>
      <c r="EK1021" s="111"/>
      <c r="EL1021" s="111"/>
      <c r="EM1021" s="111"/>
      <c r="EN1021" s="111"/>
      <c r="EO1021" s="111"/>
      <c r="EP1021" s="111"/>
      <c r="EQ1021" s="111"/>
      <c r="ER1021" s="111"/>
      <c r="ES1021" s="111"/>
    </row>
    <row r="1022" spans="44:149">
      <c r="AR1022" s="29"/>
      <c r="AS1022" s="29"/>
      <c r="AT1022" s="29"/>
      <c r="AU1022" s="29"/>
      <c r="AV1022" s="29"/>
      <c r="AW1022" s="29"/>
      <c r="AX1022" s="29"/>
      <c r="AY1022" s="29"/>
      <c r="AZ1022" s="29"/>
      <c r="BA1022" s="29"/>
      <c r="BB1022" s="29"/>
      <c r="BC1022" s="29"/>
      <c r="BD1022" s="29"/>
      <c r="BE1022" s="29"/>
      <c r="BF1022" s="111"/>
      <c r="BG1022" s="111"/>
      <c r="BH1022" s="111"/>
      <c r="BI1022" s="111"/>
      <c r="BJ1022" s="111"/>
      <c r="BK1022" s="111"/>
      <c r="BL1022" s="111"/>
      <c r="BM1022" s="111"/>
      <c r="BN1022" s="111"/>
      <c r="BO1022" s="111"/>
      <c r="BP1022" s="111"/>
      <c r="BQ1022" s="111"/>
      <c r="BR1022" s="111"/>
      <c r="BS1022" s="111"/>
      <c r="DR1022" s="29"/>
      <c r="DS1022" s="29"/>
      <c r="DT1022" s="29"/>
      <c r="DU1022" s="29"/>
      <c r="DV1022" s="29"/>
      <c r="DW1022" s="29"/>
      <c r="DX1022" s="29"/>
      <c r="DY1022" s="29"/>
      <c r="DZ1022" s="29"/>
      <c r="EA1022" s="29"/>
      <c r="EB1022" s="29"/>
      <c r="EC1022" s="29"/>
      <c r="ED1022" s="29"/>
      <c r="EE1022" s="29"/>
      <c r="EF1022" s="111"/>
      <c r="EG1022" s="111"/>
      <c r="EH1022" s="111"/>
      <c r="EI1022" s="111"/>
      <c r="EJ1022" s="111"/>
      <c r="EK1022" s="111"/>
      <c r="EL1022" s="111"/>
      <c r="EM1022" s="111"/>
      <c r="EN1022" s="111"/>
      <c r="EO1022" s="111"/>
      <c r="EP1022" s="111"/>
      <c r="EQ1022" s="111"/>
      <c r="ER1022" s="111"/>
      <c r="ES1022" s="111"/>
    </row>
    <row r="1023" spans="44:149">
      <c r="AR1023" s="29"/>
      <c r="AS1023" s="29"/>
      <c r="AT1023" s="29"/>
      <c r="AU1023" s="29"/>
      <c r="AV1023" s="29"/>
      <c r="AW1023" s="29"/>
      <c r="AX1023" s="29"/>
      <c r="AY1023" s="29"/>
      <c r="AZ1023" s="29"/>
      <c r="BA1023" s="29"/>
      <c r="BB1023" s="29"/>
      <c r="BC1023" s="29"/>
      <c r="BD1023" s="29"/>
      <c r="BE1023" s="29"/>
      <c r="BF1023" s="111"/>
      <c r="BG1023" s="111"/>
      <c r="BH1023" s="111"/>
      <c r="BI1023" s="111"/>
      <c r="BJ1023" s="111"/>
      <c r="BK1023" s="111"/>
      <c r="BL1023" s="111"/>
      <c r="BM1023" s="111"/>
      <c r="BN1023" s="111"/>
      <c r="BO1023" s="111"/>
      <c r="BP1023" s="111"/>
      <c r="BQ1023" s="111"/>
      <c r="BR1023" s="111"/>
      <c r="BS1023" s="111"/>
      <c r="DR1023" s="29"/>
      <c r="DS1023" s="29"/>
      <c r="DT1023" s="29"/>
      <c r="DU1023" s="29"/>
      <c r="DV1023" s="29"/>
      <c r="DW1023" s="29"/>
      <c r="DX1023" s="29"/>
      <c r="DY1023" s="29"/>
      <c r="DZ1023" s="29"/>
      <c r="EA1023" s="29"/>
      <c r="EB1023" s="29"/>
      <c r="EC1023" s="29"/>
      <c r="ED1023" s="29"/>
      <c r="EE1023" s="29"/>
      <c r="EF1023" s="111"/>
      <c r="EG1023" s="111"/>
      <c r="EH1023" s="111"/>
      <c r="EI1023" s="111"/>
      <c r="EJ1023" s="111"/>
      <c r="EK1023" s="111"/>
      <c r="EL1023" s="111"/>
      <c r="EM1023" s="111"/>
      <c r="EN1023" s="111"/>
      <c r="EO1023" s="111"/>
      <c r="EP1023" s="111"/>
      <c r="EQ1023" s="111"/>
      <c r="ER1023" s="111"/>
      <c r="ES1023" s="111"/>
    </row>
    <row r="1024" spans="44:149">
      <c r="AR1024" s="29"/>
      <c r="AS1024" s="29"/>
      <c r="AT1024" s="29"/>
      <c r="AU1024" s="29"/>
      <c r="AV1024" s="29"/>
      <c r="AW1024" s="29"/>
      <c r="AX1024" s="29"/>
      <c r="AY1024" s="29"/>
      <c r="AZ1024" s="29"/>
      <c r="BA1024" s="29"/>
      <c r="BB1024" s="29"/>
      <c r="BC1024" s="29"/>
      <c r="BD1024" s="29"/>
      <c r="BE1024" s="29"/>
      <c r="BF1024" s="111"/>
      <c r="BG1024" s="111"/>
      <c r="BH1024" s="111"/>
      <c r="BI1024" s="111"/>
      <c r="BJ1024" s="111"/>
      <c r="BK1024" s="111"/>
      <c r="BL1024" s="111"/>
      <c r="BM1024" s="111"/>
      <c r="BN1024" s="111"/>
      <c r="BO1024" s="111"/>
      <c r="BP1024" s="111"/>
      <c r="BQ1024" s="111"/>
      <c r="BR1024" s="111"/>
      <c r="BS1024" s="111"/>
      <c r="DR1024" s="29"/>
      <c r="DS1024" s="29"/>
      <c r="DT1024" s="29"/>
      <c r="DU1024" s="29"/>
      <c r="DV1024" s="29"/>
      <c r="DW1024" s="29"/>
      <c r="DX1024" s="29"/>
      <c r="DY1024" s="29"/>
      <c r="DZ1024" s="29"/>
      <c r="EA1024" s="29"/>
      <c r="EB1024" s="29"/>
      <c r="EC1024" s="29"/>
      <c r="ED1024" s="29"/>
      <c r="EE1024" s="29"/>
      <c r="EF1024" s="111"/>
      <c r="EG1024" s="111"/>
      <c r="EH1024" s="111"/>
      <c r="EI1024" s="111"/>
      <c r="EJ1024" s="111"/>
      <c r="EK1024" s="111"/>
      <c r="EL1024" s="111"/>
      <c r="EM1024" s="111"/>
      <c r="EN1024" s="111"/>
      <c r="EO1024" s="111"/>
      <c r="EP1024" s="111"/>
      <c r="EQ1024" s="111"/>
      <c r="ER1024" s="111"/>
      <c r="ES1024" s="111"/>
    </row>
    <row r="1025" spans="44:149">
      <c r="AR1025" s="29"/>
      <c r="AS1025" s="29"/>
      <c r="AT1025" s="29"/>
      <c r="AU1025" s="29"/>
      <c r="AV1025" s="29"/>
      <c r="AW1025" s="29"/>
      <c r="AX1025" s="29"/>
      <c r="AY1025" s="29"/>
      <c r="AZ1025" s="29"/>
      <c r="BA1025" s="29"/>
      <c r="BB1025" s="29"/>
      <c r="BC1025" s="29"/>
      <c r="BD1025" s="29"/>
      <c r="BE1025" s="29"/>
      <c r="BF1025" s="111"/>
      <c r="BG1025" s="111"/>
      <c r="BH1025" s="111"/>
      <c r="BI1025" s="111"/>
      <c r="BJ1025" s="111"/>
      <c r="BK1025" s="111"/>
      <c r="BL1025" s="111"/>
      <c r="BM1025" s="111"/>
      <c r="BN1025" s="111"/>
      <c r="BO1025" s="111"/>
      <c r="BP1025" s="111"/>
      <c r="BQ1025" s="111"/>
      <c r="BR1025" s="111"/>
      <c r="BS1025" s="111"/>
      <c r="DR1025" s="29"/>
      <c r="DS1025" s="29"/>
      <c r="DT1025" s="29"/>
      <c r="DU1025" s="29"/>
      <c r="DV1025" s="29"/>
      <c r="DW1025" s="29"/>
      <c r="DX1025" s="29"/>
      <c r="DY1025" s="29"/>
      <c r="DZ1025" s="29"/>
      <c r="EA1025" s="29"/>
      <c r="EB1025" s="29"/>
      <c r="EC1025" s="29"/>
      <c r="ED1025" s="29"/>
      <c r="EE1025" s="29"/>
      <c r="EF1025" s="111"/>
      <c r="EG1025" s="111"/>
      <c r="EH1025" s="111"/>
      <c r="EI1025" s="111"/>
      <c r="EJ1025" s="111"/>
      <c r="EK1025" s="111"/>
      <c r="EL1025" s="111"/>
      <c r="EM1025" s="111"/>
      <c r="EN1025" s="111"/>
      <c r="EO1025" s="111"/>
      <c r="EP1025" s="111"/>
      <c r="EQ1025" s="111"/>
      <c r="ER1025" s="111"/>
      <c r="ES1025" s="111"/>
    </row>
    <row r="1026" spans="44:149">
      <c r="AR1026" s="29"/>
      <c r="AS1026" s="29"/>
      <c r="AT1026" s="29"/>
      <c r="AU1026" s="29"/>
      <c r="AV1026" s="29"/>
      <c r="AW1026" s="29"/>
      <c r="AX1026" s="29"/>
      <c r="AY1026" s="29"/>
      <c r="AZ1026" s="29"/>
      <c r="BA1026" s="29"/>
      <c r="BB1026" s="29"/>
      <c r="BC1026" s="29"/>
      <c r="BD1026" s="29"/>
      <c r="BE1026" s="29"/>
      <c r="BF1026" s="111"/>
      <c r="BG1026" s="111"/>
      <c r="BH1026" s="111"/>
      <c r="BI1026" s="111"/>
      <c r="BJ1026" s="111"/>
      <c r="BK1026" s="111"/>
      <c r="BL1026" s="111"/>
      <c r="BM1026" s="111"/>
      <c r="BN1026" s="111"/>
      <c r="BO1026" s="111"/>
      <c r="BP1026" s="111"/>
      <c r="BQ1026" s="111"/>
      <c r="BR1026" s="111"/>
      <c r="BS1026" s="111"/>
      <c r="DR1026" s="29"/>
      <c r="DS1026" s="29"/>
      <c r="DT1026" s="29"/>
      <c r="DU1026" s="29"/>
      <c r="DV1026" s="29"/>
      <c r="DW1026" s="29"/>
      <c r="DX1026" s="29"/>
      <c r="DY1026" s="29"/>
      <c r="DZ1026" s="29"/>
      <c r="EA1026" s="29"/>
      <c r="EB1026" s="29"/>
      <c r="EC1026" s="29"/>
      <c r="ED1026" s="29"/>
      <c r="EE1026" s="29"/>
      <c r="EF1026" s="111"/>
      <c r="EG1026" s="111"/>
      <c r="EH1026" s="111"/>
      <c r="EI1026" s="111"/>
      <c r="EJ1026" s="111"/>
      <c r="EK1026" s="111"/>
      <c r="EL1026" s="111"/>
      <c r="EM1026" s="111"/>
      <c r="EN1026" s="111"/>
      <c r="EO1026" s="111"/>
      <c r="EP1026" s="111"/>
      <c r="EQ1026" s="111"/>
      <c r="ER1026" s="111"/>
      <c r="ES1026" s="111"/>
    </row>
    <row r="1027" spans="44:149">
      <c r="AR1027" s="29"/>
      <c r="AS1027" s="29"/>
      <c r="AT1027" s="29"/>
      <c r="AU1027" s="29"/>
      <c r="AV1027" s="29"/>
      <c r="AW1027" s="29"/>
      <c r="AX1027" s="29"/>
      <c r="AY1027" s="29"/>
      <c r="AZ1027" s="29"/>
      <c r="BA1027" s="29"/>
      <c r="BB1027" s="29"/>
      <c r="BC1027" s="29"/>
      <c r="BD1027" s="29"/>
      <c r="BE1027" s="29"/>
      <c r="BF1027" s="111"/>
      <c r="BG1027" s="111"/>
      <c r="BH1027" s="111"/>
      <c r="BI1027" s="111"/>
      <c r="BJ1027" s="111"/>
      <c r="BK1027" s="111"/>
      <c r="BL1027" s="111"/>
      <c r="BM1027" s="111"/>
      <c r="BN1027" s="111"/>
      <c r="BO1027" s="111"/>
      <c r="BP1027" s="111"/>
      <c r="BQ1027" s="111"/>
      <c r="BR1027" s="111"/>
      <c r="BS1027" s="111"/>
      <c r="DR1027" s="29"/>
      <c r="DS1027" s="29"/>
      <c r="DT1027" s="29"/>
      <c r="DU1027" s="29"/>
      <c r="DV1027" s="29"/>
      <c r="DW1027" s="29"/>
      <c r="DX1027" s="29"/>
      <c r="DY1027" s="29"/>
      <c r="DZ1027" s="29"/>
      <c r="EA1027" s="29"/>
      <c r="EB1027" s="29"/>
      <c r="EC1027" s="29"/>
      <c r="ED1027" s="29"/>
      <c r="EE1027" s="29"/>
      <c r="EF1027" s="111"/>
      <c r="EG1027" s="111"/>
      <c r="EH1027" s="111"/>
      <c r="EI1027" s="111"/>
      <c r="EJ1027" s="111"/>
      <c r="EK1027" s="111"/>
      <c r="EL1027" s="111"/>
      <c r="EM1027" s="111"/>
      <c r="EN1027" s="111"/>
      <c r="EO1027" s="111"/>
      <c r="EP1027" s="111"/>
      <c r="EQ1027" s="111"/>
      <c r="ER1027" s="111"/>
      <c r="ES1027" s="111"/>
    </row>
    <row r="1028" spans="44:149">
      <c r="AR1028" s="29"/>
      <c r="AS1028" s="29"/>
      <c r="AT1028" s="29"/>
      <c r="AU1028" s="29"/>
      <c r="AV1028" s="29"/>
      <c r="AW1028" s="29"/>
      <c r="AX1028" s="29"/>
      <c r="AY1028" s="29"/>
      <c r="AZ1028" s="29"/>
      <c r="BA1028" s="29"/>
      <c r="BB1028" s="29"/>
      <c r="BC1028" s="29"/>
      <c r="BD1028" s="29"/>
      <c r="BE1028" s="29"/>
      <c r="BF1028" s="111"/>
      <c r="BG1028" s="111"/>
      <c r="BH1028" s="111"/>
      <c r="BI1028" s="111"/>
      <c r="BJ1028" s="111"/>
      <c r="BK1028" s="111"/>
      <c r="BL1028" s="111"/>
      <c r="BM1028" s="111"/>
      <c r="BN1028" s="111"/>
      <c r="BO1028" s="111"/>
      <c r="BP1028" s="111"/>
      <c r="BQ1028" s="111"/>
      <c r="BR1028" s="111"/>
      <c r="BS1028" s="111"/>
      <c r="DR1028" s="29"/>
      <c r="DS1028" s="29"/>
      <c r="DT1028" s="29"/>
      <c r="DU1028" s="29"/>
      <c r="DV1028" s="29"/>
      <c r="DW1028" s="29"/>
      <c r="DX1028" s="29"/>
      <c r="DY1028" s="29"/>
      <c r="DZ1028" s="29"/>
      <c r="EA1028" s="29"/>
      <c r="EB1028" s="29"/>
      <c r="EC1028" s="29"/>
      <c r="ED1028" s="29"/>
      <c r="EE1028" s="29"/>
      <c r="EF1028" s="111"/>
      <c r="EG1028" s="111"/>
      <c r="EH1028" s="111"/>
      <c r="EI1028" s="111"/>
      <c r="EJ1028" s="111"/>
      <c r="EK1028" s="111"/>
      <c r="EL1028" s="111"/>
      <c r="EM1028" s="111"/>
      <c r="EN1028" s="111"/>
      <c r="EO1028" s="111"/>
      <c r="EP1028" s="111"/>
      <c r="EQ1028" s="111"/>
      <c r="ER1028" s="111"/>
      <c r="ES1028" s="111"/>
    </row>
    <row r="1029" spans="44:149">
      <c r="AR1029" s="29"/>
      <c r="AS1029" s="29"/>
      <c r="AT1029" s="29"/>
      <c r="AU1029" s="29"/>
      <c r="AV1029" s="29"/>
      <c r="AW1029" s="29"/>
      <c r="AX1029" s="29"/>
      <c r="AY1029" s="29"/>
      <c r="AZ1029" s="29"/>
      <c r="BA1029" s="29"/>
      <c r="BB1029" s="29"/>
      <c r="BC1029" s="29"/>
      <c r="BD1029" s="29"/>
      <c r="BE1029" s="29"/>
      <c r="BF1029" s="111"/>
      <c r="BG1029" s="111"/>
      <c r="BH1029" s="111"/>
      <c r="BI1029" s="111"/>
      <c r="BJ1029" s="111"/>
      <c r="BK1029" s="111"/>
      <c r="BL1029" s="111"/>
      <c r="BM1029" s="111"/>
      <c r="BN1029" s="111"/>
      <c r="BO1029" s="111"/>
      <c r="BP1029" s="111"/>
      <c r="BQ1029" s="111"/>
      <c r="BR1029" s="111"/>
      <c r="BS1029" s="111"/>
      <c r="DR1029" s="29"/>
      <c r="DS1029" s="29"/>
      <c r="DT1029" s="29"/>
      <c r="DU1029" s="29"/>
      <c r="DV1029" s="29"/>
      <c r="DW1029" s="29"/>
      <c r="DX1029" s="29"/>
      <c r="DY1029" s="29"/>
      <c r="DZ1029" s="29"/>
      <c r="EA1029" s="29"/>
      <c r="EB1029" s="29"/>
      <c r="EC1029" s="29"/>
      <c r="ED1029" s="29"/>
      <c r="EE1029" s="29"/>
      <c r="EF1029" s="111"/>
      <c r="EG1029" s="111"/>
      <c r="EH1029" s="111"/>
      <c r="EI1029" s="111"/>
      <c r="EJ1029" s="111"/>
      <c r="EK1029" s="111"/>
      <c r="EL1029" s="111"/>
      <c r="EM1029" s="111"/>
      <c r="EN1029" s="111"/>
      <c r="EO1029" s="111"/>
      <c r="EP1029" s="111"/>
      <c r="EQ1029" s="111"/>
      <c r="ER1029" s="111"/>
      <c r="ES1029" s="111"/>
    </row>
    <row r="1030" spans="44:149">
      <c r="AR1030" s="29"/>
      <c r="AS1030" s="29"/>
      <c r="AT1030" s="29"/>
      <c r="AU1030" s="29"/>
      <c r="AV1030" s="29"/>
      <c r="AW1030" s="29"/>
      <c r="AX1030" s="29"/>
      <c r="AY1030" s="29"/>
      <c r="AZ1030" s="29"/>
      <c r="BA1030" s="29"/>
      <c r="BB1030" s="29"/>
      <c r="BC1030" s="29"/>
      <c r="BD1030" s="29"/>
      <c r="BE1030" s="29"/>
      <c r="BF1030" s="111"/>
      <c r="BG1030" s="111"/>
      <c r="BH1030" s="111"/>
      <c r="BI1030" s="111"/>
      <c r="BJ1030" s="111"/>
      <c r="BK1030" s="111"/>
      <c r="BL1030" s="111"/>
      <c r="BM1030" s="111"/>
      <c r="BN1030" s="111"/>
      <c r="BO1030" s="111"/>
      <c r="BP1030" s="111"/>
      <c r="BQ1030" s="111"/>
      <c r="BR1030" s="111"/>
      <c r="BS1030" s="111"/>
      <c r="DR1030" s="29"/>
      <c r="DS1030" s="29"/>
      <c r="DT1030" s="29"/>
      <c r="DU1030" s="29"/>
      <c r="DV1030" s="29"/>
      <c r="DW1030" s="29"/>
      <c r="DX1030" s="29"/>
      <c r="DY1030" s="29"/>
      <c r="DZ1030" s="29"/>
      <c r="EA1030" s="29"/>
      <c r="EB1030" s="29"/>
      <c r="EC1030" s="29"/>
      <c r="ED1030" s="29"/>
      <c r="EE1030" s="29"/>
      <c r="EF1030" s="111"/>
      <c r="EG1030" s="111"/>
      <c r="EH1030" s="111"/>
      <c r="EI1030" s="111"/>
      <c r="EJ1030" s="111"/>
      <c r="EK1030" s="111"/>
      <c r="EL1030" s="111"/>
      <c r="EM1030" s="111"/>
      <c r="EN1030" s="111"/>
      <c r="EO1030" s="111"/>
      <c r="EP1030" s="111"/>
      <c r="EQ1030" s="111"/>
      <c r="ER1030" s="111"/>
      <c r="ES1030" s="111"/>
    </row>
    <row r="1031" spans="44:149">
      <c r="AR1031" s="29"/>
      <c r="AS1031" s="29"/>
      <c r="AT1031" s="29"/>
      <c r="AU1031" s="29"/>
      <c r="AV1031" s="29"/>
      <c r="AW1031" s="29"/>
      <c r="AX1031" s="29"/>
      <c r="AY1031" s="29"/>
      <c r="AZ1031" s="29"/>
      <c r="BA1031" s="29"/>
      <c r="BB1031" s="29"/>
      <c r="BC1031" s="29"/>
      <c r="BD1031" s="29"/>
      <c r="BE1031" s="29"/>
      <c r="BF1031" s="111"/>
      <c r="BG1031" s="111"/>
      <c r="BH1031" s="111"/>
      <c r="BI1031" s="111"/>
      <c r="BJ1031" s="111"/>
      <c r="BK1031" s="111"/>
      <c r="BL1031" s="111"/>
      <c r="BM1031" s="111"/>
      <c r="BN1031" s="111"/>
      <c r="BO1031" s="111"/>
      <c r="BP1031" s="111"/>
      <c r="BQ1031" s="111"/>
      <c r="BR1031" s="111"/>
      <c r="BS1031" s="111"/>
      <c r="DR1031" s="29"/>
      <c r="DS1031" s="29"/>
      <c r="DT1031" s="29"/>
      <c r="DU1031" s="29"/>
      <c r="DV1031" s="29"/>
      <c r="DW1031" s="29"/>
      <c r="DX1031" s="29"/>
      <c r="DY1031" s="29"/>
      <c r="DZ1031" s="29"/>
      <c r="EA1031" s="29"/>
      <c r="EB1031" s="29"/>
      <c r="EC1031" s="29"/>
      <c r="ED1031" s="29"/>
      <c r="EE1031" s="29"/>
      <c r="EF1031" s="111"/>
      <c r="EG1031" s="111"/>
      <c r="EH1031" s="111"/>
      <c r="EI1031" s="111"/>
      <c r="EJ1031" s="111"/>
      <c r="EK1031" s="111"/>
      <c r="EL1031" s="111"/>
      <c r="EM1031" s="111"/>
      <c r="EN1031" s="111"/>
      <c r="EO1031" s="111"/>
      <c r="EP1031" s="111"/>
      <c r="EQ1031" s="111"/>
      <c r="ER1031" s="111"/>
      <c r="ES1031" s="111"/>
    </row>
    <row r="1032" spans="44:149">
      <c r="AR1032" s="29"/>
      <c r="AS1032" s="29"/>
      <c r="AT1032" s="29"/>
      <c r="AU1032" s="29"/>
      <c r="AV1032" s="29"/>
      <c r="AW1032" s="29"/>
      <c r="AX1032" s="29"/>
      <c r="AY1032" s="29"/>
      <c r="AZ1032" s="29"/>
      <c r="BA1032" s="29"/>
      <c r="BB1032" s="29"/>
      <c r="BC1032" s="29"/>
      <c r="BD1032" s="29"/>
      <c r="BE1032" s="29"/>
      <c r="BF1032" s="111"/>
      <c r="BG1032" s="111"/>
      <c r="BH1032" s="111"/>
      <c r="BI1032" s="111"/>
      <c r="BJ1032" s="111"/>
      <c r="BK1032" s="111"/>
      <c r="BL1032" s="111"/>
      <c r="BM1032" s="111"/>
      <c r="BN1032" s="111"/>
      <c r="BO1032" s="111"/>
      <c r="BP1032" s="111"/>
      <c r="BQ1032" s="111"/>
      <c r="BR1032" s="111"/>
      <c r="BS1032" s="111"/>
      <c r="DR1032" s="29"/>
      <c r="DS1032" s="29"/>
      <c r="DT1032" s="29"/>
      <c r="DU1032" s="29"/>
      <c r="DV1032" s="29"/>
      <c r="DW1032" s="29"/>
      <c r="DX1032" s="29"/>
      <c r="DY1032" s="29"/>
      <c r="DZ1032" s="29"/>
      <c r="EA1032" s="29"/>
      <c r="EB1032" s="29"/>
      <c r="EC1032" s="29"/>
      <c r="ED1032" s="29"/>
      <c r="EE1032" s="29"/>
      <c r="EF1032" s="111"/>
      <c r="EG1032" s="111"/>
      <c r="EH1032" s="111"/>
      <c r="EI1032" s="111"/>
      <c r="EJ1032" s="111"/>
      <c r="EK1032" s="111"/>
      <c r="EL1032" s="111"/>
      <c r="EM1032" s="111"/>
      <c r="EN1032" s="111"/>
      <c r="EO1032" s="111"/>
      <c r="EP1032" s="111"/>
      <c r="EQ1032" s="111"/>
      <c r="ER1032" s="111"/>
      <c r="ES1032" s="111"/>
    </row>
    <row r="1033" spans="44:149">
      <c r="AR1033" s="29"/>
      <c r="AS1033" s="29"/>
      <c r="AT1033" s="29"/>
      <c r="AU1033" s="29"/>
      <c r="AV1033" s="29"/>
      <c r="AW1033" s="29"/>
      <c r="AX1033" s="29"/>
      <c r="AY1033" s="29"/>
      <c r="AZ1033" s="29"/>
      <c r="BA1033" s="29"/>
      <c r="BB1033" s="29"/>
      <c r="BC1033" s="29"/>
      <c r="BD1033" s="29"/>
      <c r="BE1033" s="29"/>
      <c r="BF1033" s="111"/>
      <c r="BG1033" s="111"/>
      <c r="BH1033" s="111"/>
      <c r="BI1033" s="111"/>
      <c r="BJ1033" s="111"/>
      <c r="BK1033" s="111"/>
      <c r="BL1033" s="111"/>
      <c r="BM1033" s="111"/>
      <c r="BN1033" s="111"/>
      <c r="BO1033" s="111"/>
      <c r="BP1033" s="111"/>
      <c r="BQ1033" s="111"/>
      <c r="BR1033" s="111"/>
      <c r="BS1033" s="111"/>
      <c r="DR1033" s="29"/>
      <c r="DS1033" s="29"/>
      <c r="DT1033" s="29"/>
      <c r="DU1033" s="29"/>
      <c r="DV1033" s="29"/>
      <c r="DW1033" s="29"/>
      <c r="DX1033" s="29"/>
      <c r="DY1033" s="29"/>
      <c r="DZ1033" s="29"/>
      <c r="EA1033" s="29"/>
      <c r="EB1033" s="29"/>
      <c r="EC1033" s="29"/>
      <c r="ED1033" s="29"/>
      <c r="EE1033" s="29"/>
      <c r="EF1033" s="111"/>
      <c r="EG1033" s="111"/>
      <c r="EH1033" s="111"/>
      <c r="EI1033" s="111"/>
      <c r="EJ1033" s="111"/>
      <c r="EK1033" s="111"/>
      <c r="EL1033" s="111"/>
      <c r="EM1033" s="111"/>
      <c r="EN1033" s="111"/>
      <c r="EO1033" s="111"/>
      <c r="EP1033" s="111"/>
      <c r="EQ1033" s="111"/>
      <c r="ER1033" s="111"/>
      <c r="ES1033" s="111"/>
    </row>
    <row r="1034" spans="44:149">
      <c r="AR1034" s="29"/>
      <c r="AS1034" s="29"/>
      <c r="AT1034" s="29"/>
      <c r="AU1034" s="29"/>
      <c r="AV1034" s="29"/>
      <c r="AW1034" s="29"/>
      <c r="AX1034" s="29"/>
      <c r="AY1034" s="29"/>
      <c r="AZ1034" s="29"/>
      <c r="BA1034" s="29"/>
      <c r="BB1034" s="29"/>
      <c r="BC1034" s="29"/>
      <c r="BD1034" s="29"/>
      <c r="BE1034" s="29"/>
      <c r="BF1034" s="111"/>
      <c r="BG1034" s="111"/>
      <c r="BH1034" s="111"/>
      <c r="BI1034" s="111"/>
      <c r="BJ1034" s="111"/>
      <c r="BK1034" s="111"/>
      <c r="BL1034" s="111"/>
      <c r="BM1034" s="111"/>
      <c r="BN1034" s="111"/>
      <c r="BO1034" s="111"/>
      <c r="BP1034" s="111"/>
      <c r="BQ1034" s="111"/>
      <c r="BR1034" s="111"/>
      <c r="BS1034" s="111"/>
      <c r="DR1034" s="29"/>
      <c r="DS1034" s="29"/>
      <c r="DT1034" s="29"/>
      <c r="DU1034" s="29"/>
      <c r="DV1034" s="29"/>
      <c r="DW1034" s="29"/>
      <c r="DX1034" s="29"/>
      <c r="DY1034" s="29"/>
      <c r="DZ1034" s="29"/>
      <c r="EA1034" s="29"/>
      <c r="EB1034" s="29"/>
      <c r="EC1034" s="29"/>
      <c r="ED1034" s="29"/>
      <c r="EE1034" s="29"/>
      <c r="EF1034" s="111"/>
      <c r="EG1034" s="111"/>
      <c r="EH1034" s="111"/>
      <c r="EI1034" s="111"/>
      <c r="EJ1034" s="111"/>
      <c r="EK1034" s="111"/>
      <c r="EL1034" s="111"/>
      <c r="EM1034" s="111"/>
      <c r="EN1034" s="111"/>
      <c r="EO1034" s="111"/>
      <c r="EP1034" s="111"/>
      <c r="EQ1034" s="111"/>
      <c r="ER1034" s="111"/>
      <c r="ES1034" s="111"/>
    </row>
    <row r="1035" spans="44:149">
      <c r="AR1035" s="29"/>
      <c r="AS1035" s="29"/>
      <c r="AT1035" s="29"/>
      <c r="AU1035" s="29"/>
      <c r="AV1035" s="29"/>
      <c r="AW1035" s="29"/>
      <c r="AX1035" s="29"/>
      <c r="AY1035" s="29"/>
      <c r="AZ1035" s="29"/>
      <c r="BA1035" s="29"/>
      <c r="BB1035" s="29"/>
      <c r="BC1035" s="29"/>
      <c r="BD1035" s="29"/>
      <c r="BE1035" s="29"/>
      <c r="BF1035" s="111"/>
      <c r="BG1035" s="111"/>
      <c r="BH1035" s="111"/>
      <c r="BI1035" s="111"/>
      <c r="BJ1035" s="111"/>
      <c r="BK1035" s="111"/>
      <c r="BL1035" s="111"/>
      <c r="BM1035" s="111"/>
      <c r="BN1035" s="111"/>
      <c r="BO1035" s="111"/>
      <c r="BP1035" s="111"/>
      <c r="BQ1035" s="111"/>
      <c r="BR1035" s="111"/>
      <c r="BS1035" s="111"/>
      <c r="DR1035" s="29"/>
      <c r="DS1035" s="29"/>
      <c r="DT1035" s="29"/>
      <c r="DU1035" s="29"/>
      <c r="DV1035" s="29"/>
      <c r="DW1035" s="29"/>
      <c r="DX1035" s="29"/>
      <c r="DY1035" s="29"/>
      <c r="DZ1035" s="29"/>
      <c r="EA1035" s="29"/>
      <c r="EB1035" s="29"/>
      <c r="EC1035" s="29"/>
      <c r="ED1035" s="29"/>
      <c r="EE1035" s="29"/>
      <c r="EF1035" s="111"/>
      <c r="EG1035" s="111"/>
      <c r="EH1035" s="111"/>
      <c r="EI1035" s="111"/>
      <c r="EJ1035" s="111"/>
      <c r="EK1035" s="111"/>
      <c r="EL1035" s="111"/>
      <c r="EM1035" s="111"/>
      <c r="EN1035" s="111"/>
      <c r="EO1035" s="111"/>
      <c r="EP1035" s="111"/>
      <c r="EQ1035" s="111"/>
      <c r="ER1035" s="111"/>
      <c r="ES1035" s="111"/>
    </row>
    <row r="1036" spans="44:149">
      <c r="AR1036" s="29"/>
      <c r="AS1036" s="29"/>
      <c r="AT1036" s="29"/>
      <c r="AU1036" s="29"/>
      <c r="AV1036" s="29"/>
      <c r="AW1036" s="29"/>
      <c r="AX1036" s="29"/>
      <c r="AY1036" s="29"/>
      <c r="AZ1036" s="29"/>
      <c r="BA1036" s="29"/>
      <c r="BB1036" s="29"/>
      <c r="BC1036" s="29"/>
      <c r="BD1036" s="29"/>
      <c r="BE1036" s="29"/>
      <c r="BF1036" s="111"/>
      <c r="BG1036" s="111"/>
      <c r="BH1036" s="111"/>
      <c r="BI1036" s="111"/>
      <c r="BJ1036" s="111"/>
      <c r="BK1036" s="111"/>
      <c r="BL1036" s="111"/>
      <c r="BM1036" s="111"/>
      <c r="BN1036" s="111"/>
      <c r="BO1036" s="111"/>
      <c r="BP1036" s="111"/>
      <c r="BQ1036" s="111"/>
      <c r="BR1036" s="111"/>
      <c r="BS1036" s="111"/>
      <c r="DR1036" s="29"/>
      <c r="DS1036" s="29"/>
      <c r="DT1036" s="29"/>
      <c r="DU1036" s="29"/>
      <c r="DV1036" s="29"/>
      <c r="DW1036" s="29"/>
      <c r="DX1036" s="29"/>
      <c r="DY1036" s="29"/>
      <c r="DZ1036" s="29"/>
      <c r="EA1036" s="29"/>
      <c r="EB1036" s="29"/>
      <c r="EC1036" s="29"/>
      <c r="ED1036" s="29"/>
      <c r="EE1036" s="29"/>
      <c r="EF1036" s="111"/>
      <c r="EG1036" s="111"/>
      <c r="EH1036" s="111"/>
      <c r="EI1036" s="111"/>
      <c r="EJ1036" s="111"/>
      <c r="EK1036" s="111"/>
      <c r="EL1036" s="111"/>
      <c r="EM1036" s="111"/>
      <c r="EN1036" s="111"/>
      <c r="EO1036" s="111"/>
      <c r="EP1036" s="111"/>
      <c r="EQ1036" s="111"/>
      <c r="ER1036" s="111"/>
      <c r="ES1036" s="111"/>
    </row>
    <row r="1037" spans="44:149">
      <c r="AR1037" s="29"/>
      <c r="AS1037" s="29"/>
      <c r="AT1037" s="29"/>
      <c r="AU1037" s="29"/>
      <c r="AV1037" s="29"/>
      <c r="AW1037" s="29"/>
      <c r="AX1037" s="29"/>
      <c r="AY1037" s="29"/>
      <c r="AZ1037" s="29"/>
      <c r="BA1037" s="29"/>
      <c r="BB1037" s="29"/>
      <c r="BC1037" s="29"/>
      <c r="BD1037" s="29"/>
      <c r="BE1037" s="29"/>
      <c r="BF1037" s="111"/>
      <c r="BG1037" s="111"/>
      <c r="BH1037" s="111"/>
      <c r="BI1037" s="111"/>
      <c r="BJ1037" s="111"/>
      <c r="BK1037" s="111"/>
      <c r="BL1037" s="111"/>
      <c r="BM1037" s="111"/>
      <c r="BN1037" s="111"/>
      <c r="BO1037" s="111"/>
      <c r="BP1037" s="111"/>
      <c r="BQ1037" s="111"/>
      <c r="BR1037" s="111"/>
      <c r="BS1037" s="111"/>
      <c r="DR1037" s="29"/>
      <c r="DS1037" s="29"/>
      <c r="DT1037" s="29"/>
      <c r="DU1037" s="29"/>
      <c r="DV1037" s="29"/>
      <c r="DW1037" s="29"/>
      <c r="DX1037" s="29"/>
      <c r="DY1037" s="29"/>
      <c r="DZ1037" s="29"/>
      <c r="EA1037" s="29"/>
      <c r="EB1037" s="29"/>
      <c r="EC1037" s="29"/>
      <c r="ED1037" s="29"/>
      <c r="EE1037" s="29"/>
      <c r="EF1037" s="111"/>
      <c r="EG1037" s="111"/>
      <c r="EH1037" s="111"/>
      <c r="EI1037" s="111"/>
      <c r="EJ1037" s="111"/>
      <c r="EK1037" s="111"/>
      <c r="EL1037" s="111"/>
      <c r="EM1037" s="111"/>
      <c r="EN1037" s="111"/>
      <c r="EO1037" s="111"/>
      <c r="EP1037" s="111"/>
      <c r="EQ1037" s="111"/>
      <c r="ER1037" s="111"/>
      <c r="ES1037" s="111"/>
    </row>
    <row r="1038" spans="44:149">
      <c r="AR1038" s="29"/>
      <c r="AS1038" s="29"/>
      <c r="AT1038" s="29"/>
      <c r="AU1038" s="29"/>
      <c r="AV1038" s="29"/>
      <c r="AW1038" s="29"/>
      <c r="AX1038" s="29"/>
      <c r="AY1038" s="29"/>
      <c r="AZ1038" s="29"/>
      <c r="BA1038" s="29"/>
      <c r="BB1038" s="29"/>
      <c r="BC1038" s="29"/>
      <c r="BD1038" s="29"/>
      <c r="BE1038" s="29"/>
      <c r="BF1038" s="111"/>
      <c r="BG1038" s="111"/>
      <c r="BH1038" s="111"/>
      <c r="BI1038" s="111"/>
      <c r="BJ1038" s="111"/>
      <c r="BK1038" s="111"/>
      <c r="BL1038" s="111"/>
      <c r="BM1038" s="111"/>
      <c r="BN1038" s="111"/>
      <c r="BO1038" s="111"/>
      <c r="BP1038" s="111"/>
      <c r="BQ1038" s="111"/>
      <c r="BR1038" s="111"/>
      <c r="BS1038" s="111"/>
      <c r="DR1038" s="29"/>
      <c r="DS1038" s="29"/>
      <c r="DT1038" s="29"/>
      <c r="DU1038" s="29"/>
      <c r="DV1038" s="29"/>
      <c r="DW1038" s="29"/>
      <c r="DX1038" s="29"/>
      <c r="DY1038" s="29"/>
      <c r="DZ1038" s="29"/>
      <c r="EA1038" s="29"/>
      <c r="EB1038" s="29"/>
      <c r="EC1038" s="29"/>
      <c r="ED1038" s="29"/>
      <c r="EE1038" s="29"/>
      <c r="EF1038" s="111"/>
      <c r="EG1038" s="111"/>
      <c r="EH1038" s="111"/>
      <c r="EI1038" s="111"/>
      <c r="EJ1038" s="111"/>
      <c r="EK1038" s="111"/>
      <c r="EL1038" s="111"/>
      <c r="EM1038" s="111"/>
      <c r="EN1038" s="111"/>
      <c r="EO1038" s="111"/>
      <c r="EP1038" s="111"/>
      <c r="EQ1038" s="111"/>
      <c r="ER1038" s="111"/>
      <c r="ES1038" s="111"/>
    </row>
    <row r="1039" spans="44:149">
      <c r="AR1039" s="29"/>
      <c r="AS1039" s="29"/>
      <c r="AT1039" s="29"/>
      <c r="AU1039" s="29"/>
      <c r="AV1039" s="29"/>
      <c r="AW1039" s="29"/>
      <c r="AX1039" s="29"/>
      <c r="AY1039" s="29"/>
      <c r="AZ1039" s="29"/>
      <c r="BA1039" s="29"/>
      <c r="BB1039" s="29"/>
      <c r="BC1039" s="29"/>
      <c r="BD1039" s="29"/>
      <c r="BE1039" s="29"/>
      <c r="BF1039" s="111"/>
      <c r="BG1039" s="111"/>
      <c r="BH1039" s="111"/>
      <c r="BI1039" s="111"/>
      <c r="BJ1039" s="111"/>
      <c r="BK1039" s="111"/>
      <c r="BL1039" s="111"/>
      <c r="BM1039" s="111"/>
      <c r="BN1039" s="111"/>
      <c r="BO1039" s="111"/>
      <c r="BP1039" s="111"/>
      <c r="BQ1039" s="111"/>
      <c r="BR1039" s="111"/>
      <c r="BS1039" s="111"/>
      <c r="DR1039" s="29"/>
      <c r="DS1039" s="29"/>
      <c r="DT1039" s="29"/>
      <c r="DU1039" s="29"/>
      <c r="DV1039" s="29"/>
      <c r="DW1039" s="29"/>
      <c r="DX1039" s="29"/>
      <c r="DY1039" s="29"/>
      <c r="DZ1039" s="29"/>
      <c r="EA1039" s="29"/>
      <c r="EB1039" s="29"/>
      <c r="EC1039" s="29"/>
      <c r="ED1039" s="29"/>
      <c r="EE1039" s="29"/>
      <c r="EF1039" s="111"/>
      <c r="EG1039" s="111"/>
      <c r="EH1039" s="111"/>
      <c r="EI1039" s="111"/>
      <c r="EJ1039" s="111"/>
      <c r="EK1039" s="111"/>
      <c r="EL1039" s="111"/>
      <c r="EM1039" s="111"/>
      <c r="EN1039" s="111"/>
      <c r="EO1039" s="111"/>
      <c r="EP1039" s="111"/>
      <c r="EQ1039" s="111"/>
      <c r="ER1039" s="111"/>
      <c r="ES1039" s="111"/>
    </row>
    <row r="1040" spans="44:149">
      <c r="AR1040" s="29"/>
      <c r="AS1040" s="29"/>
      <c r="AT1040" s="29"/>
      <c r="AU1040" s="29"/>
      <c r="AV1040" s="29"/>
      <c r="AW1040" s="29"/>
      <c r="AX1040" s="29"/>
      <c r="AY1040" s="29"/>
      <c r="AZ1040" s="29"/>
      <c r="BA1040" s="29"/>
      <c r="BB1040" s="29"/>
      <c r="BC1040" s="29"/>
      <c r="BD1040" s="29"/>
      <c r="BE1040" s="29"/>
      <c r="BF1040" s="111"/>
      <c r="BG1040" s="111"/>
      <c r="BH1040" s="111"/>
      <c r="BI1040" s="111"/>
      <c r="BJ1040" s="111"/>
      <c r="BK1040" s="111"/>
      <c r="BL1040" s="111"/>
      <c r="BM1040" s="111"/>
      <c r="BN1040" s="111"/>
      <c r="BO1040" s="111"/>
      <c r="BP1040" s="111"/>
      <c r="BQ1040" s="111"/>
      <c r="BR1040" s="111"/>
      <c r="BS1040" s="111"/>
      <c r="DR1040" s="29"/>
      <c r="DS1040" s="29"/>
      <c r="DT1040" s="29"/>
      <c r="DU1040" s="29"/>
      <c r="DV1040" s="29"/>
      <c r="DW1040" s="29"/>
      <c r="DX1040" s="29"/>
      <c r="DY1040" s="29"/>
      <c r="DZ1040" s="29"/>
      <c r="EA1040" s="29"/>
      <c r="EB1040" s="29"/>
      <c r="EC1040" s="29"/>
      <c r="ED1040" s="29"/>
      <c r="EE1040" s="29"/>
      <c r="EF1040" s="111"/>
      <c r="EG1040" s="111"/>
      <c r="EH1040" s="111"/>
      <c r="EI1040" s="111"/>
      <c r="EJ1040" s="111"/>
      <c r="EK1040" s="111"/>
      <c r="EL1040" s="111"/>
      <c r="EM1040" s="111"/>
      <c r="EN1040" s="111"/>
      <c r="EO1040" s="111"/>
      <c r="EP1040" s="111"/>
      <c r="EQ1040" s="111"/>
      <c r="ER1040" s="111"/>
      <c r="ES1040" s="111"/>
    </row>
    <row r="1041" spans="44:149">
      <c r="AR1041" s="29"/>
      <c r="AS1041" s="29"/>
      <c r="AT1041" s="29"/>
      <c r="AU1041" s="29"/>
      <c r="AV1041" s="29"/>
      <c r="AW1041" s="29"/>
      <c r="AX1041" s="29"/>
      <c r="AY1041" s="29"/>
      <c r="AZ1041" s="29"/>
      <c r="BA1041" s="29"/>
      <c r="BB1041" s="29"/>
      <c r="BC1041" s="29"/>
      <c r="BD1041" s="29"/>
      <c r="BE1041" s="29"/>
      <c r="BF1041" s="111"/>
      <c r="BG1041" s="111"/>
      <c r="BH1041" s="111"/>
      <c r="BI1041" s="111"/>
      <c r="BJ1041" s="111"/>
      <c r="BK1041" s="111"/>
      <c r="BL1041" s="111"/>
      <c r="BM1041" s="111"/>
      <c r="BN1041" s="111"/>
      <c r="BO1041" s="111"/>
      <c r="BP1041" s="111"/>
      <c r="BQ1041" s="111"/>
      <c r="BR1041" s="111"/>
      <c r="BS1041" s="111"/>
      <c r="DR1041" s="29"/>
      <c r="DS1041" s="29"/>
      <c r="DT1041" s="29"/>
      <c r="DU1041" s="29"/>
      <c r="DV1041" s="29"/>
      <c r="DW1041" s="29"/>
      <c r="DX1041" s="29"/>
      <c r="DY1041" s="29"/>
      <c r="DZ1041" s="29"/>
      <c r="EA1041" s="29"/>
      <c r="EB1041" s="29"/>
      <c r="EC1041" s="29"/>
      <c r="ED1041" s="29"/>
      <c r="EE1041" s="29"/>
      <c r="EF1041" s="111"/>
      <c r="EG1041" s="111"/>
      <c r="EH1041" s="111"/>
      <c r="EI1041" s="111"/>
      <c r="EJ1041" s="111"/>
      <c r="EK1041" s="111"/>
      <c r="EL1041" s="111"/>
      <c r="EM1041" s="111"/>
      <c r="EN1041" s="111"/>
      <c r="EO1041" s="111"/>
      <c r="EP1041" s="111"/>
      <c r="EQ1041" s="111"/>
      <c r="ER1041" s="111"/>
      <c r="ES1041" s="111"/>
    </row>
    <row r="1042" spans="44:149">
      <c r="AR1042" s="29"/>
      <c r="AS1042" s="29"/>
      <c r="AT1042" s="29"/>
      <c r="AU1042" s="29"/>
      <c r="AV1042" s="29"/>
      <c r="AW1042" s="29"/>
      <c r="AX1042" s="29"/>
      <c r="AY1042" s="29"/>
      <c r="AZ1042" s="29"/>
      <c r="BA1042" s="29"/>
      <c r="BB1042" s="29"/>
      <c r="BC1042" s="29"/>
      <c r="BD1042" s="29"/>
      <c r="BE1042" s="29"/>
      <c r="BF1042" s="111"/>
      <c r="BG1042" s="111"/>
      <c r="BH1042" s="111"/>
      <c r="BI1042" s="111"/>
      <c r="BJ1042" s="111"/>
      <c r="BK1042" s="111"/>
      <c r="BL1042" s="111"/>
      <c r="BM1042" s="111"/>
      <c r="BN1042" s="111"/>
      <c r="BO1042" s="111"/>
      <c r="BP1042" s="111"/>
      <c r="BQ1042" s="111"/>
      <c r="BR1042" s="111"/>
      <c r="BS1042" s="111"/>
      <c r="DR1042" s="29"/>
      <c r="DS1042" s="29"/>
      <c r="DT1042" s="29"/>
      <c r="DU1042" s="29"/>
      <c r="DV1042" s="29"/>
      <c r="DW1042" s="29"/>
      <c r="DX1042" s="29"/>
      <c r="DY1042" s="29"/>
      <c r="DZ1042" s="29"/>
      <c r="EA1042" s="29"/>
      <c r="EB1042" s="29"/>
      <c r="EC1042" s="29"/>
      <c r="ED1042" s="29"/>
      <c r="EE1042" s="29"/>
      <c r="EF1042" s="111"/>
      <c r="EG1042" s="111"/>
      <c r="EH1042" s="111"/>
      <c r="EI1042" s="111"/>
      <c r="EJ1042" s="111"/>
      <c r="EK1042" s="111"/>
      <c r="EL1042" s="111"/>
      <c r="EM1042" s="111"/>
      <c r="EN1042" s="111"/>
      <c r="EO1042" s="111"/>
      <c r="EP1042" s="111"/>
      <c r="EQ1042" s="111"/>
      <c r="ER1042" s="111"/>
      <c r="ES1042" s="111"/>
    </row>
    <row r="1043" spans="44:149">
      <c r="AR1043" s="29"/>
      <c r="AS1043" s="29"/>
      <c r="AT1043" s="29"/>
      <c r="AU1043" s="29"/>
      <c r="AV1043" s="29"/>
      <c r="AW1043" s="29"/>
      <c r="AX1043" s="29"/>
      <c r="AY1043" s="29"/>
      <c r="AZ1043" s="29"/>
      <c r="BA1043" s="29"/>
      <c r="BB1043" s="29"/>
      <c r="BC1043" s="29"/>
      <c r="BD1043" s="29"/>
      <c r="BE1043" s="29"/>
      <c r="BF1043" s="111"/>
      <c r="BG1043" s="111"/>
      <c r="BH1043" s="111"/>
      <c r="BI1043" s="111"/>
      <c r="BJ1043" s="111"/>
      <c r="BK1043" s="111"/>
      <c r="BL1043" s="111"/>
      <c r="BM1043" s="111"/>
      <c r="BN1043" s="111"/>
      <c r="BO1043" s="111"/>
      <c r="BP1043" s="111"/>
      <c r="BQ1043" s="111"/>
      <c r="BR1043" s="111"/>
      <c r="BS1043" s="111"/>
      <c r="DR1043" s="29"/>
      <c r="DS1043" s="29"/>
      <c r="DT1043" s="29"/>
      <c r="DU1043" s="29"/>
      <c r="DV1043" s="29"/>
      <c r="DW1043" s="29"/>
      <c r="DX1043" s="29"/>
      <c r="DY1043" s="29"/>
      <c r="DZ1043" s="29"/>
      <c r="EA1043" s="29"/>
      <c r="EB1043" s="29"/>
      <c r="EC1043" s="29"/>
      <c r="ED1043" s="29"/>
      <c r="EE1043" s="29"/>
      <c r="EF1043" s="111"/>
      <c r="EG1043" s="111"/>
      <c r="EH1043" s="111"/>
      <c r="EI1043" s="111"/>
      <c r="EJ1043" s="111"/>
      <c r="EK1043" s="111"/>
      <c r="EL1043" s="111"/>
      <c r="EM1043" s="111"/>
      <c r="EN1043" s="111"/>
      <c r="EO1043" s="111"/>
      <c r="EP1043" s="111"/>
      <c r="EQ1043" s="111"/>
      <c r="ER1043" s="111"/>
      <c r="ES1043" s="111"/>
    </row>
    <row r="1044" spans="44:149">
      <c r="AR1044" s="29"/>
      <c r="AS1044" s="29"/>
      <c r="AT1044" s="29"/>
      <c r="AU1044" s="29"/>
      <c r="AV1044" s="29"/>
      <c r="AW1044" s="29"/>
      <c r="AX1044" s="29"/>
      <c r="AY1044" s="29"/>
      <c r="AZ1044" s="29"/>
      <c r="BA1044" s="29"/>
      <c r="BB1044" s="29"/>
      <c r="BC1044" s="29"/>
      <c r="BD1044" s="29"/>
      <c r="BE1044" s="29"/>
      <c r="BF1044" s="111"/>
      <c r="BG1044" s="111"/>
      <c r="BH1044" s="111"/>
      <c r="BI1044" s="111"/>
      <c r="BJ1044" s="111"/>
      <c r="BK1044" s="111"/>
      <c r="BL1044" s="111"/>
      <c r="BM1044" s="111"/>
      <c r="BN1044" s="111"/>
      <c r="BO1044" s="111"/>
      <c r="BP1044" s="111"/>
      <c r="BQ1044" s="111"/>
      <c r="BR1044" s="111"/>
      <c r="BS1044" s="111"/>
      <c r="DR1044" s="29"/>
      <c r="DS1044" s="29"/>
      <c r="DT1044" s="29"/>
      <c r="DU1044" s="29"/>
      <c r="DV1044" s="29"/>
      <c r="DW1044" s="29"/>
      <c r="DX1044" s="29"/>
      <c r="DY1044" s="29"/>
      <c r="DZ1044" s="29"/>
      <c r="EA1044" s="29"/>
      <c r="EB1044" s="29"/>
      <c r="EC1044" s="29"/>
      <c r="ED1044" s="29"/>
      <c r="EE1044" s="29"/>
      <c r="EF1044" s="111"/>
      <c r="EG1044" s="111"/>
      <c r="EH1044" s="111"/>
      <c r="EI1044" s="111"/>
      <c r="EJ1044" s="111"/>
      <c r="EK1044" s="111"/>
      <c r="EL1044" s="111"/>
      <c r="EM1044" s="111"/>
      <c r="EN1044" s="111"/>
      <c r="EO1044" s="111"/>
      <c r="EP1044" s="111"/>
      <c r="EQ1044" s="111"/>
      <c r="ER1044" s="111"/>
      <c r="ES1044" s="111"/>
    </row>
    <row r="1045" spans="44:149">
      <c r="AR1045" s="29"/>
      <c r="AS1045" s="29"/>
      <c r="AT1045" s="29"/>
      <c r="AU1045" s="29"/>
      <c r="AV1045" s="29"/>
      <c r="AW1045" s="29"/>
      <c r="AX1045" s="29"/>
      <c r="AY1045" s="29"/>
      <c r="AZ1045" s="29"/>
      <c r="BA1045" s="29"/>
      <c r="BB1045" s="29"/>
      <c r="BC1045" s="29"/>
      <c r="BD1045" s="29"/>
      <c r="BE1045" s="29"/>
      <c r="BF1045" s="111"/>
      <c r="BG1045" s="111"/>
      <c r="BH1045" s="111"/>
      <c r="BI1045" s="111"/>
      <c r="BJ1045" s="111"/>
      <c r="BK1045" s="111"/>
      <c r="BL1045" s="111"/>
      <c r="BM1045" s="111"/>
      <c r="BN1045" s="111"/>
      <c r="BO1045" s="111"/>
      <c r="BP1045" s="111"/>
      <c r="BQ1045" s="111"/>
      <c r="BR1045" s="111"/>
      <c r="BS1045" s="111"/>
      <c r="DR1045" s="29"/>
      <c r="DS1045" s="29"/>
      <c r="DT1045" s="29"/>
      <c r="DU1045" s="29"/>
      <c r="DV1045" s="29"/>
      <c r="DW1045" s="29"/>
      <c r="DX1045" s="29"/>
      <c r="DY1045" s="29"/>
      <c r="DZ1045" s="29"/>
      <c r="EA1045" s="29"/>
      <c r="EB1045" s="29"/>
      <c r="EC1045" s="29"/>
      <c r="ED1045" s="29"/>
      <c r="EE1045" s="29"/>
      <c r="EF1045" s="111"/>
      <c r="EG1045" s="111"/>
      <c r="EH1045" s="111"/>
      <c r="EI1045" s="111"/>
      <c r="EJ1045" s="111"/>
      <c r="EK1045" s="111"/>
      <c r="EL1045" s="111"/>
      <c r="EM1045" s="111"/>
      <c r="EN1045" s="111"/>
      <c r="EO1045" s="111"/>
      <c r="EP1045" s="111"/>
      <c r="EQ1045" s="111"/>
      <c r="ER1045" s="111"/>
      <c r="ES1045" s="111"/>
    </row>
    <row r="1046" spans="44:149">
      <c r="AR1046" s="29"/>
      <c r="AS1046" s="29"/>
      <c r="AT1046" s="29"/>
      <c r="AU1046" s="29"/>
      <c r="AV1046" s="29"/>
      <c r="AW1046" s="29"/>
      <c r="AX1046" s="29"/>
      <c r="AY1046" s="29"/>
      <c r="AZ1046" s="29"/>
      <c r="BA1046" s="29"/>
      <c r="BB1046" s="29"/>
      <c r="BC1046" s="29"/>
      <c r="BD1046" s="29"/>
      <c r="BE1046" s="29"/>
      <c r="BF1046" s="111"/>
      <c r="BG1046" s="111"/>
      <c r="BH1046" s="111"/>
      <c r="BI1046" s="111"/>
      <c r="BJ1046" s="111"/>
      <c r="BK1046" s="111"/>
      <c r="BL1046" s="111"/>
      <c r="BM1046" s="111"/>
      <c r="BN1046" s="111"/>
      <c r="BO1046" s="111"/>
      <c r="BP1046" s="111"/>
      <c r="BQ1046" s="111"/>
      <c r="BR1046" s="111"/>
      <c r="BS1046" s="111"/>
      <c r="DR1046" s="29"/>
      <c r="DS1046" s="29"/>
      <c r="DT1046" s="29"/>
      <c r="DU1046" s="29"/>
      <c r="DV1046" s="29"/>
      <c r="DW1046" s="29"/>
      <c r="DX1046" s="29"/>
      <c r="DY1046" s="29"/>
      <c r="DZ1046" s="29"/>
      <c r="EA1046" s="29"/>
      <c r="EB1046" s="29"/>
      <c r="EC1046" s="29"/>
      <c r="ED1046" s="29"/>
      <c r="EE1046" s="29"/>
      <c r="EF1046" s="111"/>
      <c r="EG1046" s="111"/>
      <c r="EH1046" s="111"/>
      <c r="EI1046" s="111"/>
      <c r="EJ1046" s="111"/>
      <c r="EK1046" s="111"/>
      <c r="EL1046" s="111"/>
      <c r="EM1046" s="111"/>
      <c r="EN1046" s="111"/>
      <c r="EO1046" s="111"/>
      <c r="EP1046" s="111"/>
      <c r="EQ1046" s="111"/>
      <c r="ER1046" s="111"/>
      <c r="ES1046" s="111"/>
    </row>
    <row r="1047" spans="44:149">
      <c r="AR1047" s="29"/>
      <c r="AS1047" s="29"/>
      <c r="AT1047" s="29"/>
      <c r="AU1047" s="29"/>
      <c r="AV1047" s="29"/>
      <c r="AW1047" s="29"/>
      <c r="AX1047" s="29"/>
      <c r="AY1047" s="29"/>
      <c r="AZ1047" s="29"/>
      <c r="BA1047" s="29"/>
      <c r="BB1047" s="29"/>
      <c r="BC1047" s="29"/>
      <c r="BD1047" s="29"/>
      <c r="BE1047" s="29"/>
      <c r="BF1047" s="111"/>
      <c r="BG1047" s="111"/>
      <c r="BH1047" s="111"/>
      <c r="BI1047" s="111"/>
      <c r="BJ1047" s="111"/>
      <c r="BK1047" s="111"/>
      <c r="BL1047" s="111"/>
      <c r="BM1047" s="111"/>
      <c r="BN1047" s="111"/>
      <c r="BO1047" s="111"/>
      <c r="BP1047" s="111"/>
      <c r="BQ1047" s="111"/>
      <c r="BR1047" s="111"/>
      <c r="BS1047" s="111"/>
      <c r="DR1047" s="29"/>
      <c r="DS1047" s="29"/>
      <c r="DT1047" s="29"/>
      <c r="DU1047" s="29"/>
      <c r="DV1047" s="29"/>
      <c r="DW1047" s="29"/>
      <c r="DX1047" s="29"/>
      <c r="DY1047" s="29"/>
      <c r="DZ1047" s="29"/>
      <c r="EA1047" s="29"/>
      <c r="EB1047" s="29"/>
      <c r="EC1047" s="29"/>
      <c r="ED1047" s="29"/>
      <c r="EE1047" s="29"/>
      <c r="EF1047" s="111"/>
      <c r="EG1047" s="111"/>
      <c r="EH1047" s="111"/>
      <c r="EI1047" s="111"/>
      <c r="EJ1047" s="111"/>
      <c r="EK1047" s="111"/>
      <c r="EL1047" s="111"/>
      <c r="EM1047" s="111"/>
      <c r="EN1047" s="111"/>
      <c r="EO1047" s="111"/>
      <c r="EP1047" s="111"/>
      <c r="EQ1047" s="111"/>
      <c r="ER1047" s="111"/>
      <c r="ES1047" s="111"/>
    </row>
    <row r="1048" spans="44:149">
      <c r="AR1048" s="29"/>
      <c r="AS1048" s="29"/>
      <c r="AT1048" s="29"/>
      <c r="AU1048" s="29"/>
      <c r="AV1048" s="29"/>
      <c r="AW1048" s="29"/>
      <c r="AX1048" s="29"/>
      <c r="AY1048" s="29"/>
      <c r="AZ1048" s="29"/>
      <c r="BA1048" s="29"/>
      <c r="BB1048" s="29"/>
      <c r="BC1048" s="29"/>
      <c r="BD1048" s="29"/>
      <c r="BE1048" s="29"/>
      <c r="BF1048" s="111"/>
      <c r="BG1048" s="111"/>
      <c r="BH1048" s="111"/>
      <c r="BI1048" s="111"/>
      <c r="BJ1048" s="111"/>
      <c r="BK1048" s="111"/>
      <c r="BL1048" s="111"/>
      <c r="BM1048" s="111"/>
      <c r="BN1048" s="111"/>
      <c r="BO1048" s="111"/>
      <c r="BP1048" s="111"/>
      <c r="BQ1048" s="111"/>
      <c r="BR1048" s="111"/>
      <c r="BS1048" s="111"/>
      <c r="DR1048" s="29"/>
      <c r="DS1048" s="29"/>
      <c r="DT1048" s="29"/>
      <c r="DU1048" s="29"/>
      <c r="DV1048" s="29"/>
      <c r="DW1048" s="29"/>
      <c r="DX1048" s="29"/>
      <c r="DY1048" s="29"/>
      <c r="DZ1048" s="29"/>
      <c r="EA1048" s="29"/>
      <c r="EB1048" s="29"/>
      <c r="EC1048" s="29"/>
      <c r="ED1048" s="29"/>
      <c r="EE1048" s="29"/>
      <c r="EF1048" s="111"/>
      <c r="EG1048" s="111"/>
      <c r="EH1048" s="111"/>
      <c r="EI1048" s="111"/>
      <c r="EJ1048" s="111"/>
      <c r="EK1048" s="111"/>
      <c r="EL1048" s="111"/>
      <c r="EM1048" s="111"/>
      <c r="EN1048" s="111"/>
      <c r="EO1048" s="111"/>
      <c r="EP1048" s="111"/>
      <c r="EQ1048" s="111"/>
      <c r="ER1048" s="111"/>
      <c r="ES1048" s="111"/>
    </row>
    <row r="1049" spans="44:149">
      <c r="AR1049" s="29"/>
      <c r="AS1049" s="29"/>
      <c r="AT1049" s="29"/>
      <c r="AU1049" s="29"/>
      <c r="AV1049" s="29"/>
      <c r="AW1049" s="29"/>
      <c r="AX1049" s="29"/>
      <c r="AY1049" s="29"/>
      <c r="AZ1049" s="29"/>
      <c r="BA1049" s="29"/>
      <c r="BB1049" s="29"/>
      <c r="BC1049" s="29"/>
      <c r="BD1049" s="29"/>
      <c r="BE1049" s="29"/>
      <c r="BF1049" s="111"/>
      <c r="BG1049" s="111"/>
      <c r="BH1049" s="111"/>
      <c r="BI1049" s="111"/>
      <c r="BJ1049" s="111"/>
      <c r="BK1049" s="111"/>
      <c r="BL1049" s="111"/>
      <c r="BM1049" s="111"/>
      <c r="BN1049" s="111"/>
      <c r="BO1049" s="111"/>
      <c r="BP1049" s="111"/>
      <c r="BQ1049" s="111"/>
      <c r="BR1049" s="111"/>
      <c r="BS1049" s="111"/>
      <c r="DR1049" s="29"/>
      <c r="DS1049" s="29"/>
      <c r="DT1049" s="29"/>
      <c r="DU1049" s="29"/>
      <c r="DV1049" s="29"/>
      <c r="DW1049" s="29"/>
      <c r="DX1049" s="29"/>
      <c r="DY1049" s="29"/>
      <c r="DZ1049" s="29"/>
      <c r="EA1049" s="29"/>
      <c r="EB1049" s="29"/>
      <c r="EC1049" s="29"/>
      <c r="ED1049" s="29"/>
      <c r="EE1049" s="29"/>
      <c r="EF1049" s="111"/>
      <c r="EG1049" s="111"/>
      <c r="EH1049" s="111"/>
      <c r="EI1049" s="111"/>
      <c r="EJ1049" s="111"/>
      <c r="EK1049" s="111"/>
      <c r="EL1049" s="111"/>
      <c r="EM1049" s="111"/>
      <c r="EN1049" s="111"/>
      <c r="EO1049" s="111"/>
      <c r="EP1049" s="111"/>
      <c r="EQ1049" s="111"/>
      <c r="ER1049" s="111"/>
      <c r="ES1049" s="111"/>
    </row>
    <row r="1050" spans="44:149">
      <c r="AR1050" s="29"/>
      <c r="AS1050" s="29"/>
      <c r="AT1050" s="29"/>
      <c r="AU1050" s="29"/>
      <c r="AV1050" s="29"/>
      <c r="AW1050" s="29"/>
      <c r="AX1050" s="29"/>
      <c r="AY1050" s="29"/>
      <c r="AZ1050" s="29"/>
      <c r="BA1050" s="29"/>
      <c r="BB1050" s="29"/>
      <c r="BC1050" s="29"/>
      <c r="BD1050" s="29"/>
      <c r="BE1050" s="29"/>
      <c r="BF1050" s="111"/>
      <c r="BG1050" s="111"/>
      <c r="BH1050" s="111"/>
      <c r="BI1050" s="111"/>
      <c r="BJ1050" s="111"/>
      <c r="BK1050" s="111"/>
      <c r="BL1050" s="111"/>
      <c r="BM1050" s="111"/>
      <c r="BN1050" s="111"/>
      <c r="BO1050" s="111"/>
      <c r="BP1050" s="111"/>
      <c r="BQ1050" s="111"/>
      <c r="BR1050" s="111"/>
      <c r="BS1050" s="111"/>
      <c r="DR1050" s="29"/>
      <c r="DS1050" s="29"/>
      <c r="DT1050" s="29"/>
      <c r="DU1050" s="29"/>
      <c r="DV1050" s="29"/>
      <c r="DW1050" s="29"/>
      <c r="DX1050" s="29"/>
      <c r="DY1050" s="29"/>
      <c r="DZ1050" s="29"/>
      <c r="EA1050" s="29"/>
      <c r="EB1050" s="29"/>
      <c r="EC1050" s="29"/>
      <c r="ED1050" s="29"/>
      <c r="EE1050" s="29"/>
      <c r="EF1050" s="111"/>
      <c r="EG1050" s="111"/>
      <c r="EH1050" s="111"/>
      <c r="EI1050" s="111"/>
      <c r="EJ1050" s="111"/>
      <c r="EK1050" s="111"/>
      <c r="EL1050" s="111"/>
      <c r="EM1050" s="111"/>
      <c r="EN1050" s="111"/>
      <c r="EO1050" s="111"/>
      <c r="EP1050" s="111"/>
      <c r="EQ1050" s="111"/>
      <c r="ER1050" s="111"/>
      <c r="ES1050" s="111"/>
    </row>
    <row r="1051" spans="44:149">
      <c r="AR1051" s="29"/>
      <c r="AS1051" s="29"/>
      <c r="AT1051" s="29"/>
      <c r="AU1051" s="29"/>
      <c r="AV1051" s="29"/>
      <c r="AW1051" s="29"/>
      <c r="AX1051" s="29"/>
      <c r="AY1051" s="29"/>
      <c r="AZ1051" s="29"/>
      <c r="BA1051" s="29"/>
      <c r="BB1051" s="29"/>
      <c r="BC1051" s="29"/>
      <c r="BD1051" s="29"/>
      <c r="BE1051" s="29"/>
      <c r="BF1051" s="111"/>
      <c r="BG1051" s="111"/>
      <c r="BH1051" s="111"/>
      <c r="BI1051" s="111"/>
      <c r="BJ1051" s="111"/>
      <c r="BK1051" s="111"/>
      <c r="BL1051" s="111"/>
      <c r="BM1051" s="111"/>
      <c r="BN1051" s="111"/>
      <c r="BO1051" s="111"/>
      <c r="BP1051" s="111"/>
      <c r="BQ1051" s="111"/>
      <c r="BR1051" s="111"/>
      <c r="BS1051" s="111"/>
      <c r="DR1051" s="29"/>
      <c r="DS1051" s="29"/>
      <c r="DT1051" s="29"/>
      <c r="DU1051" s="29"/>
      <c r="DV1051" s="29"/>
      <c r="DW1051" s="29"/>
      <c r="DX1051" s="29"/>
      <c r="DY1051" s="29"/>
      <c r="DZ1051" s="29"/>
      <c r="EA1051" s="29"/>
      <c r="EB1051" s="29"/>
      <c r="EC1051" s="29"/>
      <c r="ED1051" s="29"/>
      <c r="EE1051" s="29"/>
      <c r="EF1051" s="111"/>
      <c r="EG1051" s="111"/>
      <c r="EH1051" s="111"/>
      <c r="EI1051" s="111"/>
      <c r="EJ1051" s="111"/>
      <c r="EK1051" s="111"/>
      <c r="EL1051" s="111"/>
      <c r="EM1051" s="111"/>
      <c r="EN1051" s="111"/>
      <c r="EO1051" s="111"/>
      <c r="EP1051" s="111"/>
      <c r="EQ1051" s="111"/>
      <c r="ER1051" s="111"/>
      <c r="ES1051" s="111"/>
    </row>
    <row r="1052" spans="44:149">
      <c r="AR1052" s="29"/>
      <c r="AS1052" s="29"/>
      <c r="AT1052" s="29"/>
      <c r="AU1052" s="29"/>
      <c r="AV1052" s="29"/>
      <c r="AW1052" s="29"/>
      <c r="AX1052" s="29"/>
      <c r="AY1052" s="29"/>
      <c r="AZ1052" s="29"/>
      <c r="BA1052" s="29"/>
      <c r="BB1052" s="29"/>
      <c r="BC1052" s="29"/>
      <c r="BD1052" s="29"/>
      <c r="BE1052" s="29"/>
      <c r="BF1052" s="111"/>
      <c r="BG1052" s="111"/>
      <c r="BH1052" s="111"/>
      <c r="BI1052" s="111"/>
      <c r="BJ1052" s="111"/>
      <c r="BK1052" s="111"/>
      <c r="BL1052" s="111"/>
      <c r="BM1052" s="111"/>
      <c r="BN1052" s="111"/>
      <c r="BO1052" s="111"/>
      <c r="BP1052" s="111"/>
      <c r="BQ1052" s="111"/>
      <c r="BR1052" s="111"/>
      <c r="BS1052" s="111"/>
      <c r="DR1052" s="29"/>
      <c r="DS1052" s="29"/>
      <c r="DT1052" s="29"/>
      <c r="DU1052" s="29"/>
      <c r="DV1052" s="29"/>
      <c r="DW1052" s="29"/>
      <c r="DX1052" s="29"/>
      <c r="DY1052" s="29"/>
      <c r="DZ1052" s="29"/>
      <c r="EA1052" s="29"/>
      <c r="EB1052" s="29"/>
      <c r="EC1052" s="29"/>
      <c r="ED1052" s="29"/>
      <c r="EE1052" s="29"/>
      <c r="EF1052" s="111"/>
      <c r="EG1052" s="111"/>
      <c r="EH1052" s="111"/>
      <c r="EI1052" s="111"/>
      <c r="EJ1052" s="111"/>
      <c r="EK1052" s="111"/>
      <c r="EL1052" s="111"/>
      <c r="EM1052" s="111"/>
      <c r="EN1052" s="111"/>
      <c r="EO1052" s="111"/>
      <c r="EP1052" s="111"/>
      <c r="EQ1052" s="111"/>
      <c r="ER1052" s="111"/>
      <c r="ES1052" s="111"/>
    </row>
    <row r="1053" spans="44:149">
      <c r="AR1053" s="29"/>
      <c r="AS1053" s="29"/>
      <c r="AT1053" s="29"/>
      <c r="AU1053" s="29"/>
      <c r="AV1053" s="29"/>
      <c r="AW1053" s="29"/>
      <c r="AX1053" s="29"/>
      <c r="AY1053" s="29"/>
      <c r="AZ1053" s="29"/>
      <c r="BA1053" s="29"/>
      <c r="BB1053" s="29"/>
      <c r="BC1053" s="29"/>
      <c r="BD1053" s="29"/>
      <c r="BE1053" s="29"/>
      <c r="BF1053" s="111"/>
      <c r="BG1053" s="111"/>
      <c r="BH1053" s="111"/>
      <c r="BI1053" s="111"/>
      <c r="BJ1053" s="111"/>
      <c r="BK1053" s="111"/>
      <c r="BL1053" s="111"/>
      <c r="BM1053" s="111"/>
      <c r="BN1053" s="111"/>
      <c r="BO1053" s="111"/>
      <c r="BP1053" s="111"/>
      <c r="BQ1053" s="111"/>
      <c r="BR1053" s="111"/>
      <c r="BS1053" s="111"/>
      <c r="DR1053" s="29"/>
      <c r="DS1053" s="29"/>
      <c r="DT1053" s="29"/>
      <c r="DU1053" s="29"/>
      <c r="DV1053" s="29"/>
      <c r="DW1053" s="29"/>
      <c r="DX1053" s="29"/>
      <c r="DY1053" s="29"/>
      <c r="DZ1053" s="29"/>
      <c r="EA1053" s="29"/>
      <c r="EB1053" s="29"/>
      <c r="EC1053" s="29"/>
      <c r="ED1053" s="29"/>
      <c r="EE1053" s="29"/>
      <c r="EF1053" s="111"/>
      <c r="EG1053" s="111"/>
      <c r="EH1053" s="111"/>
      <c r="EI1053" s="111"/>
      <c r="EJ1053" s="111"/>
      <c r="EK1053" s="111"/>
      <c r="EL1053" s="111"/>
      <c r="EM1053" s="111"/>
      <c r="EN1053" s="111"/>
      <c r="EO1053" s="111"/>
      <c r="EP1053" s="111"/>
      <c r="EQ1053" s="111"/>
      <c r="ER1053" s="111"/>
      <c r="ES1053" s="111"/>
    </row>
    <row r="1054" spans="44:149">
      <c r="AR1054" s="29"/>
      <c r="AS1054" s="29"/>
      <c r="AT1054" s="29"/>
      <c r="AU1054" s="29"/>
      <c r="AV1054" s="29"/>
      <c r="AW1054" s="29"/>
      <c r="AX1054" s="29"/>
      <c r="AY1054" s="29"/>
      <c r="AZ1054" s="29"/>
      <c r="BA1054" s="29"/>
      <c r="BB1054" s="29"/>
      <c r="BC1054" s="29"/>
      <c r="BD1054" s="29"/>
      <c r="BE1054" s="29"/>
      <c r="BF1054" s="111"/>
      <c r="BG1054" s="111"/>
      <c r="BH1054" s="111"/>
      <c r="BI1054" s="111"/>
      <c r="BJ1054" s="111"/>
      <c r="BK1054" s="111"/>
      <c r="BL1054" s="111"/>
      <c r="BM1054" s="111"/>
      <c r="BN1054" s="111"/>
      <c r="BO1054" s="111"/>
      <c r="BP1054" s="111"/>
      <c r="BQ1054" s="111"/>
      <c r="BR1054" s="111"/>
      <c r="BS1054" s="111"/>
      <c r="DR1054" s="29"/>
      <c r="DS1054" s="29"/>
      <c r="DT1054" s="29"/>
      <c r="DU1054" s="29"/>
      <c r="DV1054" s="29"/>
      <c r="DW1054" s="29"/>
      <c r="DX1054" s="29"/>
      <c r="DY1054" s="29"/>
      <c r="DZ1054" s="29"/>
      <c r="EA1054" s="29"/>
      <c r="EB1054" s="29"/>
      <c r="EC1054" s="29"/>
      <c r="ED1054" s="29"/>
      <c r="EE1054" s="29"/>
      <c r="EF1054" s="111"/>
      <c r="EG1054" s="111"/>
      <c r="EH1054" s="111"/>
      <c r="EI1054" s="111"/>
      <c r="EJ1054" s="111"/>
      <c r="EK1054" s="111"/>
      <c r="EL1054" s="111"/>
      <c r="EM1054" s="111"/>
      <c r="EN1054" s="111"/>
      <c r="EO1054" s="111"/>
      <c r="EP1054" s="111"/>
      <c r="EQ1054" s="111"/>
      <c r="ER1054" s="111"/>
      <c r="ES1054" s="111"/>
    </row>
    <row r="1055" spans="44:149">
      <c r="AR1055" s="29"/>
      <c r="AS1055" s="29"/>
      <c r="AT1055" s="29"/>
      <c r="AU1055" s="29"/>
      <c r="AV1055" s="29"/>
      <c r="AW1055" s="29"/>
      <c r="AX1055" s="29"/>
      <c r="AY1055" s="29"/>
      <c r="AZ1055" s="29"/>
      <c r="BA1055" s="29"/>
      <c r="BB1055" s="29"/>
      <c r="BC1055" s="29"/>
      <c r="BD1055" s="29"/>
      <c r="BE1055" s="29"/>
      <c r="BF1055" s="111"/>
      <c r="BG1055" s="111"/>
      <c r="BH1055" s="111"/>
      <c r="BI1055" s="111"/>
      <c r="BJ1055" s="111"/>
      <c r="BK1055" s="111"/>
      <c r="BL1055" s="111"/>
      <c r="BM1055" s="111"/>
      <c r="BN1055" s="111"/>
      <c r="BO1055" s="111"/>
      <c r="BP1055" s="111"/>
      <c r="BQ1055" s="111"/>
      <c r="BR1055" s="111"/>
      <c r="BS1055" s="111"/>
      <c r="DR1055" s="29"/>
      <c r="DS1055" s="29"/>
      <c r="DT1055" s="29"/>
      <c r="DU1055" s="29"/>
      <c r="DV1055" s="29"/>
      <c r="DW1055" s="29"/>
      <c r="DX1055" s="29"/>
      <c r="DY1055" s="29"/>
      <c r="DZ1055" s="29"/>
      <c r="EA1055" s="29"/>
      <c r="EB1055" s="29"/>
      <c r="EC1055" s="29"/>
      <c r="ED1055" s="29"/>
      <c r="EE1055" s="29"/>
      <c r="EF1055" s="111"/>
      <c r="EG1055" s="111"/>
      <c r="EH1055" s="111"/>
      <c r="EI1055" s="111"/>
      <c r="EJ1055" s="111"/>
      <c r="EK1055" s="111"/>
      <c r="EL1055" s="111"/>
      <c r="EM1055" s="111"/>
      <c r="EN1055" s="111"/>
      <c r="EO1055" s="111"/>
      <c r="EP1055" s="111"/>
      <c r="EQ1055" s="111"/>
      <c r="ER1055" s="111"/>
      <c r="ES1055" s="111"/>
    </row>
    <row r="1056" spans="44:149">
      <c r="AR1056" s="29"/>
      <c r="AS1056" s="29"/>
      <c r="AT1056" s="29"/>
      <c r="AU1056" s="29"/>
      <c r="AV1056" s="29"/>
      <c r="AW1056" s="29"/>
      <c r="AX1056" s="29"/>
      <c r="AY1056" s="29"/>
      <c r="AZ1056" s="29"/>
      <c r="BA1056" s="29"/>
      <c r="BB1056" s="29"/>
      <c r="BC1056" s="29"/>
      <c r="BD1056" s="29"/>
      <c r="BE1056" s="29"/>
      <c r="BF1056" s="111"/>
      <c r="BG1056" s="111"/>
      <c r="BH1056" s="111"/>
      <c r="BI1056" s="111"/>
      <c r="BJ1056" s="111"/>
      <c r="BK1056" s="111"/>
      <c r="BL1056" s="111"/>
      <c r="BM1056" s="111"/>
      <c r="BN1056" s="111"/>
      <c r="BO1056" s="111"/>
      <c r="BP1056" s="111"/>
      <c r="BQ1056" s="111"/>
      <c r="BR1056" s="111"/>
      <c r="BS1056" s="111"/>
      <c r="DR1056" s="29"/>
      <c r="DS1056" s="29"/>
      <c r="DT1056" s="29"/>
      <c r="DU1056" s="29"/>
      <c r="DV1056" s="29"/>
      <c r="DW1056" s="29"/>
      <c r="DX1056" s="29"/>
      <c r="DY1056" s="29"/>
      <c r="DZ1056" s="29"/>
      <c r="EA1056" s="29"/>
      <c r="EB1056" s="29"/>
      <c r="EC1056" s="29"/>
      <c r="ED1056" s="29"/>
      <c r="EE1056" s="29"/>
      <c r="EF1056" s="111"/>
      <c r="EG1056" s="111"/>
      <c r="EH1056" s="111"/>
      <c r="EI1056" s="111"/>
      <c r="EJ1056" s="111"/>
      <c r="EK1056" s="111"/>
      <c r="EL1056" s="111"/>
      <c r="EM1056" s="111"/>
      <c r="EN1056" s="111"/>
      <c r="EO1056" s="111"/>
      <c r="EP1056" s="111"/>
      <c r="EQ1056" s="111"/>
      <c r="ER1056" s="111"/>
      <c r="ES1056" s="111"/>
    </row>
    <row r="1057" spans="44:149">
      <c r="AR1057" s="29"/>
      <c r="AS1057" s="29"/>
      <c r="AT1057" s="29"/>
      <c r="AU1057" s="29"/>
      <c r="AV1057" s="29"/>
      <c r="AW1057" s="29"/>
      <c r="AX1057" s="29"/>
      <c r="AY1057" s="29"/>
      <c r="AZ1057" s="29"/>
      <c r="BA1057" s="29"/>
      <c r="BB1057" s="29"/>
      <c r="BC1057" s="29"/>
      <c r="BD1057" s="29"/>
      <c r="BE1057" s="29"/>
      <c r="BF1057" s="111"/>
      <c r="BG1057" s="111"/>
      <c r="BH1057" s="111"/>
      <c r="BI1057" s="111"/>
      <c r="BJ1057" s="111"/>
      <c r="BK1057" s="111"/>
      <c r="BL1057" s="111"/>
      <c r="BM1057" s="111"/>
      <c r="BN1057" s="111"/>
      <c r="BO1057" s="111"/>
      <c r="BP1057" s="111"/>
      <c r="BQ1057" s="111"/>
      <c r="BR1057" s="111"/>
      <c r="BS1057" s="111"/>
      <c r="DR1057" s="29"/>
      <c r="DS1057" s="29"/>
      <c r="DT1057" s="29"/>
      <c r="DU1057" s="29"/>
      <c r="DV1057" s="29"/>
      <c r="DW1057" s="29"/>
      <c r="DX1057" s="29"/>
      <c r="DY1057" s="29"/>
      <c r="DZ1057" s="29"/>
      <c r="EA1057" s="29"/>
      <c r="EB1057" s="29"/>
      <c r="EC1057" s="29"/>
      <c r="ED1057" s="29"/>
      <c r="EE1057" s="29"/>
      <c r="EF1057" s="111"/>
      <c r="EG1057" s="111"/>
      <c r="EH1057" s="111"/>
      <c r="EI1057" s="111"/>
      <c r="EJ1057" s="111"/>
      <c r="EK1057" s="111"/>
      <c r="EL1057" s="111"/>
      <c r="EM1057" s="111"/>
      <c r="EN1057" s="111"/>
      <c r="EO1057" s="111"/>
      <c r="EP1057" s="111"/>
      <c r="EQ1057" s="111"/>
      <c r="ER1057" s="111"/>
      <c r="ES1057" s="111"/>
    </row>
    <row r="1058" spans="44:149">
      <c r="AR1058" s="29"/>
      <c r="AS1058" s="29"/>
      <c r="AT1058" s="29"/>
      <c r="AU1058" s="29"/>
      <c r="AV1058" s="29"/>
      <c r="AW1058" s="29"/>
      <c r="AX1058" s="29"/>
      <c r="AY1058" s="29"/>
      <c r="AZ1058" s="29"/>
      <c r="BA1058" s="29"/>
      <c r="BB1058" s="29"/>
      <c r="BC1058" s="29"/>
      <c r="BD1058" s="29"/>
      <c r="BE1058" s="29"/>
      <c r="BF1058" s="111"/>
      <c r="BG1058" s="111"/>
      <c r="BH1058" s="111"/>
      <c r="BI1058" s="111"/>
      <c r="BJ1058" s="111"/>
      <c r="BK1058" s="111"/>
      <c r="BL1058" s="111"/>
      <c r="BM1058" s="111"/>
      <c r="BN1058" s="111"/>
      <c r="BO1058" s="111"/>
      <c r="BP1058" s="111"/>
      <c r="BQ1058" s="111"/>
      <c r="BR1058" s="111"/>
      <c r="BS1058" s="111"/>
      <c r="DR1058" s="29"/>
      <c r="DS1058" s="29"/>
      <c r="DT1058" s="29"/>
      <c r="DU1058" s="29"/>
      <c r="DV1058" s="29"/>
      <c r="DW1058" s="29"/>
      <c r="DX1058" s="29"/>
      <c r="DY1058" s="29"/>
      <c r="DZ1058" s="29"/>
      <c r="EA1058" s="29"/>
      <c r="EB1058" s="29"/>
      <c r="EC1058" s="29"/>
      <c r="ED1058" s="29"/>
      <c r="EE1058" s="29"/>
      <c r="EF1058" s="111"/>
      <c r="EG1058" s="111"/>
      <c r="EH1058" s="111"/>
      <c r="EI1058" s="111"/>
      <c r="EJ1058" s="111"/>
      <c r="EK1058" s="111"/>
      <c r="EL1058" s="111"/>
      <c r="EM1058" s="111"/>
      <c r="EN1058" s="111"/>
      <c r="EO1058" s="111"/>
      <c r="EP1058" s="111"/>
      <c r="EQ1058" s="111"/>
      <c r="ER1058" s="111"/>
      <c r="ES1058" s="111"/>
    </row>
    <row r="1059" spans="44:149">
      <c r="AR1059" s="29"/>
      <c r="AS1059" s="29"/>
      <c r="AT1059" s="29"/>
      <c r="AU1059" s="29"/>
      <c r="AV1059" s="29"/>
      <c r="AW1059" s="29"/>
      <c r="AX1059" s="29"/>
      <c r="AY1059" s="29"/>
      <c r="AZ1059" s="29"/>
      <c r="BA1059" s="29"/>
      <c r="BB1059" s="29"/>
      <c r="BC1059" s="29"/>
      <c r="BD1059" s="29"/>
      <c r="BE1059" s="29"/>
      <c r="BF1059" s="111"/>
      <c r="BG1059" s="111"/>
      <c r="BH1059" s="111"/>
      <c r="BI1059" s="111"/>
      <c r="BJ1059" s="111"/>
      <c r="BK1059" s="111"/>
      <c r="BL1059" s="111"/>
      <c r="BM1059" s="111"/>
      <c r="BN1059" s="111"/>
      <c r="BO1059" s="111"/>
      <c r="BP1059" s="111"/>
      <c r="BQ1059" s="111"/>
      <c r="BR1059" s="111"/>
      <c r="BS1059" s="111"/>
      <c r="DR1059" s="29"/>
      <c r="DS1059" s="29"/>
      <c r="DT1059" s="29"/>
      <c r="DU1059" s="29"/>
      <c r="DV1059" s="29"/>
      <c r="DW1059" s="29"/>
      <c r="DX1059" s="29"/>
      <c r="DY1059" s="29"/>
      <c r="DZ1059" s="29"/>
      <c r="EA1059" s="29"/>
      <c r="EB1059" s="29"/>
      <c r="EC1059" s="29"/>
      <c r="ED1059" s="29"/>
      <c r="EE1059" s="29"/>
      <c r="EF1059" s="111"/>
      <c r="EG1059" s="111"/>
      <c r="EH1059" s="111"/>
      <c r="EI1059" s="111"/>
      <c r="EJ1059" s="111"/>
      <c r="EK1059" s="111"/>
      <c r="EL1059" s="111"/>
      <c r="EM1059" s="111"/>
      <c r="EN1059" s="111"/>
      <c r="EO1059" s="111"/>
      <c r="EP1059" s="111"/>
      <c r="EQ1059" s="111"/>
      <c r="ER1059" s="111"/>
      <c r="ES1059" s="111"/>
    </row>
    <row r="1060" spans="44:149">
      <c r="AR1060" s="29"/>
      <c r="AS1060" s="29"/>
      <c r="AT1060" s="29"/>
      <c r="AU1060" s="29"/>
      <c r="AV1060" s="29"/>
      <c r="AW1060" s="29"/>
      <c r="AX1060" s="29"/>
      <c r="AY1060" s="29"/>
      <c r="AZ1060" s="29"/>
      <c r="BA1060" s="29"/>
      <c r="BB1060" s="29"/>
      <c r="BC1060" s="29"/>
      <c r="BD1060" s="29"/>
      <c r="BE1060" s="29"/>
      <c r="BF1060" s="111"/>
      <c r="BG1060" s="111"/>
      <c r="BH1060" s="111"/>
      <c r="BI1060" s="111"/>
      <c r="BJ1060" s="111"/>
      <c r="BK1060" s="111"/>
      <c r="BL1060" s="111"/>
      <c r="BM1060" s="111"/>
      <c r="BN1060" s="111"/>
      <c r="BO1060" s="111"/>
      <c r="BP1060" s="111"/>
      <c r="BQ1060" s="111"/>
      <c r="BR1060" s="111"/>
      <c r="BS1060" s="111"/>
      <c r="DR1060" s="29"/>
      <c r="DS1060" s="29"/>
      <c r="DT1060" s="29"/>
      <c r="DU1060" s="29"/>
      <c r="DV1060" s="29"/>
      <c r="DW1060" s="29"/>
      <c r="DX1060" s="29"/>
      <c r="DY1060" s="29"/>
      <c r="DZ1060" s="29"/>
      <c r="EA1060" s="29"/>
      <c r="EB1060" s="29"/>
      <c r="EC1060" s="29"/>
      <c r="ED1060" s="29"/>
      <c r="EE1060" s="29"/>
      <c r="EF1060" s="111"/>
      <c r="EG1060" s="111"/>
      <c r="EH1060" s="111"/>
      <c r="EI1060" s="111"/>
      <c r="EJ1060" s="111"/>
      <c r="EK1060" s="111"/>
      <c r="EL1060" s="111"/>
      <c r="EM1060" s="111"/>
      <c r="EN1060" s="111"/>
      <c r="EO1060" s="111"/>
      <c r="EP1060" s="111"/>
      <c r="EQ1060" s="111"/>
      <c r="ER1060" s="111"/>
      <c r="ES1060" s="111"/>
    </row>
    <row r="1061" spans="44:149">
      <c r="AR1061" s="29"/>
      <c r="AS1061" s="29"/>
      <c r="AT1061" s="29"/>
      <c r="AU1061" s="29"/>
      <c r="AV1061" s="29"/>
      <c r="AW1061" s="29"/>
      <c r="AX1061" s="29"/>
      <c r="AY1061" s="29"/>
      <c r="AZ1061" s="29"/>
      <c r="BA1061" s="29"/>
      <c r="BB1061" s="29"/>
      <c r="BC1061" s="29"/>
      <c r="BD1061" s="29"/>
      <c r="BE1061" s="29"/>
      <c r="BF1061" s="111"/>
      <c r="BG1061" s="111"/>
      <c r="BH1061" s="111"/>
      <c r="BI1061" s="111"/>
      <c r="BJ1061" s="111"/>
      <c r="BK1061" s="111"/>
      <c r="BL1061" s="111"/>
      <c r="BM1061" s="111"/>
      <c r="BN1061" s="111"/>
      <c r="BO1061" s="111"/>
      <c r="BP1061" s="111"/>
      <c r="BQ1061" s="111"/>
      <c r="BR1061" s="111"/>
      <c r="BS1061" s="111"/>
      <c r="DR1061" s="29"/>
      <c r="DS1061" s="29"/>
      <c r="DT1061" s="29"/>
      <c r="DU1061" s="29"/>
      <c r="DV1061" s="29"/>
      <c r="DW1061" s="29"/>
      <c r="DX1061" s="29"/>
      <c r="DY1061" s="29"/>
      <c r="DZ1061" s="29"/>
      <c r="EA1061" s="29"/>
      <c r="EB1061" s="29"/>
      <c r="EC1061" s="29"/>
      <c r="ED1061" s="29"/>
      <c r="EE1061" s="29"/>
      <c r="EF1061" s="111"/>
      <c r="EG1061" s="111"/>
      <c r="EH1061" s="111"/>
      <c r="EI1061" s="111"/>
      <c r="EJ1061" s="111"/>
      <c r="EK1061" s="111"/>
      <c r="EL1061" s="111"/>
      <c r="EM1061" s="111"/>
      <c r="EN1061" s="111"/>
      <c r="EO1061" s="111"/>
      <c r="EP1061" s="111"/>
      <c r="EQ1061" s="111"/>
      <c r="ER1061" s="111"/>
      <c r="ES1061" s="111"/>
    </row>
    <row r="1062" spans="44:149">
      <c r="AR1062" s="29"/>
      <c r="AS1062" s="29"/>
      <c r="AT1062" s="29"/>
      <c r="AU1062" s="29"/>
      <c r="AV1062" s="29"/>
      <c r="AW1062" s="29"/>
      <c r="AX1062" s="29"/>
      <c r="AY1062" s="29"/>
      <c r="AZ1062" s="29"/>
      <c r="BA1062" s="29"/>
      <c r="BB1062" s="29"/>
      <c r="BC1062" s="29"/>
      <c r="BD1062" s="29"/>
      <c r="BE1062" s="29"/>
      <c r="BF1062" s="111"/>
      <c r="BG1062" s="111"/>
      <c r="BH1062" s="111"/>
      <c r="BI1062" s="111"/>
      <c r="BJ1062" s="111"/>
      <c r="BK1062" s="111"/>
      <c r="BL1062" s="111"/>
      <c r="BM1062" s="111"/>
      <c r="BN1062" s="111"/>
      <c r="BO1062" s="111"/>
      <c r="BP1062" s="111"/>
      <c r="BQ1062" s="111"/>
      <c r="BR1062" s="111"/>
      <c r="BS1062" s="111"/>
      <c r="DR1062" s="29"/>
      <c r="DS1062" s="29"/>
      <c r="DT1062" s="29"/>
      <c r="DU1062" s="29"/>
      <c r="DV1062" s="29"/>
      <c r="DW1062" s="29"/>
      <c r="DX1062" s="29"/>
      <c r="DY1062" s="29"/>
      <c r="DZ1062" s="29"/>
      <c r="EA1062" s="29"/>
      <c r="EB1062" s="29"/>
      <c r="EC1062" s="29"/>
      <c r="ED1062" s="29"/>
      <c r="EE1062" s="29"/>
      <c r="EF1062" s="111"/>
      <c r="EG1062" s="111"/>
      <c r="EH1062" s="111"/>
      <c r="EI1062" s="111"/>
      <c r="EJ1062" s="111"/>
      <c r="EK1062" s="111"/>
      <c r="EL1062" s="111"/>
      <c r="EM1062" s="111"/>
      <c r="EN1062" s="111"/>
      <c r="EO1062" s="111"/>
      <c r="EP1062" s="111"/>
      <c r="EQ1062" s="111"/>
      <c r="ER1062" s="111"/>
      <c r="ES1062" s="111"/>
    </row>
    <row r="1063" spans="44:149">
      <c r="AR1063" s="29"/>
      <c r="AS1063" s="29"/>
      <c r="AT1063" s="29"/>
      <c r="AU1063" s="29"/>
      <c r="AV1063" s="29"/>
      <c r="AW1063" s="29"/>
      <c r="AX1063" s="29"/>
      <c r="AY1063" s="29"/>
      <c r="AZ1063" s="29"/>
      <c r="BA1063" s="29"/>
      <c r="BB1063" s="29"/>
      <c r="BC1063" s="29"/>
      <c r="BD1063" s="29"/>
      <c r="BE1063" s="29"/>
      <c r="BF1063" s="111"/>
      <c r="BG1063" s="111"/>
      <c r="BH1063" s="111"/>
      <c r="BI1063" s="111"/>
      <c r="BJ1063" s="111"/>
      <c r="BK1063" s="111"/>
      <c r="BL1063" s="111"/>
      <c r="BM1063" s="111"/>
      <c r="BN1063" s="111"/>
      <c r="BO1063" s="111"/>
      <c r="BP1063" s="111"/>
      <c r="BQ1063" s="111"/>
      <c r="BR1063" s="111"/>
      <c r="BS1063" s="111"/>
      <c r="DR1063" s="29"/>
      <c r="DS1063" s="29"/>
      <c r="DT1063" s="29"/>
      <c r="DU1063" s="29"/>
      <c r="DV1063" s="29"/>
      <c r="DW1063" s="29"/>
      <c r="DX1063" s="29"/>
      <c r="DY1063" s="29"/>
      <c r="DZ1063" s="29"/>
      <c r="EA1063" s="29"/>
      <c r="EB1063" s="29"/>
      <c r="EC1063" s="29"/>
      <c r="ED1063" s="29"/>
      <c r="EE1063" s="29"/>
      <c r="EF1063" s="111"/>
      <c r="EG1063" s="111"/>
      <c r="EH1063" s="111"/>
      <c r="EI1063" s="111"/>
      <c r="EJ1063" s="111"/>
      <c r="EK1063" s="111"/>
      <c r="EL1063" s="111"/>
      <c r="EM1063" s="111"/>
      <c r="EN1063" s="111"/>
      <c r="EO1063" s="111"/>
      <c r="EP1063" s="111"/>
      <c r="EQ1063" s="111"/>
      <c r="ER1063" s="111"/>
      <c r="ES1063" s="111"/>
    </row>
    <row r="1064" spans="44:149">
      <c r="AR1064" s="29"/>
      <c r="AS1064" s="29"/>
      <c r="AT1064" s="29"/>
      <c r="AU1064" s="29"/>
      <c r="AV1064" s="29"/>
      <c r="AW1064" s="29"/>
      <c r="AX1064" s="29"/>
      <c r="AY1064" s="29"/>
      <c r="AZ1064" s="29"/>
      <c r="BA1064" s="29"/>
      <c r="BB1064" s="29"/>
      <c r="BC1064" s="29"/>
      <c r="BD1064" s="29"/>
      <c r="BE1064" s="29"/>
      <c r="BF1064" s="111"/>
      <c r="BG1064" s="111"/>
      <c r="BH1064" s="111"/>
      <c r="BI1064" s="111"/>
      <c r="BJ1064" s="111"/>
      <c r="BK1064" s="111"/>
      <c r="BL1064" s="111"/>
      <c r="BM1064" s="111"/>
      <c r="BN1064" s="111"/>
      <c r="BO1064" s="111"/>
      <c r="BP1064" s="111"/>
      <c r="BQ1064" s="111"/>
      <c r="BR1064" s="111"/>
      <c r="BS1064" s="111"/>
      <c r="DR1064" s="29"/>
      <c r="DS1064" s="29"/>
      <c r="DT1064" s="29"/>
      <c r="DU1064" s="29"/>
      <c r="DV1064" s="29"/>
      <c r="DW1064" s="29"/>
      <c r="DX1064" s="29"/>
      <c r="DY1064" s="29"/>
      <c r="DZ1064" s="29"/>
      <c r="EA1064" s="29"/>
      <c r="EB1064" s="29"/>
      <c r="EC1064" s="29"/>
      <c r="ED1064" s="29"/>
      <c r="EE1064" s="29"/>
      <c r="EF1064" s="111"/>
      <c r="EG1064" s="111"/>
      <c r="EH1064" s="111"/>
      <c r="EI1064" s="111"/>
      <c r="EJ1064" s="111"/>
      <c r="EK1064" s="111"/>
      <c r="EL1064" s="111"/>
      <c r="EM1064" s="111"/>
      <c r="EN1064" s="111"/>
      <c r="EO1064" s="111"/>
      <c r="EP1064" s="111"/>
      <c r="EQ1064" s="111"/>
      <c r="ER1064" s="111"/>
      <c r="ES1064" s="111"/>
    </row>
    <row r="1065" spans="44:149">
      <c r="AR1065" s="29"/>
      <c r="AS1065" s="29"/>
      <c r="AT1065" s="29"/>
      <c r="AU1065" s="29"/>
      <c r="AV1065" s="29"/>
      <c r="AW1065" s="29"/>
      <c r="AX1065" s="29"/>
      <c r="AY1065" s="29"/>
      <c r="AZ1065" s="29"/>
      <c r="BA1065" s="29"/>
      <c r="BB1065" s="29"/>
      <c r="BC1065" s="29"/>
      <c r="BD1065" s="29"/>
      <c r="BE1065" s="29"/>
      <c r="BF1065" s="111"/>
      <c r="BG1065" s="111"/>
      <c r="BH1065" s="111"/>
      <c r="BI1065" s="111"/>
      <c r="BJ1065" s="111"/>
      <c r="BK1065" s="111"/>
      <c r="BL1065" s="111"/>
      <c r="BM1065" s="111"/>
      <c r="BN1065" s="111"/>
      <c r="BO1065" s="111"/>
      <c r="BP1065" s="111"/>
      <c r="BQ1065" s="111"/>
      <c r="BR1065" s="111"/>
      <c r="BS1065" s="111"/>
      <c r="DR1065" s="29"/>
      <c r="DS1065" s="29"/>
      <c r="DT1065" s="29"/>
      <c r="DU1065" s="29"/>
      <c r="DV1065" s="29"/>
      <c r="DW1065" s="29"/>
      <c r="DX1065" s="29"/>
      <c r="DY1065" s="29"/>
      <c r="DZ1065" s="29"/>
      <c r="EA1065" s="29"/>
      <c r="EB1065" s="29"/>
      <c r="EC1065" s="29"/>
      <c r="ED1065" s="29"/>
      <c r="EE1065" s="29"/>
      <c r="EF1065" s="111"/>
      <c r="EG1065" s="111"/>
      <c r="EH1065" s="111"/>
      <c r="EI1065" s="111"/>
      <c r="EJ1065" s="111"/>
      <c r="EK1065" s="111"/>
      <c r="EL1065" s="111"/>
      <c r="EM1065" s="111"/>
      <c r="EN1065" s="111"/>
      <c r="EO1065" s="111"/>
      <c r="EP1065" s="111"/>
      <c r="EQ1065" s="111"/>
      <c r="ER1065" s="111"/>
      <c r="ES1065" s="111"/>
    </row>
    <row r="1066" spans="44:149">
      <c r="AR1066" s="29"/>
      <c r="AS1066" s="29"/>
      <c r="AT1066" s="29"/>
      <c r="AU1066" s="29"/>
      <c r="AV1066" s="29"/>
      <c r="AW1066" s="29"/>
      <c r="AX1066" s="29"/>
      <c r="AY1066" s="29"/>
      <c r="AZ1066" s="29"/>
      <c r="BA1066" s="29"/>
      <c r="BB1066" s="29"/>
      <c r="BC1066" s="29"/>
      <c r="BD1066" s="29"/>
      <c r="BE1066" s="29"/>
      <c r="BF1066" s="111"/>
      <c r="BG1066" s="111"/>
      <c r="BH1066" s="111"/>
      <c r="BI1066" s="111"/>
      <c r="BJ1066" s="111"/>
      <c r="BK1066" s="111"/>
      <c r="BL1066" s="111"/>
      <c r="BM1066" s="111"/>
      <c r="BN1066" s="111"/>
      <c r="BO1066" s="111"/>
      <c r="BP1066" s="111"/>
      <c r="BQ1066" s="111"/>
      <c r="BR1066" s="111"/>
      <c r="BS1066" s="111"/>
      <c r="DR1066" s="29"/>
      <c r="DS1066" s="29"/>
      <c r="DT1066" s="29"/>
      <c r="DU1066" s="29"/>
      <c r="DV1066" s="29"/>
      <c r="DW1066" s="29"/>
      <c r="DX1066" s="29"/>
      <c r="DY1066" s="29"/>
      <c r="DZ1066" s="29"/>
      <c r="EA1066" s="29"/>
      <c r="EB1066" s="29"/>
      <c r="EC1066" s="29"/>
      <c r="ED1066" s="29"/>
      <c r="EE1066" s="29"/>
      <c r="EF1066" s="111"/>
      <c r="EG1066" s="111"/>
      <c r="EH1066" s="111"/>
      <c r="EI1066" s="111"/>
      <c r="EJ1066" s="111"/>
      <c r="EK1066" s="111"/>
      <c r="EL1066" s="111"/>
      <c r="EM1066" s="111"/>
      <c r="EN1066" s="111"/>
      <c r="EO1066" s="111"/>
      <c r="EP1066" s="111"/>
      <c r="EQ1066" s="111"/>
      <c r="ER1066" s="111"/>
      <c r="ES1066" s="111"/>
    </row>
    <row r="1067" spans="44:149">
      <c r="AR1067" s="29"/>
      <c r="AS1067" s="29"/>
      <c r="AT1067" s="29"/>
      <c r="AU1067" s="29"/>
      <c r="AV1067" s="29"/>
      <c r="AW1067" s="29"/>
      <c r="AX1067" s="29"/>
      <c r="AY1067" s="29"/>
      <c r="AZ1067" s="29"/>
      <c r="BA1067" s="29"/>
      <c r="BB1067" s="29"/>
      <c r="BC1067" s="29"/>
      <c r="BD1067" s="29"/>
      <c r="BE1067" s="29"/>
      <c r="BF1067" s="111"/>
      <c r="BG1067" s="111"/>
      <c r="BH1067" s="111"/>
      <c r="BI1067" s="111"/>
      <c r="BJ1067" s="111"/>
      <c r="BK1067" s="111"/>
      <c r="BL1067" s="111"/>
      <c r="BM1067" s="111"/>
      <c r="BN1067" s="111"/>
      <c r="BO1067" s="111"/>
      <c r="BP1067" s="111"/>
      <c r="BQ1067" s="111"/>
      <c r="BR1067" s="111"/>
      <c r="BS1067" s="111"/>
      <c r="DR1067" s="29"/>
      <c r="DS1067" s="29"/>
      <c r="DT1067" s="29"/>
      <c r="DU1067" s="29"/>
      <c r="DV1067" s="29"/>
      <c r="DW1067" s="29"/>
      <c r="DX1067" s="29"/>
      <c r="DY1067" s="29"/>
      <c r="DZ1067" s="29"/>
      <c r="EA1067" s="29"/>
      <c r="EB1067" s="29"/>
      <c r="EC1067" s="29"/>
      <c r="ED1067" s="29"/>
      <c r="EE1067" s="29"/>
      <c r="EF1067" s="111"/>
      <c r="EG1067" s="111"/>
      <c r="EH1067" s="111"/>
      <c r="EI1067" s="111"/>
      <c r="EJ1067" s="111"/>
      <c r="EK1067" s="111"/>
      <c r="EL1067" s="111"/>
      <c r="EM1067" s="111"/>
      <c r="EN1067" s="111"/>
      <c r="EO1067" s="111"/>
      <c r="EP1067" s="111"/>
      <c r="EQ1067" s="111"/>
      <c r="ER1067" s="111"/>
      <c r="ES1067" s="111"/>
    </row>
    <row r="1068" spans="44:149">
      <c r="AR1068" s="29"/>
      <c r="AS1068" s="29"/>
      <c r="AT1068" s="29"/>
      <c r="AU1068" s="29"/>
      <c r="AV1068" s="29"/>
      <c r="AW1068" s="29"/>
      <c r="AX1068" s="29"/>
      <c r="AY1068" s="29"/>
      <c r="AZ1068" s="29"/>
      <c r="BA1068" s="29"/>
      <c r="BB1068" s="29"/>
      <c r="BC1068" s="29"/>
      <c r="BD1068" s="29"/>
      <c r="BE1068" s="29"/>
      <c r="BF1068" s="111"/>
      <c r="BG1068" s="111"/>
      <c r="BH1068" s="111"/>
      <c r="BI1068" s="111"/>
      <c r="BJ1068" s="111"/>
      <c r="BK1068" s="111"/>
      <c r="BL1068" s="111"/>
      <c r="BM1068" s="111"/>
      <c r="BN1068" s="111"/>
      <c r="BO1068" s="111"/>
      <c r="BP1068" s="111"/>
      <c r="BQ1068" s="111"/>
      <c r="BR1068" s="111"/>
      <c r="BS1068" s="111"/>
      <c r="DR1068" s="29"/>
      <c r="DS1068" s="29"/>
      <c r="DT1068" s="29"/>
      <c r="DU1068" s="29"/>
      <c r="DV1068" s="29"/>
      <c r="DW1068" s="29"/>
      <c r="DX1068" s="29"/>
      <c r="DY1068" s="29"/>
      <c r="DZ1068" s="29"/>
      <c r="EA1068" s="29"/>
      <c r="EB1068" s="29"/>
      <c r="EC1068" s="29"/>
      <c r="ED1068" s="29"/>
      <c r="EE1068" s="29"/>
      <c r="EF1068" s="111"/>
      <c r="EG1068" s="111"/>
      <c r="EH1068" s="111"/>
      <c r="EI1068" s="111"/>
      <c r="EJ1068" s="111"/>
      <c r="EK1068" s="111"/>
      <c r="EL1068" s="111"/>
      <c r="EM1068" s="111"/>
      <c r="EN1068" s="111"/>
      <c r="EO1068" s="111"/>
      <c r="EP1068" s="111"/>
      <c r="EQ1068" s="111"/>
      <c r="ER1068" s="111"/>
      <c r="ES1068" s="111"/>
    </row>
    <row r="1069" spans="44:149">
      <c r="AR1069" s="29"/>
      <c r="AS1069" s="29"/>
      <c r="AT1069" s="29"/>
      <c r="AU1069" s="29"/>
      <c r="AV1069" s="29"/>
      <c r="AW1069" s="29"/>
      <c r="AX1069" s="29"/>
      <c r="AY1069" s="29"/>
      <c r="AZ1069" s="29"/>
      <c r="BA1069" s="29"/>
      <c r="BB1069" s="29"/>
      <c r="BC1069" s="29"/>
      <c r="BD1069" s="29"/>
      <c r="BE1069" s="29"/>
      <c r="BF1069" s="111"/>
      <c r="BG1069" s="111"/>
      <c r="BH1069" s="111"/>
      <c r="BI1069" s="111"/>
      <c r="BJ1069" s="111"/>
      <c r="BK1069" s="111"/>
      <c r="BL1069" s="111"/>
      <c r="BM1069" s="111"/>
      <c r="BN1069" s="111"/>
      <c r="BO1069" s="111"/>
      <c r="BP1069" s="111"/>
      <c r="BQ1069" s="111"/>
      <c r="BR1069" s="111"/>
      <c r="BS1069" s="111"/>
      <c r="DR1069" s="29"/>
      <c r="DS1069" s="29"/>
      <c r="DT1069" s="29"/>
      <c r="DU1069" s="29"/>
      <c r="DV1069" s="29"/>
      <c r="DW1069" s="29"/>
      <c r="DX1069" s="29"/>
      <c r="DY1069" s="29"/>
      <c r="DZ1069" s="29"/>
      <c r="EA1069" s="29"/>
      <c r="EB1069" s="29"/>
      <c r="EC1069" s="29"/>
      <c r="ED1069" s="29"/>
      <c r="EE1069" s="29"/>
      <c r="EF1069" s="111"/>
      <c r="EG1069" s="111"/>
      <c r="EH1069" s="111"/>
      <c r="EI1069" s="111"/>
      <c r="EJ1069" s="111"/>
      <c r="EK1069" s="111"/>
      <c r="EL1069" s="111"/>
      <c r="EM1069" s="111"/>
      <c r="EN1069" s="111"/>
      <c r="EO1069" s="111"/>
      <c r="EP1069" s="111"/>
      <c r="EQ1069" s="111"/>
      <c r="ER1069" s="111"/>
      <c r="ES1069" s="111"/>
    </row>
    <row r="1070" spans="44:149">
      <c r="AR1070" s="29"/>
      <c r="AS1070" s="29"/>
      <c r="AT1070" s="29"/>
      <c r="AU1070" s="29"/>
      <c r="AV1070" s="29"/>
      <c r="AW1070" s="29"/>
      <c r="AX1070" s="29"/>
      <c r="AY1070" s="29"/>
      <c r="AZ1070" s="29"/>
      <c r="BA1070" s="29"/>
      <c r="BB1070" s="29"/>
      <c r="BC1070" s="29"/>
      <c r="BD1070" s="29"/>
      <c r="BE1070" s="29"/>
      <c r="BF1070" s="111"/>
      <c r="BG1070" s="111"/>
      <c r="BH1070" s="111"/>
      <c r="BI1070" s="111"/>
      <c r="BJ1070" s="111"/>
      <c r="BK1070" s="111"/>
      <c r="BL1070" s="111"/>
      <c r="BM1070" s="111"/>
      <c r="BN1070" s="111"/>
      <c r="BO1070" s="111"/>
      <c r="BP1070" s="111"/>
      <c r="BQ1070" s="111"/>
      <c r="BR1070" s="111"/>
      <c r="BS1070" s="111"/>
      <c r="DR1070" s="29"/>
      <c r="DS1070" s="29"/>
      <c r="DT1070" s="29"/>
      <c r="DU1070" s="29"/>
      <c r="DV1070" s="29"/>
      <c r="DW1070" s="29"/>
      <c r="DX1070" s="29"/>
      <c r="DY1070" s="29"/>
      <c r="DZ1070" s="29"/>
      <c r="EA1070" s="29"/>
      <c r="EB1070" s="29"/>
      <c r="EC1070" s="29"/>
      <c r="ED1070" s="29"/>
      <c r="EE1070" s="29"/>
      <c r="EF1070" s="111"/>
      <c r="EG1070" s="111"/>
      <c r="EH1070" s="111"/>
      <c r="EI1070" s="111"/>
      <c r="EJ1070" s="111"/>
      <c r="EK1070" s="111"/>
      <c r="EL1070" s="111"/>
      <c r="EM1070" s="111"/>
      <c r="EN1070" s="111"/>
      <c r="EO1070" s="111"/>
      <c r="EP1070" s="111"/>
      <c r="EQ1070" s="111"/>
      <c r="ER1070" s="111"/>
      <c r="ES1070" s="111"/>
    </row>
    <row r="1071" spans="44:149">
      <c r="AR1071" s="29"/>
      <c r="AS1071" s="29"/>
      <c r="AT1071" s="29"/>
      <c r="AU1071" s="29"/>
      <c r="AV1071" s="29"/>
      <c r="AW1071" s="29"/>
      <c r="AX1071" s="29"/>
      <c r="AY1071" s="29"/>
      <c r="AZ1071" s="29"/>
      <c r="BA1071" s="29"/>
      <c r="BB1071" s="29"/>
      <c r="BC1071" s="29"/>
      <c r="BD1071" s="29"/>
      <c r="BE1071" s="29"/>
      <c r="BF1071" s="111"/>
      <c r="BG1071" s="111"/>
      <c r="BH1071" s="111"/>
      <c r="BI1071" s="111"/>
      <c r="BJ1071" s="111"/>
      <c r="BK1071" s="111"/>
      <c r="BL1071" s="111"/>
      <c r="BM1071" s="111"/>
      <c r="BN1071" s="111"/>
      <c r="BO1071" s="111"/>
      <c r="BP1071" s="111"/>
      <c r="BQ1071" s="111"/>
      <c r="BR1071" s="111"/>
      <c r="BS1071" s="111"/>
      <c r="DR1071" s="29"/>
      <c r="DS1071" s="29"/>
      <c r="DT1071" s="29"/>
      <c r="DU1071" s="29"/>
      <c r="DV1071" s="29"/>
      <c r="DW1071" s="29"/>
      <c r="DX1071" s="29"/>
      <c r="DY1071" s="29"/>
      <c r="DZ1071" s="29"/>
      <c r="EA1071" s="29"/>
      <c r="EB1071" s="29"/>
      <c r="EC1071" s="29"/>
      <c r="ED1071" s="29"/>
      <c r="EE1071" s="29"/>
      <c r="EF1071" s="111"/>
      <c r="EG1071" s="111"/>
      <c r="EH1071" s="111"/>
      <c r="EI1071" s="111"/>
      <c r="EJ1071" s="111"/>
      <c r="EK1071" s="111"/>
      <c r="EL1071" s="111"/>
      <c r="EM1071" s="111"/>
      <c r="EN1071" s="111"/>
      <c r="EO1071" s="111"/>
      <c r="EP1071" s="111"/>
      <c r="EQ1071" s="111"/>
      <c r="ER1071" s="111"/>
      <c r="ES1071" s="111"/>
    </row>
    <row r="1072" spans="44:149">
      <c r="AR1072" s="29"/>
      <c r="AS1072" s="29"/>
      <c r="AT1072" s="29"/>
      <c r="AU1072" s="29"/>
      <c r="AV1072" s="29"/>
      <c r="AW1072" s="29"/>
      <c r="AX1072" s="29"/>
      <c r="AY1072" s="29"/>
      <c r="AZ1072" s="29"/>
      <c r="BA1072" s="29"/>
      <c r="BB1072" s="29"/>
      <c r="BC1072" s="29"/>
      <c r="BD1072" s="29"/>
      <c r="BE1072" s="29"/>
      <c r="BF1072" s="111"/>
      <c r="BG1072" s="111"/>
      <c r="BH1072" s="111"/>
      <c r="BI1072" s="111"/>
      <c r="BJ1072" s="111"/>
      <c r="BK1072" s="111"/>
      <c r="BL1072" s="111"/>
      <c r="BM1072" s="111"/>
      <c r="BN1072" s="111"/>
      <c r="BO1072" s="111"/>
      <c r="BP1072" s="111"/>
      <c r="BQ1072" s="111"/>
      <c r="BR1072" s="111"/>
      <c r="BS1072" s="111"/>
      <c r="DR1072" s="29"/>
      <c r="DS1072" s="29"/>
      <c r="DT1072" s="29"/>
      <c r="DU1072" s="29"/>
      <c r="DV1072" s="29"/>
      <c r="DW1072" s="29"/>
      <c r="DX1072" s="29"/>
      <c r="DY1072" s="29"/>
      <c r="DZ1072" s="29"/>
      <c r="EA1072" s="29"/>
      <c r="EB1072" s="29"/>
      <c r="EC1072" s="29"/>
      <c r="ED1072" s="29"/>
      <c r="EE1072" s="29"/>
      <c r="EF1072" s="111"/>
      <c r="EG1072" s="111"/>
      <c r="EH1072" s="111"/>
      <c r="EI1072" s="111"/>
      <c r="EJ1072" s="111"/>
      <c r="EK1072" s="111"/>
      <c r="EL1072" s="111"/>
      <c r="EM1072" s="111"/>
      <c r="EN1072" s="111"/>
      <c r="EO1072" s="111"/>
      <c r="EP1072" s="111"/>
      <c r="EQ1072" s="111"/>
      <c r="ER1072" s="111"/>
      <c r="ES1072" s="111"/>
    </row>
    <row r="1073" spans="44:149">
      <c r="AR1073" s="29"/>
      <c r="AS1073" s="29"/>
      <c r="AT1073" s="29"/>
      <c r="AU1073" s="29"/>
      <c r="AV1073" s="29"/>
      <c r="AW1073" s="29"/>
      <c r="AX1073" s="29"/>
      <c r="AY1073" s="29"/>
      <c r="AZ1073" s="29"/>
      <c r="BA1073" s="29"/>
      <c r="BB1073" s="29"/>
      <c r="BC1073" s="29"/>
      <c r="BD1073" s="29"/>
      <c r="BE1073" s="29"/>
      <c r="BF1073" s="111"/>
      <c r="BG1073" s="111"/>
      <c r="BH1073" s="111"/>
      <c r="BI1073" s="111"/>
      <c r="BJ1073" s="111"/>
      <c r="BK1073" s="111"/>
      <c r="BL1073" s="111"/>
      <c r="BM1073" s="111"/>
      <c r="BN1073" s="111"/>
      <c r="BO1073" s="111"/>
      <c r="BP1073" s="111"/>
      <c r="BQ1073" s="111"/>
      <c r="BR1073" s="111"/>
      <c r="BS1073" s="111"/>
      <c r="DR1073" s="29"/>
      <c r="DS1073" s="29"/>
      <c r="DT1073" s="29"/>
      <c r="DU1073" s="29"/>
      <c r="DV1073" s="29"/>
      <c r="DW1073" s="29"/>
      <c r="DX1073" s="29"/>
      <c r="DY1073" s="29"/>
      <c r="DZ1073" s="29"/>
      <c r="EA1073" s="29"/>
      <c r="EB1073" s="29"/>
      <c r="EC1073" s="29"/>
      <c r="ED1073" s="29"/>
      <c r="EE1073" s="29"/>
      <c r="EF1073" s="111"/>
      <c r="EG1073" s="111"/>
      <c r="EH1073" s="111"/>
      <c r="EI1073" s="111"/>
      <c r="EJ1073" s="111"/>
      <c r="EK1073" s="111"/>
      <c r="EL1073" s="111"/>
      <c r="EM1073" s="111"/>
      <c r="EN1073" s="111"/>
      <c r="EO1073" s="111"/>
      <c r="EP1073" s="111"/>
      <c r="EQ1073" s="111"/>
      <c r="ER1073" s="111"/>
      <c r="ES1073" s="111"/>
    </row>
    <row r="1074" spans="44:149">
      <c r="AR1074" s="29"/>
      <c r="AS1074" s="29"/>
      <c r="AT1074" s="29"/>
      <c r="AU1074" s="29"/>
      <c r="AV1074" s="29"/>
      <c r="AW1074" s="29"/>
      <c r="AX1074" s="29"/>
      <c r="AY1074" s="29"/>
      <c r="AZ1074" s="29"/>
      <c r="BA1074" s="29"/>
      <c r="BB1074" s="29"/>
      <c r="BC1074" s="29"/>
      <c r="BD1074" s="29"/>
      <c r="BE1074" s="29"/>
      <c r="BF1074" s="111"/>
      <c r="BG1074" s="111"/>
      <c r="BH1074" s="111"/>
      <c r="BI1074" s="111"/>
      <c r="BJ1074" s="111"/>
      <c r="BK1074" s="111"/>
      <c r="BL1074" s="111"/>
      <c r="BM1074" s="111"/>
      <c r="BN1074" s="111"/>
      <c r="BO1074" s="111"/>
      <c r="BP1074" s="111"/>
      <c r="BQ1074" s="111"/>
      <c r="BR1074" s="111"/>
      <c r="BS1074" s="111"/>
      <c r="DR1074" s="29"/>
      <c r="DS1074" s="29"/>
      <c r="DT1074" s="29"/>
      <c r="DU1074" s="29"/>
      <c r="DV1074" s="29"/>
      <c r="DW1074" s="29"/>
      <c r="DX1074" s="29"/>
      <c r="DY1074" s="29"/>
      <c r="DZ1074" s="29"/>
      <c r="EA1074" s="29"/>
      <c r="EB1074" s="29"/>
      <c r="EC1074" s="29"/>
      <c r="ED1074" s="29"/>
      <c r="EE1074" s="29"/>
      <c r="EF1074" s="111"/>
      <c r="EG1074" s="111"/>
      <c r="EH1074" s="111"/>
      <c r="EI1074" s="111"/>
      <c r="EJ1074" s="111"/>
      <c r="EK1074" s="111"/>
      <c r="EL1074" s="111"/>
      <c r="EM1074" s="111"/>
      <c r="EN1074" s="111"/>
      <c r="EO1074" s="111"/>
      <c r="EP1074" s="111"/>
      <c r="EQ1074" s="111"/>
      <c r="ER1074" s="111"/>
      <c r="ES1074" s="111"/>
    </row>
    <row r="1075" spans="44:149">
      <c r="AR1075" s="29"/>
      <c r="AS1075" s="29"/>
      <c r="AT1075" s="29"/>
      <c r="AU1075" s="29"/>
      <c r="AV1075" s="29"/>
      <c r="AW1075" s="29"/>
      <c r="AX1075" s="29"/>
      <c r="AY1075" s="29"/>
      <c r="AZ1075" s="29"/>
      <c r="BA1075" s="29"/>
      <c r="BB1075" s="29"/>
      <c r="BC1075" s="29"/>
      <c r="BD1075" s="29"/>
      <c r="BE1075" s="29"/>
      <c r="BF1075" s="111"/>
      <c r="BG1075" s="111"/>
      <c r="BH1075" s="111"/>
      <c r="BI1075" s="111"/>
      <c r="BJ1075" s="111"/>
      <c r="BK1075" s="111"/>
      <c r="BL1075" s="111"/>
      <c r="BM1075" s="111"/>
      <c r="BN1075" s="111"/>
      <c r="BO1075" s="111"/>
      <c r="BP1075" s="111"/>
      <c r="BQ1075" s="111"/>
      <c r="BR1075" s="111"/>
      <c r="BS1075" s="111"/>
      <c r="DR1075" s="29"/>
      <c r="DS1075" s="29"/>
      <c r="DT1075" s="29"/>
      <c r="DU1075" s="29"/>
      <c r="DV1075" s="29"/>
      <c r="DW1075" s="29"/>
      <c r="DX1075" s="29"/>
      <c r="DY1075" s="29"/>
      <c r="DZ1075" s="29"/>
      <c r="EA1075" s="29"/>
      <c r="EB1075" s="29"/>
      <c r="EC1075" s="29"/>
      <c r="ED1075" s="29"/>
      <c r="EE1075" s="29"/>
      <c r="EF1075" s="111"/>
      <c r="EG1075" s="111"/>
      <c r="EH1075" s="111"/>
      <c r="EI1075" s="111"/>
      <c r="EJ1075" s="111"/>
      <c r="EK1075" s="111"/>
      <c r="EL1075" s="111"/>
      <c r="EM1075" s="111"/>
      <c r="EN1075" s="111"/>
      <c r="EO1075" s="111"/>
      <c r="EP1075" s="111"/>
      <c r="EQ1075" s="111"/>
      <c r="ER1075" s="111"/>
      <c r="ES1075" s="111"/>
    </row>
    <row r="1076" spans="44:149">
      <c r="AR1076" s="29"/>
      <c r="AS1076" s="29"/>
      <c r="AT1076" s="29"/>
      <c r="AU1076" s="29"/>
      <c r="AV1076" s="29"/>
      <c r="AW1076" s="29"/>
      <c r="AX1076" s="29"/>
      <c r="AY1076" s="29"/>
      <c r="AZ1076" s="29"/>
      <c r="BA1076" s="29"/>
      <c r="BB1076" s="29"/>
      <c r="BC1076" s="29"/>
      <c r="BD1076" s="29"/>
      <c r="BE1076" s="29"/>
      <c r="BF1076" s="111"/>
      <c r="BG1076" s="111"/>
      <c r="BH1076" s="111"/>
      <c r="BI1076" s="111"/>
      <c r="BJ1076" s="111"/>
      <c r="BK1076" s="111"/>
      <c r="BL1076" s="111"/>
      <c r="BM1076" s="111"/>
      <c r="BN1076" s="111"/>
      <c r="BO1076" s="111"/>
      <c r="BP1076" s="111"/>
      <c r="BQ1076" s="111"/>
      <c r="BR1076" s="111"/>
      <c r="BS1076" s="111"/>
      <c r="DR1076" s="29"/>
      <c r="DS1076" s="29"/>
      <c r="DT1076" s="29"/>
      <c r="DU1076" s="29"/>
      <c r="DV1076" s="29"/>
      <c r="DW1076" s="29"/>
      <c r="DX1076" s="29"/>
      <c r="DY1076" s="29"/>
      <c r="DZ1076" s="29"/>
      <c r="EA1076" s="29"/>
      <c r="EB1076" s="29"/>
      <c r="EC1076" s="29"/>
      <c r="ED1076" s="29"/>
      <c r="EE1076" s="29"/>
      <c r="EF1076" s="111"/>
      <c r="EG1076" s="111"/>
      <c r="EH1076" s="111"/>
      <c r="EI1076" s="111"/>
      <c r="EJ1076" s="111"/>
      <c r="EK1076" s="111"/>
      <c r="EL1076" s="111"/>
      <c r="EM1076" s="111"/>
      <c r="EN1076" s="111"/>
      <c r="EO1076" s="111"/>
      <c r="EP1076" s="111"/>
      <c r="EQ1076" s="111"/>
      <c r="ER1076" s="111"/>
      <c r="ES1076" s="111"/>
    </row>
    <row r="1077" spans="44:149">
      <c r="AR1077" s="29"/>
      <c r="AS1077" s="29"/>
      <c r="AT1077" s="29"/>
      <c r="AU1077" s="29"/>
      <c r="AV1077" s="29"/>
      <c r="AW1077" s="29"/>
      <c r="AX1077" s="29"/>
      <c r="AY1077" s="29"/>
      <c r="AZ1077" s="29"/>
      <c r="BA1077" s="29"/>
      <c r="BB1077" s="29"/>
      <c r="BC1077" s="29"/>
      <c r="BD1077" s="29"/>
      <c r="BE1077" s="29"/>
      <c r="BF1077" s="111"/>
      <c r="BG1077" s="111"/>
      <c r="BH1077" s="111"/>
      <c r="BI1077" s="111"/>
      <c r="BJ1077" s="111"/>
      <c r="BK1077" s="111"/>
      <c r="BL1077" s="111"/>
      <c r="BM1077" s="111"/>
      <c r="BN1077" s="111"/>
      <c r="BO1077" s="111"/>
      <c r="BP1077" s="111"/>
      <c r="BQ1077" s="111"/>
      <c r="BR1077" s="111"/>
      <c r="BS1077" s="111"/>
      <c r="DR1077" s="29"/>
      <c r="DS1077" s="29"/>
      <c r="DT1077" s="29"/>
      <c r="DU1077" s="29"/>
      <c r="DV1077" s="29"/>
      <c r="DW1077" s="29"/>
      <c r="DX1077" s="29"/>
      <c r="DY1077" s="29"/>
      <c r="DZ1077" s="29"/>
      <c r="EA1077" s="29"/>
      <c r="EB1077" s="29"/>
      <c r="EC1077" s="29"/>
      <c r="ED1077" s="29"/>
      <c r="EE1077" s="29"/>
      <c r="EF1077" s="111"/>
      <c r="EG1077" s="111"/>
      <c r="EH1077" s="111"/>
      <c r="EI1077" s="111"/>
      <c r="EJ1077" s="111"/>
      <c r="EK1077" s="111"/>
      <c r="EL1077" s="111"/>
      <c r="EM1077" s="111"/>
      <c r="EN1077" s="111"/>
      <c r="EO1077" s="111"/>
      <c r="EP1077" s="111"/>
      <c r="EQ1077" s="111"/>
      <c r="ER1077" s="111"/>
      <c r="ES1077" s="111"/>
    </row>
    <row r="1078" spans="44:149">
      <c r="AR1078" s="29"/>
      <c r="AS1078" s="29"/>
      <c r="AT1078" s="29"/>
      <c r="AU1078" s="29"/>
      <c r="AV1078" s="29"/>
      <c r="AW1078" s="29"/>
      <c r="AX1078" s="29"/>
      <c r="AY1078" s="29"/>
      <c r="AZ1078" s="29"/>
      <c r="BA1078" s="29"/>
      <c r="BB1078" s="29"/>
      <c r="BC1078" s="29"/>
      <c r="BD1078" s="29"/>
      <c r="BE1078" s="29"/>
      <c r="BF1078" s="111"/>
      <c r="BG1078" s="111"/>
      <c r="BH1078" s="111"/>
      <c r="BI1078" s="111"/>
      <c r="BJ1078" s="111"/>
      <c r="BK1078" s="111"/>
      <c r="BL1078" s="111"/>
      <c r="BM1078" s="111"/>
      <c r="BN1078" s="111"/>
      <c r="BO1078" s="111"/>
      <c r="BP1078" s="111"/>
      <c r="BQ1078" s="111"/>
      <c r="BR1078" s="111"/>
      <c r="BS1078" s="111"/>
      <c r="DR1078" s="29"/>
      <c r="DS1078" s="29"/>
      <c r="DT1078" s="29"/>
      <c r="DU1078" s="29"/>
      <c r="DV1078" s="29"/>
      <c r="DW1078" s="29"/>
      <c r="DX1078" s="29"/>
      <c r="DY1078" s="29"/>
      <c r="DZ1078" s="29"/>
      <c r="EA1078" s="29"/>
      <c r="EB1078" s="29"/>
      <c r="EC1078" s="29"/>
      <c r="ED1078" s="29"/>
      <c r="EE1078" s="29"/>
      <c r="EF1078" s="111"/>
      <c r="EG1078" s="111"/>
      <c r="EH1078" s="111"/>
      <c r="EI1078" s="111"/>
      <c r="EJ1078" s="111"/>
      <c r="EK1078" s="111"/>
      <c r="EL1078" s="111"/>
      <c r="EM1078" s="111"/>
      <c r="EN1078" s="111"/>
      <c r="EO1078" s="111"/>
      <c r="EP1078" s="111"/>
      <c r="EQ1078" s="111"/>
      <c r="ER1078" s="111"/>
      <c r="ES1078" s="111"/>
    </row>
    <row r="1079" spans="44:149">
      <c r="AR1079" s="29"/>
      <c r="AS1079" s="29"/>
      <c r="AT1079" s="29"/>
      <c r="AU1079" s="29"/>
      <c r="AV1079" s="29"/>
      <c r="AW1079" s="29"/>
      <c r="AX1079" s="29"/>
      <c r="AY1079" s="29"/>
      <c r="AZ1079" s="29"/>
      <c r="BA1079" s="29"/>
      <c r="BB1079" s="29"/>
      <c r="BC1079" s="29"/>
      <c r="BD1079" s="29"/>
      <c r="BE1079" s="29"/>
      <c r="BF1079" s="111"/>
      <c r="BG1079" s="111"/>
      <c r="BH1079" s="111"/>
      <c r="BI1079" s="111"/>
      <c r="BJ1079" s="111"/>
      <c r="BK1079" s="111"/>
      <c r="BL1079" s="111"/>
      <c r="BM1079" s="111"/>
      <c r="BN1079" s="111"/>
      <c r="BO1079" s="111"/>
      <c r="BP1079" s="111"/>
      <c r="BQ1079" s="111"/>
      <c r="BR1079" s="111"/>
      <c r="BS1079" s="111"/>
      <c r="DR1079" s="29"/>
      <c r="DS1079" s="29"/>
      <c r="DT1079" s="29"/>
      <c r="DU1079" s="29"/>
      <c r="DV1079" s="29"/>
      <c r="DW1079" s="29"/>
      <c r="DX1079" s="29"/>
      <c r="DY1079" s="29"/>
      <c r="DZ1079" s="29"/>
      <c r="EA1079" s="29"/>
      <c r="EB1079" s="29"/>
      <c r="EC1079" s="29"/>
      <c r="ED1079" s="29"/>
      <c r="EE1079" s="29"/>
      <c r="EF1079" s="111"/>
      <c r="EG1079" s="111"/>
      <c r="EH1079" s="111"/>
      <c r="EI1079" s="111"/>
      <c r="EJ1079" s="111"/>
      <c r="EK1079" s="111"/>
      <c r="EL1079" s="111"/>
      <c r="EM1079" s="111"/>
      <c r="EN1079" s="111"/>
      <c r="EO1079" s="111"/>
      <c r="EP1079" s="111"/>
      <c r="EQ1079" s="111"/>
      <c r="ER1079" s="111"/>
      <c r="ES1079" s="111"/>
    </row>
    <row r="1080" spans="44:149">
      <c r="AR1080" s="29"/>
      <c r="AS1080" s="29"/>
      <c r="AT1080" s="29"/>
      <c r="AU1080" s="29"/>
      <c r="AV1080" s="29"/>
      <c r="AW1080" s="29"/>
      <c r="AX1080" s="29"/>
      <c r="AY1080" s="29"/>
      <c r="AZ1080" s="29"/>
      <c r="BA1080" s="29"/>
      <c r="BB1080" s="29"/>
      <c r="BC1080" s="29"/>
      <c r="BD1080" s="29"/>
      <c r="BE1080" s="29"/>
      <c r="BF1080" s="111"/>
      <c r="BG1080" s="111"/>
      <c r="BH1080" s="111"/>
      <c r="BI1080" s="111"/>
      <c r="BJ1080" s="111"/>
      <c r="BK1080" s="111"/>
      <c r="BL1080" s="111"/>
      <c r="BM1080" s="111"/>
      <c r="BN1080" s="111"/>
      <c r="BO1080" s="111"/>
      <c r="BP1080" s="111"/>
      <c r="BQ1080" s="111"/>
      <c r="BR1080" s="111"/>
      <c r="BS1080" s="111"/>
      <c r="DR1080" s="29"/>
      <c r="DS1080" s="29"/>
      <c r="DT1080" s="29"/>
      <c r="DU1080" s="29"/>
      <c r="DV1080" s="29"/>
      <c r="DW1080" s="29"/>
      <c r="DX1080" s="29"/>
      <c r="DY1080" s="29"/>
      <c r="DZ1080" s="29"/>
      <c r="EA1080" s="29"/>
      <c r="EB1080" s="29"/>
      <c r="EC1080" s="29"/>
      <c r="ED1080" s="29"/>
      <c r="EE1080" s="29"/>
      <c r="EF1080" s="111"/>
      <c r="EG1080" s="111"/>
      <c r="EH1080" s="111"/>
      <c r="EI1080" s="111"/>
      <c r="EJ1080" s="111"/>
      <c r="EK1080" s="111"/>
      <c r="EL1080" s="111"/>
      <c r="EM1080" s="111"/>
      <c r="EN1080" s="111"/>
      <c r="EO1080" s="111"/>
      <c r="EP1080" s="111"/>
      <c r="EQ1080" s="111"/>
      <c r="ER1080" s="111"/>
      <c r="ES1080" s="111"/>
    </row>
    <row r="1081" spans="44:149">
      <c r="AR1081" s="29"/>
      <c r="AS1081" s="29"/>
      <c r="AT1081" s="29"/>
      <c r="AU1081" s="29"/>
      <c r="AV1081" s="29"/>
      <c r="AW1081" s="29"/>
      <c r="AX1081" s="29"/>
      <c r="AY1081" s="29"/>
      <c r="AZ1081" s="29"/>
      <c r="BA1081" s="29"/>
      <c r="BB1081" s="29"/>
      <c r="BC1081" s="29"/>
      <c r="BD1081" s="29"/>
      <c r="BE1081" s="29"/>
      <c r="BF1081" s="111"/>
      <c r="BG1081" s="111"/>
      <c r="BH1081" s="111"/>
      <c r="BI1081" s="111"/>
      <c r="BJ1081" s="111"/>
      <c r="BK1081" s="111"/>
      <c r="BL1081" s="111"/>
      <c r="BM1081" s="111"/>
      <c r="BN1081" s="111"/>
      <c r="BO1081" s="111"/>
      <c r="BP1081" s="111"/>
      <c r="BQ1081" s="111"/>
      <c r="BR1081" s="111"/>
      <c r="BS1081" s="111"/>
      <c r="DR1081" s="29"/>
      <c r="DS1081" s="29"/>
      <c r="DT1081" s="29"/>
      <c r="DU1081" s="29"/>
      <c r="DV1081" s="29"/>
      <c r="DW1081" s="29"/>
      <c r="DX1081" s="29"/>
      <c r="DY1081" s="29"/>
      <c r="DZ1081" s="29"/>
      <c r="EA1081" s="29"/>
      <c r="EB1081" s="29"/>
      <c r="EC1081" s="29"/>
      <c r="ED1081" s="29"/>
      <c r="EE1081" s="29"/>
      <c r="EF1081" s="111"/>
      <c r="EG1081" s="111"/>
      <c r="EH1081" s="111"/>
      <c r="EI1081" s="111"/>
      <c r="EJ1081" s="111"/>
      <c r="EK1081" s="111"/>
      <c r="EL1081" s="111"/>
      <c r="EM1081" s="111"/>
      <c r="EN1081" s="111"/>
      <c r="EO1081" s="111"/>
      <c r="EP1081" s="111"/>
      <c r="EQ1081" s="111"/>
      <c r="ER1081" s="111"/>
      <c r="ES1081" s="111"/>
    </row>
    <row r="1082" spans="44:149">
      <c r="AR1082" s="29"/>
      <c r="AS1082" s="29"/>
      <c r="AT1082" s="29"/>
      <c r="AU1082" s="29"/>
      <c r="AV1082" s="29"/>
      <c r="AW1082" s="29"/>
      <c r="AX1082" s="29"/>
      <c r="AY1082" s="29"/>
      <c r="AZ1082" s="29"/>
      <c r="BA1082" s="29"/>
      <c r="BB1082" s="29"/>
      <c r="BC1082" s="29"/>
      <c r="BD1082" s="29"/>
      <c r="BE1082" s="29"/>
      <c r="BF1082" s="111"/>
      <c r="BG1082" s="111"/>
      <c r="BH1082" s="111"/>
      <c r="BI1082" s="111"/>
      <c r="BJ1082" s="111"/>
      <c r="BK1082" s="111"/>
      <c r="BL1082" s="111"/>
      <c r="BM1082" s="111"/>
      <c r="BN1082" s="111"/>
      <c r="BO1082" s="111"/>
      <c r="BP1082" s="111"/>
      <c r="BQ1082" s="111"/>
      <c r="BR1082" s="111"/>
      <c r="BS1082" s="111"/>
      <c r="DR1082" s="29"/>
      <c r="DS1082" s="29"/>
      <c r="DT1082" s="29"/>
      <c r="DU1082" s="29"/>
      <c r="DV1082" s="29"/>
      <c r="DW1082" s="29"/>
      <c r="DX1082" s="29"/>
      <c r="DY1082" s="29"/>
      <c r="DZ1082" s="29"/>
      <c r="EA1082" s="29"/>
      <c r="EB1082" s="29"/>
      <c r="EC1082" s="29"/>
      <c r="ED1082" s="29"/>
      <c r="EE1082" s="29"/>
      <c r="EF1082" s="111"/>
      <c r="EG1082" s="111"/>
      <c r="EH1082" s="111"/>
      <c r="EI1082" s="111"/>
      <c r="EJ1082" s="111"/>
      <c r="EK1082" s="111"/>
      <c r="EL1082" s="111"/>
      <c r="EM1082" s="111"/>
      <c r="EN1082" s="111"/>
      <c r="EO1082" s="111"/>
      <c r="EP1082" s="111"/>
      <c r="EQ1082" s="111"/>
      <c r="ER1082" s="111"/>
      <c r="ES1082" s="111"/>
    </row>
    <row r="1083" spans="44:149">
      <c r="AR1083" s="29"/>
      <c r="AS1083" s="29"/>
      <c r="AT1083" s="29"/>
      <c r="AU1083" s="29"/>
      <c r="AV1083" s="29"/>
      <c r="AW1083" s="29"/>
      <c r="AX1083" s="29"/>
      <c r="AY1083" s="29"/>
      <c r="AZ1083" s="29"/>
      <c r="BA1083" s="29"/>
      <c r="BB1083" s="29"/>
      <c r="BC1083" s="29"/>
      <c r="BD1083" s="29"/>
      <c r="BE1083" s="29"/>
      <c r="BF1083" s="111"/>
      <c r="BG1083" s="111"/>
      <c r="BH1083" s="111"/>
      <c r="BI1083" s="111"/>
      <c r="BJ1083" s="111"/>
      <c r="BK1083" s="111"/>
      <c r="BL1083" s="111"/>
      <c r="BM1083" s="111"/>
      <c r="BN1083" s="111"/>
      <c r="BO1083" s="111"/>
      <c r="BP1083" s="111"/>
      <c r="BQ1083" s="111"/>
      <c r="BR1083" s="111"/>
      <c r="BS1083" s="111"/>
      <c r="DR1083" s="29"/>
      <c r="DS1083" s="29"/>
      <c r="DT1083" s="29"/>
      <c r="DU1083" s="29"/>
      <c r="DV1083" s="29"/>
      <c r="DW1083" s="29"/>
      <c r="DX1083" s="29"/>
      <c r="DY1083" s="29"/>
      <c r="DZ1083" s="29"/>
      <c r="EA1083" s="29"/>
      <c r="EB1083" s="29"/>
      <c r="EC1083" s="29"/>
      <c r="ED1083" s="29"/>
      <c r="EE1083" s="29"/>
      <c r="EF1083" s="111"/>
      <c r="EG1083" s="111"/>
      <c r="EH1083" s="111"/>
      <c r="EI1083" s="111"/>
      <c r="EJ1083" s="111"/>
      <c r="EK1083" s="111"/>
      <c r="EL1083" s="111"/>
      <c r="EM1083" s="111"/>
      <c r="EN1083" s="111"/>
      <c r="EO1083" s="111"/>
      <c r="EP1083" s="111"/>
      <c r="EQ1083" s="111"/>
      <c r="ER1083" s="111"/>
      <c r="ES1083" s="111"/>
    </row>
    <row r="1084" spans="44:149">
      <c r="AR1084" s="29"/>
      <c r="AS1084" s="29"/>
      <c r="AT1084" s="29"/>
      <c r="AU1084" s="29"/>
      <c r="AV1084" s="29"/>
      <c r="AW1084" s="29"/>
      <c r="AX1084" s="29"/>
      <c r="AY1084" s="29"/>
      <c r="AZ1084" s="29"/>
      <c r="BA1084" s="29"/>
      <c r="BB1084" s="29"/>
      <c r="BC1084" s="29"/>
      <c r="BD1084" s="29"/>
      <c r="BE1084" s="29"/>
      <c r="BF1084" s="111"/>
      <c r="BG1084" s="111"/>
      <c r="BH1084" s="111"/>
      <c r="BI1084" s="111"/>
      <c r="BJ1084" s="111"/>
      <c r="BK1084" s="111"/>
      <c r="BL1084" s="111"/>
      <c r="BM1084" s="111"/>
      <c r="BN1084" s="111"/>
      <c r="BO1084" s="111"/>
      <c r="BP1084" s="111"/>
      <c r="BQ1084" s="111"/>
      <c r="BR1084" s="111"/>
      <c r="BS1084" s="111"/>
      <c r="DR1084" s="29"/>
      <c r="DS1084" s="29"/>
      <c r="DT1084" s="29"/>
      <c r="DU1084" s="29"/>
      <c r="DV1084" s="29"/>
      <c r="DW1084" s="29"/>
      <c r="DX1084" s="29"/>
      <c r="DY1084" s="29"/>
      <c r="DZ1084" s="29"/>
      <c r="EA1084" s="29"/>
      <c r="EB1084" s="29"/>
      <c r="EC1084" s="29"/>
      <c r="ED1084" s="29"/>
      <c r="EE1084" s="29"/>
      <c r="EF1084" s="111"/>
      <c r="EG1084" s="111"/>
      <c r="EH1084" s="111"/>
      <c r="EI1084" s="111"/>
      <c r="EJ1084" s="111"/>
      <c r="EK1084" s="111"/>
      <c r="EL1084" s="111"/>
      <c r="EM1084" s="111"/>
      <c r="EN1084" s="111"/>
      <c r="EO1084" s="111"/>
      <c r="EP1084" s="111"/>
      <c r="EQ1084" s="111"/>
      <c r="ER1084" s="111"/>
      <c r="ES1084" s="111"/>
    </row>
    <row r="1085" spans="44:149">
      <c r="AR1085" s="29"/>
      <c r="AS1085" s="29"/>
      <c r="AT1085" s="29"/>
      <c r="AU1085" s="29"/>
      <c r="AV1085" s="29"/>
      <c r="AW1085" s="29"/>
      <c r="AX1085" s="29"/>
      <c r="AY1085" s="29"/>
      <c r="AZ1085" s="29"/>
      <c r="BA1085" s="29"/>
      <c r="BB1085" s="29"/>
      <c r="BC1085" s="29"/>
      <c r="BD1085" s="29"/>
      <c r="BE1085" s="29"/>
      <c r="BF1085" s="111"/>
      <c r="BG1085" s="111"/>
      <c r="BH1085" s="111"/>
      <c r="BI1085" s="111"/>
      <c r="BJ1085" s="111"/>
      <c r="BK1085" s="111"/>
      <c r="BL1085" s="111"/>
      <c r="BM1085" s="111"/>
      <c r="BN1085" s="111"/>
      <c r="BO1085" s="111"/>
      <c r="BP1085" s="111"/>
      <c r="BQ1085" s="111"/>
      <c r="BR1085" s="111"/>
      <c r="BS1085" s="111"/>
      <c r="DR1085" s="29"/>
      <c r="DS1085" s="29"/>
      <c r="DT1085" s="29"/>
      <c r="DU1085" s="29"/>
      <c r="DV1085" s="29"/>
      <c r="DW1085" s="29"/>
      <c r="DX1085" s="29"/>
      <c r="DY1085" s="29"/>
      <c r="DZ1085" s="29"/>
      <c r="EA1085" s="29"/>
      <c r="EB1085" s="29"/>
      <c r="EC1085" s="29"/>
      <c r="ED1085" s="29"/>
      <c r="EE1085" s="29"/>
      <c r="EF1085" s="111"/>
      <c r="EG1085" s="111"/>
      <c r="EH1085" s="111"/>
      <c r="EI1085" s="111"/>
      <c r="EJ1085" s="111"/>
      <c r="EK1085" s="111"/>
      <c r="EL1085" s="111"/>
      <c r="EM1085" s="111"/>
      <c r="EN1085" s="111"/>
      <c r="EO1085" s="111"/>
      <c r="EP1085" s="111"/>
      <c r="EQ1085" s="111"/>
      <c r="ER1085" s="111"/>
      <c r="ES1085" s="111"/>
    </row>
    <row r="1086" spans="44:149">
      <c r="AR1086" s="29"/>
      <c r="AS1086" s="29"/>
      <c r="AT1086" s="29"/>
      <c r="AU1086" s="29"/>
      <c r="AV1086" s="29"/>
      <c r="AW1086" s="29"/>
      <c r="AX1086" s="29"/>
      <c r="AY1086" s="29"/>
      <c r="AZ1086" s="29"/>
      <c r="BA1086" s="29"/>
      <c r="BB1086" s="29"/>
      <c r="BC1086" s="29"/>
      <c r="BD1086" s="29"/>
      <c r="BE1086" s="29"/>
      <c r="BF1086" s="111"/>
      <c r="BG1086" s="111"/>
      <c r="BH1086" s="111"/>
      <c r="BI1086" s="111"/>
      <c r="BJ1086" s="111"/>
      <c r="BK1086" s="111"/>
      <c r="BL1086" s="111"/>
      <c r="BM1086" s="111"/>
      <c r="BN1086" s="111"/>
      <c r="BO1086" s="111"/>
      <c r="BP1086" s="111"/>
      <c r="BQ1086" s="111"/>
      <c r="BR1086" s="111"/>
      <c r="BS1086" s="111"/>
      <c r="DR1086" s="29"/>
      <c r="DS1086" s="29"/>
      <c r="DT1086" s="29"/>
      <c r="DU1086" s="29"/>
      <c r="DV1086" s="29"/>
      <c r="DW1086" s="29"/>
      <c r="DX1086" s="29"/>
      <c r="DY1086" s="29"/>
      <c r="DZ1086" s="29"/>
      <c r="EA1086" s="29"/>
      <c r="EB1086" s="29"/>
      <c r="EC1086" s="29"/>
      <c r="ED1086" s="29"/>
      <c r="EE1086" s="29"/>
      <c r="EF1086" s="111"/>
      <c r="EG1086" s="111"/>
      <c r="EH1086" s="111"/>
      <c r="EI1086" s="111"/>
      <c r="EJ1086" s="111"/>
      <c r="EK1086" s="111"/>
      <c r="EL1086" s="111"/>
      <c r="EM1086" s="111"/>
      <c r="EN1086" s="111"/>
      <c r="EO1086" s="111"/>
      <c r="EP1086" s="111"/>
      <c r="EQ1086" s="111"/>
      <c r="ER1086" s="111"/>
      <c r="ES1086" s="111"/>
    </row>
    <row r="1087" spans="44:149">
      <c r="AR1087" s="29"/>
      <c r="AS1087" s="29"/>
      <c r="AT1087" s="29"/>
      <c r="AU1087" s="29"/>
      <c r="AV1087" s="29"/>
      <c r="AW1087" s="29"/>
      <c r="AX1087" s="29"/>
      <c r="AY1087" s="29"/>
      <c r="AZ1087" s="29"/>
      <c r="BA1087" s="29"/>
      <c r="BB1087" s="29"/>
      <c r="BC1087" s="29"/>
      <c r="BD1087" s="29"/>
      <c r="BE1087" s="29"/>
      <c r="BF1087" s="111"/>
      <c r="BG1087" s="111"/>
      <c r="BH1087" s="111"/>
      <c r="BI1087" s="111"/>
      <c r="BJ1087" s="111"/>
      <c r="BK1087" s="111"/>
      <c r="BL1087" s="111"/>
      <c r="BM1087" s="111"/>
      <c r="BN1087" s="111"/>
      <c r="BO1087" s="111"/>
      <c r="BP1087" s="111"/>
      <c r="BQ1087" s="111"/>
      <c r="BR1087" s="111"/>
      <c r="BS1087" s="111"/>
      <c r="DR1087" s="29"/>
      <c r="DS1087" s="29"/>
      <c r="DT1087" s="29"/>
      <c r="DU1087" s="29"/>
      <c r="DV1087" s="29"/>
      <c r="DW1087" s="29"/>
      <c r="DX1087" s="29"/>
      <c r="DY1087" s="29"/>
      <c r="DZ1087" s="29"/>
      <c r="EA1087" s="29"/>
      <c r="EB1087" s="29"/>
      <c r="EC1087" s="29"/>
      <c r="ED1087" s="29"/>
      <c r="EE1087" s="29"/>
      <c r="EF1087" s="111"/>
      <c r="EG1087" s="111"/>
      <c r="EH1087" s="111"/>
      <c r="EI1087" s="111"/>
      <c r="EJ1087" s="111"/>
      <c r="EK1087" s="111"/>
      <c r="EL1087" s="111"/>
      <c r="EM1087" s="111"/>
      <c r="EN1087" s="111"/>
      <c r="EO1087" s="111"/>
      <c r="EP1087" s="111"/>
      <c r="EQ1087" s="111"/>
      <c r="ER1087" s="111"/>
      <c r="ES1087" s="111"/>
    </row>
    <row r="1088" spans="44:149">
      <c r="AR1088" s="29"/>
      <c r="AS1088" s="29"/>
      <c r="AT1088" s="29"/>
      <c r="AU1088" s="29"/>
      <c r="AV1088" s="29"/>
      <c r="AW1088" s="29"/>
      <c r="AX1088" s="29"/>
      <c r="AY1088" s="29"/>
      <c r="AZ1088" s="29"/>
      <c r="BA1088" s="29"/>
      <c r="BB1088" s="29"/>
      <c r="BC1088" s="29"/>
      <c r="BD1088" s="29"/>
      <c r="BE1088" s="29"/>
      <c r="BF1088" s="111"/>
      <c r="BG1088" s="111"/>
      <c r="BH1088" s="111"/>
      <c r="BI1088" s="111"/>
      <c r="BJ1088" s="111"/>
      <c r="BK1088" s="111"/>
      <c r="BL1088" s="111"/>
      <c r="BM1088" s="111"/>
      <c r="BN1088" s="111"/>
      <c r="BO1088" s="111"/>
      <c r="BP1088" s="111"/>
      <c r="BQ1088" s="111"/>
      <c r="BR1088" s="111"/>
      <c r="BS1088" s="111"/>
      <c r="DR1088" s="29"/>
      <c r="DS1088" s="29"/>
      <c r="DT1088" s="29"/>
      <c r="DU1088" s="29"/>
      <c r="DV1088" s="29"/>
      <c r="DW1088" s="29"/>
      <c r="DX1088" s="29"/>
      <c r="DY1088" s="29"/>
      <c r="DZ1088" s="29"/>
      <c r="EA1088" s="29"/>
      <c r="EB1088" s="29"/>
      <c r="EC1088" s="29"/>
      <c r="ED1088" s="29"/>
      <c r="EE1088" s="29"/>
      <c r="EF1088" s="111"/>
      <c r="EG1088" s="111"/>
      <c r="EH1088" s="111"/>
      <c r="EI1088" s="111"/>
      <c r="EJ1088" s="111"/>
      <c r="EK1088" s="111"/>
      <c r="EL1088" s="111"/>
      <c r="EM1088" s="111"/>
      <c r="EN1088" s="111"/>
      <c r="EO1088" s="111"/>
      <c r="EP1088" s="111"/>
      <c r="EQ1088" s="111"/>
      <c r="ER1088" s="111"/>
      <c r="ES1088" s="111"/>
    </row>
    <row r="1089" spans="44:149">
      <c r="AR1089" s="29"/>
      <c r="AS1089" s="29"/>
      <c r="AT1089" s="29"/>
      <c r="AU1089" s="29"/>
      <c r="AV1089" s="29"/>
      <c r="AW1089" s="29"/>
      <c r="AX1089" s="29"/>
      <c r="AY1089" s="29"/>
      <c r="AZ1089" s="29"/>
      <c r="BA1089" s="29"/>
      <c r="BB1089" s="29"/>
      <c r="BC1089" s="29"/>
      <c r="BD1089" s="29"/>
      <c r="BE1089" s="29"/>
      <c r="BF1089" s="111"/>
      <c r="BG1089" s="111"/>
      <c r="BH1089" s="111"/>
      <c r="BI1089" s="111"/>
      <c r="BJ1089" s="111"/>
      <c r="BK1089" s="111"/>
      <c r="BL1089" s="111"/>
      <c r="BM1089" s="111"/>
      <c r="BN1089" s="111"/>
      <c r="BO1089" s="111"/>
      <c r="BP1089" s="111"/>
      <c r="BQ1089" s="111"/>
      <c r="BR1089" s="111"/>
      <c r="BS1089" s="111"/>
      <c r="DR1089" s="29"/>
      <c r="DS1089" s="29"/>
      <c r="DT1089" s="29"/>
      <c r="DU1089" s="29"/>
      <c r="DV1089" s="29"/>
      <c r="DW1089" s="29"/>
      <c r="DX1089" s="29"/>
      <c r="DY1089" s="29"/>
      <c r="DZ1089" s="29"/>
      <c r="EA1089" s="29"/>
      <c r="EB1089" s="29"/>
      <c r="EC1089" s="29"/>
      <c r="ED1089" s="29"/>
      <c r="EE1089" s="29"/>
      <c r="EF1089" s="111"/>
      <c r="EG1089" s="111"/>
      <c r="EH1089" s="111"/>
      <c r="EI1089" s="111"/>
      <c r="EJ1089" s="111"/>
      <c r="EK1089" s="111"/>
      <c r="EL1089" s="111"/>
      <c r="EM1089" s="111"/>
      <c r="EN1089" s="111"/>
      <c r="EO1089" s="111"/>
      <c r="EP1089" s="111"/>
      <c r="EQ1089" s="111"/>
      <c r="ER1089" s="111"/>
      <c r="ES1089" s="111"/>
    </row>
    <row r="1090" spans="44:149">
      <c r="AR1090" s="29"/>
      <c r="AS1090" s="29"/>
      <c r="AT1090" s="29"/>
      <c r="AU1090" s="29"/>
      <c r="AV1090" s="29"/>
      <c r="AW1090" s="29"/>
      <c r="AX1090" s="29"/>
      <c r="AY1090" s="29"/>
      <c r="AZ1090" s="29"/>
      <c r="BA1090" s="29"/>
      <c r="BB1090" s="29"/>
      <c r="BC1090" s="29"/>
      <c r="BD1090" s="29"/>
      <c r="BE1090" s="29"/>
      <c r="BF1090" s="111"/>
      <c r="BG1090" s="111"/>
      <c r="BH1090" s="111"/>
      <c r="BI1090" s="111"/>
      <c r="BJ1090" s="111"/>
      <c r="BK1090" s="111"/>
      <c r="BL1090" s="111"/>
      <c r="BM1090" s="111"/>
      <c r="BN1090" s="111"/>
      <c r="BO1090" s="111"/>
      <c r="BP1090" s="111"/>
      <c r="BQ1090" s="111"/>
      <c r="BR1090" s="111"/>
      <c r="BS1090" s="111"/>
      <c r="DR1090" s="29"/>
      <c r="DS1090" s="29"/>
      <c r="DT1090" s="29"/>
      <c r="DU1090" s="29"/>
      <c r="DV1090" s="29"/>
      <c r="DW1090" s="29"/>
      <c r="DX1090" s="29"/>
      <c r="DY1090" s="29"/>
      <c r="DZ1090" s="29"/>
      <c r="EA1090" s="29"/>
      <c r="EB1090" s="29"/>
      <c r="EC1090" s="29"/>
      <c r="ED1090" s="29"/>
      <c r="EE1090" s="29"/>
      <c r="EF1090" s="111"/>
      <c r="EG1090" s="111"/>
      <c r="EH1090" s="111"/>
      <c r="EI1090" s="111"/>
      <c r="EJ1090" s="111"/>
      <c r="EK1090" s="111"/>
      <c r="EL1090" s="111"/>
      <c r="EM1090" s="111"/>
      <c r="EN1090" s="111"/>
      <c r="EO1090" s="111"/>
      <c r="EP1090" s="111"/>
      <c r="EQ1090" s="111"/>
      <c r="ER1090" s="111"/>
      <c r="ES1090" s="111"/>
    </row>
    <row r="1091" spans="44:149">
      <c r="AR1091" s="29"/>
      <c r="AS1091" s="29"/>
      <c r="AT1091" s="29"/>
      <c r="AU1091" s="29"/>
      <c r="AV1091" s="29"/>
      <c r="AW1091" s="29"/>
      <c r="AX1091" s="29"/>
      <c r="AY1091" s="29"/>
      <c r="AZ1091" s="29"/>
      <c r="BA1091" s="29"/>
      <c r="BB1091" s="29"/>
      <c r="BC1091" s="29"/>
      <c r="BD1091" s="29"/>
      <c r="BE1091" s="29"/>
      <c r="BF1091" s="111"/>
      <c r="BG1091" s="111"/>
      <c r="BH1091" s="111"/>
      <c r="BI1091" s="111"/>
      <c r="BJ1091" s="111"/>
      <c r="BK1091" s="111"/>
      <c r="BL1091" s="111"/>
      <c r="BM1091" s="111"/>
      <c r="BN1091" s="111"/>
      <c r="BO1091" s="111"/>
      <c r="BP1091" s="111"/>
      <c r="BQ1091" s="111"/>
      <c r="BR1091" s="111"/>
      <c r="BS1091" s="111"/>
      <c r="DR1091" s="29"/>
      <c r="DS1091" s="29"/>
      <c r="DT1091" s="29"/>
      <c r="DU1091" s="29"/>
      <c r="DV1091" s="29"/>
      <c r="DW1091" s="29"/>
      <c r="DX1091" s="29"/>
      <c r="DY1091" s="29"/>
      <c r="DZ1091" s="29"/>
      <c r="EA1091" s="29"/>
      <c r="EB1091" s="29"/>
      <c r="EC1091" s="29"/>
      <c r="ED1091" s="29"/>
      <c r="EE1091" s="29"/>
      <c r="EF1091" s="111"/>
      <c r="EG1091" s="111"/>
      <c r="EH1091" s="111"/>
      <c r="EI1091" s="111"/>
      <c r="EJ1091" s="111"/>
      <c r="EK1091" s="111"/>
      <c r="EL1091" s="111"/>
      <c r="EM1091" s="111"/>
      <c r="EN1091" s="111"/>
      <c r="EO1091" s="111"/>
      <c r="EP1091" s="111"/>
      <c r="EQ1091" s="111"/>
      <c r="ER1091" s="111"/>
      <c r="ES1091" s="111"/>
    </row>
    <row r="1092" spans="44:149">
      <c r="AR1092" s="29"/>
      <c r="AS1092" s="29"/>
      <c r="AT1092" s="29"/>
      <c r="AU1092" s="29"/>
      <c r="AV1092" s="29"/>
      <c r="AW1092" s="29"/>
      <c r="AX1092" s="29"/>
      <c r="AY1092" s="29"/>
      <c r="AZ1092" s="29"/>
      <c r="BA1092" s="29"/>
      <c r="BB1092" s="29"/>
      <c r="BC1092" s="29"/>
      <c r="BD1092" s="29"/>
      <c r="BE1092" s="29"/>
      <c r="BF1092" s="111"/>
      <c r="BG1092" s="111"/>
      <c r="BH1092" s="111"/>
      <c r="BI1092" s="111"/>
      <c r="BJ1092" s="111"/>
      <c r="BK1092" s="111"/>
      <c r="BL1092" s="111"/>
      <c r="BM1092" s="111"/>
      <c r="BN1092" s="111"/>
      <c r="BO1092" s="111"/>
      <c r="BP1092" s="111"/>
      <c r="BQ1092" s="111"/>
      <c r="BR1092" s="111"/>
      <c r="BS1092" s="111"/>
      <c r="DR1092" s="29"/>
      <c r="DS1092" s="29"/>
      <c r="DT1092" s="29"/>
      <c r="DU1092" s="29"/>
      <c r="DV1092" s="29"/>
      <c r="DW1092" s="29"/>
      <c r="DX1092" s="29"/>
      <c r="DY1092" s="29"/>
      <c r="DZ1092" s="29"/>
      <c r="EA1092" s="29"/>
      <c r="EB1092" s="29"/>
      <c r="EC1092" s="29"/>
      <c r="ED1092" s="29"/>
      <c r="EE1092" s="29"/>
      <c r="EF1092" s="111"/>
      <c r="EG1092" s="111"/>
      <c r="EH1092" s="111"/>
      <c r="EI1092" s="111"/>
      <c r="EJ1092" s="111"/>
      <c r="EK1092" s="111"/>
      <c r="EL1092" s="111"/>
      <c r="EM1092" s="111"/>
      <c r="EN1092" s="111"/>
      <c r="EO1092" s="111"/>
      <c r="EP1092" s="111"/>
      <c r="EQ1092" s="111"/>
      <c r="ER1092" s="111"/>
      <c r="ES1092" s="111"/>
    </row>
    <row r="1093" spans="44:149">
      <c r="AR1093" s="29"/>
      <c r="AS1093" s="29"/>
      <c r="AT1093" s="29"/>
      <c r="AU1093" s="29"/>
      <c r="AV1093" s="29"/>
      <c r="AW1093" s="29"/>
      <c r="AX1093" s="29"/>
      <c r="AY1093" s="29"/>
      <c r="AZ1093" s="29"/>
      <c r="BA1093" s="29"/>
      <c r="BB1093" s="29"/>
      <c r="BC1093" s="29"/>
      <c r="BD1093" s="29"/>
      <c r="BE1093" s="29"/>
      <c r="BF1093" s="111"/>
      <c r="BG1093" s="111"/>
      <c r="BH1093" s="111"/>
      <c r="BI1093" s="111"/>
      <c r="BJ1093" s="111"/>
      <c r="BK1093" s="111"/>
      <c r="BL1093" s="111"/>
      <c r="BM1093" s="111"/>
      <c r="BN1093" s="111"/>
      <c r="BO1093" s="111"/>
      <c r="BP1093" s="111"/>
      <c r="BQ1093" s="111"/>
      <c r="BR1093" s="111"/>
      <c r="BS1093" s="111"/>
      <c r="DR1093" s="29"/>
      <c r="DS1093" s="29"/>
      <c r="DT1093" s="29"/>
      <c r="DU1093" s="29"/>
      <c r="DV1093" s="29"/>
      <c r="DW1093" s="29"/>
      <c r="DX1093" s="29"/>
      <c r="DY1093" s="29"/>
      <c r="DZ1093" s="29"/>
      <c r="EA1093" s="29"/>
      <c r="EB1093" s="29"/>
      <c r="EC1093" s="29"/>
      <c r="ED1093" s="29"/>
      <c r="EE1093" s="29"/>
      <c r="EF1093" s="111"/>
      <c r="EG1093" s="111"/>
      <c r="EH1093" s="111"/>
      <c r="EI1093" s="111"/>
      <c r="EJ1093" s="111"/>
      <c r="EK1093" s="111"/>
      <c r="EL1093" s="111"/>
      <c r="EM1093" s="111"/>
      <c r="EN1093" s="111"/>
      <c r="EO1093" s="111"/>
      <c r="EP1093" s="111"/>
      <c r="EQ1093" s="111"/>
      <c r="ER1093" s="111"/>
      <c r="ES1093" s="111"/>
    </row>
    <row r="1094" spans="44:149">
      <c r="AR1094" s="29"/>
      <c r="AS1094" s="29"/>
      <c r="AT1094" s="29"/>
      <c r="AU1094" s="29"/>
      <c r="AV1094" s="29"/>
      <c r="AW1094" s="29"/>
      <c r="AX1094" s="29"/>
      <c r="AY1094" s="29"/>
      <c r="AZ1094" s="29"/>
      <c r="BA1094" s="29"/>
      <c r="BB1094" s="29"/>
      <c r="BC1094" s="29"/>
      <c r="BD1094" s="29"/>
      <c r="BE1094" s="29"/>
      <c r="BF1094" s="111"/>
      <c r="BG1094" s="111"/>
      <c r="BH1094" s="111"/>
      <c r="BI1094" s="111"/>
      <c r="BJ1094" s="111"/>
      <c r="BK1094" s="111"/>
      <c r="BL1094" s="111"/>
      <c r="BM1094" s="111"/>
      <c r="BN1094" s="111"/>
      <c r="BO1094" s="111"/>
      <c r="BP1094" s="111"/>
      <c r="BQ1094" s="111"/>
      <c r="BR1094" s="111"/>
      <c r="BS1094" s="111"/>
      <c r="DR1094" s="29"/>
      <c r="DS1094" s="29"/>
      <c r="DT1094" s="29"/>
      <c r="DU1094" s="29"/>
      <c r="DV1094" s="29"/>
      <c r="DW1094" s="29"/>
      <c r="DX1094" s="29"/>
      <c r="DY1094" s="29"/>
      <c r="DZ1094" s="29"/>
      <c r="EA1094" s="29"/>
      <c r="EB1094" s="29"/>
      <c r="EC1094" s="29"/>
      <c r="ED1094" s="29"/>
      <c r="EE1094" s="29"/>
      <c r="EF1094" s="111"/>
      <c r="EG1094" s="111"/>
      <c r="EH1094" s="111"/>
      <c r="EI1094" s="111"/>
      <c r="EJ1094" s="111"/>
      <c r="EK1094" s="111"/>
      <c r="EL1094" s="111"/>
      <c r="EM1094" s="111"/>
      <c r="EN1094" s="111"/>
      <c r="EO1094" s="111"/>
      <c r="EP1094" s="111"/>
      <c r="EQ1094" s="111"/>
      <c r="ER1094" s="111"/>
      <c r="ES1094" s="111"/>
    </row>
    <row r="1095" spans="44:149">
      <c r="AR1095" s="29"/>
      <c r="AS1095" s="29"/>
      <c r="AT1095" s="29"/>
      <c r="AU1095" s="29"/>
      <c r="AV1095" s="29"/>
      <c r="AW1095" s="29"/>
      <c r="AX1095" s="29"/>
      <c r="AY1095" s="29"/>
      <c r="AZ1095" s="29"/>
      <c r="BA1095" s="29"/>
      <c r="BB1095" s="29"/>
      <c r="BC1095" s="29"/>
      <c r="BD1095" s="29"/>
      <c r="BE1095" s="29"/>
      <c r="BF1095" s="111"/>
      <c r="BG1095" s="111"/>
      <c r="BH1095" s="111"/>
      <c r="BI1095" s="111"/>
      <c r="BJ1095" s="111"/>
      <c r="BK1095" s="111"/>
      <c r="BL1095" s="111"/>
      <c r="BM1095" s="111"/>
      <c r="BN1095" s="111"/>
      <c r="BO1095" s="111"/>
      <c r="BP1095" s="111"/>
      <c r="BQ1095" s="111"/>
      <c r="BR1095" s="111"/>
      <c r="BS1095" s="111"/>
      <c r="DR1095" s="29"/>
      <c r="DS1095" s="29"/>
      <c r="DT1095" s="29"/>
      <c r="DU1095" s="29"/>
      <c r="DV1095" s="29"/>
      <c r="DW1095" s="29"/>
      <c r="DX1095" s="29"/>
      <c r="DY1095" s="29"/>
      <c r="DZ1095" s="29"/>
      <c r="EA1095" s="29"/>
      <c r="EB1095" s="29"/>
      <c r="EC1095" s="29"/>
      <c r="ED1095" s="29"/>
      <c r="EE1095" s="29"/>
      <c r="EF1095" s="111"/>
      <c r="EG1095" s="111"/>
      <c r="EH1095" s="111"/>
      <c r="EI1095" s="111"/>
      <c r="EJ1095" s="111"/>
      <c r="EK1095" s="111"/>
      <c r="EL1095" s="111"/>
      <c r="EM1095" s="111"/>
      <c r="EN1095" s="111"/>
      <c r="EO1095" s="111"/>
      <c r="EP1095" s="111"/>
      <c r="EQ1095" s="111"/>
      <c r="ER1095" s="111"/>
      <c r="ES1095" s="111"/>
    </row>
    <row r="1096" spans="44:149">
      <c r="AR1096" s="29"/>
      <c r="AS1096" s="29"/>
      <c r="AT1096" s="29"/>
      <c r="AU1096" s="29"/>
      <c r="AV1096" s="29"/>
      <c r="AW1096" s="29"/>
      <c r="AX1096" s="29"/>
      <c r="AY1096" s="29"/>
      <c r="AZ1096" s="29"/>
      <c r="BA1096" s="29"/>
      <c r="BB1096" s="29"/>
      <c r="BC1096" s="29"/>
      <c r="BD1096" s="29"/>
      <c r="BE1096" s="29"/>
      <c r="BF1096" s="111"/>
      <c r="BG1096" s="111"/>
      <c r="BH1096" s="111"/>
      <c r="BI1096" s="111"/>
      <c r="BJ1096" s="111"/>
      <c r="BK1096" s="111"/>
      <c r="BL1096" s="111"/>
      <c r="BM1096" s="111"/>
      <c r="BN1096" s="111"/>
      <c r="BO1096" s="111"/>
      <c r="BP1096" s="111"/>
      <c r="BQ1096" s="111"/>
      <c r="BR1096" s="111"/>
      <c r="BS1096" s="111"/>
      <c r="DR1096" s="29"/>
      <c r="DS1096" s="29"/>
      <c r="DT1096" s="29"/>
      <c r="DU1096" s="29"/>
      <c r="DV1096" s="29"/>
      <c r="DW1096" s="29"/>
      <c r="DX1096" s="29"/>
      <c r="DY1096" s="29"/>
      <c r="DZ1096" s="29"/>
      <c r="EA1096" s="29"/>
      <c r="EB1096" s="29"/>
      <c r="EC1096" s="29"/>
      <c r="ED1096" s="29"/>
      <c r="EE1096" s="29"/>
      <c r="EF1096" s="111"/>
      <c r="EG1096" s="111"/>
      <c r="EH1096" s="111"/>
      <c r="EI1096" s="111"/>
      <c r="EJ1096" s="111"/>
      <c r="EK1096" s="111"/>
      <c r="EL1096" s="111"/>
      <c r="EM1096" s="111"/>
      <c r="EN1096" s="111"/>
      <c r="EO1096" s="111"/>
      <c r="EP1096" s="111"/>
      <c r="EQ1096" s="111"/>
      <c r="ER1096" s="111"/>
      <c r="ES1096" s="111"/>
    </row>
    <row r="1097" spans="44:149">
      <c r="AR1097" s="29"/>
      <c r="AS1097" s="29"/>
      <c r="AT1097" s="29"/>
      <c r="AU1097" s="29"/>
      <c r="AV1097" s="29"/>
      <c r="AW1097" s="29"/>
      <c r="AX1097" s="29"/>
      <c r="AY1097" s="29"/>
      <c r="AZ1097" s="29"/>
      <c r="BA1097" s="29"/>
      <c r="BB1097" s="29"/>
      <c r="BC1097" s="29"/>
      <c r="BD1097" s="29"/>
      <c r="BE1097" s="29"/>
      <c r="BF1097" s="111"/>
      <c r="BG1097" s="111"/>
      <c r="BH1097" s="111"/>
      <c r="BI1097" s="111"/>
      <c r="BJ1097" s="111"/>
      <c r="BK1097" s="111"/>
      <c r="BL1097" s="111"/>
      <c r="BM1097" s="111"/>
      <c r="BN1097" s="111"/>
      <c r="BO1097" s="111"/>
      <c r="BP1097" s="111"/>
      <c r="BQ1097" s="111"/>
      <c r="BR1097" s="111"/>
      <c r="BS1097" s="111"/>
      <c r="DR1097" s="29"/>
      <c r="DS1097" s="29"/>
      <c r="DT1097" s="29"/>
      <c r="DU1097" s="29"/>
      <c r="DV1097" s="29"/>
      <c r="DW1097" s="29"/>
      <c r="DX1097" s="29"/>
      <c r="DY1097" s="29"/>
      <c r="DZ1097" s="29"/>
      <c r="EA1097" s="29"/>
      <c r="EB1097" s="29"/>
      <c r="EC1097" s="29"/>
      <c r="ED1097" s="29"/>
      <c r="EE1097" s="29"/>
      <c r="EF1097" s="111"/>
      <c r="EG1097" s="111"/>
      <c r="EH1097" s="111"/>
      <c r="EI1097" s="111"/>
      <c r="EJ1097" s="111"/>
      <c r="EK1097" s="111"/>
      <c r="EL1097" s="111"/>
      <c r="EM1097" s="111"/>
      <c r="EN1097" s="111"/>
      <c r="EO1097" s="111"/>
      <c r="EP1097" s="111"/>
      <c r="EQ1097" s="111"/>
      <c r="ER1097" s="111"/>
      <c r="ES1097" s="111"/>
    </row>
    <row r="1098" spans="44:149">
      <c r="AR1098" s="29"/>
      <c r="AS1098" s="29"/>
      <c r="AT1098" s="29"/>
      <c r="AU1098" s="29"/>
      <c r="AV1098" s="29"/>
      <c r="AW1098" s="29"/>
      <c r="AX1098" s="29"/>
      <c r="AY1098" s="29"/>
      <c r="AZ1098" s="29"/>
      <c r="BA1098" s="29"/>
      <c r="BB1098" s="29"/>
      <c r="BC1098" s="29"/>
      <c r="BD1098" s="29"/>
      <c r="BE1098" s="29"/>
      <c r="BF1098" s="111"/>
      <c r="BG1098" s="111"/>
      <c r="BH1098" s="111"/>
      <c r="BI1098" s="111"/>
      <c r="BJ1098" s="111"/>
      <c r="BK1098" s="111"/>
      <c r="BL1098" s="111"/>
      <c r="BM1098" s="111"/>
      <c r="BN1098" s="111"/>
      <c r="BO1098" s="111"/>
      <c r="BP1098" s="111"/>
      <c r="BQ1098" s="111"/>
      <c r="BR1098" s="111"/>
      <c r="BS1098" s="111"/>
      <c r="DR1098" s="29"/>
      <c r="DS1098" s="29"/>
      <c r="DT1098" s="29"/>
      <c r="DU1098" s="29"/>
      <c r="DV1098" s="29"/>
      <c r="DW1098" s="29"/>
      <c r="DX1098" s="29"/>
      <c r="DY1098" s="29"/>
      <c r="DZ1098" s="29"/>
      <c r="EA1098" s="29"/>
      <c r="EB1098" s="29"/>
      <c r="EC1098" s="29"/>
      <c r="ED1098" s="29"/>
      <c r="EE1098" s="29"/>
      <c r="EF1098" s="111"/>
      <c r="EG1098" s="111"/>
      <c r="EH1098" s="111"/>
      <c r="EI1098" s="111"/>
      <c r="EJ1098" s="111"/>
      <c r="EK1098" s="111"/>
      <c r="EL1098" s="111"/>
      <c r="EM1098" s="111"/>
      <c r="EN1098" s="111"/>
      <c r="EO1098" s="111"/>
      <c r="EP1098" s="111"/>
      <c r="EQ1098" s="111"/>
      <c r="ER1098" s="111"/>
      <c r="ES1098" s="111"/>
    </row>
    <row r="1099" spans="44:149">
      <c r="AR1099" s="29"/>
      <c r="AS1099" s="29"/>
      <c r="AT1099" s="29"/>
      <c r="AU1099" s="29"/>
      <c r="AV1099" s="29"/>
      <c r="AW1099" s="29"/>
      <c r="AX1099" s="29"/>
      <c r="AY1099" s="29"/>
      <c r="AZ1099" s="29"/>
      <c r="BA1099" s="29"/>
      <c r="BB1099" s="29"/>
      <c r="BC1099" s="29"/>
      <c r="BD1099" s="29"/>
      <c r="BE1099" s="29"/>
      <c r="BF1099" s="111"/>
      <c r="BG1099" s="111"/>
      <c r="BH1099" s="111"/>
      <c r="BI1099" s="111"/>
      <c r="BJ1099" s="111"/>
      <c r="BK1099" s="111"/>
      <c r="BL1099" s="111"/>
      <c r="BM1099" s="111"/>
      <c r="BN1099" s="111"/>
      <c r="BO1099" s="111"/>
      <c r="BP1099" s="111"/>
      <c r="BQ1099" s="111"/>
      <c r="BR1099" s="111"/>
      <c r="BS1099" s="111"/>
      <c r="DR1099" s="29"/>
      <c r="DS1099" s="29"/>
      <c r="DT1099" s="29"/>
      <c r="DU1099" s="29"/>
      <c r="DV1099" s="29"/>
      <c r="DW1099" s="29"/>
      <c r="DX1099" s="29"/>
      <c r="DY1099" s="29"/>
      <c r="DZ1099" s="29"/>
      <c r="EA1099" s="29"/>
      <c r="EB1099" s="29"/>
      <c r="EC1099" s="29"/>
      <c r="ED1099" s="29"/>
      <c r="EE1099" s="29"/>
      <c r="EF1099" s="111"/>
      <c r="EG1099" s="111"/>
      <c r="EH1099" s="111"/>
      <c r="EI1099" s="111"/>
      <c r="EJ1099" s="111"/>
      <c r="EK1099" s="111"/>
      <c r="EL1099" s="111"/>
      <c r="EM1099" s="111"/>
      <c r="EN1099" s="111"/>
      <c r="EO1099" s="111"/>
      <c r="EP1099" s="111"/>
      <c r="EQ1099" s="111"/>
      <c r="ER1099" s="111"/>
      <c r="ES1099" s="111"/>
    </row>
    <row r="1100" spans="44:149">
      <c r="AR1100" s="29"/>
      <c r="AS1100" s="29"/>
      <c r="AT1100" s="29"/>
      <c r="AU1100" s="29"/>
      <c r="AV1100" s="29"/>
      <c r="AW1100" s="29"/>
      <c r="AX1100" s="29"/>
      <c r="AY1100" s="29"/>
      <c r="AZ1100" s="29"/>
      <c r="BA1100" s="29"/>
      <c r="BB1100" s="29"/>
      <c r="BC1100" s="29"/>
      <c r="BD1100" s="29"/>
      <c r="BE1100" s="29"/>
      <c r="BF1100" s="111"/>
      <c r="BG1100" s="111"/>
      <c r="BH1100" s="111"/>
      <c r="BI1100" s="111"/>
      <c r="BJ1100" s="111"/>
      <c r="BK1100" s="111"/>
      <c r="BL1100" s="111"/>
      <c r="BM1100" s="111"/>
      <c r="BN1100" s="111"/>
      <c r="BO1100" s="111"/>
      <c r="BP1100" s="111"/>
      <c r="BQ1100" s="111"/>
      <c r="BR1100" s="111"/>
      <c r="BS1100" s="111"/>
      <c r="DR1100" s="29"/>
      <c r="DS1100" s="29"/>
      <c r="DT1100" s="29"/>
      <c r="DU1100" s="29"/>
      <c r="DV1100" s="29"/>
      <c r="DW1100" s="29"/>
      <c r="DX1100" s="29"/>
      <c r="DY1100" s="29"/>
      <c r="DZ1100" s="29"/>
      <c r="EA1100" s="29"/>
      <c r="EB1100" s="29"/>
      <c r="EC1100" s="29"/>
      <c r="ED1100" s="29"/>
      <c r="EE1100" s="29"/>
      <c r="EF1100" s="111"/>
      <c r="EG1100" s="111"/>
      <c r="EH1100" s="111"/>
      <c r="EI1100" s="111"/>
      <c r="EJ1100" s="111"/>
      <c r="EK1100" s="111"/>
      <c r="EL1100" s="111"/>
      <c r="EM1100" s="111"/>
      <c r="EN1100" s="111"/>
      <c r="EO1100" s="111"/>
      <c r="EP1100" s="111"/>
      <c r="EQ1100" s="111"/>
      <c r="ER1100" s="111"/>
      <c r="ES1100" s="111"/>
    </row>
    <row r="1101" spans="44:149">
      <c r="AR1101" s="29"/>
      <c r="AS1101" s="29"/>
      <c r="AT1101" s="29"/>
      <c r="AU1101" s="29"/>
      <c r="AV1101" s="29"/>
      <c r="AW1101" s="29"/>
      <c r="AX1101" s="29"/>
      <c r="AY1101" s="29"/>
      <c r="AZ1101" s="29"/>
      <c r="BA1101" s="29"/>
      <c r="BB1101" s="29"/>
      <c r="BC1101" s="29"/>
      <c r="BD1101" s="29"/>
      <c r="BE1101" s="29"/>
      <c r="BF1101" s="111"/>
      <c r="BG1101" s="111"/>
      <c r="BH1101" s="111"/>
      <c r="BI1101" s="111"/>
      <c r="BJ1101" s="111"/>
      <c r="BK1101" s="111"/>
      <c r="BL1101" s="111"/>
      <c r="BM1101" s="111"/>
      <c r="BN1101" s="111"/>
      <c r="BO1101" s="111"/>
      <c r="BP1101" s="111"/>
      <c r="BQ1101" s="111"/>
      <c r="BR1101" s="111"/>
      <c r="BS1101" s="111"/>
      <c r="DR1101" s="29"/>
      <c r="DS1101" s="29"/>
      <c r="DT1101" s="29"/>
      <c r="DU1101" s="29"/>
      <c r="DV1101" s="29"/>
      <c r="DW1101" s="29"/>
      <c r="DX1101" s="29"/>
      <c r="DY1101" s="29"/>
      <c r="DZ1101" s="29"/>
      <c r="EA1101" s="29"/>
      <c r="EB1101" s="29"/>
      <c r="EC1101" s="29"/>
      <c r="ED1101" s="29"/>
      <c r="EE1101" s="29"/>
      <c r="EF1101" s="111"/>
      <c r="EG1101" s="111"/>
      <c r="EH1101" s="111"/>
      <c r="EI1101" s="111"/>
      <c r="EJ1101" s="111"/>
      <c r="EK1101" s="111"/>
      <c r="EL1101" s="111"/>
      <c r="EM1101" s="111"/>
      <c r="EN1101" s="111"/>
      <c r="EO1101" s="111"/>
      <c r="EP1101" s="111"/>
      <c r="EQ1101" s="111"/>
      <c r="ER1101" s="111"/>
      <c r="ES1101" s="111"/>
    </row>
    <row r="1102" spans="44:149">
      <c r="AR1102" s="29"/>
      <c r="AS1102" s="29"/>
      <c r="AT1102" s="29"/>
      <c r="AU1102" s="29"/>
      <c r="AV1102" s="29"/>
      <c r="AW1102" s="29"/>
      <c r="AX1102" s="29"/>
      <c r="AY1102" s="29"/>
      <c r="AZ1102" s="29"/>
      <c r="BA1102" s="29"/>
      <c r="BB1102" s="29"/>
      <c r="BC1102" s="29"/>
      <c r="BD1102" s="29"/>
      <c r="BE1102" s="29"/>
      <c r="BF1102" s="111"/>
      <c r="BG1102" s="111"/>
      <c r="BH1102" s="111"/>
      <c r="BI1102" s="111"/>
      <c r="BJ1102" s="111"/>
      <c r="BK1102" s="111"/>
      <c r="BL1102" s="111"/>
      <c r="BM1102" s="111"/>
      <c r="BN1102" s="111"/>
      <c r="BO1102" s="111"/>
      <c r="BP1102" s="111"/>
      <c r="BQ1102" s="111"/>
      <c r="BR1102" s="111"/>
      <c r="BS1102" s="111"/>
      <c r="DR1102" s="29"/>
      <c r="DS1102" s="29"/>
      <c r="DT1102" s="29"/>
      <c r="DU1102" s="29"/>
      <c r="DV1102" s="29"/>
      <c r="DW1102" s="29"/>
      <c r="DX1102" s="29"/>
      <c r="DY1102" s="29"/>
      <c r="DZ1102" s="29"/>
      <c r="EA1102" s="29"/>
      <c r="EB1102" s="29"/>
      <c r="EC1102" s="29"/>
      <c r="ED1102" s="29"/>
      <c r="EE1102" s="29"/>
      <c r="EF1102" s="111"/>
      <c r="EG1102" s="111"/>
      <c r="EH1102" s="111"/>
      <c r="EI1102" s="111"/>
      <c r="EJ1102" s="111"/>
      <c r="EK1102" s="111"/>
      <c r="EL1102" s="111"/>
      <c r="EM1102" s="111"/>
      <c r="EN1102" s="111"/>
      <c r="EO1102" s="111"/>
      <c r="EP1102" s="111"/>
      <c r="EQ1102" s="111"/>
      <c r="ER1102" s="111"/>
      <c r="ES1102" s="111"/>
    </row>
    <row r="1103" spans="44:149">
      <c r="AR1103" s="29"/>
      <c r="AS1103" s="29"/>
      <c r="AT1103" s="29"/>
      <c r="AU1103" s="29"/>
      <c r="AV1103" s="29"/>
      <c r="AW1103" s="29"/>
      <c r="AX1103" s="29"/>
      <c r="AY1103" s="29"/>
      <c r="AZ1103" s="29"/>
      <c r="BA1103" s="29"/>
      <c r="BB1103" s="29"/>
      <c r="BC1103" s="29"/>
      <c r="BD1103" s="29"/>
      <c r="BE1103" s="29"/>
      <c r="BF1103" s="111"/>
      <c r="BG1103" s="111"/>
      <c r="BH1103" s="111"/>
      <c r="BI1103" s="111"/>
      <c r="BJ1103" s="111"/>
      <c r="BK1103" s="111"/>
      <c r="BL1103" s="111"/>
      <c r="BM1103" s="111"/>
      <c r="BN1103" s="111"/>
      <c r="BO1103" s="111"/>
      <c r="BP1103" s="111"/>
      <c r="BQ1103" s="111"/>
      <c r="BR1103" s="111"/>
      <c r="BS1103" s="111"/>
      <c r="DR1103" s="29"/>
      <c r="DS1103" s="29"/>
      <c r="DT1103" s="29"/>
      <c r="DU1103" s="29"/>
      <c r="DV1103" s="29"/>
      <c r="DW1103" s="29"/>
      <c r="DX1103" s="29"/>
      <c r="DY1103" s="29"/>
      <c r="DZ1103" s="29"/>
      <c r="EA1103" s="29"/>
      <c r="EB1103" s="29"/>
      <c r="EC1103" s="29"/>
      <c r="ED1103" s="29"/>
      <c r="EE1103" s="29"/>
      <c r="EF1103" s="111"/>
      <c r="EG1103" s="111"/>
      <c r="EH1103" s="111"/>
      <c r="EI1103" s="111"/>
      <c r="EJ1103" s="111"/>
      <c r="EK1103" s="111"/>
      <c r="EL1103" s="111"/>
      <c r="EM1103" s="111"/>
      <c r="EN1103" s="111"/>
      <c r="EO1103" s="111"/>
      <c r="EP1103" s="111"/>
      <c r="EQ1103" s="111"/>
      <c r="ER1103" s="111"/>
      <c r="ES1103" s="111"/>
    </row>
    <row r="1104" spans="44:149">
      <c r="AR1104" s="29"/>
      <c r="AS1104" s="29"/>
      <c r="AT1104" s="29"/>
      <c r="AU1104" s="29"/>
      <c r="AV1104" s="29"/>
      <c r="AW1104" s="29"/>
      <c r="AX1104" s="29"/>
      <c r="AY1104" s="29"/>
      <c r="AZ1104" s="29"/>
      <c r="BA1104" s="29"/>
      <c r="BB1104" s="29"/>
      <c r="BC1104" s="29"/>
      <c r="BD1104" s="29"/>
      <c r="BE1104" s="29"/>
      <c r="BF1104" s="111"/>
      <c r="BG1104" s="111"/>
      <c r="BH1104" s="111"/>
      <c r="BI1104" s="111"/>
      <c r="BJ1104" s="111"/>
      <c r="BK1104" s="111"/>
      <c r="BL1104" s="111"/>
      <c r="BM1104" s="111"/>
      <c r="BN1104" s="111"/>
      <c r="BO1104" s="111"/>
      <c r="BP1104" s="111"/>
      <c r="BQ1104" s="111"/>
      <c r="BR1104" s="111"/>
      <c r="BS1104" s="111"/>
      <c r="DR1104" s="29"/>
      <c r="DS1104" s="29"/>
      <c r="DT1104" s="29"/>
      <c r="DU1104" s="29"/>
      <c r="DV1104" s="29"/>
      <c r="DW1104" s="29"/>
      <c r="DX1104" s="29"/>
      <c r="DY1104" s="29"/>
      <c r="DZ1104" s="29"/>
      <c r="EA1104" s="29"/>
      <c r="EB1104" s="29"/>
      <c r="EC1104" s="29"/>
      <c r="ED1104" s="29"/>
      <c r="EE1104" s="29"/>
      <c r="EF1104" s="111"/>
      <c r="EG1104" s="111"/>
      <c r="EH1104" s="111"/>
      <c r="EI1104" s="111"/>
      <c r="EJ1104" s="111"/>
      <c r="EK1104" s="111"/>
      <c r="EL1104" s="111"/>
      <c r="EM1104" s="111"/>
      <c r="EN1104" s="111"/>
      <c r="EO1104" s="111"/>
      <c r="EP1104" s="111"/>
      <c r="EQ1104" s="111"/>
      <c r="ER1104" s="111"/>
      <c r="ES1104" s="111"/>
    </row>
    <row r="1105" spans="44:149">
      <c r="AR1105" s="29"/>
      <c r="AS1105" s="29"/>
      <c r="AT1105" s="29"/>
      <c r="AU1105" s="29"/>
      <c r="AV1105" s="29"/>
      <c r="AW1105" s="29"/>
      <c r="AX1105" s="29"/>
      <c r="AY1105" s="29"/>
      <c r="AZ1105" s="29"/>
      <c r="BA1105" s="29"/>
      <c r="BB1105" s="29"/>
      <c r="BC1105" s="29"/>
      <c r="BD1105" s="29"/>
      <c r="BE1105" s="29"/>
      <c r="BF1105" s="111"/>
      <c r="BG1105" s="111"/>
      <c r="BH1105" s="111"/>
      <c r="BI1105" s="111"/>
      <c r="BJ1105" s="111"/>
      <c r="BK1105" s="111"/>
      <c r="BL1105" s="111"/>
      <c r="BM1105" s="111"/>
      <c r="BN1105" s="111"/>
      <c r="BO1105" s="111"/>
      <c r="BP1105" s="111"/>
      <c r="BQ1105" s="111"/>
      <c r="BR1105" s="111"/>
      <c r="BS1105" s="111"/>
      <c r="DR1105" s="29"/>
      <c r="DS1105" s="29"/>
      <c r="DT1105" s="29"/>
      <c r="DU1105" s="29"/>
      <c r="DV1105" s="29"/>
      <c r="DW1105" s="29"/>
      <c r="DX1105" s="29"/>
      <c r="DY1105" s="29"/>
      <c r="DZ1105" s="29"/>
      <c r="EA1105" s="29"/>
      <c r="EB1105" s="29"/>
      <c r="EC1105" s="29"/>
      <c r="ED1105" s="29"/>
      <c r="EE1105" s="29"/>
      <c r="EF1105" s="111"/>
      <c r="EG1105" s="111"/>
      <c r="EH1105" s="111"/>
      <c r="EI1105" s="111"/>
      <c r="EJ1105" s="111"/>
      <c r="EK1105" s="111"/>
      <c r="EL1105" s="111"/>
      <c r="EM1105" s="111"/>
      <c r="EN1105" s="111"/>
      <c r="EO1105" s="111"/>
      <c r="EP1105" s="111"/>
      <c r="EQ1105" s="111"/>
      <c r="ER1105" s="111"/>
      <c r="ES1105" s="111"/>
    </row>
    <row r="1106" spans="44:149">
      <c r="AR1106" s="29"/>
      <c r="AS1106" s="29"/>
      <c r="AT1106" s="29"/>
      <c r="AU1106" s="29"/>
      <c r="AV1106" s="29"/>
      <c r="AW1106" s="29"/>
      <c r="AX1106" s="29"/>
      <c r="AY1106" s="29"/>
      <c r="AZ1106" s="29"/>
      <c r="BA1106" s="29"/>
      <c r="BB1106" s="29"/>
      <c r="BC1106" s="29"/>
      <c r="BD1106" s="29"/>
      <c r="BE1106" s="29"/>
      <c r="BF1106" s="111"/>
      <c r="BG1106" s="111"/>
      <c r="BH1106" s="111"/>
      <c r="BI1106" s="111"/>
      <c r="BJ1106" s="111"/>
      <c r="BK1106" s="111"/>
      <c r="BL1106" s="111"/>
      <c r="BM1106" s="111"/>
      <c r="BN1106" s="111"/>
      <c r="BO1106" s="111"/>
      <c r="BP1106" s="111"/>
      <c r="BQ1106" s="111"/>
      <c r="BR1106" s="111"/>
      <c r="BS1106" s="111"/>
      <c r="DR1106" s="29"/>
      <c r="DS1106" s="29"/>
      <c r="DT1106" s="29"/>
      <c r="DU1106" s="29"/>
      <c r="DV1106" s="29"/>
      <c r="DW1106" s="29"/>
      <c r="DX1106" s="29"/>
      <c r="DY1106" s="29"/>
      <c r="DZ1106" s="29"/>
      <c r="EA1106" s="29"/>
      <c r="EB1106" s="29"/>
      <c r="EC1106" s="29"/>
      <c r="ED1106" s="29"/>
      <c r="EE1106" s="29"/>
      <c r="EF1106" s="111"/>
      <c r="EG1106" s="111"/>
      <c r="EH1106" s="111"/>
      <c r="EI1106" s="111"/>
      <c r="EJ1106" s="111"/>
      <c r="EK1106" s="111"/>
      <c r="EL1106" s="111"/>
      <c r="EM1106" s="111"/>
      <c r="EN1106" s="111"/>
      <c r="EO1106" s="111"/>
      <c r="EP1106" s="111"/>
      <c r="EQ1106" s="111"/>
      <c r="ER1106" s="111"/>
      <c r="ES1106" s="111"/>
    </row>
    <row r="1107" spans="44:149">
      <c r="AR1107" s="29"/>
      <c r="AS1107" s="29"/>
      <c r="AT1107" s="29"/>
      <c r="AU1107" s="29"/>
      <c r="AV1107" s="29"/>
      <c r="AW1107" s="29"/>
      <c r="AX1107" s="29"/>
      <c r="AY1107" s="29"/>
      <c r="AZ1107" s="29"/>
      <c r="BA1107" s="29"/>
      <c r="BB1107" s="29"/>
      <c r="BC1107" s="29"/>
      <c r="BD1107" s="29"/>
      <c r="BE1107" s="29"/>
      <c r="BF1107" s="111"/>
      <c r="BG1107" s="111"/>
      <c r="BH1107" s="111"/>
      <c r="BI1107" s="111"/>
      <c r="BJ1107" s="111"/>
      <c r="BK1107" s="111"/>
      <c r="BL1107" s="111"/>
      <c r="BM1107" s="111"/>
      <c r="BN1107" s="111"/>
      <c r="BO1107" s="111"/>
      <c r="BP1107" s="111"/>
      <c r="BQ1107" s="111"/>
      <c r="BR1107" s="111"/>
      <c r="BS1107" s="111"/>
      <c r="DR1107" s="29"/>
      <c r="DS1107" s="29"/>
      <c r="DT1107" s="29"/>
      <c r="DU1107" s="29"/>
      <c r="DV1107" s="29"/>
      <c r="DW1107" s="29"/>
      <c r="DX1107" s="29"/>
      <c r="DY1107" s="29"/>
      <c r="DZ1107" s="29"/>
      <c r="EA1107" s="29"/>
      <c r="EB1107" s="29"/>
      <c r="EC1107" s="29"/>
      <c r="ED1107" s="29"/>
      <c r="EE1107" s="29"/>
      <c r="EF1107" s="111"/>
      <c r="EG1107" s="111"/>
      <c r="EH1107" s="111"/>
      <c r="EI1107" s="111"/>
      <c r="EJ1107" s="111"/>
      <c r="EK1107" s="111"/>
      <c r="EL1107" s="111"/>
      <c r="EM1107" s="111"/>
      <c r="EN1107" s="111"/>
      <c r="EO1107" s="111"/>
      <c r="EP1107" s="111"/>
      <c r="EQ1107" s="111"/>
      <c r="ER1107" s="111"/>
      <c r="ES1107" s="111"/>
    </row>
    <row r="1108" spans="44:149">
      <c r="AR1108" s="29"/>
      <c r="AS1108" s="29"/>
      <c r="AT1108" s="29"/>
      <c r="AU1108" s="29"/>
      <c r="AV1108" s="29"/>
      <c r="AW1108" s="29"/>
      <c r="AX1108" s="29"/>
      <c r="AY1108" s="29"/>
      <c r="AZ1108" s="29"/>
      <c r="BA1108" s="29"/>
      <c r="BB1108" s="29"/>
      <c r="BC1108" s="29"/>
      <c r="BD1108" s="29"/>
      <c r="BE1108" s="29"/>
      <c r="BF1108" s="111"/>
      <c r="BG1108" s="111"/>
      <c r="BH1108" s="111"/>
      <c r="BI1108" s="111"/>
      <c r="BJ1108" s="111"/>
      <c r="BK1108" s="111"/>
      <c r="BL1108" s="111"/>
      <c r="BM1108" s="111"/>
      <c r="BN1108" s="111"/>
      <c r="BO1108" s="111"/>
      <c r="BP1108" s="111"/>
      <c r="BQ1108" s="111"/>
      <c r="BR1108" s="111"/>
      <c r="BS1108" s="111"/>
      <c r="DR1108" s="29"/>
      <c r="DS1108" s="29"/>
      <c r="DT1108" s="29"/>
      <c r="DU1108" s="29"/>
      <c r="DV1108" s="29"/>
      <c r="DW1108" s="29"/>
      <c r="DX1108" s="29"/>
      <c r="DY1108" s="29"/>
      <c r="DZ1108" s="29"/>
      <c r="EA1108" s="29"/>
      <c r="EB1108" s="29"/>
      <c r="EC1108" s="29"/>
      <c r="ED1108" s="29"/>
      <c r="EE1108" s="29"/>
      <c r="EF1108" s="111"/>
      <c r="EG1108" s="111"/>
      <c r="EH1108" s="111"/>
      <c r="EI1108" s="111"/>
      <c r="EJ1108" s="111"/>
      <c r="EK1108" s="111"/>
      <c r="EL1108" s="111"/>
      <c r="EM1108" s="111"/>
      <c r="EN1108" s="111"/>
      <c r="EO1108" s="111"/>
      <c r="EP1108" s="111"/>
      <c r="EQ1108" s="111"/>
      <c r="ER1108" s="111"/>
      <c r="ES1108" s="111"/>
    </row>
    <row r="1109" spans="44:149">
      <c r="AR1109" s="29"/>
      <c r="AS1109" s="29"/>
      <c r="AT1109" s="29"/>
      <c r="AU1109" s="29"/>
      <c r="AV1109" s="29"/>
      <c r="AW1109" s="29"/>
      <c r="AX1109" s="29"/>
      <c r="AY1109" s="29"/>
      <c r="AZ1109" s="29"/>
      <c r="BA1109" s="29"/>
      <c r="BB1109" s="29"/>
      <c r="BC1109" s="29"/>
      <c r="BD1109" s="29"/>
      <c r="BE1109" s="29"/>
      <c r="BF1109" s="111"/>
      <c r="BG1109" s="111"/>
      <c r="BH1109" s="111"/>
      <c r="BI1109" s="111"/>
      <c r="BJ1109" s="111"/>
      <c r="BK1109" s="111"/>
      <c r="BL1109" s="111"/>
      <c r="BM1109" s="111"/>
      <c r="BN1109" s="111"/>
      <c r="BO1109" s="111"/>
      <c r="BP1109" s="111"/>
      <c r="BQ1109" s="111"/>
      <c r="BR1109" s="111"/>
      <c r="BS1109" s="111"/>
      <c r="DR1109" s="29"/>
      <c r="DS1109" s="29"/>
      <c r="DT1109" s="29"/>
      <c r="DU1109" s="29"/>
      <c r="DV1109" s="29"/>
      <c r="DW1109" s="29"/>
      <c r="DX1109" s="29"/>
      <c r="DY1109" s="29"/>
      <c r="DZ1109" s="29"/>
      <c r="EA1109" s="29"/>
      <c r="EB1109" s="29"/>
      <c r="EC1109" s="29"/>
      <c r="ED1109" s="29"/>
      <c r="EE1109" s="29"/>
      <c r="EF1109" s="111"/>
      <c r="EG1109" s="111"/>
      <c r="EH1109" s="111"/>
      <c r="EI1109" s="111"/>
      <c r="EJ1109" s="111"/>
      <c r="EK1109" s="111"/>
      <c r="EL1109" s="111"/>
      <c r="EM1109" s="111"/>
      <c r="EN1109" s="111"/>
      <c r="EO1109" s="111"/>
      <c r="EP1109" s="111"/>
      <c r="EQ1109" s="111"/>
      <c r="ER1109" s="111"/>
      <c r="ES1109" s="111"/>
    </row>
    <row r="1110" spans="44:149">
      <c r="AR1110" s="29"/>
      <c r="AS1110" s="29"/>
      <c r="AT1110" s="29"/>
      <c r="AU1110" s="29"/>
      <c r="AV1110" s="29"/>
      <c r="AW1110" s="29"/>
      <c r="AX1110" s="29"/>
      <c r="AY1110" s="29"/>
      <c r="AZ1110" s="29"/>
      <c r="BA1110" s="29"/>
      <c r="BB1110" s="29"/>
      <c r="BC1110" s="29"/>
      <c r="BD1110" s="29"/>
      <c r="BE1110" s="29"/>
      <c r="BF1110" s="111"/>
      <c r="BG1110" s="111"/>
      <c r="BH1110" s="111"/>
      <c r="BI1110" s="111"/>
      <c r="BJ1110" s="111"/>
      <c r="BK1110" s="111"/>
      <c r="BL1110" s="111"/>
      <c r="BM1110" s="111"/>
      <c r="BN1110" s="111"/>
      <c r="BO1110" s="111"/>
      <c r="BP1110" s="111"/>
      <c r="BQ1110" s="111"/>
      <c r="BR1110" s="111"/>
      <c r="BS1110" s="111"/>
      <c r="DR1110" s="29"/>
      <c r="DS1110" s="29"/>
      <c r="DT1110" s="29"/>
      <c r="DU1110" s="29"/>
      <c r="DV1110" s="29"/>
      <c r="DW1110" s="29"/>
      <c r="DX1110" s="29"/>
      <c r="DY1110" s="29"/>
      <c r="DZ1110" s="29"/>
      <c r="EA1110" s="29"/>
      <c r="EB1110" s="29"/>
      <c r="EC1110" s="29"/>
      <c r="ED1110" s="29"/>
      <c r="EE1110" s="29"/>
      <c r="EF1110" s="111"/>
      <c r="EG1110" s="111"/>
      <c r="EH1110" s="111"/>
      <c r="EI1110" s="111"/>
      <c r="EJ1110" s="111"/>
      <c r="EK1110" s="111"/>
      <c r="EL1110" s="111"/>
      <c r="EM1110" s="111"/>
      <c r="EN1110" s="111"/>
      <c r="EO1110" s="111"/>
      <c r="EP1110" s="111"/>
      <c r="EQ1110" s="111"/>
      <c r="ER1110" s="111"/>
      <c r="ES1110" s="111"/>
    </row>
    <row r="1111" spans="44:149">
      <c r="AR1111" s="29"/>
      <c r="AS1111" s="29"/>
      <c r="AT1111" s="29"/>
      <c r="AU1111" s="29"/>
      <c r="AV1111" s="29"/>
      <c r="AW1111" s="29"/>
      <c r="AX1111" s="29"/>
      <c r="AY1111" s="29"/>
      <c r="AZ1111" s="29"/>
      <c r="BA1111" s="29"/>
      <c r="BB1111" s="29"/>
      <c r="BC1111" s="29"/>
      <c r="BD1111" s="29"/>
      <c r="BE1111" s="29"/>
      <c r="BF1111" s="111"/>
      <c r="BG1111" s="111"/>
      <c r="BH1111" s="111"/>
      <c r="BI1111" s="111"/>
      <c r="BJ1111" s="111"/>
      <c r="BK1111" s="111"/>
      <c r="BL1111" s="111"/>
      <c r="BM1111" s="111"/>
      <c r="BN1111" s="111"/>
      <c r="BO1111" s="111"/>
      <c r="BP1111" s="111"/>
      <c r="BQ1111" s="111"/>
      <c r="BR1111" s="111"/>
      <c r="BS1111" s="111"/>
      <c r="DR1111" s="29"/>
      <c r="DS1111" s="29"/>
      <c r="DT1111" s="29"/>
      <c r="DU1111" s="29"/>
      <c r="DV1111" s="29"/>
      <c r="DW1111" s="29"/>
      <c r="DX1111" s="29"/>
      <c r="DY1111" s="29"/>
      <c r="DZ1111" s="29"/>
      <c r="EA1111" s="29"/>
      <c r="EB1111" s="29"/>
      <c r="EC1111" s="29"/>
      <c r="ED1111" s="29"/>
      <c r="EE1111" s="29"/>
      <c r="EF1111" s="111"/>
      <c r="EG1111" s="111"/>
      <c r="EH1111" s="111"/>
      <c r="EI1111" s="111"/>
      <c r="EJ1111" s="111"/>
      <c r="EK1111" s="111"/>
      <c r="EL1111" s="111"/>
      <c r="EM1111" s="111"/>
      <c r="EN1111" s="111"/>
      <c r="EO1111" s="111"/>
      <c r="EP1111" s="111"/>
      <c r="EQ1111" s="111"/>
      <c r="ER1111" s="111"/>
      <c r="ES1111" s="111"/>
    </row>
    <row r="1112" spans="44:149">
      <c r="AR1112" s="29"/>
      <c r="AS1112" s="29"/>
      <c r="AT1112" s="29"/>
      <c r="AU1112" s="29"/>
      <c r="AV1112" s="29"/>
      <c r="AW1112" s="29"/>
      <c r="AX1112" s="29"/>
      <c r="AY1112" s="29"/>
      <c r="AZ1112" s="29"/>
      <c r="BA1112" s="29"/>
      <c r="BB1112" s="29"/>
      <c r="BC1112" s="29"/>
      <c r="BD1112" s="29"/>
      <c r="BE1112" s="29"/>
      <c r="BF1112" s="111"/>
      <c r="BG1112" s="111"/>
      <c r="BH1112" s="111"/>
      <c r="BI1112" s="111"/>
      <c r="BJ1112" s="111"/>
      <c r="BK1112" s="111"/>
      <c r="BL1112" s="111"/>
      <c r="BM1112" s="111"/>
      <c r="BN1112" s="111"/>
      <c r="BO1112" s="111"/>
      <c r="BP1112" s="111"/>
      <c r="BQ1112" s="111"/>
      <c r="BR1112" s="111"/>
      <c r="BS1112" s="111"/>
      <c r="DR1112" s="29"/>
      <c r="DS1112" s="29"/>
      <c r="DT1112" s="29"/>
      <c r="DU1112" s="29"/>
      <c r="DV1112" s="29"/>
      <c r="DW1112" s="29"/>
      <c r="DX1112" s="29"/>
      <c r="DY1112" s="29"/>
      <c r="DZ1112" s="29"/>
      <c r="EA1112" s="29"/>
      <c r="EB1112" s="29"/>
      <c r="EC1112" s="29"/>
      <c r="ED1112" s="29"/>
      <c r="EE1112" s="29"/>
      <c r="EF1112" s="111"/>
      <c r="EG1112" s="111"/>
      <c r="EH1112" s="111"/>
      <c r="EI1112" s="111"/>
      <c r="EJ1112" s="111"/>
      <c r="EK1112" s="111"/>
      <c r="EL1112" s="111"/>
      <c r="EM1112" s="111"/>
      <c r="EN1112" s="111"/>
      <c r="EO1112" s="111"/>
      <c r="EP1112" s="111"/>
      <c r="EQ1112" s="111"/>
      <c r="ER1112" s="111"/>
      <c r="ES1112" s="111"/>
    </row>
    <row r="1113" spans="44:149">
      <c r="AR1113" s="29"/>
      <c r="AS1113" s="29"/>
      <c r="AT1113" s="29"/>
      <c r="AU1113" s="29"/>
      <c r="AV1113" s="29"/>
      <c r="AW1113" s="29"/>
      <c r="AX1113" s="29"/>
      <c r="AY1113" s="29"/>
      <c r="AZ1113" s="29"/>
      <c r="BA1113" s="29"/>
      <c r="BB1113" s="29"/>
      <c r="BC1113" s="29"/>
      <c r="BD1113" s="29"/>
      <c r="BE1113" s="29"/>
      <c r="BF1113" s="111"/>
      <c r="BG1113" s="111"/>
      <c r="BH1113" s="111"/>
      <c r="BI1113" s="111"/>
      <c r="BJ1113" s="111"/>
      <c r="BK1113" s="111"/>
      <c r="BL1113" s="111"/>
      <c r="BM1113" s="111"/>
      <c r="BN1113" s="111"/>
      <c r="BO1113" s="111"/>
      <c r="BP1113" s="111"/>
      <c r="BQ1113" s="111"/>
      <c r="BR1113" s="111"/>
      <c r="BS1113" s="111"/>
      <c r="DR1113" s="29"/>
      <c r="DS1113" s="29"/>
      <c r="DT1113" s="29"/>
      <c r="DU1113" s="29"/>
      <c r="DV1113" s="29"/>
      <c r="DW1113" s="29"/>
      <c r="DX1113" s="29"/>
      <c r="DY1113" s="29"/>
      <c r="DZ1113" s="29"/>
      <c r="EA1113" s="29"/>
      <c r="EB1113" s="29"/>
      <c r="EC1113" s="29"/>
      <c r="ED1113" s="29"/>
      <c r="EE1113" s="29"/>
      <c r="EF1113" s="111"/>
      <c r="EG1113" s="111"/>
      <c r="EH1113" s="111"/>
      <c r="EI1113" s="111"/>
      <c r="EJ1113" s="111"/>
      <c r="EK1113" s="111"/>
      <c r="EL1113" s="111"/>
      <c r="EM1113" s="111"/>
      <c r="EN1113" s="111"/>
      <c r="EO1113" s="111"/>
      <c r="EP1113" s="111"/>
      <c r="EQ1113" s="111"/>
      <c r="ER1113" s="111"/>
      <c r="ES1113" s="111"/>
    </row>
    <row r="1114" spans="44:149">
      <c r="AR1114" s="29"/>
      <c r="AS1114" s="29"/>
      <c r="AT1114" s="29"/>
      <c r="AU1114" s="29"/>
      <c r="AV1114" s="29"/>
      <c r="AW1114" s="29"/>
      <c r="AX1114" s="29"/>
      <c r="AY1114" s="29"/>
      <c r="AZ1114" s="29"/>
      <c r="BA1114" s="29"/>
      <c r="BB1114" s="29"/>
      <c r="BC1114" s="29"/>
      <c r="BD1114" s="29"/>
      <c r="BE1114" s="29"/>
      <c r="BF1114" s="111"/>
      <c r="BG1114" s="111"/>
      <c r="BH1114" s="111"/>
      <c r="BI1114" s="111"/>
      <c r="BJ1114" s="111"/>
      <c r="BK1114" s="111"/>
      <c r="BL1114" s="111"/>
      <c r="BM1114" s="111"/>
      <c r="BN1114" s="111"/>
      <c r="BO1114" s="111"/>
      <c r="BP1114" s="111"/>
      <c r="BQ1114" s="111"/>
      <c r="BR1114" s="111"/>
      <c r="BS1114" s="111"/>
      <c r="DR1114" s="29"/>
      <c r="DS1114" s="29"/>
      <c r="DT1114" s="29"/>
      <c r="DU1114" s="29"/>
      <c r="DV1114" s="29"/>
      <c r="DW1114" s="29"/>
      <c r="DX1114" s="29"/>
      <c r="DY1114" s="29"/>
      <c r="DZ1114" s="29"/>
      <c r="EA1114" s="29"/>
      <c r="EB1114" s="29"/>
      <c r="EC1114" s="29"/>
      <c r="ED1114" s="29"/>
      <c r="EE1114" s="29"/>
      <c r="EF1114" s="111"/>
      <c r="EG1114" s="111"/>
      <c r="EH1114" s="111"/>
      <c r="EI1114" s="111"/>
      <c r="EJ1114" s="111"/>
      <c r="EK1114" s="111"/>
      <c r="EL1114" s="111"/>
      <c r="EM1114" s="111"/>
      <c r="EN1114" s="111"/>
      <c r="EO1114" s="111"/>
      <c r="EP1114" s="111"/>
      <c r="EQ1114" s="111"/>
      <c r="ER1114" s="111"/>
      <c r="ES1114" s="111"/>
    </row>
    <row r="1115" spans="44:149">
      <c r="AR1115" s="29"/>
      <c r="AS1115" s="29"/>
      <c r="AT1115" s="29"/>
      <c r="AU1115" s="29"/>
      <c r="AV1115" s="29"/>
      <c r="AW1115" s="29"/>
      <c r="AX1115" s="29"/>
      <c r="AY1115" s="29"/>
      <c r="AZ1115" s="29"/>
      <c r="BA1115" s="29"/>
      <c r="BB1115" s="29"/>
      <c r="BC1115" s="29"/>
      <c r="BD1115" s="29"/>
      <c r="BE1115" s="29"/>
      <c r="BF1115" s="111"/>
      <c r="BG1115" s="111"/>
      <c r="BH1115" s="111"/>
      <c r="BI1115" s="111"/>
      <c r="BJ1115" s="111"/>
      <c r="BK1115" s="111"/>
      <c r="BL1115" s="111"/>
      <c r="BM1115" s="111"/>
      <c r="BN1115" s="111"/>
      <c r="BO1115" s="111"/>
      <c r="BP1115" s="111"/>
      <c r="BQ1115" s="111"/>
      <c r="BR1115" s="111"/>
      <c r="BS1115" s="111"/>
      <c r="DR1115" s="29"/>
      <c r="DS1115" s="29"/>
      <c r="DT1115" s="29"/>
      <c r="DU1115" s="29"/>
      <c r="DV1115" s="29"/>
      <c r="DW1115" s="29"/>
      <c r="DX1115" s="29"/>
      <c r="DY1115" s="29"/>
      <c r="DZ1115" s="29"/>
      <c r="EA1115" s="29"/>
      <c r="EB1115" s="29"/>
      <c r="EC1115" s="29"/>
      <c r="ED1115" s="29"/>
      <c r="EE1115" s="29"/>
      <c r="EF1115" s="111"/>
      <c r="EG1115" s="111"/>
      <c r="EH1115" s="111"/>
      <c r="EI1115" s="111"/>
      <c r="EJ1115" s="111"/>
      <c r="EK1115" s="111"/>
      <c r="EL1115" s="111"/>
      <c r="EM1115" s="111"/>
      <c r="EN1115" s="111"/>
      <c r="EO1115" s="111"/>
      <c r="EP1115" s="111"/>
      <c r="EQ1115" s="111"/>
      <c r="ER1115" s="111"/>
      <c r="ES1115" s="111"/>
    </row>
    <row r="1116" spans="44:149">
      <c r="AR1116" s="29"/>
      <c r="AS1116" s="29"/>
      <c r="AT1116" s="29"/>
      <c r="AU1116" s="29"/>
      <c r="AV1116" s="29"/>
      <c r="AW1116" s="29"/>
      <c r="AX1116" s="29"/>
      <c r="AY1116" s="29"/>
      <c r="AZ1116" s="29"/>
      <c r="BA1116" s="29"/>
      <c r="BB1116" s="29"/>
      <c r="BC1116" s="29"/>
      <c r="BD1116" s="29"/>
      <c r="BE1116" s="29"/>
      <c r="BF1116" s="111"/>
      <c r="BG1116" s="111"/>
      <c r="BH1116" s="111"/>
      <c r="BI1116" s="111"/>
      <c r="BJ1116" s="111"/>
      <c r="BK1116" s="111"/>
      <c r="BL1116" s="111"/>
      <c r="BM1116" s="111"/>
      <c r="BN1116" s="111"/>
      <c r="BO1116" s="111"/>
      <c r="BP1116" s="111"/>
      <c r="BQ1116" s="111"/>
      <c r="BR1116" s="111"/>
      <c r="BS1116" s="111"/>
      <c r="DR1116" s="29"/>
      <c r="DS1116" s="29"/>
      <c r="DT1116" s="29"/>
      <c r="DU1116" s="29"/>
      <c r="DV1116" s="29"/>
      <c r="DW1116" s="29"/>
      <c r="DX1116" s="29"/>
      <c r="DY1116" s="29"/>
      <c r="DZ1116" s="29"/>
      <c r="EA1116" s="29"/>
      <c r="EB1116" s="29"/>
      <c r="EC1116" s="29"/>
      <c r="ED1116" s="29"/>
      <c r="EE1116" s="29"/>
      <c r="EF1116" s="111"/>
      <c r="EG1116" s="111"/>
      <c r="EH1116" s="111"/>
      <c r="EI1116" s="111"/>
      <c r="EJ1116" s="111"/>
      <c r="EK1116" s="111"/>
      <c r="EL1116" s="111"/>
      <c r="EM1116" s="111"/>
      <c r="EN1116" s="111"/>
      <c r="EO1116" s="111"/>
      <c r="EP1116" s="111"/>
      <c r="EQ1116" s="111"/>
      <c r="ER1116" s="111"/>
      <c r="ES1116" s="111"/>
    </row>
    <row r="1117" spans="44:149">
      <c r="AR1117" s="29"/>
      <c r="AS1117" s="29"/>
      <c r="AT1117" s="29"/>
      <c r="AU1117" s="29"/>
      <c r="AV1117" s="29"/>
      <c r="AW1117" s="29"/>
      <c r="AX1117" s="29"/>
      <c r="AY1117" s="29"/>
      <c r="AZ1117" s="29"/>
      <c r="BA1117" s="29"/>
      <c r="BB1117" s="29"/>
      <c r="BC1117" s="29"/>
      <c r="BD1117" s="29"/>
      <c r="BE1117" s="29"/>
      <c r="BF1117" s="111"/>
      <c r="BG1117" s="111"/>
      <c r="BH1117" s="111"/>
      <c r="BI1117" s="111"/>
      <c r="BJ1117" s="111"/>
      <c r="BK1117" s="111"/>
      <c r="BL1117" s="111"/>
      <c r="BM1117" s="111"/>
      <c r="BN1117" s="111"/>
      <c r="BO1117" s="111"/>
      <c r="BP1117" s="111"/>
      <c r="BQ1117" s="111"/>
      <c r="BR1117" s="111"/>
      <c r="BS1117" s="111"/>
      <c r="DR1117" s="29"/>
      <c r="DS1117" s="29"/>
      <c r="DT1117" s="29"/>
      <c r="DU1117" s="29"/>
      <c r="DV1117" s="29"/>
      <c r="DW1117" s="29"/>
      <c r="DX1117" s="29"/>
      <c r="DY1117" s="29"/>
      <c r="DZ1117" s="29"/>
      <c r="EA1117" s="29"/>
      <c r="EB1117" s="29"/>
      <c r="EC1117" s="29"/>
      <c r="ED1117" s="29"/>
      <c r="EE1117" s="29"/>
      <c r="EF1117" s="111"/>
      <c r="EG1117" s="111"/>
      <c r="EH1117" s="111"/>
      <c r="EI1117" s="111"/>
      <c r="EJ1117" s="111"/>
      <c r="EK1117" s="111"/>
      <c r="EL1117" s="111"/>
      <c r="EM1117" s="111"/>
      <c r="EN1117" s="111"/>
      <c r="EO1117" s="111"/>
      <c r="EP1117" s="111"/>
      <c r="EQ1117" s="111"/>
      <c r="ER1117" s="111"/>
      <c r="ES1117" s="111"/>
    </row>
    <row r="1118" spans="44:149">
      <c r="AR1118" s="29"/>
      <c r="AS1118" s="29"/>
      <c r="AT1118" s="29"/>
      <c r="AU1118" s="29"/>
      <c r="AV1118" s="29"/>
      <c r="AW1118" s="29"/>
      <c r="AX1118" s="29"/>
      <c r="AY1118" s="29"/>
      <c r="AZ1118" s="29"/>
      <c r="BA1118" s="29"/>
      <c r="BB1118" s="29"/>
      <c r="BC1118" s="29"/>
      <c r="BD1118" s="29"/>
      <c r="BE1118" s="29"/>
      <c r="BF1118" s="111"/>
      <c r="BG1118" s="111"/>
      <c r="BH1118" s="111"/>
      <c r="BI1118" s="111"/>
      <c r="BJ1118" s="111"/>
      <c r="BK1118" s="111"/>
      <c r="BL1118" s="111"/>
      <c r="BM1118" s="111"/>
      <c r="BN1118" s="111"/>
      <c r="BO1118" s="111"/>
      <c r="BP1118" s="111"/>
      <c r="BQ1118" s="111"/>
      <c r="BR1118" s="111"/>
      <c r="BS1118" s="111"/>
      <c r="DR1118" s="29"/>
      <c r="DS1118" s="29"/>
      <c r="DT1118" s="29"/>
      <c r="DU1118" s="29"/>
      <c r="DV1118" s="29"/>
      <c r="DW1118" s="29"/>
      <c r="DX1118" s="29"/>
      <c r="DY1118" s="29"/>
      <c r="DZ1118" s="29"/>
      <c r="EA1118" s="29"/>
      <c r="EB1118" s="29"/>
      <c r="EC1118" s="29"/>
      <c r="ED1118" s="29"/>
      <c r="EE1118" s="29"/>
      <c r="EF1118" s="111"/>
      <c r="EG1118" s="111"/>
      <c r="EH1118" s="111"/>
      <c r="EI1118" s="111"/>
      <c r="EJ1118" s="111"/>
      <c r="EK1118" s="111"/>
      <c r="EL1118" s="111"/>
      <c r="EM1118" s="111"/>
      <c r="EN1118" s="111"/>
      <c r="EO1118" s="111"/>
      <c r="EP1118" s="111"/>
      <c r="EQ1118" s="111"/>
      <c r="ER1118" s="111"/>
      <c r="ES1118" s="111"/>
    </row>
    <row r="1119" spans="44:149">
      <c r="AR1119" s="29"/>
      <c r="AS1119" s="29"/>
      <c r="AT1119" s="29"/>
      <c r="AU1119" s="29"/>
      <c r="AV1119" s="29"/>
      <c r="AW1119" s="29"/>
      <c r="AX1119" s="29"/>
      <c r="AY1119" s="29"/>
      <c r="AZ1119" s="29"/>
      <c r="BA1119" s="29"/>
      <c r="BB1119" s="29"/>
      <c r="BC1119" s="29"/>
      <c r="BD1119" s="29"/>
      <c r="BE1119" s="29"/>
      <c r="BF1119" s="111"/>
      <c r="BG1119" s="111"/>
      <c r="BH1119" s="111"/>
      <c r="BI1119" s="111"/>
      <c r="BJ1119" s="111"/>
      <c r="BK1119" s="111"/>
      <c r="BL1119" s="111"/>
      <c r="BM1119" s="111"/>
      <c r="BN1119" s="111"/>
      <c r="BO1119" s="111"/>
      <c r="BP1119" s="111"/>
      <c r="BQ1119" s="111"/>
      <c r="BR1119" s="111"/>
      <c r="BS1119" s="111"/>
      <c r="DR1119" s="29"/>
      <c r="DS1119" s="29"/>
      <c r="DT1119" s="29"/>
      <c r="DU1119" s="29"/>
      <c r="DV1119" s="29"/>
      <c r="DW1119" s="29"/>
      <c r="DX1119" s="29"/>
      <c r="DY1119" s="29"/>
      <c r="DZ1119" s="29"/>
      <c r="EA1119" s="29"/>
      <c r="EB1119" s="29"/>
      <c r="EC1119" s="29"/>
      <c r="ED1119" s="29"/>
      <c r="EE1119" s="29"/>
      <c r="EF1119" s="111"/>
      <c r="EG1119" s="111"/>
      <c r="EH1119" s="111"/>
      <c r="EI1119" s="111"/>
      <c r="EJ1119" s="111"/>
      <c r="EK1119" s="111"/>
      <c r="EL1119" s="111"/>
      <c r="EM1119" s="111"/>
      <c r="EN1119" s="111"/>
      <c r="EO1119" s="111"/>
      <c r="EP1119" s="111"/>
      <c r="EQ1119" s="111"/>
      <c r="ER1119" s="111"/>
      <c r="ES1119" s="111"/>
    </row>
    <row r="1120" spans="44:149">
      <c r="AR1120" s="29"/>
      <c r="AS1120" s="29"/>
      <c r="AT1120" s="29"/>
      <c r="AU1120" s="29"/>
      <c r="AV1120" s="29"/>
      <c r="AW1120" s="29"/>
      <c r="AX1120" s="29"/>
      <c r="AY1120" s="29"/>
      <c r="AZ1120" s="29"/>
      <c r="BA1120" s="29"/>
      <c r="BB1120" s="29"/>
      <c r="BC1120" s="29"/>
      <c r="BD1120" s="29"/>
      <c r="BE1120" s="29"/>
      <c r="BF1120" s="111"/>
      <c r="BG1120" s="111"/>
      <c r="BH1120" s="111"/>
      <c r="BI1120" s="111"/>
      <c r="BJ1120" s="111"/>
      <c r="BK1120" s="111"/>
      <c r="BL1120" s="111"/>
      <c r="BM1120" s="111"/>
      <c r="BN1120" s="111"/>
      <c r="BO1120" s="111"/>
      <c r="BP1120" s="111"/>
      <c r="BQ1120" s="111"/>
      <c r="BR1120" s="111"/>
      <c r="BS1120" s="111"/>
      <c r="DR1120" s="29"/>
      <c r="DS1120" s="29"/>
      <c r="DT1120" s="29"/>
      <c r="DU1120" s="29"/>
      <c r="DV1120" s="29"/>
      <c r="DW1120" s="29"/>
      <c r="DX1120" s="29"/>
      <c r="DY1120" s="29"/>
      <c r="DZ1120" s="29"/>
      <c r="EA1120" s="29"/>
      <c r="EB1120" s="29"/>
      <c r="EC1120" s="29"/>
      <c r="ED1120" s="29"/>
      <c r="EE1120" s="29"/>
      <c r="EF1120" s="111"/>
      <c r="EG1120" s="111"/>
      <c r="EH1120" s="111"/>
      <c r="EI1120" s="111"/>
      <c r="EJ1120" s="111"/>
      <c r="EK1120" s="111"/>
      <c r="EL1120" s="111"/>
      <c r="EM1120" s="111"/>
      <c r="EN1120" s="111"/>
      <c r="EO1120" s="111"/>
      <c r="EP1120" s="111"/>
      <c r="EQ1120" s="111"/>
      <c r="ER1120" s="111"/>
      <c r="ES1120" s="111"/>
    </row>
    <row r="1121" spans="44:149">
      <c r="AR1121" s="29"/>
      <c r="AS1121" s="29"/>
      <c r="AT1121" s="29"/>
      <c r="AU1121" s="29"/>
      <c r="AV1121" s="29"/>
      <c r="AW1121" s="29"/>
      <c r="AX1121" s="29"/>
      <c r="AY1121" s="29"/>
      <c r="AZ1121" s="29"/>
      <c r="BA1121" s="29"/>
      <c r="BB1121" s="29"/>
      <c r="BC1121" s="29"/>
      <c r="BD1121" s="29"/>
      <c r="BE1121" s="29"/>
      <c r="BF1121" s="111"/>
      <c r="BG1121" s="111"/>
      <c r="BH1121" s="111"/>
      <c r="BI1121" s="111"/>
      <c r="BJ1121" s="111"/>
      <c r="BK1121" s="111"/>
      <c r="BL1121" s="111"/>
      <c r="BM1121" s="111"/>
      <c r="BN1121" s="111"/>
      <c r="BO1121" s="111"/>
      <c r="BP1121" s="111"/>
      <c r="BQ1121" s="111"/>
      <c r="BR1121" s="111"/>
      <c r="BS1121" s="111"/>
      <c r="DR1121" s="29"/>
      <c r="DS1121" s="29"/>
      <c r="DT1121" s="29"/>
      <c r="DU1121" s="29"/>
      <c r="DV1121" s="29"/>
      <c r="DW1121" s="29"/>
      <c r="DX1121" s="29"/>
      <c r="DY1121" s="29"/>
      <c r="DZ1121" s="29"/>
      <c r="EA1121" s="29"/>
      <c r="EB1121" s="29"/>
      <c r="EC1121" s="29"/>
      <c r="ED1121" s="29"/>
      <c r="EE1121" s="29"/>
      <c r="EF1121" s="111"/>
      <c r="EG1121" s="111"/>
      <c r="EH1121" s="111"/>
      <c r="EI1121" s="111"/>
      <c r="EJ1121" s="111"/>
      <c r="EK1121" s="111"/>
      <c r="EL1121" s="111"/>
      <c r="EM1121" s="111"/>
      <c r="EN1121" s="111"/>
      <c r="EO1121" s="111"/>
      <c r="EP1121" s="111"/>
      <c r="EQ1121" s="111"/>
      <c r="ER1121" s="111"/>
      <c r="ES1121" s="111"/>
    </row>
    <row r="1122" spans="44:149">
      <c r="AR1122" s="29"/>
      <c r="AS1122" s="29"/>
      <c r="AT1122" s="29"/>
      <c r="AU1122" s="29"/>
      <c r="AV1122" s="29"/>
      <c r="AW1122" s="29"/>
      <c r="AX1122" s="29"/>
      <c r="AY1122" s="29"/>
      <c r="AZ1122" s="29"/>
      <c r="BA1122" s="29"/>
      <c r="BB1122" s="29"/>
      <c r="BC1122" s="29"/>
      <c r="BD1122" s="29"/>
      <c r="BE1122" s="29"/>
      <c r="BF1122" s="111"/>
      <c r="BG1122" s="111"/>
      <c r="BH1122" s="111"/>
      <c r="BI1122" s="111"/>
      <c r="BJ1122" s="111"/>
      <c r="BK1122" s="111"/>
      <c r="BL1122" s="111"/>
      <c r="BM1122" s="111"/>
      <c r="BN1122" s="111"/>
      <c r="BO1122" s="111"/>
      <c r="BP1122" s="111"/>
      <c r="BQ1122" s="111"/>
      <c r="BR1122" s="111"/>
      <c r="BS1122" s="111"/>
      <c r="DR1122" s="29"/>
      <c r="DS1122" s="29"/>
      <c r="DT1122" s="29"/>
      <c r="DU1122" s="29"/>
      <c r="DV1122" s="29"/>
      <c r="DW1122" s="29"/>
      <c r="DX1122" s="29"/>
      <c r="DY1122" s="29"/>
      <c r="DZ1122" s="29"/>
      <c r="EA1122" s="29"/>
      <c r="EB1122" s="29"/>
      <c r="EC1122" s="29"/>
      <c r="ED1122" s="29"/>
      <c r="EE1122" s="29"/>
      <c r="EF1122" s="111"/>
      <c r="EG1122" s="111"/>
      <c r="EH1122" s="111"/>
      <c r="EI1122" s="111"/>
      <c r="EJ1122" s="111"/>
      <c r="EK1122" s="111"/>
      <c r="EL1122" s="111"/>
      <c r="EM1122" s="111"/>
      <c r="EN1122" s="111"/>
      <c r="EO1122" s="111"/>
      <c r="EP1122" s="111"/>
      <c r="EQ1122" s="111"/>
      <c r="ER1122" s="111"/>
      <c r="ES1122" s="111"/>
    </row>
    <row r="1123" spans="44:149">
      <c r="AR1123" s="29"/>
      <c r="AS1123" s="29"/>
      <c r="AT1123" s="29"/>
      <c r="AU1123" s="29"/>
      <c r="AV1123" s="29"/>
      <c r="AW1123" s="29"/>
      <c r="AX1123" s="29"/>
      <c r="AY1123" s="29"/>
      <c r="AZ1123" s="29"/>
      <c r="BA1123" s="29"/>
      <c r="BB1123" s="29"/>
      <c r="BC1123" s="29"/>
      <c r="BD1123" s="29"/>
      <c r="BE1123" s="29"/>
      <c r="BF1123" s="111"/>
      <c r="BG1123" s="111"/>
      <c r="BH1123" s="111"/>
      <c r="BI1123" s="111"/>
      <c r="BJ1123" s="111"/>
      <c r="BK1123" s="111"/>
      <c r="BL1123" s="111"/>
      <c r="BM1123" s="111"/>
      <c r="BN1123" s="111"/>
      <c r="BO1123" s="111"/>
      <c r="BP1123" s="111"/>
      <c r="BQ1123" s="111"/>
      <c r="BR1123" s="111"/>
      <c r="BS1123" s="111"/>
      <c r="DR1123" s="29"/>
      <c r="DS1123" s="29"/>
      <c r="DT1123" s="29"/>
      <c r="DU1123" s="29"/>
      <c r="DV1123" s="29"/>
      <c r="DW1123" s="29"/>
      <c r="DX1123" s="29"/>
      <c r="DY1123" s="29"/>
      <c r="DZ1123" s="29"/>
      <c r="EA1123" s="29"/>
      <c r="EB1123" s="29"/>
      <c r="EC1123" s="29"/>
      <c r="ED1123" s="29"/>
      <c r="EE1123" s="29"/>
      <c r="EF1123" s="111"/>
      <c r="EG1123" s="111"/>
      <c r="EH1123" s="111"/>
      <c r="EI1123" s="111"/>
      <c r="EJ1123" s="111"/>
      <c r="EK1123" s="111"/>
      <c r="EL1123" s="111"/>
      <c r="EM1123" s="111"/>
      <c r="EN1123" s="111"/>
      <c r="EO1123" s="111"/>
      <c r="EP1123" s="111"/>
      <c r="EQ1123" s="111"/>
      <c r="ER1123" s="111"/>
      <c r="ES1123" s="111"/>
    </row>
    <row r="1124" spans="44:149">
      <c r="AR1124" s="29"/>
      <c r="AS1124" s="29"/>
      <c r="AT1124" s="29"/>
      <c r="AU1124" s="29"/>
      <c r="AV1124" s="29"/>
      <c r="AW1124" s="29"/>
      <c r="AX1124" s="29"/>
      <c r="AY1124" s="29"/>
      <c r="AZ1124" s="29"/>
      <c r="BA1124" s="29"/>
      <c r="BB1124" s="29"/>
      <c r="BC1124" s="29"/>
      <c r="BD1124" s="29"/>
      <c r="BE1124" s="29"/>
      <c r="BF1124" s="111"/>
      <c r="BG1124" s="111"/>
      <c r="BH1124" s="111"/>
      <c r="BI1124" s="111"/>
      <c r="BJ1124" s="111"/>
      <c r="BK1124" s="111"/>
      <c r="BL1124" s="111"/>
      <c r="BM1124" s="111"/>
      <c r="BN1124" s="111"/>
      <c r="BO1124" s="111"/>
      <c r="BP1124" s="111"/>
      <c r="BQ1124" s="111"/>
      <c r="BR1124" s="111"/>
      <c r="BS1124" s="111"/>
      <c r="DR1124" s="29"/>
      <c r="DS1124" s="29"/>
      <c r="DT1124" s="29"/>
      <c r="DU1124" s="29"/>
      <c r="DV1124" s="29"/>
      <c r="DW1124" s="29"/>
      <c r="DX1124" s="29"/>
      <c r="DY1124" s="29"/>
      <c r="DZ1124" s="29"/>
      <c r="EA1124" s="29"/>
      <c r="EB1124" s="29"/>
      <c r="EC1124" s="29"/>
      <c r="ED1124" s="29"/>
      <c r="EE1124" s="29"/>
      <c r="EF1124" s="111"/>
      <c r="EG1124" s="111"/>
      <c r="EH1124" s="111"/>
      <c r="EI1124" s="111"/>
      <c r="EJ1124" s="111"/>
      <c r="EK1124" s="111"/>
      <c r="EL1124" s="111"/>
      <c r="EM1124" s="111"/>
      <c r="EN1124" s="111"/>
      <c r="EO1124" s="111"/>
      <c r="EP1124" s="111"/>
      <c r="EQ1124" s="111"/>
      <c r="ER1124" s="111"/>
      <c r="ES1124" s="111"/>
    </row>
    <row r="1125" spans="44:149">
      <c r="AR1125" s="29"/>
      <c r="AS1125" s="29"/>
      <c r="AT1125" s="29"/>
      <c r="AU1125" s="29"/>
      <c r="AV1125" s="29"/>
      <c r="AW1125" s="29"/>
      <c r="AX1125" s="29"/>
      <c r="AY1125" s="29"/>
      <c r="AZ1125" s="29"/>
      <c r="BA1125" s="29"/>
      <c r="BB1125" s="29"/>
      <c r="BC1125" s="29"/>
      <c r="BD1125" s="29"/>
      <c r="BE1125" s="29"/>
      <c r="BF1125" s="111"/>
      <c r="BG1125" s="111"/>
      <c r="BH1125" s="111"/>
      <c r="BI1125" s="111"/>
      <c r="BJ1125" s="111"/>
      <c r="BK1125" s="111"/>
      <c r="BL1125" s="111"/>
      <c r="BM1125" s="111"/>
      <c r="BN1125" s="111"/>
      <c r="BO1125" s="111"/>
      <c r="BP1125" s="111"/>
      <c r="BQ1125" s="111"/>
      <c r="BR1125" s="111"/>
      <c r="BS1125" s="111"/>
      <c r="DR1125" s="29"/>
      <c r="DS1125" s="29"/>
      <c r="DT1125" s="29"/>
      <c r="DU1125" s="29"/>
      <c r="DV1125" s="29"/>
      <c r="DW1125" s="29"/>
      <c r="DX1125" s="29"/>
      <c r="DY1125" s="29"/>
      <c r="DZ1125" s="29"/>
      <c r="EA1125" s="29"/>
      <c r="EB1125" s="29"/>
      <c r="EC1125" s="29"/>
      <c r="ED1125" s="29"/>
      <c r="EE1125" s="29"/>
      <c r="EF1125" s="111"/>
      <c r="EG1125" s="111"/>
      <c r="EH1125" s="111"/>
      <c r="EI1125" s="111"/>
      <c r="EJ1125" s="111"/>
      <c r="EK1125" s="111"/>
      <c r="EL1125" s="111"/>
      <c r="EM1125" s="111"/>
      <c r="EN1125" s="111"/>
      <c r="EO1125" s="111"/>
      <c r="EP1125" s="111"/>
      <c r="EQ1125" s="111"/>
      <c r="ER1125" s="111"/>
      <c r="ES1125" s="111"/>
    </row>
    <row r="1126" spans="44:149">
      <c r="AR1126" s="29"/>
      <c r="AS1126" s="29"/>
      <c r="AT1126" s="29"/>
      <c r="AU1126" s="29"/>
      <c r="AV1126" s="29"/>
      <c r="AW1126" s="29"/>
      <c r="AX1126" s="29"/>
      <c r="AY1126" s="29"/>
      <c r="AZ1126" s="29"/>
      <c r="BA1126" s="29"/>
      <c r="BB1126" s="29"/>
      <c r="BC1126" s="29"/>
      <c r="BD1126" s="29"/>
      <c r="BE1126" s="29"/>
      <c r="BF1126" s="111"/>
      <c r="BG1126" s="111"/>
      <c r="BH1126" s="111"/>
      <c r="BI1126" s="111"/>
      <c r="BJ1126" s="111"/>
      <c r="BK1126" s="111"/>
      <c r="BL1126" s="111"/>
      <c r="BM1126" s="111"/>
      <c r="BN1126" s="111"/>
      <c r="BO1126" s="111"/>
      <c r="BP1126" s="111"/>
      <c r="BQ1126" s="111"/>
      <c r="BR1126" s="111"/>
      <c r="BS1126" s="111"/>
      <c r="DR1126" s="29"/>
      <c r="DS1126" s="29"/>
      <c r="DT1126" s="29"/>
      <c r="DU1126" s="29"/>
      <c r="DV1126" s="29"/>
      <c r="DW1126" s="29"/>
      <c r="DX1126" s="29"/>
      <c r="DY1126" s="29"/>
      <c r="DZ1126" s="29"/>
      <c r="EA1126" s="29"/>
      <c r="EB1126" s="29"/>
      <c r="EC1126" s="29"/>
      <c r="ED1126" s="29"/>
      <c r="EE1126" s="29"/>
      <c r="EF1126" s="111"/>
      <c r="EG1126" s="111"/>
      <c r="EH1126" s="111"/>
      <c r="EI1126" s="111"/>
      <c r="EJ1126" s="111"/>
      <c r="EK1126" s="111"/>
      <c r="EL1126" s="111"/>
      <c r="EM1126" s="111"/>
      <c r="EN1126" s="111"/>
      <c r="EO1126" s="111"/>
      <c r="EP1126" s="111"/>
      <c r="EQ1126" s="111"/>
      <c r="ER1126" s="111"/>
      <c r="ES1126" s="111"/>
    </row>
    <row r="1127" spans="44:149">
      <c r="AR1127" s="29"/>
      <c r="AS1127" s="29"/>
      <c r="AT1127" s="29"/>
      <c r="AU1127" s="29"/>
      <c r="AV1127" s="29"/>
      <c r="AW1127" s="29"/>
      <c r="AX1127" s="29"/>
      <c r="AY1127" s="29"/>
      <c r="AZ1127" s="29"/>
      <c r="BA1127" s="29"/>
      <c r="BB1127" s="29"/>
      <c r="BC1127" s="29"/>
      <c r="BD1127" s="29"/>
      <c r="BE1127" s="29"/>
      <c r="BF1127" s="111"/>
      <c r="BG1127" s="111"/>
      <c r="BH1127" s="111"/>
      <c r="BI1127" s="111"/>
      <c r="BJ1127" s="111"/>
      <c r="BK1127" s="111"/>
      <c r="BL1127" s="111"/>
      <c r="BM1127" s="111"/>
      <c r="BN1127" s="111"/>
      <c r="BO1127" s="111"/>
      <c r="BP1127" s="111"/>
      <c r="BQ1127" s="111"/>
      <c r="BR1127" s="111"/>
      <c r="BS1127" s="111"/>
      <c r="DR1127" s="29"/>
      <c r="DS1127" s="29"/>
      <c r="DT1127" s="29"/>
      <c r="DU1127" s="29"/>
      <c r="DV1127" s="29"/>
      <c r="DW1127" s="29"/>
      <c r="DX1127" s="29"/>
      <c r="DY1127" s="29"/>
      <c r="DZ1127" s="29"/>
      <c r="EA1127" s="29"/>
      <c r="EB1127" s="29"/>
      <c r="EC1127" s="29"/>
      <c r="ED1127" s="29"/>
      <c r="EE1127" s="29"/>
      <c r="EF1127" s="111"/>
      <c r="EG1127" s="111"/>
      <c r="EH1127" s="111"/>
      <c r="EI1127" s="111"/>
      <c r="EJ1127" s="111"/>
      <c r="EK1127" s="111"/>
      <c r="EL1127" s="111"/>
      <c r="EM1127" s="111"/>
      <c r="EN1127" s="111"/>
      <c r="EO1127" s="111"/>
      <c r="EP1127" s="111"/>
      <c r="EQ1127" s="111"/>
      <c r="ER1127" s="111"/>
      <c r="ES1127" s="111"/>
    </row>
    <row r="1128" spans="44:149">
      <c r="AR1128" s="29"/>
      <c r="AS1128" s="29"/>
      <c r="AT1128" s="29"/>
      <c r="AU1128" s="29"/>
      <c r="AV1128" s="29"/>
      <c r="AW1128" s="29"/>
      <c r="AX1128" s="29"/>
      <c r="AY1128" s="29"/>
      <c r="AZ1128" s="29"/>
      <c r="BA1128" s="29"/>
      <c r="BB1128" s="29"/>
      <c r="BC1128" s="29"/>
      <c r="BD1128" s="29"/>
      <c r="BE1128" s="29"/>
      <c r="BF1128" s="111"/>
      <c r="BG1128" s="111"/>
      <c r="BH1128" s="111"/>
      <c r="BI1128" s="111"/>
      <c r="BJ1128" s="111"/>
      <c r="BK1128" s="111"/>
      <c r="BL1128" s="111"/>
      <c r="BM1128" s="111"/>
      <c r="BN1128" s="111"/>
      <c r="BO1128" s="111"/>
      <c r="BP1128" s="111"/>
      <c r="BQ1128" s="111"/>
      <c r="BR1128" s="111"/>
      <c r="BS1128" s="111"/>
      <c r="DR1128" s="29"/>
      <c r="DS1128" s="29"/>
      <c r="DT1128" s="29"/>
      <c r="DU1128" s="29"/>
      <c r="DV1128" s="29"/>
      <c r="DW1128" s="29"/>
      <c r="DX1128" s="29"/>
      <c r="DY1128" s="29"/>
      <c r="DZ1128" s="29"/>
      <c r="EA1128" s="29"/>
      <c r="EB1128" s="29"/>
      <c r="EC1128" s="29"/>
      <c r="ED1128" s="29"/>
      <c r="EE1128" s="29"/>
      <c r="EF1128" s="111"/>
      <c r="EG1128" s="111"/>
      <c r="EH1128" s="111"/>
      <c r="EI1128" s="111"/>
      <c r="EJ1128" s="111"/>
      <c r="EK1128" s="111"/>
      <c r="EL1128" s="111"/>
      <c r="EM1128" s="111"/>
      <c r="EN1128" s="111"/>
      <c r="EO1128" s="111"/>
      <c r="EP1128" s="111"/>
      <c r="EQ1128" s="111"/>
      <c r="ER1128" s="111"/>
      <c r="ES1128" s="111"/>
    </row>
    <row r="1129" spans="44:149">
      <c r="AR1129" s="29"/>
      <c r="AS1129" s="29"/>
      <c r="AT1129" s="29"/>
      <c r="AU1129" s="29"/>
      <c r="AV1129" s="29"/>
      <c r="AW1129" s="29"/>
      <c r="AX1129" s="29"/>
      <c r="AY1129" s="29"/>
      <c r="AZ1129" s="29"/>
      <c r="BA1129" s="29"/>
      <c r="BB1129" s="29"/>
      <c r="BC1129" s="29"/>
      <c r="BD1129" s="29"/>
      <c r="BE1129" s="29"/>
      <c r="BF1129" s="111"/>
      <c r="BG1129" s="111"/>
      <c r="BH1129" s="111"/>
      <c r="BI1129" s="111"/>
      <c r="BJ1129" s="111"/>
      <c r="BK1129" s="111"/>
      <c r="BL1129" s="111"/>
      <c r="BM1129" s="111"/>
      <c r="BN1129" s="111"/>
      <c r="BO1129" s="111"/>
      <c r="BP1129" s="111"/>
      <c r="BQ1129" s="111"/>
      <c r="BR1129" s="111"/>
      <c r="BS1129" s="111"/>
      <c r="DR1129" s="29"/>
      <c r="DS1129" s="29"/>
      <c r="DT1129" s="29"/>
      <c r="DU1129" s="29"/>
      <c r="DV1129" s="29"/>
      <c r="DW1129" s="29"/>
      <c r="DX1129" s="29"/>
      <c r="DY1129" s="29"/>
      <c r="DZ1129" s="29"/>
      <c r="EA1129" s="29"/>
      <c r="EB1129" s="29"/>
      <c r="EC1129" s="29"/>
      <c r="ED1129" s="29"/>
      <c r="EE1129" s="29"/>
      <c r="EF1129" s="111"/>
      <c r="EG1129" s="111"/>
      <c r="EH1129" s="111"/>
      <c r="EI1129" s="111"/>
      <c r="EJ1129" s="111"/>
      <c r="EK1129" s="111"/>
      <c r="EL1129" s="111"/>
      <c r="EM1129" s="111"/>
      <c r="EN1129" s="111"/>
      <c r="EO1129" s="111"/>
      <c r="EP1129" s="111"/>
      <c r="EQ1129" s="111"/>
      <c r="ER1129" s="111"/>
      <c r="ES1129" s="111"/>
    </row>
    <row r="1130" spans="44:149">
      <c r="AR1130" s="29"/>
      <c r="AS1130" s="29"/>
      <c r="AT1130" s="29"/>
      <c r="AU1130" s="29"/>
      <c r="AV1130" s="29"/>
      <c r="AW1130" s="29"/>
      <c r="AX1130" s="29"/>
      <c r="AY1130" s="29"/>
      <c r="AZ1130" s="29"/>
      <c r="BA1130" s="29"/>
      <c r="BB1130" s="29"/>
      <c r="BC1130" s="29"/>
      <c r="BD1130" s="29"/>
      <c r="BE1130" s="29"/>
      <c r="BF1130" s="111"/>
      <c r="BG1130" s="111"/>
      <c r="BH1130" s="111"/>
      <c r="BI1130" s="111"/>
      <c r="BJ1130" s="111"/>
      <c r="BK1130" s="111"/>
      <c r="BL1130" s="111"/>
      <c r="BM1130" s="111"/>
      <c r="BN1130" s="111"/>
      <c r="BO1130" s="111"/>
      <c r="BP1130" s="111"/>
      <c r="BQ1130" s="111"/>
      <c r="BR1130" s="111"/>
      <c r="BS1130" s="111"/>
      <c r="DR1130" s="29"/>
      <c r="DS1130" s="29"/>
      <c r="DT1130" s="29"/>
      <c r="DU1130" s="29"/>
      <c r="DV1130" s="29"/>
      <c r="DW1130" s="29"/>
      <c r="DX1130" s="29"/>
      <c r="DY1130" s="29"/>
      <c r="DZ1130" s="29"/>
      <c r="EA1130" s="29"/>
      <c r="EB1130" s="29"/>
      <c r="EC1130" s="29"/>
      <c r="ED1130" s="29"/>
      <c r="EE1130" s="29"/>
      <c r="EF1130" s="111"/>
      <c r="EG1130" s="111"/>
      <c r="EH1130" s="111"/>
      <c r="EI1130" s="111"/>
      <c r="EJ1130" s="111"/>
      <c r="EK1130" s="111"/>
      <c r="EL1130" s="111"/>
      <c r="EM1130" s="111"/>
      <c r="EN1130" s="111"/>
      <c r="EO1130" s="111"/>
      <c r="EP1130" s="111"/>
      <c r="EQ1130" s="111"/>
      <c r="ER1130" s="111"/>
      <c r="ES1130" s="111"/>
    </row>
    <row r="1131" spans="44:149">
      <c r="AR1131" s="29"/>
      <c r="AS1131" s="29"/>
      <c r="AT1131" s="29"/>
      <c r="AU1131" s="29"/>
      <c r="AV1131" s="29"/>
      <c r="AW1131" s="29"/>
      <c r="AX1131" s="29"/>
      <c r="AY1131" s="29"/>
      <c r="AZ1131" s="29"/>
      <c r="BA1131" s="29"/>
      <c r="BB1131" s="29"/>
      <c r="BC1131" s="29"/>
      <c r="BD1131" s="29"/>
      <c r="BE1131" s="29"/>
      <c r="BF1131" s="111"/>
      <c r="BG1131" s="111"/>
      <c r="BH1131" s="111"/>
      <c r="BI1131" s="111"/>
      <c r="BJ1131" s="111"/>
      <c r="BK1131" s="111"/>
      <c r="BL1131" s="111"/>
      <c r="BM1131" s="111"/>
      <c r="BN1131" s="111"/>
      <c r="BO1131" s="111"/>
      <c r="BP1131" s="111"/>
      <c r="BQ1131" s="111"/>
      <c r="BR1131" s="111"/>
      <c r="BS1131" s="111"/>
      <c r="DR1131" s="29"/>
      <c r="DS1131" s="29"/>
      <c r="DT1131" s="29"/>
      <c r="DU1131" s="29"/>
      <c r="DV1131" s="29"/>
      <c r="DW1131" s="29"/>
      <c r="DX1131" s="29"/>
      <c r="DY1131" s="29"/>
      <c r="DZ1131" s="29"/>
      <c r="EA1131" s="29"/>
      <c r="EB1131" s="29"/>
      <c r="EC1131" s="29"/>
      <c r="ED1131" s="29"/>
      <c r="EE1131" s="29"/>
      <c r="EF1131" s="111"/>
      <c r="EG1131" s="111"/>
      <c r="EH1131" s="111"/>
      <c r="EI1131" s="111"/>
      <c r="EJ1131" s="111"/>
      <c r="EK1131" s="111"/>
      <c r="EL1131" s="111"/>
      <c r="EM1131" s="111"/>
      <c r="EN1131" s="111"/>
      <c r="EO1131" s="111"/>
      <c r="EP1131" s="111"/>
      <c r="EQ1131" s="111"/>
      <c r="ER1131" s="111"/>
      <c r="ES1131" s="111"/>
    </row>
    <row r="1132" spans="44:149">
      <c r="AR1132" s="29"/>
      <c r="AS1132" s="29"/>
      <c r="AT1132" s="29"/>
      <c r="AU1132" s="29"/>
      <c r="AV1132" s="29"/>
      <c r="AW1132" s="29"/>
      <c r="AX1132" s="29"/>
      <c r="AY1132" s="29"/>
      <c r="AZ1132" s="29"/>
      <c r="BA1132" s="29"/>
      <c r="BB1132" s="29"/>
      <c r="BC1132" s="29"/>
      <c r="BD1132" s="29"/>
      <c r="BE1132" s="29"/>
      <c r="BF1132" s="111"/>
      <c r="BG1132" s="111"/>
      <c r="BH1132" s="111"/>
      <c r="BI1132" s="111"/>
      <c r="BJ1132" s="111"/>
      <c r="BK1132" s="111"/>
      <c r="BL1132" s="111"/>
      <c r="BM1132" s="111"/>
      <c r="BN1132" s="111"/>
      <c r="BO1132" s="111"/>
      <c r="BP1132" s="111"/>
      <c r="BQ1132" s="111"/>
      <c r="BR1132" s="111"/>
      <c r="BS1132" s="111"/>
      <c r="DR1132" s="29"/>
      <c r="DS1132" s="29"/>
      <c r="DT1132" s="29"/>
      <c r="DU1132" s="29"/>
      <c r="DV1132" s="29"/>
      <c r="DW1132" s="29"/>
      <c r="DX1132" s="29"/>
      <c r="DY1132" s="29"/>
      <c r="DZ1132" s="29"/>
      <c r="EA1132" s="29"/>
      <c r="EB1132" s="29"/>
      <c r="EC1132" s="29"/>
      <c r="ED1132" s="29"/>
      <c r="EE1132" s="29"/>
      <c r="EF1132" s="111"/>
      <c r="EG1132" s="111"/>
      <c r="EH1132" s="111"/>
      <c r="EI1132" s="111"/>
      <c r="EJ1132" s="111"/>
      <c r="EK1132" s="111"/>
      <c r="EL1132" s="111"/>
      <c r="EM1132" s="111"/>
      <c r="EN1132" s="111"/>
      <c r="EO1132" s="111"/>
      <c r="EP1132" s="111"/>
      <c r="EQ1132" s="111"/>
      <c r="ER1132" s="111"/>
      <c r="ES1132" s="111"/>
    </row>
    <row r="1133" spans="44:149">
      <c r="AR1133" s="29"/>
      <c r="AS1133" s="29"/>
      <c r="AT1133" s="29"/>
      <c r="AU1133" s="29"/>
      <c r="AV1133" s="29"/>
      <c r="AW1133" s="29"/>
      <c r="AX1133" s="29"/>
      <c r="AY1133" s="29"/>
      <c r="AZ1133" s="29"/>
      <c r="BA1133" s="29"/>
      <c r="BB1133" s="29"/>
      <c r="BC1133" s="29"/>
      <c r="BD1133" s="29"/>
      <c r="BE1133" s="29"/>
      <c r="BF1133" s="111"/>
      <c r="BG1133" s="111"/>
      <c r="BH1133" s="111"/>
      <c r="BI1133" s="111"/>
      <c r="BJ1133" s="111"/>
      <c r="BK1133" s="111"/>
      <c r="BL1133" s="111"/>
      <c r="BM1133" s="111"/>
      <c r="BN1133" s="111"/>
      <c r="BO1133" s="111"/>
      <c r="BP1133" s="111"/>
      <c r="BQ1133" s="111"/>
      <c r="BR1133" s="111"/>
      <c r="BS1133" s="111"/>
      <c r="DR1133" s="29"/>
      <c r="DS1133" s="29"/>
      <c r="DT1133" s="29"/>
      <c r="DU1133" s="29"/>
      <c r="DV1133" s="29"/>
      <c r="DW1133" s="29"/>
      <c r="DX1133" s="29"/>
      <c r="DY1133" s="29"/>
      <c r="DZ1133" s="29"/>
      <c r="EA1133" s="29"/>
      <c r="EB1133" s="29"/>
      <c r="EC1133" s="29"/>
      <c r="ED1133" s="29"/>
      <c r="EE1133" s="29"/>
      <c r="EF1133" s="111"/>
      <c r="EG1133" s="111"/>
      <c r="EH1133" s="111"/>
      <c r="EI1133" s="111"/>
      <c r="EJ1133" s="111"/>
      <c r="EK1133" s="111"/>
      <c r="EL1133" s="111"/>
      <c r="EM1133" s="111"/>
      <c r="EN1133" s="111"/>
      <c r="EO1133" s="111"/>
      <c r="EP1133" s="111"/>
      <c r="EQ1133" s="111"/>
      <c r="ER1133" s="111"/>
      <c r="ES1133" s="111"/>
    </row>
    <row r="1134" spans="44:149">
      <c r="AR1134" s="29"/>
      <c r="AS1134" s="29"/>
      <c r="AT1134" s="29"/>
      <c r="AU1134" s="29"/>
      <c r="AV1134" s="29"/>
      <c r="AW1134" s="29"/>
      <c r="AX1134" s="29"/>
      <c r="AY1134" s="29"/>
      <c r="AZ1134" s="29"/>
      <c r="BA1134" s="29"/>
      <c r="BB1134" s="29"/>
      <c r="BC1134" s="29"/>
      <c r="BD1134" s="29"/>
      <c r="BE1134" s="29"/>
      <c r="BF1134" s="111"/>
      <c r="BG1134" s="111"/>
      <c r="BH1134" s="111"/>
      <c r="BI1134" s="111"/>
      <c r="BJ1134" s="111"/>
      <c r="BK1134" s="111"/>
      <c r="BL1134" s="111"/>
      <c r="BM1134" s="111"/>
      <c r="BN1134" s="111"/>
      <c r="BO1134" s="111"/>
      <c r="BP1134" s="111"/>
      <c r="BQ1134" s="111"/>
      <c r="BR1134" s="111"/>
      <c r="BS1134" s="111"/>
      <c r="DR1134" s="29"/>
      <c r="DS1134" s="29"/>
      <c r="DT1134" s="29"/>
      <c r="DU1134" s="29"/>
      <c r="DV1134" s="29"/>
      <c r="DW1134" s="29"/>
      <c r="DX1134" s="29"/>
      <c r="DY1134" s="29"/>
      <c r="DZ1134" s="29"/>
      <c r="EA1134" s="29"/>
      <c r="EB1134" s="29"/>
      <c r="EC1134" s="29"/>
      <c r="ED1134" s="29"/>
      <c r="EE1134" s="29"/>
      <c r="EF1134" s="111"/>
      <c r="EG1134" s="111"/>
      <c r="EH1134" s="111"/>
      <c r="EI1134" s="111"/>
      <c r="EJ1134" s="111"/>
      <c r="EK1134" s="111"/>
      <c r="EL1134" s="111"/>
      <c r="EM1134" s="111"/>
      <c r="EN1134" s="111"/>
      <c r="EO1134" s="111"/>
      <c r="EP1134" s="111"/>
      <c r="EQ1134" s="111"/>
      <c r="ER1134" s="111"/>
      <c r="ES1134" s="111"/>
    </row>
    <row r="1135" spans="44:149">
      <c r="AR1135" s="29"/>
      <c r="AS1135" s="29"/>
      <c r="AT1135" s="29"/>
      <c r="AU1135" s="29"/>
      <c r="AV1135" s="29"/>
      <c r="AW1135" s="29"/>
      <c r="AX1135" s="29"/>
      <c r="AY1135" s="29"/>
      <c r="AZ1135" s="29"/>
      <c r="BA1135" s="29"/>
      <c r="BB1135" s="29"/>
      <c r="BC1135" s="29"/>
      <c r="BD1135" s="29"/>
      <c r="BE1135" s="29"/>
      <c r="BF1135" s="111"/>
      <c r="BG1135" s="111"/>
      <c r="BH1135" s="111"/>
      <c r="BI1135" s="111"/>
      <c r="BJ1135" s="111"/>
      <c r="BK1135" s="111"/>
      <c r="BL1135" s="111"/>
      <c r="BM1135" s="111"/>
      <c r="BN1135" s="111"/>
      <c r="BO1135" s="111"/>
      <c r="BP1135" s="111"/>
      <c r="BQ1135" s="111"/>
      <c r="BR1135" s="111"/>
      <c r="BS1135" s="111"/>
      <c r="DR1135" s="29"/>
      <c r="DS1135" s="29"/>
      <c r="DT1135" s="29"/>
      <c r="DU1135" s="29"/>
      <c r="DV1135" s="29"/>
      <c r="DW1135" s="29"/>
      <c r="DX1135" s="29"/>
      <c r="DY1135" s="29"/>
      <c r="DZ1135" s="29"/>
      <c r="EA1135" s="29"/>
      <c r="EB1135" s="29"/>
      <c r="EC1135" s="29"/>
      <c r="ED1135" s="29"/>
      <c r="EE1135" s="29"/>
      <c r="EF1135" s="111"/>
      <c r="EG1135" s="111"/>
      <c r="EH1135" s="111"/>
      <c r="EI1135" s="111"/>
      <c r="EJ1135" s="111"/>
      <c r="EK1135" s="111"/>
      <c r="EL1135" s="111"/>
      <c r="EM1135" s="111"/>
      <c r="EN1135" s="111"/>
      <c r="EO1135" s="111"/>
      <c r="EP1135" s="111"/>
      <c r="EQ1135" s="111"/>
      <c r="ER1135" s="111"/>
      <c r="ES1135" s="111"/>
    </row>
    <row r="1136" spans="44:149">
      <c r="AR1136" s="29"/>
      <c r="AS1136" s="29"/>
      <c r="AT1136" s="29"/>
      <c r="AU1136" s="29"/>
      <c r="AV1136" s="29"/>
      <c r="AW1136" s="29"/>
      <c r="AX1136" s="29"/>
      <c r="AY1136" s="29"/>
      <c r="AZ1136" s="29"/>
      <c r="BA1136" s="29"/>
      <c r="BB1136" s="29"/>
      <c r="BC1136" s="29"/>
      <c r="BD1136" s="29"/>
      <c r="BE1136" s="29"/>
      <c r="BF1136" s="111"/>
      <c r="BG1136" s="111"/>
      <c r="BH1136" s="111"/>
      <c r="BI1136" s="111"/>
      <c r="BJ1136" s="111"/>
      <c r="BK1136" s="111"/>
      <c r="BL1136" s="111"/>
      <c r="BM1136" s="111"/>
      <c r="BN1136" s="111"/>
      <c r="BO1136" s="111"/>
      <c r="BP1136" s="111"/>
      <c r="BQ1136" s="111"/>
      <c r="BR1136" s="111"/>
      <c r="BS1136" s="111"/>
      <c r="DR1136" s="29"/>
      <c r="DS1136" s="29"/>
      <c r="DT1136" s="29"/>
      <c r="DU1136" s="29"/>
      <c r="DV1136" s="29"/>
      <c r="DW1136" s="29"/>
      <c r="DX1136" s="29"/>
      <c r="DY1136" s="29"/>
      <c r="DZ1136" s="29"/>
      <c r="EA1136" s="29"/>
      <c r="EB1136" s="29"/>
      <c r="EC1136" s="29"/>
      <c r="ED1136" s="29"/>
      <c r="EE1136" s="29"/>
      <c r="EF1136" s="111"/>
      <c r="EG1136" s="111"/>
      <c r="EH1136" s="111"/>
      <c r="EI1136" s="111"/>
      <c r="EJ1136" s="111"/>
      <c r="EK1136" s="111"/>
      <c r="EL1136" s="111"/>
      <c r="EM1136" s="111"/>
      <c r="EN1136" s="111"/>
      <c r="EO1136" s="111"/>
      <c r="EP1136" s="111"/>
      <c r="EQ1136" s="111"/>
      <c r="ER1136" s="111"/>
      <c r="ES1136" s="111"/>
    </row>
    <row r="1137" spans="44:149">
      <c r="AR1137" s="29"/>
      <c r="AS1137" s="29"/>
      <c r="AT1137" s="29"/>
      <c r="AU1137" s="29"/>
      <c r="AV1137" s="29"/>
      <c r="AW1137" s="29"/>
      <c r="AX1137" s="29"/>
      <c r="AY1137" s="29"/>
      <c r="AZ1137" s="29"/>
      <c r="BA1137" s="29"/>
      <c r="BB1137" s="29"/>
      <c r="BC1137" s="29"/>
      <c r="BD1137" s="29"/>
      <c r="BE1137" s="29"/>
      <c r="BF1137" s="111"/>
      <c r="BG1137" s="111"/>
      <c r="BH1137" s="111"/>
      <c r="BI1137" s="111"/>
      <c r="BJ1137" s="111"/>
      <c r="BK1137" s="111"/>
      <c r="BL1137" s="111"/>
      <c r="BM1137" s="111"/>
      <c r="BN1137" s="111"/>
      <c r="BO1137" s="111"/>
      <c r="BP1137" s="111"/>
      <c r="BQ1137" s="111"/>
      <c r="BR1137" s="111"/>
      <c r="BS1137" s="111"/>
      <c r="DR1137" s="29"/>
      <c r="DS1137" s="29"/>
      <c r="DT1137" s="29"/>
      <c r="DU1137" s="29"/>
      <c r="DV1137" s="29"/>
      <c r="DW1137" s="29"/>
      <c r="DX1137" s="29"/>
      <c r="DY1137" s="29"/>
      <c r="DZ1137" s="29"/>
      <c r="EA1137" s="29"/>
      <c r="EB1137" s="29"/>
      <c r="EC1137" s="29"/>
      <c r="ED1137" s="29"/>
      <c r="EE1137" s="29"/>
      <c r="EF1137" s="111"/>
      <c r="EG1137" s="111"/>
      <c r="EH1137" s="111"/>
      <c r="EI1137" s="111"/>
      <c r="EJ1137" s="111"/>
      <c r="EK1137" s="111"/>
      <c r="EL1137" s="111"/>
      <c r="EM1137" s="111"/>
      <c r="EN1137" s="111"/>
      <c r="EO1137" s="111"/>
      <c r="EP1137" s="111"/>
      <c r="EQ1137" s="111"/>
      <c r="ER1137" s="111"/>
      <c r="ES1137" s="111"/>
    </row>
    <row r="1138" spans="44:149">
      <c r="AR1138" s="29"/>
      <c r="AS1138" s="29"/>
      <c r="AT1138" s="29"/>
      <c r="AU1138" s="29"/>
      <c r="AV1138" s="29"/>
      <c r="AW1138" s="29"/>
      <c r="AX1138" s="29"/>
      <c r="AY1138" s="29"/>
      <c r="AZ1138" s="29"/>
      <c r="BA1138" s="29"/>
      <c r="BB1138" s="29"/>
      <c r="BC1138" s="29"/>
      <c r="BD1138" s="29"/>
      <c r="BE1138" s="29"/>
      <c r="BF1138" s="111"/>
      <c r="BG1138" s="111"/>
      <c r="BH1138" s="111"/>
      <c r="BI1138" s="111"/>
      <c r="BJ1138" s="111"/>
      <c r="BK1138" s="111"/>
      <c r="BL1138" s="111"/>
      <c r="BM1138" s="111"/>
      <c r="BN1138" s="111"/>
      <c r="BO1138" s="111"/>
      <c r="BP1138" s="111"/>
      <c r="BQ1138" s="111"/>
      <c r="BR1138" s="111"/>
      <c r="BS1138" s="111"/>
      <c r="DR1138" s="29"/>
      <c r="DS1138" s="29"/>
      <c r="DT1138" s="29"/>
      <c r="DU1138" s="29"/>
      <c r="DV1138" s="29"/>
      <c r="DW1138" s="29"/>
      <c r="DX1138" s="29"/>
      <c r="DY1138" s="29"/>
      <c r="DZ1138" s="29"/>
      <c r="EA1138" s="29"/>
      <c r="EB1138" s="29"/>
      <c r="EC1138" s="29"/>
      <c r="ED1138" s="29"/>
      <c r="EE1138" s="29"/>
      <c r="EF1138" s="111"/>
      <c r="EG1138" s="111"/>
      <c r="EH1138" s="111"/>
      <c r="EI1138" s="111"/>
      <c r="EJ1138" s="111"/>
      <c r="EK1138" s="111"/>
      <c r="EL1138" s="111"/>
      <c r="EM1138" s="111"/>
      <c r="EN1138" s="111"/>
      <c r="EO1138" s="111"/>
      <c r="EP1138" s="111"/>
      <c r="EQ1138" s="111"/>
      <c r="ER1138" s="111"/>
      <c r="ES1138" s="111"/>
    </row>
    <row r="1139" spans="44:149">
      <c r="AR1139" s="29"/>
      <c r="AS1139" s="29"/>
      <c r="AT1139" s="29"/>
      <c r="AU1139" s="29"/>
      <c r="AV1139" s="29"/>
      <c r="AW1139" s="29"/>
      <c r="AX1139" s="29"/>
      <c r="AY1139" s="29"/>
      <c r="AZ1139" s="29"/>
      <c r="BA1139" s="29"/>
      <c r="BB1139" s="29"/>
      <c r="BC1139" s="29"/>
      <c r="BD1139" s="29"/>
      <c r="BE1139" s="29"/>
      <c r="BF1139" s="111"/>
      <c r="BG1139" s="111"/>
      <c r="BH1139" s="111"/>
      <c r="BI1139" s="111"/>
      <c r="BJ1139" s="111"/>
      <c r="BK1139" s="111"/>
      <c r="BL1139" s="111"/>
      <c r="BM1139" s="111"/>
      <c r="BN1139" s="111"/>
      <c r="BO1139" s="111"/>
      <c r="BP1139" s="111"/>
      <c r="BQ1139" s="111"/>
      <c r="BR1139" s="111"/>
      <c r="BS1139" s="111"/>
      <c r="DR1139" s="29"/>
      <c r="DS1139" s="29"/>
      <c r="DT1139" s="29"/>
      <c r="DU1139" s="29"/>
      <c r="DV1139" s="29"/>
      <c r="DW1139" s="29"/>
      <c r="DX1139" s="29"/>
      <c r="DY1139" s="29"/>
      <c r="DZ1139" s="29"/>
      <c r="EA1139" s="29"/>
      <c r="EB1139" s="29"/>
      <c r="EC1139" s="29"/>
      <c r="ED1139" s="29"/>
      <c r="EE1139" s="29"/>
      <c r="EF1139" s="111"/>
      <c r="EG1139" s="111"/>
      <c r="EH1139" s="111"/>
      <c r="EI1139" s="111"/>
      <c r="EJ1139" s="111"/>
      <c r="EK1139" s="111"/>
      <c r="EL1139" s="111"/>
      <c r="EM1139" s="111"/>
      <c r="EN1139" s="111"/>
      <c r="EO1139" s="111"/>
      <c r="EP1139" s="111"/>
      <c r="EQ1139" s="111"/>
      <c r="ER1139" s="111"/>
      <c r="ES1139" s="111"/>
    </row>
    <row r="1140" spans="44:149">
      <c r="AR1140" s="29"/>
      <c r="AS1140" s="29"/>
      <c r="AT1140" s="29"/>
      <c r="AU1140" s="29"/>
      <c r="AV1140" s="29"/>
      <c r="AW1140" s="29"/>
      <c r="AX1140" s="29"/>
      <c r="AY1140" s="29"/>
      <c r="AZ1140" s="29"/>
      <c r="BA1140" s="29"/>
      <c r="BB1140" s="29"/>
      <c r="BC1140" s="29"/>
      <c r="BD1140" s="29"/>
      <c r="BE1140" s="29"/>
      <c r="BF1140" s="111"/>
      <c r="BG1140" s="111"/>
      <c r="BH1140" s="111"/>
      <c r="BI1140" s="111"/>
      <c r="BJ1140" s="111"/>
      <c r="BK1140" s="111"/>
      <c r="BL1140" s="111"/>
      <c r="BM1140" s="111"/>
      <c r="BN1140" s="111"/>
      <c r="BO1140" s="111"/>
      <c r="BP1140" s="111"/>
      <c r="BQ1140" s="111"/>
      <c r="BR1140" s="111"/>
      <c r="BS1140" s="111"/>
      <c r="DR1140" s="29"/>
      <c r="DS1140" s="29"/>
      <c r="DT1140" s="29"/>
      <c r="DU1140" s="29"/>
      <c r="DV1140" s="29"/>
      <c r="DW1140" s="29"/>
      <c r="DX1140" s="29"/>
      <c r="DY1140" s="29"/>
      <c r="DZ1140" s="29"/>
      <c r="EA1140" s="29"/>
      <c r="EB1140" s="29"/>
      <c r="EC1140" s="29"/>
      <c r="ED1140" s="29"/>
      <c r="EE1140" s="29"/>
      <c r="EF1140" s="111"/>
      <c r="EG1140" s="111"/>
      <c r="EH1140" s="111"/>
      <c r="EI1140" s="111"/>
      <c r="EJ1140" s="111"/>
      <c r="EK1140" s="111"/>
      <c r="EL1140" s="111"/>
      <c r="EM1140" s="111"/>
      <c r="EN1140" s="111"/>
      <c r="EO1140" s="111"/>
      <c r="EP1140" s="111"/>
      <c r="EQ1140" s="111"/>
      <c r="ER1140" s="111"/>
      <c r="ES1140" s="111"/>
    </row>
    <row r="1141" spans="44:149">
      <c r="AR1141" s="29"/>
      <c r="AS1141" s="29"/>
      <c r="AT1141" s="29"/>
      <c r="AU1141" s="29"/>
      <c r="AV1141" s="29"/>
      <c r="AW1141" s="29"/>
      <c r="AX1141" s="29"/>
      <c r="AY1141" s="29"/>
      <c r="AZ1141" s="29"/>
      <c r="BA1141" s="29"/>
      <c r="BB1141" s="29"/>
      <c r="BC1141" s="29"/>
      <c r="BD1141" s="29"/>
      <c r="BE1141" s="29"/>
      <c r="BF1141" s="111"/>
      <c r="BG1141" s="111"/>
      <c r="BH1141" s="111"/>
      <c r="BI1141" s="111"/>
      <c r="BJ1141" s="111"/>
      <c r="BK1141" s="111"/>
      <c r="BL1141" s="111"/>
      <c r="BM1141" s="111"/>
      <c r="BN1141" s="111"/>
      <c r="BO1141" s="111"/>
      <c r="BP1141" s="111"/>
      <c r="BQ1141" s="111"/>
      <c r="BR1141" s="111"/>
      <c r="BS1141" s="111"/>
      <c r="DR1141" s="29"/>
      <c r="DS1141" s="29"/>
      <c r="DT1141" s="29"/>
      <c r="DU1141" s="29"/>
      <c r="DV1141" s="29"/>
      <c r="DW1141" s="29"/>
      <c r="DX1141" s="29"/>
      <c r="DY1141" s="29"/>
      <c r="DZ1141" s="29"/>
      <c r="EA1141" s="29"/>
      <c r="EB1141" s="29"/>
      <c r="EC1141" s="29"/>
      <c r="ED1141" s="29"/>
      <c r="EE1141" s="29"/>
      <c r="EF1141" s="111"/>
      <c r="EG1141" s="111"/>
      <c r="EH1141" s="111"/>
      <c r="EI1141" s="111"/>
      <c r="EJ1141" s="111"/>
      <c r="EK1141" s="111"/>
      <c r="EL1141" s="111"/>
      <c r="EM1141" s="111"/>
      <c r="EN1141" s="111"/>
      <c r="EO1141" s="111"/>
      <c r="EP1141" s="111"/>
      <c r="EQ1141" s="111"/>
      <c r="ER1141" s="111"/>
      <c r="ES1141" s="111"/>
    </row>
    <row r="1142" spans="44:149">
      <c r="AR1142" s="29"/>
      <c r="AS1142" s="29"/>
      <c r="AT1142" s="29"/>
      <c r="AU1142" s="29"/>
      <c r="AV1142" s="29"/>
      <c r="AW1142" s="29"/>
      <c r="AX1142" s="29"/>
      <c r="AY1142" s="29"/>
      <c r="AZ1142" s="29"/>
      <c r="BA1142" s="29"/>
      <c r="BB1142" s="29"/>
      <c r="BC1142" s="29"/>
      <c r="BD1142" s="29"/>
      <c r="BE1142" s="29"/>
      <c r="BF1142" s="111"/>
      <c r="BG1142" s="111"/>
      <c r="BH1142" s="111"/>
      <c r="BI1142" s="111"/>
      <c r="BJ1142" s="111"/>
      <c r="BK1142" s="111"/>
      <c r="BL1142" s="111"/>
      <c r="BM1142" s="111"/>
      <c r="BN1142" s="111"/>
      <c r="BO1142" s="111"/>
      <c r="BP1142" s="111"/>
      <c r="BQ1142" s="111"/>
      <c r="BR1142" s="111"/>
      <c r="BS1142" s="111"/>
      <c r="DR1142" s="29"/>
      <c r="DS1142" s="29"/>
      <c r="DT1142" s="29"/>
      <c r="DU1142" s="29"/>
      <c r="DV1142" s="29"/>
      <c r="DW1142" s="29"/>
      <c r="DX1142" s="29"/>
      <c r="DY1142" s="29"/>
      <c r="DZ1142" s="29"/>
      <c r="EA1142" s="29"/>
      <c r="EB1142" s="29"/>
      <c r="EC1142" s="29"/>
      <c r="ED1142" s="29"/>
      <c r="EE1142" s="29"/>
      <c r="EF1142" s="111"/>
      <c r="EG1142" s="111"/>
      <c r="EH1142" s="111"/>
      <c r="EI1142" s="111"/>
      <c r="EJ1142" s="111"/>
      <c r="EK1142" s="111"/>
      <c r="EL1142" s="111"/>
      <c r="EM1142" s="111"/>
      <c r="EN1142" s="111"/>
      <c r="EO1142" s="111"/>
      <c r="EP1142" s="111"/>
      <c r="EQ1142" s="111"/>
      <c r="ER1142" s="111"/>
      <c r="ES1142" s="111"/>
    </row>
    <row r="1143" spans="44:149">
      <c r="AR1143" s="29"/>
      <c r="AS1143" s="29"/>
      <c r="AT1143" s="29"/>
      <c r="AU1143" s="29"/>
      <c r="AV1143" s="29"/>
      <c r="AW1143" s="29"/>
      <c r="AX1143" s="29"/>
      <c r="AY1143" s="29"/>
      <c r="AZ1143" s="29"/>
      <c r="BA1143" s="29"/>
      <c r="BB1143" s="29"/>
      <c r="BC1143" s="29"/>
      <c r="BD1143" s="29"/>
      <c r="BE1143" s="29"/>
      <c r="BF1143" s="111"/>
      <c r="BG1143" s="111"/>
      <c r="BH1143" s="111"/>
      <c r="BI1143" s="111"/>
      <c r="BJ1143" s="111"/>
      <c r="BK1143" s="111"/>
      <c r="BL1143" s="111"/>
      <c r="BM1143" s="111"/>
      <c r="BN1143" s="111"/>
      <c r="BO1143" s="111"/>
      <c r="BP1143" s="111"/>
      <c r="BQ1143" s="111"/>
      <c r="BR1143" s="111"/>
      <c r="BS1143" s="111"/>
      <c r="DR1143" s="29"/>
      <c r="DS1143" s="29"/>
      <c r="DT1143" s="29"/>
      <c r="DU1143" s="29"/>
      <c r="DV1143" s="29"/>
      <c r="DW1143" s="29"/>
      <c r="DX1143" s="29"/>
      <c r="DY1143" s="29"/>
      <c r="DZ1143" s="29"/>
      <c r="EA1143" s="29"/>
      <c r="EB1143" s="29"/>
      <c r="EC1143" s="29"/>
      <c r="ED1143" s="29"/>
      <c r="EE1143" s="29"/>
      <c r="EF1143" s="111"/>
      <c r="EG1143" s="111"/>
      <c r="EH1143" s="111"/>
      <c r="EI1143" s="111"/>
      <c r="EJ1143" s="111"/>
      <c r="EK1143" s="111"/>
      <c r="EL1143" s="111"/>
      <c r="EM1143" s="111"/>
      <c r="EN1143" s="111"/>
      <c r="EO1143" s="111"/>
      <c r="EP1143" s="111"/>
      <c r="EQ1143" s="111"/>
      <c r="ER1143" s="111"/>
      <c r="ES1143" s="111"/>
    </row>
    <row r="1144" spans="44:149">
      <c r="AR1144" s="29"/>
      <c r="AS1144" s="29"/>
      <c r="AT1144" s="29"/>
      <c r="AU1144" s="29"/>
      <c r="AV1144" s="29"/>
      <c r="AW1144" s="29"/>
      <c r="AX1144" s="29"/>
      <c r="AY1144" s="29"/>
      <c r="AZ1144" s="29"/>
      <c r="BA1144" s="29"/>
      <c r="BB1144" s="29"/>
      <c r="BC1144" s="29"/>
      <c r="BD1144" s="29"/>
      <c r="BE1144" s="29"/>
      <c r="BF1144" s="111"/>
      <c r="BG1144" s="111"/>
      <c r="BH1144" s="111"/>
      <c r="BI1144" s="111"/>
      <c r="BJ1144" s="111"/>
      <c r="BK1144" s="111"/>
      <c r="BL1144" s="111"/>
      <c r="BM1144" s="111"/>
      <c r="BN1144" s="111"/>
      <c r="BO1144" s="111"/>
      <c r="BP1144" s="111"/>
      <c r="BQ1144" s="111"/>
      <c r="BR1144" s="111"/>
      <c r="BS1144" s="111"/>
      <c r="DR1144" s="29"/>
      <c r="DS1144" s="29"/>
      <c r="DT1144" s="29"/>
      <c r="DU1144" s="29"/>
      <c r="DV1144" s="29"/>
      <c r="DW1144" s="29"/>
      <c r="DX1144" s="29"/>
      <c r="DY1144" s="29"/>
      <c r="DZ1144" s="29"/>
      <c r="EA1144" s="29"/>
      <c r="EB1144" s="29"/>
      <c r="EC1144" s="29"/>
      <c r="ED1144" s="29"/>
      <c r="EE1144" s="29"/>
      <c r="EF1144" s="111"/>
      <c r="EG1144" s="111"/>
      <c r="EH1144" s="111"/>
      <c r="EI1144" s="111"/>
      <c r="EJ1144" s="111"/>
      <c r="EK1144" s="111"/>
      <c r="EL1144" s="111"/>
      <c r="EM1144" s="111"/>
      <c r="EN1144" s="111"/>
      <c r="EO1144" s="111"/>
      <c r="EP1144" s="111"/>
      <c r="EQ1144" s="111"/>
      <c r="ER1144" s="111"/>
      <c r="ES1144" s="111"/>
    </row>
    <row r="1145" spans="44:149">
      <c r="AR1145" s="29"/>
      <c r="AS1145" s="29"/>
      <c r="AT1145" s="29"/>
      <c r="AU1145" s="29"/>
      <c r="AV1145" s="29"/>
      <c r="AW1145" s="29"/>
      <c r="AX1145" s="29"/>
      <c r="AY1145" s="29"/>
      <c r="AZ1145" s="29"/>
      <c r="BA1145" s="29"/>
      <c r="BB1145" s="29"/>
      <c r="BC1145" s="29"/>
      <c r="BD1145" s="29"/>
      <c r="BE1145" s="29"/>
      <c r="BF1145" s="111"/>
      <c r="BG1145" s="111"/>
      <c r="BH1145" s="111"/>
      <c r="BI1145" s="111"/>
      <c r="BJ1145" s="111"/>
      <c r="BK1145" s="111"/>
      <c r="BL1145" s="111"/>
      <c r="BM1145" s="111"/>
      <c r="BN1145" s="111"/>
      <c r="BO1145" s="111"/>
      <c r="BP1145" s="111"/>
      <c r="BQ1145" s="111"/>
      <c r="BR1145" s="111"/>
      <c r="BS1145" s="111"/>
      <c r="DR1145" s="29"/>
      <c r="DS1145" s="29"/>
      <c r="DT1145" s="29"/>
      <c r="DU1145" s="29"/>
      <c r="DV1145" s="29"/>
      <c r="DW1145" s="29"/>
      <c r="DX1145" s="29"/>
      <c r="DY1145" s="29"/>
      <c r="DZ1145" s="29"/>
      <c r="EA1145" s="29"/>
      <c r="EB1145" s="29"/>
      <c r="EC1145" s="29"/>
      <c r="ED1145" s="29"/>
      <c r="EE1145" s="29"/>
      <c r="EF1145" s="111"/>
      <c r="EG1145" s="111"/>
      <c r="EH1145" s="111"/>
      <c r="EI1145" s="111"/>
      <c r="EJ1145" s="111"/>
      <c r="EK1145" s="111"/>
      <c r="EL1145" s="111"/>
      <c r="EM1145" s="111"/>
      <c r="EN1145" s="111"/>
      <c r="EO1145" s="111"/>
      <c r="EP1145" s="111"/>
      <c r="EQ1145" s="111"/>
      <c r="ER1145" s="111"/>
      <c r="ES1145" s="111"/>
    </row>
    <row r="1146" spans="44:149">
      <c r="AR1146" s="29"/>
      <c r="AS1146" s="29"/>
      <c r="AT1146" s="29"/>
      <c r="AU1146" s="29"/>
      <c r="AV1146" s="29"/>
      <c r="AW1146" s="29"/>
      <c r="AX1146" s="29"/>
      <c r="AY1146" s="29"/>
      <c r="AZ1146" s="29"/>
      <c r="BA1146" s="29"/>
      <c r="BB1146" s="29"/>
      <c r="BC1146" s="29"/>
      <c r="BD1146" s="29"/>
      <c r="BE1146" s="29"/>
      <c r="BF1146" s="111"/>
      <c r="BG1146" s="111"/>
      <c r="BH1146" s="111"/>
      <c r="BI1146" s="111"/>
      <c r="BJ1146" s="111"/>
      <c r="BK1146" s="111"/>
      <c r="BL1146" s="111"/>
      <c r="BM1146" s="111"/>
      <c r="BN1146" s="111"/>
      <c r="BO1146" s="111"/>
      <c r="BP1146" s="111"/>
      <c r="BQ1146" s="111"/>
      <c r="BR1146" s="111"/>
      <c r="BS1146" s="111"/>
      <c r="DR1146" s="29"/>
      <c r="DS1146" s="29"/>
      <c r="DT1146" s="29"/>
      <c r="DU1146" s="29"/>
      <c r="DV1146" s="29"/>
      <c r="DW1146" s="29"/>
      <c r="DX1146" s="29"/>
      <c r="DY1146" s="29"/>
      <c r="DZ1146" s="29"/>
      <c r="EA1146" s="29"/>
      <c r="EB1146" s="29"/>
      <c r="EC1146" s="29"/>
      <c r="ED1146" s="29"/>
      <c r="EE1146" s="29"/>
      <c r="EF1146" s="111"/>
      <c r="EG1146" s="111"/>
      <c r="EH1146" s="111"/>
      <c r="EI1146" s="111"/>
      <c r="EJ1146" s="111"/>
      <c r="EK1146" s="111"/>
      <c r="EL1146" s="111"/>
      <c r="EM1146" s="111"/>
      <c r="EN1146" s="111"/>
      <c r="EO1146" s="111"/>
      <c r="EP1146" s="111"/>
      <c r="EQ1146" s="111"/>
      <c r="ER1146" s="111"/>
      <c r="ES1146" s="111"/>
    </row>
    <row r="1147" spans="44:149">
      <c r="AR1147" s="29"/>
      <c r="AS1147" s="29"/>
      <c r="AT1147" s="29"/>
      <c r="AU1147" s="29"/>
      <c r="AV1147" s="29"/>
      <c r="AW1147" s="29"/>
      <c r="AX1147" s="29"/>
      <c r="AY1147" s="29"/>
      <c r="AZ1147" s="29"/>
      <c r="BA1147" s="29"/>
      <c r="BB1147" s="29"/>
      <c r="BC1147" s="29"/>
      <c r="BD1147" s="29"/>
      <c r="BE1147" s="29"/>
      <c r="BF1147" s="111"/>
      <c r="BG1147" s="111"/>
      <c r="BH1147" s="111"/>
      <c r="BI1147" s="111"/>
      <c r="BJ1147" s="111"/>
      <c r="BK1147" s="111"/>
      <c r="BL1147" s="111"/>
      <c r="BM1147" s="111"/>
      <c r="BN1147" s="111"/>
      <c r="BO1147" s="111"/>
      <c r="BP1147" s="111"/>
      <c r="BQ1147" s="111"/>
      <c r="BR1147" s="111"/>
      <c r="BS1147" s="111"/>
      <c r="DR1147" s="29"/>
      <c r="DS1147" s="29"/>
      <c r="DT1147" s="29"/>
      <c r="DU1147" s="29"/>
      <c r="DV1147" s="29"/>
      <c r="DW1147" s="29"/>
      <c r="DX1147" s="29"/>
      <c r="DY1147" s="29"/>
      <c r="DZ1147" s="29"/>
      <c r="EA1147" s="29"/>
      <c r="EB1147" s="29"/>
      <c r="EC1147" s="29"/>
      <c r="ED1147" s="29"/>
      <c r="EE1147" s="29"/>
      <c r="EF1147" s="111"/>
      <c r="EG1147" s="111"/>
      <c r="EH1147" s="111"/>
      <c r="EI1147" s="111"/>
      <c r="EJ1147" s="111"/>
      <c r="EK1147" s="111"/>
      <c r="EL1147" s="111"/>
      <c r="EM1147" s="111"/>
      <c r="EN1147" s="111"/>
      <c r="EO1147" s="111"/>
      <c r="EP1147" s="111"/>
      <c r="EQ1147" s="111"/>
      <c r="ER1147" s="111"/>
      <c r="ES1147" s="111"/>
    </row>
    <row r="1148" spans="44:149">
      <c r="AR1148" s="29"/>
      <c r="AS1148" s="29"/>
      <c r="AT1148" s="29"/>
      <c r="AU1148" s="29"/>
      <c r="AV1148" s="29"/>
      <c r="AW1148" s="29"/>
      <c r="AX1148" s="29"/>
      <c r="AY1148" s="29"/>
      <c r="AZ1148" s="29"/>
      <c r="BA1148" s="29"/>
      <c r="BB1148" s="29"/>
      <c r="BC1148" s="29"/>
      <c r="BD1148" s="29"/>
      <c r="BE1148" s="29"/>
      <c r="BF1148" s="111"/>
      <c r="BG1148" s="111"/>
      <c r="BH1148" s="111"/>
      <c r="BI1148" s="111"/>
      <c r="BJ1148" s="111"/>
      <c r="BK1148" s="111"/>
      <c r="BL1148" s="111"/>
      <c r="BM1148" s="111"/>
      <c r="BN1148" s="111"/>
      <c r="BO1148" s="111"/>
      <c r="BP1148" s="111"/>
      <c r="BQ1148" s="111"/>
      <c r="BR1148" s="111"/>
      <c r="BS1148" s="111"/>
      <c r="DR1148" s="29"/>
      <c r="DS1148" s="29"/>
      <c r="DT1148" s="29"/>
      <c r="DU1148" s="29"/>
      <c r="DV1148" s="29"/>
      <c r="DW1148" s="29"/>
      <c r="DX1148" s="29"/>
      <c r="DY1148" s="29"/>
      <c r="DZ1148" s="29"/>
      <c r="EA1148" s="29"/>
      <c r="EB1148" s="29"/>
      <c r="EC1148" s="29"/>
      <c r="ED1148" s="29"/>
      <c r="EE1148" s="29"/>
      <c r="EF1148" s="111"/>
      <c r="EG1148" s="111"/>
      <c r="EH1148" s="111"/>
      <c r="EI1148" s="111"/>
      <c r="EJ1148" s="111"/>
      <c r="EK1148" s="111"/>
      <c r="EL1148" s="111"/>
      <c r="EM1148" s="111"/>
      <c r="EN1148" s="111"/>
      <c r="EO1148" s="111"/>
      <c r="EP1148" s="111"/>
      <c r="EQ1148" s="111"/>
      <c r="ER1148" s="111"/>
      <c r="ES1148" s="111"/>
    </row>
    <row r="1149" spans="44:149">
      <c r="AR1149" s="29"/>
      <c r="AS1149" s="29"/>
      <c r="AT1149" s="29"/>
      <c r="AU1149" s="29"/>
      <c r="AV1149" s="29"/>
      <c r="AW1149" s="29"/>
      <c r="AX1149" s="29"/>
      <c r="AY1149" s="29"/>
      <c r="AZ1149" s="29"/>
      <c r="BA1149" s="29"/>
      <c r="BB1149" s="29"/>
      <c r="BC1149" s="29"/>
      <c r="BD1149" s="29"/>
      <c r="BE1149" s="29"/>
      <c r="BF1149" s="111"/>
      <c r="BG1149" s="111"/>
      <c r="BH1149" s="111"/>
      <c r="BI1149" s="111"/>
      <c r="BJ1149" s="111"/>
      <c r="BK1149" s="111"/>
      <c r="BL1149" s="111"/>
      <c r="BM1149" s="111"/>
      <c r="BN1149" s="111"/>
      <c r="BO1149" s="111"/>
      <c r="BP1149" s="111"/>
      <c r="BQ1149" s="111"/>
      <c r="BR1149" s="111"/>
      <c r="BS1149" s="111"/>
      <c r="DR1149" s="29"/>
      <c r="DS1149" s="29"/>
      <c r="DT1149" s="29"/>
      <c r="DU1149" s="29"/>
      <c r="DV1149" s="29"/>
      <c r="DW1149" s="29"/>
      <c r="DX1149" s="29"/>
      <c r="DY1149" s="29"/>
      <c r="DZ1149" s="29"/>
      <c r="EA1149" s="29"/>
      <c r="EB1149" s="29"/>
      <c r="EC1149" s="29"/>
      <c r="ED1149" s="29"/>
      <c r="EE1149" s="29"/>
      <c r="EF1149" s="111"/>
      <c r="EG1149" s="111"/>
      <c r="EH1149" s="111"/>
      <c r="EI1149" s="111"/>
      <c r="EJ1149" s="111"/>
      <c r="EK1149" s="111"/>
      <c r="EL1149" s="111"/>
      <c r="EM1149" s="111"/>
      <c r="EN1149" s="111"/>
      <c r="EO1149" s="111"/>
      <c r="EP1149" s="111"/>
      <c r="EQ1149" s="111"/>
      <c r="ER1149" s="111"/>
      <c r="ES1149" s="111"/>
    </row>
    <row r="1150" spans="44:149">
      <c r="AR1150" s="29"/>
      <c r="AS1150" s="29"/>
      <c r="AT1150" s="29"/>
      <c r="AU1150" s="29"/>
      <c r="AV1150" s="29"/>
      <c r="AW1150" s="29"/>
      <c r="AX1150" s="29"/>
      <c r="AY1150" s="29"/>
      <c r="AZ1150" s="29"/>
      <c r="BA1150" s="29"/>
      <c r="BB1150" s="29"/>
      <c r="BC1150" s="29"/>
      <c r="BD1150" s="29"/>
      <c r="BE1150" s="29"/>
      <c r="BF1150" s="111"/>
      <c r="BG1150" s="111"/>
      <c r="BH1150" s="111"/>
      <c r="BI1150" s="111"/>
      <c r="BJ1150" s="111"/>
      <c r="BK1150" s="111"/>
      <c r="BL1150" s="111"/>
      <c r="BM1150" s="111"/>
      <c r="BN1150" s="111"/>
      <c r="BO1150" s="111"/>
      <c r="BP1150" s="111"/>
      <c r="BQ1150" s="111"/>
      <c r="BR1150" s="111"/>
      <c r="BS1150" s="111"/>
      <c r="DR1150" s="29"/>
      <c r="DS1150" s="29"/>
      <c r="DT1150" s="29"/>
      <c r="DU1150" s="29"/>
      <c r="DV1150" s="29"/>
      <c r="DW1150" s="29"/>
      <c r="DX1150" s="29"/>
      <c r="DY1150" s="29"/>
      <c r="DZ1150" s="29"/>
      <c r="EA1150" s="29"/>
      <c r="EB1150" s="29"/>
      <c r="EC1150" s="29"/>
      <c r="ED1150" s="29"/>
      <c r="EE1150" s="29"/>
      <c r="EF1150" s="111"/>
      <c r="EG1150" s="111"/>
      <c r="EH1150" s="111"/>
      <c r="EI1150" s="111"/>
      <c r="EJ1150" s="111"/>
      <c r="EK1150" s="111"/>
      <c r="EL1150" s="111"/>
      <c r="EM1150" s="111"/>
      <c r="EN1150" s="111"/>
      <c r="EO1150" s="111"/>
      <c r="EP1150" s="111"/>
      <c r="EQ1150" s="111"/>
      <c r="ER1150" s="111"/>
      <c r="ES1150" s="111"/>
    </row>
    <row r="1151" spans="44:149">
      <c r="AR1151" s="29"/>
      <c r="AS1151" s="29"/>
      <c r="AT1151" s="29"/>
      <c r="AU1151" s="29"/>
      <c r="AV1151" s="29"/>
      <c r="AW1151" s="29"/>
      <c r="AX1151" s="29"/>
      <c r="AY1151" s="29"/>
      <c r="AZ1151" s="29"/>
      <c r="BA1151" s="29"/>
      <c r="BB1151" s="29"/>
      <c r="BC1151" s="29"/>
      <c r="BD1151" s="29"/>
      <c r="BE1151" s="29"/>
      <c r="BF1151" s="111"/>
      <c r="BG1151" s="111"/>
      <c r="BH1151" s="111"/>
      <c r="BI1151" s="111"/>
      <c r="BJ1151" s="111"/>
      <c r="BK1151" s="111"/>
      <c r="BL1151" s="111"/>
      <c r="BM1151" s="111"/>
      <c r="BN1151" s="111"/>
      <c r="BO1151" s="111"/>
      <c r="BP1151" s="111"/>
      <c r="BQ1151" s="111"/>
      <c r="BR1151" s="111"/>
      <c r="BS1151" s="111"/>
      <c r="DR1151" s="29"/>
      <c r="DS1151" s="29"/>
      <c r="DT1151" s="29"/>
      <c r="DU1151" s="29"/>
      <c r="DV1151" s="29"/>
      <c r="DW1151" s="29"/>
      <c r="DX1151" s="29"/>
      <c r="DY1151" s="29"/>
      <c r="DZ1151" s="29"/>
      <c r="EA1151" s="29"/>
      <c r="EB1151" s="29"/>
      <c r="EC1151" s="29"/>
      <c r="ED1151" s="29"/>
      <c r="EE1151" s="29"/>
      <c r="EF1151" s="111"/>
      <c r="EG1151" s="111"/>
      <c r="EH1151" s="111"/>
      <c r="EI1151" s="111"/>
      <c r="EJ1151" s="111"/>
      <c r="EK1151" s="111"/>
      <c r="EL1151" s="111"/>
      <c r="EM1151" s="111"/>
      <c r="EN1151" s="111"/>
      <c r="EO1151" s="111"/>
      <c r="EP1151" s="111"/>
      <c r="EQ1151" s="111"/>
      <c r="ER1151" s="111"/>
      <c r="ES1151" s="111"/>
    </row>
    <row r="1152" spans="44:149">
      <c r="AR1152" s="29"/>
      <c r="AS1152" s="29"/>
      <c r="AT1152" s="29"/>
      <c r="AU1152" s="29"/>
      <c r="AV1152" s="29"/>
      <c r="AW1152" s="29"/>
      <c r="AX1152" s="29"/>
      <c r="AY1152" s="29"/>
      <c r="AZ1152" s="29"/>
      <c r="BA1152" s="29"/>
      <c r="BB1152" s="29"/>
      <c r="BC1152" s="29"/>
      <c r="BD1152" s="29"/>
      <c r="BE1152" s="29"/>
      <c r="BF1152" s="111"/>
      <c r="BG1152" s="111"/>
      <c r="BH1152" s="111"/>
      <c r="BI1152" s="111"/>
      <c r="BJ1152" s="111"/>
      <c r="BK1152" s="111"/>
      <c r="BL1152" s="111"/>
      <c r="BM1152" s="111"/>
      <c r="BN1152" s="111"/>
      <c r="BO1152" s="111"/>
      <c r="BP1152" s="111"/>
      <c r="BQ1152" s="111"/>
      <c r="BR1152" s="111"/>
      <c r="BS1152" s="111"/>
      <c r="DR1152" s="29"/>
      <c r="DS1152" s="29"/>
      <c r="DT1152" s="29"/>
      <c r="DU1152" s="29"/>
      <c r="DV1152" s="29"/>
      <c r="DW1152" s="29"/>
      <c r="DX1152" s="29"/>
      <c r="DY1152" s="29"/>
      <c r="DZ1152" s="29"/>
      <c r="EA1152" s="29"/>
      <c r="EB1152" s="29"/>
      <c r="EC1152" s="29"/>
      <c r="ED1152" s="29"/>
      <c r="EE1152" s="29"/>
      <c r="EF1152" s="111"/>
      <c r="EG1152" s="111"/>
      <c r="EH1152" s="111"/>
      <c r="EI1152" s="111"/>
      <c r="EJ1152" s="111"/>
      <c r="EK1152" s="111"/>
      <c r="EL1152" s="111"/>
      <c r="EM1152" s="111"/>
      <c r="EN1152" s="111"/>
      <c r="EO1152" s="111"/>
      <c r="EP1152" s="111"/>
      <c r="EQ1152" s="111"/>
      <c r="ER1152" s="111"/>
      <c r="ES1152" s="111"/>
    </row>
    <row r="1153" spans="44:149">
      <c r="AR1153" s="29"/>
      <c r="AS1153" s="29"/>
      <c r="AT1153" s="29"/>
      <c r="AU1153" s="29"/>
      <c r="AV1153" s="29"/>
      <c r="AW1153" s="29"/>
      <c r="AX1153" s="29"/>
      <c r="AY1153" s="29"/>
      <c r="AZ1153" s="29"/>
      <c r="BA1153" s="29"/>
      <c r="BB1153" s="29"/>
      <c r="BC1153" s="29"/>
      <c r="BD1153" s="29"/>
      <c r="BE1153" s="29"/>
      <c r="BF1153" s="111"/>
      <c r="BG1153" s="111"/>
      <c r="BH1153" s="111"/>
      <c r="BI1153" s="111"/>
      <c r="BJ1153" s="111"/>
      <c r="BK1153" s="111"/>
      <c r="BL1153" s="111"/>
      <c r="BM1153" s="111"/>
      <c r="BN1153" s="111"/>
      <c r="BO1153" s="111"/>
      <c r="BP1153" s="111"/>
      <c r="BQ1153" s="111"/>
      <c r="BR1153" s="111"/>
      <c r="BS1153" s="111"/>
      <c r="DR1153" s="29"/>
      <c r="DS1153" s="29"/>
      <c r="DT1153" s="29"/>
      <c r="DU1153" s="29"/>
      <c r="DV1153" s="29"/>
      <c r="DW1153" s="29"/>
      <c r="DX1153" s="29"/>
      <c r="DY1153" s="29"/>
      <c r="DZ1153" s="29"/>
      <c r="EA1153" s="29"/>
      <c r="EB1153" s="29"/>
      <c r="EC1153" s="29"/>
      <c r="ED1153" s="29"/>
      <c r="EE1153" s="29"/>
      <c r="EF1153" s="111"/>
      <c r="EG1153" s="111"/>
      <c r="EH1153" s="111"/>
      <c r="EI1153" s="111"/>
      <c r="EJ1153" s="111"/>
      <c r="EK1153" s="111"/>
      <c r="EL1153" s="111"/>
      <c r="EM1153" s="111"/>
      <c r="EN1153" s="111"/>
      <c r="EO1153" s="111"/>
      <c r="EP1153" s="111"/>
      <c r="EQ1153" s="111"/>
      <c r="ER1153" s="111"/>
      <c r="ES1153" s="111"/>
    </row>
    <row r="1154" spans="44:149">
      <c r="AR1154" s="29"/>
      <c r="AS1154" s="29"/>
      <c r="AT1154" s="29"/>
      <c r="AU1154" s="29"/>
      <c r="AV1154" s="29"/>
      <c r="AW1154" s="29"/>
      <c r="AX1154" s="29"/>
      <c r="AY1154" s="29"/>
      <c r="AZ1154" s="29"/>
      <c r="BA1154" s="29"/>
      <c r="BB1154" s="29"/>
      <c r="BC1154" s="29"/>
      <c r="BD1154" s="29"/>
      <c r="BE1154" s="29"/>
      <c r="BF1154" s="111"/>
      <c r="BG1154" s="111"/>
      <c r="BH1154" s="111"/>
      <c r="BI1154" s="111"/>
      <c r="BJ1154" s="111"/>
      <c r="BK1154" s="111"/>
      <c r="BL1154" s="111"/>
      <c r="BM1154" s="111"/>
      <c r="BN1154" s="111"/>
      <c r="BO1154" s="111"/>
      <c r="BP1154" s="111"/>
      <c r="BQ1154" s="111"/>
      <c r="BR1154" s="111"/>
      <c r="BS1154" s="111"/>
      <c r="DR1154" s="29"/>
      <c r="DS1154" s="29"/>
      <c r="DT1154" s="29"/>
      <c r="DU1154" s="29"/>
      <c r="DV1154" s="29"/>
      <c r="DW1154" s="29"/>
      <c r="DX1154" s="29"/>
      <c r="DY1154" s="29"/>
      <c r="DZ1154" s="29"/>
      <c r="EA1154" s="29"/>
      <c r="EB1154" s="29"/>
      <c r="EC1154" s="29"/>
      <c r="ED1154" s="29"/>
      <c r="EE1154" s="29"/>
      <c r="EF1154" s="111"/>
      <c r="EG1154" s="111"/>
      <c r="EH1154" s="111"/>
      <c r="EI1154" s="111"/>
      <c r="EJ1154" s="111"/>
      <c r="EK1154" s="111"/>
      <c r="EL1154" s="111"/>
      <c r="EM1154" s="111"/>
      <c r="EN1154" s="111"/>
      <c r="EO1154" s="111"/>
      <c r="EP1154" s="111"/>
      <c r="EQ1154" s="111"/>
      <c r="ER1154" s="111"/>
      <c r="ES1154" s="111"/>
    </row>
    <row r="1155" spans="44:149">
      <c r="AR1155" s="29"/>
      <c r="AS1155" s="29"/>
      <c r="AT1155" s="29"/>
      <c r="AU1155" s="29"/>
      <c r="AV1155" s="29"/>
      <c r="AW1155" s="29"/>
      <c r="AX1155" s="29"/>
      <c r="AY1155" s="29"/>
      <c r="AZ1155" s="29"/>
      <c r="BA1155" s="29"/>
      <c r="BB1155" s="29"/>
      <c r="BC1155" s="29"/>
      <c r="BD1155" s="29"/>
      <c r="BE1155" s="29"/>
      <c r="BF1155" s="111"/>
      <c r="BG1155" s="111"/>
      <c r="BH1155" s="111"/>
      <c r="BI1155" s="111"/>
      <c r="BJ1155" s="111"/>
      <c r="BK1155" s="111"/>
      <c r="BL1155" s="111"/>
      <c r="BM1155" s="111"/>
      <c r="BN1155" s="111"/>
      <c r="BO1155" s="111"/>
      <c r="BP1155" s="111"/>
      <c r="BQ1155" s="111"/>
      <c r="BR1155" s="111"/>
      <c r="BS1155" s="111"/>
      <c r="DR1155" s="29"/>
      <c r="DS1155" s="29"/>
      <c r="DT1155" s="29"/>
      <c r="DU1155" s="29"/>
      <c r="DV1155" s="29"/>
      <c r="DW1155" s="29"/>
      <c r="DX1155" s="29"/>
      <c r="DY1155" s="29"/>
      <c r="DZ1155" s="29"/>
      <c r="EA1155" s="29"/>
      <c r="EB1155" s="29"/>
      <c r="EC1155" s="29"/>
      <c r="ED1155" s="29"/>
      <c r="EE1155" s="29"/>
      <c r="EF1155" s="111"/>
      <c r="EG1155" s="111"/>
      <c r="EH1155" s="111"/>
      <c r="EI1155" s="111"/>
      <c r="EJ1155" s="111"/>
      <c r="EK1155" s="111"/>
      <c r="EL1155" s="111"/>
      <c r="EM1155" s="111"/>
      <c r="EN1155" s="111"/>
      <c r="EO1155" s="111"/>
      <c r="EP1155" s="111"/>
      <c r="EQ1155" s="111"/>
      <c r="ER1155" s="111"/>
      <c r="ES1155" s="111"/>
    </row>
    <row r="1156" spans="44:149">
      <c r="AR1156" s="29"/>
      <c r="AS1156" s="29"/>
      <c r="AT1156" s="29"/>
      <c r="AU1156" s="29"/>
      <c r="AV1156" s="29"/>
      <c r="AW1156" s="29"/>
      <c r="AX1156" s="29"/>
      <c r="AY1156" s="29"/>
      <c r="AZ1156" s="29"/>
      <c r="BA1156" s="29"/>
      <c r="BB1156" s="29"/>
      <c r="BC1156" s="29"/>
      <c r="BD1156" s="29"/>
      <c r="BE1156" s="29"/>
      <c r="BF1156" s="111"/>
      <c r="BG1156" s="111"/>
      <c r="BH1156" s="111"/>
      <c r="BI1156" s="111"/>
      <c r="BJ1156" s="111"/>
      <c r="BK1156" s="111"/>
      <c r="BL1156" s="111"/>
      <c r="BM1156" s="111"/>
      <c r="BN1156" s="111"/>
      <c r="BO1156" s="111"/>
      <c r="BP1156" s="111"/>
      <c r="BQ1156" s="111"/>
      <c r="BR1156" s="111"/>
      <c r="BS1156" s="111"/>
      <c r="DR1156" s="29"/>
      <c r="DS1156" s="29"/>
      <c r="DT1156" s="29"/>
      <c r="DU1156" s="29"/>
      <c r="DV1156" s="29"/>
      <c r="DW1156" s="29"/>
      <c r="DX1156" s="29"/>
      <c r="DY1156" s="29"/>
      <c r="DZ1156" s="29"/>
      <c r="EA1156" s="29"/>
      <c r="EB1156" s="29"/>
      <c r="EC1156" s="29"/>
      <c r="ED1156" s="29"/>
      <c r="EE1156" s="29"/>
      <c r="EF1156" s="111"/>
      <c r="EG1156" s="111"/>
      <c r="EH1156" s="111"/>
      <c r="EI1156" s="111"/>
      <c r="EJ1156" s="111"/>
      <c r="EK1156" s="111"/>
      <c r="EL1156" s="111"/>
      <c r="EM1156" s="111"/>
      <c r="EN1156" s="111"/>
      <c r="EO1156" s="111"/>
      <c r="EP1156" s="111"/>
      <c r="EQ1156" s="111"/>
      <c r="ER1156" s="111"/>
      <c r="ES1156" s="111"/>
    </row>
    <row r="1157" spans="44:149">
      <c r="AR1157" s="29"/>
      <c r="AS1157" s="29"/>
      <c r="AT1157" s="29"/>
      <c r="AU1157" s="29"/>
      <c r="AV1157" s="29"/>
      <c r="AW1157" s="29"/>
      <c r="AX1157" s="29"/>
      <c r="AY1157" s="29"/>
      <c r="AZ1157" s="29"/>
      <c r="BA1157" s="29"/>
      <c r="BB1157" s="29"/>
      <c r="BC1157" s="29"/>
      <c r="BD1157" s="29"/>
      <c r="BE1157" s="29"/>
      <c r="BF1157" s="111"/>
      <c r="BG1157" s="111"/>
      <c r="BH1157" s="111"/>
      <c r="BI1157" s="111"/>
      <c r="BJ1157" s="111"/>
      <c r="BK1157" s="111"/>
      <c r="BL1157" s="111"/>
      <c r="BM1157" s="111"/>
      <c r="BN1157" s="111"/>
      <c r="BO1157" s="111"/>
      <c r="BP1157" s="111"/>
      <c r="BQ1157" s="111"/>
      <c r="BR1157" s="111"/>
      <c r="BS1157" s="111"/>
      <c r="DR1157" s="29"/>
      <c r="DS1157" s="29"/>
      <c r="DT1157" s="29"/>
      <c r="DU1157" s="29"/>
      <c r="DV1157" s="29"/>
      <c r="DW1157" s="29"/>
      <c r="DX1157" s="29"/>
      <c r="DY1157" s="29"/>
      <c r="DZ1157" s="29"/>
      <c r="EA1157" s="29"/>
      <c r="EB1157" s="29"/>
      <c r="EC1157" s="29"/>
      <c r="ED1157" s="29"/>
      <c r="EE1157" s="29"/>
      <c r="EF1157" s="111"/>
      <c r="EG1157" s="111"/>
      <c r="EH1157" s="111"/>
      <c r="EI1157" s="111"/>
      <c r="EJ1157" s="111"/>
      <c r="EK1157" s="111"/>
      <c r="EL1157" s="111"/>
      <c r="EM1157" s="111"/>
      <c r="EN1157" s="111"/>
      <c r="EO1157" s="111"/>
      <c r="EP1157" s="111"/>
      <c r="EQ1157" s="111"/>
      <c r="ER1157" s="111"/>
      <c r="ES1157" s="111"/>
    </row>
    <row r="1158" spans="44:149">
      <c r="AR1158" s="29"/>
      <c r="AS1158" s="29"/>
      <c r="AT1158" s="29"/>
      <c r="AU1158" s="29"/>
      <c r="AV1158" s="29"/>
      <c r="AW1158" s="29"/>
      <c r="AX1158" s="29"/>
      <c r="AY1158" s="29"/>
      <c r="AZ1158" s="29"/>
      <c r="BA1158" s="29"/>
      <c r="BB1158" s="29"/>
      <c r="BC1158" s="29"/>
      <c r="BD1158" s="29"/>
      <c r="BE1158" s="29"/>
      <c r="BF1158" s="111"/>
      <c r="BG1158" s="111"/>
      <c r="BH1158" s="111"/>
      <c r="BI1158" s="111"/>
      <c r="BJ1158" s="111"/>
      <c r="BK1158" s="111"/>
      <c r="BL1158" s="111"/>
      <c r="BM1158" s="111"/>
      <c r="BN1158" s="111"/>
      <c r="BO1158" s="111"/>
      <c r="BP1158" s="111"/>
      <c r="BQ1158" s="111"/>
      <c r="BR1158" s="111"/>
      <c r="BS1158" s="111"/>
      <c r="DR1158" s="29"/>
      <c r="DS1158" s="29"/>
      <c r="DT1158" s="29"/>
      <c r="DU1158" s="29"/>
      <c r="DV1158" s="29"/>
      <c r="DW1158" s="29"/>
      <c r="DX1158" s="29"/>
      <c r="DY1158" s="29"/>
      <c r="DZ1158" s="29"/>
      <c r="EA1158" s="29"/>
      <c r="EB1158" s="29"/>
      <c r="EC1158" s="29"/>
      <c r="ED1158" s="29"/>
      <c r="EE1158" s="29"/>
      <c r="EF1158" s="111"/>
      <c r="EG1158" s="111"/>
      <c r="EH1158" s="111"/>
      <c r="EI1158" s="111"/>
      <c r="EJ1158" s="111"/>
      <c r="EK1158" s="111"/>
      <c r="EL1158" s="111"/>
      <c r="EM1158" s="111"/>
      <c r="EN1158" s="111"/>
      <c r="EO1158" s="111"/>
      <c r="EP1158" s="111"/>
      <c r="EQ1158" s="111"/>
      <c r="ER1158" s="111"/>
      <c r="ES1158" s="111"/>
    </row>
    <row r="1159" spans="44:149">
      <c r="AR1159" s="29"/>
      <c r="AS1159" s="29"/>
      <c r="AT1159" s="29"/>
      <c r="AU1159" s="29"/>
      <c r="AV1159" s="29"/>
      <c r="AW1159" s="29"/>
      <c r="AX1159" s="29"/>
      <c r="AY1159" s="29"/>
      <c r="AZ1159" s="29"/>
      <c r="BA1159" s="29"/>
      <c r="BB1159" s="29"/>
      <c r="BC1159" s="29"/>
      <c r="BD1159" s="29"/>
      <c r="BE1159" s="29"/>
      <c r="BF1159" s="111"/>
      <c r="BG1159" s="111"/>
      <c r="BH1159" s="111"/>
      <c r="BI1159" s="111"/>
      <c r="BJ1159" s="111"/>
      <c r="BK1159" s="111"/>
      <c r="BL1159" s="111"/>
      <c r="BM1159" s="111"/>
      <c r="BN1159" s="111"/>
      <c r="BO1159" s="111"/>
      <c r="BP1159" s="111"/>
      <c r="BQ1159" s="111"/>
      <c r="BR1159" s="111"/>
      <c r="BS1159" s="111"/>
      <c r="DR1159" s="29"/>
      <c r="DS1159" s="29"/>
      <c r="DT1159" s="29"/>
      <c r="DU1159" s="29"/>
      <c r="DV1159" s="29"/>
      <c r="DW1159" s="29"/>
      <c r="DX1159" s="29"/>
      <c r="DY1159" s="29"/>
      <c r="DZ1159" s="29"/>
      <c r="EA1159" s="29"/>
      <c r="EB1159" s="29"/>
      <c r="EC1159" s="29"/>
      <c r="ED1159" s="29"/>
      <c r="EE1159" s="29"/>
      <c r="EF1159" s="111"/>
      <c r="EG1159" s="111"/>
      <c r="EH1159" s="111"/>
      <c r="EI1159" s="111"/>
      <c r="EJ1159" s="111"/>
      <c r="EK1159" s="111"/>
      <c r="EL1159" s="111"/>
      <c r="EM1159" s="111"/>
      <c r="EN1159" s="111"/>
      <c r="EO1159" s="111"/>
      <c r="EP1159" s="111"/>
      <c r="EQ1159" s="111"/>
      <c r="ER1159" s="111"/>
      <c r="ES1159" s="111"/>
    </row>
    <row r="1160" spans="44:149">
      <c r="AR1160" s="29"/>
      <c r="AS1160" s="29"/>
      <c r="AT1160" s="29"/>
      <c r="AU1160" s="29"/>
      <c r="AV1160" s="29"/>
      <c r="AW1160" s="29"/>
      <c r="AX1160" s="29"/>
      <c r="AY1160" s="29"/>
      <c r="AZ1160" s="29"/>
      <c r="BA1160" s="29"/>
      <c r="BB1160" s="29"/>
      <c r="BC1160" s="29"/>
      <c r="BD1160" s="29"/>
      <c r="BE1160" s="29"/>
      <c r="BF1160" s="111"/>
      <c r="BG1160" s="111"/>
      <c r="BH1160" s="111"/>
      <c r="BI1160" s="111"/>
      <c r="BJ1160" s="111"/>
      <c r="BK1160" s="111"/>
      <c r="BL1160" s="111"/>
      <c r="BM1160" s="111"/>
      <c r="BN1160" s="111"/>
      <c r="BO1160" s="111"/>
      <c r="BP1160" s="111"/>
      <c r="BQ1160" s="111"/>
      <c r="BR1160" s="111"/>
      <c r="BS1160" s="111"/>
      <c r="DR1160" s="29"/>
      <c r="DS1160" s="29"/>
      <c r="DT1160" s="29"/>
      <c r="DU1160" s="29"/>
      <c r="DV1160" s="29"/>
      <c r="DW1160" s="29"/>
      <c r="DX1160" s="29"/>
      <c r="DY1160" s="29"/>
      <c r="DZ1160" s="29"/>
      <c r="EA1160" s="29"/>
      <c r="EB1160" s="29"/>
      <c r="EC1160" s="29"/>
      <c r="ED1160" s="29"/>
      <c r="EE1160" s="29"/>
      <c r="EF1160" s="111"/>
      <c r="EG1160" s="111"/>
      <c r="EH1160" s="111"/>
      <c r="EI1160" s="111"/>
      <c r="EJ1160" s="111"/>
      <c r="EK1160" s="111"/>
      <c r="EL1160" s="111"/>
      <c r="EM1160" s="111"/>
      <c r="EN1160" s="111"/>
      <c r="EO1160" s="111"/>
      <c r="EP1160" s="111"/>
      <c r="EQ1160" s="111"/>
      <c r="ER1160" s="111"/>
      <c r="ES1160" s="111"/>
    </row>
    <row r="1161" spans="44:149">
      <c r="AR1161" s="29"/>
      <c r="AS1161" s="29"/>
      <c r="AT1161" s="29"/>
      <c r="AU1161" s="29"/>
      <c r="AV1161" s="29"/>
      <c r="AW1161" s="29"/>
      <c r="AX1161" s="29"/>
      <c r="AY1161" s="29"/>
      <c r="AZ1161" s="29"/>
      <c r="BA1161" s="29"/>
      <c r="BB1161" s="29"/>
      <c r="BC1161" s="29"/>
      <c r="BD1161" s="29"/>
      <c r="BE1161" s="29"/>
      <c r="BF1161" s="111"/>
      <c r="BG1161" s="111"/>
      <c r="BH1161" s="111"/>
      <c r="BI1161" s="111"/>
      <c r="BJ1161" s="111"/>
      <c r="BK1161" s="111"/>
      <c r="BL1161" s="111"/>
      <c r="BM1161" s="111"/>
      <c r="BN1161" s="111"/>
      <c r="BO1161" s="111"/>
      <c r="BP1161" s="111"/>
      <c r="BQ1161" s="111"/>
      <c r="BR1161" s="111"/>
      <c r="BS1161" s="111"/>
      <c r="DR1161" s="29"/>
      <c r="DS1161" s="29"/>
      <c r="DT1161" s="29"/>
      <c r="DU1161" s="29"/>
      <c r="DV1161" s="29"/>
      <c r="DW1161" s="29"/>
      <c r="DX1161" s="29"/>
      <c r="DY1161" s="29"/>
      <c r="DZ1161" s="29"/>
      <c r="EA1161" s="29"/>
      <c r="EB1161" s="29"/>
      <c r="EC1161" s="29"/>
      <c r="ED1161" s="29"/>
      <c r="EE1161" s="29"/>
      <c r="EF1161" s="111"/>
      <c r="EG1161" s="111"/>
      <c r="EH1161" s="111"/>
      <c r="EI1161" s="111"/>
      <c r="EJ1161" s="111"/>
      <c r="EK1161" s="111"/>
      <c r="EL1161" s="111"/>
      <c r="EM1161" s="111"/>
      <c r="EN1161" s="111"/>
      <c r="EO1161" s="111"/>
      <c r="EP1161" s="111"/>
      <c r="EQ1161" s="111"/>
      <c r="ER1161" s="111"/>
      <c r="ES1161" s="111"/>
    </row>
    <row r="1162" spans="44:149">
      <c r="AR1162" s="29"/>
      <c r="AS1162" s="29"/>
      <c r="AT1162" s="29"/>
      <c r="AU1162" s="29"/>
      <c r="AV1162" s="29"/>
      <c r="AW1162" s="29"/>
      <c r="AX1162" s="29"/>
      <c r="AY1162" s="29"/>
      <c r="AZ1162" s="29"/>
      <c r="BA1162" s="29"/>
      <c r="BB1162" s="29"/>
      <c r="BC1162" s="29"/>
      <c r="BD1162" s="29"/>
      <c r="BE1162" s="29"/>
      <c r="BF1162" s="111"/>
      <c r="BG1162" s="111"/>
      <c r="BH1162" s="111"/>
      <c r="BI1162" s="111"/>
      <c r="BJ1162" s="111"/>
      <c r="BK1162" s="111"/>
      <c r="BL1162" s="111"/>
      <c r="BM1162" s="111"/>
      <c r="BN1162" s="111"/>
      <c r="BO1162" s="111"/>
      <c r="BP1162" s="111"/>
      <c r="BQ1162" s="111"/>
      <c r="BR1162" s="111"/>
      <c r="BS1162" s="111"/>
      <c r="DR1162" s="29"/>
      <c r="DS1162" s="29"/>
      <c r="DT1162" s="29"/>
      <c r="DU1162" s="29"/>
      <c r="DV1162" s="29"/>
      <c r="DW1162" s="29"/>
      <c r="DX1162" s="29"/>
      <c r="DY1162" s="29"/>
      <c r="DZ1162" s="29"/>
      <c r="EA1162" s="29"/>
      <c r="EB1162" s="29"/>
      <c r="EC1162" s="29"/>
      <c r="ED1162" s="29"/>
      <c r="EE1162" s="29"/>
      <c r="EF1162" s="111"/>
      <c r="EG1162" s="111"/>
      <c r="EH1162" s="111"/>
      <c r="EI1162" s="111"/>
      <c r="EJ1162" s="111"/>
      <c r="EK1162" s="111"/>
      <c r="EL1162" s="111"/>
      <c r="EM1162" s="111"/>
      <c r="EN1162" s="111"/>
      <c r="EO1162" s="111"/>
      <c r="EP1162" s="111"/>
      <c r="EQ1162" s="111"/>
      <c r="ER1162" s="111"/>
      <c r="ES1162" s="111"/>
    </row>
    <row r="1163" spans="44:149">
      <c r="AR1163" s="29"/>
      <c r="AS1163" s="29"/>
      <c r="AT1163" s="29"/>
      <c r="AU1163" s="29"/>
      <c r="AV1163" s="29"/>
      <c r="AW1163" s="29"/>
      <c r="AX1163" s="29"/>
      <c r="AY1163" s="29"/>
      <c r="AZ1163" s="29"/>
      <c r="BA1163" s="29"/>
      <c r="BB1163" s="29"/>
      <c r="BC1163" s="29"/>
      <c r="BD1163" s="29"/>
      <c r="BE1163" s="29"/>
      <c r="BF1163" s="111"/>
      <c r="BG1163" s="111"/>
      <c r="BH1163" s="111"/>
      <c r="BI1163" s="111"/>
      <c r="BJ1163" s="111"/>
      <c r="BK1163" s="111"/>
      <c r="BL1163" s="111"/>
      <c r="BM1163" s="111"/>
      <c r="BN1163" s="111"/>
      <c r="BO1163" s="111"/>
      <c r="BP1163" s="111"/>
      <c r="BQ1163" s="111"/>
      <c r="BR1163" s="111"/>
      <c r="BS1163" s="111"/>
      <c r="DR1163" s="29"/>
      <c r="DS1163" s="29"/>
      <c r="DT1163" s="29"/>
      <c r="DU1163" s="29"/>
      <c r="DV1163" s="29"/>
      <c r="DW1163" s="29"/>
      <c r="DX1163" s="29"/>
      <c r="DY1163" s="29"/>
      <c r="DZ1163" s="29"/>
      <c r="EA1163" s="29"/>
      <c r="EB1163" s="29"/>
      <c r="EC1163" s="29"/>
      <c r="ED1163" s="29"/>
      <c r="EE1163" s="29"/>
      <c r="EF1163" s="111"/>
      <c r="EG1163" s="111"/>
      <c r="EH1163" s="111"/>
      <c r="EI1163" s="111"/>
      <c r="EJ1163" s="111"/>
      <c r="EK1163" s="111"/>
      <c r="EL1163" s="111"/>
      <c r="EM1163" s="111"/>
      <c r="EN1163" s="111"/>
      <c r="EO1163" s="111"/>
      <c r="EP1163" s="111"/>
      <c r="EQ1163" s="111"/>
      <c r="ER1163" s="111"/>
      <c r="ES1163" s="111"/>
    </row>
    <row r="1164" spans="44:149">
      <c r="AR1164" s="29"/>
      <c r="AS1164" s="29"/>
      <c r="AT1164" s="29"/>
      <c r="AU1164" s="29"/>
      <c r="AV1164" s="29"/>
      <c r="AW1164" s="29"/>
      <c r="AX1164" s="29"/>
      <c r="AY1164" s="29"/>
      <c r="AZ1164" s="29"/>
      <c r="BA1164" s="29"/>
      <c r="BB1164" s="29"/>
      <c r="BC1164" s="29"/>
      <c r="BD1164" s="29"/>
      <c r="BE1164" s="29"/>
      <c r="BF1164" s="111"/>
      <c r="BG1164" s="111"/>
      <c r="BH1164" s="111"/>
      <c r="BI1164" s="111"/>
      <c r="BJ1164" s="111"/>
      <c r="BK1164" s="111"/>
      <c r="BL1164" s="111"/>
      <c r="BM1164" s="111"/>
      <c r="BN1164" s="111"/>
      <c r="BO1164" s="111"/>
      <c r="BP1164" s="111"/>
      <c r="BQ1164" s="111"/>
      <c r="BR1164" s="111"/>
      <c r="BS1164" s="111"/>
      <c r="DR1164" s="29"/>
      <c r="DS1164" s="29"/>
      <c r="DT1164" s="29"/>
      <c r="DU1164" s="29"/>
      <c r="DV1164" s="29"/>
      <c r="DW1164" s="29"/>
      <c r="DX1164" s="29"/>
      <c r="DY1164" s="29"/>
      <c r="DZ1164" s="29"/>
      <c r="EA1164" s="29"/>
      <c r="EB1164" s="29"/>
      <c r="EC1164" s="29"/>
      <c r="ED1164" s="29"/>
      <c r="EE1164" s="29"/>
      <c r="EF1164" s="111"/>
      <c r="EG1164" s="111"/>
      <c r="EH1164" s="111"/>
      <c r="EI1164" s="111"/>
      <c r="EJ1164" s="111"/>
      <c r="EK1164" s="111"/>
      <c r="EL1164" s="111"/>
      <c r="EM1164" s="111"/>
      <c r="EN1164" s="111"/>
      <c r="EO1164" s="111"/>
      <c r="EP1164" s="111"/>
      <c r="EQ1164" s="111"/>
      <c r="ER1164" s="111"/>
      <c r="ES1164" s="111"/>
    </row>
    <row r="1165" spans="44:149">
      <c r="AR1165" s="29"/>
      <c r="AS1165" s="29"/>
      <c r="AT1165" s="29"/>
      <c r="AU1165" s="29"/>
      <c r="AV1165" s="29"/>
      <c r="AW1165" s="29"/>
      <c r="AX1165" s="29"/>
      <c r="AY1165" s="29"/>
      <c r="AZ1165" s="29"/>
      <c r="BA1165" s="29"/>
      <c r="BB1165" s="29"/>
      <c r="BC1165" s="29"/>
      <c r="BD1165" s="29"/>
      <c r="BE1165" s="29"/>
      <c r="BF1165" s="111"/>
      <c r="BG1165" s="111"/>
      <c r="BH1165" s="111"/>
      <c r="BI1165" s="111"/>
      <c r="BJ1165" s="111"/>
      <c r="BK1165" s="111"/>
      <c r="BL1165" s="111"/>
      <c r="BM1165" s="111"/>
      <c r="BN1165" s="111"/>
      <c r="BO1165" s="111"/>
      <c r="BP1165" s="111"/>
      <c r="BQ1165" s="111"/>
      <c r="BR1165" s="111"/>
      <c r="BS1165" s="111"/>
      <c r="DR1165" s="29"/>
      <c r="DS1165" s="29"/>
      <c r="DT1165" s="29"/>
      <c r="DU1165" s="29"/>
      <c r="DV1165" s="29"/>
      <c r="DW1165" s="29"/>
      <c r="DX1165" s="29"/>
      <c r="DY1165" s="29"/>
      <c r="DZ1165" s="29"/>
      <c r="EA1165" s="29"/>
      <c r="EB1165" s="29"/>
      <c r="EC1165" s="29"/>
      <c r="ED1165" s="29"/>
      <c r="EE1165" s="29"/>
      <c r="EF1165" s="111"/>
      <c r="EG1165" s="111"/>
      <c r="EH1165" s="111"/>
      <c r="EI1165" s="111"/>
      <c r="EJ1165" s="111"/>
      <c r="EK1165" s="111"/>
      <c r="EL1165" s="111"/>
      <c r="EM1165" s="111"/>
      <c r="EN1165" s="111"/>
      <c r="EO1165" s="111"/>
      <c r="EP1165" s="111"/>
      <c r="EQ1165" s="111"/>
      <c r="ER1165" s="111"/>
      <c r="ES1165" s="111"/>
    </row>
    <row r="1166" spans="44:149">
      <c r="AR1166" s="29"/>
      <c r="AS1166" s="29"/>
      <c r="AT1166" s="29"/>
      <c r="AU1166" s="29"/>
      <c r="AV1166" s="29"/>
      <c r="AW1166" s="29"/>
      <c r="AX1166" s="29"/>
      <c r="AY1166" s="29"/>
      <c r="AZ1166" s="29"/>
      <c r="BA1166" s="29"/>
      <c r="BB1166" s="29"/>
      <c r="BC1166" s="29"/>
      <c r="BD1166" s="29"/>
      <c r="BE1166" s="29"/>
      <c r="BF1166" s="111"/>
      <c r="BG1166" s="111"/>
      <c r="BH1166" s="111"/>
      <c r="BI1166" s="111"/>
      <c r="BJ1166" s="111"/>
      <c r="BK1166" s="111"/>
      <c r="BL1166" s="111"/>
      <c r="BM1166" s="111"/>
      <c r="BN1166" s="111"/>
      <c r="BO1166" s="111"/>
      <c r="BP1166" s="111"/>
      <c r="BQ1166" s="111"/>
      <c r="BR1166" s="111"/>
      <c r="BS1166" s="111"/>
      <c r="DR1166" s="29"/>
      <c r="DS1166" s="29"/>
      <c r="DT1166" s="29"/>
      <c r="DU1166" s="29"/>
      <c r="DV1166" s="29"/>
      <c r="DW1166" s="29"/>
      <c r="DX1166" s="29"/>
      <c r="DY1166" s="29"/>
      <c r="DZ1166" s="29"/>
      <c r="EA1166" s="29"/>
      <c r="EB1166" s="29"/>
      <c r="EC1166" s="29"/>
      <c r="ED1166" s="29"/>
      <c r="EE1166" s="29"/>
      <c r="EF1166" s="111"/>
      <c r="EG1166" s="111"/>
      <c r="EH1166" s="111"/>
      <c r="EI1166" s="111"/>
      <c r="EJ1166" s="111"/>
      <c r="EK1166" s="111"/>
      <c r="EL1166" s="111"/>
      <c r="EM1166" s="111"/>
      <c r="EN1166" s="111"/>
      <c r="EO1166" s="111"/>
      <c r="EP1166" s="111"/>
      <c r="EQ1166" s="111"/>
      <c r="ER1166" s="111"/>
      <c r="ES1166" s="111"/>
    </row>
    <row r="1167" spans="44:149">
      <c r="AR1167" s="29"/>
      <c r="AS1167" s="29"/>
      <c r="AT1167" s="29"/>
      <c r="AU1167" s="29"/>
      <c r="AV1167" s="29"/>
      <c r="AW1167" s="29"/>
      <c r="AX1167" s="29"/>
      <c r="AY1167" s="29"/>
      <c r="AZ1167" s="29"/>
      <c r="BA1167" s="29"/>
      <c r="BB1167" s="29"/>
      <c r="BC1167" s="29"/>
      <c r="BD1167" s="29"/>
      <c r="BE1167" s="29"/>
      <c r="BF1167" s="111"/>
      <c r="BG1167" s="111"/>
      <c r="BH1167" s="111"/>
      <c r="BI1167" s="111"/>
      <c r="BJ1167" s="111"/>
      <c r="BK1167" s="111"/>
      <c r="BL1167" s="111"/>
      <c r="BM1167" s="111"/>
      <c r="BN1167" s="111"/>
      <c r="BO1167" s="111"/>
      <c r="BP1167" s="111"/>
      <c r="BQ1167" s="111"/>
      <c r="BR1167" s="111"/>
      <c r="BS1167" s="111"/>
      <c r="DR1167" s="29"/>
      <c r="DS1167" s="29"/>
      <c r="DT1167" s="29"/>
      <c r="DU1167" s="29"/>
      <c r="DV1167" s="29"/>
      <c r="DW1167" s="29"/>
      <c r="DX1167" s="29"/>
      <c r="DY1167" s="29"/>
      <c r="DZ1167" s="29"/>
      <c r="EA1167" s="29"/>
      <c r="EB1167" s="29"/>
      <c r="EC1167" s="29"/>
      <c r="ED1167" s="29"/>
      <c r="EE1167" s="29"/>
      <c r="EF1167" s="111"/>
      <c r="EG1167" s="111"/>
      <c r="EH1167" s="111"/>
      <c r="EI1167" s="111"/>
      <c r="EJ1167" s="111"/>
      <c r="EK1167" s="111"/>
      <c r="EL1167" s="111"/>
      <c r="EM1167" s="111"/>
      <c r="EN1167" s="111"/>
      <c r="EO1167" s="111"/>
      <c r="EP1167" s="111"/>
      <c r="EQ1167" s="111"/>
      <c r="ER1167" s="111"/>
      <c r="ES1167" s="111"/>
    </row>
    <row r="1168" spans="44:149">
      <c r="AR1168" s="29"/>
      <c r="AS1168" s="29"/>
      <c r="AT1168" s="29"/>
      <c r="AU1168" s="29"/>
      <c r="AV1168" s="29"/>
      <c r="AW1168" s="29"/>
      <c r="AX1168" s="29"/>
      <c r="AY1168" s="29"/>
      <c r="AZ1168" s="29"/>
      <c r="BA1168" s="29"/>
      <c r="BB1168" s="29"/>
      <c r="BC1168" s="29"/>
      <c r="BD1168" s="29"/>
      <c r="BE1168" s="29"/>
      <c r="BF1168" s="111"/>
      <c r="BG1168" s="111"/>
      <c r="BH1168" s="111"/>
      <c r="BI1168" s="111"/>
      <c r="BJ1168" s="111"/>
      <c r="BK1168" s="111"/>
      <c r="BL1168" s="111"/>
      <c r="BM1168" s="111"/>
      <c r="BN1168" s="111"/>
      <c r="BO1168" s="111"/>
      <c r="BP1168" s="111"/>
      <c r="BQ1168" s="111"/>
      <c r="BR1168" s="111"/>
      <c r="BS1168" s="111"/>
      <c r="DR1168" s="29"/>
      <c r="DS1168" s="29"/>
      <c r="DT1168" s="29"/>
      <c r="DU1168" s="29"/>
      <c r="DV1168" s="29"/>
      <c r="DW1168" s="29"/>
      <c r="DX1168" s="29"/>
      <c r="DY1168" s="29"/>
      <c r="DZ1168" s="29"/>
      <c r="EA1168" s="29"/>
      <c r="EB1168" s="29"/>
      <c r="EC1168" s="29"/>
      <c r="ED1168" s="29"/>
      <c r="EE1168" s="29"/>
      <c r="EF1168" s="111"/>
      <c r="EG1168" s="111"/>
      <c r="EH1168" s="111"/>
      <c r="EI1168" s="111"/>
      <c r="EJ1168" s="111"/>
      <c r="EK1168" s="111"/>
      <c r="EL1168" s="111"/>
      <c r="EM1168" s="111"/>
      <c r="EN1168" s="111"/>
      <c r="EO1168" s="111"/>
      <c r="EP1168" s="111"/>
      <c r="EQ1168" s="111"/>
      <c r="ER1168" s="111"/>
      <c r="ES1168" s="111"/>
    </row>
    <row r="1169" spans="44:149">
      <c r="AR1169" s="29"/>
      <c r="AS1169" s="29"/>
      <c r="AT1169" s="29"/>
      <c r="AU1169" s="29"/>
      <c r="AV1169" s="29"/>
      <c r="AW1169" s="29"/>
      <c r="AX1169" s="29"/>
      <c r="AY1169" s="29"/>
      <c r="AZ1169" s="29"/>
      <c r="BA1169" s="29"/>
      <c r="BB1169" s="29"/>
      <c r="BC1169" s="29"/>
      <c r="BD1169" s="29"/>
      <c r="BE1169" s="29"/>
      <c r="BF1169" s="111"/>
      <c r="BG1169" s="111"/>
      <c r="BH1169" s="111"/>
      <c r="BI1169" s="111"/>
      <c r="BJ1169" s="111"/>
      <c r="BK1169" s="111"/>
      <c r="BL1169" s="111"/>
      <c r="BM1169" s="111"/>
      <c r="BN1169" s="111"/>
      <c r="BO1169" s="111"/>
      <c r="BP1169" s="111"/>
      <c r="BQ1169" s="111"/>
      <c r="BR1169" s="111"/>
      <c r="BS1169" s="111"/>
      <c r="DR1169" s="29"/>
      <c r="DS1169" s="29"/>
      <c r="DT1169" s="29"/>
      <c r="DU1169" s="29"/>
      <c r="DV1169" s="29"/>
      <c r="DW1169" s="29"/>
      <c r="DX1169" s="29"/>
      <c r="DY1169" s="29"/>
      <c r="DZ1169" s="29"/>
      <c r="EA1169" s="29"/>
      <c r="EB1169" s="29"/>
      <c r="EC1169" s="29"/>
      <c r="ED1169" s="29"/>
      <c r="EE1169" s="29"/>
      <c r="EF1169" s="111"/>
      <c r="EG1169" s="111"/>
      <c r="EH1169" s="111"/>
      <c r="EI1169" s="111"/>
      <c r="EJ1169" s="111"/>
      <c r="EK1169" s="111"/>
      <c r="EL1169" s="111"/>
      <c r="EM1169" s="111"/>
      <c r="EN1169" s="111"/>
      <c r="EO1169" s="111"/>
      <c r="EP1169" s="111"/>
      <c r="EQ1169" s="111"/>
      <c r="ER1169" s="111"/>
      <c r="ES1169" s="111"/>
    </row>
    <row r="1170" spans="44:149">
      <c r="AR1170" s="29"/>
      <c r="AS1170" s="29"/>
      <c r="AT1170" s="29"/>
      <c r="AU1170" s="29"/>
      <c r="AV1170" s="29"/>
      <c r="AW1170" s="29"/>
      <c r="AX1170" s="29"/>
      <c r="AY1170" s="29"/>
      <c r="AZ1170" s="29"/>
      <c r="BA1170" s="29"/>
      <c r="BB1170" s="29"/>
      <c r="BC1170" s="29"/>
      <c r="BD1170" s="29"/>
      <c r="BE1170" s="29"/>
      <c r="BF1170" s="111"/>
      <c r="BG1170" s="111"/>
      <c r="BH1170" s="111"/>
      <c r="BI1170" s="111"/>
      <c r="BJ1170" s="111"/>
      <c r="BK1170" s="111"/>
      <c r="BL1170" s="111"/>
      <c r="BM1170" s="111"/>
      <c r="BN1170" s="111"/>
      <c r="BO1170" s="111"/>
      <c r="BP1170" s="111"/>
      <c r="BQ1170" s="111"/>
      <c r="BR1170" s="111"/>
      <c r="BS1170" s="111"/>
      <c r="DR1170" s="29"/>
      <c r="DS1170" s="29"/>
      <c r="DT1170" s="29"/>
      <c r="DU1170" s="29"/>
      <c r="DV1170" s="29"/>
      <c r="DW1170" s="29"/>
      <c r="DX1170" s="29"/>
      <c r="DY1170" s="29"/>
      <c r="DZ1170" s="29"/>
      <c r="EA1170" s="29"/>
      <c r="EB1170" s="29"/>
      <c r="EC1170" s="29"/>
      <c r="ED1170" s="29"/>
      <c r="EE1170" s="29"/>
      <c r="EF1170" s="111"/>
      <c r="EG1170" s="111"/>
      <c r="EH1170" s="111"/>
      <c r="EI1170" s="111"/>
      <c r="EJ1170" s="111"/>
      <c r="EK1170" s="111"/>
      <c r="EL1170" s="111"/>
      <c r="EM1170" s="111"/>
      <c r="EN1170" s="111"/>
      <c r="EO1170" s="111"/>
      <c r="EP1170" s="111"/>
      <c r="EQ1170" s="111"/>
      <c r="ER1170" s="111"/>
      <c r="ES1170" s="111"/>
    </row>
    <row r="1171" spans="44:149">
      <c r="AR1171" s="29"/>
      <c r="AS1171" s="29"/>
      <c r="AT1171" s="29"/>
      <c r="AU1171" s="29"/>
      <c r="AV1171" s="29"/>
      <c r="AW1171" s="29"/>
      <c r="AX1171" s="29"/>
      <c r="AY1171" s="29"/>
      <c r="AZ1171" s="29"/>
      <c r="BA1171" s="29"/>
      <c r="BB1171" s="29"/>
      <c r="BC1171" s="29"/>
      <c r="BD1171" s="29"/>
      <c r="BE1171" s="29"/>
      <c r="BF1171" s="111"/>
      <c r="BG1171" s="111"/>
      <c r="BH1171" s="111"/>
      <c r="BI1171" s="111"/>
      <c r="BJ1171" s="111"/>
      <c r="BK1171" s="111"/>
      <c r="BL1171" s="111"/>
      <c r="BM1171" s="111"/>
      <c r="BN1171" s="111"/>
      <c r="BO1171" s="111"/>
      <c r="BP1171" s="111"/>
      <c r="BQ1171" s="111"/>
      <c r="BR1171" s="111"/>
      <c r="BS1171" s="111"/>
      <c r="DR1171" s="29"/>
      <c r="DS1171" s="29"/>
      <c r="DT1171" s="29"/>
      <c r="DU1171" s="29"/>
      <c r="DV1171" s="29"/>
      <c r="DW1171" s="29"/>
      <c r="DX1171" s="29"/>
      <c r="DY1171" s="29"/>
      <c r="DZ1171" s="29"/>
      <c r="EA1171" s="29"/>
      <c r="EB1171" s="29"/>
      <c r="EC1171" s="29"/>
      <c r="ED1171" s="29"/>
      <c r="EE1171" s="29"/>
      <c r="EF1171" s="111"/>
      <c r="EG1171" s="111"/>
      <c r="EH1171" s="111"/>
      <c r="EI1171" s="111"/>
      <c r="EJ1171" s="111"/>
      <c r="EK1171" s="111"/>
      <c r="EL1171" s="111"/>
      <c r="EM1171" s="111"/>
      <c r="EN1171" s="111"/>
      <c r="EO1171" s="111"/>
      <c r="EP1171" s="111"/>
      <c r="EQ1171" s="111"/>
      <c r="ER1171" s="111"/>
      <c r="ES1171" s="111"/>
    </row>
    <row r="1172" spans="44:149">
      <c r="AR1172" s="29"/>
      <c r="AS1172" s="29"/>
      <c r="AT1172" s="29"/>
      <c r="AU1172" s="29"/>
      <c r="AV1172" s="29"/>
      <c r="AW1172" s="29"/>
      <c r="AX1172" s="29"/>
      <c r="AY1172" s="29"/>
      <c r="AZ1172" s="29"/>
      <c r="BA1172" s="29"/>
      <c r="BB1172" s="29"/>
      <c r="BC1172" s="29"/>
      <c r="BD1172" s="29"/>
      <c r="BE1172" s="29"/>
      <c r="BF1172" s="111"/>
      <c r="BG1172" s="111"/>
      <c r="BH1172" s="111"/>
      <c r="BI1172" s="111"/>
      <c r="BJ1172" s="111"/>
      <c r="BK1172" s="111"/>
      <c r="BL1172" s="111"/>
      <c r="BM1172" s="111"/>
      <c r="BN1172" s="111"/>
      <c r="BO1172" s="111"/>
      <c r="BP1172" s="111"/>
      <c r="BQ1172" s="111"/>
      <c r="BR1172" s="111"/>
      <c r="BS1172" s="111"/>
      <c r="DR1172" s="29"/>
      <c r="DS1172" s="29"/>
      <c r="DT1172" s="29"/>
      <c r="DU1172" s="29"/>
      <c r="DV1172" s="29"/>
      <c r="DW1172" s="29"/>
      <c r="DX1172" s="29"/>
      <c r="DY1172" s="29"/>
      <c r="DZ1172" s="29"/>
      <c r="EA1172" s="29"/>
      <c r="EB1172" s="29"/>
      <c r="EC1172" s="29"/>
      <c r="ED1172" s="29"/>
      <c r="EE1172" s="29"/>
      <c r="EF1172" s="111"/>
      <c r="EG1172" s="111"/>
      <c r="EH1172" s="111"/>
      <c r="EI1172" s="111"/>
      <c r="EJ1172" s="111"/>
      <c r="EK1172" s="111"/>
      <c r="EL1172" s="111"/>
      <c r="EM1172" s="111"/>
      <c r="EN1172" s="111"/>
      <c r="EO1172" s="111"/>
      <c r="EP1172" s="111"/>
      <c r="EQ1172" s="111"/>
      <c r="ER1172" s="111"/>
      <c r="ES1172" s="111"/>
    </row>
    <row r="1173" spans="44:149">
      <c r="AR1173" s="29"/>
      <c r="AS1173" s="29"/>
      <c r="AT1173" s="29"/>
      <c r="AU1173" s="29"/>
      <c r="AV1173" s="29"/>
      <c r="AW1173" s="29"/>
      <c r="AX1173" s="29"/>
      <c r="AY1173" s="29"/>
      <c r="AZ1173" s="29"/>
      <c r="BA1173" s="29"/>
      <c r="BB1173" s="29"/>
      <c r="BC1173" s="29"/>
      <c r="BD1173" s="29"/>
      <c r="BE1173" s="29"/>
      <c r="BF1173" s="111"/>
      <c r="BG1173" s="111"/>
      <c r="BH1173" s="111"/>
      <c r="BI1173" s="111"/>
      <c r="BJ1173" s="111"/>
      <c r="BK1173" s="111"/>
      <c r="BL1173" s="111"/>
      <c r="BM1173" s="111"/>
      <c r="BN1173" s="111"/>
      <c r="BO1173" s="111"/>
      <c r="BP1173" s="111"/>
      <c r="BQ1173" s="111"/>
      <c r="BR1173" s="111"/>
      <c r="BS1173" s="111"/>
      <c r="DR1173" s="29"/>
      <c r="DS1173" s="29"/>
      <c r="DT1173" s="29"/>
      <c r="DU1173" s="29"/>
      <c r="DV1173" s="29"/>
      <c r="DW1173" s="29"/>
      <c r="DX1173" s="29"/>
      <c r="DY1173" s="29"/>
      <c r="DZ1173" s="29"/>
      <c r="EA1173" s="29"/>
      <c r="EB1173" s="29"/>
      <c r="EC1173" s="29"/>
      <c r="ED1173" s="29"/>
      <c r="EE1173" s="29"/>
      <c r="EF1173" s="111"/>
      <c r="EG1173" s="111"/>
      <c r="EH1173" s="111"/>
      <c r="EI1173" s="111"/>
      <c r="EJ1173" s="111"/>
      <c r="EK1173" s="111"/>
      <c r="EL1173" s="111"/>
      <c r="EM1173" s="111"/>
      <c r="EN1173" s="111"/>
      <c r="EO1173" s="111"/>
      <c r="EP1173" s="111"/>
      <c r="EQ1173" s="111"/>
      <c r="ER1173" s="111"/>
      <c r="ES1173" s="111"/>
    </row>
    <row r="1174" spans="44:149">
      <c r="AR1174" s="29"/>
      <c r="AS1174" s="29"/>
      <c r="AT1174" s="29"/>
      <c r="AU1174" s="29"/>
      <c r="AV1174" s="29"/>
      <c r="AW1174" s="29"/>
      <c r="AX1174" s="29"/>
      <c r="AY1174" s="29"/>
      <c r="AZ1174" s="29"/>
      <c r="BA1174" s="29"/>
      <c r="BB1174" s="29"/>
      <c r="BC1174" s="29"/>
      <c r="BD1174" s="29"/>
      <c r="BE1174" s="29"/>
      <c r="BF1174" s="111"/>
      <c r="BG1174" s="111"/>
      <c r="BH1174" s="111"/>
      <c r="BI1174" s="111"/>
      <c r="BJ1174" s="111"/>
      <c r="BK1174" s="111"/>
      <c r="BL1174" s="111"/>
      <c r="BM1174" s="111"/>
      <c r="BN1174" s="111"/>
      <c r="BO1174" s="111"/>
      <c r="BP1174" s="111"/>
      <c r="BQ1174" s="111"/>
      <c r="BR1174" s="111"/>
      <c r="BS1174" s="111"/>
      <c r="DR1174" s="29"/>
      <c r="DS1174" s="29"/>
      <c r="DT1174" s="29"/>
      <c r="DU1174" s="29"/>
      <c r="DV1174" s="29"/>
      <c r="DW1174" s="29"/>
      <c r="DX1174" s="29"/>
      <c r="DY1174" s="29"/>
      <c r="DZ1174" s="29"/>
      <c r="EA1174" s="29"/>
      <c r="EB1174" s="29"/>
      <c r="EC1174" s="29"/>
      <c r="ED1174" s="29"/>
      <c r="EE1174" s="29"/>
      <c r="EF1174" s="111"/>
      <c r="EG1174" s="111"/>
      <c r="EH1174" s="111"/>
      <c r="EI1174" s="111"/>
      <c r="EJ1174" s="111"/>
      <c r="EK1174" s="111"/>
      <c r="EL1174" s="111"/>
      <c r="EM1174" s="111"/>
      <c r="EN1174" s="111"/>
      <c r="EO1174" s="111"/>
      <c r="EP1174" s="111"/>
      <c r="EQ1174" s="111"/>
      <c r="ER1174" s="111"/>
      <c r="ES1174" s="111"/>
    </row>
    <row r="1175" spans="44:149">
      <c r="AR1175" s="29"/>
      <c r="AS1175" s="29"/>
      <c r="AT1175" s="29"/>
      <c r="AU1175" s="29"/>
      <c r="AV1175" s="29"/>
      <c r="AW1175" s="29"/>
      <c r="AX1175" s="29"/>
      <c r="AY1175" s="29"/>
      <c r="AZ1175" s="29"/>
      <c r="BA1175" s="29"/>
      <c r="BB1175" s="29"/>
      <c r="BC1175" s="29"/>
      <c r="BD1175" s="29"/>
      <c r="BE1175" s="29"/>
      <c r="BF1175" s="111"/>
      <c r="BG1175" s="111"/>
      <c r="BH1175" s="111"/>
      <c r="BI1175" s="111"/>
      <c r="BJ1175" s="111"/>
      <c r="BK1175" s="111"/>
      <c r="BL1175" s="111"/>
      <c r="BM1175" s="111"/>
      <c r="BN1175" s="111"/>
      <c r="BO1175" s="111"/>
      <c r="BP1175" s="111"/>
      <c r="BQ1175" s="111"/>
      <c r="BR1175" s="111"/>
      <c r="BS1175" s="111"/>
      <c r="DR1175" s="29"/>
      <c r="DS1175" s="29"/>
      <c r="DT1175" s="29"/>
      <c r="DU1175" s="29"/>
      <c r="DV1175" s="29"/>
      <c r="DW1175" s="29"/>
      <c r="DX1175" s="29"/>
      <c r="DY1175" s="29"/>
      <c r="DZ1175" s="29"/>
      <c r="EA1175" s="29"/>
      <c r="EB1175" s="29"/>
      <c r="EC1175" s="29"/>
      <c r="ED1175" s="29"/>
      <c r="EE1175" s="29"/>
      <c r="EF1175" s="111"/>
      <c r="EG1175" s="111"/>
      <c r="EH1175" s="111"/>
      <c r="EI1175" s="111"/>
      <c r="EJ1175" s="111"/>
      <c r="EK1175" s="111"/>
      <c r="EL1175" s="111"/>
      <c r="EM1175" s="111"/>
      <c r="EN1175" s="111"/>
      <c r="EO1175" s="111"/>
      <c r="EP1175" s="111"/>
      <c r="EQ1175" s="111"/>
      <c r="ER1175" s="111"/>
      <c r="ES1175" s="111"/>
    </row>
    <row r="1176" spans="44:149">
      <c r="AR1176" s="29"/>
      <c r="AS1176" s="29"/>
      <c r="AT1176" s="29"/>
      <c r="AU1176" s="29"/>
      <c r="AV1176" s="29"/>
      <c r="AW1176" s="29"/>
      <c r="AX1176" s="29"/>
      <c r="AY1176" s="29"/>
      <c r="AZ1176" s="29"/>
      <c r="BA1176" s="29"/>
      <c r="BB1176" s="29"/>
      <c r="BC1176" s="29"/>
      <c r="BD1176" s="29"/>
      <c r="BE1176" s="29"/>
      <c r="BF1176" s="111"/>
      <c r="BG1176" s="111"/>
      <c r="BH1176" s="111"/>
      <c r="BI1176" s="111"/>
      <c r="BJ1176" s="111"/>
      <c r="BK1176" s="111"/>
      <c r="BL1176" s="111"/>
      <c r="BM1176" s="111"/>
      <c r="BN1176" s="111"/>
      <c r="BO1176" s="111"/>
      <c r="BP1176" s="111"/>
      <c r="BQ1176" s="111"/>
      <c r="BR1176" s="111"/>
      <c r="BS1176" s="111"/>
      <c r="DR1176" s="29"/>
      <c r="DS1176" s="29"/>
      <c r="DT1176" s="29"/>
      <c r="DU1176" s="29"/>
      <c r="DV1176" s="29"/>
      <c r="DW1176" s="29"/>
      <c r="DX1176" s="29"/>
      <c r="DY1176" s="29"/>
      <c r="DZ1176" s="29"/>
      <c r="EA1176" s="29"/>
      <c r="EB1176" s="29"/>
      <c r="EC1176" s="29"/>
      <c r="ED1176" s="29"/>
      <c r="EE1176" s="29"/>
      <c r="EF1176" s="111"/>
      <c r="EG1176" s="111"/>
      <c r="EH1176" s="111"/>
      <c r="EI1176" s="111"/>
      <c r="EJ1176" s="111"/>
      <c r="EK1176" s="111"/>
      <c r="EL1176" s="111"/>
      <c r="EM1176" s="111"/>
      <c r="EN1176" s="111"/>
      <c r="EO1176" s="111"/>
      <c r="EP1176" s="111"/>
      <c r="EQ1176" s="111"/>
      <c r="ER1176" s="111"/>
      <c r="ES1176" s="111"/>
    </row>
    <row r="1177" spans="44:149">
      <c r="AR1177" s="29"/>
      <c r="AS1177" s="29"/>
      <c r="AT1177" s="29"/>
      <c r="AU1177" s="29"/>
      <c r="AV1177" s="29"/>
      <c r="AW1177" s="29"/>
      <c r="AX1177" s="29"/>
      <c r="AY1177" s="29"/>
      <c r="AZ1177" s="29"/>
      <c r="BA1177" s="29"/>
      <c r="BB1177" s="29"/>
      <c r="BC1177" s="29"/>
      <c r="BD1177" s="29"/>
      <c r="BE1177" s="29"/>
      <c r="BF1177" s="111"/>
      <c r="BG1177" s="111"/>
      <c r="BH1177" s="111"/>
      <c r="BI1177" s="111"/>
      <c r="BJ1177" s="111"/>
      <c r="BK1177" s="111"/>
      <c r="BL1177" s="111"/>
      <c r="BM1177" s="111"/>
      <c r="BN1177" s="111"/>
      <c r="BO1177" s="111"/>
      <c r="BP1177" s="111"/>
      <c r="BQ1177" s="111"/>
      <c r="BR1177" s="111"/>
      <c r="BS1177" s="111"/>
      <c r="DR1177" s="29"/>
      <c r="DS1177" s="29"/>
      <c r="DT1177" s="29"/>
      <c r="DU1177" s="29"/>
      <c r="DV1177" s="29"/>
      <c r="DW1177" s="29"/>
      <c r="DX1177" s="29"/>
      <c r="DY1177" s="29"/>
      <c r="DZ1177" s="29"/>
      <c r="EA1177" s="29"/>
      <c r="EB1177" s="29"/>
      <c r="EC1177" s="29"/>
      <c r="ED1177" s="29"/>
      <c r="EE1177" s="29"/>
      <c r="EF1177" s="111"/>
      <c r="EG1177" s="111"/>
      <c r="EH1177" s="111"/>
      <c r="EI1177" s="111"/>
      <c r="EJ1177" s="111"/>
      <c r="EK1177" s="111"/>
      <c r="EL1177" s="111"/>
      <c r="EM1177" s="111"/>
      <c r="EN1177" s="111"/>
      <c r="EO1177" s="111"/>
      <c r="EP1177" s="111"/>
      <c r="EQ1177" s="111"/>
      <c r="ER1177" s="111"/>
      <c r="ES1177" s="111"/>
    </row>
    <row r="1178" spans="44:149">
      <c r="AR1178" s="29"/>
      <c r="AS1178" s="29"/>
      <c r="AT1178" s="29"/>
      <c r="AU1178" s="29"/>
      <c r="AV1178" s="29"/>
      <c r="AW1178" s="29"/>
      <c r="AX1178" s="29"/>
      <c r="AY1178" s="29"/>
      <c r="AZ1178" s="29"/>
      <c r="BA1178" s="29"/>
      <c r="BB1178" s="29"/>
      <c r="BC1178" s="29"/>
      <c r="BD1178" s="29"/>
      <c r="BE1178" s="29"/>
      <c r="BF1178" s="111"/>
      <c r="BG1178" s="111"/>
      <c r="BH1178" s="111"/>
      <c r="BI1178" s="111"/>
      <c r="BJ1178" s="111"/>
      <c r="BK1178" s="111"/>
      <c r="BL1178" s="111"/>
      <c r="BM1178" s="111"/>
      <c r="BN1178" s="111"/>
      <c r="BO1178" s="111"/>
      <c r="BP1178" s="111"/>
      <c r="BQ1178" s="111"/>
      <c r="BR1178" s="111"/>
      <c r="BS1178" s="111"/>
      <c r="DR1178" s="29"/>
      <c r="DS1178" s="29"/>
      <c r="DT1178" s="29"/>
      <c r="DU1178" s="29"/>
      <c r="DV1178" s="29"/>
      <c r="DW1178" s="29"/>
      <c r="DX1178" s="29"/>
      <c r="DY1178" s="29"/>
      <c r="DZ1178" s="29"/>
      <c r="EA1178" s="29"/>
      <c r="EB1178" s="29"/>
      <c r="EC1178" s="29"/>
      <c r="ED1178" s="29"/>
      <c r="EE1178" s="29"/>
      <c r="EF1178" s="111"/>
      <c r="EG1178" s="111"/>
      <c r="EH1178" s="111"/>
      <c r="EI1178" s="111"/>
      <c r="EJ1178" s="111"/>
      <c r="EK1178" s="111"/>
      <c r="EL1178" s="111"/>
      <c r="EM1178" s="111"/>
      <c r="EN1178" s="111"/>
      <c r="EO1178" s="111"/>
      <c r="EP1178" s="111"/>
      <c r="EQ1178" s="111"/>
      <c r="ER1178" s="111"/>
      <c r="ES1178" s="111"/>
    </row>
    <row r="1179" spans="44:149">
      <c r="AR1179" s="29"/>
      <c r="AS1179" s="29"/>
      <c r="AT1179" s="29"/>
      <c r="AU1179" s="29"/>
      <c r="AV1179" s="29"/>
      <c r="AW1179" s="29"/>
      <c r="AX1179" s="29"/>
      <c r="AY1179" s="29"/>
      <c r="AZ1179" s="29"/>
      <c r="BA1179" s="29"/>
      <c r="BB1179" s="29"/>
      <c r="BC1179" s="29"/>
      <c r="BD1179" s="29"/>
      <c r="BE1179" s="29"/>
      <c r="BF1179" s="111"/>
      <c r="BG1179" s="111"/>
      <c r="BH1179" s="111"/>
      <c r="BI1179" s="111"/>
      <c r="BJ1179" s="111"/>
      <c r="BK1179" s="111"/>
      <c r="BL1179" s="111"/>
      <c r="BM1179" s="111"/>
      <c r="BN1179" s="111"/>
      <c r="BO1179" s="111"/>
      <c r="BP1179" s="111"/>
      <c r="BQ1179" s="111"/>
      <c r="BR1179" s="111"/>
      <c r="BS1179" s="111"/>
      <c r="DR1179" s="29"/>
      <c r="DS1179" s="29"/>
      <c r="DT1179" s="29"/>
      <c r="DU1179" s="29"/>
      <c r="DV1179" s="29"/>
      <c r="DW1179" s="29"/>
      <c r="DX1179" s="29"/>
      <c r="DY1179" s="29"/>
      <c r="DZ1179" s="29"/>
      <c r="EA1179" s="29"/>
      <c r="EB1179" s="29"/>
      <c r="EC1179" s="29"/>
      <c r="ED1179" s="29"/>
      <c r="EE1179" s="29"/>
      <c r="EF1179" s="111"/>
      <c r="EG1179" s="111"/>
      <c r="EH1179" s="111"/>
      <c r="EI1179" s="111"/>
      <c r="EJ1179" s="111"/>
      <c r="EK1179" s="111"/>
      <c r="EL1179" s="111"/>
      <c r="EM1179" s="111"/>
      <c r="EN1179" s="111"/>
      <c r="EO1179" s="111"/>
      <c r="EP1179" s="111"/>
      <c r="EQ1179" s="111"/>
      <c r="ER1179" s="111"/>
      <c r="ES1179" s="111"/>
    </row>
    <row r="1180" spans="44:149">
      <c r="AR1180" s="29"/>
      <c r="AS1180" s="29"/>
      <c r="AT1180" s="29"/>
      <c r="AU1180" s="29"/>
      <c r="AV1180" s="29"/>
      <c r="AW1180" s="29"/>
      <c r="AX1180" s="29"/>
      <c r="AY1180" s="29"/>
      <c r="AZ1180" s="29"/>
      <c r="BA1180" s="29"/>
      <c r="BB1180" s="29"/>
      <c r="BC1180" s="29"/>
      <c r="BD1180" s="29"/>
      <c r="BE1180" s="29"/>
      <c r="BF1180" s="111"/>
      <c r="BG1180" s="111"/>
      <c r="BH1180" s="111"/>
      <c r="BI1180" s="111"/>
      <c r="BJ1180" s="111"/>
      <c r="BK1180" s="111"/>
      <c r="BL1180" s="111"/>
      <c r="BM1180" s="111"/>
      <c r="BN1180" s="111"/>
      <c r="BO1180" s="111"/>
      <c r="BP1180" s="111"/>
      <c r="BQ1180" s="111"/>
      <c r="BR1180" s="111"/>
      <c r="BS1180" s="111"/>
      <c r="DR1180" s="29"/>
      <c r="DS1180" s="29"/>
      <c r="DT1180" s="29"/>
      <c r="DU1180" s="29"/>
      <c r="DV1180" s="29"/>
      <c r="DW1180" s="29"/>
      <c r="DX1180" s="29"/>
      <c r="DY1180" s="29"/>
      <c r="DZ1180" s="29"/>
      <c r="EA1180" s="29"/>
      <c r="EB1180" s="29"/>
      <c r="EC1180" s="29"/>
      <c r="ED1180" s="29"/>
      <c r="EE1180" s="29"/>
      <c r="EF1180" s="111"/>
      <c r="EG1180" s="111"/>
      <c r="EH1180" s="111"/>
      <c r="EI1180" s="111"/>
      <c r="EJ1180" s="111"/>
      <c r="EK1180" s="111"/>
      <c r="EL1180" s="111"/>
      <c r="EM1180" s="111"/>
      <c r="EN1180" s="111"/>
      <c r="EO1180" s="111"/>
      <c r="EP1180" s="111"/>
      <c r="EQ1180" s="111"/>
      <c r="ER1180" s="111"/>
      <c r="ES1180" s="111"/>
    </row>
    <row r="1181" spans="44:149">
      <c r="AR1181" s="29"/>
      <c r="AS1181" s="29"/>
      <c r="AT1181" s="29"/>
      <c r="AU1181" s="29"/>
      <c r="AV1181" s="29"/>
      <c r="AW1181" s="29"/>
      <c r="AX1181" s="29"/>
      <c r="AY1181" s="29"/>
      <c r="AZ1181" s="29"/>
      <c r="BA1181" s="29"/>
      <c r="BB1181" s="29"/>
      <c r="BC1181" s="29"/>
      <c r="BD1181" s="29"/>
      <c r="BE1181" s="29"/>
      <c r="BF1181" s="111"/>
      <c r="BG1181" s="111"/>
      <c r="BH1181" s="111"/>
      <c r="BI1181" s="111"/>
      <c r="BJ1181" s="111"/>
      <c r="BK1181" s="111"/>
      <c r="BL1181" s="111"/>
      <c r="BM1181" s="111"/>
      <c r="BN1181" s="111"/>
      <c r="BO1181" s="111"/>
      <c r="BP1181" s="111"/>
      <c r="BQ1181" s="111"/>
      <c r="BR1181" s="111"/>
      <c r="BS1181" s="111"/>
      <c r="DR1181" s="29"/>
      <c r="DS1181" s="29"/>
      <c r="DT1181" s="29"/>
      <c r="DU1181" s="29"/>
      <c r="DV1181" s="29"/>
      <c r="DW1181" s="29"/>
      <c r="DX1181" s="29"/>
      <c r="DY1181" s="29"/>
      <c r="DZ1181" s="29"/>
      <c r="EA1181" s="29"/>
      <c r="EB1181" s="29"/>
      <c r="EC1181" s="29"/>
      <c r="ED1181" s="29"/>
      <c r="EE1181" s="29"/>
      <c r="EF1181" s="111"/>
      <c r="EG1181" s="111"/>
      <c r="EH1181" s="111"/>
      <c r="EI1181" s="111"/>
      <c r="EJ1181" s="111"/>
      <c r="EK1181" s="111"/>
      <c r="EL1181" s="111"/>
      <c r="EM1181" s="111"/>
      <c r="EN1181" s="111"/>
      <c r="EO1181" s="111"/>
      <c r="EP1181" s="111"/>
      <c r="EQ1181" s="111"/>
      <c r="ER1181" s="111"/>
      <c r="ES1181" s="111"/>
    </row>
    <row r="1182" spans="44:149">
      <c r="AR1182" s="29"/>
      <c r="AS1182" s="29"/>
      <c r="AT1182" s="29"/>
      <c r="AU1182" s="29"/>
      <c r="AV1182" s="29"/>
      <c r="AW1182" s="29"/>
      <c r="AX1182" s="29"/>
      <c r="AY1182" s="29"/>
      <c r="AZ1182" s="29"/>
      <c r="BA1182" s="29"/>
      <c r="BB1182" s="29"/>
      <c r="BC1182" s="29"/>
      <c r="BD1182" s="29"/>
      <c r="BE1182" s="29"/>
      <c r="BF1182" s="111"/>
      <c r="BG1182" s="111"/>
      <c r="BH1182" s="111"/>
      <c r="BI1182" s="111"/>
      <c r="BJ1182" s="111"/>
      <c r="BK1182" s="111"/>
      <c r="BL1182" s="111"/>
      <c r="BM1182" s="111"/>
      <c r="BN1182" s="111"/>
      <c r="BO1182" s="111"/>
      <c r="BP1182" s="111"/>
      <c r="BQ1182" s="111"/>
      <c r="BR1182" s="111"/>
      <c r="BS1182" s="111"/>
      <c r="DR1182" s="29"/>
      <c r="DS1182" s="29"/>
      <c r="DT1182" s="29"/>
      <c r="DU1182" s="29"/>
      <c r="DV1182" s="29"/>
      <c r="DW1182" s="29"/>
      <c r="DX1182" s="29"/>
      <c r="DY1182" s="29"/>
      <c r="DZ1182" s="29"/>
      <c r="EA1182" s="29"/>
      <c r="EB1182" s="29"/>
      <c r="EC1182" s="29"/>
      <c r="ED1182" s="29"/>
      <c r="EE1182" s="29"/>
      <c r="EF1182" s="111"/>
      <c r="EG1182" s="111"/>
      <c r="EH1182" s="111"/>
      <c r="EI1182" s="111"/>
      <c r="EJ1182" s="111"/>
      <c r="EK1182" s="111"/>
      <c r="EL1182" s="111"/>
      <c r="EM1182" s="111"/>
      <c r="EN1182" s="111"/>
      <c r="EO1182" s="111"/>
      <c r="EP1182" s="111"/>
      <c r="EQ1182" s="111"/>
      <c r="ER1182" s="111"/>
      <c r="ES1182" s="111"/>
    </row>
    <row r="1183" spans="44:149">
      <c r="AR1183" s="29"/>
      <c r="AS1183" s="29"/>
      <c r="AT1183" s="29"/>
      <c r="AU1183" s="29"/>
      <c r="AV1183" s="29"/>
      <c r="AW1183" s="29"/>
      <c r="AX1183" s="29"/>
      <c r="AY1183" s="29"/>
      <c r="AZ1183" s="29"/>
      <c r="BA1183" s="29"/>
      <c r="BB1183" s="29"/>
      <c r="BC1183" s="29"/>
      <c r="BD1183" s="29"/>
      <c r="BE1183" s="29"/>
      <c r="BF1183" s="111"/>
      <c r="BG1183" s="111"/>
      <c r="BH1183" s="111"/>
      <c r="BI1183" s="111"/>
      <c r="BJ1183" s="111"/>
      <c r="BK1183" s="111"/>
      <c r="BL1183" s="111"/>
      <c r="BM1183" s="111"/>
      <c r="BN1183" s="111"/>
      <c r="BO1183" s="111"/>
      <c r="BP1183" s="111"/>
      <c r="BQ1183" s="111"/>
      <c r="BR1183" s="111"/>
      <c r="BS1183" s="111"/>
      <c r="DR1183" s="29"/>
      <c r="DS1183" s="29"/>
      <c r="DT1183" s="29"/>
      <c r="DU1183" s="29"/>
      <c r="DV1183" s="29"/>
      <c r="DW1183" s="29"/>
      <c r="DX1183" s="29"/>
      <c r="DY1183" s="29"/>
      <c r="DZ1183" s="29"/>
      <c r="EA1183" s="29"/>
      <c r="EB1183" s="29"/>
      <c r="EC1183" s="29"/>
      <c r="ED1183" s="29"/>
      <c r="EE1183" s="29"/>
      <c r="EF1183" s="111"/>
      <c r="EG1183" s="111"/>
      <c r="EH1183" s="111"/>
      <c r="EI1183" s="111"/>
      <c r="EJ1183" s="111"/>
      <c r="EK1183" s="111"/>
      <c r="EL1183" s="111"/>
      <c r="EM1183" s="111"/>
      <c r="EN1183" s="111"/>
      <c r="EO1183" s="111"/>
      <c r="EP1183" s="111"/>
      <c r="EQ1183" s="111"/>
      <c r="ER1183" s="111"/>
      <c r="ES1183" s="111"/>
    </row>
    <row r="1184" spans="44:149">
      <c r="AR1184" s="29"/>
      <c r="AS1184" s="29"/>
      <c r="AT1184" s="29"/>
      <c r="AU1184" s="29"/>
      <c r="AV1184" s="29"/>
      <c r="AW1184" s="29"/>
      <c r="AX1184" s="29"/>
      <c r="AY1184" s="29"/>
      <c r="AZ1184" s="29"/>
      <c r="BA1184" s="29"/>
      <c r="BB1184" s="29"/>
      <c r="BC1184" s="29"/>
      <c r="BD1184" s="29"/>
      <c r="BE1184" s="29"/>
      <c r="BF1184" s="111"/>
      <c r="BG1184" s="111"/>
      <c r="BH1184" s="111"/>
      <c r="BI1184" s="111"/>
      <c r="BJ1184" s="111"/>
      <c r="BK1184" s="111"/>
      <c r="BL1184" s="111"/>
      <c r="BM1184" s="111"/>
      <c r="BN1184" s="111"/>
      <c r="BO1184" s="111"/>
      <c r="BP1184" s="111"/>
      <c r="BQ1184" s="111"/>
      <c r="BR1184" s="111"/>
      <c r="BS1184" s="111"/>
      <c r="DR1184" s="29"/>
      <c r="DS1184" s="29"/>
      <c r="DT1184" s="29"/>
      <c r="DU1184" s="29"/>
      <c r="DV1184" s="29"/>
      <c r="DW1184" s="29"/>
      <c r="DX1184" s="29"/>
      <c r="DY1184" s="29"/>
      <c r="DZ1184" s="29"/>
      <c r="EA1184" s="29"/>
      <c r="EB1184" s="29"/>
      <c r="EC1184" s="29"/>
      <c r="ED1184" s="29"/>
      <c r="EE1184" s="29"/>
      <c r="EF1184" s="111"/>
      <c r="EG1184" s="111"/>
      <c r="EH1184" s="111"/>
      <c r="EI1184" s="111"/>
      <c r="EJ1184" s="111"/>
      <c r="EK1184" s="111"/>
      <c r="EL1184" s="111"/>
      <c r="EM1184" s="111"/>
      <c r="EN1184" s="111"/>
      <c r="EO1184" s="111"/>
      <c r="EP1184" s="111"/>
      <c r="EQ1184" s="111"/>
      <c r="ER1184" s="111"/>
      <c r="ES1184" s="111"/>
    </row>
    <row r="1185" spans="44:149">
      <c r="AR1185" s="29"/>
      <c r="AS1185" s="29"/>
      <c r="AT1185" s="29"/>
      <c r="AU1185" s="29"/>
      <c r="AV1185" s="29"/>
      <c r="AW1185" s="29"/>
      <c r="AX1185" s="29"/>
      <c r="AY1185" s="29"/>
      <c r="AZ1185" s="29"/>
      <c r="BA1185" s="29"/>
      <c r="BB1185" s="29"/>
      <c r="BC1185" s="29"/>
      <c r="BD1185" s="29"/>
      <c r="BE1185" s="29"/>
      <c r="BF1185" s="111"/>
      <c r="BG1185" s="111"/>
      <c r="BH1185" s="111"/>
      <c r="BI1185" s="111"/>
      <c r="BJ1185" s="111"/>
      <c r="BK1185" s="111"/>
      <c r="BL1185" s="111"/>
      <c r="BM1185" s="111"/>
      <c r="BN1185" s="111"/>
      <c r="BO1185" s="111"/>
      <c r="BP1185" s="111"/>
      <c r="BQ1185" s="111"/>
      <c r="BR1185" s="111"/>
      <c r="BS1185" s="111"/>
      <c r="DR1185" s="29"/>
      <c r="DS1185" s="29"/>
      <c r="DT1185" s="29"/>
      <c r="DU1185" s="29"/>
      <c r="DV1185" s="29"/>
      <c r="DW1185" s="29"/>
      <c r="DX1185" s="29"/>
      <c r="DY1185" s="29"/>
      <c r="DZ1185" s="29"/>
      <c r="EA1185" s="29"/>
      <c r="EB1185" s="29"/>
      <c r="EC1185" s="29"/>
      <c r="ED1185" s="29"/>
      <c r="EE1185" s="29"/>
      <c r="EF1185" s="111"/>
      <c r="EG1185" s="111"/>
      <c r="EH1185" s="111"/>
      <c r="EI1185" s="111"/>
      <c r="EJ1185" s="111"/>
      <c r="EK1185" s="111"/>
      <c r="EL1185" s="111"/>
      <c r="EM1185" s="111"/>
      <c r="EN1185" s="111"/>
      <c r="EO1185" s="111"/>
      <c r="EP1185" s="111"/>
      <c r="EQ1185" s="111"/>
      <c r="ER1185" s="111"/>
      <c r="ES1185" s="111"/>
    </row>
    <row r="1186" spans="44:149">
      <c r="AR1186" s="29"/>
      <c r="AS1186" s="29"/>
      <c r="AT1186" s="29"/>
      <c r="AU1186" s="29"/>
      <c r="AV1186" s="29"/>
      <c r="AW1186" s="29"/>
      <c r="AX1186" s="29"/>
      <c r="AY1186" s="29"/>
      <c r="AZ1186" s="29"/>
      <c r="BA1186" s="29"/>
      <c r="BB1186" s="29"/>
      <c r="BC1186" s="29"/>
      <c r="BD1186" s="29"/>
      <c r="BE1186" s="29"/>
      <c r="BF1186" s="111"/>
      <c r="BG1186" s="111"/>
      <c r="BH1186" s="111"/>
      <c r="BI1186" s="111"/>
      <c r="BJ1186" s="111"/>
      <c r="BK1186" s="111"/>
      <c r="BL1186" s="111"/>
      <c r="BM1186" s="111"/>
      <c r="BN1186" s="111"/>
      <c r="BO1186" s="111"/>
      <c r="BP1186" s="111"/>
      <c r="BQ1186" s="111"/>
      <c r="BR1186" s="111"/>
      <c r="BS1186" s="111"/>
      <c r="DR1186" s="29"/>
      <c r="DS1186" s="29"/>
      <c r="DT1186" s="29"/>
      <c r="DU1186" s="29"/>
      <c r="DV1186" s="29"/>
      <c r="DW1186" s="29"/>
      <c r="DX1186" s="29"/>
      <c r="DY1186" s="29"/>
      <c r="DZ1186" s="29"/>
      <c r="EA1186" s="29"/>
      <c r="EB1186" s="29"/>
      <c r="EC1186" s="29"/>
      <c r="ED1186" s="29"/>
      <c r="EE1186" s="29"/>
      <c r="EF1186" s="111"/>
      <c r="EG1186" s="111"/>
      <c r="EH1186" s="111"/>
      <c r="EI1186" s="111"/>
      <c r="EJ1186" s="111"/>
      <c r="EK1186" s="111"/>
      <c r="EL1186" s="111"/>
      <c r="EM1186" s="111"/>
      <c r="EN1186" s="111"/>
      <c r="EO1186" s="111"/>
      <c r="EP1186" s="111"/>
      <c r="EQ1186" s="111"/>
      <c r="ER1186" s="111"/>
      <c r="ES1186" s="111"/>
    </row>
    <row r="1187" spans="44:149">
      <c r="AR1187" s="29"/>
      <c r="AS1187" s="29"/>
      <c r="AT1187" s="29"/>
      <c r="AU1187" s="29"/>
      <c r="AV1187" s="29"/>
      <c r="AW1187" s="29"/>
      <c r="AX1187" s="29"/>
      <c r="AY1187" s="29"/>
      <c r="AZ1187" s="29"/>
      <c r="BA1187" s="29"/>
      <c r="BB1187" s="29"/>
      <c r="BC1187" s="29"/>
      <c r="BD1187" s="29"/>
      <c r="BE1187" s="29"/>
      <c r="BF1187" s="111"/>
      <c r="BG1187" s="111"/>
      <c r="BH1187" s="111"/>
      <c r="BI1187" s="111"/>
      <c r="BJ1187" s="111"/>
      <c r="BK1187" s="111"/>
      <c r="BL1187" s="111"/>
      <c r="BM1187" s="111"/>
      <c r="BN1187" s="111"/>
      <c r="BO1187" s="111"/>
      <c r="BP1187" s="111"/>
      <c r="BQ1187" s="111"/>
      <c r="BR1187" s="111"/>
      <c r="BS1187" s="111"/>
      <c r="DR1187" s="29"/>
      <c r="DS1187" s="29"/>
      <c r="DT1187" s="29"/>
      <c r="DU1187" s="29"/>
      <c r="DV1187" s="29"/>
      <c r="DW1187" s="29"/>
      <c r="DX1187" s="29"/>
      <c r="DY1187" s="29"/>
      <c r="DZ1187" s="29"/>
      <c r="EA1187" s="29"/>
      <c r="EB1187" s="29"/>
      <c r="EC1187" s="29"/>
      <c r="ED1187" s="29"/>
      <c r="EE1187" s="29"/>
      <c r="EF1187" s="111"/>
      <c r="EG1187" s="111"/>
      <c r="EH1187" s="111"/>
      <c r="EI1187" s="111"/>
      <c r="EJ1187" s="111"/>
      <c r="EK1187" s="111"/>
      <c r="EL1187" s="111"/>
      <c r="EM1187" s="111"/>
      <c r="EN1187" s="111"/>
      <c r="EO1187" s="111"/>
      <c r="EP1187" s="111"/>
      <c r="EQ1187" s="111"/>
      <c r="ER1187" s="111"/>
      <c r="ES1187" s="111"/>
    </row>
    <row r="1188" spans="44:149">
      <c r="AR1188" s="29"/>
      <c r="AS1188" s="29"/>
      <c r="AT1188" s="29"/>
      <c r="AU1188" s="29"/>
      <c r="AV1188" s="29"/>
      <c r="AW1188" s="29"/>
      <c r="AX1188" s="29"/>
      <c r="AY1188" s="29"/>
      <c r="AZ1188" s="29"/>
      <c r="BA1188" s="29"/>
      <c r="BB1188" s="29"/>
      <c r="BC1188" s="29"/>
      <c r="BD1188" s="29"/>
      <c r="BE1188" s="29"/>
      <c r="BF1188" s="111"/>
      <c r="BG1188" s="111"/>
      <c r="BH1188" s="111"/>
      <c r="BI1188" s="111"/>
      <c r="BJ1188" s="111"/>
      <c r="BK1188" s="111"/>
      <c r="BL1188" s="111"/>
      <c r="BM1188" s="111"/>
      <c r="BN1188" s="111"/>
      <c r="BO1188" s="111"/>
      <c r="BP1188" s="111"/>
      <c r="BQ1188" s="111"/>
      <c r="BR1188" s="111"/>
      <c r="BS1188" s="111"/>
      <c r="DR1188" s="29"/>
      <c r="DS1188" s="29"/>
      <c r="DT1188" s="29"/>
      <c r="DU1188" s="29"/>
      <c r="DV1188" s="29"/>
      <c r="DW1188" s="29"/>
      <c r="DX1188" s="29"/>
      <c r="DY1188" s="29"/>
      <c r="DZ1188" s="29"/>
      <c r="EA1188" s="29"/>
      <c r="EB1188" s="29"/>
      <c r="EC1188" s="29"/>
      <c r="ED1188" s="29"/>
      <c r="EE1188" s="29"/>
      <c r="EF1188" s="111"/>
      <c r="EG1188" s="111"/>
      <c r="EH1188" s="111"/>
      <c r="EI1188" s="111"/>
      <c r="EJ1188" s="111"/>
      <c r="EK1188" s="111"/>
      <c r="EL1188" s="111"/>
      <c r="EM1188" s="111"/>
      <c r="EN1188" s="111"/>
      <c r="EO1188" s="111"/>
      <c r="EP1188" s="111"/>
      <c r="EQ1188" s="111"/>
      <c r="ER1188" s="111"/>
      <c r="ES1188" s="111"/>
    </row>
    <row r="1189" spans="44:149">
      <c r="AR1189" s="29"/>
      <c r="AS1189" s="29"/>
      <c r="AT1189" s="29"/>
      <c r="AU1189" s="29"/>
      <c r="AV1189" s="29"/>
      <c r="AW1189" s="29"/>
      <c r="AX1189" s="29"/>
      <c r="AY1189" s="29"/>
      <c r="AZ1189" s="29"/>
      <c r="BA1189" s="29"/>
      <c r="BB1189" s="29"/>
      <c r="BC1189" s="29"/>
      <c r="BD1189" s="29"/>
      <c r="BE1189" s="29"/>
      <c r="BF1189" s="111"/>
      <c r="BG1189" s="111"/>
      <c r="BH1189" s="111"/>
      <c r="BI1189" s="111"/>
      <c r="BJ1189" s="111"/>
      <c r="BK1189" s="111"/>
      <c r="BL1189" s="111"/>
      <c r="BM1189" s="111"/>
      <c r="BN1189" s="111"/>
      <c r="BO1189" s="111"/>
      <c r="BP1189" s="111"/>
      <c r="BQ1189" s="111"/>
      <c r="BR1189" s="111"/>
      <c r="BS1189" s="111"/>
      <c r="DR1189" s="29"/>
      <c r="DS1189" s="29"/>
      <c r="DT1189" s="29"/>
      <c r="DU1189" s="29"/>
      <c r="DV1189" s="29"/>
      <c r="DW1189" s="29"/>
      <c r="DX1189" s="29"/>
      <c r="DY1189" s="29"/>
      <c r="DZ1189" s="29"/>
      <c r="EA1189" s="29"/>
      <c r="EB1189" s="29"/>
      <c r="EC1189" s="29"/>
      <c r="ED1189" s="29"/>
      <c r="EE1189" s="29"/>
      <c r="EF1189" s="111"/>
      <c r="EG1189" s="111"/>
      <c r="EH1189" s="111"/>
      <c r="EI1189" s="111"/>
      <c r="EJ1189" s="111"/>
      <c r="EK1189" s="111"/>
      <c r="EL1189" s="111"/>
      <c r="EM1189" s="111"/>
      <c r="EN1189" s="111"/>
      <c r="EO1189" s="111"/>
      <c r="EP1189" s="111"/>
      <c r="EQ1189" s="111"/>
      <c r="ER1189" s="111"/>
      <c r="ES1189" s="111"/>
    </row>
    <row r="1190" spans="44:149">
      <c r="AR1190" s="29"/>
      <c r="AS1190" s="29"/>
      <c r="AT1190" s="29"/>
      <c r="AU1190" s="29"/>
      <c r="AV1190" s="29"/>
      <c r="AW1190" s="29"/>
      <c r="AX1190" s="29"/>
      <c r="AY1190" s="29"/>
      <c r="AZ1190" s="29"/>
      <c r="BA1190" s="29"/>
      <c r="BB1190" s="29"/>
      <c r="BC1190" s="29"/>
      <c r="BD1190" s="29"/>
      <c r="BE1190" s="29"/>
      <c r="BF1190" s="111"/>
      <c r="BG1190" s="111"/>
      <c r="BH1190" s="111"/>
      <c r="BI1190" s="111"/>
      <c r="BJ1190" s="111"/>
      <c r="BK1190" s="111"/>
      <c r="BL1190" s="111"/>
      <c r="BM1190" s="111"/>
      <c r="BN1190" s="111"/>
      <c r="BO1190" s="111"/>
      <c r="BP1190" s="111"/>
      <c r="BQ1190" s="111"/>
      <c r="BR1190" s="111"/>
      <c r="BS1190" s="111"/>
      <c r="DR1190" s="29"/>
      <c r="DS1190" s="29"/>
      <c r="DT1190" s="29"/>
      <c r="DU1190" s="29"/>
      <c r="DV1190" s="29"/>
      <c r="DW1190" s="29"/>
      <c r="DX1190" s="29"/>
      <c r="DY1190" s="29"/>
      <c r="DZ1190" s="29"/>
      <c r="EA1190" s="29"/>
      <c r="EB1190" s="29"/>
      <c r="EC1190" s="29"/>
      <c r="ED1190" s="29"/>
      <c r="EE1190" s="29"/>
      <c r="EF1190" s="111"/>
      <c r="EG1190" s="111"/>
      <c r="EH1190" s="111"/>
      <c r="EI1190" s="111"/>
      <c r="EJ1190" s="111"/>
      <c r="EK1190" s="111"/>
      <c r="EL1190" s="111"/>
      <c r="EM1190" s="111"/>
      <c r="EN1190" s="111"/>
      <c r="EO1190" s="111"/>
      <c r="EP1190" s="111"/>
      <c r="EQ1190" s="111"/>
      <c r="ER1190" s="111"/>
      <c r="ES1190" s="111"/>
    </row>
    <row r="1191" spans="44:149">
      <c r="AR1191" s="29"/>
      <c r="AS1191" s="29"/>
      <c r="AT1191" s="29"/>
      <c r="AU1191" s="29"/>
      <c r="AV1191" s="29"/>
      <c r="AW1191" s="29"/>
      <c r="AX1191" s="29"/>
      <c r="AY1191" s="29"/>
      <c r="AZ1191" s="29"/>
      <c r="BA1191" s="29"/>
      <c r="BB1191" s="29"/>
      <c r="BC1191" s="29"/>
      <c r="BD1191" s="29"/>
      <c r="BE1191" s="29"/>
      <c r="BF1191" s="111"/>
      <c r="BG1191" s="111"/>
      <c r="BH1191" s="111"/>
      <c r="BI1191" s="111"/>
      <c r="BJ1191" s="111"/>
      <c r="BK1191" s="111"/>
      <c r="BL1191" s="111"/>
      <c r="BM1191" s="111"/>
      <c r="BN1191" s="111"/>
      <c r="BO1191" s="111"/>
      <c r="BP1191" s="111"/>
      <c r="BQ1191" s="111"/>
      <c r="BR1191" s="111"/>
      <c r="BS1191" s="111"/>
      <c r="DR1191" s="29"/>
      <c r="DS1191" s="29"/>
      <c r="DT1191" s="29"/>
      <c r="DU1191" s="29"/>
      <c r="DV1191" s="29"/>
      <c r="DW1191" s="29"/>
      <c r="DX1191" s="29"/>
      <c r="DY1191" s="29"/>
      <c r="DZ1191" s="29"/>
      <c r="EA1191" s="29"/>
      <c r="EB1191" s="29"/>
      <c r="EC1191" s="29"/>
      <c r="ED1191" s="29"/>
      <c r="EE1191" s="29"/>
      <c r="EF1191" s="111"/>
      <c r="EG1191" s="111"/>
      <c r="EH1191" s="111"/>
      <c r="EI1191" s="111"/>
      <c r="EJ1191" s="111"/>
      <c r="EK1191" s="111"/>
      <c r="EL1191" s="111"/>
      <c r="EM1191" s="111"/>
      <c r="EN1191" s="111"/>
      <c r="EO1191" s="111"/>
      <c r="EP1191" s="111"/>
      <c r="EQ1191" s="111"/>
      <c r="ER1191" s="111"/>
      <c r="ES1191" s="111"/>
    </row>
    <row r="1192" spans="44:149">
      <c r="AR1192" s="29"/>
      <c r="AS1192" s="29"/>
      <c r="AT1192" s="29"/>
      <c r="AU1192" s="29"/>
      <c r="AV1192" s="29"/>
      <c r="AW1192" s="29"/>
      <c r="AX1192" s="29"/>
      <c r="AY1192" s="29"/>
      <c r="AZ1192" s="29"/>
      <c r="BA1192" s="29"/>
      <c r="BB1192" s="29"/>
      <c r="BC1192" s="29"/>
      <c r="BD1192" s="29"/>
      <c r="BE1192" s="29"/>
      <c r="BF1192" s="111"/>
      <c r="BG1192" s="111"/>
      <c r="BH1192" s="111"/>
      <c r="BI1192" s="111"/>
      <c r="BJ1192" s="111"/>
      <c r="BK1192" s="111"/>
      <c r="BL1192" s="111"/>
      <c r="BM1192" s="111"/>
      <c r="BN1192" s="111"/>
      <c r="BO1192" s="111"/>
      <c r="BP1192" s="111"/>
      <c r="BQ1192" s="111"/>
      <c r="BR1192" s="111"/>
      <c r="BS1192" s="111"/>
      <c r="DR1192" s="29"/>
      <c r="DS1192" s="29"/>
      <c r="DT1192" s="29"/>
      <c r="DU1192" s="29"/>
      <c r="DV1192" s="29"/>
      <c r="DW1192" s="29"/>
      <c r="DX1192" s="29"/>
      <c r="DY1192" s="29"/>
      <c r="DZ1192" s="29"/>
      <c r="EA1192" s="29"/>
      <c r="EB1192" s="29"/>
      <c r="EC1192" s="29"/>
      <c r="ED1192" s="29"/>
      <c r="EE1192" s="29"/>
      <c r="EF1192" s="111"/>
      <c r="EG1192" s="111"/>
      <c r="EH1192" s="111"/>
      <c r="EI1192" s="111"/>
      <c r="EJ1192" s="111"/>
      <c r="EK1192" s="111"/>
      <c r="EL1192" s="111"/>
      <c r="EM1192" s="111"/>
      <c r="EN1192" s="111"/>
      <c r="EO1192" s="111"/>
      <c r="EP1192" s="111"/>
      <c r="EQ1192" s="111"/>
      <c r="ER1192" s="111"/>
      <c r="ES1192" s="111"/>
    </row>
    <row r="1193" spans="44:149">
      <c r="AR1193" s="29"/>
      <c r="AS1193" s="29"/>
      <c r="AT1193" s="29"/>
      <c r="AU1193" s="29"/>
      <c r="AV1193" s="29"/>
      <c r="AW1193" s="29"/>
      <c r="AX1193" s="29"/>
      <c r="AY1193" s="29"/>
      <c r="AZ1193" s="29"/>
      <c r="BA1193" s="29"/>
      <c r="BB1193" s="29"/>
      <c r="BC1193" s="29"/>
      <c r="BD1193" s="29"/>
      <c r="BE1193" s="29"/>
      <c r="BF1193" s="111"/>
      <c r="BG1193" s="111"/>
      <c r="BH1193" s="111"/>
      <c r="BI1193" s="111"/>
      <c r="BJ1193" s="111"/>
      <c r="BK1193" s="111"/>
      <c r="BL1193" s="111"/>
      <c r="BM1193" s="111"/>
      <c r="BN1193" s="111"/>
      <c r="BO1193" s="111"/>
      <c r="BP1193" s="111"/>
      <c r="BQ1193" s="111"/>
      <c r="BR1193" s="111"/>
      <c r="BS1193" s="111"/>
      <c r="DR1193" s="29"/>
      <c r="DS1193" s="29"/>
      <c r="DT1193" s="29"/>
      <c r="DU1193" s="29"/>
      <c r="DV1193" s="29"/>
      <c r="DW1193" s="29"/>
      <c r="DX1193" s="29"/>
      <c r="DY1193" s="29"/>
      <c r="DZ1193" s="29"/>
      <c r="EA1193" s="29"/>
      <c r="EB1193" s="29"/>
      <c r="EC1193" s="29"/>
      <c r="ED1193" s="29"/>
      <c r="EE1193" s="29"/>
      <c r="EF1193" s="111"/>
      <c r="EG1193" s="111"/>
      <c r="EH1193" s="111"/>
      <c r="EI1193" s="111"/>
      <c r="EJ1193" s="111"/>
      <c r="EK1193" s="111"/>
      <c r="EL1193" s="111"/>
      <c r="EM1193" s="111"/>
      <c r="EN1193" s="111"/>
      <c r="EO1193" s="111"/>
      <c r="EP1193" s="111"/>
      <c r="EQ1193" s="111"/>
      <c r="ER1193" s="111"/>
      <c r="ES1193" s="111"/>
    </row>
    <row r="1194" spans="44:149">
      <c r="AR1194" s="29"/>
      <c r="AS1194" s="29"/>
      <c r="AT1194" s="29"/>
      <c r="AU1194" s="29"/>
      <c r="AV1194" s="29"/>
      <c r="AW1194" s="29"/>
      <c r="AX1194" s="29"/>
      <c r="AY1194" s="29"/>
      <c r="AZ1194" s="29"/>
      <c r="BA1194" s="29"/>
      <c r="BB1194" s="29"/>
      <c r="BC1194" s="29"/>
      <c r="BD1194" s="29"/>
      <c r="BE1194" s="29"/>
      <c r="BF1194" s="111"/>
      <c r="BG1194" s="111"/>
      <c r="BH1194" s="111"/>
      <c r="BI1194" s="111"/>
      <c r="BJ1194" s="111"/>
      <c r="BK1194" s="111"/>
      <c r="BL1194" s="111"/>
      <c r="BM1194" s="111"/>
      <c r="BN1194" s="111"/>
      <c r="BO1194" s="111"/>
      <c r="BP1194" s="111"/>
      <c r="BQ1194" s="111"/>
      <c r="BR1194" s="111"/>
      <c r="BS1194" s="111"/>
      <c r="DR1194" s="29"/>
      <c r="DS1194" s="29"/>
      <c r="DT1194" s="29"/>
      <c r="DU1194" s="29"/>
      <c r="DV1194" s="29"/>
      <c r="DW1194" s="29"/>
      <c r="DX1194" s="29"/>
      <c r="DY1194" s="29"/>
      <c r="DZ1194" s="29"/>
      <c r="EA1194" s="29"/>
      <c r="EB1194" s="29"/>
      <c r="EC1194" s="29"/>
      <c r="ED1194" s="29"/>
      <c r="EE1194" s="29"/>
      <c r="EF1194" s="111"/>
      <c r="EG1194" s="111"/>
      <c r="EH1194" s="111"/>
      <c r="EI1194" s="111"/>
      <c r="EJ1194" s="111"/>
      <c r="EK1194" s="111"/>
      <c r="EL1194" s="111"/>
      <c r="EM1194" s="111"/>
      <c r="EN1194" s="111"/>
      <c r="EO1194" s="111"/>
      <c r="EP1194" s="111"/>
      <c r="EQ1194" s="111"/>
      <c r="ER1194" s="111"/>
      <c r="ES1194" s="111"/>
    </row>
    <row r="1195" spans="44:149">
      <c r="AR1195" s="29"/>
      <c r="AS1195" s="29"/>
      <c r="AT1195" s="29"/>
      <c r="AU1195" s="29"/>
      <c r="AV1195" s="29"/>
      <c r="AW1195" s="29"/>
      <c r="AX1195" s="29"/>
      <c r="AY1195" s="29"/>
      <c r="AZ1195" s="29"/>
      <c r="BA1195" s="29"/>
      <c r="BB1195" s="29"/>
      <c r="BC1195" s="29"/>
      <c r="BD1195" s="29"/>
      <c r="BE1195" s="29"/>
      <c r="BF1195" s="111"/>
      <c r="BG1195" s="111"/>
      <c r="BH1195" s="111"/>
      <c r="BI1195" s="111"/>
      <c r="BJ1195" s="111"/>
      <c r="BK1195" s="111"/>
      <c r="BL1195" s="111"/>
      <c r="BM1195" s="111"/>
      <c r="BN1195" s="111"/>
      <c r="BO1195" s="111"/>
      <c r="BP1195" s="111"/>
      <c r="BQ1195" s="111"/>
      <c r="BR1195" s="111"/>
      <c r="BS1195" s="111"/>
      <c r="DR1195" s="29"/>
      <c r="DS1195" s="29"/>
      <c r="DT1195" s="29"/>
      <c r="DU1195" s="29"/>
      <c r="DV1195" s="29"/>
      <c r="DW1195" s="29"/>
      <c r="DX1195" s="29"/>
      <c r="DY1195" s="29"/>
      <c r="DZ1195" s="29"/>
      <c r="EA1195" s="29"/>
      <c r="EB1195" s="29"/>
      <c r="EC1195" s="29"/>
      <c r="ED1195" s="29"/>
      <c r="EE1195" s="29"/>
      <c r="EF1195" s="111"/>
      <c r="EG1195" s="111"/>
      <c r="EH1195" s="111"/>
      <c r="EI1195" s="111"/>
      <c r="EJ1195" s="111"/>
      <c r="EK1195" s="111"/>
      <c r="EL1195" s="111"/>
      <c r="EM1195" s="111"/>
      <c r="EN1195" s="111"/>
      <c r="EO1195" s="111"/>
      <c r="EP1195" s="111"/>
      <c r="EQ1195" s="111"/>
      <c r="ER1195" s="111"/>
      <c r="ES1195" s="111"/>
    </row>
    <row r="1196" spans="44:149">
      <c r="AR1196" s="29"/>
      <c r="AS1196" s="29"/>
      <c r="AT1196" s="29"/>
      <c r="AU1196" s="29"/>
      <c r="AV1196" s="29"/>
      <c r="AW1196" s="29"/>
      <c r="AX1196" s="29"/>
      <c r="AY1196" s="29"/>
      <c r="AZ1196" s="29"/>
      <c r="BA1196" s="29"/>
      <c r="BB1196" s="29"/>
      <c r="BC1196" s="29"/>
      <c r="BD1196" s="29"/>
      <c r="BE1196" s="29"/>
      <c r="BF1196" s="111"/>
      <c r="BG1196" s="111"/>
      <c r="BH1196" s="111"/>
      <c r="BI1196" s="111"/>
      <c r="BJ1196" s="111"/>
      <c r="BK1196" s="111"/>
      <c r="BL1196" s="111"/>
      <c r="BM1196" s="111"/>
      <c r="BN1196" s="111"/>
      <c r="BO1196" s="111"/>
      <c r="BP1196" s="111"/>
      <c r="BQ1196" s="111"/>
      <c r="BR1196" s="111"/>
      <c r="BS1196" s="111"/>
      <c r="DR1196" s="29"/>
      <c r="DS1196" s="29"/>
      <c r="DT1196" s="29"/>
      <c r="DU1196" s="29"/>
      <c r="DV1196" s="29"/>
      <c r="DW1196" s="29"/>
      <c r="DX1196" s="29"/>
      <c r="DY1196" s="29"/>
      <c r="DZ1196" s="29"/>
      <c r="EA1196" s="29"/>
      <c r="EB1196" s="29"/>
      <c r="EC1196" s="29"/>
      <c r="ED1196" s="29"/>
      <c r="EE1196" s="29"/>
      <c r="EF1196" s="111"/>
      <c r="EG1196" s="111"/>
      <c r="EH1196" s="111"/>
      <c r="EI1196" s="111"/>
      <c r="EJ1196" s="111"/>
      <c r="EK1196" s="111"/>
      <c r="EL1196" s="111"/>
      <c r="EM1196" s="111"/>
      <c r="EN1196" s="111"/>
      <c r="EO1196" s="111"/>
      <c r="EP1196" s="111"/>
      <c r="EQ1196" s="111"/>
      <c r="ER1196" s="111"/>
      <c r="ES1196" s="111"/>
    </row>
    <row r="1197" spans="44:149">
      <c r="AR1197" s="29"/>
      <c r="AS1197" s="29"/>
      <c r="AT1197" s="29"/>
      <c r="AU1197" s="29"/>
      <c r="AV1197" s="29"/>
      <c r="AW1197" s="29"/>
      <c r="AX1197" s="29"/>
      <c r="AY1197" s="29"/>
      <c r="AZ1197" s="29"/>
      <c r="BA1197" s="29"/>
      <c r="BB1197" s="29"/>
      <c r="BC1197" s="29"/>
      <c r="BD1197" s="29"/>
      <c r="BE1197" s="29"/>
      <c r="BF1197" s="111"/>
      <c r="BG1197" s="111"/>
      <c r="BH1197" s="111"/>
      <c r="BI1197" s="111"/>
      <c r="BJ1197" s="111"/>
      <c r="BK1197" s="111"/>
      <c r="BL1197" s="111"/>
      <c r="BM1197" s="111"/>
      <c r="BN1197" s="111"/>
      <c r="BO1197" s="111"/>
      <c r="BP1197" s="111"/>
      <c r="BQ1197" s="111"/>
      <c r="BR1197" s="111"/>
      <c r="BS1197" s="111"/>
      <c r="DR1197" s="29"/>
      <c r="DS1197" s="29"/>
      <c r="DT1197" s="29"/>
      <c r="DU1197" s="29"/>
      <c r="DV1197" s="29"/>
      <c r="DW1197" s="29"/>
      <c r="DX1197" s="29"/>
      <c r="DY1197" s="29"/>
      <c r="DZ1197" s="29"/>
      <c r="EA1197" s="29"/>
      <c r="EB1197" s="29"/>
      <c r="EC1197" s="29"/>
      <c r="ED1197" s="29"/>
      <c r="EE1197" s="29"/>
      <c r="EF1197" s="111"/>
      <c r="EG1197" s="111"/>
      <c r="EH1197" s="111"/>
      <c r="EI1197" s="111"/>
      <c r="EJ1197" s="111"/>
      <c r="EK1197" s="111"/>
      <c r="EL1197" s="111"/>
      <c r="EM1197" s="111"/>
      <c r="EN1197" s="111"/>
      <c r="EO1197" s="111"/>
      <c r="EP1197" s="111"/>
      <c r="EQ1197" s="111"/>
      <c r="ER1197" s="111"/>
      <c r="ES1197" s="111"/>
    </row>
    <row r="1198" spans="44:149">
      <c r="AR1198" s="29"/>
      <c r="AS1198" s="29"/>
      <c r="AT1198" s="29"/>
      <c r="AU1198" s="29"/>
      <c r="AV1198" s="29"/>
      <c r="AW1198" s="29"/>
      <c r="AX1198" s="29"/>
      <c r="AY1198" s="29"/>
      <c r="AZ1198" s="29"/>
      <c r="BA1198" s="29"/>
      <c r="BB1198" s="29"/>
      <c r="BC1198" s="29"/>
      <c r="BD1198" s="29"/>
      <c r="BE1198" s="29"/>
      <c r="BF1198" s="111"/>
      <c r="BG1198" s="111"/>
      <c r="BH1198" s="111"/>
      <c r="BI1198" s="111"/>
      <c r="BJ1198" s="111"/>
      <c r="BK1198" s="111"/>
      <c r="BL1198" s="111"/>
      <c r="BM1198" s="111"/>
      <c r="BN1198" s="111"/>
      <c r="BO1198" s="111"/>
      <c r="BP1198" s="111"/>
      <c r="BQ1198" s="111"/>
      <c r="BR1198" s="111"/>
      <c r="BS1198" s="111"/>
      <c r="DR1198" s="29"/>
      <c r="DS1198" s="29"/>
      <c r="DT1198" s="29"/>
      <c r="DU1198" s="29"/>
      <c r="DV1198" s="29"/>
      <c r="DW1198" s="29"/>
      <c r="DX1198" s="29"/>
      <c r="DY1198" s="29"/>
      <c r="DZ1198" s="29"/>
      <c r="EA1198" s="29"/>
      <c r="EB1198" s="29"/>
      <c r="EC1198" s="29"/>
      <c r="ED1198" s="29"/>
      <c r="EE1198" s="29"/>
      <c r="EF1198" s="111"/>
      <c r="EG1198" s="111"/>
      <c r="EH1198" s="111"/>
      <c r="EI1198" s="111"/>
      <c r="EJ1198" s="111"/>
      <c r="EK1198" s="111"/>
      <c r="EL1198" s="111"/>
      <c r="EM1198" s="111"/>
      <c r="EN1198" s="111"/>
      <c r="EO1198" s="111"/>
      <c r="EP1198" s="111"/>
      <c r="EQ1198" s="111"/>
      <c r="ER1198" s="111"/>
      <c r="ES1198" s="111"/>
    </row>
    <row r="1199" spans="44:149">
      <c r="AR1199" s="29"/>
      <c r="AS1199" s="29"/>
      <c r="AT1199" s="29"/>
      <c r="AU1199" s="29"/>
      <c r="AV1199" s="29"/>
      <c r="AW1199" s="29"/>
      <c r="AX1199" s="29"/>
      <c r="AY1199" s="29"/>
      <c r="AZ1199" s="29"/>
      <c r="BA1199" s="29"/>
      <c r="BB1199" s="29"/>
      <c r="BC1199" s="29"/>
      <c r="BD1199" s="29"/>
      <c r="BE1199" s="29"/>
      <c r="BF1199" s="111"/>
      <c r="BG1199" s="111"/>
      <c r="BH1199" s="111"/>
      <c r="BI1199" s="111"/>
      <c r="BJ1199" s="111"/>
      <c r="BK1199" s="111"/>
      <c r="BL1199" s="111"/>
      <c r="BM1199" s="111"/>
      <c r="BN1199" s="111"/>
      <c r="BO1199" s="111"/>
      <c r="BP1199" s="111"/>
      <c r="BQ1199" s="111"/>
      <c r="BR1199" s="111"/>
      <c r="BS1199" s="111"/>
      <c r="DR1199" s="29"/>
      <c r="DS1199" s="29"/>
      <c r="DT1199" s="29"/>
      <c r="DU1199" s="29"/>
      <c r="DV1199" s="29"/>
      <c r="DW1199" s="29"/>
      <c r="DX1199" s="29"/>
      <c r="DY1199" s="29"/>
      <c r="DZ1199" s="29"/>
      <c r="EA1199" s="29"/>
      <c r="EB1199" s="29"/>
      <c r="EC1199" s="29"/>
      <c r="ED1199" s="29"/>
      <c r="EE1199" s="29"/>
      <c r="EF1199" s="111"/>
      <c r="EG1199" s="111"/>
      <c r="EH1199" s="111"/>
      <c r="EI1199" s="111"/>
      <c r="EJ1199" s="111"/>
      <c r="EK1199" s="111"/>
      <c r="EL1199" s="111"/>
      <c r="EM1199" s="111"/>
      <c r="EN1199" s="111"/>
      <c r="EO1199" s="111"/>
      <c r="EP1199" s="111"/>
      <c r="EQ1199" s="111"/>
      <c r="ER1199" s="111"/>
      <c r="ES1199" s="111"/>
    </row>
    <row r="1200" spans="44:149">
      <c r="AR1200" s="29"/>
      <c r="AS1200" s="29"/>
      <c r="AT1200" s="29"/>
      <c r="AU1200" s="29"/>
      <c r="AV1200" s="29"/>
      <c r="AW1200" s="29"/>
      <c r="AX1200" s="29"/>
      <c r="AY1200" s="29"/>
      <c r="AZ1200" s="29"/>
      <c r="BA1200" s="29"/>
      <c r="BB1200" s="29"/>
      <c r="BC1200" s="29"/>
      <c r="BD1200" s="29"/>
      <c r="BE1200" s="29"/>
      <c r="BF1200" s="111"/>
      <c r="BG1200" s="111"/>
      <c r="BH1200" s="111"/>
      <c r="BI1200" s="111"/>
      <c r="BJ1200" s="111"/>
      <c r="BK1200" s="111"/>
      <c r="BL1200" s="111"/>
      <c r="BM1200" s="111"/>
      <c r="BN1200" s="111"/>
      <c r="BO1200" s="111"/>
      <c r="BP1200" s="111"/>
      <c r="BQ1200" s="111"/>
      <c r="BR1200" s="111"/>
      <c r="BS1200" s="111"/>
      <c r="DR1200" s="29"/>
      <c r="DS1200" s="29"/>
      <c r="DT1200" s="29"/>
      <c r="DU1200" s="29"/>
      <c r="DV1200" s="29"/>
      <c r="DW1200" s="29"/>
      <c r="DX1200" s="29"/>
      <c r="DY1200" s="29"/>
      <c r="DZ1200" s="29"/>
      <c r="EA1200" s="29"/>
      <c r="EB1200" s="29"/>
      <c r="EC1200" s="29"/>
      <c r="ED1200" s="29"/>
      <c r="EE1200" s="29"/>
      <c r="EF1200" s="111"/>
      <c r="EG1200" s="111"/>
      <c r="EH1200" s="111"/>
      <c r="EI1200" s="111"/>
      <c r="EJ1200" s="111"/>
      <c r="EK1200" s="111"/>
      <c r="EL1200" s="111"/>
      <c r="EM1200" s="111"/>
      <c r="EN1200" s="111"/>
      <c r="EO1200" s="111"/>
      <c r="EP1200" s="111"/>
      <c r="EQ1200" s="111"/>
      <c r="ER1200" s="111"/>
      <c r="ES1200" s="111"/>
    </row>
    <row r="1201" spans="44:149">
      <c r="AR1201" s="29"/>
      <c r="AS1201" s="29"/>
      <c r="AT1201" s="29"/>
      <c r="AU1201" s="29"/>
      <c r="AV1201" s="29"/>
      <c r="AW1201" s="29"/>
      <c r="AX1201" s="29"/>
      <c r="AY1201" s="29"/>
      <c r="AZ1201" s="29"/>
      <c r="BA1201" s="29"/>
      <c r="BB1201" s="29"/>
      <c r="BC1201" s="29"/>
      <c r="BD1201" s="29"/>
      <c r="BE1201" s="29"/>
      <c r="BF1201" s="111"/>
      <c r="BG1201" s="111"/>
      <c r="BH1201" s="111"/>
      <c r="BI1201" s="111"/>
      <c r="BJ1201" s="111"/>
      <c r="BK1201" s="111"/>
      <c r="BL1201" s="111"/>
      <c r="BM1201" s="111"/>
      <c r="BN1201" s="111"/>
      <c r="BO1201" s="111"/>
      <c r="BP1201" s="111"/>
      <c r="BQ1201" s="111"/>
      <c r="BR1201" s="111"/>
      <c r="BS1201" s="111"/>
      <c r="DR1201" s="29"/>
      <c r="DS1201" s="29"/>
      <c r="DT1201" s="29"/>
      <c r="DU1201" s="29"/>
      <c r="DV1201" s="29"/>
      <c r="DW1201" s="29"/>
      <c r="DX1201" s="29"/>
      <c r="DY1201" s="29"/>
      <c r="DZ1201" s="29"/>
      <c r="EA1201" s="29"/>
      <c r="EB1201" s="29"/>
      <c r="EC1201" s="29"/>
      <c r="ED1201" s="29"/>
      <c r="EE1201" s="29"/>
      <c r="EF1201" s="111"/>
      <c r="EG1201" s="111"/>
      <c r="EH1201" s="111"/>
      <c r="EI1201" s="111"/>
      <c r="EJ1201" s="111"/>
      <c r="EK1201" s="111"/>
      <c r="EL1201" s="111"/>
      <c r="EM1201" s="111"/>
      <c r="EN1201" s="111"/>
      <c r="EO1201" s="111"/>
      <c r="EP1201" s="111"/>
      <c r="EQ1201" s="111"/>
      <c r="ER1201" s="111"/>
      <c r="ES1201" s="111"/>
    </row>
    <row r="1202" spans="44:149">
      <c r="AR1202" s="29"/>
      <c r="AS1202" s="29"/>
      <c r="AT1202" s="29"/>
      <c r="AU1202" s="29"/>
      <c r="AV1202" s="29"/>
      <c r="AW1202" s="29"/>
      <c r="AX1202" s="29"/>
      <c r="AY1202" s="29"/>
      <c r="AZ1202" s="29"/>
      <c r="BA1202" s="29"/>
      <c r="BB1202" s="29"/>
      <c r="BC1202" s="29"/>
      <c r="BD1202" s="29"/>
      <c r="BE1202" s="29"/>
      <c r="BF1202" s="111"/>
      <c r="BG1202" s="111"/>
      <c r="BH1202" s="111"/>
      <c r="BI1202" s="111"/>
      <c r="BJ1202" s="111"/>
      <c r="BK1202" s="111"/>
      <c r="BL1202" s="111"/>
      <c r="BM1202" s="111"/>
      <c r="BN1202" s="111"/>
      <c r="BO1202" s="111"/>
      <c r="BP1202" s="111"/>
      <c r="BQ1202" s="111"/>
      <c r="BR1202" s="111"/>
      <c r="BS1202" s="111"/>
      <c r="DR1202" s="29"/>
      <c r="DS1202" s="29"/>
      <c r="DT1202" s="29"/>
      <c r="DU1202" s="29"/>
      <c r="DV1202" s="29"/>
      <c r="DW1202" s="29"/>
      <c r="DX1202" s="29"/>
      <c r="DY1202" s="29"/>
      <c r="DZ1202" s="29"/>
      <c r="EA1202" s="29"/>
      <c r="EB1202" s="29"/>
      <c r="EC1202" s="29"/>
      <c r="ED1202" s="29"/>
      <c r="EE1202" s="29"/>
      <c r="EF1202" s="111"/>
      <c r="EG1202" s="111"/>
      <c r="EH1202" s="111"/>
      <c r="EI1202" s="111"/>
      <c r="EJ1202" s="111"/>
      <c r="EK1202" s="111"/>
      <c r="EL1202" s="111"/>
      <c r="EM1202" s="111"/>
      <c r="EN1202" s="111"/>
      <c r="EO1202" s="111"/>
      <c r="EP1202" s="111"/>
      <c r="EQ1202" s="111"/>
      <c r="ER1202" s="111"/>
      <c r="ES1202" s="111"/>
    </row>
    <row r="1203" spans="44:149">
      <c r="AR1203" s="29"/>
      <c r="AS1203" s="29"/>
      <c r="AT1203" s="29"/>
      <c r="AU1203" s="29"/>
      <c r="AV1203" s="29"/>
      <c r="AW1203" s="29"/>
      <c r="AX1203" s="29"/>
      <c r="AY1203" s="29"/>
      <c r="AZ1203" s="29"/>
      <c r="BA1203" s="29"/>
      <c r="BB1203" s="29"/>
      <c r="BC1203" s="29"/>
      <c r="BD1203" s="29"/>
      <c r="BE1203" s="29"/>
      <c r="BF1203" s="111"/>
      <c r="BG1203" s="111"/>
      <c r="BH1203" s="111"/>
      <c r="BI1203" s="111"/>
      <c r="BJ1203" s="111"/>
      <c r="BK1203" s="111"/>
      <c r="BL1203" s="111"/>
      <c r="BM1203" s="111"/>
      <c r="BN1203" s="111"/>
      <c r="BO1203" s="111"/>
      <c r="BP1203" s="111"/>
      <c r="BQ1203" s="111"/>
      <c r="BR1203" s="111"/>
      <c r="BS1203" s="111"/>
      <c r="DR1203" s="29"/>
      <c r="DS1203" s="29"/>
      <c r="DT1203" s="29"/>
      <c r="DU1203" s="29"/>
      <c r="DV1203" s="29"/>
      <c r="DW1203" s="29"/>
      <c r="DX1203" s="29"/>
      <c r="DY1203" s="29"/>
      <c r="DZ1203" s="29"/>
      <c r="EA1203" s="29"/>
      <c r="EB1203" s="29"/>
      <c r="EC1203" s="29"/>
      <c r="ED1203" s="29"/>
      <c r="EE1203" s="29"/>
      <c r="EF1203" s="111"/>
      <c r="EG1203" s="111"/>
      <c r="EH1203" s="111"/>
      <c r="EI1203" s="111"/>
      <c r="EJ1203" s="111"/>
      <c r="EK1203" s="111"/>
      <c r="EL1203" s="111"/>
      <c r="EM1203" s="111"/>
      <c r="EN1203" s="111"/>
      <c r="EO1203" s="111"/>
      <c r="EP1203" s="111"/>
      <c r="EQ1203" s="111"/>
      <c r="ER1203" s="111"/>
      <c r="ES1203" s="111"/>
    </row>
    <row r="1204" spans="44:149">
      <c r="AR1204" s="29"/>
      <c r="AS1204" s="29"/>
      <c r="AT1204" s="29"/>
      <c r="AU1204" s="29"/>
      <c r="AV1204" s="29"/>
      <c r="AW1204" s="29"/>
      <c r="AX1204" s="29"/>
      <c r="AY1204" s="29"/>
      <c r="AZ1204" s="29"/>
      <c r="BA1204" s="29"/>
      <c r="BB1204" s="29"/>
      <c r="BC1204" s="29"/>
      <c r="BD1204" s="29"/>
      <c r="BE1204" s="29"/>
      <c r="BF1204" s="111"/>
      <c r="BG1204" s="111"/>
      <c r="BH1204" s="111"/>
      <c r="BI1204" s="111"/>
      <c r="BJ1204" s="111"/>
      <c r="BK1204" s="111"/>
      <c r="BL1204" s="111"/>
      <c r="BM1204" s="111"/>
      <c r="BN1204" s="111"/>
      <c r="BO1204" s="111"/>
      <c r="BP1204" s="111"/>
      <c r="BQ1204" s="111"/>
      <c r="BR1204" s="111"/>
      <c r="BS1204" s="111"/>
      <c r="DR1204" s="29"/>
      <c r="DS1204" s="29"/>
      <c r="DT1204" s="29"/>
      <c r="DU1204" s="29"/>
      <c r="DV1204" s="29"/>
      <c r="DW1204" s="29"/>
      <c r="DX1204" s="29"/>
      <c r="DY1204" s="29"/>
      <c r="DZ1204" s="29"/>
      <c r="EA1204" s="29"/>
      <c r="EB1204" s="29"/>
      <c r="EC1204" s="29"/>
      <c r="ED1204" s="29"/>
      <c r="EE1204" s="29"/>
      <c r="EF1204" s="111"/>
      <c r="EG1204" s="111"/>
      <c r="EH1204" s="111"/>
      <c r="EI1204" s="111"/>
      <c r="EJ1204" s="111"/>
      <c r="EK1204" s="111"/>
      <c r="EL1204" s="111"/>
      <c r="EM1204" s="111"/>
      <c r="EN1204" s="111"/>
      <c r="EO1204" s="111"/>
      <c r="EP1204" s="111"/>
      <c r="EQ1204" s="111"/>
      <c r="ER1204" s="111"/>
      <c r="ES1204" s="111"/>
    </row>
    <row r="1205" spans="44:149">
      <c r="AR1205" s="29"/>
      <c r="AS1205" s="29"/>
      <c r="AT1205" s="29"/>
      <c r="AU1205" s="29"/>
      <c r="AV1205" s="29"/>
      <c r="AW1205" s="29"/>
      <c r="AX1205" s="29"/>
      <c r="AY1205" s="29"/>
      <c r="AZ1205" s="29"/>
      <c r="BA1205" s="29"/>
      <c r="BB1205" s="29"/>
      <c r="BC1205" s="29"/>
      <c r="BD1205" s="29"/>
      <c r="BE1205" s="29"/>
      <c r="BF1205" s="111"/>
      <c r="BG1205" s="111"/>
      <c r="BH1205" s="111"/>
      <c r="BI1205" s="111"/>
      <c r="BJ1205" s="111"/>
      <c r="BK1205" s="111"/>
      <c r="BL1205" s="111"/>
      <c r="BM1205" s="111"/>
      <c r="BN1205" s="111"/>
      <c r="BO1205" s="111"/>
      <c r="BP1205" s="111"/>
      <c r="BQ1205" s="111"/>
      <c r="BR1205" s="111"/>
      <c r="BS1205" s="111"/>
      <c r="DR1205" s="29"/>
      <c r="DS1205" s="29"/>
      <c r="DT1205" s="29"/>
      <c r="DU1205" s="29"/>
      <c r="DV1205" s="29"/>
      <c r="DW1205" s="29"/>
      <c r="DX1205" s="29"/>
      <c r="DY1205" s="29"/>
      <c r="DZ1205" s="29"/>
      <c r="EA1205" s="29"/>
      <c r="EB1205" s="29"/>
      <c r="EC1205" s="29"/>
      <c r="ED1205" s="29"/>
      <c r="EE1205" s="29"/>
      <c r="EF1205" s="111"/>
      <c r="EG1205" s="111"/>
      <c r="EH1205" s="111"/>
      <c r="EI1205" s="111"/>
      <c r="EJ1205" s="111"/>
      <c r="EK1205" s="111"/>
      <c r="EL1205" s="111"/>
      <c r="EM1205" s="111"/>
      <c r="EN1205" s="111"/>
      <c r="EO1205" s="111"/>
      <c r="EP1205" s="111"/>
      <c r="EQ1205" s="111"/>
      <c r="ER1205" s="111"/>
      <c r="ES1205" s="111"/>
    </row>
    <row r="1206" spans="44:149">
      <c r="AR1206" s="29"/>
      <c r="AS1206" s="29"/>
      <c r="AT1206" s="29"/>
      <c r="AU1206" s="29"/>
      <c r="AV1206" s="29"/>
      <c r="AW1206" s="29"/>
      <c r="AX1206" s="29"/>
      <c r="AY1206" s="29"/>
      <c r="AZ1206" s="29"/>
      <c r="BA1206" s="29"/>
      <c r="BB1206" s="29"/>
      <c r="BC1206" s="29"/>
      <c r="BD1206" s="29"/>
      <c r="BE1206" s="29"/>
      <c r="BF1206" s="111"/>
      <c r="BG1206" s="111"/>
      <c r="BH1206" s="111"/>
      <c r="BI1206" s="111"/>
      <c r="BJ1206" s="111"/>
      <c r="BK1206" s="111"/>
      <c r="BL1206" s="111"/>
      <c r="BM1206" s="111"/>
      <c r="BN1206" s="111"/>
      <c r="BO1206" s="111"/>
      <c r="BP1206" s="111"/>
      <c r="BQ1206" s="111"/>
      <c r="BR1206" s="111"/>
      <c r="BS1206" s="111"/>
      <c r="DR1206" s="29"/>
      <c r="DS1206" s="29"/>
      <c r="DT1206" s="29"/>
      <c r="DU1206" s="29"/>
      <c r="DV1206" s="29"/>
      <c r="DW1206" s="29"/>
      <c r="DX1206" s="29"/>
      <c r="DY1206" s="29"/>
      <c r="DZ1206" s="29"/>
      <c r="EA1206" s="29"/>
      <c r="EB1206" s="29"/>
      <c r="EC1206" s="29"/>
      <c r="ED1206" s="29"/>
      <c r="EE1206" s="29"/>
      <c r="EF1206" s="111"/>
      <c r="EG1206" s="111"/>
      <c r="EH1206" s="111"/>
      <c r="EI1206" s="111"/>
      <c r="EJ1206" s="111"/>
      <c r="EK1206" s="111"/>
      <c r="EL1206" s="111"/>
      <c r="EM1206" s="111"/>
      <c r="EN1206" s="111"/>
      <c r="EO1206" s="111"/>
      <c r="EP1206" s="111"/>
      <c r="EQ1206" s="111"/>
      <c r="ER1206" s="111"/>
      <c r="ES1206" s="111"/>
    </row>
    <row r="1207" spans="44:149">
      <c r="AR1207" s="29"/>
      <c r="AS1207" s="29"/>
      <c r="AT1207" s="29"/>
      <c r="AU1207" s="29"/>
      <c r="AV1207" s="29"/>
      <c r="AW1207" s="29"/>
      <c r="AX1207" s="29"/>
      <c r="AY1207" s="29"/>
      <c r="AZ1207" s="29"/>
      <c r="BA1207" s="29"/>
      <c r="BB1207" s="29"/>
      <c r="BC1207" s="29"/>
      <c r="BD1207" s="29"/>
      <c r="BE1207" s="29"/>
      <c r="BF1207" s="111"/>
      <c r="BG1207" s="111"/>
      <c r="BH1207" s="111"/>
      <c r="BI1207" s="111"/>
      <c r="BJ1207" s="111"/>
      <c r="BK1207" s="111"/>
      <c r="BL1207" s="111"/>
      <c r="BM1207" s="111"/>
      <c r="BN1207" s="111"/>
      <c r="BO1207" s="111"/>
      <c r="BP1207" s="111"/>
      <c r="BQ1207" s="111"/>
      <c r="BR1207" s="111"/>
      <c r="BS1207" s="111"/>
      <c r="DR1207" s="29"/>
      <c r="DS1207" s="29"/>
      <c r="DT1207" s="29"/>
      <c r="DU1207" s="29"/>
      <c r="DV1207" s="29"/>
      <c r="DW1207" s="29"/>
      <c r="DX1207" s="29"/>
      <c r="DY1207" s="29"/>
      <c r="DZ1207" s="29"/>
      <c r="EA1207" s="29"/>
      <c r="EB1207" s="29"/>
      <c r="EC1207" s="29"/>
      <c r="ED1207" s="29"/>
      <c r="EE1207" s="29"/>
      <c r="EF1207" s="111"/>
      <c r="EG1207" s="111"/>
      <c r="EH1207" s="111"/>
      <c r="EI1207" s="111"/>
      <c r="EJ1207" s="111"/>
      <c r="EK1207" s="111"/>
      <c r="EL1207" s="111"/>
      <c r="EM1207" s="111"/>
      <c r="EN1207" s="111"/>
      <c r="EO1207" s="111"/>
      <c r="EP1207" s="111"/>
      <c r="EQ1207" s="111"/>
      <c r="ER1207" s="111"/>
      <c r="ES1207" s="111"/>
    </row>
    <row r="1208" spans="44:149">
      <c r="AR1208" s="29"/>
      <c r="AS1208" s="29"/>
      <c r="AT1208" s="29"/>
      <c r="AU1208" s="29"/>
      <c r="AV1208" s="29"/>
      <c r="AW1208" s="29"/>
      <c r="AX1208" s="29"/>
      <c r="AY1208" s="29"/>
      <c r="AZ1208" s="29"/>
      <c r="BA1208" s="29"/>
      <c r="BB1208" s="29"/>
      <c r="BC1208" s="29"/>
      <c r="BD1208" s="29"/>
      <c r="BE1208" s="29"/>
      <c r="BF1208" s="111"/>
      <c r="BG1208" s="111"/>
      <c r="BH1208" s="111"/>
      <c r="BI1208" s="111"/>
      <c r="BJ1208" s="111"/>
      <c r="BK1208" s="111"/>
      <c r="BL1208" s="111"/>
      <c r="BM1208" s="111"/>
      <c r="BN1208" s="111"/>
      <c r="BO1208" s="111"/>
      <c r="BP1208" s="111"/>
      <c r="BQ1208" s="111"/>
      <c r="BR1208" s="111"/>
      <c r="BS1208" s="111"/>
      <c r="DR1208" s="29"/>
      <c r="DS1208" s="29"/>
      <c r="DT1208" s="29"/>
      <c r="DU1208" s="29"/>
      <c r="DV1208" s="29"/>
      <c r="DW1208" s="29"/>
      <c r="DX1208" s="29"/>
      <c r="DY1208" s="29"/>
      <c r="DZ1208" s="29"/>
      <c r="EA1208" s="29"/>
      <c r="EB1208" s="29"/>
      <c r="EC1208" s="29"/>
      <c r="ED1208" s="29"/>
      <c r="EE1208" s="29"/>
      <c r="EF1208" s="111"/>
      <c r="EG1208" s="111"/>
      <c r="EH1208" s="111"/>
      <c r="EI1208" s="111"/>
      <c r="EJ1208" s="111"/>
      <c r="EK1208" s="111"/>
      <c r="EL1208" s="111"/>
      <c r="EM1208" s="111"/>
      <c r="EN1208" s="111"/>
      <c r="EO1208" s="111"/>
      <c r="EP1208" s="111"/>
      <c r="EQ1208" s="111"/>
      <c r="ER1208" s="111"/>
      <c r="ES1208" s="111"/>
    </row>
    <row r="1209" spans="44:149">
      <c r="AR1209" s="29"/>
      <c r="AS1209" s="29"/>
      <c r="AT1209" s="29"/>
      <c r="AU1209" s="29"/>
      <c r="AV1209" s="29"/>
      <c r="AW1209" s="29"/>
      <c r="AX1209" s="29"/>
      <c r="AY1209" s="29"/>
      <c r="AZ1209" s="29"/>
      <c r="BA1209" s="29"/>
      <c r="BB1209" s="29"/>
      <c r="BC1209" s="29"/>
      <c r="BD1209" s="29"/>
      <c r="BE1209" s="29"/>
      <c r="BF1209" s="111"/>
      <c r="BG1209" s="111"/>
      <c r="BH1209" s="111"/>
      <c r="BI1209" s="111"/>
      <c r="BJ1209" s="111"/>
      <c r="BK1209" s="111"/>
      <c r="BL1209" s="111"/>
      <c r="BM1209" s="111"/>
      <c r="BN1209" s="111"/>
      <c r="BO1209" s="111"/>
      <c r="BP1209" s="111"/>
      <c r="BQ1209" s="111"/>
      <c r="BR1209" s="111"/>
      <c r="BS1209" s="111"/>
      <c r="DR1209" s="29"/>
      <c r="DS1209" s="29"/>
      <c r="DT1209" s="29"/>
      <c r="DU1209" s="29"/>
      <c r="DV1209" s="29"/>
      <c r="DW1209" s="29"/>
      <c r="DX1209" s="29"/>
      <c r="DY1209" s="29"/>
      <c r="DZ1209" s="29"/>
      <c r="EA1209" s="29"/>
      <c r="EB1209" s="29"/>
      <c r="EC1209" s="29"/>
      <c r="ED1209" s="29"/>
      <c r="EE1209" s="29"/>
      <c r="EF1209" s="111"/>
      <c r="EG1209" s="111"/>
      <c r="EH1209" s="111"/>
      <c r="EI1209" s="111"/>
      <c r="EJ1209" s="111"/>
      <c r="EK1209" s="111"/>
      <c r="EL1209" s="111"/>
      <c r="EM1209" s="111"/>
      <c r="EN1209" s="111"/>
      <c r="EO1209" s="111"/>
      <c r="EP1209" s="111"/>
      <c r="EQ1209" s="111"/>
      <c r="ER1209" s="111"/>
      <c r="ES1209" s="111"/>
    </row>
    <row r="1210" spans="44:149">
      <c r="AR1210" s="29"/>
      <c r="AS1210" s="29"/>
      <c r="AT1210" s="29"/>
      <c r="AU1210" s="29"/>
      <c r="AV1210" s="29"/>
      <c r="AW1210" s="29"/>
      <c r="AX1210" s="29"/>
      <c r="AY1210" s="29"/>
      <c r="AZ1210" s="29"/>
      <c r="BA1210" s="29"/>
      <c r="BB1210" s="29"/>
      <c r="BC1210" s="29"/>
      <c r="BD1210" s="29"/>
      <c r="BE1210" s="29"/>
      <c r="BF1210" s="111"/>
      <c r="BG1210" s="111"/>
      <c r="BH1210" s="111"/>
      <c r="BI1210" s="111"/>
      <c r="BJ1210" s="111"/>
      <c r="BK1210" s="111"/>
      <c r="BL1210" s="111"/>
      <c r="BM1210" s="111"/>
      <c r="BN1210" s="111"/>
      <c r="BO1210" s="111"/>
      <c r="BP1210" s="111"/>
      <c r="BQ1210" s="111"/>
      <c r="BR1210" s="111"/>
      <c r="BS1210" s="111"/>
      <c r="DR1210" s="29"/>
      <c r="DS1210" s="29"/>
      <c r="DT1210" s="29"/>
      <c r="DU1210" s="29"/>
      <c r="DV1210" s="29"/>
      <c r="DW1210" s="29"/>
      <c r="DX1210" s="29"/>
      <c r="DY1210" s="29"/>
      <c r="DZ1210" s="29"/>
      <c r="EA1210" s="29"/>
      <c r="EB1210" s="29"/>
      <c r="EC1210" s="29"/>
      <c r="ED1210" s="29"/>
      <c r="EE1210" s="29"/>
      <c r="EF1210" s="111"/>
      <c r="EG1210" s="111"/>
      <c r="EH1210" s="111"/>
      <c r="EI1210" s="111"/>
      <c r="EJ1210" s="111"/>
      <c r="EK1210" s="111"/>
      <c r="EL1210" s="111"/>
      <c r="EM1210" s="111"/>
      <c r="EN1210" s="111"/>
      <c r="EO1210" s="111"/>
      <c r="EP1210" s="111"/>
      <c r="EQ1210" s="111"/>
      <c r="ER1210" s="111"/>
      <c r="ES1210" s="111"/>
    </row>
    <row r="1211" spans="44:149">
      <c r="AR1211" s="29"/>
      <c r="AS1211" s="29"/>
      <c r="AT1211" s="29"/>
      <c r="AU1211" s="29"/>
      <c r="AV1211" s="29"/>
      <c r="AW1211" s="29"/>
      <c r="AX1211" s="29"/>
      <c r="AY1211" s="29"/>
      <c r="AZ1211" s="29"/>
      <c r="BA1211" s="29"/>
      <c r="BB1211" s="29"/>
      <c r="BC1211" s="29"/>
      <c r="BD1211" s="29"/>
      <c r="BE1211" s="29"/>
      <c r="BF1211" s="111"/>
      <c r="BG1211" s="111"/>
      <c r="BH1211" s="111"/>
      <c r="BI1211" s="111"/>
      <c r="BJ1211" s="111"/>
      <c r="BK1211" s="111"/>
      <c r="BL1211" s="111"/>
      <c r="BM1211" s="111"/>
      <c r="BN1211" s="111"/>
      <c r="BO1211" s="111"/>
      <c r="BP1211" s="111"/>
      <c r="BQ1211" s="111"/>
      <c r="BR1211" s="111"/>
      <c r="BS1211" s="111"/>
      <c r="DR1211" s="29"/>
      <c r="DS1211" s="29"/>
      <c r="DT1211" s="29"/>
      <c r="DU1211" s="29"/>
      <c r="DV1211" s="29"/>
      <c r="DW1211" s="29"/>
      <c r="DX1211" s="29"/>
      <c r="DY1211" s="29"/>
      <c r="DZ1211" s="29"/>
      <c r="EA1211" s="29"/>
      <c r="EB1211" s="29"/>
      <c r="EC1211" s="29"/>
      <c r="ED1211" s="29"/>
      <c r="EE1211" s="29"/>
      <c r="EF1211" s="111"/>
      <c r="EG1211" s="111"/>
      <c r="EH1211" s="111"/>
      <c r="EI1211" s="111"/>
      <c r="EJ1211" s="111"/>
      <c r="EK1211" s="111"/>
      <c r="EL1211" s="111"/>
      <c r="EM1211" s="111"/>
      <c r="EN1211" s="111"/>
      <c r="EO1211" s="111"/>
      <c r="EP1211" s="111"/>
      <c r="EQ1211" s="111"/>
      <c r="ER1211" s="111"/>
      <c r="ES1211" s="111"/>
    </row>
    <row r="1212" spans="44:149">
      <c r="AR1212" s="29"/>
      <c r="AS1212" s="29"/>
      <c r="AT1212" s="29"/>
      <c r="AU1212" s="29"/>
      <c r="AV1212" s="29"/>
      <c r="AW1212" s="29"/>
      <c r="AX1212" s="29"/>
      <c r="AY1212" s="29"/>
      <c r="AZ1212" s="29"/>
      <c r="BA1212" s="29"/>
      <c r="BB1212" s="29"/>
      <c r="BC1212" s="29"/>
      <c r="BD1212" s="29"/>
      <c r="BE1212" s="29"/>
      <c r="BF1212" s="111"/>
      <c r="BG1212" s="111"/>
      <c r="BH1212" s="111"/>
      <c r="BI1212" s="111"/>
      <c r="BJ1212" s="111"/>
      <c r="BK1212" s="111"/>
      <c r="BL1212" s="111"/>
      <c r="BM1212" s="111"/>
      <c r="BN1212" s="111"/>
      <c r="BO1212" s="111"/>
      <c r="BP1212" s="111"/>
      <c r="BQ1212" s="111"/>
      <c r="BR1212" s="111"/>
      <c r="BS1212" s="111"/>
      <c r="DR1212" s="29"/>
      <c r="DS1212" s="29"/>
      <c r="DT1212" s="29"/>
      <c r="DU1212" s="29"/>
      <c r="DV1212" s="29"/>
      <c r="DW1212" s="29"/>
      <c r="DX1212" s="29"/>
      <c r="DY1212" s="29"/>
      <c r="DZ1212" s="29"/>
      <c r="EA1212" s="29"/>
      <c r="EB1212" s="29"/>
      <c r="EC1212" s="29"/>
      <c r="ED1212" s="29"/>
      <c r="EE1212" s="29"/>
      <c r="EF1212" s="111"/>
      <c r="EG1212" s="111"/>
      <c r="EH1212" s="111"/>
      <c r="EI1212" s="111"/>
      <c r="EJ1212" s="111"/>
      <c r="EK1212" s="111"/>
      <c r="EL1212" s="111"/>
      <c r="EM1212" s="111"/>
      <c r="EN1212" s="111"/>
      <c r="EO1212" s="111"/>
      <c r="EP1212" s="111"/>
      <c r="EQ1212" s="111"/>
      <c r="ER1212" s="111"/>
      <c r="ES1212" s="111"/>
    </row>
    <row r="1213" spans="44:149">
      <c r="AR1213" s="29"/>
      <c r="AS1213" s="29"/>
      <c r="AT1213" s="29"/>
      <c r="AU1213" s="29"/>
      <c r="AV1213" s="29"/>
      <c r="AW1213" s="29"/>
      <c r="AX1213" s="29"/>
      <c r="AY1213" s="29"/>
      <c r="AZ1213" s="29"/>
      <c r="BA1213" s="29"/>
      <c r="BB1213" s="29"/>
      <c r="BC1213" s="29"/>
      <c r="BD1213" s="29"/>
      <c r="BE1213" s="29"/>
      <c r="BF1213" s="111"/>
      <c r="BG1213" s="111"/>
      <c r="BH1213" s="111"/>
      <c r="BI1213" s="111"/>
      <c r="BJ1213" s="111"/>
      <c r="BK1213" s="111"/>
      <c r="BL1213" s="111"/>
      <c r="BM1213" s="111"/>
      <c r="BN1213" s="111"/>
      <c r="BO1213" s="111"/>
      <c r="BP1213" s="111"/>
      <c r="BQ1213" s="111"/>
      <c r="BR1213" s="111"/>
      <c r="BS1213" s="111"/>
      <c r="DR1213" s="29"/>
      <c r="DS1213" s="29"/>
      <c r="DT1213" s="29"/>
      <c r="DU1213" s="29"/>
      <c r="DV1213" s="29"/>
      <c r="DW1213" s="29"/>
      <c r="DX1213" s="29"/>
      <c r="DY1213" s="29"/>
      <c r="DZ1213" s="29"/>
      <c r="EA1213" s="29"/>
      <c r="EB1213" s="29"/>
      <c r="EC1213" s="29"/>
      <c r="ED1213" s="29"/>
      <c r="EE1213" s="29"/>
      <c r="EF1213" s="111"/>
      <c r="EG1213" s="111"/>
      <c r="EH1213" s="111"/>
      <c r="EI1213" s="111"/>
      <c r="EJ1213" s="111"/>
      <c r="EK1213" s="111"/>
      <c r="EL1213" s="111"/>
      <c r="EM1213" s="111"/>
      <c r="EN1213" s="111"/>
      <c r="EO1213" s="111"/>
      <c r="EP1213" s="111"/>
      <c r="EQ1213" s="111"/>
      <c r="ER1213" s="111"/>
      <c r="ES1213" s="111"/>
    </row>
    <row r="1214" spans="44:149">
      <c r="AR1214" s="29"/>
      <c r="AS1214" s="29"/>
      <c r="AT1214" s="29"/>
      <c r="AU1214" s="29"/>
      <c r="AV1214" s="29"/>
      <c r="AW1214" s="29"/>
      <c r="AX1214" s="29"/>
      <c r="AY1214" s="29"/>
      <c r="AZ1214" s="29"/>
      <c r="BA1214" s="29"/>
      <c r="BB1214" s="29"/>
      <c r="BC1214" s="29"/>
      <c r="BD1214" s="29"/>
      <c r="BE1214" s="29"/>
      <c r="BF1214" s="111"/>
      <c r="BG1214" s="111"/>
      <c r="BH1214" s="111"/>
      <c r="BI1214" s="111"/>
      <c r="BJ1214" s="111"/>
      <c r="BK1214" s="111"/>
      <c r="BL1214" s="111"/>
      <c r="BM1214" s="111"/>
      <c r="BN1214" s="111"/>
      <c r="BO1214" s="111"/>
      <c r="BP1214" s="111"/>
      <c r="BQ1214" s="111"/>
      <c r="BR1214" s="111"/>
      <c r="BS1214" s="111"/>
      <c r="DR1214" s="29"/>
      <c r="DS1214" s="29"/>
      <c r="DT1214" s="29"/>
      <c r="DU1214" s="29"/>
      <c r="DV1214" s="29"/>
      <c r="DW1214" s="29"/>
      <c r="DX1214" s="29"/>
      <c r="DY1214" s="29"/>
      <c r="DZ1214" s="29"/>
      <c r="EA1214" s="29"/>
      <c r="EB1214" s="29"/>
      <c r="EC1214" s="29"/>
      <c r="ED1214" s="29"/>
      <c r="EE1214" s="29"/>
      <c r="EF1214" s="111"/>
      <c r="EG1214" s="111"/>
      <c r="EH1214" s="111"/>
      <c r="EI1214" s="111"/>
      <c r="EJ1214" s="111"/>
      <c r="EK1214" s="111"/>
      <c r="EL1214" s="111"/>
      <c r="EM1214" s="111"/>
      <c r="EN1214" s="111"/>
      <c r="EO1214" s="111"/>
      <c r="EP1214" s="111"/>
      <c r="EQ1214" s="111"/>
      <c r="ER1214" s="111"/>
      <c r="ES1214" s="111"/>
    </row>
    <row r="1215" spans="44:149">
      <c r="AR1215" s="29"/>
      <c r="AS1215" s="29"/>
      <c r="AT1215" s="29"/>
      <c r="AU1215" s="29"/>
      <c r="AV1215" s="29"/>
      <c r="AW1215" s="29"/>
      <c r="AX1215" s="29"/>
      <c r="AY1215" s="29"/>
      <c r="AZ1215" s="29"/>
      <c r="BA1215" s="29"/>
      <c r="BB1215" s="29"/>
      <c r="BC1215" s="29"/>
      <c r="BD1215" s="29"/>
      <c r="BE1215" s="29"/>
      <c r="BF1215" s="111"/>
      <c r="BG1215" s="111"/>
      <c r="BH1215" s="111"/>
      <c r="BI1215" s="111"/>
      <c r="BJ1215" s="111"/>
      <c r="BK1215" s="111"/>
      <c r="BL1215" s="111"/>
      <c r="BM1215" s="111"/>
      <c r="BN1215" s="111"/>
      <c r="BO1215" s="111"/>
      <c r="BP1215" s="111"/>
      <c r="BQ1215" s="111"/>
      <c r="BR1215" s="111"/>
      <c r="BS1215" s="111"/>
      <c r="DR1215" s="29"/>
      <c r="DS1215" s="29"/>
      <c r="DT1215" s="29"/>
      <c r="DU1215" s="29"/>
      <c r="DV1215" s="29"/>
      <c r="DW1215" s="29"/>
      <c r="DX1215" s="29"/>
      <c r="DY1215" s="29"/>
      <c r="DZ1215" s="29"/>
      <c r="EA1215" s="29"/>
      <c r="EB1215" s="29"/>
      <c r="EC1215" s="29"/>
      <c r="ED1215" s="29"/>
      <c r="EE1215" s="29"/>
      <c r="EF1215" s="111"/>
      <c r="EG1215" s="111"/>
      <c r="EH1215" s="111"/>
      <c r="EI1215" s="111"/>
      <c r="EJ1215" s="111"/>
      <c r="EK1215" s="111"/>
      <c r="EL1215" s="111"/>
      <c r="EM1215" s="111"/>
      <c r="EN1215" s="111"/>
      <c r="EO1215" s="111"/>
      <c r="EP1215" s="111"/>
      <c r="EQ1215" s="111"/>
      <c r="ER1215" s="111"/>
      <c r="ES1215" s="111"/>
    </row>
    <row r="1216" spans="44:149">
      <c r="AR1216" s="29"/>
      <c r="AS1216" s="29"/>
      <c r="AT1216" s="29"/>
      <c r="AU1216" s="29"/>
      <c r="AV1216" s="29"/>
      <c r="AW1216" s="29"/>
      <c r="AX1216" s="29"/>
      <c r="AY1216" s="29"/>
      <c r="AZ1216" s="29"/>
      <c r="BA1216" s="29"/>
      <c r="BB1216" s="29"/>
      <c r="BC1216" s="29"/>
      <c r="BD1216" s="29"/>
      <c r="BE1216" s="29"/>
      <c r="BF1216" s="111"/>
      <c r="BG1216" s="111"/>
      <c r="BH1216" s="111"/>
      <c r="BI1216" s="111"/>
      <c r="BJ1216" s="111"/>
      <c r="BK1216" s="111"/>
      <c r="BL1216" s="111"/>
      <c r="BM1216" s="111"/>
      <c r="BN1216" s="111"/>
      <c r="BO1216" s="111"/>
      <c r="BP1216" s="111"/>
      <c r="BQ1216" s="111"/>
      <c r="BR1216" s="111"/>
      <c r="BS1216" s="111"/>
      <c r="DR1216" s="29"/>
      <c r="DS1216" s="29"/>
      <c r="DT1216" s="29"/>
      <c r="DU1216" s="29"/>
      <c r="DV1216" s="29"/>
      <c r="DW1216" s="29"/>
      <c r="DX1216" s="29"/>
      <c r="DY1216" s="29"/>
      <c r="DZ1216" s="29"/>
      <c r="EA1216" s="29"/>
      <c r="EB1216" s="29"/>
      <c r="EC1216" s="29"/>
      <c r="ED1216" s="29"/>
      <c r="EE1216" s="29"/>
      <c r="EF1216" s="111"/>
      <c r="EG1216" s="111"/>
      <c r="EH1216" s="111"/>
      <c r="EI1216" s="111"/>
      <c r="EJ1216" s="111"/>
      <c r="EK1216" s="111"/>
      <c r="EL1216" s="111"/>
      <c r="EM1216" s="111"/>
      <c r="EN1216" s="111"/>
      <c r="EO1216" s="111"/>
      <c r="EP1216" s="111"/>
      <c r="EQ1216" s="111"/>
      <c r="ER1216" s="111"/>
      <c r="ES1216" s="111"/>
    </row>
    <row r="1217" spans="44:149">
      <c r="AR1217" s="29"/>
      <c r="AS1217" s="29"/>
      <c r="AT1217" s="29"/>
      <c r="AU1217" s="29"/>
      <c r="AV1217" s="29"/>
      <c r="AW1217" s="29"/>
      <c r="AX1217" s="29"/>
      <c r="AY1217" s="29"/>
      <c r="AZ1217" s="29"/>
      <c r="BA1217" s="29"/>
      <c r="BB1217" s="29"/>
      <c r="BC1217" s="29"/>
      <c r="BD1217" s="29"/>
      <c r="BE1217" s="29"/>
      <c r="BF1217" s="111"/>
      <c r="BG1217" s="111"/>
      <c r="BH1217" s="111"/>
      <c r="BI1217" s="111"/>
      <c r="BJ1217" s="111"/>
      <c r="BK1217" s="111"/>
      <c r="BL1217" s="111"/>
      <c r="BM1217" s="111"/>
      <c r="BN1217" s="111"/>
      <c r="BO1217" s="111"/>
      <c r="BP1217" s="111"/>
      <c r="BQ1217" s="111"/>
      <c r="BR1217" s="111"/>
      <c r="BS1217" s="111"/>
      <c r="DR1217" s="29"/>
      <c r="DS1217" s="29"/>
      <c r="DT1217" s="29"/>
      <c r="DU1217" s="29"/>
      <c r="DV1217" s="29"/>
      <c r="DW1217" s="29"/>
      <c r="DX1217" s="29"/>
      <c r="DY1217" s="29"/>
      <c r="DZ1217" s="29"/>
      <c r="EA1217" s="29"/>
      <c r="EB1217" s="29"/>
      <c r="EC1217" s="29"/>
      <c r="ED1217" s="29"/>
      <c r="EE1217" s="29"/>
      <c r="EF1217" s="111"/>
      <c r="EG1217" s="111"/>
      <c r="EH1217" s="111"/>
      <c r="EI1217" s="111"/>
      <c r="EJ1217" s="111"/>
      <c r="EK1217" s="111"/>
      <c r="EL1217" s="111"/>
      <c r="EM1217" s="111"/>
      <c r="EN1217" s="111"/>
      <c r="EO1217" s="111"/>
      <c r="EP1217" s="111"/>
      <c r="EQ1217" s="111"/>
      <c r="ER1217" s="111"/>
      <c r="ES1217" s="111"/>
    </row>
    <row r="1218" spans="44:149">
      <c r="AR1218" s="29"/>
      <c r="AS1218" s="29"/>
      <c r="AT1218" s="29"/>
      <c r="AU1218" s="29"/>
      <c r="AV1218" s="29"/>
      <c r="AW1218" s="29"/>
      <c r="AX1218" s="29"/>
      <c r="AY1218" s="29"/>
      <c r="AZ1218" s="29"/>
      <c r="BA1218" s="29"/>
      <c r="BB1218" s="29"/>
      <c r="BC1218" s="29"/>
      <c r="BD1218" s="29"/>
      <c r="BE1218" s="29"/>
      <c r="BF1218" s="111"/>
      <c r="BG1218" s="111"/>
      <c r="BH1218" s="111"/>
      <c r="BI1218" s="111"/>
      <c r="BJ1218" s="111"/>
      <c r="BK1218" s="111"/>
      <c r="BL1218" s="111"/>
      <c r="BM1218" s="111"/>
      <c r="BN1218" s="111"/>
      <c r="BO1218" s="111"/>
      <c r="BP1218" s="111"/>
      <c r="BQ1218" s="111"/>
      <c r="BR1218" s="111"/>
      <c r="BS1218" s="111"/>
      <c r="DR1218" s="29"/>
      <c r="DS1218" s="29"/>
      <c r="DT1218" s="29"/>
      <c r="DU1218" s="29"/>
      <c r="DV1218" s="29"/>
      <c r="DW1218" s="29"/>
      <c r="DX1218" s="29"/>
      <c r="DY1218" s="29"/>
      <c r="DZ1218" s="29"/>
      <c r="EA1218" s="29"/>
      <c r="EB1218" s="29"/>
      <c r="EC1218" s="29"/>
      <c r="ED1218" s="29"/>
      <c r="EE1218" s="29"/>
      <c r="EF1218" s="111"/>
      <c r="EG1218" s="111"/>
      <c r="EH1218" s="111"/>
      <c r="EI1218" s="111"/>
      <c r="EJ1218" s="111"/>
      <c r="EK1218" s="111"/>
      <c r="EL1218" s="111"/>
      <c r="EM1218" s="111"/>
      <c r="EN1218" s="111"/>
      <c r="EO1218" s="111"/>
      <c r="EP1218" s="111"/>
      <c r="EQ1218" s="111"/>
      <c r="ER1218" s="111"/>
      <c r="ES1218" s="111"/>
    </row>
    <row r="1219" spans="44:149">
      <c r="AR1219" s="29"/>
      <c r="AS1219" s="29"/>
      <c r="AT1219" s="29"/>
      <c r="AU1219" s="29"/>
      <c r="AV1219" s="29"/>
      <c r="AW1219" s="29"/>
      <c r="AX1219" s="29"/>
      <c r="AY1219" s="29"/>
      <c r="AZ1219" s="29"/>
      <c r="BA1219" s="29"/>
      <c r="BB1219" s="29"/>
      <c r="BC1219" s="29"/>
      <c r="BD1219" s="29"/>
      <c r="BE1219" s="29"/>
      <c r="BF1219" s="111"/>
      <c r="BG1219" s="111"/>
      <c r="BH1219" s="111"/>
      <c r="BI1219" s="111"/>
      <c r="BJ1219" s="111"/>
      <c r="BK1219" s="111"/>
      <c r="BL1219" s="111"/>
      <c r="BM1219" s="111"/>
      <c r="BN1219" s="111"/>
      <c r="BO1219" s="111"/>
      <c r="BP1219" s="111"/>
      <c r="BQ1219" s="111"/>
      <c r="BR1219" s="111"/>
      <c r="BS1219" s="111"/>
      <c r="DR1219" s="29"/>
      <c r="DS1219" s="29"/>
      <c r="DT1219" s="29"/>
      <c r="DU1219" s="29"/>
      <c r="DV1219" s="29"/>
      <c r="DW1219" s="29"/>
      <c r="DX1219" s="29"/>
      <c r="DY1219" s="29"/>
      <c r="DZ1219" s="29"/>
      <c r="EA1219" s="29"/>
      <c r="EB1219" s="29"/>
      <c r="EC1219" s="29"/>
      <c r="ED1219" s="29"/>
      <c r="EE1219" s="29"/>
      <c r="EF1219" s="111"/>
      <c r="EG1219" s="111"/>
      <c r="EH1219" s="111"/>
      <c r="EI1219" s="111"/>
      <c r="EJ1219" s="111"/>
      <c r="EK1219" s="111"/>
      <c r="EL1219" s="111"/>
      <c r="EM1219" s="111"/>
      <c r="EN1219" s="111"/>
      <c r="EO1219" s="111"/>
      <c r="EP1219" s="111"/>
      <c r="EQ1219" s="111"/>
      <c r="ER1219" s="111"/>
      <c r="ES1219" s="111"/>
    </row>
    <row r="1220" spans="44:149">
      <c r="AR1220" s="29"/>
      <c r="AS1220" s="29"/>
      <c r="AT1220" s="29"/>
      <c r="AU1220" s="29"/>
      <c r="AV1220" s="29"/>
      <c r="AW1220" s="29"/>
      <c r="AX1220" s="29"/>
      <c r="AY1220" s="29"/>
      <c r="AZ1220" s="29"/>
      <c r="BA1220" s="29"/>
      <c r="BB1220" s="29"/>
      <c r="BC1220" s="29"/>
      <c r="BD1220" s="29"/>
      <c r="BE1220" s="29"/>
      <c r="BF1220" s="111"/>
      <c r="BG1220" s="111"/>
      <c r="BH1220" s="111"/>
      <c r="BI1220" s="111"/>
      <c r="BJ1220" s="111"/>
      <c r="BK1220" s="111"/>
      <c r="BL1220" s="111"/>
      <c r="BM1220" s="111"/>
      <c r="BN1220" s="111"/>
      <c r="BO1220" s="111"/>
      <c r="BP1220" s="111"/>
      <c r="BQ1220" s="111"/>
      <c r="BR1220" s="111"/>
      <c r="BS1220" s="111"/>
      <c r="DR1220" s="29"/>
      <c r="DS1220" s="29"/>
      <c r="DT1220" s="29"/>
      <c r="DU1220" s="29"/>
      <c r="DV1220" s="29"/>
      <c r="DW1220" s="29"/>
      <c r="DX1220" s="29"/>
      <c r="DY1220" s="29"/>
      <c r="DZ1220" s="29"/>
      <c r="EA1220" s="29"/>
      <c r="EB1220" s="29"/>
      <c r="EC1220" s="29"/>
      <c r="ED1220" s="29"/>
      <c r="EE1220" s="29"/>
      <c r="EF1220" s="111"/>
      <c r="EG1220" s="111"/>
      <c r="EH1220" s="111"/>
      <c r="EI1220" s="111"/>
      <c r="EJ1220" s="111"/>
      <c r="EK1220" s="111"/>
      <c r="EL1220" s="111"/>
      <c r="EM1220" s="111"/>
      <c r="EN1220" s="111"/>
      <c r="EO1220" s="111"/>
      <c r="EP1220" s="111"/>
      <c r="EQ1220" s="111"/>
      <c r="ER1220" s="111"/>
      <c r="ES1220" s="111"/>
    </row>
    <row r="1221" spans="44:149">
      <c r="AR1221" s="29"/>
      <c r="AS1221" s="29"/>
      <c r="AT1221" s="29"/>
      <c r="AU1221" s="29"/>
      <c r="AV1221" s="29"/>
      <c r="AW1221" s="29"/>
      <c r="AX1221" s="29"/>
      <c r="AY1221" s="29"/>
      <c r="AZ1221" s="29"/>
      <c r="BA1221" s="29"/>
      <c r="BB1221" s="29"/>
      <c r="BC1221" s="29"/>
      <c r="BD1221" s="29"/>
      <c r="BE1221" s="29"/>
      <c r="BF1221" s="111"/>
      <c r="BG1221" s="111"/>
      <c r="BH1221" s="111"/>
      <c r="BI1221" s="111"/>
      <c r="BJ1221" s="111"/>
      <c r="BK1221" s="111"/>
      <c r="BL1221" s="111"/>
      <c r="BM1221" s="111"/>
      <c r="BN1221" s="111"/>
      <c r="BO1221" s="111"/>
      <c r="BP1221" s="111"/>
      <c r="BQ1221" s="111"/>
      <c r="BR1221" s="111"/>
      <c r="BS1221" s="111"/>
      <c r="DR1221" s="29"/>
      <c r="DS1221" s="29"/>
      <c r="DT1221" s="29"/>
      <c r="DU1221" s="29"/>
      <c r="DV1221" s="29"/>
      <c r="DW1221" s="29"/>
      <c r="DX1221" s="29"/>
      <c r="DY1221" s="29"/>
      <c r="DZ1221" s="29"/>
      <c r="EA1221" s="29"/>
      <c r="EB1221" s="29"/>
      <c r="EC1221" s="29"/>
      <c r="ED1221" s="29"/>
      <c r="EE1221" s="29"/>
      <c r="EF1221" s="111"/>
      <c r="EG1221" s="111"/>
      <c r="EH1221" s="111"/>
      <c r="EI1221" s="111"/>
      <c r="EJ1221" s="111"/>
      <c r="EK1221" s="111"/>
      <c r="EL1221" s="111"/>
      <c r="EM1221" s="111"/>
      <c r="EN1221" s="111"/>
      <c r="EO1221" s="111"/>
      <c r="EP1221" s="111"/>
      <c r="EQ1221" s="111"/>
      <c r="ER1221" s="111"/>
      <c r="ES1221" s="111"/>
    </row>
    <row r="1222" spans="44:149">
      <c r="AR1222" s="29"/>
      <c r="AS1222" s="29"/>
      <c r="AT1222" s="29"/>
      <c r="AU1222" s="29"/>
      <c r="AV1222" s="29"/>
      <c r="AW1222" s="29"/>
      <c r="AX1222" s="29"/>
      <c r="AY1222" s="29"/>
      <c r="AZ1222" s="29"/>
      <c r="BA1222" s="29"/>
      <c r="BB1222" s="29"/>
      <c r="BC1222" s="29"/>
      <c r="BD1222" s="29"/>
      <c r="BE1222" s="29"/>
      <c r="BF1222" s="111"/>
      <c r="BG1222" s="111"/>
      <c r="BH1222" s="111"/>
      <c r="BI1222" s="111"/>
      <c r="BJ1222" s="111"/>
      <c r="BK1222" s="111"/>
      <c r="BL1222" s="111"/>
      <c r="BM1222" s="111"/>
      <c r="BN1222" s="111"/>
      <c r="BO1222" s="111"/>
      <c r="BP1222" s="111"/>
      <c r="BQ1222" s="111"/>
      <c r="BR1222" s="111"/>
      <c r="BS1222" s="111"/>
      <c r="DR1222" s="29"/>
      <c r="DS1222" s="29"/>
      <c r="DT1222" s="29"/>
      <c r="DU1222" s="29"/>
      <c r="DV1222" s="29"/>
      <c r="DW1222" s="29"/>
      <c r="DX1222" s="29"/>
      <c r="DY1222" s="29"/>
      <c r="DZ1222" s="29"/>
      <c r="EA1222" s="29"/>
      <c r="EB1222" s="29"/>
      <c r="EC1222" s="29"/>
      <c r="ED1222" s="29"/>
      <c r="EE1222" s="29"/>
      <c r="EF1222" s="111"/>
      <c r="EG1222" s="111"/>
      <c r="EH1222" s="111"/>
      <c r="EI1222" s="111"/>
      <c r="EJ1222" s="111"/>
      <c r="EK1222" s="111"/>
      <c r="EL1222" s="111"/>
      <c r="EM1222" s="111"/>
      <c r="EN1222" s="111"/>
      <c r="EO1222" s="111"/>
      <c r="EP1222" s="111"/>
      <c r="EQ1222" s="111"/>
      <c r="ER1222" s="111"/>
      <c r="ES1222" s="111"/>
    </row>
    <row r="1223" spans="44:149">
      <c r="AR1223" s="29"/>
      <c r="AS1223" s="29"/>
      <c r="AT1223" s="29"/>
      <c r="AU1223" s="29"/>
      <c r="AV1223" s="29"/>
      <c r="AW1223" s="29"/>
      <c r="AX1223" s="29"/>
      <c r="AY1223" s="29"/>
      <c r="AZ1223" s="29"/>
      <c r="BA1223" s="29"/>
      <c r="BB1223" s="29"/>
      <c r="BC1223" s="29"/>
      <c r="BD1223" s="29"/>
      <c r="BE1223" s="29"/>
      <c r="BF1223" s="111"/>
      <c r="BG1223" s="111"/>
      <c r="BH1223" s="111"/>
      <c r="BI1223" s="111"/>
      <c r="BJ1223" s="111"/>
      <c r="BK1223" s="111"/>
      <c r="BL1223" s="111"/>
      <c r="BM1223" s="111"/>
      <c r="BN1223" s="111"/>
      <c r="BO1223" s="111"/>
      <c r="BP1223" s="111"/>
      <c r="BQ1223" s="111"/>
      <c r="BR1223" s="111"/>
      <c r="BS1223" s="111"/>
      <c r="DR1223" s="29"/>
      <c r="DS1223" s="29"/>
      <c r="DT1223" s="29"/>
      <c r="DU1223" s="29"/>
      <c r="DV1223" s="29"/>
      <c r="DW1223" s="29"/>
      <c r="DX1223" s="29"/>
      <c r="DY1223" s="29"/>
      <c r="DZ1223" s="29"/>
      <c r="EA1223" s="29"/>
      <c r="EB1223" s="29"/>
      <c r="EC1223" s="29"/>
      <c r="ED1223" s="29"/>
      <c r="EE1223" s="29"/>
      <c r="EF1223" s="111"/>
      <c r="EG1223" s="111"/>
      <c r="EH1223" s="111"/>
      <c r="EI1223" s="111"/>
      <c r="EJ1223" s="111"/>
      <c r="EK1223" s="111"/>
      <c r="EL1223" s="111"/>
      <c r="EM1223" s="111"/>
      <c r="EN1223" s="111"/>
      <c r="EO1223" s="111"/>
      <c r="EP1223" s="111"/>
      <c r="EQ1223" s="111"/>
      <c r="ER1223" s="111"/>
      <c r="ES1223" s="111"/>
    </row>
    <row r="1224" spans="44:149">
      <c r="AR1224" s="29"/>
      <c r="AS1224" s="29"/>
      <c r="AT1224" s="29"/>
      <c r="AU1224" s="29"/>
      <c r="AV1224" s="29"/>
      <c r="AW1224" s="29"/>
      <c r="AX1224" s="29"/>
      <c r="AY1224" s="29"/>
      <c r="AZ1224" s="29"/>
      <c r="BA1224" s="29"/>
      <c r="BB1224" s="29"/>
      <c r="BC1224" s="29"/>
      <c r="BD1224" s="29"/>
      <c r="BE1224" s="29"/>
      <c r="BF1224" s="111"/>
      <c r="BG1224" s="111"/>
      <c r="BH1224" s="111"/>
      <c r="BI1224" s="111"/>
      <c r="BJ1224" s="111"/>
      <c r="BK1224" s="111"/>
      <c r="BL1224" s="111"/>
      <c r="BM1224" s="111"/>
      <c r="BN1224" s="111"/>
      <c r="BO1224" s="111"/>
      <c r="BP1224" s="111"/>
      <c r="BQ1224" s="111"/>
      <c r="BR1224" s="111"/>
      <c r="BS1224" s="111"/>
      <c r="DR1224" s="29"/>
      <c r="DS1224" s="29"/>
      <c r="DT1224" s="29"/>
      <c r="DU1224" s="29"/>
      <c r="DV1224" s="29"/>
      <c r="DW1224" s="29"/>
      <c r="DX1224" s="29"/>
      <c r="DY1224" s="29"/>
      <c r="DZ1224" s="29"/>
      <c r="EA1224" s="29"/>
      <c r="EB1224" s="29"/>
      <c r="EC1224" s="29"/>
      <c r="ED1224" s="29"/>
      <c r="EE1224" s="29"/>
      <c r="EF1224" s="111"/>
      <c r="EG1224" s="111"/>
      <c r="EH1224" s="111"/>
      <c r="EI1224" s="111"/>
      <c r="EJ1224" s="111"/>
      <c r="EK1224" s="111"/>
      <c r="EL1224" s="111"/>
      <c r="EM1224" s="111"/>
      <c r="EN1224" s="111"/>
      <c r="EO1224" s="111"/>
      <c r="EP1224" s="111"/>
      <c r="EQ1224" s="111"/>
      <c r="ER1224" s="111"/>
      <c r="ES1224" s="111"/>
    </row>
    <row r="1225" spans="44:149">
      <c r="AR1225" s="29"/>
      <c r="AS1225" s="29"/>
      <c r="AT1225" s="29"/>
      <c r="AU1225" s="29"/>
      <c r="AV1225" s="29"/>
      <c r="AW1225" s="29"/>
      <c r="AX1225" s="29"/>
      <c r="AY1225" s="29"/>
      <c r="AZ1225" s="29"/>
      <c r="BA1225" s="29"/>
      <c r="BB1225" s="29"/>
      <c r="BC1225" s="29"/>
      <c r="BD1225" s="29"/>
      <c r="BE1225" s="29"/>
      <c r="BF1225" s="111"/>
      <c r="BG1225" s="111"/>
      <c r="BH1225" s="111"/>
      <c r="BI1225" s="111"/>
      <c r="BJ1225" s="111"/>
      <c r="BK1225" s="111"/>
      <c r="BL1225" s="111"/>
      <c r="BM1225" s="111"/>
      <c r="BN1225" s="111"/>
      <c r="BO1225" s="111"/>
      <c r="BP1225" s="111"/>
      <c r="BQ1225" s="111"/>
      <c r="BR1225" s="111"/>
      <c r="BS1225" s="111"/>
      <c r="DR1225" s="29"/>
      <c r="DS1225" s="29"/>
      <c r="DT1225" s="29"/>
      <c r="DU1225" s="29"/>
      <c r="DV1225" s="29"/>
      <c r="DW1225" s="29"/>
      <c r="DX1225" s="29"/>
      <c r="DY1225" s="29"/>
      <c r="DZ1225" s="29"/>
      <c r="EA1225" s="29"/>
      <c r="EB1225" s="29"/>
      <c r="EC1225" s="29"/>
      <c r="ED1225" s="29"/>
      <c r="EE1225" s="29"/>
      <c r="EF1225" s="111"/>
      <c r="EG1225" s="111"/>
      <c r="EH1225" s="111"/>
      <c r="EI1225" s="111"/>
      <c r="EJ1225" s="111"/>
      <c r="EK1225" s="111"/>
      <c r="EL1225" s="111"/>
      <c r="EM1225" s="111"/>
      <c r="EN1225" s="111"/>
      <c r="EO1225" s="111"/>
      <c r="EP1225" s="111"/>
      <c r="EQ1225" s="111"/>
      <c r="ER1225" s="111"/>
      <c r="ES1225" s="111"/>
    </row>
    <row r="1226" spans="44:149">
      <c r="AR1226" s="29"/>
      <c r="AS1226" s="29"/>
      <c r="AT1226" s="29"/>
      <c r="AU1226" s="29"/>
      <c r="AV1226" s="29"/>
      <c r="AW1226" s="29"/>
      <c r="AX1226" s="29"/>
      <c r="AY1226" s="29"/>
      <c r="AZ1226" s="29"/>
      <c r="BA1226" s="29"/>
      <c r="BB1226" s="29"/>
      <c r="BC1226" s="29"/>
      <c r="BD1226" s="29"/>
      <c r="BE1226" s="29"/>
      <c r="BF1226" s="111"/>
      <c r="BG1226" s="111"/>
      <c r="BH1226" s="111"/>
      <c r="BI1226" s="111"/>
      <c r="BJ1226" s="111"/>
      <c r="BK1226" s="111"/>
      <c r="BL1226" s="111"/>
      <c r="BM1226" s="111"/>
      <c r="BN1226" s="111"/>
      <c r="BO1226" s="111"/>
      <c r="BP1226" s="111"/>
      <c r="BQ1226" s="111"/>
      <c r="BR1226" s="111"/>
      <c r="BS1226" s="111"/>
      <c r="DR1226" s="29"/>
      <c r="DS1226" s="29"/>
      <c r="DT1226" s="29"/>
      <c r="DU1226" s="29"/>
      <c r="DV1226" s="29"/>
      <c r="DW1226" s="29"/>
      <c r="DX1226" s="29"/>
      <c r="DY1226" s="29"/>
      <c r="DZ1226" s="29"/>
      <c r="EA1226" s="29"/>
      <c r="EB1226" s="29"/>
      <c r="EC1226" s="29"/>
      <c r="ED1226" s="29"/>
      <c r="EE1226" s="29"/>
      <c r="EF1226" s="111"/>
      <c r="EG1226" s="111"/>
      <c r="EH1226" s="111"/>
      <c r="EI1226" s="111"/>
      <c r="EJ1226" s="111"/>
      <c r="EK1226" s="111"/>
      <c r="EL1226" s="111"/>
      <c r="EM1226" s="111"/>
      <c r="EN1226" s="111"/>
      <c r="EO1226" s="111"/>
      <c r="EP1226" s="111"/>
      <c r="EQ1226" s="111"/>
      <c r="ER1226" s="111"/>
      <c r="ES1226" s="111"/>
    </row>
    <row r="1227" spans="44:149">
      <c r="AR1227" s="29"/>
      <c r="AS1227" s="29"/>
      <c r="AT1227" s="29"/>
      <c r="AU1227" s="29"/>
      <c r="AV1227" s="29"/>
      <c r="AW1227" s="29"/>
      <c r="AX1227" s="29"/>
      <c r="AY1227" s="29"/>
      <c r="AZ1227" s="29"/>
      <c r="BA1227" s="29"/>
      <c r="BB1227" s="29"/>
      <c r="BC1227" s="29"/>
      <c r="BD1227" s="29"/>
      <c r="BE1227" s="29"/>
      <c r="BF1227" s="111"/>
      <c r="BG1227" s="111"/>
      <c r="BH1227" s="111"/>
      <c r="BI1227" s="111"/>
      <c r="BJ1227" s="111"/>
      <c r="BK1227" s="111"/>
      <c r="BL1227" s="111"/>
      <c r="BM1227" s="111"/>
      <c r="BN1227" s="111"/>
      <c r="BO1227" s="111"/>
      <c r="BP1227" s="111"/>
      <c r="BQ1227" s="111"/>
      <c r="BR1227" s="111"/>
      <c r="BS1227" s="111"/>
      <c r="DR1227" s="29"/>
      <c r="DS1227" s="29"/>
      <c r="DT1227" s="29"/>
      <c r="DU1227" s="29"/>
      <c r="DV1227" s="29"/>
      <c r="DW1227" s="29"/>
      <c r="DX1227" s="29"/>
      <c r="DY1227" s="29"/>
      <c r="DZ1227" s="29"/>
      <c r="EA1227" s="29"/>
      <c r="EB1227" s="29"/>
      <c r="EC1227" s="29"/>
      <c r="ED1227" s="29"/>
      <c r="EE1227" s="29"/>
      <c r="EF1227" s="111"/>
      <c r="EG1227" s="111"/>
      <c r="EH1227" s="111"/>
      <c r="EI1227" s="111"/>
      <c r="EJ1227" s="111"/>
      <c r="EK1227" s="111"/>
      <c r="EL1227" s="111"/>
      <c r="EM1227" s="111"/>
      <c r="EN1227" s="111"/>
      <c r="EO1227" s="111"/>
      <c r="EP1227" s="111"/>
      <c r="EQ1227" s="111"/>
      <c r="ER1227" s="111"/>
      <c r="ES1227" s="111"/>
    </row>
    <row r="1228" spans="44:149">
      <c r="AR1228" s="29"/>
      <c r="AS1228" s="29"/>
      <c r="AT1228" s="29"/>
      <c r="AU1228" s="29"/>
      <c r="AV1228" s="29"/>
      <c r="AW1228" s="29"/>
      <c r="AX1228" s="29"/>
      <c r="AY1228" s="29"/>
      <c r="AZ1228" s="29"/>
      <c r="BA1228" s="29"/>
      <c r="BB1228" s="29"/>
      <c r="BC1228" s="29"/>
      <c r="BD1228" s="29"/>
      <c r="BE1228" s="29"/>
      <c r="BF1228" s="111"/>
      <c r="BG1228" s="111"/>
      <c r="BH1228" s="111"/>
      <c r="BI1228" s="111"/>
      <c r="BJ1228" s="111"/>
      <c r="BK1228" s="111"/>
      <c r="BL1228" s="111"/>
      <c r="BM1228" s="111"/>
      <c r="BN1228" s="111"/>
      <c r="BO1228" s="111"/>
      <c r="BP1228" s="111"/>
      <c r="BQ1228" s="111"/>
      <c r="BR1228" s="111"/>
      <c r="BS1228" s="111"/>
      <c r="DR1228" s="29"/>
      <c r="DS1228" s="29"/>
      <c r="DT1228" s="29"/>
      <c r="DU1228" s="29"/>
      <c r="DV1228" s="29"/>
      <c r="DW1228" s="29"/>
      <c r="DX1228" s="29"/>
      <c r="DY1228" s="29"/>
      <c r="DZ1228" s="29"/>
      <c r="EA1228" s="29"/>
      <c r="EB1228" s="29"/>
      <c r="EC1228" s="29"/>
      <c r="ED1228" s="29"/>
      <c r="EE1228" s="29"/>
      <c r="EF1228" s="111"/>
      <c r="EG1228" s="111"/>
      <c r="EH1228" s="111"/>
      <c r="EI1228" s="111"/>
      <c r="EJ1228" s="111"/>
      <c r="EK1228" s="111"/>
      <c r="EL1228" s="111"/>
      <c r="EM1228" s="111"/>
      <c r="EN1228" s="111"/>
      <c r="EO1228" s="111"/>
      <c r="EP1228" s="111"/>
      <c r="EQ1228" s="111"/>
      <c r="ER1228" s="111"/>
      <c r="ES1228" s="111"/>
    </row>
    <row r="1229" spans="44:149">
      <c r="AR1229" s="29"/>
      <c r="AS1229" s="29"/>
      <c r="AT1229" s="29"/>
      <c r="AU1229" s="29"/>
      <c r="AV1229" s="29"/>
      <c r="AW1229" s="29"/>
      <c r="AX1229" s="29"/>
      <c r="AY1229" s="29"/>
      <c r="AZ1229" s="29"/>
      <c r="BA1229" s="29"/>
      <c r="BB1229" s="29"/>
      <c r="BC1229" s="29"/>
      <c r="BD1229" s="29"/>
      <c r="BE1229" s="29"/>
      <c r="BF1229" s="111"/>
      <c r="BG1229" s="111"/>
      <c r="BH1229" s="111"/>
      <c r="BI1229" s="111"/>
      <c r="BJ1229" s="111"/>
      <c r="BK1229" s="111"/>
      <c r="BL1229" s="111"/>
      <c r="BM1229" s="111"/>
      <c r="BN1229" s="111"/>
      <c r="BO1229" s="111"/>
      <c r="BP1229" s="111"/>
      <c r="BQ1229" s="111"/>
      <c r="BR1229" s="111"/>
      <c r="BS1229" s="111"/>
      <c r="DR1229" s="29"/>
      <c r="DS1229" s="29"/>
      <c r="DT1229" s="29"/>
      <c r="DU1229" s="29"/>
      <c r="DV1229" s="29"/>
      <c r="DW1229" s="29"/>
      <c r="DX1229" s="29"/>
      <c r="DY1229" s="29"/>
      <c r="DZ1229" s="29"/>
      <c r="EA1229" s="29"/>
      <c r="EB1229" s="29"/>
      <c r="EC1229" s="29"/>
      <c r="ED1229" s="29"/>
      <c r="EE1229" s="29"/>
      <c r="EF1229" s="111"/>
      <c r="EG1229" s="111"/>
      <c r="EH1229" s="111"/>
      <c r="EI1229" s="111"/>
      <c r="EJ1229" s="111"/>
      <c r="EK1229" s="111"/>
      <c r="EL1229" s="111"/>
      <c r="EM1229" s="111"/>
      <c r="EN1229" s="111"/>
      <c r="EO1229" s="111"/>
      <c r="EP1229" s="111"/>
      <c r="EQ1229" s="111"/>
      <c r="ER1229" s="111"/>
      <c r="ES1229" s="111"/>
    </row>
    <row r="1230" spans="44:149">
      <c r="AR1230" s="29"/>
      <c r="AS1230" s="29"/>
      <c r="AT1230" s="29"/>
      <c r="AU1230" s="29"/>
      <c r="AV1230" s="29"/>
      <c r="AW1230" s="29"/>
      <c r="AX1230" s="29"/>
      <c r="AY1230" s="29"/>
      <c r="AZ1230" s="29"/>
      <c r="BA1230" s="29"/>
      <c r="BB1230" s="29"/>
      <c r="BC1230" s="29"/>
      <c r="BD1230" s="29"/>
      <c r="BE1230" s="29"/>
      <c r="BF1230" s="111"/>
      <c r="BG1230" s="111"/>
      <c r="BH1230" s="111"/>
      <c r="BI1230" s="111"/>
      <c r="BJ1230" s="111"/>
      <c r="BK1230" s="111"/>
      <c r="BL1230" s="111"/>
      <c r="BM1230" s="111"/>
      <c r="BN1230" s="111"/>
      <c r="BO1230" s="111"/>
      <c r="BP1230" s="111"/>
      <c r="BQ1230" s="111"/>
      <c r="BR1230" s="111"/>
      <c r="BS1230" s="111"/>
      <c r="DR1230" s="29"/>
      <c r="DS1230" s="29"/>
      <c r="DT1230" s="29"/>
      <c r="DU1230" s="29"/>
      <c r="DV1230" s="29"/>
      <c r="DW1230" s="29"/>
      <c r="DX1230" s="29"/>
      <c r="DY1230" s="29"/>
      <c r="DZ1230" s="29"/>
      <c r="EA1230" s="29"/>
      <c r="EB1230" s="29"/>
      <c r="EC1230" s="29"/>
      <c r="ED1230" s="29"/>
      <c r="EE1230" s="29"/>
      <c r="EF1230" s="111"/>
      <c r="EG1230" s="111"/>
      <c r="EH1230" s="111"/>
      <c r="EI1230" s="111"/>
      <c r="EJ1230" s="111"/>
      <c r="EK1230" s="111"/>
      <c r="EL1230" s="111"/>
      <c r="EM1230" s="111"/>
      <c r="EN1230" s="111"/>
      <c r="EO1230" s="111"/>
      <c r="EP1230" s="111"/>
      <c r="EQ1230" s="111"/>
      <c r="ER1230" s="111"/>
      <c r="ES1230" s="111"/>
    </row>
    <row r="1231" spans="44:149">
      <c r="AR1231" s="29"/>
      <c r="AS1231" s="29"/>
      <c r="AT1231" s="29"/>
      <c r="AU1231" s="29"/>
      <c r="AV1231" s="29"/>
      <c r="AW1231" s="29"/>
      <c r="AX1231" s="29"/>
      <c r="AY1231" s="29"/>
      <c r="AZ1231" s="29"/>
      <c r="BA1231" s="29"/>
      <c r="BB1231" s="29"/>
      <c r="BC1231" s="29"/>
      <c r="BD1231" s="29"/>
      <c r="BE1231" s="29"/>
      <c r="BF1231" s="111"/>
      <c r="BG1231" s="111"/>
      <c r="BH1231" s="111"/>
      <c r="BI1231" s="111"/>
      <c r="BJ1231" s="111"/>
      <c r="BK1231" s="111"/>
      <c r="BL1231" s="111"/>
      <c r="BM1231" s="111"/>
      <c r="BN1231" s="111"/>
      <c r="BO1231" s="111"/>
      <c r="BP1231" s="111"/>
      <c r="BQ1231" s="111"/>
      <c r="BR1231" s="111"/>
      <c r="BS1231" s="111"/>
      <c r="DR1231" s="29"/>
      <c r="DS1231" s="29"/>
      <c r="DT1231" s="29"/>
      <c r="DU1231" s="29"/>
      <c r="DV1231" s="29"/>
      <c r="DW1231" s="29"/>
      <c r="DX1231" s="29"/>
      <c r="DY1231" s="29"/>
      <c r="DZ1231" s="29"/>
      <c r="EA1231" s="29"/>
      <c r="EB1231" s="29"/>
      <c r="EC1231" s="29"/>
      <c r="ED1231" s="29"/>
      <c r="EE1231" s="29"/>
      <c r="EF1231" s="111"/>
      <c r="EG1231" s="111"/>
      <c r="EH1231" s="111"/>
      <c r="EI1231" s="111"/>
      <c r="EJ1231" s="111"/>
      <c r="EK1231" s="111"/>
      <c r="EL1231" s="111"/>
      <c r="EM1231" s="111"/>
      <c r="EN1231" s="111"/>
      <c r="EO1231" s="111"/>
      <c r="EP1231" s="111"/>
      <c r="EQ1231" s="111"/>
      <c r="ER1231" s="111"/>
      <c r="ES1231" s="111"/>
    </row>
    <row r="1232" spans="44:149">
      <c r="AR1232" s="29"/>
      <c r="AS1232" s="29"/>
      <c r="AT1232" s="29"/>
      <c r="AU1232" s="29"/>
      <c r="AV1232" s="29"/>
      <c r="AW1232" s="29"/>
      <c r="AX1232" s="29"/>
      <c r="AY1232" s="29"/>
      <c r="AZ1232" s="29"/>
      <c r="BA1232" s="29"/>
      <c r="BB1232" s="29"/>
      <c r="BC1232" s="29"/>
      <c r="BD1232" s="29"/>
      <c r="BE1232" s="29"/>
      <c r="BF1232" s="111"/>
      <c r="BG1232" s="111"/>
      <c r="BH1232" s="111"/>
      <c r="BI1232" s="111"/>
      <c r="BJ1232" s="111"/>
      <c r="BK1232" s="111"/>
      <c r="BL1232" s="111"/>
      <c r="BM1232" s="111"/>
      <c r="BN1232" s="111"/>
      <c r="BO1232" s="111"/>
      <c r="BP1232" s="111"/>
      <c r="BQ1232" s="111"/>
      <c r="BR1232" s="111"/>
      <c r="BS1232" s="111"/>
      <c r="DR1232" s="29"/>
      <c r="DS1232" s="29"/>
      <c r="DT1232" s="29"/>
      <c r="DU1232" s="29"/>
      <c r="DV1232" s="29"/>
      <c r="DW1232" s="29"/>
      <c r="DX1232" s="29"/>
      <c r="DY1232" s="29"/>
      <c r="DZ1232" s="29"/>
      <c r="EA1232" s="29"/>
      <c r="EB1232" s="29"/>
      <c r="EC1232" s="29"/>
      <c r="ED1232" s="29"/>
      <c r="EE1232" s="29"/>
      <c r="EF1232" s="111"/>
      <c r="EG1232" s="111"/>
      <c r="EH1232" s="111"/>
      <c r="EI1232" s="111"/>
      <c r="EJ1232" s="111"/>
      <c r="EK1232" s="111"/>
      <c r="EL1232" s="111"/>
      <c r="EM1232" s="111"/>
      <c r="EN1232" s="111"/>
      <c r="EO1232" s="111"/>
      <c r="EP1232" s="111"/>
      <c r="EQ1232" s="111"/>
      <c r="ER1232" s="111"/>
      <c r="ES1232" s="111"/>
    </row>
    <row r="1233" spans="44:149">
      <c r="AR1233" s="29"/>
      <c r="AS1233" s="29"/>
      <c r="AT1233" s="29"/>
      <c r="AU1233" s="29"/>
      <c r="AV1233" s="29"/>
      <c r="AW1233" s="29"/>
      <c r="AX1233" s="29"/>
      <c r="AY1233" s="29"/>
      <c r="AZ1233" s="29"/>
      <c r="BA1233" s="29"/>
      <c r="BB1233" s="29"/>
      <c r="BC1233" s="29"/>
      <c r="BD1233" s="29"/>
      <c r="BE1233" s="29"/>
      <c r="BF1233" s="111"/>
      <c r="BG1233" s="111"/>
      <c r="BH1233" s="111"/>
      <c r="BI1233" s="111"/>
      <c r="BJ1233" s="111"/>
      <c r="BK1233" s="111"/>
      <c r="BL1233" s="111"/>
      <c r="BM1233" s="111"/>
      <c r="BN1233" s="111"/>
      <c r="BO1233" s="111"/>
      <c r="BP1233" s="111"/>
      <c r="BQ1233" s="111"/>
      <c r="BR1233" s="111"/>
      <c r="BS1233" s="111"/>
      <c r="DR1233" s="29"/>
      <c r="DS1233" s="29"/>
      <c r="DT1233" s="29"/>
      <c r="DU1233" s="29"/>
      <c r="DV1233" s="29"/>
      <c r="DW1233" s="29"/>
      <c r="DX1233" s="29"/>
      <c r="DY1233" s="29"/>
      <c r="DZ1233" s="29"/>
      <c r="EA1233" s="29"/>
      <c r="EB1233" s="29"/>
      <c r="EC1233" s="29"/>
      <c r="ED1233" s="29"/>
      <c r="EE1233" s="29"/>
      <c r="EF1233" s="111"/>
      <c r="EG1233" s="111"/>
      <c r="EH1233" s="111"/>
      <c r="EI1233" s="111"/>
      <c r="EJ1233" s="111"/>
      <c r="EK1233" s="111"/>
      <c r="EL1233" s="111"/>
      <c r="EM1233" s="111"/>
      <c r="EN1233" s="111"/>
      <c r="EO1233" s="111"/>
      <c r="EP1233" s="111"/>
      <c r="EQ1233" s="111"/>
      <c r="ER1233" s="111"/>
      <c r="ES1233" s="111"/>
    </row>
    <row r="1234" spans="44:149">
      <c r="AR1234" s="29"/>
      <c r="AS1234" s="29"/>
      <c r="AT1234" s="29"/>
      <c r="AU1234" s="29"/>
      <c r="AV1234" s="29"/>
      <c r="AW1234" s="29"/>
      <c r="AX1234" s="29"/>
      <c r="AY1234" s="29"/>
      <c r="AZ1234" s="29"/>
      <c r="BA1234" s="29"/>
      <c r="BB1234" s="29"/>
      <c r="BC1234" s="29"/>
      <c r="BD1234" s="29"/>
      <c r="BE1234" s="29"/>
      <c r="BF1234" s="111"/>
      <c r="BG1234" s="111"/>
      <c r="BH1234" s="111"/>
      <c r="BI1234" s="111"/>
      <c r="BJ1234" s="111"/>
      <c r="BK1234" s="111"/>
      <c r="BL1234" s="111"/>
      <c r="BM1234" s="111"/>
      <c r="BN1234" s="111"/>
      <c r="BO1234" s="111"/>
      <c r="BP1234" s="111"/>
      <c r="BQ1234" s="111"/>
      <c r="BR1234" s="111"/>
      <c r="BS1234" s="111"/>
      <c r="DR1234" s="29"/>
      <c r="DS1234" s="29"/>
      <c r="DT1234" s="29"/>
      <c r="DU1234" s="29"/>
      <c r="DV1234" s="29"/>
      <c r="DW1234" s="29"/>
      <c r="DX1234" s="29"/>
      <c r="DY1234" s="29"/>
      <c r="DZ1234" s="29"/>
      <c r="EA1234" s="29"/>
      <c r="EB1234" s="29"/>
      <c r="EC1234" s="29"/>
      <c r="ED1234" s="29"/>
      <c r="EE1234" s="29"/>
      <c r="EF1234" s="111"/>
      <c r="EG1234" s="111"/>
      <c r="EH1234" s="111"/>
      <c r="EI1234" s="111"/>
      <c r="EJ1234" s="111"/>
      <c r="EK1234" s="111"/>
      <c r="EL1234" s="111"/>
      <c r="EM1234" s="111"/>
      <c r="EN1234" s="111"/>
      <c r="EO1234" s="111"/>
      <c r="EP1234" s="111"/>
      <c r="EQ1234" s="111"/>
      <c r="ER1234" s="111"/>
      <c r="ES1234" s="111"/>
    </row>
    <row r="1235" spans="44:149">
      <c r="AR1235" s="29"/>
      <c r="AS1235" s="29"/>
      <c r="AT1235" s="29"/>
      <c r="AU1235" s="29"/>
      <c r="AV1235" s="29"/>
      <c r="AW1235" s="29"/>
      <c r="AX1235" s="29"/>
      <c r="AY1235" s="29"/>
      <c r="AZ1235" s="29"/>
      <c r="BA1235" s="29"/>
      <c r="BB1235" s="29"/>
      <c r="BC1235" s="29"/>
      <c r="BD1235" s="29"/>
      <c r="BE1235" s="29"/>
      <c r="BF1235" s="111"/>
      <c r="BG1235" s="111"/>
      <c r="BH1235" s="111"/>
      <c r="BI1235" s="111"/>
      <c r="BJ1235" s="111"/>
      <c r="BK1235" s="111"/>
      <c r="BL1235" s="111"/>
      <c r="BM1235" s="111"/>
      <c r="BN1235" s="111"/>
      <c r="BO1235" s="111"/>
      <c r="BP1235" s="111"/>
      <c r="BQ1235" s="111"/>
      <c r="BR1235" s="111"/>
      <c r="BS1235" s="111"/>
      <c r="DR1235" s="29"/>
      <c r="DS1235" s="29"/>
      <c r="DT1235" s="29"/>
      <c r="DU1235" s="29"/>
      <c r="DV1235" s="29"/>
      <c r="DW1235" s="29"/>
      <c r="DX1235" s="29"/>
      <c r="DY1235" s="29"/>
      <c r="DZ1235" s="29"/>
      <c r="EA1235" s="29"/>
      <c r="EB1235" s="29"/>
      <c r="EC1235" s="29"/>
      <c r="ED1235" s="29"/>
      <c r="EE1235" s="29"/>
      <c r="EF1235" s="111"/>
      <c r="EG1235" s="111"/>
      <c r="EH1235" s="111"/>
      <c r="EI1235" s="111"/>
      <c r="EJ1235" s="111"/>
      <c r="EK1235" s="111"/>
      <c r="EL1235" s="111"/>
      <c r="EM1235" s="111"/>
      <c r="EN1235" s="111"/>
      <c r="EO1235" s="111"/>
      <c r="EP1235" s="111"/>
      <c r="EQ1235" s="111"/>
      <c r="ER1235" s="111"/>
      <c r="ES1235" s="111"/>
    </row>
    <row r="1236" spans="44:149">
      <c r="AR1236" s="29"/>
      <c r="AS1236" s="29"/>
      <c r="AT1236" s="29"/>
      <c r="AU1236" s="29"/>
      <c r="AV1236" s="29"/>
      <c r="AW1236" s="29"/>
      <c r="AX1236" s="29"/>
      <c r="AY1236" s="29"/>
      <c r="AZ1236" s="29"/>
      <c r="BA1236" s="29"/>
      <c r="BB1236" s="29"/>
      <c r="BC1236" s="29"/>
      <c r="BD1236" s="29"/>
      <c r="BE1236" s="29"/>
      <c r="BF1236" s="111"/>
      <c r="BG1236" s="111"/>
      <c r="BH1236" s="111"/>
      <c r="BI1236" s="111"/>
      <c r="BJ1236" s="111"/>
      <c r="BK1236" s="111"/>
      <c r="BL1236" s="111"/>
      <c r="BM1236" s="111"/>
      <c r="BN1236" s="111"/>
      <c r="BO1236" s="111"/>
      <c r="BP1236" s="111"/>
      <c r="BQ1236" s="111"/>
      <c r="BR1236" s="111"/>
      <c r="BS1236" s="111"/>
      <c r="DR1236" s="29"/>
      <c r="DS1236" s="29"/>
      <c r="DT1236" s="29"/>
      <c r="DU1236" s="29"/>
      <c r="DV1236" s="29"/>
      <c r="DW1236" s="29"/>
      <c r="DX1236" s="29"/>
      <c r="DY1236" s="29"/>
      <c r="DZ1236" s="29"/>
      <c r="EA1236" s="29"/>
      <c r="EB1236" s="29"/>
      <c r="EC1236" s="29"/>
      <c r="ED1236" s="29"/>
      <c r="EE1236" s="29"/>
      <c r="EF1236" s="111"/>
      <c r="EG1236" s="111"/>
      <c r="EH1236" s="111"/>
      <c r="EI1236" s="111"/>
      <c r="EJ1236" s="111"/>
      <c r="EK1236" s="111"/>
      <c r="EL1236" s="111"/>
      <c r="EM1236" s="111"/>
      <c r="EN1236" s="111"/>
      <c r="EO1236" s="111"/>
      <c r="EP1236" s="111"/>
      <c r="EQ1236" s="111"/>
      <c r="ER1236" s="111"/>
      <c r="ES1236" s="111"/>
    </row>
    <row r="1237" spans="44:149">
      <c r="AR1237" s="29"/>
      <c r="AS1237" s="29"/>
      <c r="AT1237" s="29"/>
      <c r="AU1237" s="29"/>
      <c r="AV1237" s="29"/>
      <c r="AW1237" s="29"/>
      <c r="AX1237" s="29"/>
      <c r="AY1237" s="29"/>
      <c r="AZ1237" s="29"/>
      <c r="BA1237" s="29"/>
      <c r="BB1237" s="29"/>
      <c r="BC1237" s="29"/>
      <c r="BD1237" s="29"/>
      <c r="BE1237" s="29"/>
      <c r="BF1237" s="111"/>
      <c r="BG1237" s="111"/>
      <c r="BH1237" s="111"/>
      <c r="BI1237" s="111"/>
      <c r="BJ1237" s="111"/>
      <c r="BK1237" s="111"/>
      <c r="BL1237" s="111"/>
      <c r="BM1237" s="111"/>
      <c r="BN1237" s="111"/>
      <c r="BO1237" s="111"/>
      <c r="BP1237" s="111"/>
      <c r="BQ1237" s="111"/>
      <c r="BR1237" s="111"/>
      <c r="BS1237" s="111"/>
      <c r="DR1237" s="29"/>
      <c r="DS1237" s="29"/>
      <c r="DT1237" s="29"/>
      <c r="DU1237" s="29"/>
      <c r="DV1237" s="29"/>
      <c r="DW1237" s="29"/>
      <c r="DX1237" s="29"/>
      <c r="DY1237" s="29"/>
      <c r="DZ1237" s="29"/>
      <c r="EA1237" s="29"/>
      <c r="EB1237" s="29"/>
      <c r="EC1237" s="29"/>
      <c r="ED1237" s="29"/>
      <c r="EE1237" s="29"/>
      <c r="EF1237" s="111"/>
      <c r="EG1237" s="111"/>
      <c r="EH1237" s="111"/>
      <c r="EI1237" s="111"/>
      <c r="EJ1237" s="111"/>
      <c r="EK1237" s="111"/>
      <c r="EL1237" s="111"/>
      <c r="EM1237" s="111"/>
      <c r="EN1237" s="111"/>
      <c r="EO1237" s="111"/>
      <c r="EP1237" s="111"/>
      <c r="EQ1237" s="111"/>
      <c r="ER1237" s="111"/>
      <c r="ES1237" s="111"/>
    </row>
    <row r="1238" spans="44:149">
      <c r="AR1238" s="29"/>
      <c r="AS1238" s="29"/>
      <c r="AT1238" s="29"/>
      <c r="AU1238" s="29"/>
      <c r="AV1238" s="29"/>
      <c r="AW1238" s="29"/>
      <c r="AX1238" s="29"/>
      <c r="AY1238" s="29"/>
      <c r="AZ1238" s="29"/>
      <c r="BA1238" s="29"/>
      <c r="BB1238" s="29"/>
      <c r="BC1238" s="29"/>
      <c r="BD1238" s="29"/>
      <c r="BE1238" s="29"/>
      <c r="BF1238" s="111"/>
      <c r="BG1238" s="111"/>
      <c r="BH1238" s="111"/>
      <c r="BI1238" s="111"/>
      <c r="BJ1238" s="111"/>
      <c r="BK1238" s="111"/>
      <c r="BL1238" s="111"/>
      <c r="BM1238" s="111"/>
      <c r="BN1238" s="111"/>
      <c r="BO1238" s="111"/>
      <c r="BP1238" s="111"/>
      <c r="BQ1238" s="111"/>
      <c r="BR1238" s="111"/>
      <c r="BS1238" s="111"/>
      <c r="DR1238" s="29"/>
      <c r="DS1238" s="29"/>
      <c r="DT1238" s="29"/>
      <c r="DU1238" s="29"/>
      <c r="DV1238" s="29"/>
      <c r="DW1238" s="29"/>
      <c r="DX1238" s="29"/>
      <c r="DY1238" s="29"/>
      <c r="DZ1238" s="29"/>
      <c r="EA1238" s="29"/>
      <c r="EB1238" s="29"/>
      <c r="EC1238" s="29"/>
      <c r="ED1238" s="29"/>
      <c r="EE1238" s="29"/>
      <c r="EF1238" s="111"/>
      <c r="EG1238" s="111"/>
      <c r="EH1238" s="111"/>
      <c r="EI1238" s="111"/>
      <c r="EJ1238" s="111"/>
      <c r="EK1238" s="111"/>
      <c r="EL1238" s="111"/>
      <c r="EM1238" s="111"/>
      <c r="EN1238" s="111"/>
      <c r="EO1238" s="111"/>
      <c r="EP1238" s="111"/>
      <c r="EQ1238" s="111"/>
      <c r="ER1238" s="111"/>
      <c r="ES1238" s="111"/>
    </row>
    <row r="1239" spans="44:149">
      <c r="AR1239" s="29"/>
      <c r="AS1239" s="29"/>
      <c r="AT1239" s="29"/>
      <c r="AU1239" s="29"/>
      <c r="AV1239" s="29"/>
      <c r="AW1239" s="29"/>
      <c r="AX1239" s="29"/>
      <c r="AY1239" s="29"/>
      <c r="AZ1239" s="29"/>
      <c r="BA1239" s="29"/>
      <c r="BB1239" s="29"/>
      <c r="BC1239" s="29"/>
      <c r="BD1239" s="29"/>
      <c r="BE1239" s="29"/>
      <c r="BF1239" s="111"/>
      <c r="BG1239" s="111"/>
      <c r="BH1239" s="111"/>
      <c r="BI1239" s="111"/>
      <c r="BJ1239" s="111"/>
      <c r="BK1239" s="111"/>
      <c r="BL1239" s="111"/>
      <c r="BM1239" s="111"/>
      <c r="BN1239" s="111"/>
      <c r="BO1239" s="111"/>
      <c r="BP1239" s="111"/>
      <c r="BQ1239" s="111"/>
      <c r="BR1239" s="111"/>
      <c r="BS1239" s="111"/>
      <c r="DR1239" s="29"/>
      <c r="DS1239" s="29"/>
      <c r="DT1239" s="29"/>
      <c r="DU1239" s="29"/>
      <c r="DV1239" s="29"/>
      <c r="DW1239" s="29"/>
      <c r="DX1239" s="29"/>
      <c r="DY1239" s="29"/>
      <c r="DZ1239" s="29"/>
      <c r="EA1239" s="29"/>
      <c r="EB1239" s="29"/>
      <c r="EC1239" s="29"/>
      <c r="ED1239" s="29"/>
      <c r="EE1239" s="29"/>
      <c r="EF1239" s="111"/>
      <c r="EG1239" s="111"/>
      <c r="EH1239" s="111"/>
      <c r="EI1239" s="111"/>
      <c r="EJ1239" s="111"/>
      <c r="EK1239" s="111"/>
      <c r="EL1239" s="111"/>
      <c r="EM1239" s="111"/>
      <c r="EN1239" s="111"/>
      <c r="EO1239" s="111"/>
      <c r="EP1239" s="111"/>
      <c r="EQ1239" s="111"/>
      <c r="ER1239" s="111"/>
      <c r="ES1239" s="111"/>
    </row>
    <row r="1240" spans="44:149">
      <c r="AR1240" s="29"/>
      <c r="AS1240" s="29"/>
      <c r="AT1240" s="29"/>
      <c r="AU1240" s="29"/>
      <c r="AV1240" s="29"/>
      <c r="AW1240" s="29"/>
      <c r="AX1240" s="29"/>
      <c r="AY1240" s="29"/>
      <c r="AZ1240" s="29"/>
      <c r="BA1240" s="29"/>
      <c r="BB1240" s="29"/>
      <c r="BC1240" s="29"/>
      <c r="BD1240" s="29"/>
      <c r="BE1240" s="29"/>
      <c r="BF1240" s="111"/>
      <c r="BG1240" s="111"/>
      <c r="BH1240" s="111"/>
      <c r="BI1240" s="111"/>
      <c r="BJ1240" s="111"/>
      <c r="BK1240" s="111"/>
      <c r="BL1240" s="111"/>
      <c r="BM1240" s="111"/>
      <c r="BN1240" s="111"/>
      <c r="BO1240" s="111"/>
      <c r="BP1240" s="111"/>
      <c r="BQ1240" s="111"/>
      <c r="BR1240" s="111"/>
      <c r="BS1240" s="111"/>
      <c r="DR1240" s="29"/>
      <c r="DS1240" s="29"/>
      <c r="DT1240" s="29"/>
      <c r="DU1240" s="29"/>
      <c r="DV1240" s="29"/>
      <c r="DW1240" s="29"/>
      <c r="DX1240" s="29"/>
      <c r="DY1240" s="29"/>
      <c r="DZ1240" s="29"/>
      <c r="EA1240" s="29"/>
      <c r="EB1240" s="29"/>
      <c r="EC1240" s="29"/>
      <c r="ED1240" s="29"/>
      <c r="EE1240" s="29"/>
      <c r="EF1240" s="111"/>
      <c r="EG1240" s="111"/>
      <c r="EH1240" s="111"/>
      <c r="EI1240" s="111"/>
      <c r="EJ1240" s="111"/>
      <c r="EK1240" s="111"/>
      <c r="EL1240" s="111"/>
      <c r="EM1240" s="111"/>
      <c r="EN1240" s="111"/>
      <c r="EO1240" s="111"/>
      <c r="EP1240" s="111"/>
      <c r="EQ1240" s="111"/>
      <c r="ER1240" s="111"/>
      <c r="ES1240" s="111"/>
    </row>
    <row r="1241" spans="44:149">
      <c r="AR1241" s="29"/>
      <c r="AS1241" s="29"/>
      <c r="AT1241" s="29"/>
      <c r="AU1241" s="29"/>
      <c r="AV1241" s="29"/>
      <c r="AW1241" s="29"/>
      <c r="AX1241" s="29"/>
      <c r="AY1241" s="29"/>
      <c r="AZ1241" s="29"/>
      <c r="BA1241" s="29"/>
      <c r="BB1241" s="29"/>
      <c r="BC1241" s="29"/>
      <c r="BD1241" s="29"/>
      <c r="BE1241" s="29"/>
      <c r="BF1241" s="111"/>
      <c r="BG1241" s="111"/>
      <c r="BH1241" s="111"/>
      <c r="BI1241" s="111"/>
      <c r="BJ1241" s="111"/>
      <c r="BK1241" s="111"/>
      <c r="BL1241" s="111"/>
      <c r="BM1241" s="111"/>
      <c r="BN1241" s="111"/>
      <c r="BO1241" s="111"/>
      <c r="BP1241" s="111"/>
      <c r="BQ1241" s="111"/>
      <c r="BR1241" s="111"/>
      <c r="BS1241" s="111"/>
      <c r="DR1241" s="29"/>
      <c r="DS1241" s="29"/>
      <c r="DT1241" s="29"/>
      <c r="DU1241" s="29"/>
      <c r="DV1241" s="29"/>
      <c r="DW1241" s="29"/>
      <c r="DX1241" s="29"/>
      <c r="DY1241" s="29"/>
      <c r="DZ1241" s="29"/>
      <c r="EA1241" s="29"/>
      <c r="EB1241" s="29"/>
      <c r="EC1241" s="29"/>
      <c r="ED1241" s="29"/>
      <c r="EE1241" s="29"/>
      <c r="EF1241" s="111"/>
      <c r="EG1241" s="111"/>
      <c r="EH1241" s="111"/>
      <c r="EI1241" s="111"/>
      <c r="EJ1241" s="111"/>
      <c r="EK1241" s="111"/>
      <c r="EL1241" s="111"/>
      <c r="EM1241" s="111"/>
      <c r="EN1241" s="111"/>
      <c r="EO1241" s="111"/>
      <c r="EP1241" s="111"/>
      <c r="EQ1241" s="111"/>
      <c r="ER1241" s="111"/>
      <c r="ES1241" s="111"/>
    </row>
    <row r="1242" spans="44:149">
      <c r="AR1242" s="29"/>
      <c r="AS1242" s="29"/>
      <c r="AT1242" s="29"/>
      <c r="AU1242" s="29"/>
      <c r="AV1242" s="29"/>
      <c r="AW1242" s="29"/>
      <c r="AX1242" s="29"/>
      <c r="AY1242" s="29"/>
      <c r="AZ1242" s="29"/>
      <c r="BA1242" s="29"/>
      <c r="BB1242" s="29"/>
      <c r="BC1242" s="29"/>
      <c r="BD1242" s="29"/>
      <c r="BE1242" s="29"/>
      <c r="BF1242" s="111"/>
      <c r="BG1242" s="111"/>
      <c r="BH1242" s="111"/>
      <c r="BI1242" s="111"/>
      <c r="BJ1242" s="111"/>
      <c r="BK1242" s="111"/>
      <c r="BL1242" s="111"/>
      <c r="BM1242" s="111"/>
      <c r="BN1242" s="111"/>
      <c r="BO1242" s="111"/>
      <c r="BP1242" s="111"/>
      <c r="BQ1242" s="111"/>
      <c r="BR1242" s="111"/>
      <c r="BS1242" s="111"/>
      <c r="DR1242" s="29"/>
      <c r="DS1242" s="29"/>
      <c r="DT1242" s="29"/>
      <c r="DU1242" s="29"/>
      <c r="DV1242" s="29"/>
      <c r="DW1242" s="29"/>
      <c r="DX1242" s="29"/>
      <c r="DY1242" s="29"/>
      <c r="DZ1242" s="29"/>
      <c r="EA1242" s="29"/>
      <c r="EB1242" s="29"/>
      <c r="EC1242" s="29"/>
      <c r="ED1242" s="29"/>
      <c r="EE1242" s="29"/>
      <c r="EF1242" s="111"/>
      <c r="EG1242" s="111"/>
      <c r="EH1242" s="111"/>
      <c r="EI1242" s="111"/>
      <c r="EJ1242" s="111"/>
      <c r="EK1242" s="111"/>
      <c r="EL1242" s="111"/>
      <c r="EM1242" s="111"/>
      <c r="EN1242" s="111"/>
      <c r="EO1242" s="111"/>
      <c r="EP1242" s="111"/>
      <c r="EQ1242" s="111"/>
      <c r="ER1242" s="111"/>
      <c r="ES1242" s="111"/>
    </row>
    <row r="1243" spans="44:149">
      <c r="AR1243" s="29"/>
      <c r="AS1243" s="29"/>
      <c r="AT1243" s="29"/>
      <c r="AU1243" s="29"/>
      <c r="AV1243" s="29"/>
      <c r="AW1243" s="29"/>
      <c r="AX1243" s="29"/>
      <c r="AY1243" s="29"/>
      <c r="AZ1243" s="29"/>
      <c r="BA1243" s="29"/>
      <c r="BB1243" s="29"/>
      <c r="BC1243" s="29"/>
      <c r="BD1243" s="29"/>
      <c r="BE1243" s="29"/>
      <c r="BF1243" s="111"/>
      <c r="BG1243" s="111"/>
      <c r="BH1243" s="111"/>
      <c r="BI1243" s="111"/>
      <c r="BJ1243" s="111"/>
      <c r="BK1243" s="111"/>
      <c r="BL1243" s="111"/>
      <c r="BM1243" s="111"/>
      <c r="BN1243" s="111"/>
      <c r="BO1243" s="111"/>
      <c r="BP1243" s="111"/>
      <c r="BQ1243" s="111"/>
      <c r="BR1243" s="111"/>
      <c r="BS1243" s="111"/>
      <c r="DR1243" s="29"/>
      <c r="DS1243" s="29"/>
      <c r="DT1243" s="29"/>
      <c r="DU1243" s="29"/>
      <c r="DV1243" s="29"/>
      <c r="DW1243" s="29"/>
      <c r="DX1243" s="29"/>
      <c r="DY1243" s="29"/>
      <c r="DZ1243" s="29"/>
      <c r="EA1243" s="29"/>
      <c r="EB1243" s="29"/>
      <c r="EC1243" s="29"/>
      <c r="ED1243" s="29"/>
      <c r="EE1243" s="29"/>
      <c r="EF1243" s="111"/>
      <c r="EG1243" s="111"/>
      <c r="EH1243" s="111"/>
      <c r="EI1243" s="111"/>
      <c r="EJ1243" s="111"/>
      <c r="EK1243" s="111"/>
      <c r="EL1243" s="111"/>
      <c r="EM1243" s="111"/>
      <c r="EN1243" s="111"/>
      <c r="EO1243" s="111"/>
      <c r="EP1243" s="111"/>
      <c r="EQ1243" s="111"/>
      <c r="ER1243" s="111"/>
      <c r="ES1243" s="111"/>
    </row>
    <row r="1244" spans="44:149">
      <c r="AR1244" s="29"/>
      <c r="AS1244" s="29"/>
      <c r="AT1244" s="29"/>
      <c r="AU1244" s="29"/>
      <c r="AV1244" s="29"/>
      <c r="AW1244" s="29"/>
      <c r="AX1244" s="29"/>
      <c r="AY1244" s="29"/>
      <c r="AZ1244" s="29"/>
      <c r="BA1244" s="29"/>
      <c r="BB1244" s="29"/>
      <c r="BC1244" s="29"/>
      <c r="BD1244" s="29"/>
      <c r="BE1244" s="29"/>
      <c r="BF1244" s="111"/>
      <c r="BG1244" s="111"/>
      <c r="BH1244" s="111"/>
      <c r="BI1244" s="111"/>
      <c r="BJ1244" s="111"/>
      <c r="BK1244" s="111"/>
      <c r="BL1244" s="111"/>
      <c r="BM1244" s="111"/>
      <c r="BN1244" s="111"/>
      <c r="BO1244" s="111"/>
      <c r="BP1244" s="111"/>
      <c r="BQ1244" s="111"/>
      <c r="BR1244" s="111"/>
      <c r="BS1244" s="111"/>
      <c r="DR1244" s="29"/>
      <c r="DS1244" s="29"/>
      <c r="DT1244" s="29"/>
      <c r="DU1244" s="29"/>
      <c r="DV1244" s="29"/>
      <c r="DW1244" s="29"/>
      <c r="DX1244" s="29"/>
      <c r="DY1244" s="29"/>
      <c r="DZ1244" s="29"/>
      <c r="EA1244" s="29"/>
      <c r="EB1244" s="29"/>
      <c r="EC1244" s="29"/>
      <c r="ED1244" s="29"/>
      <c r="EE1244" s="29"/>
      <c r="EF1244" s="111"/>
      <c r="EG1244" s="111"/>
      <c r="EH1244" s="111"/>
      <c r="EI1244" s="111"/>
      <c r="EJ1244" s="111"/>
      <c r="EK1244" s="111"/>
      <c r="EL1244" s="111"/>
      <c r="EM1244" s="111"/>
      <c r="EN1244" s="111"/>
      <c r="EO1244" s="111"/>
      <c r="EP1244" s="111"/>
      <c r="EQ1244" s="111"/>
      <c r="ER1244" s="111"/>
      <c r="ES1244" s="111"/>
    </row>
    <row r="1245" spans="44:149">
      <c r="AR1245" s="29"/>
      <c r="AS1245" s="29"/>
      <c r="AT1245" s="29"/>
      <c r="AU1245" s="29"/>
      <c r="AV1245" s="29"/>
      <c r="AW1245" s="29"/>
      <c r="AX1245" s="29"/>
      <c r="AY1245" s="29"/>
      <c r="AZ1245" s="29"/>
      <c r="BA1245" s="29"/>
      <c r="BB1245" s="29"/>
      <c r="BC1245" s="29"/>
      <c r="BD1245" s="29"/>
      <c r="BE1245" s="29"/>
      <c r="BF1245" s="111"/>
      <c r="BG1245" s="111"/>
      <c r="BH1245" s="111"/>
      <c r="BI1245" s="111"/>
      <c r="BJ1245" s="111"/>
      <c r="BK1245" s="111"/>
      <c r="BL1245" s="111"/>
      <c r="BM1245" s="111"/>
      <c r="BN1245" s="111"/>
      <c r="BO1245" s="111"/>
      <c r="BP1245" s="111"/>
      <c r="BQ1245" s="111"/>
      <c r="BR1245" s="111"/>
      <c r="BS1245" s="111"/>
      <c r="DR1245" s="29"/>
      <c r="DS1245" s="29"/>
      <c r="DT1245" s="29"/>
      <c r="DU1245" s="29"/>
      <c r="DV1245" s="29"/>
      <c r="DW1245" s="29"/>
      <c r="DX1245" s="29"/>
      <c r="DY1245" s="29"/>
      <c r="DZ1245" s="29"/>
      <c r="EA1245" s="29"/>
      <c r="EB1245" s="29"/>
      <c r="EC1245" s="29"/>
      <c r="ED1245" s="29"/>
      <c r="EE1245" s="29"/>
      <c r="EF1245" s="111"/>
      <c r="EG1245" s="111"/>
      <c r="EH1245" s="111"/>
      <c r="EI1245" s="111"/>
      <c r="EJ1245" s="111"/>
      <c r="EK1245" s="111"/>
      <c r="EL1245" s="111"/>
      <c r="EM1245" s="111"/>
      <c r="EN1245" s="111"/>
      <c r="EO1245" s="111"/>
      <c r="EP1245" s="111"/>
      <c r="EQ1245" s="111"/>
      <c r="ER1245" s="111"/>
      <c r="ES1245" s="111"/>
    </row>
    <row r="1246" spans="44:149">
      <c r="AR1246" s="29"/>
      <c r="AS1246" s="29"/>
      <c r="AT1246" s="29"/>
      <c r="AU1246" s="29"/>
      <c r="AV1246" s="29"/>
      <c r="AW1246" s="29"/>
      <c r="AX1246" s="29"/>
      <c r="AY1246" s="29"/>
      <c r="AZ1246" s="29"/>
      <c r="BA1246" s="29"/>
      <c r="BB1246" s="29"/>
      <c r="BC1246" s="29"/>
      <c r="BD1246" s="29"/>
      <c r="BE1246" s="29"/>
      <c r="BF1246" s="111"/>
      <c r="BG1246" s="111"/>
      <c r="BH1246" s="111"/>
      <c r="BI1246" s="111"/>
      <c r="BJ1246" s="111"/>
      <c r="BK1246" s="111"/>
      <c r="BL1246" s="111"/>
      <c r="BM1246" s="111"/>
      <c r="BN1246" s="111"/>
      <c r="BO1246" s="111"/>
      <c r="BP1246" s="111"/>
      <c r="BQ1246" s="111"/>
      <c r="BR1246" s="111"/>
      <c r="BS1246" s="111"/>
      <c r="DR1246" s="29"/>
      <c r="DS1246" s="29"/>
      <c r="DT1246" s="29"/>
      <c r="DU1246" s="29"/>
      <c r="DV1246" s="29"/>
      <c r="DW1246" s="29"/>
      <c r="DX1246" s="29"/>
      <c r="DY1246" s="29"/>
      <c r="DZ1246" s="29"/>
      <c r="EA1246" s="29"/>
      <c r="EB1246" s="29"/>
      <c r="EC1246" s="29"/>
      <c r="ED1246" s="29"/>
      <c r="EE1246" s="29"/>
      <c r="EF1246" s="111"/>
      <c r="EG1246" s="111"/>
      <c r="EH1246" s="111"/>
      <c r="EI1246" s="111"/>
      <c r="EJ1246" s="111"/>
      <c r="EK1246" s="111"/>
      <c r="EL1246" s="111"/>
      <c r="EM1246" s="111"/>
      <c r="EN1246" s="111"/>
      <c r="EO1246" s="111"/>
      <c r="EP1246" s="111"/>
      <c r="EQ1246" s="111"/>
      <c r="ER1246" s="111"/>
      <c r="ES1246" s="111"/>
    </row>
    <row r="1247" spans="44:149">
      <c r="AR1247" s="29"/>
      <c r="AS1247" s="29"/>
      <c r="AT1247" s="29"/>
      <c r="AU1247" s="29"/>
      <c r="AV1247" s="29"/>
      <c r="AW1247" s="29"/>
      <c r="AX1247" s="29"/>
      <c r="AY1247" s="29"/>
      <c r="AZ1247" s="29"/>
      <c r="BA1247" s="29"/>
      <c r="BB1247" s="29"/>
      <c r="BC1247" s="29"/>
      <c r="BD1247" s="29"/>
      <c r="BE1247" s="29"/>
      <c r="BF1247" s="111"/>
      <c r="BG1247" s="111"/>
      <c r="BH1247" s="111"/>
      <c r="BI1247" s="111"/>
      <c r="BJ1247" s="111"/>
      <c r="BK1247" s="111"/>
      <c r="BL1247" s="111"/>
      <c r="BM1247" s="111"/>
      <c r="BN1247" s="111"/>
      <c r="BO1247" s="111"/>
      <c r="BP1247" s="111"/>
      <c r="BQ1247" s="111"/>
      <c r="BR1247" s="111"/>
      <c r="BS1247" s="111"/>
      <c r="DR1247" s="29"/>
      <c r="DS1247" s="29"/>
      <c r="DT1247" s="29"/>
      <c r="DU1247" s="29"/>
      <c r="DV1247" s="29"/>
      <c r="DW1247" s="29"/>
      <c r="DX1247" s="29"/>
      <c r="DY1247" s="29"/>
      <c r="DZ1247" s="29"/>
      <c r="EA1247" s="29"/>
      <c r="EB1247" s="29"/>
      <c r="EC1247" s="29"/>
      <c r="ED1247" s="29"/>
      <c r="EE1247" s="29"/>
      <c r="EF1247" s="111"/>
      <c r="EG1247" s="111"/>
      <c r="EH1247" s="111"/>
      <c r="EI1247" s="111"/>
      <c r="EJ1247" s="111"/>
      <c r="EK1247" s="111"/>
      <c r="EL1247" s="111"/>
      <c r="EM1247" s="111"/>
      <c r="EN1247" s="111"/>
      <c r="EO1247" s="111"/>
      <c r="EP1247" s="111"/>
      <c r="EQ1247" s="111"/>
      <c r="ER1247" s="111"/>
      <c r="ES1247" s="111"/>
    </row>
    <row r="1248" spans="44:149">
      <c r="AR1248" s="29"/>
      <c r="AS1248" s="29"/>
      <c r="AT1248" s="29"/>
      <c r="AU1248" s="29"/>
      <c r="AV1248" s="29"/>
      <c r="AW1248" s="29"/>
      <c r="AX1248" s="29"/>
      <c r="AY1248" s="29"/>
      <c r="AZ1248" s="29"/>
      <c r="BA1248" s="29"/>
      <c r="BB1248" s="29"/>
      <c r="BC1248" s="29"/>
      <c r="BD1248" s="29"/>
      <c r="BE1248" s="29"/>
      <c r="BF1248" s="111"/>
      <c r="BG1248" s="111"/>
      <c r="BH1248" s="111"/>
      <c r="BI1248" s="111"/>
      <c r="BJ1248" s="111"/>
      <c r="BK1248" s="111"/>
      <c r="BL1248" s="111"/>
      <c r="BM1248" s="111"/>
      <c r="BN1248" s="111"/>
      <c r="BO1248" s="111"/>
      <c r="BP1248" s="111"/>
      <c r="BQ1248" s="111"/>
      <c r="BR1248" s="111"/>
      <c r="BS1248" s="111"/>
      <c r="DR1248" s="29"/>
      <c r="DS1248" s="29"/>
      <c r="DT1248" s="29"/>
      <c r="DU1248" s="29"/>
      <c r="DV1248" s="29"/>
      <c r="DW1248" s="29"/>
      <c r="DX1248" s="29"/>
      <c r="DY1248" s="29"/>
      <c r="DZ1248" s="29"/>
      <c r="EA1248" s="29"/>
      <c r="EB1248" s="29"/>
      <c r="EC1248" s="29"/>
      <c r="ED1248" s="29"/>
      <c r="EE1248" s="29"/>
      <c r="EF1248" s="111"/>
      <c r="EG1248" s="111"/>
      <c r="EH1248" s="111"/>
      <c r="EI1248" s="111"/>
      <c r="EJ1248" s="111"/>
      <c r="EK1248" s="111"/>
      <c r="EL1248" s="111"/>
      <c r="EM1248" s="111"/>
      <c r="EN1248" s="111"/>
      <c r="EO1248" s="111"/>
      <c r="EP1248" s="111"/>
      <c r="EQ1248" s="111"/>
      <c r="ER1248" s="111"/>
      <c r="ES1248" s="111"/>
    </row>
    <row r="1249" spans="44:149">
      <c r="AR1249" s="29"/>
      <c r="AS1249" s="29"/>
      <c r="AT1249" s="29"/>
      <c r="AU1249" s="29"/>
      <c r="AV1249" s="29"/>
      <c r="AW1249" s="29"/>
      <c r="AX1249" s="29"/>
      <c r="AY1249" s="29"/>
      <c r="AZ1249" s="29"/>
      <c r="BA1249" s="29"/>
      <c r="BB1249" s="29"/>
      <c r="BC1249" s="29"/>
      <c r="BD1249" s="29"/>
      <c r="BE1249" s="29"/>
      <c r="BF1249" s="111"/>
      <c r="BG1249" s="111"/>
      <c r="BH1249" s="111"/>
      <c r="BI1249" s="111"/>
      <c r="BJ1249" s="111"/>
      <c r="BK1249" s="111"/>
      <c r="BL1249" s="111"/>
      <c r="BM1249" s="111"/>
      <c r="BN1249" s="111"/>
      <c r="BO1249" s="111"/>
      <c r="BP1249" s="111"/>
      <c r="BQ1249" s="111"/>
      <c r="BR1249" s="111"/>
      <c r="BS1249" s="111"/>
      <c r="DR1249" s="29"/>
      <c r="DS1249" s="29"/>
      <c r="DT1249" s="29"/>
      <c r="DU1249" s="29"/>
      <c r="DV1249" s="29"/>
      <c r="DW1249" s="29"/>
      <c r="DX1249" s="29"/>
      <c r="DY1249" s="29"/>
      <c r="DZ1249" s="29"/>
      <c r="EA1249" s="29"/>
      <c r="EB1249" s="29"/>
      <c r="EC1249" s="29"/>
      <c r="ED1249" s="29"/>
      <c r="EE1249" s="29"/>
      <c r="EF1249" s="111"/>
      <c r="EG1249" s="111"/>
      <c r="EH1249" s="111"/>
      <c r="EI1249" s="111"/>
      <c r="EJ1249" s="111"/>
      <c r="EK1249" s="111"/>
      <c r="EL1249" s="111"/>
      <c r="EM1249" s="111"/>
      <c r="EN1249" s="111"/>
      <c r="EO1249" s="111"/>
      <c r="EP1249" s="111"/>
      <c r="EQ1249" s="111"/>
      <c r="ER1249" s="111"/>
      <c r="ES1249" s="111"/>
    </row>
    <row r="1250" spans="44:149">
      <c r="AR1250" s="29"/>
      <c r="AS1250" s="29"/>
      <c r="AT1250" s="29"/>
      <c r="AU1250" s="29"/>
      <c r="AV1250" s="29"/>
      <c r="AW1250" s="29"/>
      <c r="AX1250" s="29"/>
      <c r="AY1250" s="29"/>
      <c r="AZ1250" s="29"/>
      <c r="BA1250" s="29"/>
      <c r="BB1250" s="29"/>
      <c r="BC1250" s="29"/>
      <c r="BD1250" s="29"/>
      <c r="BE1250" s="29"/>
      <c r="BF1250" s="111"/>
      <c r="BG1250" s="111"/>
      <c r="BH1250" s="111"/>
      <c r="BI1250" s="111"/>
      <c r="BJ1250" s="111"/>
      <c r="BK1250" s="111"/>
      <c r="BL1250" s="111"/>
      <c r="BM1250" s="111"/>
      <c r="BN1250" s="111"/>
      <c r="BO1250" s="111"/>
      <c r="BP1250" s="111"/>
      <c r="BQ1250" s="111"/>
      <c r="BR1250" s="111"/>
      <c r="BS1250" s="111"/>
      <c r="DR1250" s="29"/>
      <c r="DS1250" s="29"/>
      <c r="DT1250" s="29"/>
      <c r="DU1250" s="29"/>
      <c r="DV1250" s="29"/>
      <c r="DW1250" s="29"/>
      <c r="DX1250" s="29"/>
      <c r="DY1250" s="29"/>
      <c r="DZ1250" s="29"/>
      <c r="EA1250" s="29"/>
      <c r="EB1250" s="29"/>
      <c r="EC1250" s="29"/>
      <c r="ED1250" s="29"/>
      <c r="EE1250" s="29"/>
      <c r="EF1250" s="111"/>
      <c r="EG1250" s="111"/>
      <c r="EH1250" s="111"/>
      <c r="EI1250" s="111"/>
      <c r="EJ1250" s="111"/>
      <c r="EK1250" s="111"/>
      <c r="EL1250" s="111"/>
      <c r="EM1250" s="111"/>
      <c r="EN1250" s="111"/>
      <c r="EO1250" s="111"/>
      <c r="EP1250" s="111"/>
      <c r="EQ1250" s="111"/>
      <c r="ER1250" s="111"/>
      <c r="ES1250" s="111"/>
    </row>
    <row r="1251" spans="44:149">
      <c r="AR1251" s="29"/>
      <c r="AS1251" s="29"/>
      <c r="AT1251" s="29"/>
      <c r="AU1251" s="29"/>
      <c r="AV1251" s="29"/>
      <c r="AW1251" s="29"/>
      <c r="AX1251" s="29"/>
      <c r="AY1251" s="29"/>
      <c r="AZ1251" s="29"/>
      <c r="BA1251" s="29"/>
      <c r="BB1251" s="29"/>
      <c r="BC1251" s="29"/>
      <c r="BD1251" s="29"/>
      <c r="BE1251" s="29"/>
      <c r="BF1251" s="111"/>
      <c r="BG1251" s="111"/>
      <c r="BH1251" s="111"/>
      <c r="BI1251" s="111"/>
      <c r="BJ1251" s="111"/>
      <c r="BK1251" s="111"/>
      <c r="BL1251" s="111"/>
      <c r="BM1251" s="111"/>
      <c r="BN1251" s="111"/>
      <c r="BO1251" s="111"/>
      <c r="BP1251" s="111"/>
      <c r="BQ1251" s="111"/>
      <c r="BR1251" s="111"/>
      <c r="BS1251" s="111"/>
      <c r="DR1251" s="29"/>
      <c r="DS1251" s="29"/>
      <c r="DT1251" s="29"/>
      <c r="DU1251" s="29"/>
      <c r="DV1251" s="29"/>
      <c r="DW1251" s="29"/>
      <c r="DX1251" s="29"/>
      <c r="DY1251" s="29"/>
      <c r="DZ1251" s="29"/>
      <c r="EA1251" s="29"/>
      <c r="EB1251" s="29"/>
      <c r="EC1251" s="29"/>
      <c r="ED1251" s="29"/>
      <c r="EE1251" s="29"/>
      <c r="EF1251" s="111"/>
      <c r="EG1251" s="111"/>
      <c r="EH1251" s="111"/>
      <c r="EI1251" s="111"/>
      <c r="EJ1251" s="111"/>
      <c r="EK1251" s="111"/>
      <c r="EL1251" s="111"/>
      <c r="EM1251" s="111"/>
      <c r="EN1251" s="111"/>
      <c r="EO1251" s="111"/>
      <c r="EP1251" s="111"/>
      <c r="EQ1251" s="111"/>
      <c r="ER1251" s="111"/>
      <c r="ES1251" s="111"/>
    </row>
    <row r="1252" spans="44:149">
      <c r="AR1252" s="29"/>
      <c r="AS1252" s="29"/>
      <c r="AT1252" s="29"/>
      <c r="AU1252" s="29"/>
      <c r="AV1252" s="29"/>
      <c r="AW1252" s="29"/>
      <c r="AX1252" s="29"/>
      <c r="AY1252" s="29"/>
      <c r="AZ1252" s="29"/>
      <c r="BA1252" s="29"/>
      <c r="BB1252" s="29"/>
      <c r="BC1252" s="29"/>
      <c r="BD1252" s="29"/>
      <c r="BE1252" s="29"/>
      <c r="BF1252" s="111"/>
      <c r="BG1252" s="111"/>
      <c r="BH1252" s="111"/>
      <c r="BI1252" s="111"/>
      <c r="BJ1252" s="111"/>
      <c r="BK1252" s="111"/>
      <c r="BL1252" s="111"/>
      <c r="BM1252" s="111"/>
      <c r="BN1252" s="111"/>
      <c r="BO1252" s="111"/>
      <c r="BP1252" s="111"/>
      <c r="BQ1252" s="111"/>
      <c r="BR1252" s="111"/>
      <c r="BS1252" s="111"/>
      <c r="DR1252" s="29"/>
      <c r="DS1252" s="29"/>
      <c r="DT1252" s="29"/>
      <c r="DU1252" s="29"/>
      <c r="DV1252" s="29"/>
      <c r="DW1252" s="29"/>
      <c r="DX1252" s="29"/>
      <c r="DY1252" s="29"/>
      <c r="DZ1252" s="29"/>
      <c r="EA1252" s="29"/>
      <c r="EB1252" s="29"/>
      <c r="EC1252" s="29"/>
      <c r="ED1252" s="29"/>
      <c r="EE1252" s="29"/>
      <c r="EF1252" s="111"/>
      <c r="EG1252" s="111"/>
      <c r="EH1252" s="111"/>
      <c r="EI1252" s="111"/>
      <c r="EJ1252" s="111"/>
      <c r="EK1252" s="111"/>
      <c r="EL1252" s="111"/>
      <c r="EM1252" s="111"/>
      <c r="EN1252" s="111"/>
      <c r="EO1252" s="111"/>
      <c r="EP1252" s="111"/>
      <c r="EQ1252" s="111"/>
      <c r="ER1252" s="111"/>
      <c r="ES1252" s="111"/>
    </row>
    <row r="1253" spans="44:149">
      <c r="AR1253" s="29"/>
      <c r="AS1253" s="29"/>
      <c r="AT1253" s="29"/>
      <c r="AU1253" s="29"/>
      <c r="AV1253" s="29"/>
      <c r="AW1253" s="29"/>
      <c r="AX1253" s="29"/>
      <c r="AY1253" s="29"/>
      <c r="AZ1253" s="29"/>
      <c r="BA1253" s="29"/>
      <c r="BB1253" s="29"/>
      <c r="BC1253" s="29"/>
      <c r="BD1253" s="29"/>
      <c r="BE1253" s="29"/>
      <c r="BF1253" s="111"/>
      <c r="BG1253" s="111"/>
      <c r="BH1253" s="111"/>
      <c r="BI1253" s="111"/>
      <c r="BJ1253" s="111"/>
      <c r="BK1253" s="111"/>
      <c r="BL1253" s="111"/>
      <c r="BM1253" s="111"/>
      <c r="BN1253" s="111"/>
      <c r="BO1253" s="111"/>
      <c r="BP1253" s="111"/>
      <c r="BQ1253" s="111"/>
      <c r="BR1253" s="111"/>
      <c r="BS1253" s="111"/>
      <c r="DR1253" s="29"/>
      <c r="DS1253" s="29"/>
      <c r="DT1253" s="29"/>
      <c r="DU1253" s="29"/>
      <c r="DV1253" s="29"/>
      <c r="DW1253" s="29"/>
      <c r="DX1253" s="29"/>
      <c r="DY1253" s="29"/>
      <c r="DZ1253" s="29"/>
      <c r="EA1253" s="29"/>
      <c r="EB1253" s="29"/>
      <c r="EC1253" s="29"/>
      <c r="ED1253" s="29"/>
      <c r="EE1253" s="29"/>
      <c r="EF1253" s="111"/>
      <c r="EG1253" s="111"/>
      <c r="EH1253" s="111"/>
      <c r="EI1253" s="111"/>
      <c r="EJ1253" s="111"/>
      <c r="EK1253" s="111"/>
      <c r="EL1253" s="111"/>
      <c r="EM1253" s="111"/>
      <c r="EN1253" s="111"/>
      <c r="EO1253" s="111"/>
      <c r="EP1253" s="111"/>
      <c r="EQ1253" s="111"/>
      <c r="ER1253" s="111"/>
      <c r="ES1253" s="111"/>
    </row>
    <row r="1254" spans="44:149">
      <c r="AR1254" s="29"/>
      <c r="AS1254" s="29"/>
      <c r="AT1254" s="29"/>
      <c r="AU1254" s="29"/>
      <c r="AV1254" s="29"/>
      <c r="AW1254" s="29"/>
      <c r="AX1254" s="29"/>
      <c r="AY1254" s="29"/>
      <c r="AZ1254" s="29"/>
      <c r="BA1254" s="29"/>
      <c r="BB1254" s="29"/>
      <c r="BC1254" s="29"/>
      <c r="BD1254" s="29"/>
      <c r="BE1254" s="29"/>
      <c r="BF1254" s="111"/>
      <c r="BG1254" s="111"/>
      <c r="BH1254" s="111"/>
      <c r="BI1254" s="111"/>
      <c r="BJ1254" s="111"/>
      <c r="BK1254" s="111"/>
      <c r="BL1254" s="111"/>
      <c r="BM1254" s="111"/>
      <c r="BN1254" s="111"/>
      <c r="BO1254" s="111"/>
      <c r="BP1254" s="111"/>
      <c r="BQ1254" s="111"/>
      <c r="BR1254" s="111"/>
      <c r="BS1254" s="111"/>
      <c r="DR1254" s="29"/>
      <c r="DS1254" s="29"/>
      <c r="DT1254" s="29"/>
      <c r="DU1254" s="29"/>
      <c r="DV1254" s="29"/>
      <c r="DW1254" s="29"/>
      <c r="DX1254" s="29"/>
      <c r="DY1254" s="29"/>
      <c r="DZ1254" s="29"/>
      <c r="EA1254" s="29"/>
      <c r="EB1254" s="29"/>
      <c r="EC1254" s="29"/>
      <c r="ED1254" s="29"/>
      <c r="EE1254" s="29"/>
      <c r="EF1254" s="111"/>
      <c r="EG1254" s="111"/>
      <c r="EH1254" s="111"/>
      <c r="EI1254" s="111"/>
      <c r="EJ1254" s="111"/>
      <c r="EK1254" s="111"/>
      <c r="EL1254" s="111"/>
      <c r="EM1254" s="111"/>
      <c r="EN1254" s="111"/>
      <c r="EO1254" s="111"/>
      <c r="EP1254" s="111"/>
      <c r="EQ1254" s="111"/>
      <c r="ER1254" s="111"/>
      <c r="ES1254" s="111"/>
    </row>
    <row r="1255" spans="44:149">
      <c r="AR1255" s="29"/>
      <c r="AS1255" s="29"/>
      <c r="AT1255" s="29"/>
      <c r="AU1255" s="29"/>
      <c r="AV1255" s="29"/>
      <c r="AW1255" s="29"/>
      <c r="AX1255" s="29"/>
      <c r="AY1255" s="29"/>
      <c r="AZ1255" s="29"/>
      <c r="BA1255" s="29"/>
      <c r="BB1255" s="29"/>
      <c r="BC1255" s="29"/>
      <c r="BD1255" s="29"/>
      <c r="BE1255" s="29"/>
      <c r="BF1255" s="111"/>
      <c r="BG1255" s="111"/>
      <c r="BH1255" s="111"/>
      <c r="BI1255" s="111"/>
      <c r="BJ1255" s="111"/>
      <c r="BK1255" s="111"/>
      <c r="BL1255" s="111"/>
      <c r="BM1255" s="111"/>
      <c r="BN1255" s="111"/>
      <c r="BO1255" s="111"/>
      <c r="BP1255" s="111"/>
      <c r="BQ1255" s="111"/>
      <c r="BR1255" s="111"/>
      <c r="BS1255" s="111"/>
      <c r="DR1255" s="29"/>
      <c r="DS1255" s="29"/>
      <c r="DT1255" s="29"/>
      <c r="DU1255" s="29"/>
      <c r="DV1255" s="29"/>
      <c r="DW1255" s="29"/>
      <c r="DX1255" s="29"/>
      <c r="DY1255" s="29"/>
      <c r="DZ1255" s="29"/>
      <c r="EA1255" s="29"/>
      <c r="EB1255" s="29"/>
      <c r="EC1255" s="29"/>
      <c r="ED1255" s="29"/>
      <c r="EE1255" s="29"/>
      <c r="EF1255" s="111"/>
      <c r="EG1255" s="111"/>
      <c r="EH1255" s="111"/>
      <c r="EI1255" s="111"/>
      <c r="EJ1255" s="111"/>
      <c r="EK1255" s="111"/>
      <c r="EL1255" s="111"/>
      <c r="EM1255" s="111"/>
      <c r="EN1255" s="111"/>
      <c r="EO1255" s="111"/>
      <c r="EP1255" s="111"/>
      <c r="EQ1255" s="111"/>
      <c r="ER1255" s="111"/>
      <c r="ES1255" s="111"/>
    </row>
    <row r="1256" spans="44:149">
      <c r="AR1256" s="29"/>
      <c r="AS1256" s="29"/>
      <c r="AT1256" s="29"/>
      <c r="AU1256" s="29"/>
      <c r="AV1256" s="29"/>
      <c r="AW1256" s="29"/>
      <c r="AX1256" s="29"/>
      <c r="AY1256" s="29"/>
      <c r="AZ1256" s="29"/>
      <c r="BA1256" s="29"/>
      <c r="BB1256" s="29"/>
      <c r="BC1256" s="29"/>
      <c r="BD1256" s="29"/>
      <c r="BE1256" s="29"/>
      <c r="BF1256" s="111"/>
      <c r="BG1256" s="111"/>
      <c r="BH1256" s="111"/>
      <c r="BI1256" s="111"/>
      <c r="BJ1256" s="111"/>
      <c r="BK1256" s="111"/>
      <c r="BL1256" s="111"/>
      <c r="BM1256" s="111"/>
      <c r="BN1256" s="111"/>
      <c r="BO1256" s="111"/>
      <c r="BP1256" s="111"/>
      <c r="BQ1256" s="111"/>
      <c r="BR1256" s="111"/>
      <c r="BS1256" s="111"/>
      <c r="DR1256" s="29"/>
      <c r="DS1256" s="29"/>
      <c r="DT1256" s="29"/>
      <c r="DU1256" s="29"/>
      <c r="DV1256" s="29"/>
      <c r="DW1256" s="29"/>
      <c r="DX1256" s="29"/>
      <c r="DY1256" s="29"/>
      <c r="DZ1256" s="29"/>
      <c r="EA1256" s="29"/>
      <c r="EB1256" s="29"/>
      <c r="EC1256" s="29"/>
      <c r="ED1256" s="29"/>
      <c r="EE1256" s="29"/>
      <c r="EF1256" s="111"/>
      <c r="EG1256" s="111"/>
      <c r="EH1256" s="111"/>
      <c r="EI1256" s="111"/>
      <c r="EJ1256" s="111"/>
      <c r="EK1256" s="111"/>
      <c r="EL1256" s="111"/>
      <c r="EM1256" s="111"/>
      <c r="EN1256" s="111"/>
      <c r="EO1256" s="111"/>
      <c r="EP1256" s="111"/>
      <c r="EQ1256" s="111"/>
      <c r="ER1256" s="111"/>
      <c r="ES1256" s="111"/>
    </row>
    <row r="1257" spans="44:149">
      <c r="AR1257" s="29"/>
      <c r="AS1257" s="29"/>
      <c r="AT1257" s="29"/>
      <c r="AU1257" s="29"/>
      <c r="AV1257" s="29"/>
      <c r="AW1257" s="29"/>
      <c r="AX1257" s="29"/>
      <c r="AY1257" s="29"/>
      <c r="AZ1257" s="29"/>
      <c r="BA1257" s="29"/>
      <c r="BB1257" s="29"/>
      <c r="BC1257" s="29"/>
      <c r="BD1257" s="29"/>
      <c r="BE1257" s="29"/>
      <c r="BF1257" s="111"/>
      <c r="BG1257" s="111"/>
      <c r="BH1257" s="111"/>
      <c r="BI1257" s="111"/>
      <c r="BJ1257" s="111"/>
      <c r="BK1257" s="111"/>
      <c r="BL1257" s="111"/>
      <c r="BM1257" s="111"/>
      <c r="BN1257" s="111"/>
      <c r="BO1257" s="111"/>
      <c r="BP1257" s="111"/>
      <c r="BQ1257" s="111"/>
      <c r="BR1257" s="111"/>
      <c r="BS1257" s="111"/>
      <c r="DR1257" s="29"/>
      <c r="DS1257" s="29"/>
      <c r="DT1257" s="29"/>
      <c r="DU1257" s="29"/>
      <c r="DV1257" s="29"/>
      <c r="DW1257" s="29"/>
      <c r="DX1257" s="29"/>
      <c r="DY1257" s="29"/>
      <c r="DZ1257" s="29"/>
      <c r="EA1257" s="29"/>
      <c r="EB1257" s="29"/>
      <c r="EC1257" s="29"/>
      <c r="ED1257" s="29"/>
      <c r="EE1257" s="29"/>
      <c r="EF1257" s="111"/>
      <c r="EG1257" s="111"/>
      <c r="EH1257" s="111"/>
      <c r="EI1257" s="111"/>
      <c r="EJ1257" s="111"/>
      <c r="EK1257" s="111"/>
      <c r="EL1257" s="111"/>
      <c r="EM1257" s="111"/>
      <c r="EN1257" s="111"/>
      <c r="EO1257" s="111"/>
      <c r="EP1257" s="111"/>
      <c r="EQ1257" s="111"/>
      <c r="ER1257" s="111"/>
      <c r="ES1257" s="111"/>
    </row>
    <row r="1258" spans="44:149">
      <c r="AR1258" s="29"/>
      <c r="AS1258" s="29"/>
      <c r="AT1258" s="29"/>
      <c r="AU1258" s="29"/>
      <c r="AV1258" s="29"/>
      <c r="AW1258" s="29"/>
      <c r="AX1258" s="29"/>
      <c r="AY1258" s="29"/>
      <c r="AZ1258" s="29"/>
      <c r="BA1258" s="29"/>
      <c r="BB1258" s="29"/>
      <c r="BC1258" s="29"/>
      <c r="BD1258" s="29"/>
      <c r="BE1258" s="29"/>
      <c r="BF1258" s="111"/>
      <c r="BG1258" s="111"/>
      <c r="BH1258" s="111"/>
      <c r="BI1258" s="111"/>
      <c r="BJ1258" s="111"/>
      <c r="BK1258" s="111"/>
      <c r="BL1258" s="111"/>
      <c r="BM1258" s="111"/>
      <c r="BN1258" s="111"/>
      <c r="BO1258" s="111"/>
      <c r="BP1258" s="111"/>
      <c r="BQ1258" s="111"/>
      <c r="BR1258" s="111"/>
      <c r="BS1258" s="111"/>
      <c r="DR1258" s="29"/>
      <c r="DS1258" s="29"/>
      <c r="DT1258" s="29"/>
      <c r="DU1258" s="29"/>
      <c r="DV1258" s="29"/>
      <c r="DW1258" s="29"/>
      <c r="DX1258" s="29"/>
      <c r="DY1258" s="29"/>
      <c r="DZ1258" s="29"/>
      <c r="EA1258" s="29"/>
      <c r="EB1258" s="29"/>
      <c r="EC1258" s="29"/>
      <c r="ED1258" s="29"/>
      <c r="EE1258" s="29"/>
      <c r="EF1258" s="111"/>
      <c r="EG1258" s="111"/>
      <c r="EH1258" s="111"/>
      <c r="EI1258" s="111"/>
      <c r="EJ1258" s="111"/>
      <c r="EK1258" s="111"/>
      <c r="EL1258" s="111"/>
      <c r="EM1258" s="111"/>
      <c r="EN1258" s="111"/>
      <c r="EO1258" s="111"/>
      <c r="EP1258" s="111"/>
      <c r="EQ1258" s="111"/>
      <c r="ER1258" s="111"/>
      <c r="ES1258" s="111"/>
    </row>
    <row r="1259" spans="44:149">
      <c r="AR1259" s="29"/>
      <c r="AS1259" s="29"/>
      <c r="AT1259" s="29"/>
      <c r="AU1259" s="29"/>
      <c r="AV1259" s="29"/>
      <c r="AW1259" s="29"/>
      <c r="AX1259" s="29"/>
      <c r="AY1259" s="29"/>
      <c r="AZ1259" s="29"/>
      <c r="BA1259" s="29"/>
      <c r="BB1259" s="29"/>
      <c r="BC1259" s="29"/>
      <c r="BD1259" s="29"/>
      <c r="BE1259" s="29"/>
      <c r="BF1259" s="111"/>
      <c r="BG1259" s="111"/>
      <c r="BH1259" s="111"/>
      <c r="BI1259" s="111"/>
      <c r="BJ1259" s="111"/>
      <c r="BK1259" s="111"/>
      <c r="BL1259" s="111"/>
      <c r="BM1259" s="111"/>
      <c r="BN1259" s="111"/>
      <c r="BO1259" s="111"/>
      <c r="BP1259" s="111"/>
      <c r="BQ1259" s="111"/>
      <c r="BR1259" s="111"/>
      <c r="BS1259" s="111"/>
      <c r="DR1259" s="29"/>
      <c r="DS1259" s="29"/>
      <c r="DT1259" s="29"/>
      <c r="DU1259" s="29"/>
      <c r="DV1259" s="29"/>
      <c r="DW1259" s="29"/>
      <c r="DX1259" s="29"/>
      <c r="DY1259" s="29"/>
      <c r="DZ1259" s="29"/>
      <c r="EA1259" s="29"/>
      <c r="EB1259" s="29"/>
      <c r="EC1259" s="29"/>
      <c r="ED1259" s="29"/>
      <c r="EE1259" s="29"/>
      <c r="EF1259" s="111"/>
      <c r="EG1259" s="111"/>
      <c r="EH1259" s="111"/>
      <c r="EI1259" s="111"/>
      <c r="EJ1259" s="111"/>
      <c r="EK1259" s="111"/>
      <c r="EL1259" s="111"/>
      <c r="EM1259" s="111"/>
      <c r="EN1259" s="111"/>
      <c r="EO1259" s="111"/>
      <c r="EP1259" s="111"/>
      <c r="EQ1259" s="111"/>
      <c r="ER1259" s="111"/>
      <c r="ES1259" s="111"/>
    </row>
    <row r="1260" spans="44:149">
      <c r="AR1260" s="29"/>
      <c r="AS1260" s="29"/>
      <c r="AT1260" s="29"/>
      <c r="AU1260" s="29"/>
      <c r="AV1260" s="29"/>
      <c r="AW1260" s="29"/>
      <c r="AX1260" s="29"/>
      <c r="AY1260" s="29"/>
      <c r="AZ1260" s="29"/>
      <c r="BA1260" s="29"/>
      <c r="BB1260" s="29"/>
      <c r="BC1260" s="29"/>
      <c r="BD1260" s="29"/>
      <c r="BE1260" s="29"/>
      <c r="BF1260" s="111"/>
      <c r="BG1260" s="111"/>
      <c r="BH1260" s="111"/>
      <c r="BI1260" s="111"/>
      <c r="BJ1260" s="111"/>
      <c r="BK1260" s="111"/>
      <c r="BL1260" s="111"/>
      <c r="BM1260" s="111"/>
      <c r="BN1260" s="111"/>
      <c r="BO1260" s="111"/>
      <c r="BP1260" s="111"/>
      <c r="BQ1260" s="111"/>
      <c r="BR1260" s="111"/>
      <c r="BS1260" s="111"/>
      <c r="DR1260" s="29"/>
      <c r="DS1260" s="29"/>
      <c r="DT1260" s="29"/>
      <c r="DU1260" s="29"/>
      <c r="DV1260" s="29"/>
      <c r="DW1260" s="29"/>
      <c r="DX1260" s="29"/>
      <c r="DY1260" s="29"/>
      <c r="DZ1260" s="29"/>
      <c r="EA1260" s="29"/>
      <c r="EB1260" s="29"/>
      <c r="EC1260" s="29"/>
      <c r="ED1260" s="29"/>
      <c r="EE1260" s="29"/>
      <c r="EF1260" s="111"/>
      <c r="EG1260" s="111"/>
      <c r="EH1260" s="111"/>
      <c r="EI1260" s="111"/>
      <c r="EJ1260" s="111"/>
      <c r="EK1260" s="111"/>
      <c r="EL1260" s="111"/>
      <c r="EM1260" s="111"/>
      <c r="EN1260" s="111"/>
      <c r="EO1260" s="111"/>
      <c r="EP1260" s="111"/>
      <c r="EQ1260" s="111"/>
      <c r="ER1260" s="111"/>
      <c r="ES1260" s="111"/>
    </row>
    <row r="1261" spans="44:149">
      <c r="AR1261" s="29"/>
      <c r="AS1261" s="29"/>
      <c r="AT1261" s="29"/>
      <c r="AU1261" s="29"/>
      <c r="AV1261" s="29"/>
      <c r="AW1261" s="29"/>
      <c r="AX1261" s="29"/>
      <c r="AY1261" s="29"/>
      <c r="AZ1261" s="29"/>
      <c r="BA1261" s="29"/>
      <c r="BB1261" s="29"/>
      <c r="BC1261" s="29"/>
      <c r="BD1261" s="29"/>
      <c r="BE1261" s="29"/>
      <c r="BF1261" s="111"/>
      <c r="BG1261" s="111"/>
      <c r="BH1261" s="111"/>
      <c r="BI1261" s="111"/>
      <c r="BJ1261" s="111"/>
      <c r="BK1261" s="111"/>
      <c r="BL1261" s="111"/>
      <c r="BM1261" s="111"/>
      <c r="BN1261" s="111"/>
      <c r="BO1261" s="111"/>
      <c r="BP1261" s="111"/>
      <c r="BQ1261" s="111"/>
      <c r="BR1261" s="111"/>
      <c r="BS1261" s="111"/>
      <c r="DR1261" s="29"/>
      <c r="DS1261" s="29"/>
      <c r="DT1261" s="29"/>
      <c r="DU1261" s="29"/>
      <c r="DV1261" s="29"/>
      <c r="DW1261" s="29"/>
      <c r="DX1261" s="29"/>
      <c r="DY1261" s="29"/>
      <c r="DZ1261" s="29"/>
      <c r="EA1261" s="29"/>
      <c r="EB1261" s="29"/>
      <c r="EC1261" s="29"/>
      <c r="ED1261" s="29"/>
      <c r="EE1261" s="29"/>
      <c r="EF1261" s="111"/>
      <c r="EG1261" s="111"/>
      <c r="EH1261" s="111"/>
      <c r="EI1261" s="111"/>
      <c r="EJ1261" s="111"/>
      <c r="EK1261" s="111"/>
      <c r="EL1261" s="111"/>
      <c r="EM1261" s="111"/>
      <c r="EN1261" s="111"/>
      <c r="EO1261" s="111"/>
      <c r="EP1261" s="111"/>
      <c r="EQ1261" s="111"/>
      <c r="ER1261" s="111"/>
      <c r="ES1261" s="111"/>
    </row>
    <row r="1262" spans="44:149">
      <c r="AR1262" s="29"/>
      <c r="AS1262" s="29"/>
      <c r="AT1262" s="29"/>
      <c r="AU1262" s="29"/>
      <c r="AV1262" s="29"/>
      <c r="AW1262" s="29"/>
      <c r="AX1262" s="29"/>
      <c r="AY1262" s="29"/>
      <c r="AZ1262" s="29"/>
      <c r="BA1262" s="29"/>
      <c r="BB1262" s="29"/>
      <c r="BC1262" s="29"/>
      <c r="BD1262" s="29"/>
      <c r="BE1262" s="29"/>
      <c r="BF1262" s="111"/>
      <c r="BG1262" s="111"/>
      <c r="BH1262" s="111"/>
      <c r="BI1262" s="111"/>
      <c r="BJ1262" s="111"/>
      <c r="BK1262" s="111"/>
      <c r="BL1262" s="111"/>
      <c r="BM1262" s="111"/>
      <c r="BN1262" s="111"/>
      <c r="BO1262" s="111"/>
      <c r="BP1262" s="111"/>
      <c r="BQ1262" s="111"/>
      <c r="BR1262" s="111"/>
      <c r="BS1262" s="111"/>
      <c r="DR1262" s="29"/>
      <c r="DS1262" s="29"/>
      <c r="DT1262" s="29"/>
      <c r="DU1262" s="29"/>
      <c r="DV1262" s="29"/>
      <c r="DW1262" s="29"/>
      <c r="DX1262" s="29"/>
      <c r="DY1262" s="29"/>
      <c r="DZ1262" s="29"/>
      <c r="EA1262" s="29"/>
      <c r="EB1262" s="29"/>
      <c r="EC1262" s="29"/>
      <c r="ED1262" s="29"/>
      <c r="EE1262" s="29"/>
      <c r="EF1262" s="111"/>
      <c r="EG1262" s="111"/>
      <c r="EH1262" s="111"/>
      <c r="EI1262" s="111"/>
      <c r="EJ1262" s="111"/>
      <c r="EK1262" s="111"/>
      <c r="EL1262" s="111"/>
      <c r="EM1262" s="111"/>
      <c r="EN1262" s="111"/>
      <c r="EO1262" s="111"/>
      <c r="EP1262" s="111"/>
      <c r="EQ1262" s="111"/>
      <c r="ER1262" s="111"/>
      <c r="ES1262" s="111"/>
    </row>
    <row r="1263" spans="44:149">
      <c r="AR1263" s="29"/>
      <c r="AS1263" s="29"/>
      <c r="AT1263" s="29"/>
      <c r="AU1263" s="29"/>
      <c r="AV1263" s="29"/>
      <c r="AW1263" s="29"/>
      <c r="AX1263" s="29"/>
      <c r="AY1263" s="29"/>
      <c r="AZ1263" s="29"/>
      <c r="BA1263" s="29"/>
      <c r="BB1263" s="29"/>
      <c r="BC1263" s="29"/>
      <c r="BD1263" s="29"/>
      <c r="BE1263" s="29"/>
      <c r="BF1263" s="111"/>
      <c r="BG1263" s="111"/>
      <c r="BH1263" s="111"/>
      <c r="BI1263" s="111"/>
      <c r="BJ1263" s="111"/>
      <c r="BK1263" s="111"/>
      <c r="BL1263" s="111"/>
      <c r="BM1263" s="111"/>
      <c r="BN1263" s="111"/>
      <c r="BO1263" s="111"/>
      <c r="BP1263" s="111"/>
      <c r="BQ1263" s="111"/>
      <c r="BR1263" s="111"/>
      <c r="BS1263" s="111"/>
      <c r="DR1263" s="29"/>
      <c r="DS1263" s="29"/>
      <c r="DT1263" s="29"/>
      <c r="DU1263" s="29"/>
      <c r="DV1263" s="29"/>
      <c r="DW1263" s="29"/>
      <c r="DX1263" s="29"/>
      <c r="DY1263" s="29"/>
      <c r="DZ1263" s="29"/>
      <c r="EA1263" s="29"/>
      <c r="EB1263" s="29"/>
      <c r="EC1263" s="29"/>
      <c r="ED1263" s="29"/>
      <c r="EE1263" s="29"/>
      <c r="EF1263" s="111"/>
      <c r="EG1263" s="111"/>
      <c r="EH1263" s="111"/>
      <c r="EI1263" s="111"/>
      <c r="EJ1263" s="111"/>
      <c r="EK1263" s="111"/>
      <c r="EL1263" s="111"/>
      <c r="EM1263" s="111"/>
      <c r="EN1263" s="111"/>
      <c r="EO1263" s="111"/>
      <c r="EP1263" s="111"/>
      <c r="EQ1263" s="111"/>
      <c r="ER1263" s="111"/>
      <c r="ES1263" s="111"/>
    </row>
    <row r="1264" spans="44:149">
      <c r="AR1264" s="29"/>
      <c r="AS1264" s="29"/>
      <c r="AT1264" s="29"/>
      <c r="AU1264" s="29"/>
      <c r="AV1264" s="29"/>
      <c r="AW1264" s="29"/>
      <c r="AX1264" s="29"/>
      <c r="AY1264" s="29"/>
      <c r="AZ1264" s="29"/>
      <c r="BA1264" s="29"/>
      <c r="BB1264" s="29"/>
      <c r="BC1264" s="29"/>
      <c r="BD1264" s="29"/>
      <c r="BE1264" s="29"/>
      <c r="BF1264" s="111"/>
      <c r="BG1264" s="111"/>
      <c r="BH1264" s="111"/>
      <c r="BI1264" s="111"/>
      <c r="BJ1264" s="111"/>
      <c r="BK1264" s="111"/>
      <c r="BL1264" s="111"/>
      <c r="BM1264" s="111"/>
      <c r="BN1264" s="111"/>
      <c r="BO1264" s="111"/>
      <c r="BP1264" s="111"/>
      <c r="BQ1264" s="111"/>
      <c r="BR1264" s="111"/>
      <c r="BS1264" s="111"/>
      <c r="DR1264" s="29"/>
      <c r="DS1264" s="29"/>
      <c r="DT1264" s="29"/>
      <c r="DU1264" s="29"/>
      <c r="DV1264" s="29"/>
      <c r="DW1264" s="29"/>
      <c r="DX1264" s="29"/>
      <c r="DY1264" s="29"/>
      <c r="DZ1264" s="29"/>
      <c r="EA1264" s="29"/>
      <c r="EB1264" s="29"/>
      <c r="EC1264" s="29"/>
      <c r="ED1264" s="29"/>
      <c r="EE1264" s="29"/>
      <c r="EF1264" s="111"/>
      <c r="EG1264" s="111"/>
      <c r="EH1264" s="111"/>
      <c r="EI1264" s="111"/>
      <c r="EJ1264" s="111"/>
      <c r="EK1264" s="111"/>
      <c r="EL1264" s="111"/>
      <c r="EM1264" s="111"/>
      <c r="EN1264" s="111"/>
      <c r="EO1264" s="111"/>
      <c r="EP1264" s="111"/>
      <c r="EQ1264" s="111"/>
      <c r="ER1264" s="111"/>
      <c r="ES1264" s="111"/>
    </row>
    <row r="1265" spans="44:149">
      <c r="AR1265" s="29"/>
      <c r="AS1265" s="29"/>
      <c r="AT1265" s="29"/>
      <c r="AU1265" s="29"/>
      <c r="AV1265" s="29"/>
      <c r="AW1265" s="29"/>
      <c r="AX1265" s="29"/>
      <c r="AY1265" s="29"/>
      <c r="AZ1265" s="29"/>
      <c r="BA1265" s="29"/>
      <c r="BB1265" s="29"/>
      <c r="BC1265" s="29"/>
      <c r="BD1265" s="29"/>
      <c r="BE1265" s="29"/>
      <c r="BF1265" s="111"/>
      <c r="BG1265" s="111"/>
      <c r="BH1265" s="111"/>
      <c r="BI1265" s="111"/>
      <c r="BJ1265" s="111"/>
      <c r="BK1265" s="111"/>
      <c r="BL1265" s="111"/>
      <c r="BM1265" s="111"/>
      <c r="BN1265" s="111"/>
      <c r="BO1265" s="111"/>
      <c r="BP1265" s="111"/>
      <c r="BQ1265" s="111"/>
      <c r="BR1265" s="111"/>
      <c r="BS1265" s="111"/>
      <c r="DR1265" s="29"/>
      <c r="DS1265" s="29"/>
      <c r="DT1265" s="29"/>
      <c r="DU1265" s="29"/>
      <c r="DV1265" s="29"/>
      <c r="DW1265" s="29"/>
      <c r="DX1265" s="29"/>
      <c r="DY1265" s="29"/>
      <c r="DZ1265" s="29"/>
      <c r="EA1265" s="29"/>
      <c r="EB1265" s="29"/>
      <c r="EC1265" s="29"/>
      <c r="ED1265" s="29"/>
      <c r="EE1265" s="29"/>
      <c r="EF1265" s="111"/>
      <c r="EG1265" s="111"/>
      <c r="EH1265" s="111"/>
      <c r="EI1265" s="111"/>
      <c r="EJ1265" s="111"/>
      <c r="EK1265" s="111"/>
      <c r="EL1265" s="111"/>
      <c r="EM1265" s="111"/>
      <c r="EN1265" s="111"/>
      <c r="EO1265" s="111"/>
      <c r="EP1265" s="111"/>
      <c r="EQ1265" s="111"/>
      <c r="ER1265" s="111"/>
      <c r="ES1265" s="111"/>
    </row>
    <row r="1266" spans="44:149">
      <c r="AR1266" s="29"/>
      <c r="AS1266" s="29"/>
      <c r="AT1266" s="29"/>
      <c r="AU1266" s="29"/>
      <c r="AV1266" s="29"/>
      <c r="AW1266" s="29"/>
      <c r="AX1266" s="29"/>
      <c r="AY1266" s="29"/>
      <c r="AZ1266" s="29"/>
      <c r="BA1266" s="29"/>
      <c r="BB1266" s="29"/>
      <c r="BC1266" s="29"/>
      <c r="BD1266" s="29"/>
      <c r="BE1266" s="29"/>
      <c r="BF1266" s="111"/>
      <c r="BG1266" s="111"/>
      <c r="BH1266" s="111"/>
      <c r="BI1266" s="111"/>
      <c r="BJ1266" s="111"/>
      <c r="BK1266" s="111"/>
      <c r="BL1266" s="111"/>
      <c r="BM1266" s="111"/>
      <c r="BN1266" s="111"/>
      <c r="BO1266" s="111"/>
      <c r="BP1266" s="111"/>
      <c r="BQ1266" s="111"/>
      <c r="BR1266" s="111"/>
      <c r="BS1266" s="111"/>
      <c r="DR1266" s="29"/>
      <c r="DS1266" s="29"/>
      <c r="DT1266" s="29"/>
      <c r="DU1266" s="29"/>
      <c r="DV1266" s="29"/>
      <c r="DW1266" s="29"/>
      <c r="DX1266" s="29"/>
      <c r="DY1266" s="29"/>
      <c r="DZ1266" s="29"/>
      <c r="EA1266" s="29"/>
      <c r="EB1266" s="29"/>
      <c r="EC1266" s="29"/>
      <c r="ED1266" s="29"/>
      <c r="EE1266" s="29"/>
      <c r="EF1266" s="111"/>
      <c r="EG1266" s="111"/>
      <c r="EH1266" s="111"/>
      <c r="EI1266" s="111"/>
      <c r="EJ1266" s="111"/>
      <c r="EK1266" s="111"/>
      <c r="EL1266" s="111"/>
      <c r="EM1266" s="111"/>
      <c r="EN1266" s="111"/>
      <c r="EO1266" s="111"/>
      <c r="EP1266" s="111"/>
      <c r="EQ1266" s="111"/>
      <c r="ER1266" s="111"/>
      <c r="ES1266" s="111"/>
    </row>
    <row r="1267" spans="44:149">
      <c r="AR1267" s="29"/>
      <c r="AS1267" s="29"/>
      <c r="AT1267" s="29"/>
      <c r="AU1267" s="29"/>
      <c r="AV1267" s="29"/>
      <c r="AW1267" s="29"/>
      <c r="AX1267" s="29"/>
      <c r="AY1267" s="29"/>
      <c r="AZ1267" s="29"/>
      <c r="BA1267" s="29"/>
      <c r="BB1267" s="29"/>
      <c r="BC1267" s="29"/>
      <c r="BD1267" s="29"/>
      <c r="BE1267" s="29"/>
      <c r="BF1267" s="111"/>
      <c r="BG1267" s="111"/>
      <c r="BH1267" s="111"/>
      <c r="BI1267" s="111"/>
      <c r="BJ1267" s="111"/>
      <c r="BK1267" s="111"/>
      <c r="BL1267" s="111"/>
      <c r="BM1267" s="111"/>
      <c r="BN1267" s="111"/>
      <c r="BO1267" s="111"/>
      <c r="BP1267" s="111"/>
      <c r="BQ1267" s="111"/>
      <c r="BR1267" s="111"/>
      <c r="BS1267" s="111"/>
      <c r="DR1267" s="29"/>
      <c r="DS1267" s="29"/>
      <c r="DT1267" s="29"/>
      <c r="DU1267" s="29"/>
      <c r="DV1267" s="29"/>
      <c r="DW1267" s="29"/>
      <c r="DX1267" s="29"/>
      <c r="DY1267" s="29"/>
      <c r="DZ1267" s="29"/>
      <c r="EA1267" s="29"/>
      <c r="EB1267" s="29"/>
      <c r="EC1267" s="29"/>
      <c r="ED1267" s="29"/>
      <c r="EE1267" s="29"/>
      <c r="EF1267" s="111"/>
      <c r="EG1267" s="111"/>
      <c r="EH1267" s="111"/>
      <c r="EI1267" s="111"/>
      <c r="EJ1267" s="111"/>
      <c r="EK1267" s="111"/>
      <c r="EL1267" s="111"/>
      <c r="EM1267" s="111"/>
      <c r="EN1267" s="111"/>
      <c r="EO1267" s="111"/>
      <c r="EP1267" s="111"/>
      <c r="EQ1267" s="111"/>
      <c r="ER1267" s="111"/>
      <c r="ES1267" s="111"/>
    </row>
    <row r="1268" spans="44:149">
      <c r="AR1268" s="29"/>
      <c r="AS1268" s="29"/>
      <c r="AT1268" s="29"/>
      <c r="AU1268" s="29"/>
      <c r="AV1268" s="29"/>
      <c r="AW1268" s="29"/>
      <c r="AX1268" s="29"/>
      <c r="AY1268" s="29"/>
      <c r="AZ1268" s="29"/>
      <c r="BA1268" s="29"/>
      <c r="BB1268" s="29"/>
      <c r="BC1268" s="29"/>
      <c r="BD1268" s="29"/>
      <c r="BE1268" s="29"/>
      <c r="BF1268" s="111"/>
      <c r="BG1268" s="111"/>
      <c r="BH1268" s="111"/>
      <c r="BI1268" s="111"/>
      <c r="BJ1268" s="111"/>
      <c r="BK1268" s="111"/>
      <c r="BL1268" s="111"/>
      <c r="BM1268" s="111"/>
      <c r="BN1268" s="111"/>
      <c r="BO1268" s="111"/>
      <c r="BP1268" s="111"/>
      <c r="BQ1268" s="111"/>
      <c r="BR1268" s="111"/>
      <c r="BS1268" s="111"/>
      <c r="DR1268" s="29"/>
      <c r="DS1268" s="29"/>
      <c r="DT1268" s="29"/>
      <c r="DU1268" s="29"/>
      <c r="DV1268" s="29"/>
      <c r="DW1268" s="29"/>
      <c r="DX1268" s="29"/>
      <c r="DY1268" s="29"/>
      <c r="DZ1268" s="29"/>
      <c r="EA1268" s="29"/>
      <c r="EB1268" s="29"/>
      <c r="EC1268" s="29"/>
      <c r="ED1268" s="29"/>
      <c r="EE1268" s="29"/>
      <c r="EF1268" s="111"/>
      <c r="EG1268" s="111"/>
      <c r="EH1268" s="111"/>
      <c r="EI1268" s="111"/>
      <c r="EJ1268" s="111"/>
      <c r="EK1268" s="111"/>
      <c r="EL1268" s="111"/>
      <c r="EM1268" s="111"/>
      <c r="EN1268" s="111"/>
      <c r="EO1268" s="111"/>
      <c r="EP1268" s="111"/>
      <c r="EQ1268" s="111"/>
      <c r="ER1268" s="111"/>
      <c r="ES1268" s="111"/>
    </row>
    <row r="1269" spans="44:149">
      <c r="AR1269" s="29"/>
      <c r="AS1269" s="29"/>
      <c r="AT1269" s="29"/>
      <c r="AU1269" s="29"/>
      <c r="AV1269" s="29"/>
      <c r="AW1269" s="29"/>
      <c r="AX1269" s="29"/>
      <c r="AY1269" s="29"/>
      <c r="AZ1269" s="29"/>
      <c r="BA1269" s="29"/>
      <c r="BB1269" s="29"/>
      <c r="BC1269" s="29"/>
      <c r="BD1269" s="29"/>
      <c r="BE1269" s="29"/>
      <c r="BF1269" s="111"/>
      <c r="BG1269" s="111"/>
      <c r="BH1269" s="111"/>
      <c r="BI1269" s="111"/>
      <c r="BJ1269" s="111"/>
      <c r="BK1269" s="111"/>
      <c r="BL1269" s="111"/>
      <c r="BM1269" s="111"/>
      <c r="BN1269" s="111"/>
      <c r="BO1269" s="111"/>
      <c r="BP1269" s="111"/>
      <c r="BQ1269" s="111"/>
      <c r="BR1269" s="111"/>
      <c r="BS1269" s="111"/>
      <c r="DR1269" s="29"/>
      <c r="DS1269" s="29"/>
      <c r="DT1269" s="29"/>
      <c r="DU1269" s="29"/>
      <c r="DV1269" s="29"/>
      <c r="DW1269" s="29"/>
      <c r="DX1269" s="29"/>
      <c r="DY1269" s="29"/>
      <c r="DZ1269" s="29"/>
      <c r="EA1269" s="29"/>
      <c r="EB1269" s="29"/>
      <c r="EC1269" s="29"/>
      <c r="ED1269" s="29"/>
      <c r="EE1269" s="29"/>
      <c r="EF1269" s="111"/>
      <c r="EG1269" s="111"/>
      <c r="EH1269" s="111"/>
      <c r="EI1269" s="111"/>
      <c r="EJ1269" s="111"/>
      <c r="EK1269" s="111"/>
      <c r="EL1269" s="111"/>
      <c r="EM1269" s="111"/>
      <c r="EN1269" s="111"/>
      <c r="EO1269" s="111"/>
      <c r="EP1269" s="111"/>
      <c r="EQ1269" s="111"/>
      <c r="ER1269" s="111"/>
      <c r="ES1269" s="111"/>
    </row>
    <row r="1270" spans="44:149">
      <c r="AR1270" s="29"/>
      <c r="AS1270" s="29"/>
      <c r="AT1270" s="29"/>
      <c r="AU1270" s="29"/>
      <c r="AV1270" s="29"/>
      <c r="AW1270" s="29"/>
      <c r="AX1270" s="29"/>
      <c r="AY1270" s="29"/>
      <c r="AZ1270" s="29"/>
      <c r="BA1270" s="29"/>
      <c r="BB1270" s="29"/>
      <c r="BC1270" s="29"/>
      <c r="BD1270" s="29"/>
      <c r="BE1270" s="29"/>
      <c r="BF1270" s="111"/>
      <c r="BG1270" s="111"/>
      <c r="BH1270" s="111"/>
      <c r="BI1270" s="111"/>
      <c r="BJ1270" s="111"/>
      <c r="BK1270" s="111"/>
      <c r="BL1270" s="111"/>
      <c r="BM1270" s="111"/>
      <c r="BN1270" s="111"/>
      <c r="BO1270" s="111"/>
      <c r="BP1270" s="111"/>
      <c r="BQ1270" s="111"/>
      <c r="BR1270" s="111"/>
      <c r="BS1270" s="111"/>
      <c r="DR1270" s="29"/>
      <c r="DS1270" s="29"/>
      <c r="DT1270" s="29"/>
      <c r="DU1270" s="29"/>
      <c r="DV1270" s="29"/>
      <c r="DW1270" s="29"/>
      <c r="DX1270" s="29"/>
      <c r="DY1270" s="29"/>
      <c r="DZ1270" s="29"/>
      <c r="EA1270" s="29"/>
      <c r="EB1270" s="29"/>
      <c r="EC1270" s="29"/>
      <c r="ED1270" s="29"/>
      <c r="EE1270" s="29"/>
      <c r="EF1270" s="111"/>
      <c r="EG1270" s="111"/>
      <c r="EH1270" s="111"/>
      <c r="EI1270" s="111"/>
      <c r="EJ1270" s="111"/>
      <c r="EK1270" s="111"/>
      <c r="EL1270" s="111"/>
      <c r="EM1270" s="111"/>
      <c r="EN1270" s="111"/>
      <c r="EO1270" s="111"/>
      <c r="EP1270" s="111"/>
      <c r="EQ1270" s="111"/>
      <c r="ER1270" s="111"/>
      <c r="ES1270" s="111"/>
    </row>
    <row r="1271" spans="44:149">
      <c r="AR1271" s="29"/>
      <c r="AS1271" s="29"/>
      <c r="AT1271" s="29"/>
      <c r="AU1271" s="29"/>
      <c r="AV1271" s="29"/>
      <c r="AW1271" s="29"/>
      <c r="AX1271" s="29"/>
      <c r="AY1271" s="29"/>
      <c r="AZ1271" s="29"/>
      <c r="BA1271" s="29"/>
      <c r="BB1271" s="29"/>
      <c r="BC1271" s="29"/>
      <c r="BD1271" s="29"/>
      <c r="BE1271" s="29"/>
      <c r="BF1271" s="111"/>
      <c r="BG1271" s="111"/>
      <c r="BH1271" s="111"/>
      <c r="BI1271" s="111"/>
      <c r="BJ1271" s="111"/>
      <c r="BK1271" s="111"/>
      <c r="BL1271" s="111"/>
      <c r="BM1271" s="111"/>
      <c r="BN1271" s="111"/>
      <c r="BO1271" s="111"/>
      <c r="BP1271" s="111"/>
      <c r="BQ1271" s="111"/>
      <c r="BR1271" s="111"/>
      <c r="BS1271" s="111"/>
      <c r="DR1271" s="29"/>
      <c r="DS1271" s="29"/>
      <c r="DT1271" s="29"/>
      <c r="DU1271" s="29"/>
      <c r="DV1271" s="29"/>
      <c r="DW1271" s="29"/>
      <c r="DX1271" s="29"/>
      <c r="DY1271" s="29"/>
      <c r="DZ1271" s="29"/>
      <c r="EA1271" s="29"/>
      <c r="EB1271" s="29"/>
      <c r="EC1271" s="29"/>
      <c r="ED1271" s="29"/>
      <c r="EE1271" s="29"/>
      <c r="EF1271" s="111"/>
      <c r="EG1271" s="111"/>
      <c r="EH1271" s="111"/>
      <c r="EI1271" s="111"/>
      <c r="EJ1271" s="111"/>
      <c r="EK1271" s="111"/>
      <c r="EL1271" s="111"/>
      <c r="EM1271" s="111"/>
      <c r="EN1271" s="111"/>
      <c r="EO1271" s="111"/>
      <c r="EP1271" s="111"/>
      <c r="EQ1271" s="111"/>
      <c r="ER1271" s="111"/>
      <c r="ES1271" s="111"/>
    </row>
    <row r="1272" spans="44:149">
      <c r="AR1272" s="29"/>
      <c r="AS1272" s="29"/>
      <c r="AT1272" s="29"/>
      <c r="AU1272" s="29"/>
      <c r="AV1272" s="29"/>
      <c r="AW1272" s="29"/>
      <c r="AX1272" s="29"/>
      <c r="AY1272" s="29"/>
      <c r="AZ1272" s="29"/>
      <c r="BA1272" s="29"/>
      <c r="BB1272" s="29"/>
      <c r="BC1272" s="29"/>
      <c r="BD1272" s="29"/>
      <c r="BE1272" s="29"/>
      <c r="BF1272" s="111"/>
      <c r="BG1272" s="111"/>
      <c r="BH1272" s="111"/>
      <c r="BI1272" s="111"/>
      <c r="BJ1272" s="111"/>
      <c r="BK1272" s="111"/>
      <c r="BL1272" s="111"/>
      <c r="BM1272" s="111"/>
      <c r="BN1272" s="111"/>
      <c r="BO1272" s="111"/>
      <c r="BP1272" s="111"/>
      <c r="BQ1272" s="111"/>
      <c r="BR1272" s="111"/>
      <c r="BS1272" s="111"/>
      <c r="DR1272" s="29"/>
      <c r="DS1272" s="29"/>
      <c r="DT1272" s="29"/>
      <c r="DU1272" s="29"/>
      <c r="DV1272" s="29"/>
      <c r="DW1272" s="29"/>
      <c r="DX1272" s="29"/>
      <c r="DY1272" s="29"/>
      <c r="DZ1272" s="29"/>
      <c r="EA1272" s="29"/>
      <c r="EB1272" s="29"/>
      <c r="EC1272" s="29"/>
      <c r="ED1272" s="29"/>
      <c r="EE1272" s="29"/>
      <c r="EF1272" s="111"/>
      <c r="EG1272" s="111"/>
      <c r="EH1272" s="111"/>
      <c r="EI1272" s="111"/>
      <c r="EJ1272" s="111"/>
      <c r="EK1272" s="111"/>
      <c r="EL1272" s="111"/>
      <c r="EM1272" s="111"/>
      <c r="EN1272" s="111"/>
      <c r="EO1272" s="111"/>
      <c r="EP1272" s="111"/>
      <c r="EQ1272" s="111"/>
      <c r="ER1272" s="111"/>
      <c r="ES1272" s="111"/>
    </row>
    <row r="1273" spans="44:149">
      <c r="AR1273" s="29"/>
      <c r="AS1273" s="29"/>
      <c r="AT1273" s="29"/>
      <c r="AU1273" s="29"/>
      <c r="AV1273" s="29"/>
      <c r="AW1273" s="29"/>
      <c r="AX1273" s="29"/>
      <c r="AY1273" s="29"/>
      <c r="AZ1273" s="29"/>
      <c r="BA1273" s="29"/>
      <c r="BB1273" s="29"/>
      <c r="BC1273" s="29"/>
      <c r="BD1273" s="29"/>
      <c r="BE1273" s="29"/>
      <c r="BF1273" s="111"/>
      <c r="BG1273" s="111"/>
      <c r="BH1273" s="111"/>
      <c r="BI1273" s="111"/>
      <c r="BJ1273" s="111"/>
      <c r="BK1273" s="111"/>
      <c r="BL1273" s="111"/>
      <c r="BM1273" s="111"/>
      <c r="BN1273" s="111"/>
      <c r="BO1273" s="111"/>
      <c r="BP1273" s="111"/>
      <c r="BQ1273" s="111"/>
      <c r="BR1273" s="111"/>
      <c r="BS1273" s="111"/>
      <c r="DR1273" s="29"/>
      <c r="DS1273" s="29"/>
      <c r="DT1273" s="29"/>
      <c r="DU1273" s="29"/>
      <c r="DV1273" s="29"/>
      <c r="DW1273" s="29"/>
      <c r="DX1273" s="29"/>
      <c r="DY1273" s="29"/>
      <c r="DZ1273" s="29"/>
      <c r="EA1273" s="29"/>
      <c r="EB1273" s="29"/>
      <c r="EC1273" s="29"/>
      <c r="ED1273" s="29"/>
      <c r="EE1273" s="29"/>
      <c r="EF1273" s="111"/>
      <c r="EG1273" s="111"/>
      <c r="EH1273" s="111"/>
      <c r="EI1273" s="111"/>
      <c r="EJ1273" s="111"/>
      <c r="EK1273" s="111"/>
      <c r="EL1273" s="111"/>
      <c r="EM1273" s="111"/>
      <c r="EN1273" s="111"/>
      <c r="EO1273" s="111"/>
      <c r="EP1273" s="111"/>
      <c r="EQ1273" s="111"/>
      <c r="ER1273" s="111"/>
      <c r="ES1273" s="111"/>
    </row>
    <row r="1274" spans="44:149">
      <c r="AR1274" s="29"/>
      <c r="AS1274" s="29"/>
      <c r="AT1274" s="29"/>
      <c r="AU1274" s="29"/>
      <c r="AV1274" s="29"/>
      <c r="AW1274" s="29"/>
      <c r="AX1274" s="29"/>
      <c r="AY1274" s="29"/>
      <c r="AZ1274" s="29"/>
      <c r="BA1274" s="29"/>
      <c r="BB1274" s="29"/>
      <c r="BC1274" s="29"/>
      <c r="BD1274" s="29"/>
      <c r="BE1274" s="29"/>
      <c r="BF1274" s="111"/>
      <c r="BG1274" s="111"/>
      <c r="BH1274" s="111"/>
      <c r="BI1274" s="111"/>
      <c r="BJ1274" s="111"/>
      <c r="BK1274" s="111"/>
      <c r="BL1274" s="111"/>
      <c r="BM1274" s="111"/>
      <c r="BN1274" s="111"/>
      <c r="BO1274" s="111"/>
      <c r="BP1274" s="111"/>
      <c r="BQ1274" s="111"/>
      <c r="BR1274" s="111"/>
      <c r="BS1274" s="111"/>
      <c r="DR1274" s="29"/>
      <c r="DS1274" s="29"/>
      <c r="DT1274" s="29"/>
      <c r="DU1274" s="29"/>
      <c r="DV1274" s="29"/>
      <c r="DW1274" s="29"/>
      <c r="DX1274" s="29"/>
      <c r="DY1274" s="29"/>
      <c r="DZ1274" s="29"/>
      <c r="EA1274" s="29"/>
      <c r="EB1274" s="29"/>
      <c r="EC1274" s="29"/>
      <c r="ED1274" s="29"/>
      <c r="EE1274" s="29"/>
      <c r="EF1274" s="111"/>
      <c r="EG1274" s="111"/>
      <c r="EH1274" s="111"/>
      <c r="EI1274" s="111"/>
      <c r="EJ1274" s="111"/>
      <c r="EK1274" s="111"/>
      <c r="EL1274" s="111"/>
      <c r="EM1274" s="111"/>
      <c r="EN1274" s="111"/>
      <c r="EO1274" s="111"/>
      <c r="EP1274" s="111"/>
      <c r="EQ1274" s="111"/>
      <c r="ER1274" s="111"/>
      <c r="ES1274" s="111"/>
    </row>
    <row r="1275" spans="44:149">
      <c r="AR1275" s="29"/>
      <c r="AS1275" s="29"/>
      <c r="AT1275" s="29"/>
      <c r="AU1275" s="29"/>
      <c r="AV1275" s="29"/>
      <c r="AW1275" s="29"/>
      <c r="AX1275" s="29"/>
      <c r="AY1275" s="29"/>
      <c r="AZ1275" s="29"/>
      <c r="BA1275" s="29"/>
      <c r="BB1275" s="29"/>
      <c r="BC1275" s="29"/>
      <c r="BD1275" s="29"/>
      <c r="BE1275" s="29"/>
      <c r="BF1275" s="111"/>
      <c r="BG1275" s="111"/>
      <c r="BH1275" s="111"/>
      <c r="BI1275" s="111"/>
      <c r="BJ1275" s="111"/>
      <c r="BK1275" s="111"/>
      <c r="BL1275" s="111"/>
      <c r="BM1275" s="111"/>
      <c r="BN1275" s="111"/>
      <c r="BO1275" s="111"/>
      <c r="BP1275" s="111"/>
      <c r="BQ1275" s="111"/>
      <c r="BR1275" s="111"/>
      <c r="BS1275" s="111"/>
      <c r="DR1275" s="29"/>
      <c r="DS1275" s="29"/>
      <c r="DT1275" s="29"/>
      <c r="DU1275" s="29"/>
      <c r="DV1275" s="29"/>
      <c r="DW1275" s="29"/>
      <c r="DX1275" s="29"/>
      <c r="DY1275" s="29"/>
      <c r="DZ1275" s="29"/>
      <c r="EA1275" s="29"/>
      <c r="EB1275" s="29"/>
      <c r="EC1275" s="29"/>
      <c r="ED1275" s="29"/>
      <c r="EE1275" s="29"/>
      <c r="EF1275" s="111"/>
      <c r="EG1275" s="111"/>
      <c r="EH1275" s="111"/>
      <c r="EI1275" s="111"/>
      <c r="EJ1275" s="111"/>
      <c r="EK1275" s="111"/>
      <c r="EL1275" s="111"/>
      <c r="EM1275" s="111"/>
      <c r="EN1275" s="111"/>
      <c r="EO1275" s="111"/>
      <c r="EP1275" s="111"/>
      <c r="EQ1275" s="111"/>
      <c r="ER1275" s="111"/>
      <c r="ES1275" s="111"/>
    </row>
    <row r="1276" spans="44:149">
      <c r="AR1276" s="29"/>
      <c r="AS1276" s="29"/>
      <c r="AT1276" s="29"/>
      <c r="AU1276" s="29"/>
      <c r="AV1276" s="29"/>
      <c r="AW1276" s="29"/>
      <c r="AX1276" s="29"/>
      <c r="AY1276" s="29"/>
      <c r="AZ1276" s="29"/>
      <c r="BA1276" s="29"/>
      <c r="BB1276" s="29"/>
      <c r="BC1276" s="29"/>
      <c r="BD1276" s="29"/>
      <c r="BE1276" s="29"/>
      <c r="BF1276" s="111"/>
      <c r="BG1276" s="111"/>
      <c r="BH1276" s="111"/>
      <c r="BI1276" s="111"/>
      <c r="BJ1276" s="111"/>
      <c r="BK1276" s="111"/>
      <c r="BL1276" s="111"/>
      <c r="BM1276" s="111"/>
      <c r="BN1276" s="111"/>
      <c r="BO1276" s="111"/>
      <c r="BP1276" s="111"/>
      <c r="BQ1276" s="111"/>
      <c r="BR1276" s="111"/>
      <c r="BS1276" s="111"/>
      <c r="DR1276" s="29"/>
      <c r="DS1276" s="29"/>
      <c r="DT1276" s="29"/>
      <c r="DU1276" s="29"/>
      <c r="DV1276" s="29"/>
      <c r="DW1276" s="29"/>
      <c r="DX1276" s="29"/>
      <c r="DY1276" s="29"/>
      <c r="DZ1276" s="29"/>
      <c r="EA1276" s="29"/>
      <c r="EB1276" s="29"/>
      <c r="EC1276" s="29"/>
      <c r="ED1276" s="29"/>
      <c r="EE1276" s="29"/>
      <c r="EF1276" s="111"/>
      <c r="EG1276" s="111"/>
      <c r="EH1276" s="111"/>
      <c r="EI1276" s="111"/>
      <c r="EJ1276" s="111"/>
      <c r="EK1276" s="111"/>
      <c r="EL1276" s="111"/>
      <c r="EM1276" s="111"/>
      <c r="EN1276" s="111"/>
      <c r="EO1276" s="111"/>
      <c r="EP1276" s="111"/>
      <c r="EQ1276" s="111"/>
      <c r="ER1276" s="111"/>
      <c r="ES1276" s="111"/>
    </row>
    <row r="1277" spans="44:149">
      <c r="AR1277" s="29"/>
      <c r="AS1277" s="29"/>
      <c r="AT1277" s="29"/>
      <c r="AU1277" s="29"/>
      <c r="AV1277" s="29"/>
      <c r="AW1277" s="29"/>
      <c r="AX1277" s="29"/>
      <c r="AY1277" s="29"/>
      <c r="AZ1277" s="29"/>
      <c r="BA1277" s="29"/>
      <c r="BB1277" s="29"/>
      <c r="BC1277" s="29"/>
      <c r="BD1277" s="29"/>
      <c r="BE1277" s="29"/>
      <c r="BF1277" s="111"/>
      <c r="BG1277" s="111"/>
      <c r="BH1277" s="111"/>
      <c r="BI1277" s="111"/>
      <c r="BJ1277" s="111"/>
      <c r="BK1277" s="111"/>
      <c r="BL1277" s="111"/>
      <c r="BM1277" s="111"/>
      <c r="BN1277" s="111"/>
      <c r="BO1277" s="111"/>
      <c r="BP1277" s="111"/>
      <c r="BQ1277" s="111"/>
      <c r="BR1277" s="111"/>
      <c r="BS1277" s="111"/>
      <c r="DR1277" s="29"/>
      <c r="DS1277" s="29"/>
      <c r="DT1277" s="29"/>
      <c r="DU1277" s="29"/>
      <c r="DV1277" s="29"/>
      <c r="DW1277" s="29"/>
      <c r="DX1277" s="29"/>
      <c r="DY1277" s="29"/>
      <c r="DZ1277" s="29"/>
      <c r="EA1277" s="29"/>
      <c r="EB1277" s="29"/>
      <c r="EC1277" s="29"/>
      <c r="ED1277" s="29"/>
      <c r="EE1277" s="29"/>
      <c r="EF1277" s="111"/>
      <c r="EG1277" s="111"/>
      <c r="EH1277" s="111"/>
      <c r="EI1277" s="111"/>
      <c r="EJ1277" s="111"/>
      <c r="EK1277" s="111"/>
      <c r="EL1277" s="111"/>
      <c r="EM1277" s="111"/>
      <c r="EN1277" s="111"/>
      <c r="EO1277" s="111"/>
      <c r="EP1277" s="111"/>
      <c r="EQ1277" s="111"/>
      <c r="ER1277" s="111"/>
      <c r="ES1277" s="111"/>
    </row>
    <row r="1278" spans="44:149">
      <c r="AR1278" s="29"/>
      <c r="AS1278" s="29"/>
      <c r="AT1278" s="29"/>
      <c r="AU1278" s="29"/>
      <c r="AV1278" s="29"/>
      <c r="AW1278" s="29"/>
      <c r="AX1278" s="29"/>
      <c r="AY1278" s="29"/>
      <c r="AZ1278" s="29"/>
      <c r="BA1278" s="29"/>
      <c r="BB1278" s="29"/>
      <c r="BC1278" s="29"/>
      <c r="BD1278" s="29"/>
      <c r="BE1278" s="29"/>
      <c r="BF1278" s="111"/>
      <c r="BG1278" s="111"/>
      <c r="BH1278" s="111"/>
      <c r="BI1278" s="111"/>
      <c r="BJ1278" s="111"/>
      <c r="BK1278" s="111"/>
      <c r="BL1278" s="111"/>
      <c r="BM1278" s="111"/>
      <c r="BN1278" s="111"/>
      <c r="BO1278" s="111"/>
      <c r="BP1278" s="111"/>
      <c r="BQ1278" s="111"/>
      <c r="BR1278" s="111"/>
      <c r="BS1278" s="111"/>
      <c r="DR1278" s="29"/>
      <c r="DS1278" s="29"/>
      <c r="DT1278" s="29"/>
      <c r="DU1278" s="29"/>
      <c r="DV1278" s="29"/>
      <c r="DW1278" s="29"/>
      <c r="DX1278" s="29"/>
      <c r="DY1278" s="29"/>
      <c r="DZ1278" s="29"/>
      <c r="EA1278" s="29"/>
      <c r="EB1278" s="29"/>
      <c r="EC1278" s="29"/>
      <c r="ED1278" s="29"/>
      <c r="EE1278" s="29"/>
      <c r="EF1278" s="111"/>
      <c r="EG1278" s="111"/>
      <c r="EH1278" s="111"/>
      <c r="EI1278" s="111"/>
      <c r="EJ1278" s="111"/>
      <c r="EK1278" s="111"/>
      <c r="EL1278" s="111"/>
      <c r="EM1278" s="111"/>
      <c r="EN1278" s="111"/>
      <c r="EO1278" s="111"/>
      <c r="EP1278" s="111"/>
      <c r="EQ1278" s="111"/>
      <c r="ER1278" s="111"/>
      <c r="ES1278" s="111"/>
    </row>
    <row r="1279" spans="44:149">
      <c r="AR1279" s="29"/>
      <c r="AS1279" s="29"/>
      <c r="AT1279" s="29"/>
      <c r="AU1279" s="29"/>
      <c r="AV1279" s="29"/>
      <c r="AW1279" s="29"/>
      <c r="AX1279" s="29"/>
      <c r="AY1279" s="29"/>
      <c r="AZ1279" s="29"/>
      <c r="BA1279" s="29"/>
      <c r="BB1279" s="29"/>
      <c r="BC1279" s="29"/>
      <c r="BD1279" s="29"/>
      <c r="BE1279" s="29"/>
      <c r="BF1279" s="111"/>
      <c r="BG1279" s="111"/>
      <c r="BH1279" s="111"/>
      <c r="BI1279" s="111"/>
      <c r="BJ1279" s="111"/>
      <c r="BK1279" s="111"/>
      <c r="BL1279" s="111"/>
      <c r="BM1279" s="111"/>
      <c r="BN1279" s="111"/>
      <c r="BO1279" s="111"/>
      <c r="BP1279" s="111"/>
      <c r="BQ1279" s="111"/>
      <c r="BR1279" s="111"/>
      <c r="BS1279" s="111"/>
      <c r="DR1279" s="29"/>
      <c r="DS1279" s="29"/>
      <c r="DT1279" s="29"/>
      <c r="DU1279" s="29"/>
      <c r="DV1279" s="29"/>
      <c r="DW1279" s="29"/>
      <c r="DX1279" s="29"/>
      <c r="DY1279" s="29"/>
      <c r="DZ1279" s="29"/>
      <c r="EA1279" s="29"/>
      <c r="EB1279" s="29"/>
      <c r="EC1279" s="29"/>
      <c r="ED1279" s="29"/>
      <c r="EE1279" s="29"/>
      <c r="EF1279" s="111"/>
      <c r="EG1279" s="111"/>
      <c r="EH1279" s="111"/>
      <c r="EI1279" s="111"/>
      <c r="EJ1279" s="111"/>
      <c r="EK1279" s="111"/>
      <c r="EL1279" s="111"/>
      <c r="EM1279" s="111"/>
      <c r="EN1279" s="111"/>
      <c r="EO1279" s="111"/>
      <c r="EP1279" s="111"/>
      <c r="EQ1279" s="111"/>
      <c r="ER1279" s="111"/>
      <c r="ES1279" s="111"/>
    </row>
    <row r="1280" spans="44:149">
      <c r="AR1280" s="29"/>
      <c r="AS1280" s="29"/>
      <c r="AT1280" s="29"/>
      <c r="AU1280" s="29"/>
      <c r="AV1280" s="29"/>
      <c r="AW1280" s="29"/>
      <c r="AX1280" s="29"/>
      <c r="AY1280" s="29"/>
      <c r="AZ1280" s="29"/>
      <c r="BA1280" s="29"/>
      <c r="BB1280" s="29"/>
      <c r="BC1280" s="29"/>
      <c r="BD1280" s="29"/>
      <c r="BE1280" s="29"/>
      <c r="BF1280" s="111"/>
      <c r="BG1280" s="111"/>
      <c r="BH1280" s="111"/>
      <c r="BI1280" s="111"/>
      <c r="BJ1280" s="111"/>
      <c r="BK1280" s="111"/>
      <c r="BL1280" s="111"/>
      <c r="BM1280" s="111"/>
      <c r="BN1280" s="111"/>
      <c r="BO1280" s="111"/>
      <c r="BP1280" s="111"/>
      <c r="BQ1280" s="111"/>
      <c r="BR1280" s="111"/>
      <c r="BS1280" s="111"/>
      <c r="DR1280" s="29"/>
      <c r="DS1280" s="29"/>
      <c r="DT1280" s="29"/>
      <c r="DU1280" s="29"/>
      <c r="DV1280" s="29"/>
      <c r="DW1280" s="29"/>
      <c r="DX1280" s="29"/>
      <c r="DY1280" s="29"/>
      <c r="DZ1280" s="29"/>
      <c r="EA1280" s="29"/>
      <c r="EB1280" s="29"/>
      <c r="EC1280" s="29"/>
      <c r="ED1280" s="29"/>
      <c r="EE1280" s="29"/>
      <c r="EF1280" s="111"/>
      <c r="EG1280" s="111"/>
      <c r="EH1280" s="111"/>
      <c r="EI1280" s="111"/>
      <c r="EJ1280" s="111"/>
      <c r="EK1280" s="111"/>
      <c r="EL1280" s="111"/>
      <c r="EM1280" s="111"/>
      <c r="EN1280" s="111"/>
      <c r="EO1280" s="111"/>
      <c r="EP1280" s="111"/>
      <c r="EQ1280" s="111"/>
      <c r="ER1280" s="111"/>
      <c r="ES1280" s="111"/>
    </row>
    <row r="1281" spans="44:149">
      <c r="AR1281" s="29"/>
      <c r="AS1281" s="29"/>
      <c r="AT1281" s="29"/>
      <c r="AU1281" s="29"/>
      <c r="AV1281" s="29"/>
      <c r="AW1281" s="29"/>
      <c r="AX1281" s="29"/>
      <c r="AY1281" s="29"/>
      <c r="AZ1281" s="29"/>
      <c r="BA1281" s="29"/>
      <c r="BB1281" s="29"/>
      <c r="BC1281" s="29"/>
      <c r="BD1281" s="29"/>
      <c r="BE1281" s="29"/>
      <c r="BF1281" s="111"/>
      <c r="BG1281" s="111"/>
      <c r="BH1281" s="111"/>
      <c r="BI1281" s="111"/>
      <c r="BJ1281" s="111"/>
      <c r="BK1281" s="111"/>
      <c r="BL1281" s="111"/>
      <c r="BM1281" s="111"/>
      <c r="BN1281" s="111"/>
      <c r="BO1281" s="111"/>
      <c r="BP1281" s="111"/>
      <c r="BQ1281" s="111"/>
      <c r="BR1281" s="111"/>
      <c r="BS1281" s="111"/>
      <c r="DR1281" s="29"/>
      <c r="DS1281" s="29"/>
      <c r="DT1281" s="29"/>
      <c r="DU1281" s="29"/>
      <c r="DV1281" s="29"/>
      <c r="DW1281" s="29"/>
      <c r="DX1281" s="29"/>
      <c r="DY1281" s="29"/>
      <c r="DZ1281" s="29"/>
      <c r="EA1281" s="29"/>
      <c r="EB1281" s="29"/>
      <c r="EC1281" s="29"/>
      <c r="ED1281" s="29"/>
      <c r="EE1281" s="29"/>
      <c r="EF1281" s="111"/>
      <c r="EG1281" s="111"/>
      <c r="EH1281" s="111"/>
      <c r="EI1281" s="111"/>
      <c r="EJ1281" s="111"/>
      <c r="EK1281" s="111"/>
      <c r="EL1281" s="111"/>
      <c r="EM1281" s="111"/>
      <c r="EN1281" s="111"/>
      <c r="EO1281" s="111"/>
      <c r="EP1281" s="111"/>
      <c r="EQ1281" s="111"/>
      <c r="ER1281" s="111"/>
      <c r="ES1281" s="111"/>
    </row>
    <row r="1282" spans="44:149">
      <c r="AR1282" s="29"/>
      <c r="AS1282" s="29"/>
      <c r="AT1282" s="29"/>
      <c r="AU1282" s="29"/>
      <c r="AV1282" s="29"/>
      <c r="AW1282" s="29"/>
      <c r="AX1282" s="29"/>
      <c r="AY1282" s="29"/>
      <c r="AZ1282" s="29"/>
      <c r="BA1282" s="29"/>
      <c r="BB1282" s="29"/>
      <c r="BC1282" s="29"/>
      <c r="BD1282" s="29"/>
      <c r="BE1282" s="29"/>
      <c r="BF1282" s="111"/>
      <c r="BG1282" s="111"/>
      <c r="BH1282" s="111"/>
      <c r="BI1282" s="111"/>
      <c r="BJ1282" s="111"/>
      <c r="BK1282" s="111"/>
      <c r="BL1282" s="111"/>
      <c r="BM1282" s="111"/>
      <c r="BN1282" s="111"/>
      <c r="BO1282" s="111"/>
      <c r="BP1282" s="111"/>
      <c r="BQ1282" s="111"/>
      <c r="BR1282" s="111"/>
      <c r="BS1282" s="111"/>
      <c r="DR1282" s="29"/>
      <c r="DS1282" s="29"/>
      <c r="DT1282" s="29"/>
      <c r="DU1282" s="29"/>
      <c r="DV1282" s="29"/>
      <c r="DW1282" s="29"/>
      <c r="DX1282" s="29"/>
      <c r="DY1282" s="29"/>
      <c r="DZ1282" s="29"/>
      <c r="EA1282" s="29"/>
      <c r="EB1282" s="29"/>
      <c r="EC1282" s="29"/>
      <c r="ED1282" s="29"/>
      <c r="EE1282" s="29"/>
      <c r="EF1282" s="111"/>
      <c r="EG1282" s="111"/>
      <c r="EH1282" s="111"/>
      <c r="EI1282" s="111"/>
      <c r="EJ1282" s="111"/>
      <c r="EK1282" s="111"/>
      <c r="EL1282" s="111"/>
      <c r="EM1282" s="111"/>
      <c r="EN1282" s="111"/>
      <c r="EO1282" s="111"/>
      <c r="EP1282" s="111"/>
      <c r="EQ1282" s="111"/>
      <c r="ER1282" s="111"/>
      <c r="ES1282" s="111"/>
    </row>
    <row r="1283" spans="44:149">
      <c r="AR1283" s="29"/>
      <c r="AS1283" s="29"/>
      <c r="AT1283" s="29"/>
      <c r="AU1283" s="29"/>
      <c r="AV1283" s="29"/>
      <c r="AW1283" s="29"/>
      <c r="AX1283" s="29"/>
      <c r="AY1283" s="29"/>
      <c r="AZ1283" s="29"/>
      <c r="BA1283" s="29"/>
      <c r="BB1283" s="29"/>
      <c r="BC1283" s="29"/>
      <c r="BD1283" s="29"/>
      <c r="BE1283" s="29"/>
      <c r="BF1283" s="111"/>
      <c r="BG1283" s="111"/>
      <c r="BH1283" s="111"/>
      <c r="BI1283" s="111"/>
      <c r="BJ1283" s="111"/>
      <c r="BK1283" s="111"/>
      <c r="BL1283" s="111"/>
      <c r="BM1283" s="111"/>
      <c r="BN1283" s="111"/>
      <c r="BO1283" s="111"/>
      <c r="BP1283" s="111"/>
      <c r="BQ1283" s="111"/>
      <c r="BR1283" s="111"/>
      <c r="BS1283" s="111"/>
      <c r="DR1283" s="29"/>
      <c r="DS1283" s="29"/>
      <c r="DT1283" s="29"/>
      <c r="DU1283" s="29"/>
      <c r="DV1283" s="29"/>
      <c r="DW1283" s="29"/>
      <c r="DX1283" s="29"/>
      <c r="DY1283" s="29"/>
      <c r="DZ1283" s="29"/>
      <c r="EA1283" s="29"/>
      <c r="EB1283" s="29"/>
      <c r="EC1283" s="29"/>
      <c r="ED1283" s="29"/>
      <c r="EE1283" s="29"/>
      <c r="EF1283" s="111"/>
      <c r="EG1283" s="111"/>
      <c r="EH1283" s="111"/>
      <c r="EI1283" s="111"/>
      <c r="EJ1283" s="111"/>
      <c r="EK1283" s="111"/>
      <c r="EL1283" s="111"/>
      <c r="EM1283" s="111"/>
      <c r="EN1283" s="111"/>
      <c r="EO1283" s="111"/>
      <c r="EP1283" s="111"/>
      <c r="EQ1283" s="111"/>
      <c r="ER1283" s="111"/>
      <c r="ES1283" s="111"/>
    </row>
    <row r="1284" spans="44:149">
      <c r="AR1284" s="29"/>
      <c r="AS1284" s="29"/>
      <c r="AT1284" s="29"/>
      <c r="AU1284" s="29"/>
      <c r="AV1284" s="29"/>
      <c r="AW1284" s="29"/>
      <c r="AX1284" s="29"/>
      <c r="AY1284" s="29"/>
      <c r="AZ1284" s="29"/>
      <c r="BA1284" s="29"/>
      <c r="BB1284" s="29"/>
      <c r="BC1284" s="29"/>
      <c r="BD1284" s="29"/>
      <c r="BE1284" s="29"/>
      <c r="BF1284" s="111"/>
      <c r="BG1284" s="111"/>
      <c r="BH1284" s="111"/>
      <c r="BI1284" s="111"/>
      <c r="BJ1284" s="111"/>
      <c r="BK1284" s="111"/>
      <c r="BL1284" s="111"/>
      <c r="BM1284" s="111"/>
      <c r="BN1284" s="111"/>
      <c r="BO1284" s="111"/>
      <c r="BP1284" s="111"/>
      <c r="BQ1284" s="111"/>
      <c r="BR1284" s="111"/>
      <c r="BS1284" s="111"/>
      <c r="DR1284" s="29"/>
      <c r="DS1284" s="29"/>
      <c r="DT1284" s="29"/>
      <c r="DU1284" s="29"/>
      <c r="DV1284" s="29"/>
      <c r="DW1284" s="29"/>
      <c r="DX1284" s="29"/>
      <c r="DY1284" s="29"/>
      <c r="DZ1284" s="29"/>
      <c r="EA1284" s="29"/>
      <c r="EB1284" s="29"/>
      <c r="EC1284" s="29"/>
      <c r="ED1284" s="29"/>
      <c r="EE1284" s="29"/>
      <c r="EF1284" s="111"/>
      <c r="EG1284" s="111"/>
      <c r="EH1284" s="111"/>
      <c r="EI1284" s="111"/>
      <c r="EJ1284" s="111"/>
      <c r="EK1284" s="111"/>
      <c r="EL1284" s="111"/>
      <c r="EM1284" s="111"/>
      <c r="EN1284" s="111"/>
      <c r="EO1284" s="111"/>
      <c r="EP1284" s="111"/>
      <c r="EQ1284" s="111"/>
      <c r="ER1284" s="111"/>
      <c r="ES1284" s="111"/>
    </row>
    <row r="1285" spans="44:149">
      <c r="AR1285" s="29"/>
      <c r="AS1285" s="29"/>
      <c r="AT1285" s="29"/>
      <c r="AU1285" s="29"/>
      <c r="AV1285" s="29"/>
      <c r="AW1285" s="29"/>
      <c r="AX1285" s="29"/>
      <c r="AY1285" s="29"/>
      <c r="AZ1285" s="29"/>
      <c r="BA1285" s="29"/>
      <c r="BB1285" s="29"/>
      <c r="BC1285" s="29"/>
      <c r="BD1285" s="29"/>
      <c r="BE1285" s="29"/>
      <c r="BF1285" s="111"/>
      <c r="BG1285" s="111"/>
      <c r="BH1285" s="111"/>
      <c r="BI1285" s="111"/>
      <c r="BJ1285" s="111"/>
      <c r="BK1285" s="111"/>
      <c r="BL1285" s="111"/>
      <c r="BM1285" s="111"/>
      <c r="BN1285" s="111"/>
      <c r="BO1285" s="111"/>
      <c r="BP1285" s="111"/>
      <c r="BQ1285" s="111"/>
      <c r="BR1285" s="111"/>
      <c r="BS1285" s="111"/>
      <c r="DR1285" s="29"/>
      <c r="DS1285" s="29"/>
      <c r="DT1285" s="29"/>
      <c r="DU1285" s="29"/>
      <c r="DV1285" s="29"/>
      <c r="DW1285" s="29"/>
      <c r="DX1285" s="29"/>
      <c r="DY1285" s="29"/>
      <c r="DZ1285" s="29"/>
      <c r="EA1285" s="29"/>
      <c r="EB1285" s="29"/>
      <c r="EC1285" s="29"/>
      <c r="ED1285" s="29"/>
      <c r="EE1285" s="29"/>
      <c r="EF1285" s="111"/>
      <c r="EG1285" s="111"/>
      <c r="EH1285" s="111"/>
      <c r="EI1285" s="111"/>
      <c r="EJ1285" s="111"/>
      <c r="EK1285" s="111"/>
      <c r="EL1285" s="111"/>
      <c r="EM1285" s="111"/>
      <c r="EN1285" s="111"/>
      <c r="EO1285" s="111"/>
      <c r="EP1285" s="111"/>
      <c r="EQ1285" s="111"/>
      <c r="ER1285" s="111"/>
      <c r="ES1285" s="111"/>
    </row>
    <row r="1286" spans="44:149">
      <c r="AR1286" s="29"/>
      <c r="AS1286" s="29"/>
      <c r="AT1286" s="29"/>
      <c r="AU1286" s="29"/>
      <c r="AV1286" s="29"/>
      <c r="AW1286" s="29"/>
      <c r="AX1286" s="29"/>
      <c r="AY1286" s="29"/>
      <c r="AZ1286" s="29"/>
      <c r="BA1286" s="29"/>
      <c r="BB1286" s="29"/>
      <c r="BC1286" s="29"/>
      <c r="BD1286" s="29"/>
      <c r="BE1286" s="29"/>
      <c r="BF1286" s="111"/>
      <c r="BG1286" s="111"/>
      <c r="BH1286" s="111"/>
      <c r="BI1286" s="111"/>
      <c r="BJ1286" s="111"/>
      <c r="BK1286" s="111"/>
      <c r="BL1286" s="111"/>
      <c r="BM1286" s="111"/>
      <c r="BN1286" s="111"/>
      <c r="BO1286" s="111"/>
      <c r="BP1286" s="111"/>
      <c r="BQ1286" s="111"/>
      <c r="BR1286" s="111"/>
      <c r="BS1286" s="111"/>
      <c r="DR1286" s="29"/>
      <c r="DS1286" s="29"/>
      <c r="DT1286" s="29"/>
      <c r="DU1286" s="29"/>
      <c r="DV1286" s="29"/>
      <c r="DW1286" s="29"/>
      <c r="DX1286" s="29"/>
      <c r="DY1286" s="29"/>
      <c r="DZ1286" s="29"/>
      <c r="EA1286" s="29"/>
      <c r="EB1286" s="29"/>
      <c r="EC1286" s="29"/>
      <c r="ED1286" s="29"/>
      <c r="EE1286" s="29"/>
      <c r="EF1286" s="111"/>
      <c r="EG1286" s="111"/>
      <c r="EH1286" s="111"/>
      <c r="EI1286" s="111"/>
      <c r="EJ1286" s="111"/>
      <c r="EK1286" s="111"/>
      <c r="EL1286" s="111"/>
      <c r="EM1286" s="111"/>
      <c r="EN1286" s="111"/>
      <c r="EO1286" s="111"/>
      <c r="EP1286" s="111"/>
      <c r="EQ1286" s="111"/>
      <c r="ER1286" s="111"/>
      <c r="ES1286" s="111"/>
    </row>
    <row r="1287" spans="44:149">
      <c r="AR1287" s="29"/>
      <c r="AS1287" s="29"/>
      <c r="AT1287" s="29"/>
      <c r="AU1287" s="29"/>
      <c r="AV1287" s="29"/>
      <c r="AW1287" s="29"/>
      <c r="AX1287" s="29"/>
      <c r="AY1287" s="29"/>
      <c r="AZ1287" s="29"/>
      <c r="BA1287" s="29"/>
      <c r="BB1287" s="29"/>
      <c r="BC1287" s="29"/>
      <c r="BD1287" s="29"/>
      <c r="BE1287" s="29"/>
      <c r="BF1287" s="111"/>
      <c r="BG1287" s="111"/>
      <c r="BH1287" s="111"/>
      <c r="BI1287" s="111"/>
      <c r="BJ1287" s="111"/>
      <c r="BK1287" s="111"/>
      <c r="BL1287" s="111"/>
      <c r="BM1287" s="111"/>
      <c r="BN1287" s="111"/>
      <c r="BO1287" s="111"/>
      <c r="BP1287" s="111"/>
      <c r="BQ1287" s="111"/>
      <c r="BR1287" s="111"/>
      <c r="BS1287" s="111"/>
      <c r="DR1287" s="29"/>
      <c r="DS1287" s="29"/>
      <c r="DT1287" s="29"/>
      <c r="DU1287" s="29"/>
      <c r="DV1287" s="29"/>
      <c r="DW1287" s="29"/>
      <c r="DX1287" s="29"/>
      <c r="DY1287" s="29"/>
      <c r="DZ1287" s="29"/>
      <c r="EA1287" s="29"/>
      <c r="EB1287" s="29"/>
      <c r="EC1287" s="29"/>
      <c r="ED1287" s="29"/>
      <c r="EE1287" s="29"/>
      <c r="EF1287" s="111"/>
      <c r="EG1287" s="111"/>
      <c r="EH1287" s="111"/>
      <c r="EI1287" s="111"/>
      <c r="EJ1287" s="111"/>
      <c r="EK1287" s="111"/>
      <c r="EL1287" s="111"/>
      <c r="EM1287" s="111"/>
      <c r="EN1287" s="111"/>
      <c r="EO1287" s="111"/>
      <c r="EP1287" s="111"/>
      <c r="EQ1287" s="111"/>
      <c r="ER1287" s="111"/>
      <c r="ES1287" s="111"/>
    </row>
    <row r="1288" spans="44:149">
      <c r="AR1288" s="29"/>
      <c r="AS1288" s="29"/>
      <c r="AT1288" s="29"/>
      <c r="AU1288" s="29"/>
      <c r="AV1288" s="29"/>
      <c r="AW1288" s="29"/>
      <c r="AX1288" s="29"/>
      <c r="AY1288" s="29"/>
      <c r="AZ1288" s="29"/>
      <c r="BA1288" s="29"/>
      <c r="BB1288" s="29"/>
      <c r="BC1288" s="29"/>
      <c r="BD1288" s="29"/>
      <c r="BE1288" s="29"/>
      <c r="BF1288" s="111"/>
      <c r="BG1288" s="111"/>
      <c r="BH1288" s="111"/>
      <c r="BI1288" s="111"/>
      <c r="BJ1288" s="111"/>
      <c r="BK1288" s="111"/>
      <c r="BL1288" s="111"/>
      <c r="BM1288" s="111"/>
      <c r="BN1288" s="111"/>
      <c r="BO1288" s="111"/>
      <c r="BP1288" s="111"/>
      <c r="BQ1288" s="111"/>
      <c r="BR1288" s="111"/>
      <c r="BS1288" s="111"/>
      <c r="DR1288" s="29"/>
      <c r="DS1288" s="29"/>
      <c r="DT1288" s="29"/>
      <c r="DU1288" s="29"/>
      <c r="DV1288" s="29"/>
      <c r="DW1288" s="29"/>
      <c r="DX1288" s="29"/>
      <c r="DY1288" s="29"/>
      <c r="DZ1288" s="29"/>
      <c r="EA1288" s="29"/>
      <c r="EB1288" s="29"/>
      <c r="EC1288" s="29"/>
      <c r="ED1288" s="29"/>
      <c r="EE1288" s="29"/>
      <c r="EF1288" s="111"/>
      <c r="EG1288" s="111"/>
      <c r="EH1288" s="111"/>
      <c r="EI1288" s="111"/>
      <c r="EJ1288" s="111"/>
      <c r="EK1288" s="111"/>
      <c r="EL1288" s="111"/>
      <c r="EM1288" s="111"/>
      <c r="EN1288" s="111"/>
      <c r="EO1288" s="111"/>
      <c r="EP1288" s="111"/>
      <c r="EQ1288" s="111"/>
      <c r="ER1288" s="111"/>
      <c r="ES1288" s="111"/>
    </row>
    <row r="1289" spans="44:149">
      <c r="AR1289" s="29"/>
      <c r="AS1289" s="29"/>
      <c r="AT1289" s="29"/>
      <c r="AU1289" s="29"/>
      <c r="AV1289" s="29"/>
      <c r="AW1289" s="29"/>
      <c r="AX1289" s="29"/>
      <c r="AY1289" s="29"/>
      <c r="AZ1289" s="29"/>
      <c r="BA1289" s="29"/>
      <c r="BB1289" s="29"/>
      <c r="BC1289" s="29"/>
      <c r="BD1289" s="29"/>
      <c r="BE1289" s="29"/>
      <c r="BF1289" s="111"/>
      <c r="BG1289" s="111"/>
      <c r="BH1289" s="111"/>
      <c r="BI1289" s="111"/>
      <c r="BJ1289" s="111"/>
      <c r="BK1289" s="111"/>
      <c r="BL1289" s="111"/>
      <c r="BM1289" s="111"/>
      <c r="BN1289" s="111"/>
      <c r="BO1289" s="111"/>
      <c r="BP1289" s="111"/>
      <c r="BQ1289" s="111"/>
      <c r="BR1289" s="111"/>
      <c r="BS1289" s="111"/>
      <c r="DR1289" s="29"/>
      <c r="DS1289" s="29"/>
      <c r="DT1289" s="29"/>
      <c r="DU1289" s="29"/>
      <c r="DV1289" s="29"/>
      <c r="DW1289" s="29"/>
      <c r="DX1289" s="29"/>
      <c r="DY1289" s="29"/>
      <c r="DZ1289" s="29"/>
      <c r="EA1289" s="29"/>
      <c r="EB1289" s="29"/>
      <c r="EC1289" s="29"/>
      <c r="ED1289" s="29"/>
      <c r="EE1289" s="29"/>
      <c r="EF1289" s="111"/>
      <c r="EG1289" s="111"/>
      <c r="EH1289" s="111"/>
      <c r="EI1289" s="111"/>
      <c r="EJ1289" s="111"/>
      <c r="EK1289" s="111"/>
      <c r="EL1289" s="111"/>
      <c r="EM1289" s="111"/>
      <c r="EN1289" s="111"/>
      <c r="EO1289" s="111"/>
      <c r="EP1289" s="111"/>
      <c r="EQ1289" s="111"/>
      <c r="ER1289" s="111"/>
      <c r="ES1289" s="111"/>
    </row>
    <row r="1290" spans="44:149">
      <c r="AR1290" s="29"/>
      <c r="AS1290" s="29"/>
      <c r="AT1290" s="29"/>
      <c r="AU1290" s="29"/>
      <c r="AV1290" s="29"/>
      <c r="AW1290" s="29"/>
      <c r="AX1290" s="29"/>
      <c r="AY1290" s="29"/>
      <c r="AZ1290" s="29"/>
      <c r="BA1290" s="29"/>
      <c r="BB1290" s="29"/>
      <c r="BC1290" s="29"/>
      <c r="BD1290" s="29"/>
      <c r="BE1290" s="29"/>
      <c r="BF1290" s="111"/>
      <c r="BG1290" s="111"/>
      <c r="BH1290" s="111"/>
      <c r="BI1290" s="111"/>
      <c r="BJ1290" s="111"/>
      <c r="BK1290" s="111"/>
      <c r="BL1290" s="111"/>
      <c r="BM1290" s="111"/>
      <c r="BN1290" s="111"/>
      <c r="BO1290" s="111"/>
      <c r="BP1290" s="111"/>
      <c r="BQ1290" s="111"/>
      <c r="BR1290" s="111"/>
      <c r="BS1290" s="111"/>
      <c r="DR1290" s="29"/>
      <c r="DS1290" s="29"/>
      <c r="DT1290" s="29"/>
      <c r="DU1290" s="29"/>
      <c r="DV1290" s="29"/>
      <c r="DW1290" s="29"/>
      <c r="DX1290" s="29"/>
      <c r="DY1290" s="29"/>
      <c r="DZ1290" s="29"/>
      <c r="EA1290" s="29"/>
      <c r="EB1290" s="29"/>
      <c r="EC1290" s="29"/>
      <c r="ED1290" s="29"/>
      <c r="EE1290" s="29"/>
      <c r="EF1290" s="111"/>
      <c r="EG1290" s="111"/>
      <c r="EH1290" s="111"/>
      <c r="EI1290" s="111"/>
      <c r="EJ1290" s="111"/>
      <c r="EK1290" s="111"/>
      <c r="EL1290" s="111"/>
      <c r="EM1290" s="111"/>
      <c r="EN1290" s="111"/>
      <c r="EO1290" s="111"/>
      <c r="EP1290" s="111"/>
      <c r="EQ1290" s="111"/>
      <c r="ER1290" s="111"/>
      <c r="ES1290" s="111"/>
    </row>
    <row r="1291" spans="44:149">
      <c r="AR1291" s="29"/>
      <c r="AS1291" s="29"/>
      <c r="AT1291" s="29"/>
      <c r="AU1291" s="29"/>
      <c r="AV1291" s="29"/>
      <c r="AW1291" s="29"/>
      <c r="AX1291" s="29"/>
      <c r="AY1291" s="29"/>
      <c r="AZ1291" s="29"/>
      <c r="BA1291" s="29"/>
      <c r="BB1291" s="29"/>
      <c r="BC1291" s="29"/>
      <c r="BD1291" s="29"/>
      <c r="BE1291" s="29"/>
      <c r="BF1291" s="111"/>
      <c r="BG1291" s="111"/>
      <c r="BH1291" s="111"/>
      <c r="BI1291" s="111"/>
      <c r="BJ1291" s="111"/>
      <c r="BK1291" s="111"/>
      <c r="BL1291" s="111"/>
      <c r="BM1291" s="111"/>
      <c r="BN1291" s="111"/>
      <c r="BO1291" s="111"/>
      <c r="BP1291" s="111"/>
      <c r="BQ1291" s="111"/>
      <c r="BR1291" s="111"/>
      <c r="BS1291" s="111"/>
      <c r="DR1291" s="29"/>
      <c r="DS1291" s="29"/>
      <c r="DT1291" s="29"/>
      <c r="DU1291" s="29"/>
      <c r="DV1291" s="29"/>
      <c r="DW1291" s="29"/>
      <c r="DX1291" s="29"/>
      <c r="DY1291" s="29"/>
      <c r="DZ1291" s="29"/>
      <c r="EA1291" s="29"/>
      <c r="EB1291" s="29"/>
      <c r="EC1291" s="29"/>
      <c r="ED1291" s="29"/>
      <c r="EE1291" s="29"/>
      <c r="EF1291" s="111"/>
      <c r="EG1291" s="111"/>
      <c r="EH1291" s="111"/>
      <c r="EI1291" s="111"/>
      <c r="EJ1291" s="111"/>
      <c r="EK1291" s="111"/>
      <c r="EL1291" s="111"/>
      <c r="EM1291" s="111"/>
      <c r="EN1291" s="111"/>
      <c r="EO1291" s="111"/>
      <c r="EP1291" s="111"/>
      <c r="EQ1291" s="111"/>
      <c r="ER1291" s="111"/>
      <c r="ES1291" s="111"/>
    </row>
    <row r="1292" spans="44:149">
      <c r="AR1292" s="29"/>
      <c r="AS1292" s="29"/>
      <c r="AT1292" s="29"/>
      <c r="AU1292" s="29"/>
      <c r="AV1292" s="29"/>
      <c r="AW1292" s="29"/>
      <c r="AX1292" s="29"/>
      <c r="AY1292" s="29"/>
      <c r="AZ1292" s="29"/>
      <c r="BA1292" s="29"/>
      <c r="BB1292" s="29"/>
      <c r="BC1292" s="29"/>
      <c r="BD1292" s="29"/>
      <c r="BE1292" s="29"/>
      <c r="BF1292" s="111"/>
      <c r="BG1292" s="111"/>
      <c r="BH1292" s="111"/>
      <c r="BI1292" s="111"/>
      <c r="BJ1292" s="111"/>
      <c r="BK1292" s="111"/>
      <c r="BL1292" s="111"/>
      <c r="BM1292" s="111"/>
      <c r="BN1292" s="111"/>
      <c r="BO1292" s="111"/>
      <c r="BP1292" s="111"/>
      <c r="BQ1292" s="111"/>
      <c r="BR1292" s="111"/>
      <c r="BS1292" s="111"/>
      <c r="DR1292" s="29"/>
      <c r="DS1292" s="29"/>
      <c r="DT1292" s="29"/>
      <c r="DU1292" s="29"/>
      <c r="DV1292" s="29"/>
      <c r="DW1292" s="29"/>
      <c r="DX1292" s="29"/>
      <c r="DY1292" s="29"/>
      <c r="DZ1292" s="29"/>
      <c r="EA1292" s="29"/>
      <c r="EB1292" s="29"/>
      <c r="EC1292" s="29"/>
      <c r="ED1292" s="29"/>
      <c r="EE1292" s="29"/>
      <c r="EF1292" s="111"/>
      <c r="EG1292" s="111"/>
      <c r="EH1292" s="111"/>
      <c r="EI1292" s="111"/>
      <c r="EJ1292" s="111"/>
      <c r="EK1292" s="111"/>
      <c r="EL1292" s="111"/>
      <c r="EM1292" s="111"/>
      <c r="EN1292" s="111"/>
      <c r="EO1292" s="111"/>
      <c r="EP1292" s="111"/>
      <c r="EQ1292" s="111"/>
      <c r="ER1292" s="111"/>
      <c r="ES1292" s="111"/>
    </row>
    <row r="1293" spans="44:149">
      <c r="AR1293" s="29"/>
      <c r="AS1293" s="29"/>
      <c r="AT1293" s="29"/>
      <c r="AU1293" s="29"/>
      <c r="AV1293" s="29"/>
      <c r="AW1293" s="29"/>
      <c r="AX1293" s="29"/>
      <c r="AY1293" s="29"/>
      <c r="AZ1293" s="29"/>
      <c r="BA1293" s="29"/>
      <c r="BB1293" s="29"/>
      <c r="BC1293" s="29"/>
      <c r="BD1293" s="29"/>
      <c r="BE1293" s="29"/>
      <c r="BF1293" s="111"/>
      <c r="BG1293" s="111"/>
      <c r="BH1293" s="111"/>
      <c r="BI1293" s="111"/>
      <c r="BJ1293" s="111"/>
      <c r="BK1293" s="111"/>
      <c r="BL1293" s="111"/>
      <c r="BM1293" s="111"/>
      <c r="BN1293" s="111"/>
      <c r="BO1293" s="111"/>
      <c r="BP1293" s="111"/>
      <c r="BQ1293" s="111"/>
      <c r="BR1293" s="111"/>
      <c r="BS1293" s="111"/>
      <c r="DR1293" s="29"/>
      <c r="DS1293" s="29"/>
      <c r="DT1293" s="29"/>
      <c r="DU1293" s="29"/>
      <c r="DV1293" s="29"/>
      <c r="DW1293" s="29"/>
      <c r="DX1293" s="29"/>
      <c r="DY1293" s="29"/>
      <c r="DZ1293" s="29"/>
      <c r="EA1293" s="29"/>
      <c r="EB1293" s="29"/>
      <c r="EC1293" s="29"/>
      <c r="ED1293" s="29"/>
      <c r="EE1293" s="29"/>
      <c r="EF1293" s="111"/>
      <c r="EG1293" s="111"/>
      <c r="EH1293" s="111"/>
      <c r="EI1293" s="111"/>
      <c r="EJ1293" s="111"/>
      <c r="EK1293" s="111"/>
      <c r="EL1293" s="111"/>
      <c r="EM1293" s="111"/>
      <c r="EN1293" s="111"/>
      <c r="EO1293" s="111"/>
      <c r="EP1293" s="111"/>
      <c r="EQ1293" s="111"/>
      <c r="ER1293" s="111"/>
      <c r="ES1293" s="111"/>
    </row>
    <row r="1294" spans="44:149">
      <c r="AR1294" s="29"/>
      <c r="AS1294" s="29"/>
      <c r="AT1294" s="29"/>
      <c r="AU1294" s="29"/>
      <c r="AV1294" s="29"/>
      <c r="AW1294" s="29"/>
      <c r="AX1294" s="29"/>
      <c r="AY1294" s="29"/>
      <c r="AZ1294" s="29"/>
      <c r="BA1294" s="29"/>
      <c r="BB1294" s="29"/>
      <c r="BC1294" s="29"/>
      <c r="BD1294" s="29"/>
      <c r="BE1294" s="29"/>
      <c r="BF1294" s="111"/>
      <c r="BG1294" s="111"/>
      <c r="BH1294" s="111"/>
      <c r="BI1294" s="111"/>
      <c r="BJ1294" s="111"/>
      <c r="BK1294" s="111"/>
      <c r="BL1294" s="111"/>
      <c r="BM1294" s="111"/>
      <c r="BN1294" s="111"/>
      <c r="BO1294" s="111"/>
      <c r="BP1294" s="111"/>
      <c r="BQ1294" s="111"/>
      <c r="BR1294" s="111"/>
      <c r="BS1294" s="111"/>
      <c r="DR1294" s="29"/>
      <c r="DS1294" s="29"/>
      <c r="DT1294" s="29"/>
      <c r="DU1294" s="29"/>
      <c r="DV1294" s="29"/>
      <c r="DW1294" s="29"/>
      <c r="DX1294" s="29"/>
      <c r="DY1294" s="29"/>
      <c r="DZ1294" s="29"/>
      <c r="EA1294" s="29"/>
      <c r="EB1294" s="29"/>
      <c r="EC1294" s="29"/>
      <c r="ED1294" s="29"/>
      <c r="EE1294" s="29"/>
      <c r="EF1294" s="111"/>
      <c r="EG1294" s="111"/>
      <c r="EH1294" s="111"/>
      <c r="EI1294" s="111"/>
      <c r="EJ1294" s="111"/>
      <c r="EK1294" s="111"/>
      <c r="EL1294" s="111"/>
      <c r="EM1294" s="111"/>
      <c r="EN1294" s="111"/>
      <c r="EO1294" s="111"/>
      <c r="EP1294" s="111"/>
      <c r="EQ1294" s="111"/>
      <c r="ER1294" s="111"/>
      <c r="ES1294" s="111"/>
    </row>
    <row r="1295" spans="44:149">
      <c r="AR1295" s="29"/>
      <c r="AS1295" s="29"/>
      <c r="AT1295" s="29"/>
      <c r="AU1295" s="29"/>
      <c r="AV1295" s="29"/>
      <c r="AW1295" s="29"/>
      <c r="AX1295" s="29"/>
      <c r="AY1295" s="29"/>
      <c r="AZ1295" s="29"/>
      <c r="BA1295" s="29"/>
      <c r="BB1295" s="29"/>
      <c r="BC1295" s="29"/>
      <c r="BD1295" s="29"/>
      <c r="BE1295" s="29"/>
      <c r="BF1295" s="111"/>
      <c r="BG1295" s="111"/>
      <c r="BH1295" s="111"/>
      <c r="BI1295" s="111"/>
      <c r="BJ1295" s="111"/>
      <c r="BK1295" s="111"/>
      <c r="BL1295" s="111"/>
      <c r="BM1295" s="111"/>
      <c r="BN1295" s="111"/>
      <c r="BO1295" s="111"/>
      <c r="BP1295" s="111"/>
      <c r="BQ1295" s="111"/>
      <c r="BR1295" s="111"/>
      <c r="BS1295" s="111"/>
      <c r="DR1295" s="29"/>
      <c r="DS1295" s="29"/>
      <c r="DT1295" s="29"/>
      <c r="DU1295" s="29"/>
      <c r="DV1295" s="29"/>
      <c r="DW1295" s="29"/>
      <c r="DX1295" s="29"/>
      <c r="DY1295" s="29"/>
      <c r="DZ1295" s="29"/>
      <c r="EA1295" s="29"/>
      <c r="EB1295" s="29"/>
      <c r="EC1295" s="29"/>
      <c r="ED1295" s="29"/>
      <c r="EE1295" s="29"/>
      <c r="EF1295" s="111"/>
      <c r="EG1295" s="111"/>
      <c r="EH1295" s="111"/>
      <c r="EI1295" s="111"/>
      <c r="EJ1295" s="111"/>
      <c r="EK1295" s="111"/>
      <c r="EL1295" s="111"/>
      <c r="EM1295" s="111"/>
      <c r="EN1295" s="111"/>
      <c r="EO1295" s="111"/>
      <c r="EP1295" s="111"/>
      <c r="EQ1295" s="111"/>
      <c r="ER1295" s="111"/>
      <c r="ES1295" s="111"/>
    </row>
    <row r="1296" spans="44:149">
      <c r="AR1296" s="29"/>
      <c r="AS1296" s="29"/>
      <c r="AT1296" s="29"/>
      <c r="AU1296" s="29"/>
      <c r="AV1296" s="29"/>
      <c r="AW1296" s="29"/>
      <c r="AX1296" s="29"/>
      <c r="AY1296" s="29"/>
      <c r="AZ1296" s="29"/>
      <c r="BA1296" s="29"/>
      <c r="BB1296" s="29"/>
      <c r="BC1296" s="29"/>
      <c r="BD1296" s="29"/>
      <c r="BE1296" s="29"/>
      <c r="BF1296" s="111"/>
      <c r="BG1296" s="111"/>
      <c r="BH1296" s="111"/>
      <c r="BI1296" s="111"/>
      <c r="BJ1296" s="111"/>
      <c r="BK1296" s="111"/>
      <c r="BL1296" s="111"/>
      <c r="BM1296" s="111"/>
      <c r="BN1296" s="111"/>
      <c r="BO1296" s="111"/>
      <c r="BP1296" s="111"/>
      <c r="BQ1296" s="111"/>
      <c r="BR1296" s="111"/>
      <c r="BS1296" s="111"/>
      <c r="DR1296" s="29"/>
      <c r="DS1296" s="29"/>
      <c r="DT1296" s="29"/>
      <c r="DU1296" s="29"/>
      <c r="DV1296" s="29"/>
      <c r="DW1296" s="29"/>
      <c r="DX1296" s="29"/>
      <c r="DY1296" s="29"/>
      <c r="DZ1296" s="29"/>
      <c r="EA1296" s="29"/>
      <c r="EB1296" s="29"/>
      <c r="EC1296" s="29"/>
      <c r="ED1296" s="29"/>
      <c r="EE1296" s="29"/>
      <c r="EF1296" s="111"/>
      <c r="EG1296" s="111"/>
      <c r="EH1296" s="111"/>
      <c r="EI1296" s="111"/>
      <c r="EJ1296" s="111"/>
      <c r="EK1296" s="111"/>
      <c r="EL1296" s="111"/>
      <c r="EM1296" s="111"/>
      <c r="EN1296" s="111"/>
      <c r="EO1296" s="111"/>
      <c r="EP1296" s="111"/>
      <c r="EQ1296" s="111"/>
      <c r="ER1296" s="111"/>
      <c r="ES1296" s="111"/>
    </row>
    <row r="1297" spans="44:149">
      <c r="AR1297" s="29"/>
      <c r="AS1297" s="29"/>
      <c r="AT1297" s="29"/>
      <c r="AU1297" s="29"/>
      <c r="AV1297" s="29"/>
      <c r="AW1297" s="29"/>
      <c r="AX1297" s="29"/>
      <c r="AY1297" s="29"/>
      <c r="AZ1297" s="29"/>
      <c r="BA1297" s="29"/>
      <c r="BB1297" s="29"/>
      <c r="BC1297" s="29"/>
      <c r="BD1297" s="29"/>
      <c r="BE1297" s="29"/>
      <c r="BF1297" s="111"/>
      <c r="BG1297" s="111"/>
      <c r="BH1297" s="111"/>
      <c r="BI1297" s="111"/>
      <c r="BJ1297" s="111"/>
      <c r="BK1297" s="111"/>
      <c r="BL1297" s="111"/>
      <c r="BM1297" s="111"/>
      <c r="BN1297" s="111"/>
      <c r="BO1297" s="111"/>
      <c r="BP1297" s="111"/>
      <c r="BQ1297" s="111"/>
      <c r="BR1297" s="111"/>
      <c r="BS1297" s="111"/>
      <c r="DR1297" s="29"/>
      <c r="DS1297" s="29"/>
      <c r="DT1297" s="29"/>
      <c r="DU1297" s="29"/>
      <c r="DV1297" s="29"/>
      <c r="DW1297" s="29"/>
      <c r="DX1297" s="29"/>
      <c r="DY1297" s="29"/>
      <c r="DZ1297" s="29"/>
      <c r="EA1297" s="29"/>
      <c r="EB1297" s="29"/>
      <c r="EC1297" s="29"/>
      <c r="ED1297" s="29"/>
      <c r="EE1297" s="29"/>
      <c r="EF1297" s="111"/>
      <c r="EG1297" s="111"/>
      <c r="EH1297" s="111"/>
      <c r="EI1297" s="111"/>
      <c r="EJ1297" s="111"/>
      <c r="EK1297" s="111"/>
      <c r="EL1297" s="111"/>
      <c r="EM1297" s="111"/>
      <c r="EN1297" s="111"/>
      <c r="EO1297" s="111"/>
      <c r="EP1297" s="111"/>
      <c r="EQ1297" s="111"/>
      <c r="ER1297" s="111"/>
      <c r="ES1297" s="111"/>
    </row>
    <row r="1298" spans="44:149">
      <c r="AR1298" s="29"/>
      <c r="AS1298" s="29"/>
      <c r="AT1298" s="29"/>
      <c r="AU1298" s="29"/>
      <c r="AV1298" s="29"/>
      <c r="AW1298" s="29"/>
      <c r="AX1298" s="29"/>
      <c r="AY1298" s="29"/>
      <c r="AZ1298" s="29"/>
      <c r="BA1298" s="29"/>
      <c r="BB1298" s="29"/>
      <c r="BC1298" s="29"/>
      <c r="BD1298" s="29"/>
      <c r="BE1298" s="29"/>
      <c r="BF1298" s="111"/>
      <c r="BG1298" s="111"/>
      <c r="BH1298" s="111"/>
      <c r="BI1298" s="111"/>
      <c r="BJ1298" s="111"/>
      <c r="BK1298" s="111"/>
      <c r="BL1298" s="111"/>
      <c r="BM1298" s="111"/>
      <c r="BN1298" s="111"/>
      <c r="BO1298" s="111"/>
      <c r="BP1298" s="111"/>
      <c r="BQ1298" s="111"/>
      <c r="BR1298" s="111"/>
      <c r="BS1298" s="111"/>
      <c r="DR1298" s="29"/>
      <c r="DS1298" s="29"/>
      <c r="DT1298" s="29"/>
      <c r="DU1298" s="29"/>
      <c r="DV1298" s="29"/>
      <c r="DW1298" s="29"/>
      <c r="DX1298" s="29"/>
      <c r="DY1298" s="29"/>
      <c r="DZ1298" s="29"/>
      <c r="EA1298" s="29"/>
      <c r="EB1298" s="29"/>
      <c r="EC1298" s="29"/>
      <c r="ED1298" s="29"/>
      <c r="EE1298" s="29"/>
      <c r="EF1298" s="111"/>
      <c r="EG1298" s="111"/>
      <c r="EH1298" s="111"/>
      <c r="EI1298" s="111"/>
      <c r="EJ1298" s="111"/>
      <c r="EK1298" s="111"/>
      <c r="EL1298" s="111"/>
      <c r="EM1298" s="111"/>
      <c r="EN1298" s="111"/>
      <c r="EO1298" s="111"/>
      <c r="EP1298" s="111"/>
      <c r="EQ1298" s="111"/>
      <c r="ER1298" s="111"/>
      <c r="ES1298" s="111"/>
    </row>
    <row r="1299" spans="44:149">
      <c r="AR1299" s="29"/>
      <c r="AS1299" s="29"/>
      <c r="AT1299" s="29"/>
      <c r="AU1299" s="29"/>
      <c r="AV1299" s="29"/>
      <c r="AW1299" s="29"/>
      <c r="AX1299" s="29"/>
      <c r="AY1299" s="29"/>
      <c r="AZ1299" s="29"/>
      <c r="BA1299" s="29"/>
      <c r="BB1299" s="29"/>
      <c r="BC1299" s="29"/>
      <c r="BD1299" s="29"/>
      <c r="BE1299" s="29"/>
      <c r="BF1299" s="111"/>
      <c r="BG1299" s="111"/>
      <c r="BH1299" s="111"/>
      <c r="BI1299" s="111"/>
      <c r="BJ1299" s="111"/>
      <c r="BK1299" s="111"/>
      <c r="BL1299" s="111"/>
      <c r="BM1299" s="111"/>
      <c r="BN1299" s="111"/>
      <c r="BO1299" s="111"/>
      <c r="BP1299" s="111"/>
      <c r="BQ1299" s="111"/>
      <c r="BR1299" s="111"/>
      <c r="BS1299" s="111"/>
      <c r="DR1299" s="29"/>
      <c r="DS1299" s="29"/>
      <c r="DT1299" s="29"/>
      <c r="DU1299" s="29"/>
      <c r="DV1299" s="29"/>
      <c r="DW1299" s="29"/>
      <c r="DX1299" s="29"/>
      <c r="DY1299" s="29"/>
      <c r="DZ1299" s="29"/>
      <c r="EA1299" s="29"/>
      <c r="EB1299" s="29"/>
      <c r="EC1299" s="29"/>
      <c r="ED1299" s="29"/>
      <c r="EE1299" s="29"/>
      <c r="EF1299" s="111"/>
      <c r="EG1299" s="111"/>
      <c r="EH1299" s="111"/>
      <c r="EI1299" s="111"/>
      <c r="EJ1299" s="111"/>
      <c r="EK1299" s="111"/>
      <c r="EL1299" s="111"/>
      <c r="EM1299" s="111"/>
      <c r="EN1299" s="111"/>
      <c r="EO1299" s="111"/>
      <c r="EP1299" s="111"/>
      <c r="EQ1299" s="111"/>
      <c r="ER1299" s="111"/>
      <c r="ES1299" s="111"/>
    </row>
    <row r="1300" spans="44:149">
      <c r="AR1300" s="29"/>
      <c r="AS1300" s="29"/>
      <c r="AT1300" s="29"/>
      <c r="AU1300" s="29"/>
      <c r="AV1300" s="29"/>
      <c r="AW1300" s="29"/>
      <c r="AX1300" s="29"/>
      <c r="AY1300" s="29"/>
      <c r="AZ1300" s="29"/>
      <c r="BA1300" s="29"/>
      <c r="BB1300" s="29"/>
      <c r="BC1300" s="29"/>
      <c r="BD1300" s="29"/>
      <c r="BE1300" s="29"/>
      <c r="BF1300" s="111"/>
      <c r="BG1300" s="111"/>
      <c r="BH1300" s="111"/>
      <c r="BI1300" s="111"/>
      <c r="BJ1300" s="111"/>
      <c r="BK1300" s="111"/>
      <c r="BL1300" s="111"/>
      <c r="BM1300" s="111"/>
      <c r="BN1300" s="111"/>
      <c r="BO1300" s="111"/>
      <c r="BP1300" s="111"/>
      <c r="BQ1300" s="111"/>
      <c r="BR1300" s="111"/>
      <c r="BS1300" s="111"/>
      <c r="DR1300" s="29"/>
      <c r="DS1300" s="29"/>
      <c r="DT1300" s="29"/>
      <c r="DU1300" s="29"/>
      <c r="DV1300" s="29"/>
      <c r="DW1300" s="29"/>
      <c r="DX1300" s="29"/>
      <c r="DY1300" s="29"/>
      <c r="DZ1300" s="29"/>
      <c r="EA1300" s="29"/>
      <c r="EB1300" s="29"/>
      <c r="EC1300" s="29"/>
      <c r="ED1300" s="29"/>
      <c r="EE1300" s="29"/>
      <c r="EF1300" s="111"/>
      <c r="EG1300" s="111"/>
      <c r="EH1300" s="111"/>
      <c r="EI1300" s="111"/>
      <c r="EJ1300" s="111"/>
      <c r="EK1300" s="111"/>
      <c r="EL1300" s="111"/>
      <c r="EM1300" s="111"/>
      <c r="EN1300" s="111"/>
      <c r="EO1300" s="111"/>
      <c r="EP1300" s="111"/>
      <c r="EQ1300" s="111"/>
      <c r="ER1300" s="111"/>
      <c r="ES1300" s="111"/>
    </row>
    <row r="1301" spans="44:149">
      <c r="AR1301" s="29"/>
      <c r="AS1301" s="29"/>
      <c r="AT1301" s="29"/>
      <c r="AU1301" s="29"/>
      <c r="AV1301" s="29"/>
      <c r="AW1301" s="29"/>
      <c r="AX1301" s="29"/>
      <c r="AY1301" s="29"/>
      <c r="AZ1301" s="29"/>
      <c r="BA1301" s="29"/>
      <c r="BB1301" s="29"/>
      <c r="BC1301" s="29"/>
      <c r="BD1301" s="29"/>
      <c r="BE1301" s="29"/>
      <c r="BF1301" s="111"/>
      <c r="BG1301" s="111"/>
      <c r="BH1301" s="111"/>
      <c r="BI1301" s="111"/>
      <c r="BJ1301" s="111"/>
      <c r="BK1301" s="111"/>
      <c r="BL1301" s="111"/>
      <c r="BM1301" s="111"/>
      <c r="BN1301" s="111"/>
      <c r="BO1301" s="111"/>
      <c r="BP1301" s="111"/>
      <c r="BQ1301" s="111"/>
      <c r="BR1301" s="111"/>
      <c r="BS1301" s="111"/>
      <c r="DR1301" s="29"/>
      <c r="DS1301" s="29"/>
      <c r="DT1301" s="29"/>
      <c r="DU1301" s="29"/>
      <c r="DV1301" s="29"/>
      <c r="DW1301" s="29"/>
      <c r="DX1301" s="29"/>
      <c r="DY1301" s="29"/>
      <c r="DZ1301" s="29"/>
      <c r="EA1301" s="29"/>
      <c r="EB1301" s="29"/>
      <c r="EC1301" s="29"/>
      <c r="ED1301" s="29"/>
      <c r="EE1301" s="29"/>
      <c r="EF1301" s="111"/>
      <c r="EG1301" s="111"/>
      <c r="EH1301" s="111"/>
      <c r="EI1301" s="111"/>
      <c r="EJ1301" s="111"/>
      <c r="EK1301" s="111"/>
      <c r="EL1301" s="111"/>
      <c r="EM1301" s="111"/>
      <c r="EN1301" s="111"/>
      <c r="EO1301" s="111"/>
      <c r="EP1301" s="111"/>
      <c r="EQ1301" s="111"/>
      <c r="ER1301" s="111"/>
      <c r="ES1301" s="111"/>
    </row>
    <row r="1302" spans="44:149">
      <c r="AR1302" s="29"/>
      <c r="AS1302" s="29"/>
      <c r="AT1302" s="29"/>
      <c r="AU1302" s="29"/>
      <c r="AV1302" s="29"/>
      <c r="AW1302" s="29"/>
      <c r="AX1302" s="29"/>
      <c r="AY1302" s="29"/>
      <c r="AZ1302" s="29"/>
      <c r="BA1302" s="29"/>
      <c r="BB1302" s="29"/>
      <c r="BC1302" s="29"/>
      <c r="BD1302" s="29"/>
      <c r="BE1302" s="29"/>
      <c r="BF1302" s="111"/>
      <c r="BG1302" s="111"/>
      <c r="BH1302" s="111"/>
      <c r="BI1302" s="111"/>
      <c r="BJ1302" s="111"/>
      <c r="BK1302" s="111"/>
      <c r="BL1302" s="111"/>
      <c r="BM1302" s="111"/>
      <c r="BN1302" s="111"/>
      <c r="BO1302" s="111"/>
      <c r="BP1302" s="111"/>
      <c r="BQ1302" s="111"/>
      <c r="BR1302" s="111"/>
      <c r="BS1302" s="111"/>
      <c r="DR1302" s="29"/>
      <c r="DS1302" s="29"/>
      <c r="DT1302" s="29"/>
      <c r="DU1302" s="29"/>
      <c r="DV1302" s="29"/>
      <c r="DW1302" s="29"/>
      <c r="DX1302" s="29"/>
      <c r="DY1302" s="29"/>
      <c r="DZ1302" s="29"/>
      <c r="EA1302" s="29"/>
      <c r="EB1302" s="29"/>
      <c r="EC1302" s="29"/>
      <c r="ED1302" s="29"/>
      <c r="EE1302" s="29"/>
      <c r="EF1302" s="111"/>
      <c r="EG1302" s="111"/>
      <c r="EH1302" s="111"/>
      <c r="EI1302" s="111"/>
      <c r="EJ1302" s="111"/>
      <c r="EK1302" s="111"/>
      <c r="EL1302" s="111"/>
      <c r="EM1302" s="111"/>
      <c r="EN1302" s="111"/>
      <c r="EO1302" s="111"/>
      <c r="EP1302" s="111"/>
      <c r="EQ1302" s="111"/>
      <c r="ER1302" s="111"/>
      <c r="ES1302" s="111"/>
    </row>
    <row r="1303" spans="44:149">
      <c r="AR1303" s="29"/>
      <c r="AS1303" s="29"/>
      <c r="AT1303" s="29"/>
      <c r="AU1303" s="29"/>
      <c r="AV1303" s="29"/>
      <c r="AW1303" s="29"/>
      <c r="AX1303" s="29"/>
      <c r="AY1303" s="29"/>
      <c r="AZ1303" s="29"/>
      <c r="BA1303" s="29"/>
      <c r="BB1303" s="29"/>
      <c r="BC1303" s="29"/>
      <c r="BD1303" s="29"/>
      <c r="BE1303" s="29"/>
      <c r="BF1303" s="111"/>
      <c r="BG1303" s="111"/>
      <c r="BH1303" s="111"/>
      <c r="BI1303" s="111"/>
      <c r="BJ1303" s="111"/>
      <c r="BK1303" s="111"/>
      <c r="BL1303" s="111"/>
      <c r="BM1303" s="111"/>
      <c r="BN1303" s="111"/>
      <c r="BO1303" s="111"/>
      <c r="BP1303" s="111"/>
      <c r="BQ1303" s="111"/>
      <c r="BR1303" s="111"/>
      <c r="BS1303" s="111"/>
      <c r="DR1303" s="29"/>
      <c r="DS1303" s="29"/>
      <c r="DT1303" s="29"/>
      <c r="DU1303" s="29"/>
      <c r="DV1303" s="29"/>
      <c r="DW1303" s="29"/>
      <c r="DX1303" s="29"/>
      <c r="DY1303" s="29"/>
      <c r="DZ1303" s="29"/>
      <c r="EA1303" s="29"/>
      <c r="EB1303" s="29"/>
      <c r="EC1303" s="29"/>
      <c r="ED1303" s="29"/>
      <c r="EE1303" s="29"/>
      <c r="EF1303" s="111"/>
      <c r="EG1303" s="111"/>
      <c r="EH1303" s="111"/>
      <c r="EI1303" s="111"/>
      <c r="EJ1303" s="111"/>
      <c r="EK1303" s="111"/>
      <c r="EL1303" s="111"/>
      <c r="EM1303" s="111"/>
      <c r="EN1303" s="111"/>
      <c r="EO1303" s="111"/>
      <c r="EP1303" s="111"/>
      <c r="EQ1303" s="111"/>
      <c r="ER1303" s="111"/>
      <c r="ES1303" s="111"/>
    </row>
    <row r="1304" spans="44:149">
      <c r="AR1304" s="29"/>
      <c r="AS1304" s="29"/>
      <c r="AT1304" s="29"/>
      <c r="AU1304" s="29"/>
      <c r="AV1304" s="29"/>
      <c r="AW1304" s="29"/>
      <c r="AX1304" s="29"/>
      <c r="AY1304" s="29"/>
      <c r="AZ1304" s="29"/>
      <c r="BA1304" s="29"/>
      <c r="BB1304" s="29"/>
      <c r="BC1304" s="29"/>
      <c r="BD1304" s="29"/>
      <c r="BE1304" s="29"/>
      <c r="BF1304" s="111"/>
      <c r="BG1304" s="111"/>
      <c r="BH1304" s="111"/>
      <c r="BI1304" s="111"/>
      <c r="BJ1304" s="111"/>
      <c r="BK1304" s="111"/>
      <c r="BL1304" s="111"/>
      <c r="BM1304" s="111"/>
      <c r="BN1304" s="111"/>
      <c r="BO1304" s="111"/>
      <c r="BP1304" s="111"/>
      <c r="BQ1304" s="111"/>
      <c r="BR1304" s="111"/>
      <c r="BS1304" s="111"/>
      <c r="DR1304" s="29"/>
      <c r="DS1304" s="29"/>
      <c r="DT1304" s="29"/>
      <c r="DU1304" s="29"/>
      <c r="DV1304" s="29"/>
      <c r="DW1304" s="29"/>
      <c r="DX1304" s="29"/>
      <c r="DY1304" s="29"/>
      <c r="DZ1304" s="29"/>
      <c r="EA1304" s="29"/>
      <c r="EB1304" s="29"/>
      <c r="EC1304" s="29"/>
      <c r="ED1304" s="29"/>
      <c r="EE1304" s="29"/>
      <c r="EF1304" s="111"/>
      <c r="EG1304" s="111"/>
      <c r="EH1304" s="111"/>
      <c r="EI1304" s="111"/>
      <c r="EJ1304" s="111"/>
      <c r="EK1304" s="111"/>
      <c r="EL1304" s="111"/>
      <c r="EM1304" s="111"/>
      <c r="EN1304" s="111"/>
      <c r="EO1304" s="111"/>
      <c r="EP1304" s="111"/>
      <c r="EQ1304" s="111"/>
      <c r="ER1304" s="111"/>
      <c r="ES1304" s="111"/>
    </row>
    <row r="1305" spans="44:149">
      <c r="AR1305" s="29"/>
      <c r="AS1305" s="29"/>
      <c r="AT1305" s="29"/>
      <c r="AU1305" s="29"/>
      <c r="AV1305" s="29"/>
      <c r="AW1305" s="29"/>
      <c r="AX1305" s="29"/>
      <c r="AY1305" s="29"/>
      <c r="AZ1305" s="29"/>
      <c r="BA1305" s="29"/>
      <c r="BB1305" s="29"/>
      <c r="BC1305" s="29"/>
      <c r="BD1305" s="29"/>
      <c r="BE1305" s="29"/>
      <c r="BF1305" s="111"/>
      <c r="BG1305" s="111"/>
      <c r="BH1305" s="111"/>
      <c r="BI1305" s="111"/>
      <c r="BJ1305" s="111"/>
      <c r="BK1305" s="111"/>
      <c r="BL1305" s="111"/>
      <c r="BM1305" s="111"/>
      <c r="BN1305" s="111"/>
      <c r="BO1305" s="111"/>
      <c r="BP1305" s="111"/>
      <c r="BQ1305" s="111"/>
      <c r="BR1305" s="111"/>
      <c r="BS1305" s="111"/>
      <c r="DR1305" s="29"/>
      <c r="DS1305" s="29"/>
      <c r="DT1305" s="29"/>
      <c r="DU1305" s="29"/>
      <c r="DV1305" s="29"/>
      <c r="DW1305" s="29"/>
      <c r="DX1305" s="29"/>
      <c r="DY1305" s="29"/>
      <c r="DZ1305" s="29"/>
      <c r="EA1305" s="29"/>
      <c r="EB1305" s="29"/>
      <c r="EC1305" s="29"/>
      <c r="ED1305" s="29"/>
      <c r="EE1305" s="29"/>
      <c r="EF1305" s="111"/>
      <c r="EG1305" s="111"/>
      <c r="EH1305" s="111"/>
      <c r="EI1305" s="111"/>
      <c r="EJ1305" s="111"/>
      <c r="EK1305" s="111"/>
      <c r="EL1305" s="111"/>
      <c r="EM1305" s="111"/>
      <c r="EN1305" s="111"/>
      <c r="EO1305" s="111"/>
      <c r="EP1305" s="111"/>
      <c r="EQ1305" s="111"/>
      <c r="ER1305" s="111"/>
      <c r="ES1305" s="111"/>
    </row>
    <row r="1306" spans="44:149">
      <c r="AR1306" s="29"/>
      <c r="AS1306" s="29"/>
      <c r="AT1306" s="29"/>
      <c r="AU1306" s="29"/>
      <c r="AV1306" s="29"/>
      <c r="AW1306" s="29"/>
      <c r="AX1306" s="29"/>
      <c r="AY1306" s="29"/>
      <c r="AZ1306" s="29"/>
      <c r="BA1306" s="29"/>
      <c r="BB1306" s="29"/>
      <c r="BC1306" s="29"/>
      <c r="BD1306" s="29"/>
      <c r="BE1306" s="29"/>
      <c r="BF1306" s="111"/>
      <c r="BG1306" s="111"/>
      <c r="BH1306" s="111"/>
      <c r="BI1306" s="111"/>
      <c r="BJ1306" s="111"/>
      <c r="BK1306" s="111"/>
      <c r="BL1306" s="111"/>
      <c r="BM1306" s="111"/>
      <c r="BN1306" s="111"/>
      <c r="BO1306" s="111"/>
      <c r="BP1306" s="111"/>
      <c r="BQ1306" s="111"/>
      <c r="BR1306" s="111"/>
      <c r="BS1306" s="111"/>
      <c r="DR1306" s="29"/>
      <c r="DS1306" s="29"/>
      <c r="DT1306" s="29"/>
      <c r="DU1306" s="29"/>
      <c r="DV1306" s="29"/>
      <c r="DW1306" s="29"/>
      <c r="DX1306" s="29"/>
      <c r="DY1306" s="29"/>
      <c r="DZ1306" s="29"/>
      <c r="EA1306" s="29"/>
      <c r="EB1306" s="29"/>
      <c r="EC1306" s="29"/>
      <c r="ED1306" s="29"/>
      <c r="EE1306" s="29"/>
      <c r="EF1306" s="111"/>
      <c r="EG1306" s="111"/>
      <c r="EH1306" s="111"/>
      <c r="EI1306" s="111"/>
      <c r="EJ1306" s="111"/>
      <c r="EK1306" s="111"/>
      <c r="EL1306" s="111"/>
      <c r="EM1306" s="111"/>
      <c r="EN1306" s="111"/>
      <c r="EO1306" s="111"/>
      <c r="EP1306" s="111"/>
      <c r="EQ1306" s="111"/>
      <c r="ER1306" s="111"/>
      <c r="ES1306" s="111"/>
    </row>
    <row r="1307" spans="44:149">
      <c r="AR1307" s="29"/>
      <c r="AS1307" s="29"/>
      <c r="AT1307" s="29"/>
      <c r="AU1307" s="29"/>
      <c r="AV1307" s="29"/>
      <c r="AW1307" s="29"/>
      <c r="AX1307" s="29"/>
      <c r="AY1307" s="29"/>
      <c r="AZ1307" s="29"/>
      <c r="BA1307" s="29"/>
      <c r="BB1307" s="29"/>
      <c r="BC1307" s="29"/>
      <c r="BD1307" s="29"/>
      <c r="BE1307" s="29"/>
      <c r="BF1307" s="111"/>
      <c r="BG1307" s="111"/>
      <c r="BH1307" s="111"/>
      <c r="BI1307" s="111"/>
      <c r="BJ1307" s="111"/>
      <c r="BK1307" s="111"/>
      <c r="BL1307" s="111"/>
      <c r="BM1307" s="111"/>
      <c r="BN1307" s="111"/>
      <c r="BO1307" s="111"/>
      <c r="BP1307" s="111"/>
      <c r="BQ1307" s="111"/>
      <c r="BR1307" s="111"/>
      <c r="BS1307" s="111"/>
      <c r="DR1307" s="29"/>
      <c r="DS1307" s="29"/>
      <c r="DT1307" s="29"/>
      <c r="DU1307" s="29"/>
      <c r="DV1307" s="29"/>
      <c r="DW1307" s="29"/>
      <c r="DX1307" s="29"/>
      <c r="DY1307" s="29"/>
      <c r="DZ1307" s="29"/>
      <c r="EA1307" s="29"/>
      <c r="EB1307" s="29"/>
      <c r="EC1307" s="29"/>
      <c r="ED1307" s="29"/>
      <c r="EE1307" s="29"/>
      <c r="EF1307" s="111"/>
      <c r="EG1307" s="111"/>
      <c r="EH1307" s="111"/>
      <c r="EI1307" s="111"/>
      <c r="EJ1307" s="111"/>
      <c r="EK1307" s="111"/>
      <c r="EL1307" s="111"/>
      <c r="EM1307" s="111"/>
      <c r="EN1307" s="111"/>
      <c r="EO1307" s="111"/>
      <c r="EP1307" s="111"/>
      <c r="EQ1307" s="111"/>
      <c r="ER1307" s="111"/>
      <c r="ES1307" s="111"/>
    </row>
    <row r="1308" spans="44:149">
      <c r="AR1308" s="29"/>
      <c r="AS1308" s="29"/>
      <c r="AT1308" s="29"/>
      <c r="AU1308" s="29"/>
      <c r="AV1308" s="29"/>
      <c r="AW1308" s="29"/>
      <c r="AX1308" s="29"/>
      <c r="AY1308" s="29"/>
      <c r="AZ1308" s="29"/>
      <c r="BA1308" s="29"/>
      <c r="BB1308" s="29"/>
      <c r="BC1308" s="29"/>
      <c r="BD1308" s="29"/>
      <c r="BE1308" s="29"/>
      <c r="BF1308" s="111"/>
      <c r="BG1308" s="111"/>
      <c r="BH1308" s="111"/>
      <c r="BI1308" s="111"/>
      <c r="BJ1308" s="111"/>
      <c r="BK1308" s="111"/>
      <c r="BL1308" s="111"/>
      <c r="BM1308" s="111"/>
      <c r="BN1308" s="111"/>
      <c r="BO1308" s="111"/>
      <c r="BP1308" s="111"/>
      <c r="BQ1308" s="111"/>
      <c r="BR1308" s="111"/>
      <c r="BS1308" s="111"/>
      <c r="DR1308" s="29"/>
      <c r="DS1308" s="29"/>
      <c r="DT1308" s="29"/>
      <c r="DU1308" s="29"/>
      <c r="DV1308" s="29"/>
      <c r="DW1308" s="29"/>
      <c r="DX1308" s="29"/>
      <c r="DY1308" s="29"/>
      <c r="DZ1308" s="29"/>
      <c r="EA1308" s="29"/>
      <c r="EB1308" s="29"/>
      <c r="EC1308" s="29"/>
      <c r="ED1308" s="29"/>
      <c r="EE1308" s="29"/>
      <c r="EF1308" s="111"/>
      <c r="EG1308" s="111"/>
      <c r="EH1308" s="111"/>
      <c r="EI1308" s="111"/>
      <c r="EJ1308" s="111"/>
      <c r="EK1308" s="111"/>
      <c r="EL1308" s="111"/>
      <c r="EM1308" s="111"/>
      <c r="EN1308" s="111"/>
      <c r="EO1308" s="111"/>
      <c r="EP1308" s="111"/>
      <c r="EQ1308" s="111"/>
      <c r="ER1308" s="111"/>
      <c r="ES1308" s="111"/>
    </row>
    <row r="1309" spans="44:149">
      <c r="AR1309" s="29"/>
      <c r="AS1309" s="29"/>
      <c r="AT1309" s="29"/>
      <c r="AU1309" s="29"/>
      <c r="AV1309" s="29"/>
      <c r="AW1309" s="29"/>
      <c r="AX1309" s="29"/>
      <c r="AY1309" s="29"/>
      <c r="AZ1309" s="29"/>
      <c r="BA1309" s="29"/>
      <c r="BB1309" s="29"/>
      <c r="BC1309" s="29"/>
      <c r="BD1309" s="29"/>
      <c r="BE1309" s="29"/>
      <c r="BF1309" s="111"/>
      <c r="BG1309" s="111"/>
      <c r="BH1309" s="111"/>
      <c r="BI1309" s="111"/>
      <c r="BJ1309" s="111"/>
      <c r="BK1309" s="111"/>
      <c r="BL1309" s="111"/>
      <c r="BM1309" s="111"/>
      <c r="BN1309" s="111"/>
      <c r="BO1309" s="111"/>
      <c r="BP1309" s="111"/>
      <c r="BQ1309" s="111"/>
      <c r="BR1309" s="111"/>
      <c r="BS1309" s="111"/>
      <c r="DR1309" s="29"/>
      <c r="DS1309" s="29"/>
      <c r="DT1309" s="29"/>
      <c r="DU1309" s="29"/>
      <c r="DV1309" s="29"/>
      <c r="DW1309" s="29"/>
      <c r="DX1309" s="29"/>
      <c r="DY1309" s="29"/>
      <c r="DZ1309" s="29"/>
      <c r="EA1309" s="29"/>
      <c r="EB1309" s="29"/>
      <c r="EC1309" s="29"/>
      <c r="ED1309" s="29"/>
      <c r="EE1309" s="29"/>
      <c r="EF1309" s="111"/>
      <c r="EG1309" s="111"/>
      <c r="EH1309" s="111"/>
      <c r="EI1309" s="111"/>
      <c r="EJ1309" s="111"/>
      <c r="EK1309" s="111"/>
      <c r="EL1309" s="111"/>
      <c r="EM1309" s="111"/>
      <c r="EN1309" s="111"/>
      <c r="EO1309" s="111"/>
      <c r="EP1309" s="111"/>
      <c r="EQ1309" s="111"/>
      <c r="ER1309" s="111"/>
      <c r="ES1309" s="111"/>
    </row>
    <row r="1310" spans="44:149">
      <c r="AR1310" s="29"/>
      <c r="AS1310" s="29"/>
      <c r="AT1310" s="29"/>
      <c r="AU1310" s="29"/>
      <c r="AV1310" s="29"/>
      <c r="AW1310" s="29"/>
      <c r="AX1310" s="29"/>
      <c r="AY1310" s="29"/>
      <c r="AZ1310" s="29"/>
      <c r="BA1310" s="29"/>
      <c r="BB1310" s="29"/>
      <c r="BC1310" s="29"/>
      <c r="BD1310" s="29"/>
      <c r="BE1310" s="29"/>
      <c r="BF1310" s="111"/>
      <c r="BG1310" s="111"/>
      <c r="BH1310" s="111"/>
      <c r="BI1310" s="111"/>
      <c r="BJ1310" s="111"/>
      <c r="BK1310" s="111"/>
      <c r="BL1310" s="111"/>
      <c r="BM1310" s="111"/>
      <c r="BN1310" s="111"/>
      <c r="BO1310" s="111"/>
      <c r="BP1310" s="111"/>
      <c r="BQ1310" s="111"/>
      <c r="BR1310" s="111"/>
      <c r="BS1310" s="111"/>
      <c r="DR1310" s="29"/>
      <c r="DS1310" s="29"/>
      <c r="DT1310" s="29"/>
      <c r="DU1310" s="29"/>
      <c r="DV1310" s="29"/>
      <c r="DW1310" s="29"/>
      <c r="DX1310" s="29"/>
      <c r="DY1310" s="29"/>
      <c r="DZ1310" s="29"/>
      <c r="EA1310" s="29"/>
      <c r="EB1310" s="29"/>
      <c r="EC1310" s="29"/>
      <c r="ED1310" s="29"/>
      <c r="EE1310" s="29"/>
      <c r="EF1310" s="111"/>
      <c r="EG1310" s="111"/>
      <c r="EH1310" s="111"/>
      <c r="EI1310" s="111"/>
      <c r="EJ1310" s="111"/>
      <c r="EK1310" s="111"/>
      <c r="EL1310" s="111"/>
      <c r="EM1310" s="111"/>
      <c r="EN1310" s="111"/>
      <c r="EO1310" s="111"/>
      <c r="EP1310" s="111"/>
      <c r="EQ1310" s="111"/>
      <c r="ER1310" s="111"/>
      <c r="ES1310" s="111"/>
    </row>
    <row r="1311" spans="44:149">
      <c r="AR1311" s="29"/>
      <c r="AS1311" s="29"/>
      <c r="AT1311" s="29"/>
      <c r="AU1311" s="29"/>
      <c r="AV1311" s="29"/>
      <c r="AW1311" s="29"/>
      <c r="AX1311" s="29"/>
      <c r="AY1311" s="29"/>
      <c r="AZ1311" s="29"/>
      <c r="BA1311" s="29"/>
      <c r="BB1311" s="29"/>
      <c r="BC1311" s="29"/>
      <c r="BD1311" s="29"/>
      <c r="BE1311" s="29"/>
      <c r="BF1311" s="111"/>
      <c r="BG1311" s="111"/>
      <c r="BH1311" s="111"/>
      <c r="BI1311" s="111"/>
      <c r="BJ1311" s="111"/>
      <c r="BK1311" s="111"/>
      <c r="BL1311" s="111"/>
      <c r="BM1311" s="111"/>
      <c r="BN1311" s="111"/>
      <c r="BO1311" s="111"/>
      <c r="BP1311" s="111"/>
      <c r="BQ1311" s="111"/>
      <c r="BR1311" s="111"/>
      <c r="BS1311" s="111"/>
      <c r="DR1311" s="29"/>
      <c r="DS1311" s="29"/>
      <c r="DT1311" s="29"/>
      <c r="DU1311" s="29"/>
      <c r="DV1311" s="29"/>
      <c r="DW1311" s="29"/>
      <c r="DX1311" s="29"/>
      <c r="DY1311" s="29"/>
      <c r="DZ1311" s="29"/>
      <c r="EA1311" s="29"/>
      <c r="EB1311" s="29"/>
      <c r="EC1311" s="29"/>
      <c r="ED1311" s="29"/>
      <c r="EE1311" s="29"/>
      <c r="EF1311" s="111"/>
      <c r="EG1311" s="111"/>
      <c r="EH1311" s="111"/>
      <c r="EI1311" s="111"/>
      <c r="EJ1311" s="111"/>
      <c r="EK1311" s="111"/>
      <c r="EL1311" s="111"/>
      <c r="EM1311" s="111"/>
      <c r="EN1311" s="111"/>
      <c r="EO1311" s="111"/>
      <c r="EP1311" s="111"/>
      <c r="EQ1311" s="111"/>
      <c r="ER1311" s="111"/>
      <c r="ES1311" s="111"/>
    </row>
    <row r="1312" spans="44:149">
      <c r="AR1312" s="29"/>
      <c r="AS1312" s="29"/>
      <c r="AT1312" s="29"/>
      <c r="AU1312" s="29"/>
      <c r="AV1312" s="29"/>
      <c r="AW1312" s="29"/>
      <c r="AX1312" s="29"/>
      <c r="AY1312" s="29"/>
      <c r="AZ1312" s="29"/>
      <c r="BA1312" s="29"/>
      <c r="BB1312" s="29"/>
      <c r="BC1312" s="29"/>
      <c r="BD1312" s="29"/>
      <c r="BE1312" s="29"/>
      <c r="BF1312" s="111"/>
      <c r="BG1312" s="111"/>
      <c r="BH1312" s="111"/>
      <c r="BI1312" s="111"/>
      <c r="BJ1312" s="111"/>
      <c r="BK1312" s="111"/>
      <c r="BL1312" s="111"/>
      <c r="BM1312" s="111"/>
      <c r="BN1312" s="111"/>
      <c r="BO1312" s="111"/>
      <c r="BP1312" s="111"/>
      <c r="BQ1312" s="111"/>
      <c r="BR1312" s="111"/>
      <c r="BS1312" s="111"/>
      <c r="DR1312" s="29"/>
      <c r="DS1312" s="29"/>
      <c r="DT1312" s="29"/>
      <c r="DU1312" s="29"/>
      <c r="DV1312" s="29"/>
      <c r="DW1312" s="29"/>
      <c r="DX1312" s="29"/>
      <c r="DY1312" s="29"/>
      <c r="DZ1312" s="29"/>
      <c r="EA1312" s="29"/>
      <c r="EB1312" s="29"/>
      <c r="EC1312" s="29"/>
      <c r="ED1312" s="29"/>
      <c r="EE1312" s="29"/>
      <c r="EF1312" s="111"/>
      <c r="EG1312" s="111"/>
      <c r="EH1312" s="111"/>
      <c r="EI1312" s="111"/>
      <c r="EJ1312" s="111"/>
      <c r="EK1312" s="111"/>
      <c r="EL1312" s="111"/>
      <c r="EM1312" s="111"/>
      <c r="EN1312" s="111"/>
      <c r="EO1312" s="111"/>
      <c r="EP1312" s="111"/>
      <c r="EQ1312" s="111"/>
      <c r="ER1312" s="111"/>
      <c r="ES1312" s="111"/>
    </row>
    <row r="1313" spans="44:149">
      <c r="AR1313" s="29"/>
      <c r="AS1313" s="29"/>
      <c r="AT1313" s="29"/>
      <c r="AU1313" s="29"/>
      <c r="AV1313" s="29"/>
      <c r="AW1313" s="29"/>
      <c r="AX1313" s="29"/>
      <c r="AY1313" s="29"/>
      <c r="AZ1313" s="29"/>
      <c r="BA1313" s="29"/>
      <c r="BB1313" s="29"/>
      <c r="BC1313" s="29"/>
      <c r="BD1313" s="29"/>
      <c r="BE1313" s="29"/>
      <c r="BF1313" s="111"/>
      <c r="BG1313" s="111"/>
      <c r="BH1313" s="111"/>
      <c r="BI1313" s="111"/>
      <c r="BJ1313" s="111"/>
      <c r="BK1313" s="111"/>
      <c r="BL1313" s="111"/>
      <c r="BM1313" s="111"/>
      <c r="BN1313" s="111"/>
      <c r="BO1313" s="111"/>
      <c r="BP1313" s="111"/>
      <c r="BQ1313" s="111"/>
      <c r="BR1313" s="111"/>
      <c r="BS1313" s="111"/>
      <c r="DR1313" s="29"/>
      <c r="DS1313" s="29"/>
      <c r="DT1313" s="29"/>
      <c r="DU1313" s="29"/>
      <c r="DV1313" s="29"/>
      <c r="DW1313" s="29"/>
      <c r="DX1313" s="29"/>
      <c r="DY1313" s="29"/>
      <c r="DZ1313" s="29"/>
      <c r="EA1313" s="29"/>
      <c r="EB1313" s="29"/>
      <c r="EC1313" s="29"/>
      <c r="ED1313" s="29"/>
      <c r="EE1313" s="29"/>
      <c r="EF1313" s="111"/>
      <c r="EG1313" s="111"/>
      <c r="EH1313" s="111"/>
      <c r="EI1313" s="111"/>
      <c r="EJ1313" s="111"/>
      <c r="EK1313" s="111"/>
      <c r="EL1313" s="111"/>
      <c r="EM1313" s="111"/>
      <c r="EN1313" s="111"/>
      <c r="EO1313" s="111"/>
      <c r="EP1313" s="111"/>
      <c r="EQ1313" s="111"/>
      <c r="ER1313" s="111"/>
      <c r="ES1313" s="111"/>
    </row>
    <row r="1314" spans="44:149">
      <c r="AR1314" s="29"/>
      <c r="AS1314" s="29"/>
      <c r="AT1314" s="29"/>
      <c r="AU1314" s="29"/>
      <c r="AV1314" s="29"/>
      <c r="AW1314" s="29"/>
      <c r="AX1314" s="29"/>
      <c r="AY1314" s="29"/>
      <c r="AZ1314" s="29"/>
      <c r="BA1314" s="29"/>
      <c r="BB1314" s="29"/>
      <c r="BC1314" s="29"/>
      <c r="BD1314" s="29"/>
      <c r="BE1314" s="29"/>
      <c r="BF1314" s="111"/>
      <c r="BG1314" s="111"/>
      <c r="BH1314" s="111"/>
      <c r="BI1314" s="111"/>
      <c r="BJ1314" s="111"/>
      <c r="BK1314" s="111"/>
      <c r="BL1314" s="111"/>
      <c r="BM1314" s="111"/>
      <c r="BN1314" s="111"/>
      <c r="BO1314" s="111"/>
      <c r="BP1314" s="111"/>
      <c r="BQ1314" s="111"/>
      <c r="BR1314" s="111"/>
      <c r="BS1314" s="111"/>
      <c r="DR1314" s="29"/>
      <c r="DS1314" s="29"/>
      <c r="DT1314" s="29"/>
      <c r="DU1314" s="29"/>
      <c r="DV1314" s="29"/>
      <c r="DW1314" s="29"/>
      <c r="DX1314" s="29"/>
      <c r="DY1314" s="29"/>
      <c r="DZ1314" s="29"/>
      <c r="EA1314" s="29"/>
      <c r="EB1314" s="29"/>
      <c r="EC1314" s="29"/>
      <c r="ED1314" s="29"/>
      <c r="EE1314" s="29"/>
      <c r="EF1314" s="111"/>
      <c r="EG1314" s="111"/>
      <c r="EH1314" s="111"/>
      <c r="EI1314" s="111"/>
      <c r="EJ1314" s="111"/>
      <c r="EK1314" s="111"/>
      <c r="EL1314" s="111"/>
      <c r="EM1314" s="111"/>
      <c r="EN1314" s="111"/>
      <c r="EO1314" s="111"/>
      <c r="EP1314" s="111"/>
      <c r="EQ1314" s="111"/>
      <c r="ER1314" s="111"/>
      <c r="ES1314" s="111"/>
    </row>
    <row r="1315" spans="44:149">
      <c r="AR1315" s="29"/>
      <c r="AS1315" s="29"/>
      <c r="AT1315" s="29"/>
      <c r="AU1315" s="29"/>
      <c r="AV1315" s="29"/>
      <c r="AW1315" s="29"/>
      <c r="AX1315" s="29"/>
      <c r="AY1315" s="29"/>
      <c r="AZ1315" s="29"/>
      <c r="BA1315" s="29"/>
      <c r="BB1315" s="29"/>
      <c r="BC1315" s="29"/>
      <c r="BD1315" s="29"/>
      <c r="BE1315" s="29"/>
      <c r="BF1315" s="111"/>
      <c r="BG1315" s="111"/>
      <c r="BH1315" s="111"/>
      <c r="BI1315" s="111"/>
      <c r="BJ1315" s="111"/>
      <c r="BK1315" s="111"/>
      <c r="BL1315" s="111"/>
      <c r="BM1315" s="111"/>
      <c r="BN1315" s="111"/>
      <c r="BO1315" s="111"/>
      <c r="BP1315" s="111"/>
      <c r="BQ1315" s="111"/>
      <c r="BR1315" s="111"/>
      <c r="BS1315" s="111"/>
      <c r="DR1315" s="29"/>
      <c r="DS1315" s="29"/>
      <c r="DT1315" s="29"/>
      <c r="DU1315" s="29"/>
      <c r="DV1315" s="29"/>
      <c r="DW1315" s="29"/>
      <c r="DX1315" s="29"/>
      <c r="DY1315" s="29"/>
      <c r="DZ1315" s="29"/>
      <c r="EA1315" s="29"/>
      <c r="EB1315" s="29"/>
      <c r="EC1315" s="29"/>
      <c r="ED1315" s="29"/>
      <c r="EE1315" s="29"/>
      <c r="EF1315" s="111"/>
      <c r="EG1315" s="111"/>
      <c r="EH1315" s="111"/>
      <c r="EI1315" s="111"/>
      <c r="EJ1315" s="111"/>
      <c r="EK1315" s="111"/>
      <c r="EL1315" s="111"/>
      <c r="EM1315" s="111"/>
      <c r="EN1315" s="111"/>
      <c r="EO1315" s="111"/>
      <c r="EP1315" s="111"/>
      <c r="EQ1315" s="111"/>
      <c r="ER1315" s="111"/>
      <c r="ES1315" s="111"/>
    </row>
    <row r="1316" spans="44:149">
      <c r="AR1316" s="29"/>
      <c r="AS1316" s="29"/>
      <c r="AT1316" s="29"/>
      <c r="AU1316" s="29"/>
      <c r="AV1316" s="29"/>
      <c r="AW1316" s="29"/>
      <c r="AX1316" s="29"/>
      <c r="AY1316" s="29"/>
      <c r="AZ1316" s="29"/>
      <c r="BA1316" s="29"/>
      <c r="BB1316" s="29"/>
      <c r="BC1316" s="29"/>
      <c r="BD1316" s="29"/>
      <c r="BE1316" s="29"/>
      <c r="BF1316" s="111"/>
      <c r="BG1316" s="111"/>
      <c r="BH1316" s="111"/>
      <c r="BI1316" s="111"/>
      <c r="BJ1316" s="111"/>
      <c r="BK1316" s="111"/>
      <c r="BL1316" s="111"/>
      <c r="BM1316" s="111"/>
      <c r="BN1316" s="111"/>
      <c r="BO1316" s="111"/>
      <c r="BP1316" s="111"/>
      <c r="BQ1316" s="111"/>
      <c r="BR1316" s="111"/>
      <c r="BS1316" s="111"/>
      <c r="DR1316" s="29"/>
      <c r="DS1316" s="29"/>
      <c r="DT1316" s="29"/>
      <c r="DU1316" s="29"/>
      <c r="DV1316" s="29"/>
      <c r="DW1316" s="29"/>
      <c r="DX1316" s="29"/>
      <c r="DY1316" s="29"/>
      <c r="DZ1316" s="29"/>
      <c r="EA1316" s="29"/>
      <c r="EB1316" s="29"/>
      <c r="EC1316" s="29"/>
      <c r="ED1316" s="29"/>
      <c r="EE1316" s="29"/>
      <c r="EF1316" s="111"/>
      <c r="EG1316" s="111"/>
      <c r="EH1316" s="111"/>
      <c r="EI1316" s="111"/>
      <c r="EJ1316" s="111"/>
      <c r="EK1316" s="111"/>
      <c r="EL1316" s="111"/>
      <c r="EM1316" s="111"/>
      <c r="EN1316" s="111"/>
      <c r="EO1316" s="111"/>
      <c r="EP1316" s="111"/>
      <c r="EQ1316" s="111"/>
      <c r="ER1316" s="111"/>
      <c r="ES1316" s="111"/>
    </row>
    <row r="1317" spans="44:149">
      <c r="AR1317" s="29"/>
      <c r="AS1317" s="29"/>
      <c r="AT1317" s="29"/>
      <c r="AU1317" s="29"/>
      <c r="AV1317" s="29"/>
      <c r="AW1317" s="29"/>
      <c r="AX1317" s="29"/>
      <c r="AY1317" s="29"/>
      <c r="AZ1317" s="29"/>
      <c r="BA1317" s="29"/>
      <c r="BB1317" s="29"/>
      <c r="BC1317" s="29"/>
      <c r="BD1317" s="29"/>
      <c r="BE1317" s="29"/>
      <c r="BF1317" s="111"/>
      <c r="BG1317" s="111"/>
      <c r="BH1317" s="111"/>
      <c r="BI1317" s="111"/>
      <c r="BJ1317" s="111"/>
      <c r="BK1317" s="111"/>
      <c r="BL1317" s="111"/>
      <c r="BM1317" s="111"/>
      <c r="BN1317" s="111"/>
      <c r="BO1317" s="111"/>
      <c r="BP1317" s="111"/>
      <c r="BQ1317" s="111"/>
      <c r="BR1317" s="111"/>
      <c r="BS1317" s="111"/>
      <c r="DR1317" s="29"/>
      <c r="DS1317" s="29"/>
      <c r="DT1317" s="29"/>
      <c r="DU1317" s="29"/>
      <c r="DV1317" s="29"/>
      <c r="DW1317" s="29"/>
      <c r="DX1317" s="29"/>
      <c r="DY1317" s="29"/>
      <c r="DZ1317" s="29"/>
      <c r="EA1317" s="29"/>
      <c r="EB1317" s="29"/>
      <c r="EC1317" s="29"/>
      <c r="ED1317" s="29"/>
      <c r="EE1317" s="29"/>
      <c r="EF1317" s="111"/>
      <c r="EG1317" s="111"/>
      <c r="EH1317" s="111"/>
      <c r="EI1317" s="111"/>
      <c r="EJ1317" s="111"/>
      <c r="EK1317" s="111"/>
      <c r="EL1317" s="111"/>
      <c r="EM1317" s="111"/>
      <c r="EN1317" s="111"/>
      <c r="EO1317" s="111"/>
      <c r="EP1317" s="111"/>
      <c r="EQ1317" s="111"/>
      <c r="ER1317" s="111"/>
      <c r="ES1317" s="111"/>
    </row>
    <row r="1318" spans="44:149">
      <c r="AR1318" s="29"/>
      <c r="AS1318" s="29"/>
      <c r="AT1318" s="29"/>
      <c r="AU1318" s="29"/>
      <c r="AV1318" s="29"/>
      <c r="AW1318" s="29"/>
      <c r="AX1318" s="29"/>
      <c r="AY1318" s="29"/>
      <c r="AZ1318" s="29"/>
      <c r="BA1318" s="29"/>
      <c r="BB1318" s="29"/>
      <c r="BC1318" s="29"/>
      <c r="BD1318" s="29"/>
      <c r="BE1318" s="29"/>
      <c r="BF1318" s="111"/>
      <c r="BG1318" s="111"/>
      <c r="BH1318" s="111"/>
      <c r="BI1318" s="111"/>
      <c r="BJ1318" s="111"/>
      <c r="BK1318" s="111"/>
      <c r="BL1318" s="111"/>
      <c r="BM1318" s="111"/>
      <c r="BN1318" s="111"/>
      <c r="BO1318" s="111"/>
      <c r="BP1318" s="111"/>
      <c r="BQ1318" s="111"/>
      <c r="BR1318" s="111"/>
      <c r="BS1318" s="111"/>
      <c r="DR1318" s="29"/>
      <c r="DS1318" s="29"/>
      <c r="DT1318" s="29"/>
      <c r="DU1318" s="29"/>
      <c r="DV1318" s="29"/>
      <c r="DW1318" s="29"/>
      <c r="DX1318" s="29"/>
      <c r="DY1318" s="29"/>
      <c r="DZ1318" s="29"/>
      <c r="EA1318" s="29"/>
      <c r="EB1318" s="29"/>
      <c r="EC1318" s="29"/>
      <c r="ED1318" s="29"/>
      <c r="EE1318" s="29"/>
      <c r="EF1318" s="111"/>
      <c r="EG1318" s="111"/>
      <c r="EH1318" s="111"/>
      <c r="EI1318" s="111"/>
      <c r="EJ1318" s="111"/>
      <c r="EK1318" s="111"/>
      <c r="EL1318" s="111"/>
      <c r="EM1318" s="111"/>
      <c r="EN1318" s="111"/>
      <c r="EO1318" s="111"/>
      <c r="EP1318" s="111"/>
      <c r="EQ1318" s="111"/>
      <c r="ER1318" s="111"/>
      <c r="ES1318" s="111"/>
    </row>
    <row r="1319" spans="44:149">
      <c r="AR1319" s="29"/>
      <c r="AS1319" s="29"/>
      <c r="AT1319" s="29"/>
      <c r="AU1319" s="29"/>
      <c r="AV1319" s="29"/>
      <c r="AW1319" s="29"/>
      <c r="AX1319" s="29"/>
      <c r="AY1319" s="29"/>
      <c r="AZ1319" s="29"/>
      <c r="BA1319" s="29"/>
      <c r="BB1319" s="29"/>
      <c r="BC1319" s="29"/>
      <c r="BD1319" s="29"/>
      <c r="BE1319" s="29"/>
      <c r="BF1319" s="111"/>
      <c r="BG1319" s="111"/>
      <c r="BH1319" s="111"/>
      <c r="BI1319" s="111"/>
      <c r="BJ1319" s="111"/>
      <c r="BK1319" s="111"/>
      <c r="BL1319" s="111"/>
      <c r="BM1319" s="111"/>
      <c r="BN1319" s="111"/>
      <c r="BO1319" s="111"/>
      <c r="BP1319" s="111"/>
      <c r="BQ1319" s="111"/>
      <c r="BR1319" s="111"/>
      <c r="BS1319" s="111"/>
      <c r="DR1319" s="29"/>
      <c r="DS1319" s="29"/>
      <c r="DT1319" s="29"/>
      <c r="DU1319" s="29"/>
      <c r="DV1319" s="29"/>
      <c r="DW1319" s="29"/>
      <c r="DX1319" s="29"/>
      <c r="DY1319" s="29"/>
      <c r="DZ1319" s="29"/>
      <c r="EA1319" s="29"/>
      <c r="EB1319" s="29"/>
      <c r="EC1319" s="29"/>
      <c r="ED1319" s="29"/>
      <c r="EE1319" s="29"/>
      <c r="EF1319" s="111"/>
      <c r="EG1319" s="111"/>
      <c r="EH1319" s="111"/>
      <c r="EI1319" s="111"/>
      <c r="EJ1319" s="111"/>
      <c r="EK1319" s="111"/>
      <c r="EL1319" s="111"/>
      <c r="EM1319" s="111"/>
      <c r="EN1319" s="111"/>
      <c r="EO1319" s="111"/>
      <c r="EP1319" s="111"/>
      <c r="EQ1319" s="111"/>
      <c r="ER1319" s="111"/>
      <c r="ES1319" s="111"/>
    </row>
    <row r="1320" spans="44:149">
      <c r="AR1320" s="29"/>
      <c r="AS1320" s="29"/>
      <c r="AT1320" s="29"/>
      <c r="AU1320" s="29"/>
      <c r="AV1320" s="29"/>
      <c r="AW1320" s="29"/>
      <c r="AX1320" s="29"/>
      <c r="AY1320" s="29"/>
      <c r="AZ1320" s="29"/>
      <c r="BA1320" s="29"/>
      <c r="BB1320" s="29"/>
      <c r="BC1320" s="29"/>
      <c r="BD1320" s="29"/>
      <c r="BE1320" s="29"/>
      <c r="BF1320" s="111"/>
      <c r="BG1320" s="111"/>
      <c r="BH1320" s="111"/>
      <c r="BI1320" s="111"/>
      <c r="BJ1320" s="111"/>
      <c r="BK1320" s="111"/>
      <c r="BL1320" s="111"/>
      <c r="BM1320" s="111"/>
      <c r="BN1320" s="111"/>
      <c r="BO1320" s="111"/>
      <c r="BP1320" s="111"/>
      <c r="BQ1320" s="111"/>
      <c r="BR1320" s="111"/>
      <c r="BS1320" s="111"/>
      <c r="DR1320" s="29"/>
      <c r="DS1320" s="29"/>
      <c r="DT1320" s="29"/>
      <c r="DU1320" s="29"/>
      <c r="DV1320" s="29"/>
      <c r="DW1320" s="29"/>
      <c r="DX1320" s="29"/>
      <c r="DY1320" s="29"/>
      <c r="DZ1320" s="29"/>
      <c r="EA1320" s="29"/>
      <c r="EB1320" s="29"/>
      <c r="EC1320" s="29"/>
      <c r="ED1320" s="29"/>
      <c r="EE1320" s="29"/>
      <c r="EF1320" s="111"/>
      <c r="EG1320" s="111"/>
      <c r="EH1320" s="111"/>
      <c r="EI1320" s="111"/>
      <c r="EJ1320" s="111"/>
      <c r="EK1320" s="111"/>
      <c r="EL1320" s="111"/>
      <c r="EM1320" s="111"/>
      <c r="EN1320" s="111"/>
      <c r="EO1320" s="111"/>
      <c r="EP1320" s="111"/>
      <c r="EQ1320" s="111"/>
      <c r="ER1320" s="111"/>
      <c r="ES1320" s="111"/>
    </row>
    <row r="1321" spans="44:149">
      <c r="AR1321" s="29"/>
      <c r="AS1321" s="29"/>
      <c r="AT1321" s="29"/>
      <c r="AU1321" s="29"/>
      <c r="AV1321" s="29"/>
      <c r="AW1321" s="29"/>
      <c r="AX1321" s="29"/>
      <c r="AY1321" s="29"/>
      <c r="AZ1321" s="29"/>
      <c r="BA1321" s="29"/>
      <c r="BB1321" s="29"/>
      <c r="BC1321" s="29"/>
      <c r="BD1321" s="29"/>
      <c r="BE1321" s="29"/>
      <c r="BF1321" s="111"/>
      <c r="BG1321" s="111"/>
      <c r="BH1321" s="111"/>
      <c r="BI1321" s="111"/>
      <c r="BJ1321" s="111"/>
      <c r="BK1321" s="111"/>
      <c r="BL1321" s="111"/>
      <c r="BM1321" s="111"/>
      <c r="BN1321" s="111"/>
      <c r="BO1321" s="111"/>
      <c r="BP1321" s="111"/>
      <c r="BQ1321" s="111"/>
      <c r="BR1321" s="111"/>
      <c r="BS1321" s="111"/>
      <c r="DR1321" s="29"/>
      <c r="DS1321" s="29"/>
      <c r="DT1321" s="29"/>
      <c r="DU1321" s="29"/>
      <c r="DV1321" s="29"/>
      <c r="DW1321" s="29"/>
      <c r="DX1321" s="29"/>
      <c r="DY1321" s="29"/>
      <c r="DZ1321" s="29"/>
      <c r="EA1321" s="29"/>
      <c r="EB1321" s="29"/>
      <c r="EC1321" s="29"/>
      <c r="ED1321" s="29"/>
      <c r="EE1321" s="29"/>
      <c r="EF1321" s="111"/>
      <c r="EG1321" s="111"/>
      <c r="EH1321" s="111"/>
      <c r="EI1321" s="111"/>
      <c r="EJ1321" s="111"/>
      <c r="EK1321" s="111"/>
      <c r="EL1321" s="111"/>
      <c r="EM1321" s="111"/>
      <c r="EN1321" s="111"/>
      <c r="EO1321" s="111"/>
      <c r="EP1321" s="111"/>
      <c r="EQ1321" s="111"/>
      <c r="ER1321" s="111"/>
      <c r="ES1321" s="111"/>
    </row>
    <row r="1322" spans="44:149">
      <c r="AR1322" s="29"/>
      <c r="AS1322" s="29"/>
      <c r="AT1322" s="29"/>
      <c r="AU1322" s="29"/>
      <c r="AV1322" s="29"/>
      <c r="AW1322" s="29"/>
      <c r="AX1322" s="29"/>
      <c r="AY1322" s="29"/>
      <c r="AZ1322" s="29"/>
      <c r="BA1322" s="29"/>
      <c r="BB1322" s="29"/>
      <c r="BC1322" s="29"/>
      <c r="BD1322" s="29"/>
      <c r="BE1322" s="29"/>
      <c r="BF1322" s="111"/>
      <c r="BG1322" s="111"/>
      <c r="BH1322" s="111"/>
      <c r="BI1322" s="111"/>
      <c r="BJ1322" s="111"/>
      <c r="BK1322" s="111"/>
      <c r="BL1322" s="111"/>
      <c r="BM1322" s="111"/>
      <c r="BN1322" s="111"/>
      <c r="BO1322" s="111"/>
      <c r="BP1322" s="111"/>
      <c r="BQ1322" s="111"/>
      <c r="BR1322" s="111"/>
      <c r="BS1322" s="111"/>
      <c r="DR1322" s="29"/>
      <c r="DS1322" s="29"/>
      <c r="DT1322" s="29"/>
      <c r="DU1322" s="29"/>
      <c r="DV1322" s="29"/>
      <c r="DW1322" s="29"/>
      <c r="DX1322" s="29"/>
      <c r="DY1322" s="29"/>
      <c r="DZ1322" s="29"/>
      <c r="EA1322" s="29"/>
      <c r="EB1322" s="29"/>
      <c r="EC1322" s="29"/>
      <c r="ED1322" s="29"/>
      <c r="EE1322" s="29"/>
      <c r="EF1322" s="111"/>
      <c r="EG1322" s="111"/>
      <c r="EH1322" s="111"/>
      <c r="EI1322" s="111"/>
      <c r="EJ1322" s="111"/>
      <c r="EK1322" s="111"/>
      <c r="EL1322" s="111"/>
      <c r="EM1322" s="111"/>
      <c r="EN1322" s="111"/>
      <c r="EO1322" s="111"/>
      <c r="EP1322" s="111"/>
      <c r="EQ1322" s="111"/>
      <c r="ER1322" s="111"/>
      <c r="ES1322" s="111"/>
    </row>
    <row r="1323" spans="44:149">
      <c r="AR1323" s="29"/>
      <c r="AS1323" s="29"/>
      <c r="AT1323" s="29"/>
      <c r="AU1323" s="29"/>
      <c r="AV1323" s="29"/>
      <c r="AW1323" s="29"/>
      <c r="AX1323" s="29"/>
      <c r="AY1323" s="29"/>
      <c r="AZ1323" s="29"/>
      <c r="BA1323" s="29"/>
      <c r="BB1323" s="29"/>
      <c r="BC1323" s="29"/>
      <c r="BD1323" s="29"/>
      <c r="BE1323" s="29"/>
      <c r="BF1323" s="111"/>
      <c r="BG1323" s="111"/>
      <c r="BH1323" s="111"/>
      <c r="BI1323" s="111"/>
      <c r="BJ1323" s="111"/>
      <c r="BK1323" s="111"/>
      <c r="BL1323" s="111"/>
      <c r="BM1323" s="111"/>
      <c r="BN1323" s="111"/>
      <c r="BO1323" s="111"/>
      <c r="BP1323" s="111"/>
      <c r="BQ1323" s="111"/>
      <c r="BR1323" s="111"/>
      <c r="BS1323" s="111"/>
      <c r="DR1323" s="29"/>
      <c r="DS1323" s="29"/>
      <c r="DT1323" s="29"/>
      <c r="DU1323" s="29"/>
      <c r="DV1323" s="29"/>
      <c r="DW1323" s="29"/>
      <c r="DX1323" s="29"/>
      <c r="DY1323" s="29"/>
      <c r="DZ1323" s="29"/>
      <c r="EA1323" s="29"/>
      <c r="EB1323" s="29"/>
      <c r="EC1323" s="29"/>
      <c r="ED1323" s="29"/>
      <c r="EE1323" s="29"/>
      <c r="EF1323" s="111"/>
      <c r="EG1323" s="111"/>
      <c r="EH1323" s="111"/>
      <c r="EI1323" s="111"/>
      <c r="EJ1323" s="111"/>
      <c r="EK1323" s="111"/>
      <c r="EL1323" s="111"/>
      <c r="EM1323" s="111"/>
      <c r="EN1323" s="111"/>
      <c r="EO1323" s="111"/>
      <c r="EP1323" s="111"/>
      <c r="EQ1323" s="111"/>
      <c r="ER1323" s="111"/>
      <c r="ES1323" s="111"/>
    </row>
    <row r="1324" spans="44:149">
      <c r="AR1324" s="29"/>
      <c r="AS1324" s="29"/>
      <c r="AT1324" s="29"/>
      <c r="AU1324" s="29"/>
      <c r="AV1324" s="29"/>
      <c r="AW1324" s="29"/>
      <c r="AX1324" s="29"/>
      <c r="AY1324" s="29"/>
      <c r="AZ1324" s="29"/>
      <c r="BA1324" s="29"/>
      <c r="BB1324" s="29"/>
      <c r="BC1324" s="29"/>
      <c r="BD1324" s="29"/>
      <c r="BE1324" s="29"/>
      <c r="BF1324" s="111"/>
      <c r="BG1324" s="111"/>
      <c r="BH1324" s="111"/>
      <c r="BI1324" s="111"/>
      <c r="BJ1324" s="111"/>
      <c r="BK1324" s="111"/>
      <c r="BL1324" s="111"/>
      <c r="BM1324" s="111"/>
      <c r="BN1324" s="111"/>
      <c r="BO1324" s="111"/>
      <c r="BP1324" s="111"/>
      <c r="BQ1324" s="111"/>
      <c r="BR1324" s="111"/>
      <c r="BS1324" s="111"/>
      <c r="DR1324" s="29"/>
      <c r="DS1324" s="29"/>
      <c r="DT1324" s="29"/>
      <c r="DU1324" s="29"/>
      <c r="DV1324" s="29"/>
      <c r="DW1324" s="29"/>
      <c r="DX1324" s="29"/>
      <c r="DY1324" s="29"/>
      <c r="DZ1324" s="29"/>
      <c r="EA1324" s="29"/>
      <c r="EB1324" s="29"/>
      <c r="EC1324" s="29"/>
      <c r="ED1324" s="29"/>
      <c r="EE1324" s="29"/>
      <c r="EF1324" s="111"/>
      <c r="EG1324" s="111"/>
      <c r="EH1324" s="111"/>
      <c r="EI1324" s="111"/>
      <c r="EJ1324" s="111"/>
      <c r="EK1324" s="111"/>
      <c r="EL1324" s="111"/>
      <c r="EM1324" s="111"/>
      <c r="EN1324" s="111"/>
      <c r="EO1324" s="111"/>
      <c r="EP1324" s="111"/>
      <c r="EQ1324" s="111"/>
      <c r="ER1324" s="111"/>
      <c r="ES1324" s="111"/>
    </row>
    <row r="1325" spans="44:149">
      <c r="AR1325" s="29"/>
      <c r="AS1325" s="29"/>
      <c r="AT1325" s="29"/>
      <c r="AU1325" s="29"/>
      <c r="AV1325" s="29"/>
      <c r="AW1325" s="29"/>
      <c r="AX1325" s="29"/>
      <c r="AY1325" s="29"/>
      <c r="AZ1325" s="29"/>
      <c r="BA1325" s="29"/>
      <c r="BB1325" s="29"/>
      <c r="BC1325" s="29"/>
      <c r="BD1325" s="29"/>
      <c r="BE1325" s="29"/>
      <c r="BF1325" s="111"/>
      <c r="BG1325" s="111"/>
      <c r="BH1325" s="111"/>
      <c r="BI1325" s="111"/>
      <c r="BJ1325" s="111"/>
      <c r="BK1325" s="111"/>
      <c r="BL1325" s="111"/>
      <c r="BM1325" s="111"/>
      <c r="BN1325" s="111"/>
      <c r="BO1325" s="111"/>
      <c r="BP1325" s="111"/>
      <c r="BQ1325" s="111"/>
      <c r="BR1325" s="111"/>
      <c r="BS1325" s="111"/>
      <c r="DR1325" s="29"/>
      <c r="DS1325" s="29"/>
      <c r="DT1325" s="29"/>
      <c r="DU1325" s="29"/>
      <c r="DV1325" s="29"/>
      <c r="DW1325" s="29"/>
      <c r="DX1325" s="29"/>
      <c r="DY1325" s="29"/>
      <c r="DZ1325" s="29"/>
      <c r="EA1325" s="29"/>
      <c r="EB1325" s="29"/>
      <c r="EC1325" s="29"/>
      <c r="ED1325" s="29"/>
      <c r="EE1325" s="29"/>
      <c r="EF1325" s="111"/>
      <c r="EG1325" s="111"/>
      <c r="EH1325" s="111"/>
      <c r="EI1325" s="111"/>
      <c r="EJ1325" s="111"/>
      <c r="EK1325" s="111"/>
      <c r="EL1325" s="111"/>
      <c r="EM1325" s="111"/>
      <c r="EN1325" s="111"/>
      <c r="EO1325" s="111"/>
      <c r="EP1325" s="111"/>
      <c r="EQ1325" s="111"/>
      <c r="ER1325" s="111"/>
      <c r="ES1325" s="111"/>
    </row>
    <row r="1326" spans="44:149">
      <c r="AR1326" s="29"/>
      <c r="AS1326" s="29"/>
      <c r="AT1326" s="29"/>
      <c r="AU1326" s="29"/>
      <c r="AV1326" s="29"/>
      <c r="AW1326" s="29"/>
      <c r="AX1326" s="29"/>
      <c r="AY1326" s="29"/>
      <c r="AZ1326" s="29"/>
      <c r="BA1326" s="29"/>
      <c r="BB1326" s="29"/>
      <c r="BC1326" s="29"/>
      <c r="BD1326" s="29"/>
      <c r="BE1326" s="29"/>
      <c r="BF1326" s="111"/>
      <c r="BG1326" s="111"/>
      <c r="BH1326" s="111"/>
      <c r="BI1326" s="111"/>
      <c r="BJ1326" s="111"/>
      <c r="BK1326" s="111"/>
      <c r="BL1326" s="111"/>
      <c r="BM1326" s="111"/>
      <c r="BN1326" s="111"/>
      <c r="BO1326" s="111"/>
      <c r="BP1326" s="111"/>
      <c r="BQ1326" s="111"/>
      <c r="BR1326" s="111"/>
      <c r="BS1326" s="111"/>
      <c r="DR1326" s="29"/>
      <c r="DS1326" s="29"/>
      <c r="DT1326" s="29"/>
      <c r="DU1326" s="29"/>
      <c r="DV1326" s="29"/>
      <c r="DW1326" s="29"/>
      <c r="DX1326" s="29"/>
      <c r="DY1326" s="29"/>
      <c r="DZ1326" s="29"/>
      <c r="EA1326" s="29"/>
      <c r="EB1326" s="29"/>
      <c r="EC1326" s="29"/>
      <c r="ED1326" s="29"/>
      <c r="EE1326" s="29"/>
      <c r="EF1326" s="111"/>
      <c r="EG1326" s="111"/>
      <c r="EH1326" s="111"/>
      <c r="EI1326" s="111"/>
      <c r="EJ1326" s="111"/>
      <c r="EK1326" s="111"/>
      <c r="EL1326" s="111"/>
      <c r="EM1326" s="111"/>
      <c r="EN1326" s="111"/>
      <c r="EO1326" s="111"/>
      <c r="EP1326" s="111"/>
      <c r="EQ1326" s="111"/>
      <c r="ER1326" s="111"/>
      <c r="ES1326" s="111"/>
    </row>
    <row r="1327" spans="44:149">
      <c r="AR1327" s="29"/>
      <c r="AS1327" s="29"/>
      <c r="AT1327" s="29"/>
      <c r="AU1327" s="29"/>
      <c r="AV1327" s="29"/>
      <c r="AW1327" s="29"/>
      <c r="AX1327" s="29"/>
      <c r="AY1327" s="29"/>
      <c r="AZ1327" s="29"/>
      <c r="BA1327" s="29"/>
      <c r="BB1327" s="29"/>
      <c r="BC1327" s="29"/>
      <c r="BD1327" s="29"/>
      <c r="BE1327" s="29"/>
      <c r="BF1327" s="111"/>
      <c r="BG1327" s="111"/>
      <c r="BH1327" s="111"/>
      <c r="BI1327" s="111"/>
      <c r="BJ1327" s="111"/>
      <c r="BK1327" s="111"/>
      <c r="BL1327" s="111"/>
      <c r="BM1327" s="111"/>
      <c r="BN1327" s="111"/>
      <c r="BO1327" s="111"/>
      <c r="BP1327" s="111"/>
      <c r="BQ1327" s="111"/>
      <c r="BR1327" s="111"/>
      <c r="BS1327" s="111"/>
      <c r="DR1327" s="29"/>
      <c r="DS1327" s="29"/>
      <c r="DT1327" s="29"/>
      <c r="DU1327" s="29"/>
      <c r="DV1327" s="29"/>
      <c r="DW1327" s="29"/>
      <c r="DX1327" s="29"/>
      <c r="DY1327" s="29"/>
      <c r="DZ1327" s="29"/>
      <c r="EA1327" s="29"/>
      <c r="EB1327" s="29"/>
      <c r="EC1327" s="29"/>
      <c r="ED1327" s="29"/>
      <c r="EE1327" s="29"/>
      <c r="EF1327" s="111"/>
      <c r="EG1327" s="111"/>
      <c r="EH1327" s="111"/>
      <c r="EI1327" s="111"/>
      <c r="EJ1327" s="111"/>
      <c r="EK1327" s="111"/>
      <c r="EL1327" s="111"/>
      <c r="EM1327" s="111"/>
      <c r="EN1327" s="111"/>
      <c r="EO1327" s="111"/>
      <c r="EP1327" s="111"/>
      <c r="EQ1327" s="111"/>
      <c r="ER1327" s="111"/>
      <c r="ES1327" s="111"/>
    </row>
    <row r="1328" spans="44:149">
      <c r="AR1328" s="29"/>
      <c r="AS1328" s="29"/>
      <c r="AT1328" s="29"/>
      <c r="AU1328" s="29"/>
      <c r="AV1328" s="29"/>
      <c r="AW1328" s="29"/>
      <c r="AX1328" s="29"/>
      <c r="AY1328" s="29"/>
      <c r="AZ1328" s="29"/>
      <c r="BA1328" s="29"/>
      <c r="BB1328" s="29"/>
      <c r="BC1328" s="29"/>
      <c r="BD1328" s="29"/>
      <c r="BE1328" s="29"/>
      <c r="BF1328" s="111"/>
      <c r="BG1328" s="111"/>
      <c r="BH1328" s="111"/>
      <c r="BI1328" s="111"/>
      <c r="BJ1328" s="111"/>
      <c r="BK1328" s="111"/>
      <c r="BL1328" s="111"/>
      <c r="BM1328" s="111"/>
      <c r="BN1328" s="111"/>
      <c r="BO1328" s="111"/>
      <c r="BP1328" s="111"/>
      <c r="BQ1328" s="111"/>
      <c r="BR1328" s="111"/>
      <c r="BS1328" s="111"/>
      <c r="DR1328" s="29"/>
      <c r="DS1328" s="29"/>
      <c r="DT1328" s="29"/>
      <c r="DU1328" s="29"/>
      <c r="DV1328" s="29"/>
      <c r="DW1328" s="29"/>
      <c r="DX1328" s="29"/>
      <c r="DY1328" s="29"/>
      <c r="DZ1328" s="29"/>
      <c r="EA1328" s="29"/>
      <c r="EB1328" s="29"/>
      <c r="EC1328" s="29"/>
      <c r="ED1328" s="29"/>
      <c r="EE1328" s="29"/>
      <c r="EF1328" s="111"/>
      <c r="EG1328" s="111"/>
      <c r="EH1328" s="111"/>
      <c r="EI1328" s="111"/>
      <c r="EJ1328" s="111"/>
      <c r="EK1328" s="111"/>
      <c r="EL1328" s="111"/>
      <c r="EM1328" s="111"/>
      <c r="EN1328" s="111"/>
      <c r="EO1328" s="111"/>
      <c r="EP1328" s="111"/>
      <c r="EQ1328" s="111"/>
      <c r="ER1328" s="111"/>
      <c r="ES1328" s="111"/>
    </row>
    <row r="1329" spans="44:149">
      <c r="AR1329" s="29"/>
      <c r="AS1329" s="29"/>
      <c r="AT1329" s="29"/>
      <c r="AU1329" s="29"/>
      <c r="AV1329" s="29"/>
      <c r="AW1329" s="29"/>
      <c r="AX1329" s="29"/>
      <c r="AY1329" s="29"/>
      <c r="AZ1329" s="29"/>
      <c r="BA1329" s="29"/>
      <c r="BB1329" s="29"/>
      <c r="BC1329" s="29"/>
      <c r="BD1329" s="29"/>
      <c r="BE1329" s="29"/>
      <c r="BF1329" s="111"/>
      <c r="BG1329" s="111"/>
      <c r="BH1329" s="111"/>
      <c r="BI1329" s="111"/>
      <c r="BJ1329" s="111"/>
      <c r="BK1329" s="111"/>
      <c r="BL1329" s="111"/>
      <c r="BM1329" s="111"/>
      <c r="BN1329" s="111"/>
      <c r="BO1329" s="111"/>
      <c r="BP1329" s="111"/>
      <c r="BQ1329" s="111"/>
      <c r="BR1329" s="111"/>
      <c r="BS1329" s="111"/>
      <c r="DR1329" s="29"/>
      <c r="DS1329" s="29"/>
      <c r="DT1329" s="29"/>
      <c r="DU1329" s="29"/>
      <c r="DV1329" s="29"/>
      <c r="DW1329" s="29"/>
      <c r="DX1329" s="29"/>
      <c r="DY1329" s="29"/>
      <c r="DZ1329" s="29"/>
      <c r="EA1329" s="29"/>
      <c r="EB1329" s="29"/>
      <c r="EC1329" s="29"/>
      <c r="ED1329" s="29"/>
      <c r="EE1329" s="29"/>
      <c r="EF1329" s="111"/>
      <c r="EG1329" s="111"/>
      <c r="EH1329" s="111"/>
      <c r="EI1329" s="111"/>
      <c r="EJ1329" s="111"/>
      <c r="EK1329" s="111"/>
      <c r="EL1329" s="111"/>
      <c r="EM1329" s="111"/>
      <c r="EN1329" s="111"/>
      <c r="EO1329" s="111"/>
      <c r="EP1329" s="111"/>
      <c r="EQ1329" s="111"/>
      <c r="ER1329" s="111"/>
      <c r="ES1329" s="111"/>
    </row>
    <row r="1330" spans="44:149">
      <c r="AR1330" s="29"/>
      <c r="AS1330" s="29"/>
      <c r="AT1330" s="29"/>
      <c r="AU1330" s="29"/>
      <c r="AV1330" s="29"/>
      <c r="AW1330" s="29"/>
      <c r="AX1330" s="29"/>
      <c r="AY1330" s="29"/>
      <c r="AZ1330" s="29"/>
      <c r="BA1330" s="29"/>
      <c r="BB1330" s="29"/>
      <c r="BC1330" s="29"/>
      <c r="BD1330" s="29"/>
      <c r="BE1330" s="29"/>
      <c r="BF1330" s="111"/>
      <c r="BG1330" s="111"/>
      <c r="BH1330" s="111"/>
      <c r="BI1330" s="111"/>
      <c r="BJ1330" s="111"/>
      <c r="BK1330" s="111"/>
      <c r="BL1330" s="111"/>
      <c r="BM1330" s="111"/>
      <c r="BN1330" s="111"/>
      <c r="BO1330" s="111"/>
      <c r="BP1330" s="111"/>
      <c r="BQ1330" s="111"/>
      <c r="BR1330" s="111"/>
      <c r="BS1330" s="111"/>
      <c r="DR1330" s="29"/>
      <c r="DS1330" s="29"/>
      <c r="DT1330" s="29"/>
      <c r="DU1330" s="29"/>
      <c r="DV1330" s="29"/>
      <c r="DW1330" s="29"/>
      <c r="DX1330" s="29"/>
      <c r="DY1330" s="29"/>
      <c r="DZ1330" s="29"/>
      <c r="EA1330" s="29"/>
      <c r="EB1330" s="29"/>
      <c r="EC1330" s="29"/>
      <c r="ED1330" s="29"/>
      <c r="EE1330" s="29"/>
      <c r="EF1330" s="111"/>
      <c r="EG1330" s="111"/>
      <c r="EH1330" s="111"/>
      <c r="EI1330" s="111"/>
      <c r="EJ1330" s="111"/>
      <c r="EK1330" s="111"/>
      <c r="EL1330" s="111"/>
      <c r="EM1330" s="111"/>
      <c r="EN1330" s="111"/>
      <c r="EO1330" s="111"/>
      <c r="EP1330" s="111"/>
      <c r="EQ1330" s="111"/>
      <c r="ER1330" s="111"/>
      <c r="ES1330" s="111"/>
    </row>
    <row r="1331" spans="44:149">
      <c r="AR1331" s="29"/>
      <c r="AS1331" s="29"/>
      <c r="AT1331" s="29"/>
      <c r="AU1331" s="29"/>
      <c r="AV1331" s="29"/>
      <c r="AW1331" s="29"/>
      <c r="AX1331" s="29"/>
      <c r="AY1331" s="29"/>
      <c r="AZ1331" s="29"/>
      <c r="BA1331" s="29"/>
      <c r="BB1331" s="29"/>
      <c r="BC1331" s="29"/>
      <c r="BD1331" s="29"/>
      <c r="BE1331" s="29"/>
      <c r="BF1331" s="111"/>
      <c r="BG1331" s="111"/>
      <c r="BH1331" s="111"/>
      <c r="BI1331" s="111"/>
      <c r="BJ1331" s="111"/>
      <c r="BK1331" s="111"/>
      <c r="BL1331" s="111"/>
      <c r="BM1331" s="111"/>
      <c r="BN1331" s="111"/>
      <c r="BO1331" s="111"/>
      <c r="BP1331" s="111"/>
      <c r="BQ1331" s="111"/>
      <c r="BR1331" s="111"/>
      <c r="BS1331" s="111"/>
      <c r="DR1331" s="29"/>
      <c r="DS1331" s="29"/>
      <c r="DT1331" s="29"/>
      <c r="DU1331" s="29"/>
      <c r="DV1331" s="29"/>
      <c r="DW1331" s="29"/>
      <c r="DX1331" s="29"/>
      <c r="DY1331" s="29"/>
      <c r="DZ1331" s="29"/>
      <c r="EA1331" s="29"/>
      <c r="EB1331" s="29"/>
      <c r="EC1331" s="29"/>
      <c r="ED1331" s="29"/>
      <c r="EE1331" s="29"/>
      <c r="EF1331" s="111"/>
      <c r="EG1331" s="111"/>
      <c r="EH1331" s="111"/>
      <c r="EI1331" s="111"/>
      <c r="EJ1331" s="111"/>
      <c r="EK1331" s="111"/>
      <c r="EL1331" s="111"/>
      <c r="EM1331" s="111"/>
      <c r="EN1331" s="111"/>
      <c r="EO1331" s="111"/>
      <c r="EP1331" s="111"/>
      <c r="EQ1331" s="111"/>
      <c r="ER1331" s="111"/>
      <c r="ES1331" s="111"/>
    </row>
    <row r="1332" spans="44:149">
      <c r="AR1332" s="29"/>
      <c r="AS1332" s="29"/>
      <c r="AT1332" s="29"/>
      <c r="AU1332" s="29"/>
      <c r="AV1332" s="29"/>
      <c r="AW1332" s="29"/>
      <c r="AX1332" s="29"/>
      <c r="AY1332" s="29"/>
      <c r="AZ1332" s="29"/>
      <c r="BA1332" s="29"/>
      <c r="BB1332" s="29"/>
      <c r="BC1332" s="29"/>
      <c r="BD1332" s="29"/>
      <c r="BE1332" s="29"/>
      <c r="BF1332" s="111"/>
      <c r="BG1332" s="111"/>
      <c r="BH1332" s="111"/>
      <c r="BI1332" s="111"/>
      <c r="BJ1332" s="111"/>
      <c r="BK1332" s="111"/>
      <c r="BL1332" s="111"/>
      <c r="BM1332" s="111"/>
      <c r="BN1332" s="111"/>
      <c r="BO1332" s="111"/>
      <c r="BP1332" s="111"/>
      <c r="BQ1332" s="111"/>
      <c r="BR1332" s="111"/>
      <c r="BS1332" s="111"/>
      <c r="DR1332" s="29"/>
      <c r="DS1332" s="29"/>
      <c r="DT1332" s="29"/>
      <c r="DU1332" s="29"/>
      <c r="DV1332" s="29"/>
      <c r="DW1332" s="29"/>
      <c r="DX1332" s="29"/>
      <c r="DY1332" s="29"/>
      <c r="DZ1332" s="29"/>
      <c r="EA1332" s="29"/>
      <c r="EB1332" s="29"/>
      <c r="EC1332" s="29"/>
      <c r="ED1332" s="29"/>
      <c r="EE1332" s="29"/>
      <c r="EF1332" s="111"/>
      <c r="EG1332" s="111"/>
      <c r="EH1332" s="111"/>
      <c r="EI1332" s="111"/>
      <c r="EJ1332" s="111"/>
      <c r="EK1332" s="111"/>
      <c r="EL1332" s="111"/>
      <c r="EM1332" s="111"/>
      <c r="EN1332" s="111"/>
      <c r="EO1332" s="111"/>
      <c r="EP1332" s="111"/>
      <c r="EQ1332" s="111"/>
      <c r="ER1332" s="111"/>
      <c r="ES1332" s="111"/>
    </row>
    <row r="1333" spans="44:149">
      <c r="AR1333" s="29"/>
      <c r="AS1333" s="29"/>
      <c r="AT1333" s="29"/>
      <c r="AU1333" s="29"/>
      <c r="AV1333" s="29"/>
      <c r="AW1333" s="29"/>
      <c r="AX1333" s="29"/>
      <c r="AY1333" s="29"/>
      <c r="AZ1333" s="29"/>
      <c r="BA1333" s="29"/>
      <c r="BB1333" s="29"/>
      <c r="BC1333" s="29"/>
      <c r="BD1333" s="29"/>
      <c r="BE1333" s="29"/>
      <c r="BF1333" s="111"/>
      <c r="BG1333" s="111"/>
      <c r="BH1333" s="111"/>
      <c r="BI1333" s="111"/>
      <c r="BJ1333" s="111"/>
      <c r="BK1333" s="111"/>
      <c r="BL1333" s="111"/>
      <c r="BM1333" s="111"/>
      <c r="BN1333" s="111"/>
      <c r="BO1333" s="111"/>
      <c r="BP1333" s="111"/>
      <c r="BQ1333" s="111"/>
      <c r="BR1333" s="111"/>
      <c r="BS1333" s="111"/>
      <c r="DR1333" s="29"/>
      <c r="DS1333" s="29"/>
      <c r="DT1333" s="29"/>
      <c r="DU1333" s="29"/>
      <c r="DV1333" s="29"/>
      <c r="DW1333" s="29"/>
      <c r="DX1333" s="29"/>
      <c r="DY1333" s="29"/>
      <c r="DZ1333" s="29"/>
      <c r="EA1333" s="29"/>
      <c r="EB1333" s="29"/>
      <c r="EC1333" s="29"/>
      <c r="ED1333" s="29"/>
      <c r="EE1333" s="29"/>
      <c r="EF1333" s="111"/>
      <c r="EG1333" s="111"/>
      <c r="EH1333" s="111"/>
      <c r="EI1333" s="111"/>
      <c r="EJ1333" s="111"/>
      <c r="EK1333" s="111"/>
      <c r="EL1333" s="111"/>
      <c r="EM1333" s="111"/>
      <c r="EN1333" s="111"/>
      <c r="EO1333" s="111"/>
      <c r="EP1333" s="111"/>
      <c r="EQ1333" s="111"/>
      <c r="ER1333" s="111"/>
      <c r="ES1333" s="111"/>
    </row>
    <row r="1334" spans="44:149">
      <c r="AR1334" s="29"/>
      <c r="AS1334" s="29"/>
      <c r="AT1334" s="29"/>
      <c r="AU1334" s="29"/>
      <c r="AV1334" s="29"/>
      <c r="AW1334" s="29"/>
      <c r="AX1334" s="29"/>
      <c r="AY1334" s="29"/>
      <c r="AZ1334" s="29"/>
      <c r="BA1334" s="29"/>
      <c r="BB1334" s="29"/>
      <c r="BC1334" s="29"/>
      <c r="BD1334" s="29"/>
      <c r="BE1334" s="29"/>
      <c r="BF1334" s="111"/>
      <c r="BG1334" s="111"/>
      <c r="BH1334" s="111"/>
      <c r="BI1334" s="111"/>
      <c r="BJ1334" s="111"/>
      <c r="BK1334" s="111"/>
      <c r="BL1334" s="111"/>
      <c r="BM1334" s="111"/>
      <c r="BN1334" s="111"/>
      <c r="BO1334" s="111"/>
      <c r="BP1334" s="111"/>
      <c r="BQ1334" s="111"/>
      <c r="BR1334" s="111"/>
      <c r="BS1334" s="111"/>
      <c r="DR1334" s="29"/>
      <c r="DS1334" s="29"/>
      <c r="DT1334" s="29"/>
      <c r="DU1334" s="29"/>
      <c r="DV1334" s="29"/>
      <c r="DW1334" s="29"/>
      <c r="DX1334" s="29"/>
      <c r="DY1334" s="29"/>
      <c r="DZ1334" s="29"/>
      <c r="EA1334" s="29"/>
      <c r="EB1334" s="29"/>
      <c r="EC1334" s="29"/>
      <c r="ED1334" s="29"/>
      <c r="EE1334" s="29"/>
      <c r="EF1334" s="111"/>
      <c r="EG1334" s="111"/>
      <c r="EH1334" s="111"/>
      <c r="EI1334" s="111"/>
      <c r="EJ1334" s="111"/>
      <c r="EK1334" s="111"/>
      <c r="EL1334" s="111"/>
      <c r="EM1334" s="111"/>
      <c r="EN1334" s="111"/>
      <c r="EO1334" s="111"/>
      <c r="EP1334" s="111"/>
      <c r="EQ1334" s="111"/>
      <c r="ER1334" s="111"/>
      <c r="ES1334" s="111"/>
    </row>
    <row r="1335" spans="44:149">
      <c r="AR1335" s="29"/>
      <c r="AS1335" s="29"/>
      <c r="AT1335" s="29"/>
      <c r="AU1335" s="29"/>
      <c r="AV1335" s="29"/>
      <c r="AW1335" s="29"/>
      <c r="AX1335" s="29"/>
      <c r="AY1335" s="29"/>
      <c r="AZ1335" s="29"/>
      <c r="BA1335" s="29"/>
      <c r="BB1335" s="29"/>
      <c r="BC1335" s="29"/>
      <c r="BD1335" s="29"/>
      <c r="BE1335" s="29"/>
      <c r="BF1335" s="111"/>
      <c r="BG1335" s="111"/>
      <c r="BH1335" s="111"/>
      <c r="BI1335" s="111"/>
      <c r="BJ1335" s="111"/>
      <c r="BK1335" s="111"/>
      <c r="BL1335" s="111"/>
      <c r="BM1335" s="111"/>
      <c r="BN1335" s="111"/>
      <c r="BO1335" s="111"/>
      <c r="BP1335" s="111"/>
      <c r="BQ1335" s="111"/>
      <c r="BR1335" s="111"/>
      <c r="BS1335" s="111"/>
      <c r="DR1335" s="29"/>
      <c r="DS1335" s="29"/>
      <c r="DT1335" s="29"/>
      <c r="DU1335" s="29"/>
      <c r="DV1335" s="29"/>
      <c r="DW1335" s="29"/>
      <c r="DX1335" s="29"/>
      <c r="DY1335" s="29"/>
      <c r="DZ1335" s="29"/>
      <c r="EA1335" s="29"/>
      <c r="EB1335" s="29"/>
      <c r="EC1335" s="29"/>
      <c r="ED1335" s="29"/>
      <c r="EE1335" s="29"/>
      <c r="EF1335" s="111"/>
      <c r="EG1335" s="111"/>
      <c r="EH1335" s="111"/>
      <c r="EI1335" s="111"/>
      <c r="EJ1335" s="111"/>
      <c r="EK1335" s="111"/>
      <c r="EL1335" s="111"/>
      <c r="EM1335" s="111"/>
      <c r="EN1335" s="111"/>
      <c r="EO1335" s="111"/>
      <c r="EP1335" s="111"/>
      <c r="EQ1335" s="111"/>
      <c r="ER1335" s="111"/>
      <c r="ES1335" s="111"/>
    </row>
    <row r="1336" spans="44:149">
      <c r="AR1336" s="29"/>
      <c r="AS1336" s="29"/>
      <c r="AT1336" s="29"/>
      <c r="AU1336" s="29"/>
      <c r="AV1336" s="29"/>
      <c r="AW1336" s="29"/>
      <c r="AX1336" s="29"/>
      <c r="AY1336" s="29"/>
      <c r="AZ1336" s="29"/>
      <c r="BA1336" s="29"/>
      <c r="BB1336" s="29"/>
      <c r="BC1336" s="29"/>
      <c r="BD1336" s="29"/>
      <c r="BE1336" s="29"/>
      <c r="BF1336" s="111"/>
      <c r="BG1336" s="111"/>
      <c r="BH1336" s="111"/>
      <c r="BI1336" s="111"/>
      <c r="BJ1336" s="111"/>
      <c r="BK1336" s="111"/>
      <c r="BL1336" s="111"/>
      <c r="BM1336" s="111"/>
      <c r="BN1336" s="111"/>
      <c r="BO1336" s="111"/>
      <c r="BP1336" s="111"/>
      <c r="BQ1336" s="111"/>
      <c r="BR1336" s="111"/>
      <c r="BS1336" s="111"/>
      <c r="DR1336" s="29"/>
      <c r="DS1336" s="29"/>
      <c r="DT1336" s="29"/>
      <c r="DU1336" s="29"/>
      <c r="DV1336" s="29"/>
      <c r="DW1336" s="29"/>
      <c r="DX1336" s="29"/>
      <c r="DY1336" s="29"/>
      <c r="DZ1336" s="29"/>
      <c r="EA1336" s="29"/>
      <c r="EB1336" s="29"/>
      <c r="EC1336" s="29"/>
      <c r="ED1336" s="29"/>
      <c r="EE1336" s="29"/>
      <c r="EF1336" s="111"/>
      <c r="EG1336" s="111"/>
      <c r="EH1336" s="111"/>
      <c r="EI1336" s="111"/>
      <c r="EJ1336" s="111"/>
      <c r="EK1336" s="111"/>
      <c r="EL1336" s="111"/>
      <c r="EM1336" s="111"/>
      <c r="EN1336" s="111"/>
      <c r="EO1336" s="111"/>
      <c r="EP1336" s="111"/>
      <c r="EQ1336" s="111"/>
      <c r="ER1336" s="111"/>
      <c r="ES1336" s="111"/>
    </row>
    <row r="1337" spans="44:149">
      <c r="AR1337" s="29"/>
      <c r="AS1337" s="29"/>
      <c r="AT1337" s="29"/>
      <c r="AU1337" s="29"/>
      <c r="AV1337" s="29"/>
      <c r="AW1337" s="29"/>
      <c r="AX1337" s="29"/>
      <c r="AY1337" s="29"/>
      <c r="AZ1337" s="29"/>
      <c r="BA1337" s="29"/>
      <c r="BB1337" s="29"/>
      <c r="BC1337" s="29"/>
      <c r="BD1337" s="29"/>
      <c r="BE1337" s="29"/>
      <c r="BF1337" s="111"/>
      <c r="BG1337" s="111"/>
      <c r="BH1337" s="111"/>
      <c r="BI1337" s="111"/>
      <c r="BJ1337" s="111"/>
      <c r="BK1337" s="111"/>
      <c r="BL1337" s="111"/>
      <c r="BM1337" s="111"/>
      <c r="BN1337" s="111"/>
      <c r="BO1337" s="111"/>
      <c r="BP1337" s="111"/>
      <c r="BQ1337" s="111"/>
      <c r="BR1337" s="111"/>
      <c r="BS1337" s="111"/>
      <c r="DR1337" s="29"/>
      <c r="DS1337" s="29"/>
      <c r="DT1337" s="29"/>
      <c r="DU1337" s="29"/>
      <c r="DV1337" s="29"/>
      <c r="DW1337" s="29"/>
      <c r="DX1337" s="29"/>
      <c r="DY1337" s="29"/>
      <c r="DZ1337" s="29"/>
      <c r="EA1337" s="29"/>
      <c r="EB1337" s="29"/>
      <c r="EC1337" s="29"/>
      <c r="ED1337" s="29"/>
      <c r="EE1337" s="29"/>
      <c r="EF1337" s="111"/>
      <c r="EG1337" s="111"/>
      <c r="EH1337" s="111"/>
      <c r="EI1337" s="111"/>
      <c r="EJ1337" s="111"/>
      <c r="EK1337" s="111"/>
      <c r="EL1337" s="111"/>
      <c r="EM1337" s="111"/>
      <c r="EN1337" s="111"/>
      <c r="EO1337" s="111"/>
      <c r="EP1337" s="111"/>
      <c r="EQ1337" s="111"/>
      <c r="ER1337" s="111"/>
      <c r="ES1337" s="111"/>
    </row>
    <row r="1338" spans="44:149">
      <c r="AR1338" s="29"/>
      <c r="AS1338" s="29"/>
      <c r="AT1338" s="29"/>
      <c r="AU1338" s="29"/>
      <c r="AV1338" s="29"/>
      <c r="AW1338" s="29"/>
      <c r="AX1338" s="29"/>
      <c r="AY1338" s="29"/>
      <c r="AZ1338" s="29"/>
      <c r="BA1338" s="29"/>
      <c r="BB1338" s="29"/>
      <c r="BC1338" s="29"/>
      <c r="BD1338" s="29"/>
      <c r="BE1338" s="29"/>
      <c r="BF1338" s="111"/>
      <c r="BG1338" s="111"/>
      <c r="BH1338" s="111"/>
      <c r="BI1338" s="111"/>
      <c r="BJ1338" s="111"/>
      <c r="BK1338" s="111"/>
      <c r="BL1338" s="111"/>
      <c r="BM1338" s="111"/>
      <c r="BN1338" s="111"/>
      <c r="BO1338" s="111"/>
      <c r="BP1338" s="111"/>
      <c r="BQ1338" s="111"/>
      <c r="BR1338" s="111"/>
      <c r="BS1338" s="111"/>
      <c r="DR1338" s="29"/>
      <c r="DS1338" s="29"/>
      <c r="DT1338" s="29"/>
      <c r="DU1338" s="29"/>
      <c r="DV1338" s="29"/>
      <c r="DW1338" s="29"/>
      <c r="DX1338" s="29"/>
      <c r="DY1338" s="29"/>
      <c r="DZ1338" s="29"/>
      <c r="EA1338" s="29"/>
      <c r="EB1338" s="29"/>
      <c r="EC1338" s="29"/>
      <c r="ED1338" s="29"/>
      <c r="EE1338" s="29"/>
      <c r="EF1338" s="111"/>
      <c r="EG1338" s="111"/>
      <c r="EH1338" s="111"/>
      <c r="EI1338" s="111"/>
      <c r="EJ1338" s="111"/>
      <c r="EK1338" s="111"/>
      <c r="EL1338" s="111"/>
      <c r="EM1338" s="111"/>
      <c r="EN1338" s="111"/>
      <c r="EO1338" s="111"/>
      <c r="EP1338" s="111"/>
      <c r="EQ1338" s="111"/>
      <c r="ER1338" s="111"/>
      <c r="ES1338" s="111"/>
    </row>
    <row r="1339" spans="44:149">
      <c r="AR1339" s="29"/>
      <c r="AS1339" s="29"/>
      <c r="AT1339" s="29"/>
      <c r="AU1339" s="29"/>
      <c r="AV1339" s="29"/>
      <c r="AW1339" s="29"/>
      <c r="AX1339" s="29"/>
      <c r="AY1339" s="29"/>
      <c r="AZ1339" s="29"/>
      <c r="BA1339" s="29"/>
      <c r="BB1339" s="29"/>
      <c r="BC1339" s="29"/>
      <c r="BD1339" s="29"/>
      <c r="BE1339" s="29"/>
      <c r="BF1339" s="111"/>
      <c r="BG1339" s="111"/>
      <c r="BH1339" s="111"/>
      <c r="BI1339" s="111"/>
      <c r="BJ1339" s="111"/>
      <c r="BK1339" s="111"/>
      <c r="BL1339" s="111"/>
      <c r="BM1339" s="111"/>
      <c r="BN1339" s="111"/>
      <c r="BO1339" s="111"/>
      <c r="BP1339" s="111"/>
      <c r="BQ1339" s="111"/>
      <c r="BR1339" s="111"/>
      <c r="BS1339" s="111"/>
      <c r="DR1339" s="29"/>
      <c r="DS1339" s="29"/>
      <c r="DT1339" s="29"/>
      <c r="DU1339" s="29"/>
      <c r="DV1339" s="29"/>
      <c r="DW1339" s="29"/>
      <c r="DX1339" s="29"/>
      <c r="DY1339" s="29"/>
      <c r="DZ1339" s="29"/>
      <c r="EA1339" s="29"/>
      <c r="EB1339" s="29"/>
      <c r="EC1339" s="29"/>
      <c r="ED1339" s="29"/>
      <c r="EE1339" s="29"/>
      <c r="EF1339" s="111"/>
      <c r="EG1339" s="111"/>
      <c r="EH1339" s="111"/>
      <c r="EI1339" s="111"/>
      <c r="EJ1339" s="111"/>
      <c r="EK1339" s="111"/>
      <c r="EL1339" s="111"/>
      <c r="EM1339" s="111"/>
      <c r="EN1339" s="111"/>
      <c r="EO1339" s="111"/>
      <c r="EP1339" s="111"/>
      <c r="EQ1339" s="111"/>
      <c r="ER1339" s="111"/>
      <c r="ES1339" s="111"/>
    </row>
    <row r="1340" spans="44:149">
      <c r="AR1340" s="29"/>
      <c r="AS1340" s="29"/>
      <c r="AT1340" s="29"/>
      <c r="AU1340" s="29"/>
      <c r="AV1340" s="29"/>
      <c r="AW1340" s="29"/>
      <c r="AX1340" s="29"/>
      <c r="AY1340" s="29"/>
      <c r="AZ1340" s="29"/>
      <c r="BA1340" s="29"/>
      <c r="BB1340" s="29"/>
      <c r="BC1340" s="29"/>
      <c r="BD1340" s="29"/>
      <c r="BE1340" s="29"/>
      <c r="BF1340" s="111"/>
      <c r="BG1340" s="111"/>
      <c r="BH1340" s="111"/>
      <c r="BI1340" s="111"/>
      <c r="BJ1340" s="111"/>
      <c r="BK1340" s="111"/>
      <c r="BL1340" s="111"/>
      <c r="BM1340" s="111"/>
      <c r="BN1340" s="111"/>
      <c r="BO1340" s="111"/>
      <c r="BP1340" s="111"/>
      <c r="BQ1340" s="111"/>
      <c r="BR1340" s="111"/>
      <c r="BS1340" s="111"/>
      <c r="DR1340" s="29"/>
      <c r="DS1340" s="29"/>
      <c r="DT1340" s="29"/>
      <c r="DU1340" s="29"/>
      <c r="DV1340" s="29"/>
      <c r="DW1340" s="29"/>
      <c r="DX1340" s="29"/>
      <c r="DY1340" s="29"/>
      <c r="DZ1340" s="29"/>
      <c r="EA1340" s="29"/>
      <c r="EB1340" s="29"/>
      <c r="EC1340" s="29"/>
      <c r="ED1340" s="29"/>
      <c r="EE1340" s="29"/>
      <c r="EF1340" s="111"/>
      <c r="EG1340" s="111"/>
      <c r="EH1340" s="111"/>
      <c r="EI1340" s="111"/>
      <c r="EJ1340" s="111"/>
      <c r="EK1340" s="111"/>
      <c r="EL1340" s="111"/>
      <c r="EM1340" s="111"/>
      <c r="EN1340" s="111"/>
      <c r="EO1340" s="111"/>
      <c r="EP1340" s="111"/>
      <c r="EQ1340" s="111"/>
      <c r="ER1340" s="111"/>
      <c r="ES1340" s="111"/>
    </row>
    <row r="1341" spans="44:149">
      <c r="AR1341" s="29"/>
      <c r="AS1341" s="29"/>
      <c r="AT1341" s="29"/>
      <c r="AU1341" s="29"/>
      <c r="AV1341" s="29"/>
      <c r="AW1341" s="29"/>
      <c r="AX1341" s="29"/>
      <c r="AY1341" s="29"/>
      <c r="AZ1341" s="29"/>
      <c r="BA1341" s="29"/>
      <c r="BB1341" s="29"/>
      <c r="BC1341" s="29"/>
      <c r="BD1341" s="29"/>
      <c r="BE1341" s="29"/>
      <c r="BF1341" s="111"/>
      <c r="BG1341" s="111"/>
      <c r="BH1341" s="111"/>
      <c r="BI1341" s="111"/>
      <c r="BJ1341" s="111"/>
      <c r="BK1341" s="111"/>
      <c r="BL1341" s="111"/>
      <c r="BM1341" s="111"/>
      <c r="BN1341" s="111"/>
      <c r="BO1341" s="111"/>
      <c r="BP1341" s="111"/>
      <c r="BQ1341" s="111"/>
      <c r="BR1341" s="111"/>
      <c r="BS1341" s="111"/>
      <c r="DR1341" s="29"/>
      <c r="DS1341" s="29"/>
      <c r="DT1341" s="29"/>
      <c r="DU1341" s="29"/>
      <c r="DV1341" s="29"/>
      <c r="DW1341" s="29"/>
      <c r="DX1341" s="29"/>
      <c r="DY1341" s="29"/>
      <c r="DZ1341" s="29"/>
      <c r="EA1341" s="29"/>
      <c r="EB1341" s="29"/>
      <c r="EC1341" s="29"/>
      <c r="ED1341" s="29"/>
      <c r="EE1341" s="29"/>
      <c r="EF1341" s="111"/>
      <c r="EG1341" s="111"/>
      <c r="EH1341" s="111"/>
      <c r="EI1341" s="111"/>
      <c r="EJ1341" s="111"/>
      <c r="EK1341" s="111"/>
      <c r="EL1341" s="111"/>
      <c r="EM1341" s="111"/>
      <c r="EN1341" s="111"/>
      <c r="EO1341" s="111"/>
      <c r="EP1341" s="111"/>
      <c r="EQ1341" s="111"/>
      <c r="ER1341" s="111"/>
      <c r="ES1341" s="111"/>
    </row>
    <row r="1342" spans="44:149">
      <c r="AR1342" s="29"/>
      <c r="AS1342" s="29"/>
      <c r="AT1342" s="29"/>
      <c r="AU1342" s="29"/>
      <c r="AV1342" s="29"/>
      <c r="AW1342" s="29"/>
      <c r="AX1342" s="29"/>
      <c r="AY1342" s="29"/>
      <c r="AZ1342" s="29"/>
      <c r="BA1342" s="29"/>
      <c r="BB1342" s="29"/>
      <c r="BC1342" s="29"/>
      <c r="BD1342" s="29"/>
      <c r="BE1342" s="29"/>
      <c r="BF1342" s="111"/>
      <c r="BG1342" s="111"/>
      <c r="BH1342" s="111"/>
      <c r="BI1342" s="111"/>
      <c r="BJ1342" s="111"/>
      <c r="BK1342" s="111"/>
      <c r="BL1342" s="111"/>
      <c r="BM1342" s="111"/>
      <c r="BN1342" s="111"/>
      <c r="BO1342" s="111"/>
      <c r="BP1342" s="111"/>
      <c r="BQ1342" s="111"/>
      <c r="BR1342" s="111"/>
      <c r="BS1342" s="111"/>
      <c r="DR1342" s="29"/>
      <c r="DS1342" s="29"/>
      <c r="DT1342" s="29"/>
      <c r="DU1342" s="29"/>
      <c r="DV1342" s="29"/>
      <c r="DW1342" s="29"/>
      <c r="DX1342" s="29"/>
      <c r="DY1342" s="29"/>
      <c r="DZ1342" s="29"/>
      <c r="EA1342" s="29"/>
      <c r="EB1342" s="29"/>
      <c r="EC1342" s="29"/>
      <c r="ED1342" s="29"/>
      <c r="EE1342" s="29"/>
      <c r="EF1342" s="111"/>
      <c r="EG1342" s="111"/>
      <c r="EH1342" s="111"/>
      <c r="EI1342" s="111"/>
      <c r="EJ1342" s="111"/>
      <c r="EK1342" s="111"/>
      <c r="EL1342" s="111"/>
      <c r="EM1342" s="111"/>
      <c r="EN1342" s="111"/>
      <c r="EO1342" s="111"/>
      <c r="EP1342" s="111"/>
      <c r="EQ1342" s="111"/>
      <c r="ER1342" s="111"/>
      <c r="ES1342" s="111"/>
    </row>
    <row r="1343" spans="44:149">
      <c r="AR1343" s="29"/>
      <c r="AS1343" s="29"/>
      <c r="AT1343" s="29"/>
      <c r="AU1343" s="29"/>
      <c r="AV1343" s="29"/>
      <c r="AW1343" s="29"/>
      <c r="AX1343" s="29"/>
      <c r="AY1343" s="29"/>
      <c r="AZ1343" s="29"/>
      <c r="BA1343" s="29"/>
      <c r="BB1343" s="29"/>
      <c r="BC1343" s="29"/>
      <c r="BD1343" s="29"/>
      <c r="BE1343" s="29"/>
      <c r="BF1343" s="111"/>
      <c r="BG1343" s="111"/>
      <c r="BH1343" s="111"/>
      <c r="BI1343" s="111"/>
      <c r="BJ1343" s="111"/>
      <c r="BK1343" s="111"/>
      <c r="BL1343" s="111"/>
      <c r="BM1343" s="111"/>
      <c r="BN1343" s="111"/>
      <c r="BO1343" s="111"/>
      <c r="BP1343" s="111"/>
      <c r="BQ1343" s="111"/>
      <c r="BR1343" s="111"/>
      <c r="BS1343" s="111"/>
      <c r="DR1343" s="29"/>
      <c r="DS1343" s="29"/>
      <c r="DT1343" s="29"/>
      <c r="DU1343" s="29"/>
      <c r="DV1343" s="29"/>
      <c r="DW1343" s="29"/>
      <c r="DX1343" s="29"/>
      <c r="DY1343" s="29"/>
      <c r="DZ1343" s="29"/>
      <c r="EA1343" s="29"/>
      <c r="EB1343" s="29"/>
      <c r="EC1343" s="29"/>
      <c r="ED1343" s="29"/>
      <c r="EE1343" s="29"/>
      <c r="EF1343" s="111"/>
      <c r="EG1343" s="111"/>
      <c r="EH1343" s="111"/>
      <c r="EI1343" s="111"/>
      <c r="EJ1343" s="111"/>
      <c r="EK1343" s="111"/>
      <c r="EL1343" s="111"/>
      <c r="EM1343" s="111"/>
      <c r="EN1343" s="111"/>
      <c r="EO1343" s="111"/>
      <c r="EP1343" s="111"/>
      <c r="EQ1343" s="111"/>
      <c r="ER1343" s="111"/>
      <c r="ES1343" s="111"/>
    </row>
    <row r="1344" spans="44:149">
      <c r="AR1344" s="29"/>
      <c r="AS1344" s="29"/>
      <c r="AT1344" s="29"/>
      <c r="AU1344" s="29"/>
      <c r="AV1344" s="29"/>
      <c r="AW1344" s="29"/>
      <c r="AX1344" s="29"/>
      <c r="AY1344" s="29"/>
      <c r="AZ1344" s="29"/>
      <c r="BA1344" s="29"/>
      <c r="BB1344" s="29"/>
      <c r="BC1344" s="29"/>
      <c r="BD1344" s="29"/>
      <c r="BE1344" s="29"/>
      <c r="BF1344" s="111"/>
      <c r="BG1344" s="111"/>
      <c r="BH1344" s="111"/>
      <c r="BI1344" s="111"/>
      <c r="BJ1344" s="111"/>
      <c r="BK1344" s="111"/>
      <c r="BL1344" s="111"/>
      <c r="BM1344" s="111"/>
      <c r="BN1344" s="111"/>
      <c r="BO1344" s="111"/>
      <c r="BP1344" s="111"/>
      <c r="BQ1344" s="111"/>
      <c r="BR1344" s="111"/>
      <c r="BS1344" s="111"/>
      <c r="DR1344" s="29"/>
      <c r="DS1344" s="29"/>
      <c r="DT1344" s="29"/>
      <c r="DU1344" s="29"/>
      <c r="DV1344" s="29"/>
      <c r="DW1344" s="29"/>
      <c r="DX1344" s="29"/>
      <c r="DY1344" s="29"/>
      <c r="DZ1344" s="29"/>
      <c r="EA1344" s="29"/>
      <c r="EB1344" s="29"/>
      <c r="EC1344" s="29"/>
      <c r="ED1344" s="29"/>
      <c r="EE1344" s="29"/>
      <c r="EF1344" s="111"/>
      <c r="EG1344" s="111"/>
      <c r="EH1344" s="111"/>
      <c r="EI1344" s="111"/>
      <c r="EJ1344" s="111"/>
      <c r="EK1344" s="111"/>
      <c r="EL1344" s="111"/>
      <c r="EM1344" s="111"/>
      <c r="EN1344" s="111"/>
      <c r="EO1344" s="111"/>
      <c r="EP1344" s="111"/>
      <c r="EQ1344" s="111"/>
      <c r="ER1344" s="111"/>
      <c r="ES1344" s="111"/>
    </row>
    <row r="1345" spans="44:149">
      <c r="AR1345" s="29"/>
      <c r="AS1345" s="29"/>
      <c r="AT1345" s="29"/>
      <c r="AU1345" s="29"/>
      <c r="AV1345" s="29"/>
      <c r="AW1345" s="29"/>
      <c r="AX1345" s="29"/>
      <c r="AY1345" s="29"/>
      <c r="AZ1345" s="29"/>
      <c r="BA1345" s="29"/>
      <c r="BB1345" s="29"/>
      <c r="BC1345" s="29"/>
      <c r="BD1345" s="29"/>
      <c r="BE1345" s="29"/>
      <c r="BF1345" s="111"/>
      <c r="BG1345" s="111"/>
      <c r="BH1345" s="111"/>
      <c r="BI1345" s="111"/>
      <c r="BJ1345" s="111"/>
      <c r="BK1345" s="111"/>
      <c r="BL1345" s="111"/>
      <c r="BM1345" s="111"/>
      <c r="BN1345" s="111"/>
      <c r="BO1345" s="111"/>
      <c r="BP1345" s="111"/>
      <c r="BQ1345" s="111"/>
      <c r="BR1345" s="111"/>
      <c r="BS1345" s="111"/>
      <c r="DR1345" s="29"/>
      <c r="DS1345" s="29"/>
      <c r="DT1345" s="29"/>
      <c r="DU1345" s="29"/>
      <c r="DV1345" s="29"/>
      <c r="DW1345" s="29"/>
      <c r="DX1345" s="29"/>
      <c r="DY1345" s="29"/>
      <c r="DZ1345" s="29"/>
      <c r="EA1345" s="29"/>
      <c r="EB1345" s="29"/>
      <c r="EC1345" s="29"/>
      <c r="ED1345" s="29"/>
      <c r="EE1345" s="29"/>
      <c r="EF1345" s="111"/>
      <c r="EG1345" s="111"/>
      <c r="EH1345" s="111"/>
      <c r="EI1345" s="111"/>
      <c r="EJ1345" s="111"/>
      <c r="EK1345" s="111"/>
      <c r="EL1345" s="111"/>
      <c r="EM1345" s="111"/>
      <c r="EN1345" s="111"/>
      <c r="EO1345" s="111"/>
      <c r="EP1345" s="111"/>
      <c r="EQ1345" s="111"/>
      <c r="ER1345" s="111"/>
      <c r="ES1345" s="111"/>
    </row>
    <row r="1346" spans="44:149">
      <c r="AR1346" s="29"/>
      <c r="AS1346" s="29"/>
      <c r="AT1346" s="29"/>
      <c r="AU1346" s="29"/>
      <c r="AV1346" s="29"/>
      <c r="AW1346" s="29"/>
      <c r="AX1346" s="29"/>
      <c r="AY1346" s="29"/>
      <c r="AZ1346" s="29"/>
      <c r="BA1346" s="29"/>
      <c r="BB1346" s="29"/>
      <c r="BC1346" s="29"/>
      <c r="BD1346" s="29"/>
      <c r="BE1346" s="29"/>
      <c r="BF1346" s="111"/>
      <c r="BG1346" s="111"/>
      <c r="BH1346" s="111"/>
      <c r="BI1346" s="111"/>
      <c r="BJ1346" s="111"/>
      <c r="BK1346" s="111"/>
      <c r="BL1346" s="111"/>
      <c r="BM1346" s="111"/>
      <c r="BN1346" s="111"/>
      <c r="BO1346" s="111"/>
      <c r="BP1346" s="111"/>
      <c r="BQ1346" s="111"/>
      <c r="BR1346" s="111"/>
      <c r="BS1346" s="111"/>
      <c r="DR1346" s="29"/>
      <c r="DS1346" s="29"/>
      <c r="DT1346" s="29"/>
      <c r="DU1346" s="29"/>
      <c r="DV1346" s="29"/>
      <c r="DW1346" s="29"/>
      <c r="DX1346" s="29"/>
      <c r="DY1346" s="29"/>
      <c r="DZ1346" s="29"/>
      <c r="EA1346" s="29"/>
      <c r="EB1346" s="29"/>
      <c r="EC1346" s="29"/>
      <c r="ED1346" s="29"/>
      <c r="EE1346" s="29"/>
      <c r="EF1346" s="111"/>
      <c r="EG1346" s="111"/>
      <c r="EH1346" s="111"/>
      <c r="EI1346" s="111"/>
      <c r="EJ1346" s="111"/>
      <c r="EK1346" s="111"/>
      <c r="EL1346" s="111"/>
      <c r="EM1346" s="111"/>
      <c r="EN1346" s="111"/>
      <c r="EO1346" s="111"/>
      <c r="EP1346" s="111"/>
      <c r="EQ1346" s="111"/>
      <c r="ER1346" s="111"/>
      <c r="ES1346" s="111"/>
    </row>
    <row r="1347" spans="44:149">
      <c r="AR1347" s="29"/>
      <c r="AS1347" s="29"/>
      <c r="AT1347" s="29"/>
      <c r="AU1347" s="29"/>
      <c r="AV1347" s="29"/>
      <c r="AW1347" s="29"/>
      <c r="AX1347" s="29"/>
      <c r="AY1347" s="29"/>
      <c r="AZ1347" s="29"/>
      <c r="BA1347" s="29"/>
      <c r="BB1347" s="29"/>
      <c r="BC1347" s="29"/>
      <c r="BD1347" s="29"/>
      <c r="BE1347" s="29"/>
      <c r="BF1347" s="111"/>
      <c r="BG1347" s="111"/>
      <c r="BH1347" s="111"/>
      <c r="BI1347" s="111"/>
      <c r="BJ1347" s="111"/>
      <c r="BK1347" s="111"/>
      <c r="BL1347" s="111"/>
      <c r="BM1347" s="111"/>
      <c r="BN1347" s="111"/>
      <c r="BO1347" s="111"/>
      <c r="BP1347" s="111"/>
      <c r="BQ1347" s="111"/>
      <c r="BR1347" s="111"/>
      <c r="BS1347" s="111"/>
      <c r="DR1347" s="29"/>
      <c r="DS1347" s="29"/>
      <c r="DT1347" s="29"/>
      <c r="DU1347" s="29"/>
      <c r="DV1347" s="29"/>
      <c r="DW1347" s="29"/>
      <c r="DX1347" s="29"/>
      <c r="DY1347" s="29"/>
      <c r="DZ1347" s="29"/>
      <c r="EA1347" s="29"/>
      <c r="EB1347" s="29"/>
      <c r="EC1347" s="29"/>
      <c r="ED1347" s="29"/>
      <c r="EE1347" s="29"/>
      <c r="EF1347" s="111"/>
      <c r="EG1347" s="111"/>
      <c r="EH1347" s="111"/>
      <c r="EI1347" s="111"/>
      <c r="EJ1347" s="111"/>
      <c r="EK1347" s="111"/>
      <c r="EL1347" s="111"/>
      <c r="EM1347" s="111"/>
      <c r="EN1347" s="111"/>
      <c r="EO1347" s="111"/>
      <c r="EP1347" s="111"/>
      <c r="EQ1347" s="111"/>
      <c r="ER1347" s="111"/>
      <c r="ES1347" s="111"/>
    </row>
    <row r="1348" spans="44:149">
      <c r="AR1348" s="29"/>
      <c r="AS1348" s="29"/>
      <c r="AT1348" s="29"/>
      <c r="AU1348" s="29"/>
      <c r="AV1348" s="29"/>
      <c r="AW1348" s="29"/>
      <c r="AX1348" s="29"/>
      <c r="AY1348" s="29"/>
      <c r="AZ1348" s="29"/>
      <c r="BA1348" s="29"/>
      <c r="BB1348" s="29"/>
      <c r="BC1348" s="29"/>
      <c r="BD1348" s="29"/>
      <c r="BE1348" s="29"/>
      <c r="BF1348" s="111"/>
      <c r="BG1348" s="111"/>
      <c r="BH1348" s="111"/>
      <c r="BI1348" s="111"/>
      <c r="BJ1348" s="111"/>
      <c r="BK1348" s="111"/>
      <c r="BL1348" s="111"/>
      <c r="BM1348" s="111"/>
      <c r="BN1348" s="111"/>
      <c r="BO1348" s="111"/>
      <c r="BP1348" s="111"/>
      <c r="BQ1348" s="111"/>
      <c r="BR1348" s="111"/>
      <c r="BS1348" s="111"/>
      <c r="DR1348" s="29"/>
      <c r="DS1348" s="29"/>
      <c r="DT1348" s="29"/>
      <c r="DU1348" s="29"/>
      <c r="DV1348" s="29"/>
      <c r="DW1348" s="29"/>
      <c r="DX1348" s="29"/>
      <c r="DY1348" s="29"/>
      <c r="DZ1348" s="29"/>
      <c r="EA1348" s="29"/>
      <c r="EB1348" s="29"/>
      <c r="EC1348" s="29"/>
      <c r="ED1348" s="29"/>
      <c r="EE1348" s="29"/>
      <c r="EF1348" s="111"/>
      <c r="EG1348" s="111"/>
      <c r="EH1348" s="111"/>
      <c r="EI1348" s="111"/>
      <c r="EJ1348" s="111"/>
      <c r="EK1348" s="111"/>
      <c r="EL1348" s="111"/>
      <c r="EM1348" s="111"/>
      <c r="EN1348" s="111"/>
      <c r="EO1348" s="111"/>
      <c r="EP1348" s="111"/>
      <c r="EQ1348" s="111"/>
      <c r="ER1348" s="111"/>
      <c r="ES1348" s="111"/>
    </row>
    <row r="1349" spans="44:149">
      <c r="AR1349" s="29"/>
      <c r="AS1349" s="29"/>
      <c r="AT1349" s="29"/>
      <c r="AU1349" s="29"/>
      <c r="AV1349" s="29"/>
      <c r="AW1349" s="29"/>
      <c r="AX1349" s="29"/>
      <c r="AY1349" s="29"/>
      <c r="AZ1349" s="29"/>
      <c r="BA1349" s="29"/>
      <c r="BB1349" s="29"/>
      <c r="BC1349" s="29"/>
      <c r="BD1349" s="29"/>
      <c r="BE1349" s="29"/>
      <c r="BF1349" s="111"/>
      <c r="BG1349" s="111"/>
      <c r="BH1349" s="111"/>
      <c r="BI1349" s="111"/>
      <c r="BJ1349" s="111"/>
      <c r="BK1349" s="111"/>
      <c r="BL1349" s="111"/>
      <c r="BM1349" s="111"/>
      <c r="BN1349" s="111"/>
      <c r="BO1349" s="111"/>
      <c r="BP1349" s="111"/>
      <c r="BQ1349" s="111"/>
      <c r="BR1349" s="111"/>
      <c r="BS1349" s="111"/>
      <c r="DR1349" s="29"/>
      <c r="DS1349" s="29"/>
      <c r="DT1349" s="29"/>
      <c r="DU1349" s="29"/>
      <c r="DV1349" s="29"/>
      <c r="DW1349" s="29"/>
      <c r="DX1349" s="29"/>
      <c r="DY1349" s="29"/>
      <c r="DZ1349" s="29"/>
      <c r="EA1349" s="29"/>
      <c r="EB1349" s="29"/>
      <c r="EC1349" s="29"/>
      <c r="ED1349" s="29"/>
      <c r="EE1349" s="29"/>
      <c r="EF1349" s="111"/>
      <c r="EG1349" s="111"/>
      <c r="EH1349" s="111"/>
      <c r="EI1349" s="111"/>
      <c r="EJ1349" s="111"/>
      <c r="EK1349" s="111"/>
      <c r="EL1349" s="111"/>
      <c r="EM1349" s="111"/>
      <c r="EN1349" s="111"/>
      <c r="EO1349" s="111"/>
      <c r="EP1349" s="111"/>
      <c r="EQ1349" s="111"/>
      <c r="ER1349" s="111"/>
      <c r="ES1349" s="111"/>
    </row>
    <row r="1350" spans="44:149">
      <c r="AR1350" s="29"/>
      <c r="AS1350" s="29"/>
      <c r="AT1350" s="29"/>
      <c r="AU1350" s="29"/>
      <c r="AV1350" s="29"/>
      <c r="AW1350" s="29"/>
      <c r="AX1350" s="29"/>
      <c r="AY1350" s="29"/>
      <c r="AZ1350" s="29"/>
      <c r="BA1350" s="29"/>
      <c r="BB1350" s="29"/>
      <c r="BC1350" s="29"/>
      <c r="BD1350" s="29"/>
      <c r="BE1350" s="29"/>
      <c r="BF1350" s="111"/>
      <c r="BG1350" s="111"/>
      <c r="BH1350" s="111"/>
      <c r="BI1350" s="111"/>
      <c r="BJ1350" s="111"/>
      <c r="BK1350" s="111"/>
      <c r="BL1350" s="111"/>
      <c r="BM1350" s="111"/>
      <c r="BN1350" s="111"/>
      <c r="BO1350" s="111"/>
      <c r="BP1350" s="111"/>
      <c r="BQ1350" s="111"/>
      <c r="BR1350" s="111"/>
      <c r="BS1350" s="111"/>
      <c r="DR1350" s="29"/>
      <c r="DS1350" s="29"/>
      <c r="DT1350" s="29"/>
      <c r="DU1350" s="29"/>
      <c r="DV1350" s="29"/>
      <c r="DW1350" s="29"/>
      <c r="DX1350" s="29"/>
      <c r="DY1350" s="29"/>
      <c r="DZ1350" s="29"/>
      <c r="EA1350" s="29"/>
      <c r="EB1350" s="29"/>
      <c r="EC1350" s="29"/>
      <c r="ED1350" s="29"/>
      <c r="EE1350" s="29"/>
      <c r="EF1350" s="111"/>
      <c r="EG1350" s="111"/>
      <c r="EH1350" s="111"/>
      <c r="EI1350" s="111"/>
      <c r="EJ1350" s="111"/>
      <c r="EK1350" s="111"/>
      <c r="EL1350" s="111"/>
      <c r="EM1350" s="111"/>
      <c r="EN1350" s="111"/>
      <c r="EO1350" s="111"/>
      <c r="EP1350" s="111"/>
      <c r="EQ1350" s="111"/>
      <c r="ER1350" s="111"/>
      <c r="ES1350" s="111"/>
    </row>
    <row r="1351" spans="44:149">
      <c r="AR1351" s="29"/>
      <c r="AS1351" s="29"/>
      <c r="AT1351" s="29"/>
      <c r="AU1351" s="29"/>
      <c r="AV1351" s="29"/>
      <c r="AW1351" s="29"/>
      <c r="AX1351" s="29"/>
      <c r="AY1351" s="29"/>
      <c r="AZ1351" s="29"/>
      <c r="BA1351" s="29"/>
      <c r="BB1351" s="29"/>
      <c r="BC1351" s="29"/>
      <c r="BD1351" s="29"/>
      <c r="BE1351" s="29"/>
      <c r="BF1351" s="111"/>
      <c r="BG1351" s="111"/>
      <c r="BH1351" s="111"/>
      <c r="BI1351" s="111"/>
      <c r="BJ1351" s="111"/>
      <c r="BK1351" s="111"/>
      <c r="BL1351" s="111"/>
      <c r="BM1351" s="111"/>
      <c r="BN1351" s="111"/>
      <c r="BO1351" s="111"/>
      <c r="BP1351" s="111"/>
      <c r="BQ1351" s="111"/>
      <c r="BR1351" s="111"/>
      <c r="BS1351" s="111"/>
      <c r="DR1351" s="29"/>
      <c r="DS1351" s="29"/>
      <c r="DT1351" s="29"/>
      <c r="DU1351" s="29"/>
      <c r="DV1351" s="29"/>
      <c r="DW1351" s="29"/>
      <c r="DX1351" s="29"/>
      <c r="DY1351" s="29"/>
      <c r="DZ1351" s="29"/>
      <c r="EA1351" s="29"/>
      <c r="EB1351" s="29"/>
      <c r="EC1351" s="29"/>
      <c r="ED1351" s="29"/>
      <c r="EE1351" s="29"/>
      <c r="EF1351" s="111"/>
      <c r="EG1351" s="111"/>
      <c r="EH1351" s="111"/>
      <c r="EI1351" s="111"/>
      <c r="EJ1351" s="111"/>
      <c r="EK1351" s="111"/>
      <c r="EL1351" s="111"/>
      <c r="EM1351" s="111"/>
      <c r="EN1351" s="111"/>
      <c r="EO1351" s="111"/>
      <c r="EP1351" s="111"/>
      <c r="EQ1351" s="111"/>
      <c r="ER1351" s="111"/>
      <c r="ES1351" s="111"/>
    </row>
    <row r="1352" spans="44:149">
      <c r="AR1352" s="29"/>
      <c r="AS1352" s="29"/>
      <c r="AT1352" s="29"/>
      <c r="AU1352" s="29"/>
      <c r="AV1352" s="29"/>
      <c r="AW1352" s="29"/>
      <c r="AX1352" s="29"/>
      <c r="AY1352" s="29"/>
      <c r="AZ1352" s="29"/>
      <c r="BA1352" s="29"/>
      <c r="BB1352" s="29"/>
      <c r="BC1352" s="29"/>
      <c r="BD1352" s="29"/>
      <c r="BE1352" s="29"/>
      <c r="BF1352" s="111"/>
      <c r="BG1352" s="111"/>
      <c r="BH1352" s="111"/>
      <c r="BI1352" s="111"/>
      <c r="BJ1352" s="111"/>
      <c r="BK1352" s="111"/>
      <c r="BL1352" s="111"/>
      <c r="BM1352" s="111"/>
      <c r="BN1352" s="111"/>
      <c r="BO1352" s="111"/>
      <c r="BP1352" s="111"/>
      <c r="BQ1352" s="111"/>
      <c r="BR1352" s="111"/>
      <c r="BS1352" s="111"/>
      <c r="DR1352" s="29"/>
      <c r="DS1352" s="29"/>
      <c r="DT1352" s="29"/>
      <c r="DU1352" s="29"/>
      <c r="DV1352" s="29"/>
      <c r="DW1352" s="29"/>
      <c r="DX1352" s="29"/>
      <c r="DY1352" s="29"/>
      <c r="DZ1352" s="29"/>
      <c r="EA1352" s="29"/>
      <c r="EB1352" s="29"/>
      <c r="EC1352" s="29"/>
      <c r="ED1352" s="29"/>
      <c r="EE1352" s="29"/>
      <c r="EF1352" s="111"/>
      <c r="EG1352" s="111"/>
      <c r="EH1352" s="111"/>
      <c r="EI1352" s="111"/>
      <c r="EJ1352" s="111"/>
      <c r="EK1352" s="111"/>
      <c r="EL1352" s="111"/>
      <c r="EM1352" s="111"/>
      <c r="EN1352" s="111"/>
      <c r="EO1352" s="111"/>
      <c r="EP1352" s="111"/>
      <c r="EQ1352" s="111"/>
      <c r="ER1352" s="111"/>
      <c r="ES1352" s="111"/>
    </row>
    <row r="1353" spans="44:149">
      <c r="AR1353" s="29"/>
      <c r="AS1353" s="29"/>
      <c r="AT1353" s="29"/>
      <c r="AU1353" s="29"/>
      <c r="AV1353" s="29"/>
      <c r="AW1353" s="29"/>
      <c r="AX1353" s="29"/>
      <c r="AY1353" s="29"/>
      <c r="AZ1353" s="29"/>
      <c r="BA1353" s="29"/>
      <c r="BB1353" s="29"/>
      <c r="BC1353" s="29"/>
      <c r="BD1353" s="29"/>
      <c r="BE1353" s="29"/>
      <c r="BF1353" s="111"/>
      <c r="BG1353" s="111"/>
      <c r="BH1353" s="111"/>
      <c r="BI1353" s="111"/>
      <c r="BJ1353" s="111"/>
      <c r="BK1353" s="111"/>
      <c r="BL1353" s="111"/>
      <c r="BM1353" s="111"/>
      <c r="BN1353" s="111"/>
      <c r="BO1353" s="111"/>
      <c r="BP1353" s="111"/>
      <c r="BQ1353" s="111"/>
      <c r="BR1353" s="111"/>
      <c r="BS1353" s="111"/>
      <c r="DR1353" s="29"/>
      <c r="DS1353" s="29"/>
      <c r="DT1353" s="29"/>
      <c r="DU1353" s="29"/>
      <c r="DV1353" s="29"/>
      <c r="DW1353" s="29"/>
      <c r="DX1353" s="29"/>
      <c r="DY1353" s="29"/>
      <c r="DZ1353" s="29"/>
      <c r="EA1353" s="29"/>
      <c r="EB1353" s="29"/>
      <c r="EC1353" s="29"/>
      <c r="ED1353" s="29"/>
      <c r="EE1353" s="29"/>
      <c r="EF1353" s="111"/>
      <c r="EG1353" s="111"/>
      <c r="EH1353" s="111"/>
      <c r="EI1353" s="111"/>
      <c r="EJ1353" s="111"/>
      <c r="EK1353" s="111"/>
      <c r="EL1353" s="111"/>
      <c r="EM1353" s="111"/>
      <c r="EN1353" s="111"/>
      <c r="EO1353" s="111"/>
      <c r="EP1353" s="111"/>
      <c r="EQ1353" s="111"/>
      <c r="ER1353" s="111"/>
      <c r="ES1353" s="111"/>
    </row>
    <row r="1354" spans="44:149">
      <c r="AR1354" s="29"/>
      <c r="AS1354" s="29"/>
      <c r="AT1354" s="29"/>
      <c r="AU1354" s="29"/>
      <c r="AV1354" s="29"/>
      <c r="AW1354" s="29"/>
      <c r="AX1354" s="29"/>
      <c r="AY1354" s="29"/>
      <c r="AZ1354" s="29"/>
      <c r="BA1354" s="29"/>
      <c r="BB1354" s="29"/>
      <c r="BC1354" s="29"/>
      <c r="BD1354" s="29"/>
      <c r="BE1354" s="29"/>
      <c r="BF1354" s="111"/>
      <c r="BG1354" s="111"/>
      <c r="BH1354" s="111"/>
      <c r="BI1354" s="111"/>
      <c r="BJ1354" s="111"/>
      <c r="BK1354" s="111"/>
      <c r="BL1354" s="111"/>
      <c r="BM1354" s="111"/>
      <c r="BN1354" s="111"/>
      <c r="BO1354" s="111"/>
      <c r="BP1354" s="111"/>
      <c r="BQ1354" s="111"/>
      <c r="BR1354" s="111"/>
      <c r="BS1354" s="111"/>
      <c r="DR1354" s="29"/>
      <c r="DS1354" s="29"/>
      <c r="DT1354" s="29"/>
      <c r="DU1354" s="29"/>
      <c r="DV1354" s="29"/>
      <c r="DW1354" s="29"/>
      <c r="DX1354" s="29"/>
      <c r="DY1354" s="29"/>
      <c r="DZ1354" s="29"/>
      <c r="EA1354" s="29"/>
      <c r="EB1354" s="29"/>
      <c r="EC1354" s="29"/>
      <c r="ED1354" s="29"/>
      <c r="EE1354" s="29"/>
      <c r="EF1354" s="111"/>
      <c r="EG1354" s="111"/>
      <c r="EH1354" s="111"/>
      <c r="EI1354" s="111"/>
      <c r="EJ1354" s="111"/>
      <c r="EK1354" s="111"/>
      <c r="EL1354" s="111"/>
      <c r="EM1354" s="111"/>
      <c r="EN1354" s="111"/>
      <c r="EO1354" s="111"/>
      <c r="EP1354" s="111"/>
      <c r="EQ1354" s="111"/>
      <c r="ER1354" s="111"/>
      <c r="ES1354" s="111"/>
    </row>
    <row r="1355" spans="44:149">
      <c r="AR1355" s="29"/>
      <c r="AS1355" s="29"/>
      <c r="AT1355" s="29"/>
      <c r="AU1355" s="29"/>
      <c r="AV1355" s="29"/>
      <c r="AW1355" s="29"/>
      <c r="AX1355" s="29"/>
      <c r="AY1355" s="29"/>
      <c r="AZ1355" s="29"/>
      <c r="BA1355" s="29"/>
      <c r="BB1355" s="29"/>
      <c r="BC1355" s="29"/>
      <c r="BD1355" s="29"/>
      <c r="BE1355" s="29"/>
      <c r="BF1355" s="111"/>
      <c r="BG1355" s="111"/>
      <c r="BH1355" s="111"/>
      <c r="BI1355" s="111"/>
      <c r="BJ1355" s="111"/>
      <c r="BK1355" s="111"/>
      <c r="BL1355" s="111"/>
      <c r="BM1355" s="111"/>
      <c r="BN1355" s="111"/>
      <c r="BO1355" s="111"/>
      <c r="BP1355" s="111"/>
      <c r="BQ1355" s="111"/>
      <c r="BR1355" s="111"/>
      <c r="BS1355" s="111"/>
      <c r="DR1355" s="29"/>
      <c r="DS1355" s="29"/>
      <c r="DT1355" s="29"/>
      <c r="DU1355" s="29"/>
      <c r="DV1355" s="29"/>
      <c r="DW1355" s="29"/>
      <c r="DX1355" s="29"/>
      <c r="DY1355" s="29"/>
      <c r="DZ1355" s="29"/>
      <c r="EA1355" s="29"/>
      <c r="EB1355" s="29"/>
      <c r="EC1355" s="29"/>
      <c r="ED1355" s="29"/>
      <c r="EE1355" s="29"/>
      <c r="EF1355" s="111"/>
      <c r="EG1355" s="111"/>
      <c r="EH1355" s="111"/>
      <c r="EI1355" s="111"/>
      <c r="EJ1355" s="111"/>
      <c r="EK1355" s="111"/>
      <c r="EL1355" s="111"/>
      <c r="EM1355" s="111"/>
      <c r="EN1355" s="111"/>
      <c r="EO1355" s="111"/>
      <c r="EP1355" s="111"/>
      <c r="EQ1355" s="111"/>
      <c r="ER1355" s="111"/>
      <c r="ES1355" s="111"/>
    </row>
    <row r="1356" spans="44:149">
      <c r="AR1356" s="29"/>
      <c r="AS1356" s="29"/>
      <c r="AT1356" s="29"/>
      <c r="AU1356" s="29"/>
      <c r="AV1356" s="29"/>
      <c r="AW1356" s="29"/>
      <c r="AX1356" s="29"/>
      <c r="AY1356" s="29"/>
      <c r="AZ1356" s="29"/>
      <c r="BA1356" s="29"/>
      <c r="BB1356" s="29"/>
      <c r="BC1356" s="29"/>
      <c r="BD1356" s="29"/>
      <c r="BE1356" s="29"/>
      <c r="BF1356" s="111"/>
      <c r="BG1356" s="111"/>
      <c r="BH1356" s="111"/>
      <c r="BI1356" s="111"/>
      <c r="BJ1356" s="111"/>
      <c r="BK1356" s="111"/>
      <c r="BL1356" s="111"/>
      <c r="BM1356" s="111"/>
      <c r="BN1356" s="111"/>
      <c r="BO1356" s="111"/>
      <c r="BP1356" s="111"/>
      <c r="BQ1356" s="111"/>
      <c r="BR1356" s="111"/>
      <c r="BS1356" s="111"/>
      <c r="DR1356" s="29"/>
      <c r="DS1356" s="29"/>
      <c r="DT1356" s="29"/>
      <c r="DU1356" s="29"/>
      <c r="DV1356" s="29"/>
      <c r="DW1356" s="29"/>
      <c r="DX1356" s="29"/>
      <c r="DY1356" s="29"/>
      <c r="DZ1356" s="29"/>
      <c r="EA1356" s="29"/>
      <c r="EB1356" s="29"/>
      <c r="EC1356" s="29"/>
      <c r="ED1356" s="29"/>
      <c r="EE1356" s="29"/>
      <c r="EF1356" s="111"/>
      <c r="EG1356" s="111"/>
      <c r="EH1356" s="111"/>
      <c r="EI1356" s="111"/>
      <c r="EJ1356" s="111"/>
      <c r="EK1356" s="111"/>
      <c r="EL1356" s="111"/>
      <c r="EM1356" s="111"/>
      <c r="EN1356" s="111"/>
      <c r="EO1356" s="111"/>
      <c r="EP1356" s="111"/>
      <c r="EQ1356" s="111"/>
      <c r="ER1356" s="111"/>
      <c r="ES1356" s="111"/>
    </row>
    <row r="1357" spans="44:149">
      <c r="AR1357" s="29"/>
      <c r="AS1357" s="29"/>
      <c r="AT1357" s="29"/>
      <c r="AU1357" s="29"/>
      <c r="AV1357" s="29"/>
      <c r="AW1357" s="29"/>
      <c r="AX1357" s="29"/>
      <c r="AY1357" s="29"/>
      <c r="AZ1357" s="29"/>
      <c r="BA1357" s="29"/>
      <c r="BB1357" s="29"/>
      <c r="BC1357" s="29"/>
      <c r="BD1357" s="29"/>
      <c r="BE1357" s="29"/>
      <c r="BF1357" s="111"/>
      <c r="BG1357" s="111"/>
      <c r="BH1357" s="111"/>
      <c r="BI1357" s="111"/>
      <c r="BJ1357" s="111"/>
      <c r="BK1357" s="111"/>
      <c r="BL1357" s="111"/>
      <c r="BM1357" s="111"/>
      <c r="BN1357" s="111"/>
      <c r="BO1357" s="111"/>
      <c r="BP1357" s="111"/>
      <c r="BQ1357" s="111"/>
      <c r="BR1357" s="111"/>
      <c r="BS1357" s="111"/>
      <c r="DR1357" s="29"/>
      <c r="DS1357" s="29"/>
      <c r="DT1357" s="29"/>
      <c r="DU1357" s="29"/>
      <c r="DV1357" s="29"/>
      <c r="DW1357" s="29"/>
      <c r="DX1357" s="29"/>
      <c r="DY1357" s="29"/>
      <c r="DZ1357" s="29"/>
      <c r="EA1357" s="29"/>
      <c r="EB1357" s="29"/>
      <c r="EC1357" s="29"/>
      <c r="ED1357" s="29"/>
      <c r="EE1357" s="29"/>
      <c r="EF1357" s="111"/>
      <c r="EG1357" s="111"/>
      <c r="EH1357" s="111"/>
      <c r="EI1357" s="111"/>
      <c r="EJ1357" s="111"/>
      <c r="EK1357" s="111"/>
      <c r="EL1357" s="111"/>
      <c r="EM1357" s="111"/>
      <c r="EN1357" s="111"/>
      <c r="EO1357" s="111"/>
      <c r="EP1357" s="111"/>
      <c r="EQ1357" s="111"/>
      <c r="ER1357" s="111"/>
      <c r="ES1357" s="111"/>
    </row>
    <row r="1358" spans="44:149">
      <c r="AR1358" s="29"/>
      <c r="AS1358" s="29"/>
      <c r="AT1358" s="29"/>
      <c r="AU1358" s="29"/>
      <c r="AV1358" s="29"/>
      <c r="AW1358" s="29"/>
      <c r="AX1358" s="29"/>
      <c r="AY1358" s="29"/>
      <c r="AZ1358" s="29"/>
      <c r="BA1358" s="29"/>
      <c r="BB1358" s="29"/>
      <c r="BC1358" s="29"/>
      <c r="BD1358" s="29"/>
      <c r="BE1358" s="29"/>
      <c r="BF1358" s="111"/>
      <c r="BG1358" s="111"/>
      <c r="BH1358" s="111"/>
      <c r="BI1358" s="111"/>
      <c r="BJ1358" s="111"/>
      <c r="BK1358" s="111"/>
      <c r="BL1358" s="111"/>
      <c r="BM1358" s="111"/>
      <c r="BN1358" s="111"/>
      <c r="BO1358" s="111"/>
      <c r="BP1358" s="111"/>
      <c r="BQ1358" s="111"/>
      <c r="BR1358" s="111"/>
      <c r="BS1358" s="111"/>
      <c r="DR1358" s="29"/>
      <c r="DS1358" s="29"/>
      <c r="DT1358" s="29"/>
      <c r="DU1358" s="29"/>
      <c r="DV1358" s="29"/>
      <c r="DW1358" s="29"/>
      <c r="DX1358" s="29"/>
      <c r="DY1358" s="29"/>
      <c r="DZ1358" s="29"/>
      <c r="EA1358" s="29"/>
      <c r="EB1358" s="29"/>
      <c r="EC1358" s="29"/>
      <c r="ED1358" s="29"/>
      <c r="EE1358" s="29"/>
      <c r="EF1358" s="111"/>
      <c r="EG1358" s="111"/>
      <c r="EH1358" s="111"/>
      <c r="EI1358" s="111"/>
      <c r="EJ1358" s="111"/>
      <c r="EK1358" s="111"/>
      <c r="EL1358" s="111"/>
      <c r="EM1358" s="111"/>
      <c r="EN1358" s="111"/>
      <c r="EO1358" s="111"/>
      <c r="EP1358" s="111"/>
      <c r="EQ1358" s="111"/>
      <c r="ER1358" s="111"/>
      <c r="ES1358" s="111"/>
    </row>
    <row r="1359" spans="44:149">
      <c r="AR1359" s="29"/>
      <c r="AS1359" s="29"/>
      <c r="AT1359" s="29"/>
      <c r="AU1359" s="29"/>
      <c r="AV1359" s="29"/>
      <c r="AW1359" s="29"/>
      <c r="AX1359" s="29"/>
      <c r="AY1359" s="29"/>
      <c r="AZ1359" s="29"/>
      <c r="BA1359" s="29"/>
      <c r="BB1359" s="29"/>
      <c r="BC1359" s="29"/>
      <c r="BD1359" s="29"/>
      <c r="BE1359" s="29"/>
      <c r="BF1359" s="111"/>
      <c r="BG1359" s="111"/>
      <c r="BH1359" s="111"/>
      <c r="BI1359" s="111"/>
      <c r="BJ1359" s="111"/>
      <c r="BK1359" s="111"/>
      <c r="BL1359" s="111"/>
      <c r="BM1359" s="111"/>
      <c r="BN1359" s="111"/>
      <c r="BO1359" s="111"/>
      <c r="BP1359" s="111"/>
      <c r="BQ1359" s="111"/>
      <c r="BR1359" s="111"/>
      <c r="BS1359" s="111"/>
      <c r="DR1359" s="29"/>
      <c r="DS1359" s="29"/>
      <c r="DT1359" s="29"/>
      <c r="DU1359" s="29"/>
      <c r="DV1359" s="29"/>
      <c r="DW1359" s="29"/>
      <c r="DX1359" s="29"/>
      <c r="DY1359" s="29"/>
      <c r="DZ1359" s="29"/>
      <c r="EA1359" s="29"/>
      <c r="EB1359" s="29"/>
      <c r="EC1359" s="29"/>
      <c r="ED1359" s="29"/>
      <c r="EE1359" s="29"/>
      <c r="EF1359" s="111"/>
      <c r="EG1359" s="111"/>
      <c r="EH1359" s="111"/>
      <c r="EI1359" s="111"/>
      <c r="EJ1359" s="111"/>
      <c r="EK1359" s="111"/>
      <c r="EL1359" s="111"/>
      <c r="EM1359" s="111"/>
      <c r="EN1359" s="111"/>
      <c r="EO1359" s="111"/>
      <c r="EP1359" s="111"/>
      <c r="EQ1359" s="111"/>
      <c r="ER1359" s="111"/>
      <c r="ES1359" s="111"/>
    </row>
    <row r="1360" spans="44:149">
      <c r="AR1360" s="29"/>
      <c r="AS1360" s="29"/>
      <c r="AT1360" s="29"/>
      <c r="AU1360" s="29"/>
      <c r="AV1360" s="29"/>
      <c r="AW1360" s="29"/>
      <c r="AX1360" s="29"/>
      <c r="AY1360" s="29"/>
      <c r="AZ1360" s="29"/>
      <c r="BA1360" s="29"/>
      <c r="BB1360" s="29"/>
      <c r="BC1360" s="29"/>
      <c r="BD1360" s="29"/>
      <c r="BE1360" s="29"/>
      <c r="BF1360" s="111"/>
      <c r="BG1360" s="111"/>
      <c r="BH1360" s="111"/>
      <c r="BI1360" s="111"/>
      <c r="BJ1360" s="111"/>
      <c r="BK1360" s="111"/>
      <c r="BL1360" s="111"/>
      <c r="BM1360" s="111"/>
      <c r="BN1360" s="111"/>
      <c r="BO1360" s="111"/>
      <c r="BP1360" s="111"/>
      <c r="BQ1360" s="111"/>
      <c r="BR1360" s="111"/>
      <c r="BS1360" s="111"/>
      <c r="DR1360" s="29"/>
      <c r="DS1360" s="29"/>
      <c r="DT1360" s="29"/>
      <c r="DU1360" s="29"/>
      <c r="DV1360" s="29"/>
      <c r="DW1360" s="29"/>
      <c r="DX1360" s="29"/>
      <c r="DY1360" s="29"/>
      <c r="DZ1360" s="29"/>
      <c r="EA1360" s="29"/>
      <c r="EB1360" s="29"/>
      <c r="EC1360" s="29"/>
      <c r="ED1360" s="29"/>
      <c r="EE1360" s="29"/>
      <c r="EF1360" s="111"/>
      <c r="EG1360" s="111"/>
      <c r="EH1360" s="111"/>
      <c r="EI1360" s="111"/>
      <c r="EJ1360" s="111"/>
      <c r="EK1360" s="111"/>
      <c r="EL1360" s="111"/>
      <c r="EM1360" s="111"/>
      <c r="EN1360" s="111"/>
      <c r="EO1360" s="111"/>
      <c r="EP1360" s="111"/>
      <c r="EQ1360" s="111"/>
      <c r="ER1360" s="111"/>
      <c r="ES1360" s="111"/>
    </row>
    <row r="1361" spans="44:149">
      <c r="AR1361" s="29"/>
      <c r="AS1361" s="29"/>
      <c r="AT1361" s="29"/>
      <c r="AU1361" s="29"/>
      <c r="AV1361" s="29"/>
      <c r="AW1361" s="29"/>
      <c r="AX1361" s="29"/>
      <c r="AY1361" s="29"/>
      <c r="AZ1361" s="29"/>
      <c r="BA1361" s="29"/>
      <c r="BB1361" s="29"/>
      <c r="BC1361" s="29"/>
      <c r="BD1361" s="29"/>
      <c r="BE1361" s="29"/>
      <c r="BF1361" s="111"/>
      <c r="BG1361" s="111"/>
      <c r="BH1361" s="111"/>
      <c r="BI1361" s="111"/>
      <c r="BJ1361" s="111"/>
      <c r="BK1361" s="111"/>
      <c r="BL1361" s="111"/>
      <c r="BM1361" s="111"/>
      <c r="BN1361" s="111"/>
      <c r="BO1361" s="111"/>
      <c r="BP1361" s="111"/>
      <c r="BQ1361" s="111"/>
      <c r="BR1361" s="111"/>
      <c r="BS1361" s="111"/>
      <c r="DR1361" s="29"/>
      <c r="DS1361" s="29"/>
      <c r="DT1361" s="29"/>
      <c r="DU1361" s="29"/>
      <c r="DV1361" s="29"/>
      <c r="DW1361" s="29"/>
      <c r="DX1361" s="29"/>
      <c r="DY1361" s="29"/>
      <c r="DZ1361" s="29"/>
      <c r="EA1361" s="29"/>
      <c r="EB1361" s="29"/>
      <c r="EC1361" s="29"/>
      <c r="ED1361" s="29"/>
      <c r="EE1361" s="29"/>
      <c r="EF1361" s="111"/>
      <c r="EG1361" s="111"/>
      <c r="EH1361" s="111"/>
      <c r="EI1361" s="111"/>
      <c r="EJ1361" s="111"/>
      <c r="EK1361" s="111"/>
      <c r="EL1361" s="111"/>
      <c r="EM1361" s="111"/>
      <c r="EN1361" s="111"/>
      <c r="EO1361" s="111"/>
      <c r="EP1361" s="111"/>
      <c r="EQ1361" s="111"/>
      <c r="ER1361" s="111"/>
      <c r="ES1361" s="111"/>
    </row>
    <row r="1362" spans="44:149">
      <c r="AR1362" s="29"/>
      <c r="AS1362" s="29"/>
      <c r="AT1362" s="29"/>
      <c r="AU1362" s="29"/>
      <c r="AV1362" s="29"/>
      <c r="AW1362" s="29"/>
      <c r="AX1362" s="29"/>
      <c r="AY1362" s="29"/>
      <c r="AZ1362" s="29"/>
      <c r="BA1362" s="29"/>
      <c r="BB1362" s="29"/>
      <c r="BC1362" s="29"/>
      <c r="BD1362" s="29"/>
      <c r="BE1362" s="29"/>
      <c r="BF1362" s="111"/>
      <c r="BG1362" s="111"/>
      <c r="BH1362" s="111"/>
      <c r="BI1362" s="111"/>
      <c r="BJ1362" s="111"/>
      <c r="BK1362" s="111"/>
      <c r="BL1362" s="111"/>
      <c r="BM1362" s="111"/>
      <c r="BN1362" s="111"/>
      <c r="BO1362" s="111"/>
      <c r="BP1362" s="111"/>
      <c r="BQ1362" s="111"/>
      <c r="BR1362" s="111"/>
      <c r="BS1362" s="111"/>
      <c r="DR1362" s="29"/>
      <c r="DS1362" s="29"/>
      <c r="DT1362" s="29"/>
      <c r="DU1362" s="29"/>
      <c r="DV1362" s="29"/>
      <c r="DW1362" s="29"/>
      <c r="DX1362" s="29"/>
      <c r="DY1362" s="29"/>
      <c r="DZ1362" s="29"/>
      <c r="EA1362" s="29"/>
      <c r="EB1362" s="29"/>
      <c r="EC1362" s="29"/>
      <c r="ED1362" s="29"/>
      <c r="EE1362" s="29"/>
      <c r="EF1362" s="111"/>
      <c r="EG1362" s="111"/>
      <c r="EH1362" s="111"/>
      <c r="EI1362" s="111"/>
      <c r="EJ1362" s="111"/>
      <c r="EK1362" s="111"/>
      <c r="EL1362" s="111"/>
      <c r="EM1362" s="111"/>
      <c r="EN1362" s="111"/>
      <c r="EO1362" s="111"/>
      <c r="EP1362" s="111"/>
      <c r="EQ1362" s="111"/>
      <c r="ER1362" s="111"/>
      <c r="ES1362" s="111"/>
    </row>
    <row r="1363" spans="44:149">
      <c r="AR1363" s="29"/>
      <c r="AS1363" s="29"/>
      <c r="AT1363" s="29"/>
      <c r="AU1363" s="29"/>
      <c r="AV1363" s="29"/>
      <c r="AW1363" s="29"/>
      <c r="AX1363" s="29"/>
      <c r="AY1363" s="29"/>
      <c r="AZ1363" s="29"/>
      <c r="BA1363" s="29"/>
      <c r="BB1363" s="29"/>
      <c r="BC1363" s="29"/>
      <c r="BD1363" s="29"/>
      <c r="BE1363" s="29"/>
      <c r="BF1363" s="111"/>
      <c r="BG1363" s="111"/>
      <c r="BH1363" s="111"/>
      <c r="BI1363" s="111"/>
      <c r="BJ1363" s="111"/>
      <c r="BK1363" s="111"/>
      <c r="BL1363" s="111"/>
      <c r="BM1363" s="111"/>
      <c r="BN1363" s="111"/>
      <c r="BO1363" s="111"/>
      <c r="BP1363" s="111"/>
      <c r="BQ1363" s="111"/>
      <c r="BR1363" s="111"/>
      <c r="BS1363" s="111"/>
      <c r="DR1363" s="29"/>
      <c r="DS1363" s="29"/>
      <c r="DT1363" s="29"/>
      <c r="DU1363" s="29"/>
      <c r="DV1363" s="29"/>
      <c r="DW1363" s="29"/>
      <c r="DX1363" s="29"/>
      <c r="DY1363" s="29"/>
      <c r="DZ1363" s="29"/>
      <c r="EA1363" s="29"/>
      <c r="EB1363" s="29"/>
      <c r="EC1363" s="29"/>
      <c r="ED1363" s="29"/>
      <c r="EE1363" s="29"/>
      <c r="EF1363" s="111"/>
      <c r="EG1363" s="111"/>
      <c r="EH1363" s="111"/>
      <c r="EI1363" s="111"/>
      <c r="EJ1363" s="111"/>
      <c r="EK1363" s="111"/>
      <c r="EL1363" s="111"/>
      <c r="EM1363" s="111"/>
      <c r="EN1363" s="111"/>
      <c r="EO1363" s="111"/>
      <c r="EP1363" s="111"/>
      <c r="EQ1363" s="111"/>
      <c r="ER1363" s="111"/>
      <c r="ES1363" s="111"/>
    </row>
    <row r="1364" spans="44:149">
      <c r="AR1364" s="29"/>
      <c r="AS1364" s="29"/>
      <c r="AT1364" s="29"/>
      <c r="AU1364" s="29"/>
      <c r="AV1364" s="29"/>
      <c r="AW1364" s="29"/>
      <c r="AX1364" s="29"/>
      <c r="AY1364" s="29"/>
      <c r="AZ1364" s="29"/>
      <c r="BA1364" s="29"/>
      <c r="BB1364" s="29"/>
      <c r="BC1364" s="29"/>
      <c r="BD1364" s="29"/>
      <c r="BE1364" s="29"/>
      <c r="BF1364" s="111"/>
      <c r="BG1364" s="111"/>
      <c r="BH1364" s="111"/>
      <c r="BI1364" s="111"/>
      <c r="BJ1364" s="111"/>
      <c r="BK1364" s="111"/>
      <c r="BL1364" s="111"/>
      <c r="BM1364" s="111"/>
      <c r="BN1364" s="111"/>
      <c r="BO1364" s="111"/>
      <c r="BP1364" s="111"/>
      <c r="BQ1364" s="111"/>
      <c r="BR1364" s="111"/>
      <c r="BS1364" s="111"/>
      <c r="DR1364" s="29"/>
      <c r="DS1364" s="29"/>
      <c r="DT1364" s="29"/>
      <c r="DU1364" s="29"/>
      <c r="DV1364" s="29"/>
      <c r="DW1364" s="29"/>
      <c r="DX1364" s="29"/>
      <c r="DY1364" s="29"/>
      <c r="DZ1364" s="29"/>
      <c r="EA1364" s="29"/>
      <c r="EB1364" s="29"/>
      <c r="EC1364" s="29"/>
      <c r="ED1364" s="29"/>
      <c r="EE1364" s="29"/>
      <c r="EF1364" s="111"/>
      <c r="EG1364" s="111"/>
      <c r="EH1364" s="111"/>
      <c r="EI1364" s="111"/>
      <c r="EJ1364" s="111"/>
      <c r="EK1364" s="111"/>
      <c r="EL1364" s="111"/>
      <c r="EM1364" s="111"/>
      <c r="EN1364" s="111"/>
      <c r="EO1364" s="111"/>
      <c r="EP1364" s="111"/>
      <c r="EQ1364" s="111"/>
      <c r="ER1364" s="111"/>
      <c r="ES1364" s="111"/>
    </row>
    <row r="1365" spans="44:149">
      <c r="AR1365" s="29"/>
      <c r="AS1365" s="29"/>
      <c r="AT1365" s="29"/>
      <c r="AU1365" s="29"/>
      <c r="AV1365" s="29"/>
      <c r="AW1365" s="29"/>
      <c r="AX1365" s="29"/>
      <c r="AY1365" s="29"/>
      <c r="AZ1365" s="29"/>
      <c r="BA1365" s="29"/>
      <c r="BB1365" s="29"/>
      <c r="BC1365" s="29"/>
      <c r="BD1365" s="29"/>
      <c r="BE1365" s="29"/>
      <c r="BF1365" s="111"/>
      <c r="BG1365" s="111"/>
      <c r="BH1365" s="111"/>
      <c r="BI1365" s="111"/>
      <c r="BJ1365" s="111"/>
      <c r="BK1365" s="111"/>
      <c r="BL1365" s="111"/>
      <c r="BM1365" s="111"/>
      <c r="BN1365" s="111"/>
      <c r="BO1365" s="111"/>
      <c r="BP1365" s="111"/>
      <c r="BQ1365" s="111"/>
      <c r="BR1365" s="111"/>
      <c r="BS1365" s="111"/>
      <c r="DR1365" s="29"/>
      <c r="DS1365" s="29"/>
      <c r="DT1365" s="29"/>
      <c r="DU1365" s="29"/>
      <c r="DV1365" s="29"/>
      <c r="DW1365" s="29"/>
      <c r="DX1365" s="29"/>
      <c r="DY1365" s="29"/>
      <c r="DZ1365" s="29"/>
      <c r="EA1365" s="29"/>
      <c r="EB1365" s="29"/>
      <c r="EC1365" s="29"/>
      <c r="ED1365" s="29"/>
      <c r="EE1365" s="29"/>
      <c r="EF1365" s="111"/>
      <c r="EG1365" s="111"/>
      <c r="EH1365" s="111"/>
      <c r="EI1365" s="111"/>
      <c r="EJ1365" s="111"/>
      <c r="EK1365" s="111"/>
      <c r="EL1365" s="111"/>
      <c r="EM1365" s="111"/>
      <c r="EN1365" s="111"/>
      <c r="EO1365" s="111"/>
      <c r="EP1365" s="111"/>
      <c r="EQ1365" s="111"/>
      <c r="ER1365" s="111"/>
      <c r="ES1365" s="111"/>
    </row>
    <row r="1366" spans="44:149">
      <c r="AR1366" s="29"/>
      <c r="AS1366" s="29"/>
      <c r="AT1366" s="29"/>
      <c r="AU1366" s="29"/>
      <c r="AV1366" s="29"/>
      <c r="AW1366" s="29"/>
      <c r="AX1366" s="29"/>
      <c r="AY1366" s="29"/>
      <c r="AZ1366" s="29"/>
      <c r="BA1366" s="29"/>
      <c r="BB1366" s="29"/>
      <c r="BC1366" s="29"/>
      <c r="BD1366" s="29"/>
      <c r="BE1366" s="29"/>
      <c r="BF1366" s="111"/>
      <c r="BG1366" s="111"/>
      <c r="BH1366" s="111"/>
      <c r="BI1366" s="111"/>
      <c r="BJ1366" s="111"/>
      <c r="BK1366" s="111"/>
      <c r="BL1366" s="111"/>
      <c r="BM1366" s="111"/>
      <c r="BN1366" s="111"/>
      <c r="BO1366" s="111"/>
      <c r="BP1366" s="111"/>
      <c r="BQ1366" s="111"/>
      <c r="BR1366" s="111"/>
      <c r="BS1366" s="111"/>
      <c r="DR1366" s="29"/>
      <c r="DS1366" s="29"/>
      <c r="DT1366" s="29"/>
      <c r="DU1366" s="29"/>
      <c r="DV1366" s="29"/>
      <c r="DW1366" s="29"/>
      <c r="DX1366" s="29"/>
      <c r="DY1366" s="29"/>
      <c r="DZ1366" s="29"/>
      <c r="EA1366" s="29"/>
      <c r="EB1366" s="29"/>
      <c r="EC1366" s="29"/>
      <c r="ED1366" s="29"/>
      <c r="EE1366" s="29"/>
      <c r="EF1366" s="111"/>
      <c r="EG1366" s="111"/>
      <c r="EH1366" s="111"/>
      <c r="EI1366" s="111"/>
      <c r="EJ1366" s="111"/>
      <c r="EK1366" s="111"/>
      <c r="EL1366" s="111"/>
      <c r="EM1366" s="111"/>
      <c r="EN1366" s="111"/>
      <c r="EO1366" s="111"/>
      <c r="EP1366" s="111"/>
      <c r="EQ1366" s="111"/>
      <c r="ER1366" s="111"/>
      <c r="ES1366" s="111"/>
    </row>
    <row r="1367" spans="44:149">
      <c r="AR1367" s="29"/>
      <c r="AS1367" s="29"/>
      <c r="AT1367" s="29"/>
      <c r="AU1367" s="29"/>
      <c r="AV1367" s="29"/>
      <c r="AW1367" s="29"/>
      <c r="AX1367" s="29"/>
      <c r="AY1367" s="29"/>
      <c r="AZ1367" s="29"/>
      <c r="BA1367" s="29"/>
      <c r="BB1367" s="29"/>
      <c r="BC1367" s="29"/>
      <c r="BD1367" s="29"/>
      <c r="BE1367" s="29"/>
      <c r="BF1367" s="111"/>
      <c r="BG1367" s="111"/>
      <c r="BH1367" s="111"/>
      <c r="BI1367" s="111"/>
      <c r="BJ1367" s="111"/>
      <c r="BK1367" s="111"/>
      <c r="BL1367" s="111"/>
      <c r="BM1367" s="111"/>
      <c r="BN1367" s="111"/>
      <c r="BO1367" s="111"/>
      <c r="BP1367" s="111"/>
      <c r="BQ1367" s="111"/>
      <c r="BR1367" s="111"/>
      <c r="BS1367" s="111"/>
      <c r="DR1367" s="29"/>
      <c r="DS1367" s="29"/>
      <c r="DT1367" s="29"/>
      <c r="DU1367" s="29"/>
      <c r="DV1367" s="29"/>
      <c r="DW1367" s="29"/>
      <c r="DX1367" s="29"/>
      <c r="DY1367" s="29"/>
      <c r="DZ1367" s="29"/>
      <c r="EA1367" s="29"/>
      <c r="EB1367" s="29"/>
      <c r="EC1367" s="29"/>
      <c r="ED1367" s="29"/>
      <c r="EE1367" s="29"/>
      <c r="EF1367" s="111"/>
      <c r="EG1367" s="111"/>
      <c r="EH1367" s="111"/>
      <c r="EI1367" s="111"/>
      <c r="EJ1367" s="111"/>
      <c r="EK1367" s="111"/>
      <c r="EL1367" s="111"/>
      <c r="EM1367" s="111"/>
      <c r="EN1367" s="111"/>
      <c r="EO1367" s="111"/>
      <c r="EP1367" s="111"/>
      <c r="EQ1367" s="111"/>
      <c r="ER1367" s="111"/>
      <c r="ES1367" s="111"/>
    </row>
    <row r="1368" spans="44:149">
      <c r="AR1368" s="29"/>
      <c r="AS1368" s="29"/>
      <c r="AT1368" s="29"/>
      <c r="AU1368" s="29"/>
      <c r="AV1368" s="29"/>
      <c r="AW1368" s="29"/>
      <c r="AX1368" s="29"/>
      <c r="AY1368" s="29"/>
      <c r="AZ1368" s="29"/>
      <c r="BA1368" s="29"/>
      <c r="BB1368" s="29"/>
      <c r="BC1368" s="29"/>
      <c r="BD1368" s="29"/>
      <c r="BE1368" s="29"/>
      <c r="BF1368" s="111"/>
      <c r="BG1368" s="111"/>
      <c r="BH1368" s="111"/>
      <c r="BI1368" s="111"/>
      <c r="BJ1368" s="111"/>
      <c r="BK1368" s="111"/>
      <c r="BL1368" s="111"/>
      <c r="BM1368" s="111"/>
      <c r="BN1368" s="111"/>
      <c r="BO1368" s="111"/>
      <c r="BP1368" s="111"/>
      <c r="BQ1368" s="111"/>
      <c r="BR1368" s="111"/>
      <c r="BS1368" s="111"/>
      <c r="DR1368" s="29"/>
      <c r="DS1368" s="29"/>
      <c r="DT1368" s="29"/>
      <c r="DU1368" s="29"/>
      <c r="DV1368" s="29"/>
      <c r="DW1368" s="29"/>
      <c r="DX1368" s="29"/>
      <c r="DY1368" s="29"/>
      <c r="DZ1368" s="29"/>
      <c r="EA1368" s="29"/>
      <c r="EB1368" s="29"/>
      <c r="EC1368" s="29"/>
      <c r="ED1368" s="29"/>
      <c r="EE1368" s="29"/>
      <c r="EF1368" s="111"/>
      <c r="EG1368" s="111"/>
      <c r="EH1368" s="111"/>
      <c r="EI1368" s="111"/>
      <c r="EJ1368" s="111"/>
      <c r="EK1368" s="111"/>
      <c r="EL1368" s="111"/>
      <c r="EM1368" s="111"/>
      <c r="EN1368" s="111"/>
      <c r="EO1368" s="111"/>
      <c r="EP1368" s="111"/>
      <c r="EQ1368" s="111"/>
      <c r="ER1368" s="111"/>
      <c r="ES1368" s="111"/>
    </row>
    <row r="1369" spans="44:149">
      <c r="AR1369" s="29"/>
      <c r="AS1369" s="29"/>
      <c r="AT1369" s="29"/>
      <c r="AU1369" s="29"/>
      <c r="AV1369" s="29"/>
      <c r="AW1369" s="29"/>
      <c r="AX1369" s="29"/>
      <c r="AY1369" s="29"/>
      <c r="AZ1369" s="29"/>
      <c r="BA1369" s="29"/>
      <c r="BB1369" s="29"/>
      <c r="BC1369" s="29"/>
      <c r="BD1369" s="29"/>
      <c r="BE1369" s="29"/>
      <c r="BF1369" s="111"/>
      <c r="BG1369" s="111"/>
      <c r="BH1369" s="111"/>
      <c r="BI1369" s="111"/>
      <c r="BJ1369" s="111"/>
      <c r="BK1369" s="111"/>
      <c r="BL1369" s="111"/>
      <c r="BM1369" s="111"/>
      <c r="BN1369" s="111"/>
      <c r="BO1369" s="111"/>
      <c r="BP1369" s="111"/>
      <c r="BQ1369" s="111"/>
      <c r="BR1369" s="111"/>
      <c r="BS1369" s="111"/>
      <c r="DR1369" s="29"/>
      <c r="DS1369" s="29"/>
      <c r="DT1369" s="29"/>
      <c r="DU1369" s="29"/>
      <c r="DV1369" s="29"/>
      <c r="DW1369" s="29"/>
      <c r="DX1369" s="29"/>
      <c r="DY1369" s="29"/>
      <c r="DZ1369" s="29"/>
      <c r="EA1369" s="29"/>
      <c r="EB1369" s="29"/>
      <c r="EC1369" s="29"/>
      <c r="ED1369" s="29"/>
      <c r="EE1369" s="29"/>
      <c r="EF1369" s="111"/>
      <c r="EG1369" s="111"/>
      <c r="EH1369" s="111"/>
      <c r="EI1369" s="111"/>
      <c r="EJ1369" s="111"/>
      <c r="EK1369" s="111"/>
      <c r="EL1369" s="111"/>
      <c r="EM1369" s="111"/>
      <c r="EN1369" s="111"/>
      <c r="EO1369" s="111"/>
      <c r="EP1369" s="111"/>
      <c r="EQ1369" s="111"/>
      <c r="ER1369" s="111"/>
      <c r="ES1369" s="111"/>
    </row>
    <row r="1370" spans="44:149">
      <c r="AR1370" s="29"/>
      <c r="AS1370" s="29"/>
      <c r="AT1370" s="29"/>
      <c r="AU1370" s="29"/>
      <c r="AV1370" s="29"/>
      <c r="AW1370" s="29"/>
      <c r="AX1370" s="29"/>
      <c r="AY1370" s="29"/>
      <c r="AZ1370" s="29"/>
      <c r="BA1370" s="29"/>
      <c r="BB1370" s="29"/>
      <c r="BC1370" s="29"/>
      <c r="BD1370" s="29"/>
      <c r="BE1370" s="29"/>
      <c r="BF1370" s="111"/>
      <c r="BG1370" s="111"/>
      <c r="BH1370" s="111"/>
      <c r="BI1370" s="111"/>
      <c r="BJ1370" s="111"/>
      <c r="BK1370" s="111"/>
      <c r="BL1370" s="111"/>
      <c r="BM1370" s="111"/>
      <c r="BN1370" s="111"/>
      <c r="BO1370" s="111"/>
      <c r="BP1370" s="111"/>
      <c r="BQ1370" s="111"/>
      <c r="BR1370" s="111"/>
      <c r="BS1370" s="111"/>
      <c r="DR1370" s="29"/>
      <c r="DS1370" s="29"/>
      <c r="DT1370" s="29"/>
      <c r="DU1370" s="29"/>
      <c r="DV1370" s="29"/>
      <c r="DW1370" s="29"/>
      <c r="DX1370" s="29"/>
      <c r="DY1370" s="29"/>
      <c r="DZ1370" s="29"/>
      <c r="EA1370" s="29"/>
      <c r="EB1370" s="29"/>
      <c r="EC1370" s="29"/>
      <c r="ED1370" s="29"/>
      <c r="EE1370" s="29"/>
      <c r="EF1370" s="111"/>
      <c r="EG1370" s="111"/>
      <c r="EH1370" s="111"/>
      <c r="EI1370" s="111"/>
      <c r="EJ1370" s="111"/>
      <c r="EK1370" s="111"/>
      <c r="EL1370" s="111"/>
      <c r="EM1370" s="111"/>
      <c r="EN1370" s="111"/>
      <c r="EO1370" s="111"/>
      <c r="EP1370" s="111"/>
      <c r="EQ1370" s="111"/>
      <c r="ER1370" s="111"/>
      <c r="ES1370" s="111"/>
    </row>
    <row r="1371" spans="44:149">
      <c r="AR1371" s="29"/>
      <c r="AS1371" s="29"/>
      <c r="AT1371" s="29"/>
      <c r="AU1371" s="29"/>
      <c r="AV1371" s="29"/>
      <c r="AW1371" s="29"/>
      <c r="AX1371" s="29"/>
      <c r="AY1371" s="29"/>
      <c r="AZ1371" s="29"/>
      <c r="BA1371" s="29"/>
      <c r="BB1371" s="29"/>
      <c r="BC1371" s="29"/>
      <c r="BD1371" s="29"/>
      <c r="BE1371" s="29"/>
      <c r="BF1371" s="111"/>
      <c r="BG1371" s="111"/>
      <c r="BH1371" s="111"/>
      <c r="BI1371" s="111"/>
      <c r="BJ1371" s="111"/>
      <c r="BK1371" s="111"/>
      <c r="BL1371" s="111"/>
      <c r="BM1371" s="111"/>
      <c r="BN1371" s="111"/>
      <c r="BO1371" s="111"/>
      <c r="BP1371" s="111"/>
      <c r="BQ1371" s="111"/>
      <c r="BR1371" s="111"/>
      <c r="BS1371" s="111"/>
      <c r="DR1371" s="29"/>
      <c r="DS1371" s="29"/>
      <c r="DT1371" s="29"/>
      <c r="DU1371" s="29"/>
      <c r="DV1371" s="29"/>
      <c r="DW1371" s="29"/>
      <c r="DX1371" s="29"/>
      <c r="DY1371" s="29"/>
      <c r="DZ1371" s="29"/>
      <c r="EA1371" s="29"/>
      <c r="EB1371" s="29"/>
      <c r="EC1371" s="29"/>
      <c r="ED1371" s="29"/>
      <c r="EE1371" s="29"/>
      <c r="EF1371" s="111"/>
      <c r="EG1371" s="111"/>
      <c r="EH1371" s="111"/>
      <c r="EI1371" s="111"/>
      <c r="EJ1371" s="111"/>
      <c r="EK1371" s="111"/>
      <c r="EL1371" s="111"/>
      <c r="EM1371" s="111"/>
      <c r="EN1371" s="111"/>
      <c r="EO1371" s="111"/>
      <c r="EP1371" s="111"/>
      <c r="EQ1371" s="111"/>
      <c r="ER1371" s="111"/>
      <c r="ES1371" s="111"/>
    </row>
    <row r="1372" spans="44:149">
      <c r="AR1372" s="29"/>
      <c r="AS1372" s="29"/>
      <c r="AT1372" s="29"/>
      <c r="AU1372" s="29"/>
      <c r="AV1372" s="29"/>
      <c r="AW1372" s="29"/>
      <c r="AX1372" s="29"/>
      <c r="AY1372" s="29"/>
      <c r="AZ1372" s="29"/>
      <c r="BA1372" s="29"/>
      <c r="BB1372" s="29"/>
      <c r="BC1372" s="29"/>
      <c r="BD1372" s="29"/>
      <c r="BE1372" s="29"/>
      <c r="BF1372" s="111"/>
      <c r="BG1372" s="111"/>
      <c r="BH1372" s="111"/>
      <c r="BI1372" s="111"/>
      <c r="BJ1372" s="111"/>
      <c r="BK1372" s="111"/>
      <c r="BL1372" s="111"/>
      <c r="BM1372" s="111"/>
      <c r="BN1372" s="111"/>
      <c r="BO1372" s="111"/>
      <c r="BP1372" s="111"/>
      <c r="BQ1372" s="111"/>
      <c r="BR1372" s="111"/>
      <c r="BS1372" s="111"/>
      <c r="DR1372" s="29"/>
      <c r="DS1372" s="29"/>
      <c r="DT1372" s="29"/>
      <c r="DU1372" s="29"/>
      <c r="DV1372" s="29"/>
      <c r="DW1372" s="29"/>
      <c r="DX1372" s="29"/>
      <c r="DY1372" s="29"/>
      <c r="DZ1372" s="29"/>
      <c r="EA1372" s="29"/>
      <c r="EB1372" s="29"/>
      <c r="EC1372" s="29"/>
      <c r="ED1372" s="29"/>
      <c r="EE1372" s="29"/>
      <c r="EF1372" s="111"/>
      <c r="EG1372" s="111"/>
      <c r="EH1372" s="111"/>
      <c r="EI1372" s="111"/>
      <c r="EJ1372" s="111"/>
      <c r="EK1372" s="111"/>
      <c r="EL1372" s="111"/>
      <c r="EM1372" s="111"/>
      <c r="EN1372" s="111"/>
      <c r="EO1372" s="111"/>
      <c r="EP1372" s="111"/>
      <c r="EQ1372" s="111"/>
      <c r="ER1372" s="111"/>
      <c r="ES1372" s="111"/>
    </row>
    <row r="1373" spans="44:149">
      <c r="AR1373" s="29"/>
      <c r="AS1373" s="29"/>
      <c r="AT1373" s="29"/>
      <c r="AU1373" s="29"/>
      <c r="AV1373" s="29"/>
      <c r="AW1373" s="29"/>
      <c r="AX1373" s="29"/>
      <c r="AY1373" s="29"/>
      <c r="AZ1373" s="29"/>
      <c r="BA1373" s="29"/>
      <c r="BB1373" s="29"/>
      <c r="BC1373" s="29"/>
      <c r="BD1373" s="29"/>
      <c r="BE1373" s="29"/>
      <c r="BF1373" s="111"/>
      <c r="BG1373" s="111"/>
      <c r="BH1373" s="111"/>
      <c r="BI1373" s="111"/>
      <c r="BJ1373" s="111"/>
      <c r="BK1373" s="111"/>
      <c r="BL1373" s="111"/>
      <c r="BM1373" s="111"/>
      <c r="BN1373" s="111"/>
      <c r="BO1373" s="111"/>
      <c r="BP1373" s="111"/>
      <c r="BQ1373" s="111"/>
      <c r="BR1373" s="111"/>
      <c r="BS1373" s="111"/>
      <c r="DR1373" s="29"/>
      <c r="DS1373" s="29"/>
      <c r="DT1373" s="29"/>
      <c r="DU1373" s="29"/>
      <c r="DV1373" s="29"/>
      <c r="DW1373" s="29"/>
      <c r="DX1373" s="29"/>
      <c r="DY1373" s="29"/>
      <c r="DZ1373" s="29"/>
      <c r="EA1373" s="29"/>
      <c r="EB1373" s="29"/>
      <c r="EC1373" s="29"/>
      <c r="ED1373" s="29"/>
      <c r="EE1373" s="29"/>
      <c r="EF1373" s="111"/>
      <c r="EG1373" s="111"/>
      <c r="EH1373" s="111"/>
      <c r="EI1373" s="111"/>
      <c r="EJ1373" s="111"/>
      <c r="EK1373" s="111"/>
      <c r="EL1373" s="111"/>
      <c r="EM1373" s="111"/>
      <c r="EN1373" s="111"/>
      <c r="EO1373" s="111"/>
      <c r="EP1373" s="111"/>
      <c r="EQ1373" s="111"/>
      <c r="ER1373" s="111"/>
      <c r="ES1373" s="111"/>
    </row>
    <row r="1374" spans="44:149">
      <c r="AR1374" s="29"/>
      <c r="AS1374" s="29"/>
      <c r="AT1374" s="29"/>
      <c r="AU1374" s="29"/>
      <c r="AV1374" s="29"/>
      <c r="AW1374" s="29"/>
      <c r="AX1374" s="29"/>
      <c r="AY1374" s="29"/>
      <c r="AZ1374" s="29"/>
      <c r="BA1374" s="29"/>
      <c r="BB1374" s="29"/>
      <c r="BC1374" s="29"/>
      <c r="BD1374" s="29"/>
      <c r="BE1374" s="29"/>
      <c r="BF1374" s="111"/>
      <c r="BG1374" s="111"/>
      <c r="BH1374" s="111"/>
      <c r="BI1374" s="111"/>
      <c r="BJ1374" s="111"/>
      <c r="BK1374" s="111"/>
      <c r="BL1374" s="111"/>
      <c r="BM1374" s="111"/>
      <c r="BN1374" s="111"/>
      <c r="BO1374" s="111"/>
      <c r="BP1374" s="111"/>
      <c r="BQ1374" s="111"/>
      <c r="BR1374" s="111"/>
      <c r="BS1374" s="111"/>
      <c r="DR1374" s="29"/>
      <c r="DS1374" s="29"/>
      <c r="DT1374" s="29"/>
      <c r="DU1374" s="29"/>
      <c r="DV1374" s="29"/>
      <c r="DW1374" s="29"/>
      <c r="DX1374" s="29"/>
      <c r="DY1374" s="29"/>
      <c r="DZ1374" s="29"/>
      <c r="EA1374" s="29"/>
      <c r="EB1374" s="29"/>
      <c r="EC1374" s="29"/>
      <c r="ED1374" s="29"/>
      <c r="EE1374" s="29"/>
      <c r="EF1374" s="111"/>
      <c r="EG1374" s="111"/>
      <c r="EH1374" s="111"/>
      <c r="EI1374" s="111"/>
      <c r="EJ1374" s="111"/>
      <c r="EK1374" s="111"/>
      <c r="EL1374" s="111"/>
      <c r="EM1374" s="111"/>
      <c r="EN1374" s="111"/>
      <c r="EO1374" s="111"/>
      <c r="EP1374" s="111"/>
      <c r="EQ1374" s="111"/>
      <c r="ER1374" s="111"/>
      <c r="ES1374" s="111"/>
    </row>
    <row r="1375" spans="44:149">
      <c r="AR1375" s="29"/>
      <c r="AS1375" s="29"/>
      <c r="AT1375" s="29"/>
      <c r="AU1375" s="29"/>
      <c r="AV1375" s="29"/>
      <c r="AW1375" s="29"/>
      <c r="AX1375" s="29"/>
      <c r="AY1375" s="29"/>
      <c r="AZ1375" s="29"/>
      <c r="BA1375" s="29"/>
      <c r="BB1375" s="29"/>
      <c r="BC1375" s="29"/>
      <c r="BD1375" s="29"/>
      <c r="BE1375" s="29"/>
      <c r="BF1375" s="111"/>
      <c r="BG1375" s="111"/>
      <c r="BH1375" s="111"/>
      <c r="BI1375" s="111"/>
      <c r="BJ1375" s="111"/>
      <c r="BK1375" s="111"/>
      <c r="BL1375" s="111"/>
      <c r="BM1375" s="111"/>
      <c r="BN1375" s="111"/>
      <c r="BO1375" s="111"/>
      <c r="BP1375" s="111"/>
      <c r="BQ1375" s="111"/>
      <c r="BR1375" s="111"/>
      <c r="BS1375" s="111"/>
      <c r="DR1375" s="29"/>
      <c r="DS1375" s="29"/>
      <c r="DT1375" s="29"/>
      <c r="DU1375" s="29"/>
      <c r="DV1375" s="29"/>
      <c r="DW1375" s="29"/>
      <c r="DX1375" s="29"/>
      <c r="DY1375" s="29"/>
      <c r="DZ1375" s="29"/>
      <c r="EA1375" s="29"/>
      <c r="EB1375" s="29"/>
      <c r="EC1375" s="29"/>
      <c r="ED1375" s="29"/>
      <c r="EE1375" s="29"/>
      <c r="EF1375" s="111"/>
      <c r="EG1375" s="111"/>
      <c r="EH1375" s="111"/>
      <c r="EI1375" s="111"/>
      <c r="EJ1375" s="111"/>
      <c r="EK1375" s="111"/>
      <c r="EL1375" s="111"/>
      <c r="EM1375" s="111"/>
      <c r="EN1375" s="111"/>
      <c r="EO1375" s="111"/>
      <c r="EP1375" s="111"/>
      <c r="EQ1375" s="111"/>
      <c r="ER1375" s="111"/>
      <c r="ES1375" s="111"/>
    </row>
    <row r="1376" spans="44:149">
      <c r="AR1376" s="29"/>
      <c r="AS1376" s="29"/>
      <c r="AT1376" s="29"/>
      <c r="AU1376" s="29"/>
      <c r="AV1376" s="29"/>
      <c r="AW1376" s="29"/>
      <c r="AX1376" s="29"/>
      <c r="AY1376" s="29"/>
      <c r="AZ1376" s="29"/>
      <c r="BA1376" s="29"/>
      <c r="BB1376" s="29"/>
      <c r="BC1376" s="29"/>
      <c r="BD1376" s="29"/>
      <c r="BE1376" s="29"/>
      <c r="BF1376" s="111"/>
      <c r="BG1376" s="111"/>
      <c r="BH1376" s="111"/>
      <c r="BI1376" s="111"/>
      <c r="BJ1376" s="111"/>
      <c r="BK1376" s="111"/>
      <c r="BL1376" s="111"/>
      <c r="BM1376" s="111"/>
      <c r="BN1376" s="111"/>
      <c r="BO1376" s="111"/>
      <c r="BP1376" s="111"/>
      <c r="BQ1376" s="111"/>
      <c r="BR1376" s="111"/>
      <c r="BS1376" s="111"/>
      <c r="DR1376" s="29"/>
      <c r="DS1376" s="29"/>
      <c r="DT1376" s="29"/>
      <c r="DU1376" s="29"/>
      <c r="DV1376" s="29"/>
      <c r="DW1376" s="29"/>
      <c r="DX1376" s="29"/>
      <c r="DY1376" s="29"/>
      <c r="DZ1376" s="29"/>
      <c r="EA1376" s="29"/>
      <c r="EB1376" s="29"/>
      <c r="EC1376" s="29"/>
      <c r="ED1376" s="29"/>
      <c r="EE1376" s="29"/>
      <c r="EF1376" s="111"/>
      <c r="EG1376" s="111"/>
      <c r="EH1376" s="111"/>
      <c r="EI1376" s="111"/>
      <c r="EJ1376" s="111"/>
      <c r="EK1376" s="111"/>
      <c r="EL1376" s="111"/>
      <c r="EM1376" s="111"/>
      <c r="EN1376" s="111"/>
      <c r="EO1376" s="111"/>
      <c r="EP1376" s="111"/>
      <c r="EQ1376" s="111"/>
      <c r="ER1376" s="111"/>
      <c r="ES1376" s="111"/>
    </row>
    <row r="1377" spans="44:149">
      <c r="AR1377" s="29"/>
      <c r="AS1377" s="29"/>
      <c r="AT1377" s="29"/>
      <c r="AU1377" s="29"/>
      <c r="AV1377" s="29"/>
      <c r="AW1377" s="29"/>
      <c r="AX1377" s="29"/>
      <c r="AY1377" s="29"/>
      <c r="AZ1377" s="29"/>
      <c r="BA1377" s="29"/>
      <c r="BB1377" s="29"/>
      <c r="BC1377" s="29"/>
      <c r="BD1377" s="29"/>
      <c r="BE1377" s="29"/>
      <c r="BF1377" s="111"/>
      <c r="BG1377" s="111"/>
      <c r="BH1377" s="111"/>
      <c r="BI1377" s="111"/>
      <c r="BJ1377" s="111"/>
      <c r="BK1377" s="111"/>
      <c r="BL1377" s="111"/>
      <c r="BM1377" s="111"/>
      <c r="BN1377" s="111"/>
      <c r="BO1377" s="111"/>
      <c r="BP1377" s="111"/>
      <c r="BQ1377" s="111"/>
      <c r="BR1377" s="111"/>
      <c r="BS1377" s="111"/>
      <c r="DR1377" s="29"/>
      <c r="DS1377" s="29"/>
      <c r="DT1377" s="29"/>
      <c r="DU1377" s="29"/>
      <c r="DV1377" s="29"/>
      <c r="DW1377" s="29"/>
      <c r="DX1377" s="29"/>
      <c r="DY1377" s="29"/>
      <c r="DZ1377" s="29"/>
      <c r="EA1377" s="29"/>
      <c r="EB1377" s="29"/>
      <c r="EC1377" s="29"/>
      <c r="ED1377" s="29"/>
      <c r="EE1377" s="29"/>
      <c r="EF1377" s="111"/>
      <c r="EG1377" s="111"/>
      <c r="EH1377" s="111"/>
      <c r="EI1377" s="111"/>
      <c r="EJ1377" s="111"/>
      <c r="EK1377" s="111"/>
      <c r="EL1377" s="111"/>
      <c r="EM1377" s="111"/>
      <c r="EN1377" s="111"/>
      <c r="EO1377" s="111"/>
      <c r="EP1377" s="111"/>
      <c r="EQ1377" s="111"/>
      <c r="ER1377" s="111"/>
      <c r="ES1377" s="111"/>
    </row>
    <row r="1378" spans="44:149">
      <c r="AR1378" s="29"/>
      <c r="AS1378" s="29"/>
      <c r="AT1378" s="29"/>
      <c r="AU1378" s="29"/>
      <c r="AV1378" s="29"/>
      <c r="AW1378" s="29"/>
      <c r="AX1378" s="29"/>
      <c r="AY1378" s="29"/>
      <c r="AZ1378" s="29"/>
      <c r="BA1378" s="29"/>
      <c r="BB1378" s="29"/>
      <c r="BC1378" s="29"/>
      <c r="BD1378" s="29"/>
      <c r="BE1378" s="29"/>
      <c r="BF1378" s="111"/>
      <c r="BG1378" s="111"/>
      <c r="BH1378" s="111"/>
      <c r="BI1378" s="111"/>
      <c r="BJ1378" s="111"/>
      <c r="BK1378" s="111"/>
      <c r="BL1378" s="111"/>
      <c r="BM1378" s="111"/>
      <c r="BN1378" s="111"/>
      <c r="BO1378" s="111"/>
      <c r="BP1378" s="111"/>
      <c r="BQ1378" s="111"/>
      <c r="BR1378" s="111"/>
      <c r="BS1378" s="111"/>
      <c r="DR1378" s="29"/>
      <c r="DS1378" s="29"/>
      <c r="DT1378" s="29"/>
      <c r="DU1378" s="29"/>
      <c r="DV1378" s="29"/>
      <c r="DW1378" s="29"/>
      <c r="DX1378" s="29"/>
      <c r="DY1378" s="29"/>
      <c r="DZ1378" s="29"/>
      <c r="EA1378" s="29"/>
      <c r="EB1378" s="29"/>
      <c r="EC1378" s="29"/>
      <c r="ED1378" s="29"/>
      <c r="EE1378" s="29"/>
      <c r="EF1378" s="111"/>
      <c r="EG1378" s="111"/>
      <c r="EH1378" s="111"/>
      <c r="EI1378" s="111"/>
      <c r="EJ1378" s="111"/>
      <c r="EK1378" s="111"/>
      <c r="EL1378" s="111"/>
      <c r="EM1378" s="111"/>
      <c r="EN1378" s="111"/>
      <c r="EO1378" s="111"/>
      <c r="EP1378" s="111"/>
      <c r="EQ1378" s="111"/>
      <c r="ER1378" s="111"/>
      <c r="ES1378" s="111"/>
    </row>
    <row r="1379" spans="44:149">
      <c r="AR1379" s="29"/>
      <c r="AS1379" s="29"/>
      <c r="AT1379" s="29"/>
      <c r="AU1379" s="29"/>
      <c r="AV1379" s="29"/>
      <c r="AW1379" s="29"/>
      <c r="AX1379" s="29"/>
      <c r="AY1379" s="29"/>
      <c r="AZ1379" s="29"/>
      <c r="BA1379" s="29"/>
      <c r="BB1379" s="29"/>
      <c r="BC1379" s="29"/>
      <c r="BD1379" s="29"/>
      <c r="BE1379" s="29"/>
      <c r="BF1379" s="111"/>
      <c r="BG1379" s="111"/>
      <c r="BH1379" s="111"/>
      <c r="BI1379" s="111"/>
      <c r="BJ1379" s="111"/>
      <c r="BK1379" s="111"/>
      <c r="BL1379" s="111"/>
      <c r="BM1379" s="111"/>
      <c r="BN1379" s="111"/>
      <c r="BO1379" s="111"/>
      <c r="BP1379" s="111"/>
      <c r="BQ1379" s="111"/>
      <c r="BR1379" s="111"/>
      <c r="BS1379" s="111"/>
      <c r="DR1379" s="29"/>
      <c r="DS1379" s="29"/>
      <c r="DT1379" s="29"/>
      <c r="DU1379" s="29"/>
      <c r="DV1379" s="29"/>
      <c r="DW1379" s="29"/>
      <c r="DX1379" s="29"/>
      <c r="DY1379" s="29"/>
      <c r="DZ1379" s="29"/>
      <c r="EA1379" s="29"/>
      <c r="EB1379" s="29"/>
      <c r="EC1379" s="29"/>
      <c r="ED1379" s="29"/>
      <c r="EE1379" s="29"/>
      <c r="EF1379" s="111"/>
      <c r="EG1379" s="111"/>
      <c r="EH1379" s="111"/>
      <c r="EI1379" s="111"/>
      <c r="EJ1379" s="111"/>
      <c r="EK1379" s="111"/>
      <c r="EL1379" s="111"/>
      <c r="EM1379" s="111"/>
      <c r="EN1379" s="111"/>
      <c r="EO1379" s="111"/>
      <c r="EP1379" s="111"/>
      <c r="EQ1379" s="111"/>
      <c r="ER1379" s="111"/>
      <c r="ES1379" s="111"/>
    </row>
    <row r="1380" spans="44:149">
      <c r="AR1380" s="29"/>
      <c r="AS1380" s="29"/>
      <c r="AT1380" s="29"/>
      <c r="AU1380" s="29"/>
      <c r="AV1380" s="29"/>
      <c r="AW1380" s="29"/>
      <c r="AX1380" s="29"/>
      <c r="AY1380" s="29"/>
      <c r="AZ1380" s="29"/>
      <c r="BA1380" s="29"/>
      <c r="BB1380" s="29"/>
      <c r="BC1380" s="29"/>
      <c r="BD1380" s="29"/>
      <c r="BE1380" s="29"/>
      <c r="BF1380" s="111"/>
      <c r="BG1380" s="111"/>
      <c r="BH1380" s="111"/>
      <c r="BI1380" s="111"/>
      <c r="BJ1380" s="111"/>
      <c r="BK1380" s="111"/>
      <c r="BL1380" s="111"/>
      <c r="BM1380" s="111"/>
      <c r="BN1380" s="111"/>
      <c r="BO1380" s="111"/>
      <c r="BP1380" s="111"/>
      <c r="BQ1380" s="111"/>
      <c r="BR1380" s="111"/>
      <c r="BS1380" s="111"/>
      <c r="DR1380" s="29"/>
      <c r="DS1380" s="29"/>
      <c r="DT1380" s="29"/>
      <c r="DU1380" s="29"/>
      <c r="DV1380" s="29"/>
      <c r="DW1380" s="29"/>
      <c r="DX1380" s="29"/>
      <c r="DY1380" s="29"/>
      <c r="DZ1380" s="29"/>
      <c r="EA1380" s="29"/>
      <c r="EB1380" s="29"/>
      <c r="EC1380" s="29"/>
      <c r="ED1380" s="29"/>
      <c r="EE1380" s="29"/>
      <c r="EF1380" s="111"/>
      <c r="EG1380" s="111"/>
      <c r="EH1380" s="111"/>
      <c r="EI1380" s="111"/>
      <c r="EJ1380" s="111"/>
      <c r="EK1380" s="111"/>
      <c r="EL1380" s="111"/>
      <c r="EM1380" s="111"/>
      <c r="EN1380" s="111"/>
      <c r="EO1380" s="111"/>
      <c r="EP1380" s="111"/>
      <c r="EQ1380" s="111"/>
      <c r="ER1380" s="111"/>
      <c r="ES1380" s="111"/>
    </row>
    <row r="1381" spans="44:149">
      <c r="AR1381" s="29"/>
      <c r="AS1381" s="29"/>
      <c r="AT1381" s="29"/>
      <c r="AU1381" s="29"/>
      <c r="AV1381" s="29"/>
      <c r="AW1381" s="29"/>
      <c r="AX1381" s="29"/>
      <c r="AY1381" s="29"/>
      <c r="AZ1381" s="29"/>
      <c r="BA1381" s="29"/>
      <c r="BB1381" s="29"/>
      <c r="BC1381" s="29"/>
      <c r="BD1381" s="29"/>
      <c r="BE1381" s="29"/>
      <c r="BF1381" s="111"/>
      <c r="BG1381" s="111"/>
      <c r="BH1381" s="111"/>
      <c r="BI1381" s="111"/>
      <c r="BJ1381" s="111"/>
      <c r="BK1381" s="111"/>
      <c r="BL1381" s="111"/>
      <c r="BM1381" s="111"/>
      <c r="BN1381" s="111"/>
      <c r="BO1381" s="111"/>
      <c r="BP1381" s="111"/>
      <c r="BQ1381" s="111"/>
      <c r="BR1381" s="111"/>
      <c r="BS1381" s="111"/>
      <c r="DR1381" s="29"/>
      <c r="DS1381" s="29"/>
      <c r="DT1381" s="29"/>
      <c r="DU1381" s="29"/>
      <c r="DV1381" s="29"/>
      <c r="DW1381" s="29"/>
      <c r="DX1381" s="29"/>
      <c r="DY1381" s="29"/>
      <c r="DZ1381" s="29"/>
      <c r="EA1381" s="29"/>
      <c r="EB1381" s="29"/>
      <c r="EC1381" s="29"/>
      <c r="ED1381" s="29"/>
      <c r="EE1381" s="29"/>
      <c r="EF1381" s="111"/>
      <c r="EG1381" s="111"/>
      <c r="EH1381" s="111"/>
      <c r="EI1381" s="111"/>
      <c r="EJ1381" s="111"/>
      <c r="EK1381" s="111"/>
      <c r="EL1381" s="111"/>
      <c r="EM1381" s="111"/>
      <c r="EN1381" s="111"/>
      <c r="EO1381" s="111"/>
      <c r="EP1381" s="111"/>
      <c r="EQ1381" s="111"/>
      <c r="ER1381" s="111"/>
      <c r="ES1381" s="111"/>
    </row>
    <row r="1382" spans="44:149">
      <c r="AR1382" s="29"/>
      <c r="AS1382" s="29"/>
      <c r="AT1382" s="29"/>
      <c r="AU1382" s="29"/>
      <c r="AV1382" s="29"/>
      <c r="AW1382" s="29"/>
      <c r="AX1382" s="29"/>
      <c r="AY1382" s="29"/>
      <c r="AZ1382" s="29"/>
      <c r="BA1382" s="29"/>
      <c r="BB1382" s="29"/>
      <c r="BC1382" s="29"/>
      <c r="BD1382" s="29"/>
      <c r="BE1382" s="29"/>
      <c r="BF1382" s="111"/>
      <c r="BG1382" s="111"/>
      <c r="BH1382" s="111"/>
      <c r="BI1382" s="111"/>
      <c r="BJ1382" s="111"/>
      <c r="BK1382" s="111"/>
      <c r="BL1382" s="111"/>
      <c r="BM1382" s="111"/>
      <c r="BN1382" s="111"/>
      <c r="BO1382" s="111"/>
      <c r="BP1382" s="111"/>
      <c r="BQ1382" s="111"/>
      <c r="BR1382" s="111"/>
      <c r="BS1382" s="111"/>
      <c r="DR1382" s="29"/>
      <c r="DS1382" s="29"/>
      <c r="DT1382" s="29"/>
      <c r="DU1382" s="29"/>
      <c r="DV1382" s="29"/>
      <c r="DW1382" s="29"/>
      <c r="DX1382" s="29"/>
      <c r="DY1382" s="29"/>
      <c r="DZ1382" s="29"/>
      <c r="EA1382" s="29"/>
      <c r="EB1382" s="29"/>
      <c r="EC1382" s="29"/>
      <c r="ED1382" s="29"/>
      <c r="EE1382" s="29"/>
      <c r="EF1382" s="111"/>
      <c r="EG1382" s="111"/>
      <c r="EH1382" s="111"/>
      <c r="EI1382" s="111"/>
      <c r="EJ1382" s="111"/>
      <c r="EK1382" s="111"/>
      <c r="EL1382" s="111"/>
      <c r="EM1382" s="111"/>
      <c r="EN1382" s="111"/>
      <c r="EO1382" s="111"/>
      <c r="EP1382" s="111"/>
      <c r="EQ1382" s="111"/>
      <c r="ER1382" s="111"/>
      <c r="ES1382" s="111"/>
    </row>
    <row r="1383" spans="44:149">
      <c r="AR1383" s="29"/>
      <c r="AS1383" s="29"/>
      <c r="AT1383" s="29"/>
      <c r="AU1383" s="29"/>
      <c r="AV1383" s="29"/>
      <c r="AW1383" s="29"/>
      <c r="AX1383" s="29"/>
      <c r="AY1383" s="29"/>
      <c r="AZ1383" s="29"/>
      <c r="BA1383" s="29"/>
      <c r="BB1383" s="29"/>
      <c r="BC1383" s="29"/>
      <c r="BD1383" s="29"/>
      <c r="BE1383" s="29"/>
      <c r="BF1383" s="111"/>
      <c r="BG1383" s="111"/>
      <c r="BH1383" s="111"/>
      <c r="BI1383" s="111"/>
      <c r="BJ1383" s="111"/>
      <c r="BK1383" s="111"/>
      <c r="BL1383" s="111"/>
      <c r="BM1383" s="111"/>
      <c r="BN1383" s="111"/>
      <c r="BO1383" s="111"/>
      <c r="BP1383" s="111"/>
      <c r="BQ1383" s="111"/>
      <c r="BR1383" s="111"/>
      <c r="BS1383" s="111"/>
      <c r="DR1383" s="29"/>
      <c r="DS1383" s="29"/>
      <c r="DT1383" s="29"/>
      <c r="DU1383" s="29"/>
      <c r="DV1383" s="29"/>
      <c r="DW1383" s="29"/>
      <c r="DX1383" s="29"/>
      <c r="DY1383" s="29"/>
      <c r="DZ1383" s="29"/>
      <c r="EA1383" s="29"/>
      <c r="EB1383" s="29"/>
      <c r="EC1383" s="29"/>
      <c r="ED1383" s="29"/>
      <c r="EE1383" s="29"/>
      <c r="EF1383" s="111"/>
      <c r="EG1383" s="111"/>
      <c r="EH1383" s="111"/>
      <c r="EI1383" s="111"/>
      <c r="EJ1383" s="111"/>
      <c r="EK1383" s="111"/>
      <c r="EL1383" s="111"/>
      <c r="EM1383" s="111"/>
      <c r="EN1383" s="111"/>
      <c r="EO1383" s="111"/>
      <c r="EP1383" s="111"/>
      <c r="EQ1383" s="111"/>
      <c r="ER1383" s="111"/>
      <c r="ES1383" s="111"/>
    </row>
    <row r="1384" spans="44:149">
      <c r="AR1384" s="29"/>
      <c r="AS1384" s="29"/>
      <c r="AT1384" s="29"/>
      <c r="AU1384" s="29"/>
      <c r="AV1384" s="29"/>
      <c r="AW1384" s="29"/>
      <c r="AX1384" s="29"/>
      <c r="AY1384" s="29"/>
      <c r="AZ1384" s="29"/>
      <c r="BA1384" s="29"/>
      <c r="BB1384" s="29"/>
      <c r="BC1384" s="29"/>
      <c r="BD1384" s="29"/>
      <c r="BE1384" s="29"/>
      <c r="BF1384" s="111"/>
      <c r="BG1384" s="111"/>
      <c r="BH1384" s="111"/>
      <c r="BI1384" s="111"/>
      <c r="BJ1384" s="111"/>
      <c r="BK1384" s="111"/>
      <c r="BL1384" s="111"/>
      <c r="BM1384" s="111"/>
      <c r="BN1384" s="111"/>
      <c r="BO1384" s="111"/>
      <c r="BP1384" s="111"/>
      <c r="BQ1384" s="111"/>
      <c r="BR1384" s="111"/>
      <c r="BS1384" s="111"/>
      <c r="DR1384" s="29"/>
      <c r="DS1384" s="29"/>
      <c r="DT1384" s="29"/>
      <c r="DU1384" s="29"/>
      <c r="DV1384" s="29"/>
      <c r="DW1384" s="29"/>
      <c r="DX1384" s="29"/>
      <c r="DY1384" s="29"/>
      <c r="DZ1384" s="29"/>
      <c r="EA1384" s="29"/>
      <c r="EB1384" s="29"/>
      <c r="EC1384" s="29"/>
      <c r="ED1384" s="29"/>
      <c r="EE1384" s="29"/>
      <c r="EF1384" s="111"/>
      <c r="EG1384" s="111"/>
      <c r="EH1384" s="111"/>
      <c r="EI1384" s="111"/>
      <c r="EJ1384" s="111"/>
      <c r="EK1384" s="111"/>
      <c r="EL1384" s="111"/>
      <c r="EM1384" s="111"/>
      <c r="EN1384" s="111"/>
      <c r="EO1384" s="111"/>
      <c r="EP1384" s="111"/>
      <c r="EQ1384" s="111"/>
      <c r="ER1384" s="111"/>
      <c r="ES1384" s="111"/>
    </row>
    <row r="1385" spans="44:149">
      <c r="AR1385" s="29"/>
      <c r="AS1385" s="29"/>
      <c r="AT1385" s="29"/>
      <c r="AU1385" s="29"/>
      <c r="AV1385" s="29"/>
      <c r="AW1385" s="29"/>
      <c r="AX1385" s="29"/>
      <c r="AY1385" s="29"/>
      <c r="AZ1385" s="29"/>
      <c r="BA1385" s="29"/>
      <c r="BB1385" s="29"/>
      <c r="BC1385" s="29"/>
      <c r="BD1385" s="29"/>
      <c r="BE1385" s="29"/>
      <c r="BF1385" s="111"/>
      <c r="BG1385" s="111"/>
      <c r="BH1385" s="111"/>
      <c r="BI1385" s="111"/>
      <c r="BJ1385" s="111"/>
      <c r="BK1385" s="111"/>
      <c r="BL1385" s="111"/>
      <c r="BM1385" s="111"/>
      <c r="BN1385" s="111"/>
      <c r="BO1385" s="111"/>
      <c r="BP1385" s="111"/>
      <c r="BQ1385" s="111"/>
      <c r="BR1385" s="111"/>
      <c r="BS1385" s="111"/>
      <c r="DR1385" s="29"/>
      <c r="DS1385" s="29"/>
      <c r="DT1385" s="29"/>
      <c r="DU1385" s="29"/>
      <c r="DV1385" s="29"/>
      <c r="DW1385" s="29"/>
      <c r="DX1385" s="29"/>
      <c r="DY1385" s="29"/>
      <c r="DZ1385" s="29"/>
      <c r="EA1385" s="29"/>
      <c r="EB1385" s="29"/>
      <c r="EC1385" s="29"/>
      <c r="ED1385" s="29"/>
      <c r="EE1385" s="29"/>
      <c r="EF1385" s="111"/>
      <c r="EG1385" s="111"/>
      <c r="EH1385" s="111"/>
      <c r="EI1385" s="111"/>
      <c r="EJ1385" s="111"/>
      <c r="EK1385" s="111"/>
      <c r="EL1385" s="111"/>
      <c r="EM1385" s="111"/>
      <c r="EN1385" s="111"/>
      <c r="EO1385" s="111"/>
      <c r="EP1385" s="111"/>
      <c r="EQ1385" s="111"/>
      <c r="ER1385" s="111"/>
      <c r="ES1385" s="111"/>
    </row>
    <row r="1386" spans="44:149">
      <c r="AR1386" s="29"/>
      <c r="AS1386" s="29"/>
      <c r="AT1386" s="29"/>
      <c r="AU1386" s="29"/>
      <c r="AV1386" s="29"/>
      <c r="AW1386" s="29"/>
      <c r="AX1386" s="29"/>
      <c r="AY1386" s="29"/>
      <c r="AZ1386" s="29"/>
      <c r="BA1386" s="29"/>
      <c r="BB1386" s="29"/>
      <c r="BC1386" s="29"/>
      <c r="BD1386" s="29"/>
      <c r="BE1386" s="29"/>
      <c r="BF1386" s="111"/>
      <c r="BG1386" s="111"/>
      <c r="BH1386" s="111"/>
      <c r="BI1386" s="111"/>
      <c r="BJ1386" s="111"/>
      <c r="BK1386" s="111"/>
      <c r="BL1386" s="111"/>
      <c r="BM1386" s="111"/>
      <c r="BN1386" s="111"/>
      <c r="BO1386" s="111"/>
      <c r="BP1386" s="111"/>
      <c r="BQ1386" s="111"/>
      <c r="BR1386" s="111"/>
      <c r="BS1386" s="111"/>
      <c r="DR1386" s="29"/>
      <c r="DS1386" s="29"/>
      <c r="DT1386" s="29"/>
      <c r="DU1386" s="29"/>
      <c r="DV1386" s="29"/>
      <c r="DW1386" s="29"/>
      <c r="DX1386" s="29"/>
      <c r="DY1386" s="29"/>
      <c r="DZ1386" s="29"/>
      <c r="EA1386" s="29"/>
      <c r="EB1386" s="29"/>
      <c r="EC1386" s="29"/>
      <c r="ED1386" s="29"/>
      <c r="EE1386" s="29"/>
      <c r="EF1386" s="111"/>
      <c r="EG1386" s="111"/>
      <c r="EH1386" s="111"/>
      <c r="EI1386" s="111"/>
      <c r="EJ1386" s="111"/>
      <c r="EK1386" s="111"/>
      <c r="EL1386" s="111"/>
      <c r="EM1386" s="111"/>
      <c r="EN1386" s="111"/>
      <c r="EO1386" s="111"/>
      <c r="EP1386" s="111"/>
      <c r="EQ1386" s="111"/>
      <c r="ER1386" s="111"/>
      <c r="ES1386" s="111"/>
    </row>
    <row r="1387" spans="44:149">
      <c r="AR1387" s="29"/>
      <c r="AS1387" s="29"/>
      <c r="AT1387" s="29"/>
      <c r="AU1387" s="29"/>
      <c r="AV1387" s="29"/>
      <c r="AW1387" s="29"/>
      <c r="AX1387" s="29"/>
      <c r="AY1387" s="29"/>
      <c r="AZ1387" s="29"/>
      <c r="BA1387" s="29"/>
      <c r="BB1387" s="29"/>
      <c r="BC1387" s="29"/>
      <c r="BD1387" s="29"/>
      <c r="BE1387" s="29"/>
      <c r="BF1387" s="111"/>
      <c r="BG1387" s="111"/>
      <c r="BH1387" s="111"/>
      <c r="BI1387" s="111"/>
      <c r="BJ1387" s="111"/>
      <c r="BK1387" s="111"/>
      <c r="BL1387" s="111"/>
      <c r="BM1387" s="111"/>
      <c r="BN1387" s="111"/>
      <c r="BO1387" s="111"/>
      <c r="BP1387" s="111"/>
      <c r="BQ1387" s="111"/>
      <c r="BR1387" s="111"/>
      <c r="BS1387" s="111"/>
      <c r="DR1387" s="29"/>
      <c r="DS1387" s="29"/>
      <c r="DT1387" s="29"/>
      <c r="DU1387" s="29"/>
      <c r="DV1387" s="29"/>
      <c r="DW1387" s="29"/>
      <c r="DX1387" s="29"/>
      <c r="DY1387" s="29"/>
      <c r="DZ1387" s="29"/>
      <c r="EA1387" s="29"/>
      <c r="EB1387" s="29"/>
      <c r="EC1387" s="29"/>
      <c r="ED1387" s="29"/>
      <c r="EE1387" s="29"/>
      <c r="EF1387" s="111"/>
      <c r="EG1387" s="111"/>
      <c r="EH1387" s="111"/>
      <c r="EI1387" s="111"/>
      <c r="EJ1387" s="111"/>
      <c r="EK1387" s="111"/>
      <c r="EL1387" s="111"/>
      <c r="EM1387" s="111"/>
      <c r="EN1387" s="111"/>
      <c r="EO1387" s="111"/>
      <c r="EP1387" s="111"/>
      <c r="EQ1387" s="111"/>
      <c r="ER1387" s="111"/>
      <c r="ES1387" s="111"/>
    </row>
    <row r="1388" spans="44:149">
      <c r="AR1388" s="29"/>
      <c r="AS1388" s="29"/>
      <c r="AT1388" s="29"/>
      <c r="AU1388" s="29"/>
      <c r="AV1388" s="29"/>
      <c r="AW1388" s="29"/>
      <c r="AX1388" s="29"/>
      <c r="AY1388" s="29"/>
      <c r="AZ1388" s="29"/>
      <c r="BA1388" s="29"/>
      <c r="BB1388" s="29"/>
      <c r="BC1388" s="29"/>
      <c r="BD1388" s="29"/>
      <c r="BE1388" s="29"/>
      <c r="BF1388" s="111"/>
      <c r="BG1388" s="111"/>
      <c r="BH1388" s="111"/>
      <c r="BI1388" s="111"/>
      <c r="BJ1388" s="111"/>
      <c r="BK1388" s="111"/>
      <c r="BL1388" s="111"/>
      <c r="BM1388" s="111"/>
      <c r="BN1388" s="111"/>
      <c r="BO1388" s="111"/>
      <c r="BP1388" s="111"/>
      <c r="BQ1388" s="111"/>
      <c r="BR1388" s="111"/>
      <c r="BS1388" s="111"/>
      <c r="DR1388" s="29"/>
      <c r="DS1388" s="29"/>
      <c r="DT1388" s="29"/>
      <c r="DU1388" s="29"/>
      <c r="DV1388" s="29"/>
      <c r="DW1388" s="29"/>
      <c r="DX1388" s="29"/>
      <c r="DY1388" s="29"/>
      <c r="DZ1388" s="29"/>
      <c r="EA1388" s="29"/>
      <c r="EB1388" s="29"/>
      <c r="EC1388" s="29"/>
      <c r="ED1388" s="29"/>
      <c r="EE1388" s="29"/>
      <c r="EF1388" s="111"/>
      <c r="EG1388" s="111"/>
      <c r="EH1388" s="111"/>
      <c r="EI1388" s="111"/>
      <c r="EJ1388" s="111"/>
      <c r="EK1388" s="111"/>
      <c r="EL1388" s="111"/>
      <c r="EM1388" s="111"/>
      <c r="EN1388" s="111"/>
      <c r="EO1388" s="111"/>
      <c r="EP1388" s="111"/>
      <c r="EQ1388" s="111"/>
      <c r="ER1388" s="111"/>
      <c r="ES1388" s="111"/>
    </row>
    <row r="1389" spans="44:149">
      <c r="AR1389" s="29"/>
      <c r="AS1389" s="29"/>
      <c r="AT1389" s="29"/>
      <c r="AU1389" s="29"/>
      <c r="AV1389" s="29"/>
      <c r="AW1389" s="29"/>
      <c r="AX1389" s="29"/>
      <c r="AY1389" s="29"/>
      <c r="AZ1389" s="29"/>
      <c r="BA1389" s="29"/>
      <c r="BB1389" s="29"/>
      <c r="BC1389" s="29"/>
      <c r="BD1389" s="29"/>
      <c r="BE1389" s="29"/>
      <c r="BF1389" s="111"/>
      <c r="BG1389" s="111"/>
      <c r="BH1389" s="111"/>
      <c r="BI1389" s="111"/>
      <c r="BJ1389" s="111"/>
      <c r="BK1389" s="111"/>
      <c r="BL1389" s="111"/>
      <c r="BM1389" s="111"/>
      <c r="BN1389" s="111"/>
      <c r="BO1389" s="111"/>
      <c r="BP1389" s="111"/>
      <c r="BQ1389" s="111"/>
      <c r="BR1389" s="111"/>
      <c r="BS1389" s="111"/>
      <c r="DR1389" s="29"/>
      <c r="DS1389" s="29"/>
      <c r="DT1389" s="29"/>
      <c r="DU1389" s="29"/>
      <c r="DV1389" s="29"/>
      <c r="DW1389" s="29"/>
      <c r="DX1389" s="29"/>
      <c r="DY1389" s="29"/>
      <c r="DZ1389" s="29"/>
      <c r="EA1389" s="29"/>
      <c r="EB1389" s="29"/>
      <c r="EC1389" s="29"/>
      <c r="ED1389" s="29"/>
      <c r="EE1389" s="29"/>
      <c r="EF1389" s="111"/>
      <c r="EG1389" s="111"/>
      <c r="EH1389" s="111"/>
      <c r="EI1389" s="111"/>
      <c r="EJ1389" s="111"/>
      <c r="EK1389" s="111"/>
      <c r="EL1389" s="111"/>
      <c r="EM1389" s="111"/>
      <c r="EN1389" s="111"/>
      <c r="EO1389" s="111"/>
      <c r="EP1389" s="111"/>
      <c r="EQ1389" s="111"/>
      <c r="ER1389" s="111"/>
      <c r="ES1389" s="111"/>
    </row>
    <row r="1390" spans="44:149">
      <c r="AR1390" s="29"/>
      <c r="AS1390" s="29"/>
      <c r="AT1390" s="29"/>
      <c r="AU1390" s="29"/>
      <c r="AV1390" s="29"/>
      <c r="AW1390" s="29"/>
      <c r="AX1390" s="29"/>
      <c r="AY1390" s="29"/>
      <c r="AZ1390" s="29"/>
      <c r="BA1390" s="29"/>
      <c r="BB1390" s="29"/>
      <c r="BC1390" s="29"/>
      <c r="BD1390" s="29"/>
      <c r="BE1390" s="29"/>
      <c r="BF1390" s="111"/>
      <c r="BG1390" s="111"/>
      <c r="BH1390" s="111"/>
      <c r="BI1390" s="111"/>
      <c r="BJ1390" s="111"/>
      <c r="BK1390" s="111"/>
      <c r="BL1390" s="111"/>
      <c r="BM1390" s="111"/>
      <c r="BN1390" s="111"/>
      <c r="BO1390" s="111"/>
      <c r="BP1390" s="111"/>
      <c r="BQ1390" s="111"/>
      <c r="BR1390" s="111"/>
      <c r="BS1390" s="111"/>
      <c r="DR1390" s="29"/>
      <c r="DS1390" s="29"/>
      <c r="DT1390" s="29"/>
      <c r="DU1390" s="29"/>
      <c r="DV1390" s="29"/>
      <c r="DW1390" s="29"/>
      <c r="DX1390" s="29"/>
      <c r="DY1390" s="29"/>
      <c r="DZ1390" s="29"/>
      <c r="EA1390" s="29"/>
      <c r="EB1390" s="29"/>
      <c r="EC1390" s="29"/>
      <c r="ED1390" s="29"/>
      <c r="EE1390" s="29"/>
      <c r="EF1390" s="111"/>
      <c r="EG1390" s="111"/>
      <c r="EH1390" s="111"/>
      <c r="EI1390" s="111"/>
      <c r="EJ1390" s="111"/>
      <c r="EK1390" s="111"/>
      <c r="EL1390" s="111"/>
      <c r="EM1390" s="111"/>
      <c r="EN1390" s="111"/>
      <c r="EO1390" s="111"/>
      <c r="EP1390" s="111"/>
      <c r="EQ1390" s="111"/>
      <c r="ER1390" s="111"/>
      <c r="ES1390" s="111"/>
    </row>
    <row r="1391" spans="44:149">
      <c r="AR1391" s="29"/>
      <c r="AS1391" s="29"/>
      <c r="AT1391" s="29"/>
      <c r="AU1391" s="29"/>
      <c r="AV1391" s="29"/>
      <c r="AW1391" s="29"/>
      <c r="AX1391" s="29"/>
      <c r="AY1391" s="29"/>
      <c r="AZ1391" s="29"/>
      <c r="BA1391" s="29"/>
      <c r="BB1391" s="29"/>
      <c r="BC1391" s="29"/>
      <c r="BD1391" s="29"/>
      <c r="BE1391" s="29"/>
      <c r="BF1391" s="111"/>
      <c r="BG1391" s="111"/>
      <c r="BH1391" s="111"/>
      <c r="BI1391" s="111"/>
      <c r="BJ1391" s="111"/>
      <c r="BK1391" s="111"/>
      <c r="BL1391" s="111"/>
      <c r="BM1391" s="111"/>
      <c r="BN1391" s="111"/>
      <c r="BO1391" s="111"/>
      <c r="BP1391" s="111"/>
      <c r="BQ1391" s="111"/>
      <c r="BR1391" s="111"/>
      <c r="BS1391" s="111"/>
      <c r="DR1391" s="29"/>
      <c r="DS1391" s="29"/>
      <c r="DT1391" s="29"/>
      <c r="DU1391" s="29"/>
      <c r="DV1391" s="29"/>
      <c r="DW1391" s="29"/>
      <c r="DX1391" s="29"/>
      <c r="DY1391" s="29"/>
      <c r="DZ1391" s="29"/>
      <c r="EA1391" s="29"/>
      <c r="EB1391" s="29"/>
      <c r="EC1391" s="29"/>
      <c r="ED1391" s="29"/>
      <c r="EE1391" s="29"/>
      <c r="EF1391" s="111"/>
      <c r="EG1391" s="111"/>
      <c r="EH1391" s="111"/>
      <c r="EI1391" s="111"/>
      <c r="EJ1391" s="111"/>
      <c r="EK1391" s="111"/>
      <c r="EL1391" s="111"/>
      <c r="EM1391" s="111"/>
      <c r="EN1391" s="111"/>
      <c r="EO1391" s="111"/>
      <c r="EP1391" s="111"/>
      <c r="EQ1391" s="111"/>
      <c r="ER1391" s="111"/>
      <c r="ES1391" s="111"/>
    </row>
    <row r="1392" spans="44:149">
      <c r="AR1392" s="29"/>
      <c r="AS1392" s="29"/>
      <c r="AT1392" s="29"/>
      <c r="AU1392" s="29"/>
      <c r="AV1392" s="29"/>
      <c r="AW1392" s="29"/>
      <c r="AX1392" s="29"/>
      <c r="AY1392" s="29"/>
      <c r="AZ1392" s="29"/>
      <c r="BA1392" s="29"/>
      <c r="BB1392" s="29"/>
      <c r="BC1392" s="29"/>
      <c r="BD1392" s="29"/>
      <c r="BE1392" s="29"/>
      <c r="BF1392" s="111"/>
      <c r="BG1392" s="111"/>
      <c r="BH1392" s="111"/>
      <c r="BI1392" s="111"/>
      <c r="BJ1392" s="111"/>
      <c r="BK1392" s="111"/>
      <c r="BL1392" s="111"/>
      <c r="BM1392" s="111"/>
      <c r="BN1392" s="111"/>
      <c r="BO1392" s="111"/>
      <c r="BP1392" s="111"/>
      <c r="BQ1392" s="111"/>
      <c r="BR1392" s="111"/>
      <c r="BS1392" s="111"/>
      <c r="DR1392" s="29"/>
      <c r="DS1392" s="29"/>
      <c r="DT1392" s="29"/>
      <c r="DU1392" s="29"/>
      <c r="DV1392" s="29"/>
      <c r="DW1392" s="29"/>
      <c r="DX1392" s="29"/>
      <c r="DY1392" s="29"/>
      <c r="DZ1392" s="29"/>
      <c r="EA1392" s="29"/>
      <c r="EB1392" s="29"/>
      <c r="EC1392" s="29"/>
      <c r="ED1392" s="29"/>
      <c r="EE1392" s="29"/>
      <c r="EF1392" s="111"/>
      <c r="EG1392" s="111"/>
      <c r="EH1392" s="111"/>
      <c r="EI1392" s="111"/>
      <c r="EJ1392" s="111"/>
      <c r="EK1392" s="111"/>
      <c r="EL1392" s="111"/>
      <c r="EM1392" s="111"/>
      <c r="EN1392" s="111"/>
      <c r="EO1392" s="111"/>
      <c r="EP1392" s="111"/>
      <c r="EQ1392" s="111"/>
      <c r="ER1392" s="111"/>
      <c r="ES1392" s="111"/>
    </row>
    <row r="1393" spans="44:149">
      <c r="AR1393" s="29"/>
      <c r="AS1393" s="29"/>
      <c r="AT1393" s="29"/>
      <c r="AU1393" s="29"/>
      <c r="AV1393" s="29"/>
      <c r="AW1393" s="29"/>
      <c r="AX1393" s="29"/>
      <c r="AY1393" s="29"/>
      <c r="AZ1393" s="29"/>
      <c r="BA1393" s="29"/>
      <c r="BB1393" s="29"/>
      <c r="BC1393" s="29"/>
      <c r="BD1393" s="29"/>
      <c r="BE1393" s="29"/>
      <c r="BF1393" s="111"/>
      <c r="BG1393" s="111"/>
      <c r="BH1393" s="111"/>
      <c r="BI1393" s="111"/>
      <c r="BJ1393" s="111"/>
      <c r="BK1393" s="111"/>
      <c r="BL1393" s="111"/>
      <c r="BM1393" s="111"/>
      <c r="BN1393" s="111"/>
      <c r="BO1393" s="111"/>
      <c r="BP1393" s="111"/>
      <c r="BQ1393" s="111"/>
      <c r="BR1393" s="111"/>
      <c r="BS1393" s="111"/>
      <c r="DR1393" s="29"/>
      <c r="DS1393" s="29"/>
      <c r="DT1393" s="29"/>
      <c r="DU1393" s="29"/>
      <c r="DV1393" s="29"/>
      <c r="DW1393" s="29"/>
      <c r="DX1393" s="29"/>
      <c r="DY1393" s="29"/>
      <c r="DZ1393" s="29"/>
      <c r="EA1393" s="29"/>
      <c r="EB1393" s="29"/>
      <c r="EC1393" s="29"/>
      <c r="ED1393" s="29"/>
      <c r="EE1393" s="29"/>
      <c r="EF1393" s="111"/>
      <c r="EG1393" s="111"/>
      <c r="EH1393" s="111"/>
      <c r="EI1393" s="111"/>
      <c r="EJ1393" s="111"/>
      <c r="EK1393" s="111"/>
      <c r="EL1393" s="111"/>
      <c r="EM1393" s="111"/>
      <c r="EN1393" s="111"/>
      <c r="EO1393" s="111"/>
      <c r="EP1393" s="111"/>
      <c r="EQ1393" s="111"/>
      <c r="ER1393" s="111"/>
      <c r="ES1393" s="111"/>
    </row>
    <row r="1394" spans="44:149">
      <c r="AR1394" s="29"/>
      <c r="AS1394" s="29"/>
      <c r="AT1394" s="29"/>
      <c r="AU1394" s="29"/>
      <c r="AV1394" s="29"/>
      <c r="AW1394" s="29"/>
      <c r="AX1394" s="29"/>
      <c r="AY1394" s="29"/>
      <c r="AZ1394" s="29"/>
      <c r="BA1394" s="29"/>
      <c r="BB1394" s="29"/>
      <c r="BC1394" s="29"/>
      <c r="BD1394" s="29"/>
      <c r="BE1394" s="29"/>
      <c r="BF1394" s="111"/>
      <c r="BG1394" s="111"/>
      <c r="BH1394" s="111"/>
      <c r="BI1394" s="111"/>
      <c r="BJ1394" s="111"/>
      <c r="BK1394" s="111"/>
      <c r="BL1394" s="111"/>
      <c r="BM1394" s="111"/>
      <c r="BN1394" s="111"/>
      <c r="BO1394" s="111"/>
      <c r="BP1394" s="111"/>
      <c r="BQ1394" s="111"/>
      <c r="BR1394" s="111"/>
      <c r="BS1394" s="111"/>
      <c r="DR1394" s="29"/>
      <c r="DS1394" s="29"/>
      <c r="DT1394" s="29"/>
      <c r="DU1394" s="29"/>
      <c r="DV1394" s="29"/>
      <c r="DW1394" s="29"/>
      <c r="DX1394" s="29"/>
      <c r="DY1394" s="29"/>
      <c r="DZ1394" s="29"/>
      <c r="EA1394" s="29"/>
      <c r="EB1394" s="29"/>
      <c r="EC1394" s="29"/>
      <c r="ED1394" s="29"/>
      <c r="EE1394" s="29"/>
      <c r="EF1394" s="111"/>
      <c r="EG1394" s="111"/>
      <c r="EH1394" s="111"/>
      <c r="EI1394" s="111"/>
      <c r="EJ1394" s="111"/>
      <c r="EK1394" s="111"/>
      <c r="EL1394" s="111"/>
      <c r="EM1394" s="111"/>
      <c r="EN1394" s="111"/>
      <c r="EO1394" s="111"/>
      <c r="EP1394" s="111"/>
      <c r="EQ1394" s="111"/>
      <c r="ER1394" s="111"/>
      <c r="ES1394" s="111"/>
    </row>
    <row r="1395" spans="44:149">
      <c r="AR1395" s="29"/>
      <c r="AS1395" s="29"/>
      <c r="AT1395" s="29"/>
      <c r="AU1395" s="29"/>
      <c r="AV1395" s="29"/>
      <c r="AW1395" s="29"/>
      <c r="AX1395" s="29"/>
      <c r="AY1395" s="29"/>
      <c r="AZ1395" s="29"/>
      <c r="BA1395" s="29"/>
      <c r="BB1395" s="29"/>
      <c r="BC1395" s="29"/>
      <c r="BD1395" s="29"/>
      <c r="BE1395" s="29"/>
      <c r="BF1395" s="111"/>
      <c r="BG1395" s="111"/>
      <c r="BH1395" s="111"/>
      <c r="BI1395" s="111"/>
      <c r="BJ1395" s="111"/>
      <c r="BK1395" s="111"/>
      <c r="BL1395" s="111"/>
      <c r="BM1395" s="111"/>
      <c r="BN1395" s="111"/>
      <c r="BO1395" s="111"/>
      <c r="BP1395" s="111"/>
      <c r="BQ1395" s="111"/>
      <c r="BR1395" s="111"/>
      <c r="BS1395" s="111"/>
      <c r="DR1395" s="29"/>
      <c r="DS1395" s="29"/>
      <c r="DT1395" s="29"/>
      <c r="DU1395" s="29"/>
      <c r="DV1395" s="29"/>
      <c r="DW1395" s="29"/>
      <c r="DX1395" s="29"/>
      <c r="DY1395" s="29"/>
      <c r="DZ1395" s="29"/>
      <c r="EA1395" s="29"/>
      <c r="EB1395" s="29"/>
      <c r="EC1395" s="29"/>
      <c r="ED1395" s="29"/>
      <c r="EE1395" s="29"/>
      <c r="EF1395" s="111"/>
      <c r="EG1395" s="111"/>
      <c r="EH1395" s="111"/>
      <c r="EI1395" s="111"/>
      <c r="EJ1395" s="111"/>
      <c r="EK1395" s="111"/>
      <c r="EL1395" s="111"/>
      <c r="EM1395" s="111"/>
      <c r="EN1395" s="111"/>
      <c r="EO1395" s="111"/>
      <c r="EP1395" s="111"/>
      <c r="EQ1395" s="111"/>
      <c r="ER1395" s="111"/>
      <c r="ES1395" s="111"/>
    </row>
    <row r="1396" spans="44:149">
      <c r="AR1396" s="29"/>
      <c r="AS1396" s="29"/>
      <c r="AT1396" s="29"/>
      <c r="AU1396" s="29"/>
      <c r="AV1396" s="29"/>
      <c r="AW1396" s="29"/>
      <c r="AX1396" s="29"/>
      <c r="AY1396" s="29"/>
      <c r="AZ1396" s="29"/>
      <c r="BA1396" s="29"/>
      <c r="BB1396" s="29"/>
      <c r="BC1396" s="29"/>
      <c r="BD1396" s="29"/>
      <c r="BE1396" s="29"/>
      <c r="BF1396" s="111"/>
      <c r="BG1396" s="111"/>
      <c r="BH1396" s="111"/>
      <c r="BI1396" s="111"/>
      <c r="BJ1396" s="111"/>
      <c r="BK1396" s="111"/>
      <c r="BL1396" s="111"/>
      <c r="BM1396" s="111"/>
      <c r="BN1396" s="111"/>
      <c r="BO1396" s="111"/>
      <c r="BP1396" s="111"/>
      <c r="BQ1396" s="111"/>
      <c r="BR1396" s="111"/>
      <c r="BS1396" s="111"/>
      <c r="DR1396" s="29"/>
      <c r="DS1396" s="29"/>
      <c r="DT1396" s="29"/>
      <c r="DU1396" s="29"/>
      <c r="DV1396" s="29"/>
      <c r="DW1396" s="29"/>
      <c r="DX1396" s="29"/>
      <c r="DY1396" s="29"/>
      <c r="DZ1396" s="29"/>
      <c r="EA1396" s="29"/>
      <c r="EB1396" s="29"/>
      <c r="EC1396" s="29"/>
      <c r="ED1396" s="29"/>
      <c r="EE1396" s="29"/>
      <c r="EF1396" s="111"/>
      <c r="EG1396" s="111"/>
      <c r="EH1396" s="111"/>
      <c r="EI1396" s="111"/>
      <c r="EJ1396" s="111"/>
      <c r="EK1396" s="111"/>
      <c r="EL1396" s="111"/>
      <c r="EM1396" s="111"/>
      <c r="EN1396" s="111"/>
      <c r="EO1396" s="111"/>
      <c r="EP1396" s="111"/>
      <c r="EQ1396" s="111"/>
      <c r="ER1396" s="111"/>
      <c r="ES1396" s="111"/>
    </row>
    <row r="1397" spans="44:149">
      <c r="AR1397" s="29"/>
      <c r="AS1397" s="29"/>
      <c r="AT1397" s="29"/>
      <c r="AU1397" s="29"/>
      <c r="AV1397" s="29"/>
      <c r="AW1397" s="29"/>
      <c r="AX1397" s="29"/>
      <c r="AY1397" s="29"/>
      <c r="AZ1397" s="29"/>
      <c r="BA1397" s="29"/>
      <c r="BB1397" s="29"/>
      <c r="BC1397" s="29"/>
      <c r="BD1397" s="29"/>
      <c r="BE1397" s="29"/>
      <c r="BF1397" s="111"/>
      <c r="BG1397" s="111"/>
      <c r="BH1397" s="111"/>
      <c r="BI1397" s="111"/>
      <c r="BJ1397" s="111"/>
      <c r="BK1397" s="111"/>
      <c r="BL1397" s="111"/>
      <c r="BM1397" s="111"/>
      <c r="BN1397" s="111"/>
      <c r="BO1397" s="111"/>
      <c r="BP1397" s="111"/>
      <c r="BQ1397" s="111"/>
      <c r="BR1397" s="111"/>
      <c r="BS1397" s="111"/>
      <c r="DR1397" s="29"/>
      <c r="DS1397" s="29"/>
      <c r="DT1397" s="29"/>
      <c r="DU1397" s="29"/>
      <c r="DV1397" s="29"/>
      <c r="DW1397" s="29"/>
      <c r="DX1397" s="29"/>
      <c r="DY1397" s="29"/>
      <c r="DZ1397" s="29"/>
      <c r="EA1397" s="29"/>
      <c r="EB1397" s="29"/>
      <c r="EC1397" s="29"/>
      <c r="ED1397" s="29"/>
      <c r="EE1397" s="29"/>
      <c r="EF1397" s="111"/>
      <c r="EG1397" s="111"/>
      <c r="EH1397" s="111"/>
      <c r="EI1397" s="111"/>
      <c r="EJ1397" s="111"/>
      <c r="EK1397" s="111"/>
      <c r="EL1397" s="111"/>
      <c r="EM1397" s="111"/>
      <c r="EN1397" s="111"/>
      <c r="EO1397" s="111"/>
      <c r="EP1397" s="111"/>
      <c r="EQ1397" s="111"/>
      <c r="ER1397" s="111"/>
      <c r="ES1397" s="111"/>
    </row>
    <row r="1398" spans="44:149">
      <c r="AR1398" s="29"/>
      <c r="AS1398" s="29"/>
      <c r="AT1398" s="29"/>
      <c r="AU1398" s="29"/>
      <c r="AV1398" s="29"/>
      <c r="AW1398" s="29"/>
      <c r="AX1398" s="29"/>
      <c r="AY1398" s="29"/>
      <c r="AZ1398" s="29"/>
      <c r="BA1398" s="29"/>
      <c r="BB1398" s="29"/>
      <c r="BC1398" s="29"/>
      <c r="BD1398" s="29"/>
      <c r="BE1398" s="29"/>
      <c r="BF1398" s="111"/>
      <c r="BG1398" s="111"/>
      <c r="BH1398" s="111"/>
      <c r="BI1398" s="111"/>
      <c r="BJ1398" s="111"/>
      <c r="BK1398" s="111"/>
      <c r="BL1398" s="111"/>
      <c r="BM1398" s="111"/>
      <c r="BN1398" s="111"/>
      <c r="BO1398" s="111"/>
      <c r="BP1398" s="111"/>
      <c r="BQ1398" s="111"/>
      <c r="BR1398" s="111"/>
      <c r="BS1398" s="111"/>
      <c r="DR1398" s="29"/>
      <c r="DS1398" s="29"/>
      <c r="DT1398" s="29"/>
      <c r="DU1398" s="29"/>
      <c r="DV1398" s="29"/>
      <c r="DW1398" s="29"/>
      <c r="DX1398" s="29"/>
      <c r="DY1398" s="29"/>
      <c r="DZ1398" s="29"/>
      <c r="EA1398" s="29"/>
      <c r="EB1398" s="29"/>
      <c r="EC1398" s="29"/>
      <c r="ED1398" s="29"/>
      <c r="EE1398" s="29"/>
      <c r="EF1398" s="111"/>
      <c r="EG1398" s="111"/>
      <c r="EH1398" s="111"/>
      <c r="EI1398" s="111"/>
      <c r="EJ1398" s="111"/>
      <c r="EK1398" s="111"/>
      <c r="EL1398" s="111"/>
      <c r="EM1398" s="111"/>
      <c r="EN1398" s="111"/>
      <c r="EO1398" s="111"/>
      <c r="EP1398" s="111"/>
      <c r="EQ1398" s="111"/>
      <c r="ER1398" s="111"/>
      <c r="ES1398" s="111"/>
    </row>
    <row r="1399" spans="44:149">
      <c r="AR1399" s="29"/>
      <c r="AS1399" s="29"/>
      <c r="AT1399" s="29"/>
      <c r="AU1399" s="29"/>
      <c r="AV1399" s="29"/>
      <c r="AW1399" s="29"/>
      <c r="AX1399" s="29"/>
      <c r="AY1399" s="29"/>
      <c r="AZ1399" s="29"/>
      <c r="BA1399" s="29"/>
      <c r="BB1399" s="29"/>
      <c r="BC1399" s="29"/>
      <c r="BD1399" s="29"/>
      <c r="BE1399" s="29"/>
      <c r="BF1399" s="111"/>
      <c r="BG1399" s="111"/>
      <c r="BH1399" s="111"/>
      <c r="BI1399" s="111"/>
      <c r="BJ1399" s="111"/>
      <c r="BK1399" s="111"/>
      <c r="BL1399" s="111"/>
      <c r="BM1399" s="111"/>
      <c r="BN1399" s="111"/>
      <c r="BO1399" s="111"/>
      <c r="BP1399" s="111"/>
      <c r="BQ1399" s="111"/>
      <c r="BR1399" s="111"/>
      <c r="BS1399" s="111"/>
      <c r="DR1399" s="29"/>
      <c r="DS1399" s="29"/>
      <c r="DT1399" s="29"/>
      <c r="DU1399" s="29"/>
      <c r="DV1399" s="29"/>
      <c r="DW1399" s="29"/>
      <c r="DX1399" s="29"/>
      <c r="DY1399" s="29"/>
      <c r="DZ1399" s="29"/>
      <c r="EA1399" s="29"/>
      <c r="EB1399" s="29"/>
      <c r="EC1399" s="29"/>
      <c r="ED1399" s="29"/>
      <c r="EE1399" s="29"/>
      <c r="EF1399" s="111"/>
      <c r="EG1399" s="111"/>
      <c r="EH1399" s="111"/>
      <c r="EI1399" s="111"/>
      <c r="EJ1399" s="111"/>
      <c r="EK1399" s="111"/>
      <c r="EL1399" s="111"/>
      <c r="EM1399" s="111"/>
      <c r="EN1399" s="111"/>
      <c r="EO1399" s="111"/>
      <c r="EP1399" s="111"/>
      <c r="EQ1399" s="111"/>
      <c r="ER1399" s="111"/>
      <c r="ES1399" s="111"/>
    </row>
    <row r="1400" spans="44:149">
      <c r="AR1400" s="29"/>
      <c r="AS1400" s="29"/>
      <c r="AT1400" s="29"/>
      <c r="AU1400" s="29"/>
      <c r="AV1400" s="29"/>
      <c r="AW1400" s="29"/>
      <c r="AX1400" s="29"/>
      <c r="AY1400" s="29"/>
      <c r="AZ1400" s="29"/>
      <c r="BA1400" s="29"/>
      <c r="BB1400" s="29"/>
      <c r="BC1400" s="29"/>
      <c r="BD1400" s="29"/>
      <c r="BE1400" s="29"/>
      <c r="BF1400" s="111"/>
      <c r="BG1400" s="111"/>
      <c r="BH1400" s="111"/>
      <c r="BI1400" s="111"/>
      <c r="BJ1400" s="111"/>
      <c r="BK1400" s="111"/>
      <c r="BL1400" s="111"/>
      <c r="BM1400" s="111"/>
      <c r="BN1400" s="111"/>
      <c r="BO1400" s="111"/>
      <c r="BP1400" s="111"/>
      <c r="BQ1400" s="111"/>
      <c r="BR1400" s="111"/>
      <c r="BS1400" s="111"/>
      <c r="DR1400" s="29"/>
      <c r="DS1400" s="29"/>
      <c r="DT1400" s="29"/>
      <c r="DU1400" s="29"/>
      <c r="DV1400" s="29"/>
      <c r="DW1400" s="29"/>
      <c r="DX1400" s="29"/>
      <c r="DY1400" s="29"/>
      <c r="DZ1400" s="29"/>
      <c r="EA1400" s="29"/>
      <c r="EB1400" s="29"/>
      <c r="EC1400" s="29"/>
      <c r="ED1400" s="29"/>
      <c r="EE1400" s="29"/>
      <c r="EF1400" s="111"/>
      <c r="EG1400" s="111"/>
      <c r="EH1400" s="111"/>
      <c r="EI1400" s="111"/>
      <c r="EJ1400" s="111"/>
      <c r="EK1400" s="111"/>
      <c r="EL1400" s="111"/>
      <c r="EM1400" s="111"/>
      <c r="EN1400" s="111"/>
      <c r="EO1400" s="111"/>
      <c r="EP1400" s="111"/>
      <c r="EQ1400" s="111"/>
      <c r="ER1400" s="111"/>
      <c r="ES1400" s="111"/>
    </row>
    <row r="1401" spans="44:149">
      <c r="AR1401" s="29"/>
      <c r="AS1401" s="29"/>
      <c r="AT1401" s="29"/>
      <c r="AU1401" s="29"/>
      <c r="AV1401" s="29"/>
      <c r="AW1401" s="29"/>
      <c r="AX1401" s="29"/>
      <c r="AY1401" s="29"/>
      <c r="AZ1401" s="29"/>
      <c r="BA1401" s="29"/>
      <c r="BB1401" s="29"/>
      <c r="BC1401" s="29"/>
      <c r="BD1401" s="29"/>
      <c r="BE1401" s="29"/>
      <c r="BF1401" s="111"/>
      <c r="BG1401" s="111"/>
      <c r="BH1401" s="111"/>
      <c r="BI1401" s="111"/>
      <c r="BJ1401" s="111"/>
      <c r="BK1401" s="111"/>
      <c r="BL1401" s="111"/>
      <c r="BM1401" s="111"/>
      <c r="BN1401" s="111"/>
      <c r="BO1401" s="111"/>
      <c r="BP1401" s="111"/>
      <c r="BQ1401" s="111"/>
      <c r="BR1401" s="111"/>
      <c r="BS1401" s="111"/>
      <c r="DR1401" s="29"/>
      <c r="DS1401" s="29"/>
      <c r="DT1401" s="29"/>
      <c r="DU1401" s="29"/>
      <c r="DV1401" s="29"/>
      <c r="DW1401" s="29"/>
      <c r="DX1401" s="29"/>
      <c r="DY1401" s="29"/>
      <c r="DZ1401" s="29"/>
      <c r="EA1401" s="29"/>
      <c r="EB1401" s="29"/>
      <c r="EC1401" s="29"/>
      <c r="ED1401" s="29"/>
      <c r="EE1401" s="29"/>
      <c r="EF1401" s="111"/>
      <c r="EG1401" s="111"/>
      <c r="EH1401" s="111"/>
      <c r="EI1401" s="111"/>
      <c r="EJ1401" s="111"/>
      <c r="EK1401" s="111"/>
      <c r="EL1401" s="111"/>
      <c r="EM1401" s="111"/>
      <c r="EN1401" s="111"/>
      <c r="EO1401" s="111"/>
      <c r="EP1401" s="111"/>
      <c r="EQ1401" s="111"/>
      <c r="ER1401" s="111"/>
      <c r="ES1401" s="111"/>
    </row>
    <row r="1402" spans="44:149">
      <c r="AR1402" s="29"/>
      <c r="AS1402" s="29"/>
      <c r="AT1402" s="29"/>
      <c r="AU1402" s="29"/>
      <c r="AV1402" s="29"/>
      <c r="AW1402" s="29"/>
      <c r="AX1402" s="29"/>
      <c r="AY1402" s="29"/>
      <c r="AZ1402" s="29"/>
      <c r="BA1402" s="29"/>
      <c r="BB1402" s="29"/>
      <c r="BC1402" s="29"/>
      <c r="BD1402" s="29"/>
      <c r="BE1402" s="29"/>
      <c r="BF1402" s="111"/>
      <c r="BG1402" s="111"/>
      <c r="BH1402" s="111"/>
      <c r="BI1402" s="111"/>
      <c r="BJ1402" s="111"/>
      <c r="BK1402" s="111"/>
      <c r="BL1402" s="111"/>
      <c r="BM1402" s="111"/>
      <c r="BN1402" s="111"/>
      <c r="BO1402" s="111"/>
      <c r="BP1402" s="111"/>
      <c r="BQ1402" s="111"/>
      <c r="BR1402" s="111"/>
      <c r="BS1402" s="111"/>
      <c r="DR1402" s="29"/>
      <c r="DS1402" s="29"/>
      <c r="DT1402" s="29"/>
      <c r="DU1402" s="29"/>
      <c r="DV1402" s="29"/>
      <c r="DW1402" s="29"/>
      <c r="DX1402" s="29"/>
      <c r="DY1402" s="29"/>
      <c r="DZ1402" s="29"/>
      <c r="EA1402" s="29"/>
      <c r="EB1402" s="29"/>
      <c r="EC1402" s="29"/>
      <c r="ED1402" s="29"/>
      <c r="EE1402" s="29"/>
      <c r="EF1402" s="111"/>
      <c r="EG1402" s="111"/>
      <c r="EH1402" s="111"/>
      <c r="EI1402" s="111"/>
      <c r="EJ1402" s="111"/>
      <c r="EK1402" s="111"/>
      <c r="EL1402" s="111"/>
      <c r="EM1402" s="111"/>
      <c r="EN1402" s="111"/>
      <c r="EO1402" s="111"/>
      <c r="EP1402" s="111"/>
      <c r="EQ1402" s="111"/>
      <c r="ER1402" s="111"/>
      <c r="ES1402" s="111"/>
    </row>
    <row r="1403" spans="44:149">
      <c r="AR1403" s="29"/>
      <c r="AS1403" s="29"/>
      <c r="AT1403" s="29"/>
      <c r="AU1403" s="29"/>
      <c r="AV1403" s="29"/>
      <c r="AW1403" s="29"/>
      <c r="AX1403" s="29"/>
      <c r="AY1403" s="29"/>
      <c r="AZ1403" s="29"/>
      <c r="BA1403" s="29"/>
      <c r="BB1403" s="29"/>
      <c r="BC1403" s="29"/>
      <c r="BD1403" s="29"/>
      <c r="BE1403" s="29"/>
      <c r="BF1403" s="111"/>
      <c r="BG1403" s="111"/>
      <c r="BH1403" s="111"/>
      <c r="BI1403" s="111"/>
      <c r="BJ1403" s="111"/>
      <c r="BK1403" s="111"/>
      <c r="BL1403" s="111"/>
      <c r="BM1403" s="111"/>
      <c r="BN1403" s="111"/>
      <c r="BO1403" s="111"/>
      <c r="BP1403" s="111"/>
      <c r="BQ1403" s="111"/>
      <c r="BR1403" s="111"/>
      <c r="BS1403" s="111"/>
      <c r="DR1403" s="29"/>
      <c r="DS1403" s="29"/>
      <c r="DT1403" s="29"/>
      <c r="DU1403" s="29"/>
      <c r="DV1403" s="29"/>
      <c r="DW1403" s="29"/>
      <c r="DX1403" s="29"/>
      <c r="DY1403" s="29"/>
      <c r="DZ1403" s="29"/>
      <c r="EA1403" s="29"/>
      <c r="EB1403" s="29"/>
      <c r="EC1403" s="29"/>
      <c r="ED1403" s="29"/>
      <c r="EE1403" s="29"/>
      <c r="EF1403" s="111"/>
      <c r="EG1403" s="111"/>
      <c r="EH1403" s="111"/>
      <c r="EI1403" s="111"/>
      <c r="EJ1403" s="111"/>
      <c r="EK1403" s="111"/>
      <c r="EL1403" s="111"/>
      <c r="EM1403" s="111"/>
      <c r="EN1403" s="111"/>
      <c r="EO1403" s="111"/>
      <c r="EP1403" s="111"/>
      <c r="EQ1403" s="111"/>
      <c r="ER1403" s="111"/>
      <c r="ES1403" s="111"/>
    </row>
    <row r="1404" spans="44:149">
      <c r="AR1404" s="29"/>
      <c r="AS1404" s="29"/>
      <c r="AT1404" s="29"/>
      <c r="AU1404" s="29"/>
      <c r="AV1404" s="29"/>
      <c r="AW1404" s="29"/>
      <c r="AX1404" s="29"/>
      <c r="AY1404" s="29"/>
      <c r="AZ1404" s="29"/>
      <c r="BA1404" s="29"/>
      <c r="BB1404" s="29"/>
      <c r="BC1404" s="29"/>
      <c r="BD1404" s="29"/>
      <c r="BE1404" s="29"/>
      <c r="BF1404" s="111"/>
      <c r="BG1404" s="111"/>
      <c r="BH1404" s="111"/>
      <c r="BI1404" s="111"/>
      <c r="BJ1404" s="111"/>
      <c r="BK1404" s="111"/>
      <c r="BL1404" s="111"/>
      <c r="BM1404" s="111"/>
      <c r="BN1404" s="111"/>
      <c r="BO1404" s="111"/>
      <c r="BP1404" s="111"/>
      <c r="BQ1404" s="111"/>
      <c r="BR1404" s="111"/>
      <c r="BS1404" s="111"/>
      <c r="DR1404" s="29"/>
      <c r="DS1404" s="29"/>
      <c r="DT1404" s="29"/>
      <c r="DU1404" s="29"/>
      <c r="DV1404" s="29"/>
      <c r="DW1404" s="29"/>
      <c r="DX1404" s="29"/>
      <c r="DY1404" s="29"/>
      <c r="DZ1404" s="29"/>
      <c r="EA1404" s="29"/>
      <c r="EB1404" s="29"/>
      <c r="EC1404" s="29"/>
      <c r="ED1404" s="29"/>
      <c r="EE1404" s="29"/>
      <c r="EF1404" s="111"/>
      <c r="EG1404" s="111"/>
      <c r="EH1404" s="111"/>
      <c r="EI1404" s="111"/>
      <c r="EJ1404" s="111"/>
      <c r="EK1404" s="111"/>
      <c r="EL1404" s="111"/>
      <c r="EM1404" s="111"/>
      <c r="EN1404" s="111"/>
      <c r="EO1404" s="111"/>
      <c r="EP1404" s="111"/>
      <c r="EQ1404" s="111"/>
      <c r="ER1404" s="111"/>
      <c r="ES1404" s="111"/>
    </row>
    <row r="1405" spans="44:149">
      <c r="AR1405" s="29"/>
      <c r="AS1405" s="29"/>
      <c r="AT1405" s="29"/>
      <c r="AU1405" s="29"/>
      <c r="AV1405" s="29"/>
      <c r="AW1405" s="29"/>
      <c r="AX1405" s="29"/>
      <c r="AY1405" s="29"/>
      <c r="AZ1405" s="29"/>
      <c r="BA1405" s="29"/>
      <c r="BB1405" s="29"/>
      <c r="BC1405" s="29"/>
      <c r="BD1405" s="29"/>
      <c r="BE1405" s="29"/>
      <c r="BF1405" s="111"/>
      <c r="BG1405" s="111"/>
      <c r="BH1405" s="111"/>
      <c r="BI1405" s="111"/>
      <c r="BJ1405" s="111"/>
      <c r="BK1405" s="111"/>
      <c r="BL1405" s="111"/>
      <c r="BM1405" s="111"/>
      <c r="BN1405" s="111"/>
      <c r="BO1405" s="111"/>
      <c r="BP1405" s="111"/>
      <c r="BQ1405" s="111"/>
      <c r="BR1405" s="111"/>
      <c r="BS1405" s="111"/>
      <c r="DR1405" s="29"/>
      <c r="DS1405" s="29"/>
      <c r="DT1405" s="29"/>
      <c r="DU1405" s="29"/>
      <c r="DV1405" s="29"/>
      <c r="DW1405" s="29"/>
      <c r="DX1405" s="29"/>
      <c r="DY1405" s="29"/>
      <c r="DZ1405" s="29"/>
      <c r="EA1405" s="29"/>
      <c r="EB1405" s="29"/>
      <c r="EC1405" s="29"/>
      <c r="ED1405" s="29"/>
      <c r="EE1405" s="29"/>
      <c r="EF1405" s="111"/>
      <c r="EG1405" s="111"/>
      <c r="EH1405" s="111"/>
      <c r="EI1405" s="111"/>
      <c r="EJ1405" s="111"/>
      <c r="EK1405" s="111"/>
      <c r="EL1405" s="111"/>
      <c r="EM1405" s="111"/>
      <c r="EN1405" s="111"/>
      <c r="EO1405" s="111"/>
      <c r="EP1405" s="111"/>
      <c r="EQ1405" s="111"/>
      <c r="ER1405" s="111"/>
      <c r="ES1405" s="111"/>
    </row>
    <row r="1406" spans="44:149">
      <c r="AR1406" s="29"/>
      <c r="AS1406" s="29"/>
      <c r="AT1406" s="29"/>
      <c r="AU1406" s="29"/>
      <c r="AV1406" s="29"/>
      <c r="AW1406" s="29"/>
      <c r="AX1406" s="29"/>
      <c r="AY1406" s="29"/>
      <c r="AZ1406" s="29"/>
      <c r="BA1406" s="29"/>
      <c r="BB1406" s="29"/>
      <c r="BC1406" s="29"/>
      <c r="BD1406" s="29"/>
      <c r="BE1406" s="29"/>
      <c r="BF1406" s="111"/>
      <c r="BG1406" s="111"/>
      <c r="BH1406" s="111"/>
      <c r="BI1406" s="111"/>
      <c r="BJ1406" s="111"/>
      <c r="BK1406" s="111"/>
      <c r="BL1406" s="111"/>
      <c r="BM1406" s="111"/>
      <c r="BN1406" s="111"/>
      <c r="BO1406" s="111"/>
      <c r="BP1406" s="111"/>
      <c r="BQ1406" s="111"/>
      <c r="BR1406" s="111"/>
      <c r="BS1406" s="111"/>
      <c r="DR1406" s="29"/>
      <c r="DS1406" s="29"/>
      <c r="DT1406" s="29"/>
      <c r="DU1406" s="29"/>
      <c r="DV1406" s="29"/>
      <c r="DW1406" s="29"/>
      <c r="DX1406" s="29"/>
      <c r="DY1406" s="29"/>
      <c r="DZ1406" s="29"/>
      <c r="EA1406" s="29"/>
      <c r="EB1406" s="29"/>
      <c r="EC1406" s="29"/>
      <c r="ED1406" s="29"/>
      <c r="EE1406" s="29"/>
      <c r="EF1406" s="111"/>
      <c r="EG1406" s="111"/>
      <c r="EH1406" s="111"/>
      <c r="EI1406" s="111"/>
      <c r="EJ1406" s="111"/>
      <c r="EK1406" s="111"/>
      <c r="EL1406" s="111"/>
      <c r="EM1406" s="111"/>
      <c r="EN1406" s="111"/>
      <c r="EO1406" s="111"/>
      <c r="EP1406" s="111"/>
      <c r="EQ1406" s="111"/>
      <c r="ER1406" s="111"/>
      <c r="ES1406" s="111"/>
    </row>
    <row r="1407" spans="44:149">
      <c r="AR1407" s="29"/>
      <c r="AS1407" s="29"/>
      <c r="AT1407" s="29"/>
      <c r="AU1407" s="29"/>
      <c r="AV1407" s="29"/>
      <c r="AW1407" s="29"/>
      <c r="AX1407" s="29"/>
      <c r="AY1407" s="29"/>
      <c r="AZ1407" s="29"/>
      <c r="BA1407" s="29"/>
      <c r="BB1407" s="29"/>
      <c r="BC1407" s="29"/>
      <c r="BD1407" s="29"/>
      <c r="BE1407" s="29"/>
      <c r="BF1407" s="111"/>
      <c r="BG1407" s="111"/>
      <c r="BH1407" s="111"/>
      <c r="BI1407" s="111"/>
      <c r="BJ1407" s="111"/>
      <c r="BK1407" s="111"/>
      <c r="BL1407" s="111"/>
      <c r="BM1407" s="111"/>
      <c r="BN1407" s="111"/>
      <c r="BO1407" s="111"/>
      <c r="BP1407" s="111"/>
      <c r="BQ1407" s="111"/>
      <c r="BR1407" s="111"/>
      <c r="BS1407" s="111"/>
      <c r="DR1407" s="29"/>
      <c r="DS1407" s="29"/>
      <c r="DT1407" s="29"/>
      <c r="DU1407" s="29"/>
      <c r="DV1407" s="29"/>
      <c r="DW1407" s="29"/>
      <c r="DX1407" s="29"/>
      <c r="DY1407" s="29"/>
      <c r="DZ1407" s="29"/>
      <c r="EA1407" s="29"/>
      <c r="EB1407" s="29"/>
      <c r="EC1407" s="29"/>
      <c r="ED1407" s="29"/>
      <c r="EE1407" s="29"/>
      <c r="EF1407" s="111"/>
      <c r="EG1407" s="111"/>
      <c r="EH1407" s="111"/>
      <c r="EI1407" s="111"/>
      <c r="EJ1407" s="111"/>
      <c r="EK1407" s="111"/>
      <c r="EL1407" s="111"/>
      <c r="EM1407" s="111"/>
      <c r="EN1407" s="111"/>
      <c r="EO1407" s="111"/>
      <c r="EP1407" s="111"/>
      <c r="EQ1407" s="111"/>
      <c r="ER1407" s="111"/>
      <c r="ES1407" s="111"/>
    </row>
    <row r="1408" spans="44:149">
      <c r="AR1408" s="29"/>
      <c r="AS1408" s="29"/>
      <c r="AT1408" s="29"/>
      <c r="AU1408" s="29"/>
      <c r="AV1408" s="29"/>
      <c r="AW1408" s="29"/>
      <c r="AX1408" s="29"/>
      <c r="AY1408" s="29"/>
      <c r="AZ1408" s="29"/>
      <c r="BA1408" s="29"/>
      <c r="BB1408" s="29"/>
      <c r="BC1408" s="29"/>
      <c r="BD1408" s="29"/>
      <c r="BE1408" s="29"/>
      <c r="BF1408" s="111"/>
      <c r="BG1408" s="111"/>
      <c r="BH1408" s="111"/>
      <c r="BI1408" s="111"/>
      <c r="BJ1408" s="111"/>
      <c r="BK1408" s="111"/>
      <c r="BL1408" s="111"/>
      <c r="BM1408" s="111"/>
      <c r="BN1408" s="111"/>
      <c r="BO1408" s="111"/>
      <c r="BP1408" s="111"/>
      <c r="BQ1408" s="111"/>
      <c r="BR1408" s="111"/>
      <c r="BS1408" s="111"/>
      <c r="DR1408" s="29"/>
      <c r="DS1408" s="29"/>
      <c r="DT1408" s="29"/>
      <c r="DU1408" s="29"/>
      <c r="DV1408" s="29"/>
      <c r="DW1408" s="29"/>
      <c r="DX1408" s="29"/>
      <c r="DY1408" s="29"/>
      <c r="DZ1408" s="29"/>
      <c r="EA1408" s="29"/>
      <c r="EB1408" s="29"/>
      <c r="EC1408" s="29"/>
      <c r="ED1408" s="29"/>
      <c r="EE1408" s="29"/>
      <c r="EF1408" s="111"/>
      <c r="EG1408" s="111"/>
      <c r="EH1408" s="111"/>
      <c r="EI1408" s="111"/>
      <c r="EJ1408" s="111"/>
      <c r="EK1408" s="111"/>
      <c r="EL1408" s="111"/>
      <c r="EM1408" s="111"/>
      <c r="EN1408" s="111"/>
      <c r="EO1408" s="111"/>
      <c r="EP1408" s="111"/>
      <c r="EQ1408" s="111"/>
      <c r="ER1408" s="111"/>
      <c r="ES1408" s="111"/>
    </row>
    <row r="1409" spans="44:149">
      <c r="AR1409" s="29"/>
      <c r="AS1409" s="29"/>
      <c r="AT1409" s="29"/>
      <c r="AU1409" s="29"/>
      <c r="AV1409" s="29"/>
      <c r="AW1409" s="29"/>
      <c r="AX1409" s="29"/>
      <c r="AY1409" s="29"/>
      <c r="AZ1409" s="29"/>
      <c r="BA1409" s="29"/>
      <c r="BB1409" s="29"/>
      <c r="BC1409" s="29"/>
      <c r="BD1409" s="29"/>
      <c r="BE1409" s="29"/>
      <c r="BF1409" s="111"/>
      <c r="BG1409" s="111"/>
      <c r="BH1409" s="111"/>
      <c r="BI1409" s="111"/>
      <c r="BJ1409" s="111"/>
      <c r="BK1409" s="111"/>
      <c r="BL1409" s="111"/>
      <c r="BM1409" s="111"/>
      <c r="BN1409" s="111"/>
      <c r="BO1409" s="111"/>
      <c r="BP1409" s="111"/>
      <c r="BQ1409" s="111"/>
      <c r="BR1409" s="111"/>
      <c r="BS1409" s="111"/>
      <c r="DR1409" s="29"/>
      <c r="DS1409" s="29"/>
      <c r="DT1409" s="29"/>
      <c r="DU1409" s="29"/>
      <c r="DV1409" s="29"/>
      <c r="DW1409" s="29"/>
      <c r="DX1409" s="29"/>
      <c r="DY1409" s="29"/>
      <c r="DZ1409" s="29"/>
      <c r="EA1409" s="29"/>
      <c r="EB1409" s="29"/>
      <c r="EC1409" s="29"/>
      <c r="ED1409" s="29"/>
      <c r="EE1409" s="29"/>
      <c r="EF1409" s="111"/>
      <c r="EG1409" s="111"/>
      <c r="EH1409" s="111"/>
      <c r="EI1409" s="111"/>
      <c r="EJ1409" s="111"/>
      <c r="EK1409" s="111"/>
      <c r="EL1409" s="111"/>
      <c r="EM1409" s="111"/>
      <c r="EN1409" s="111"/>
      <c r="EO1409" s="111"/>
      <c r="EP1409" s="111"/>
      <c r="EQ1409" s="111"/>
      <c r="ER1409" s="111"/>
      <c r="ES1409" s="111"/>
    </row>
    <row r="1410" spans="44:149">
      <c r="AR1410" s="29"/>
      <c r="AS1410" s="29"/>
      <c r="AT1410" s="29"/>
      <c r="AU1410" s="29"/>
      <c r="AV1410" s="29"/>
      <c r="AW1410" s="29"/>
      <c r="AX1410" s="29"/>
      <c r="AY1410" s="29"/>
      <c r="AZ1410" s="29"/>
      <c r="BA1410" s="29"/>
      <c r="BB1410" s="29"/>
      <c r="BC1410" s="29"/>
      <c r="BD1410" s="29"/>
      <c r="BE1410" s="29"/>
      <c r="BF1410" s="111"/>
      <c r="BG1410" s="111"/>
      <c r="BH1410" s="111"/>
      <c r="BI1410" s="111"/>
      <c r="BJ1410" s="111"/>
      <c r="BK1410" s="111"/>
      <c r="BL1410" s="111"/>
      <c r="BM1410" s="111"/>
      <c r="BN1410" s="111"/>
      <c r="BO1410" s="111"/>
      <c r="BP1410" s="111"/>
      <c r="BQ1410" s="111"/>
      <c r="BR1410" s="111"/>
      <c r="BS1410" s="111"/>
      <c r="DR1410" s="29"/>
      <c r="DS1410" s="29"/>
      <c r="DT1410" s="29"/>
      <c r="DU1410" s="29"/>
      <c r="DV1410" s="29"/>
      <c r="DW1410" s="29"/>
      <c r="DX1410" s="29"/>
      <c r="DY1410" s="29"/>
      <c r="DZ1410" s="29"/>
      <c r="EA1410" s="29"/>
      <c r="EB1410" s="29"/>
      <c r="EC1410" s="29"/>
      <c r="ED1410" s="29"/>
      <c r="EE1410" s="29"/>
      <c r="EF1410" s="111"/>
      <c r="EG1410" s="111"/>
      <c r="EH1410" s="111"/>
      <c r="EI1410" s="111"/>
      <c r="EJ1410" s="111"/>
      <c r="EK1410" s="111"/>
      <c r="EL1410" s="111"/>
      <c r="EM1410" s="111"/>
      <c r="EN1410" s="111"/>
      <c r="EO1410" s="111"/>
      <c r="EP1410" s="111"/>
      <c r="EQ1410" s="111"/>
      <c r="ER1410" s="111"/>
      <c r="ES1410" s="111"/>
    </row>
    <row r="1411" spans="44:149">
      <c r="AR1411" s="29"/>
      <c r="AS1411" s="29"/>
      <c r="AT1411" s="29"/>
      <c r="AU1411" s="29"/>
      <c r="AV1411" s="29"/>
      <c r="AW1411" s="29"/>
      <c r="AX1411" s="29"/>
      <c r="AY1411" s="29"/>
      <c r="AZ1411" s="29"/>
      <c r="BA1411" s="29"/>
      <c r="BB1411" s="29"/>
      <c r="BC1411" s="29"/>
      <c r="BD1411" s="29"/>
      <c r="BE1411" s="29"/>
      <c r="BF1411" s="111"/>
      <c r="BG1411" s="111"/>
      <c r="BH1411" s="111"/>
      <c r="BI1411" s="111"/>
      <c r="BJ1411" s="111"/>
      <c r="BK1411" s="111"/>
      <c r="BL1411" s="111"/>
      <c r="BM1411" s="111"/>
      <c r="BN1411" s="111"/>
      <c r="BO1411" s="111"/>
      <c r="BP1411" s="111"/>
      <c r="BQ1411" s="111"/>
      <c r="BR1411" s="111"/>
      <c r="BS1411" s="111"/>
      <c r="DR1411" s="29"/>
      <c r="DS1411" s="29"/>
      <c r="DT1411" s="29"/>
      <c r="DU1411" s="29"/>
      <c r="DV1411" s="29"/>
      <c r="DW1411" s="29"/>
      <c r="DX1411" s="29"/>
      <c r="DY1411" s="29"/>
      <c r="DZ1411" s="29"/>
      <c r="EA1411" s="29"/>
      <c r="EB1411" s="29"/>
      <c r="EC1411" s="29"/>
      <c r="ED1411" s="29"/>
      <c r="EE1411" s="29"/>
      <c r="EF1411" s="111"/>
      <c r="EG1411" s="111"/>
      <c r="EH1411" s="111"/>
      <c r="EI1411" s="111"/>
      <c r="EJ1411" s="111"/>
      <c r="EK1411" s="111"/>
      <c r="EL1411" s="111"/>
      <c r="EM1411" s="111"/>
      <c r="EN1411" s="111"/>
      <c r="EO1411" s="111"/>
      <c r="EP1411" s="111"/>
      <c r="EQ1411" s="111"/>
      <c r="ER1411" s="111"/>
      <c r="ES1411" s="111"/>
    </row>
    <row r="1412" spans="44:149">
      <c r="AR1412" s="29"/>
      <c r="AS1412" s="29"/>
      <c r="AT1412" s="29"/>
      <c r="AU1412" s="29"/>
      <c r="AV1412" s="29"/>
      <c r="AW1412" s="29"/>
      <c r="AX1412" s="29"/>
      <c r="AY1412" s="29"/>
      <c r="AZ1412" s="29"/>
      <c r="BA1412" s="29"/>
      <c r="BB1412" s="29"/>
      <c r="BC1412" s="29"/>
      <c r="BD1412" s="29"/>
      <c r="BE1412" s="29"/>
      <c r="BF1412" s="111"/>
      <c r="BG1412" s="111"/>
      <c r="BH1412" s="111"/>
      <c r="BI1412" s="111"/>
      <c r="BJ1412" s="111"/>
      <c r="BK1412" s="111"/>
      <c r="BL1412" s="111"/>
      <c r="BM1412" s="111"/>
      <c r="BN1412" s="111"/>
      <c r="BO1412" s="111"/>
      <c r="BP1412" s="111"/>
      <c r="BQ1412" s="111"/>
      <c r="BR1412" s="111"/>
      <c r="BS1412" s="111"/>
      <c r="DR1412" s="29"/>
      <c r="DS1412" s="29"/>
      <c r="DT1412" s="29"/>
      <c r="DU1412" s="29"/>
      <c r="DV1412" s="29"/>
      <c r="DW1412" s="29"/>
      <c r="DX1412" s="29"/>
      <c r="DY1412" s="29"/>
      <c r="DZ1412" s="29"/>
      <c r="EA1412" s="29"/>
      <c r="EB1412" s="29"/>
      <c r="EC1412" s="29"/>
      <c r="ED1412" s="29"/>
      <c r="EE1412" s="29"/>
      <c r="EF1412" s="111"/>
      <c r="EG1412" s="111"/>
      <c r="EH1412" s="111"/>
      <c r="EI1412" s="111"/>
      <c r="EJ1412" s="111"/>
      <c r="EK1412" s="111"/>
      <c r="EL1412" s="111"/>
      <c r="EM1412" s="111"/>
      <c r="EN1412" s="111"/>
      <c r="EO1412" s="111"/>
      <c r="EP1412" s="111"/>
      <c r="EQ1412" s="111"/>
      <c r="ER1412" s="111"/>
      <c r="ES1412" s="111"/>
    </row>
    <row r="1413" spans="44:149">
      <c r="AR1413" s="29"/>
      <c r="AS1413" s="29"/>
      <c r="AT1413" s="29"/>
      <c r="AU1413" s="29"/>
      <c r="AV1413" s="29"/>
      <c r="AW1413" s="29"/>
      <c r="AX1413" s="29"/>
      <c r="AY1413" s="29"/>
      <c r="AZ1413" s="29"/>
      <c r="BA1413" s="29"/>
      <c r="BB1413" s="29"/>
      <c r="BC1413" s="29"/>
      <c r="BD1413" s="29"/>
      <c r="BE1413" s="29"/>
      <c r="BF1413" s="111"/>
      <c r="BG1413" s="111"/>
      <c r="BH1413" s="111"/>
      <c r="BI1413" s="111"/>
      <c r="BJ1413" s="111"/>
      <c r="BK1413" s="111"/>
      <c r="BL1413" s="111"/>
      <c r="BM1413" s="111"/>
      <c r="BN1413" s="111"/>
      <c r="BO1413" s="111"/>
      <c r="BP1413" s="111"/>
      <c r="BQ1413" s="111"/>
      <c r="BR1413" s="111"/>
      <c r="BS1413" s="111"/>
      <c r="DR1413" s="29"/>
      <c r="DS1413" s="29"/>
      <c r="DT1413" s="29"/>
      <c r="DU1413" s="29"/>
      <c r="DV1413" s="29"/>
      <c r="DW1413" s="29"/>
      <c r="DX1413" s="29"/>
      <c r="DY1413" s="29"/>
      <c r="DZ1413" s="29"/>
      <c r="EA1413" s="29"/>
      <c r="EB1413" s="29"/>
      <c r="EC1413" s="29"/>
      <c r="ED1413" s="29"/>
      <c r="EE1413" s="29"/>
      <c r="EF1413" s="111"/>
      <c r="EG1413" s="111"/>
      <c r="EH1413" s="111"/>
      <c r="EI1413" s="111"/>
      <c r="EJ1413" s="111"/>
      <c r="EK1413" s="111"/>
      <c r="EL1413" s="111"/>
      <c r="EM1413" s="111"/>
      <c r="EN1413" s="111"/>
      <c r="EO1413" s="111"/>
      <c r="EP1413" s="111"/>
      <c r="EQ1413" s="111"/>
      <c r="ER1413" s="111"/>
      <c r="ES1413" s="111"/>
    </row>
    <row r="1414" spans="44:149">
      <c r="AR1414" s="29"/>
      <c r="AS1414" s="29"/>
      <c r="AT1414" s="29"/>
      <c r="AU1414" s="29"/>
      <c r="AV1414" s="29"/>
      <c r="AW1414" s="29"/>
      <c r="AX1414" s="29"/>
      <c r="AY1414" s="29"/>
      <c r="AZ1414" s="29"/>
      <c r="BA1414" s="29"/>
      <c r="BB1414" s="29"/>
      <c r="BC1414" s="29"/>
      <c r="BD1414" s="29"/>
      <c r="BE1414" s="29"/>
      <c r="BF1414" s="111"/>
      <c r="BG1414" s="111"/>
      <c r="BH1414" s="111"/>
      <c r="BI1414" s="111"/>
      <c r="BJ1414" s="111"/>
      <c r="BK1414" s="111"/>
      <c r="BL1414" s="111"/>
      <c r="BM1414" s="111"/>
      <c r="BN1414" s="111"/>
      <c r="BO1414" s="111"/>
      <c r="BP1414" s="111"/>
      <c r="BQ1414" s="111"/>
      <c r="BR1414" s="111"/>
      <c r="BS1414" s="111"/>
      <c r="DR1414" s="29"/>
      <c r="DS1414" s="29"/>
      <c r="DT1414" s="29"/>
      <c r="DU1414" s="29"/>
      <c r="DV1414" s="29"/>
      <c r="DW1414" s="29"/>
      <c r="DX1414" s="29"/>
      <c r="DY1414" s="29"/>
      <c r="DZ1414" s="29"/>
      <c r="EA1414" s="29"/>
      <c r="EB1414" s="29"/>
      <c r="EC1414" s="29"/>
      <c r="ED1414" s="29"/>
      <c r="EE1414" s="29"/>
      <c r="EF1414" s="111"/>
      <c r="EG1414" s="111"/>
      <c r="EH1414" s="111"/>
      <c r="EI1414" s="111"/>
      <c r="EJ1414" s="111"/>
      <c r="EK1414" s="111"/>
      <c r="EL1414" s="111"/>
      <c r="EM1414" s="111"/>
      <c r="EN1414" s="111"/>
      <c r="EO1414" s="111"/>
      <c r="EP1414" s="111"/>
      <c r="EQ1414" s="111"/>
      <c r="ER1414" s="111"/>
      <c r="ES1414" s="111"/>
    </row>
    <row r="1415" spans="44:149">
      <c r="AR1415" s="29"/>
      <c r="AS1415" s="29"/>
      <c r="AT1415" s="29"/>
      <c r="AU1415" s="29"/>
      <c r="AV1415" s="29"/>
      <c r="AW1415" s="29"/>
      <c r="AX1415" s="29"/>
      <c r="AY1415" s="29"/>
      <c r="AZ1415" s="29"/>
      <c r="BA1415" s="29"/>
      <c r="BB1415" s="29"/>
      <c r="BC1415" s="29"/>
      <c r="BD1415" s="29"/>
      <c r="BE1415" s="29"/>
      <c r="BF1415" s="111"/>
      <c r="BG1415" s="111"/>
      <c r="BH1415" s="111"/>
      <c r="BI1415" s="111"/>
      <c r="BJ1415" s="111"/>
      <c r="BK1415" s="111"/>
      <c r="BL1415" s="111"/>
      <c r="BM1415" s="111"/>
      <c r="BN1415" s="111"/>
      <c r="BO1415" s="111"/>
      <c r="BP1415" s="111"/>
      <c r="BQ1415" s="111"/>
      <c r="BR1415" s="111"/>
      <c r="BS1415" s="111"/>
      <c r="DR1415" s="29"/>
      <c r="DS1415" s="29"/>
      <c r="DT1415" s="29"/>
      <c r="DU1415" s="29"/>
      <c r="DV1415" s="29"/>
      <c r="DW1415" s="29"/>
      <c r="DX1415" s="29"/>
      <c r="DY1415" s="29"/>
      <c r="DZ1415" s="29"/>
      <c r="EA1415" s="29"/>
      <c r="EB1415" s="29"/>
      <c r="EC1415" s="29"/>
      <c r="ED1415" s="29"/>
      <c r="EE1415" s="29"/>
      <c r="EF1415" s="111"/>
      <c r="EG1415" s="111"/>
      <c r="EH1415" s="111"/>
      <c r="EI1415" s="111"/>
      <c r="EJ1415" s="111"/>
      <c r="EK1415" s="111"/>
      <c r="EL1415" s="111"/>
      <c r="EM1415" s="111"/>
      <c r="EN1415" s="111"/>
      <c r="EO1415" s="111"/>
      <c r="EP1415" s="111"/>
      <c r="EQ1415" s="111"/>
      <c r="ER1415" s="111"/>
      <c r="ES1415" s="111"/>
    </row>
    <row r="1416" spans="44:149">
      <c r="AR1416" s="29"/>
      <c r="AS1416" s="29"/>
      <c r="AT1416" s="29"/>
      <c r="AU1416" s="29"/>
      <c r="AV1416" s="29"/>
      <c r="AW1416" s="29"/>
      <c r="AX1416" s="29"/>
      <c r="AY1416" s="29"/>
      <c r="AZ1416" s="29"/>
      <c r="BA1416" s="29"/>
      <c r="BB1416" s="29"/>
      <c r="BC1416" s="29"/>
      <c r="BD1416" s="29"/>
      <c r="BE1416" s="29"/>
      <c r="BF1416" s="111"/>
      <c r="BG1416" s="111"/>
      <c r="BH1416" s="111"/>
      <c r="BI1416" s="111"/>
      <c r="BJ1416" s="111"/>
      <c r="BK1416" s="111"/>
      <c r="BL1416" s="111"/>
      <c r="BM1416" s="111"/>
      <c r="BN1416" s="111"/>
      <c r="BO1416" s="111"/>
      <c r="BP1416" s="111"/>
      <c r="BQ1416" s="111"/>
      <c r="BR1416" s="111"/>
      <c r="BS1416" s="111"/>
      <c r="DR1416" s="29"/>
      <c r="DS1416" s="29"/>
      <c r="DT1416" s="29"/>
      <c r="DU1416" s="29"/>
      <c r="DV1416" s="29"/>
      <c r="DW1416" s="29"/>
      <c r="DX1416" s="29"/>
      <c r="DY1416" s="29"/>
      <c r="DZ1416" s="29"/>
      <c r="EA1416" s="29"/>
      <c r="EB1416" s="29"/>
      <c r="EC1416" s="29"/>
      <c r="ED1416" s="29"/>
      <c r="EE1416" s="29"/>
      <c r="EF1416" s="111"/>
      <c r="EG1416" s="111"/>
      <c r="EH1416" s="111"/>
      <c r="EI1416" s="111"/>
      <c r="EJ1416" s="111"/>
      <c r="EK1416" s="111"/>
      <c r="EL1416" s="111"/>
      <c r="EM1416" s="111"/>
      <c r="EN1416" s="111"/>
      <c r="EO1416" s="111"/>
      <c r="EP1416" s="111"/>
      <c r="EQ1416" s="111"/>
      <c r="ER1416" s="111"/>
      <c r="ES1416" s="111"/>
    </row>
    <row r="1417" spans="44:149">
      <c r="AR1417" s="29"/>
      <c r="AS1417" s="29"/>
      <c r="AT1417" s="29"/>
      <c r="AU1417" s="29"/>
      <c r="AV1417" s="29"/>
      <c r="AW1417" s="29"/>
      <c r="AX1417" s="29"/>
      <c r="AY1417" s="29"/>
      <c r="AZ1417" s="29"/>
      <c r="BA1417" s="29"/>
      <c r="BB1417" s="29"/>
      <c r="BC1417" s="29"/>
      <c r="BD1417" s="29"/>
      <c r="BE1417" s="29"/>
      <c r="BF1417" s="111"/>
      <c r="BG1417" s="111"/>
      <c r="BH1417" s="111"/>
      <c r="BI1417" s="111"/>
      <c r="BJ1417" s="111"/>
      <c r="BK1417" s="111"/>
      <c r="BL1417" s="111"/>
      <c r="BM1417" s="111"/>
      <c r="BN1417" s="111"/>
      <c r="BO1417" s="111"/>
      <c r="BP1417" s="111"/>
      <c r="BQ1417" s="111"/>
      <c r="BR1417" s="111"/>
      <c r="BS1417" s="111"/>
      <c r="DR1417" s="29"/>
      <c r="DS1417" s="29"/>
      <c r="DT1417" s="29"/>
      <c r="DU1417" s="29"/>
      <c r="DV1417" s="29"/>
      <c r="DW1417" s="29"/>
      <c r="DX1417" s="29"/>
      <c r="DY1417" s="29"/>
      <c r="DZ1417" s="29"/>
      <c r="EA1417" s="29"/>
      <c r="EB1417" s="29"/>
      <c r="EC1417" s="29"/>
      <c r="ED1417" s="29"/>
      <c r="EE1417" s="29"/>
      <c r="EF1417" s="111"/>
      <c r="EG1417" s="111"/>
      <c r="EH1417" s="111"/>
      <c r="EI1417" s="111"/>
      <c r="EJ1417" s="111"/>
      <c r="EK1417" s="111"/>
      <c r="EL1417" s="111"/>
      <c r="EM1417" s="111"/>
      <c r="EN1417" s="111"/>
      <c r="EO1417" s="111"/>
      <c r="EP1417" s="111"/>
      <c r="EQ1417" s="111"/>
      <c r="ER1417" s="111"/>
      <c r="ES1417" s="111"/>
    </row>
    <row r="1418" spans="44:149">
      <c r="AR1418" s="29"/>
      <c r="AS1418" s="29"/>
      <c r="AT1418" s="29"/>
      <c r="AU1418" s="29"/>
      <c r="AV1418" s="29"/>
      <c r="AW1418" s="29"/>
      <c r="AX1418" s="29"/>
      <c r="AY1418" s="29"/>
      <c r="AZ1418" s="29"/>
      <c r="BA1418" s="29"/>
      <c r="BB1418" s="29"/>
      <c r="BC1418" s="29"/>
      <c r="BD1418" s="29"/>
      <c r="BE1418" s="29"/>
      <c r="BF1418" s="111"/>
      <c r="BG1418" s="111"/>
      <c r="BH1418" s="111"/>
      <c r="BI1418" s="111"/>
      <c r="BJ1418" s="111"/>
      <c r="BK1418" s="111"/>
      <c r="BL1418" s="111"/>
      <c r="BM1418" s="111"/>
      <c r="BN1418" s="111"/>
      <c r="BO1418" s="111"/>
      <c r="BP1418" s="111"/>
      <c r="BQ1418" s="111"/>
      <c r="BR1418" s="111"/>
      <c r="BS1418" s="111"/>
      <c r="DR1418" s="29"/>
      <c r="DS1418" s="29"/>
      <c r="DT1418" s="29"/>
      <c r="DU1418" s="29"/>
      <c r="DV1418" s="29"/>
      <c r="DW1418" s="29"/>
      <c r="DX1418" s="29"/>
      <c r="DY1418" s="29"/>
      <c r="DZ1418" s="29"/>
      <c r="EA1418" s="29"/>
      <c r="EB1418" s="29"/>
      <c r="EC1418" s="29"/>
      <c r="ED1418" s="29"/>
      <c r="EE1418" s="29"/>
      <c r="EF1418" s="111"/>
      <c r="EG1418" s="111"/>
      <c r="EH1418" s="111"/>
      <c r="EI1418" s="111"/>
      <c r="EJ1418" s="111"/>
      <c r="EK1418" s="111"/>
      <c r="EL1418" s="111"/>
      <c r="EM1418" s="111"/>
      <c r="EN1418" s="111"/>
      <c r="EO1418" s="111"/>
      <c r="EP1418" s="111"/>
      <c r="EQ1418" s="111"/>
      <c r="ER1418" s="111"/>
      <c r="ES1418" s="111"/>
    </row>
    <row r="1419" spans="44:149">
      <c r="AR1419" s="29"/>
      <c r="AS1419" s="29"/>
      <c r="AT1419" s="29"/>
      <c r="AU1419" s="29"/>
      <c r="AV1419" s="29"/>
      <c r="AW1419" s="29"/>
      <c r="AX1419" s="29"/>
      <c r="AY1419" s="29"/>
      <c r="AZ1419" s="29"/>
      <c r="BA1419" s="29"/>
      <c r="BB1419" s="29"/>
      <c r="BC1419" s="29"/>
      <c r="BD1419" s="29"/>
      <c r="BE1419" s="29"/>
      <c r="BF1419" s="111"/>
      <c r="BG1419" s="111"/>
      <c r="BH1419" s="111"/>
      <c r="BI1419" s="111"/>
      <c r="BJ1419" s="111"/>
      <c r="BK1419" s="111"/>
      <c r="BL1419" s="111"/>
      <c r="BM1419" s="111"/>
      <c r="BN1419" s="111"/>
      <c r="BO1419" s="111"/>
      <c r="BP1419" s="111"/>
      <c r="BQ1419" s="111"/>
      <c r="BR1419" s="111"/>
      <c r="BS1419" s="111"/>
      <c r="DR1419" s="29"/>
      <c r="DS1419" s="29"/>
      <c r="DT1419" s="29"/>
      <c r="DU1419" s="29"/>
      <c r="DV1419" s="29"/>
      <c r="DW1419" s="29"/>
      <c r="DX1419" s="29"/>
      <c r="DY1419" s="29"/>
      <c r="DZ1419" s="29"/>
      <c r="EA1419" s="29"/>
      <c r="EB1419" s="29"/>
      <c r="EC1419" s="29"/>
      <c r="ED1419" s="29"/>
      <c r="EE1419" s="29"/>
      <c r="EF1419" s="111"/>
      <c r="EG1419" s="111"/>
      <c r="EH1419" s="111"/>
      <c r="EI1419" s="111"/>
      <c r="EJ1419" s="111"/>
      <c r="EK1419" s="111"/>
      <c r="EL1419" s="111"/>
      <c r="EM1419" s="111"/>
      <c r="EN1419" s="111"/>
      <c r="EO1419" s="111"/>
      <c r="EP1419" s="111"/>
      <c r="EQ1419" s="111"/>
      <c r="ER1419" s="111"/>
      <c r="ES1419" s="111"/>
    </row>
    <row r="1420" spans="44:149">
      <c r="AR1420" s="29"/>
      <c r="AS1420" s="29"/>
      <c r="AT1420" s="29"/>
      <c r="AU1420" s="29"/>
      <c r="AV1420" s="29"/>
      <c r="AW1420" s="29"/>
      <c r="AX1420" s="29"/>
      <c r="AY1420" s="29"/>
      <c r="AZ1420" s="29"/>
      <c r="BA1420" s="29"/>
      <c r="BB1420" s="29"/>
      <c r="BC1420" s="29"/>
      <c r="BD1420" s="29"/>
      <c r="BE1420" s="29"/>
      <c r="BF1420" s="111"/>
      <c r="BG1420" s="111"/>
      <c r="BH1420" s="111"/>
      <c r="BI1420" s="111"/>
      <c r="BJ1420" s="111"/>
      <c r="BK1420" s="111"/>
      <c r="BL1420" s="111"/>
      <c r="BM1420" s="111"/>
      <c r="BN1420" s="111"/>
      <c r="BO1420" s="111"/>
      <c r="BP1420" s="111"/>
      <c r="BQ1420" s="111"/>
      <c r="BR1420" s="111"/>
      <c r="BS1420" s="111"/>
      <c r="DR1420" s="29"/>
      <c r="DS1420" s="29"/>
      <c r="DT1420" s="29"/>
      <c r="DU1420" s="29"/>
      <c r="DV1420" s="29"/>
      <c r="DW1420" s="29"/>
      <c r="DX1420" s="29"/>
      <c r="DY1420" s="29"/>
      <c r="DZ1420" s="29"/>
      <c r="EA1420" s="29"/>
      <c r="EB1420" s="29"/>
      <c r="EC1420" s="29"/>
      <c r="ED1420" s="29"/>
      <c r="EE1420" s="29"/>
      <c r="EF1420" s="111"/>
      <c r="EG1420" s="111"/>
      <c r="EH1420" s="111"/>
      <c r="EI1420" s="111"/>
      <c r="EJ1420" s="111"/>
      <c r="EK1420" s="111"/>
      <c r="EL1420" s="111"/>
      <c r="EM1420" s="111"/>
      <c r="EN1420" s="111"/>
      <c r="EO1420" s="111"/>
      <c r="EP1420" s="111"/>
      <c r="EQ1420" s="111"/>
      <c r="ER1420" s="111"/>
      <c r="ES1420" s="111"/>
    </row>
    <row r="1421" spans="44:149">
      <c r="AR1421" s="29"/>
      <c r="AS1421" s="29"/>
      <c r="AT1421" s="29"/>
      <c r="AU1421" s="29"/>
      <c r="AV1421" s="29"/>
      <c r="AW1421" s="29"/>
      <c r="AX1421" s="29"/>
      <c r="AY1421" s="29"/>
      <c r="AZ1421" s="29"/>
      <c r="BA1421" s="29"/>
      <c r="BB1421" s="29"/>
      <c r="BC1421" s="29"/>
      <c r="BD1421" s="29"/>
      <c r="BE1421" s="29"/>
      <c r="BF1421" s="111"/>
      <c r="BG1421" s="111"/>
      <c r="BH1421" s="111"/>
      <c r="BI1421" s="111"/>
      <c r="BJ1421" s="111"/>
      <c r="BK1421" s="111"/>
      <c r="BL1421" s="111"/>
      <c r="BM1421" s="111"/>
      <c r="BN1421" s="111"/>
      <c r="BO1421" s="111"/>
      <c r="BP1421" s="111"/>
      <c r="BQ1421" s="111"/>
      <c r="BR1421" s="111"/>
      <c r="BS1421" s="111"/>
      <c r="DR1421" s="29"/>
      <c r="DS1421" s="29"/>
      <c r="DT1421" s="29"/>
      <c r="DU1421" s="29"/>
      <c r="DV1421" s="29"/>
      <c r="DW1421" s="29"/>
      <c r="DX1421" s="29"/>
      <c r="DY1421" s="29"/>
      <c r="DZ1421" s="29"/>
      <c r="EA1421" s="29"/>
      <c r="EB1421" s="29"/>
      <c r="EC1421" s="29"/>
      <c r="ED1421" s="29"/>
      <c r="EE1421" s="29"/>
      <c r="EF1421" s="111"/>
      <c r="EG1421" s="111"/>
      <c r="EH1421" s="111"/>
      <c r="EI1421" s="111"/>
      <c r="EJ1421" s="111"/>
      <c r="EK1421" s="111"/>
      <c r="EL1421" s="111"/>
      <c r="EM1421" s="111"/>
      <c r="EN1421" s="111"/>
      <c r="EO1421" s="111"/>
      <c r="EP1421" s="111"/>
      <c r="EQ1421" s="111"/>
      <c r="ER1421" s="111"/>
      <c r="ES1421" s="111"/>
    </row>
    <row r="1422" spans="44:149">
      <c r="AR1422" s="29"/>
      <c r="AS1422" s="29"/>
      <c r="AT1422" s="29"/>
      <c r="AU1422" s="29"/>
      <c r="AV1422" s="29"/>
      <c r="AW1422" s="29"/>
      <c r="AX1422" s="29"/>
      <c r="AY1422" s="29"/>
      <c r="AZ1422" s="29"/>
      <c r="BA1422" s="29"/>
      <c r="BB1422" s="29"/>
      <c r="BC1422" s="29"/>
      <c r="BD1422" s="29"/>
      <c r="BE1422" s="29"/>
      <c r="BF1422" s="111"/>
      <c r="BG1422" s="111"/>
      <c r="BH1422" s="111"/>
      <c r="BI1422" s="111"/>
      <c r="BJ1422" s="111"/>
      <c r="BK1422" s="111"/>
      <c r="BL1422" s="111"/>
      <c r="BM1422" s="111"/>
      <c r="BN1422" s="111"/>
      <c r="BO1422" s="111"/>
      <c r="BP1422" s="111"/>
      <c r="BQ1422" s="111"/>
      <c r="BR1422" s="111"/>
      <c r="BS1422" s="111"/>
      <c r="DR1422" s="29"/>
      <c r="DS1422" s="29"/>
      <c r="DT1422" s="29"/>
      <c r="DU1422" s="29"/>
      <c r="DV1422" s="29"/>
      <c r="DW1422" s="29"/>
      <c r="DX1422" s="29"/>
      <c r="DY1422" s="29"/>
      <c r="DZ1422" s="29"/>
      <c r="EA1422" s="29"/>
      <c r="EB1422" s="29"/>
      <c r="EC1422" s="29"/>
      <c r="ED1422" s="29"/>
      <c r="EE1422" s="29"/>
      <c r="EF1422" s="111"/>
      <c r="EG1422" s="111"/>
      <c r="EH1422" s="111"/>
      <c r="EI1422" s="111"/>
      <c r="EJ1422" s="111"/>
      <c r="EK1422" s="111"/>
      <c r="EL1422" s="111"/>
      <c r="EM1422" s="111"/>
      <c r="EN1422" s="111"/>
      <c r="EO1422" s="111"/>
      <c r="EP1422" s="111"/>
      <c r="EQ1422" s="111"/>
      <c r="ER1422" s="111"/>
      <c r="ES1422" s="111"/>
    </row>
    <row r="1423" spans="44:149">
      <c r="AR1423" s="29"/>
      <c r="AS1423" s="29"/>
      <c r="AT1423" s="29"/>
      <c r="AU1423" s="29"/>
      <c r="AV1423" s="29"/>
      <c r="AW1423" s="29"/>
      <c r="AX1423" s="29"/>
      <c r="AY1423" s="29"/>
      <c r="AZ1423" s="29"/>
      <c r="BA1423" s="29"/>
      <c r="BB1423" s="29"/>
      <c r="BC1423" s="29"/>
      <c r="BD1423" s="29"/>
      <c r="BE1423" s="29"/>
      <c r="BF1423" s="111"/>
      <c r="BG1423" s="111"/>
      <c r="BH1423" s="111"/>
      <c r="BI1423" s="111"/>
      <c r="BJ1423" s="111"/>
      <c r="BK1423" s="111"/>
      <c r="BL1423" s="111"/>
      <c r="BM1423" s="111"/>
      <c r="BN1423" s="111"/>
      <c r="BO1423" s="111"/>
      <c r="BP1423" s="111"/>
      <c r="BQ1423" s="111"/>
      <c r="BR1423" s="111"/>
      <c r="BS1423" s="111"/>
      <c r="DR1423" s="29"/>
      <c r="DS1423" s="29"/>
      <c r="DT1423" s="29"/>
      <c r="DU1423" s="29"/>
      <c r="DV1423" s="29"/>
      <c r="DW1423" s="29"/>
      <c r="DX1423" s="29"/>
      <c r="DY1423" s="29"/>
      <c r="DZ1423" s="29"/>
      <c r="EA1423" s="29"/>
      <c r="EB1423" s="29"/>
      <c r="EC1423" s="29"/>
      <c r="ED1423" s="29"/>
      <c r="EE1423" s="29"/>
      <c r="EF1423" s="111"/>
      <c r="EG1423" s="111"/>
      <c r="EH1423" s="111"/>
      <c r="EI1423" s="111"/>
      <c r="EJ1423" s="111"/>
      <c r="EK1423" s="111"/>
      <c r="EL1423" s="111"/>
      <c r="EM1423" s="111"/>
      <c r="EN1423" s="111"/>
      <c r="EO1423" s="111"/>
      <c r="EP1423" s="111"/>
      <c r="EQ1423" s="111"/>
      <c r="ER1423" s="111"/>
      <c r="ES1423" s="111"/>
    </row>
    <row r="1424" spans="44:149">
      <c r="AR1424" s="29"/>
      <c r="AS1424" s="29"/>
      <c r="AT1424" s="29"/>
      <c r="AU1424" s="29"/>
      <c r="AV1424" s="29"/>
      <c r="AW1424" s="29"/>
      <c r="AX1424" s="29"/>
      <c r="AY1424" s="29"/>
      <c r="AZ1424" s="29"/>
      <c r="BA1424" s="29"/>
      <c r="BB1424" s="29"/>
      <c r="BC1424" s="29"/>
      <c r="BD1424" s="29"/>
      <c r="BE1424" s="29"/>
      <c r="BF1424" s="111"/>
      <c r="BG1424" s="111"/>
      <c r="BH1424" s="111"/>
      <c r="BI1424" s="111"/>
      <c r="BJ1424" s="111"/>
      <c r="BK1424" s="111"/>
      <c r="BL1424" s="111"/>
      <c r="BM1424" s="111"/>
      <c r="BN1424" s="111"/>
      <c r="BO1424" s="111"/>
      <c r="BP1424" s="111"/>
      <c r="BQ1424" s="111"/>
      <c r="BR1424" s="111"/>
      <c r="BS1424" s="111"/>
      <c r="DR1424" s="29"/>
      <c r="DS1424" s="29"/>
      <c r="DT1424" s="29"/>
      <c r="DU1424" s="29"/>
      <c r="DV1424" s="29"/>
      <c r="DW1424" s="29"/>
      <c r="DX1424" s="29"/>
      <c r="DY1424" s="29"/>
      <c r="DZ1424" s="29"/>
      <c r="EA1424" s="29"/>
      <c r="EB1424" s="29"/>
      <c r="EC1424" s="29"/>
      <c r="ED1424" s="29"/>
      <c r="EE1424" s="29"/>
      <c r="EF1424" s="111"/>
      <c r="EG1424" s="111"/>
      <c r="EH1424" s="111"/>
      <c r="EI1424" s="111"/>
      <c r="EJ1424" s="111"/>
      <c r="EK1424" s="111"/>
      <c r="EL1424" s="111"/>
      <c r="EM1424" s="111"/>
      <c r="EN1424" s="111"/>
      <c r="EO1424" s="111"/>
      <c r="EP1424" s="111"/>
      <c r="EQ1424" s="111"/>
      <c r="ER1424" s="111"/>
      <c r="ES1424" s="111"/>
    </row>
    <row r="1425" spans="44:149">
      <c r="AR1425" s="29"/>
      <c r="AS1425" s="29"/>
      <c r="AT1425" s="29"/>
      <c r="AU1425" s="29"/>
      <c r="AV1425" s="29"/>
      <c r="AW1425" s="29"/>
      <c r="AX1425" s="29"/>
      <c r="AY1425" s="29"/>
      <c r="AZ1425" s="29"/>
      <c r="BA1425" s="29"/>
      <c r="BB1425" s="29"/>
      <c r="BC1425" s="29"/>
      <c r="BD1425" s="29"/>
      <c r="BE1425" s="29"/>
      <c r="BF1425" s="111"/>
      <c r="BG1425" s="111"/>
      <c r="BH1425" s="111"/>
      <c r="BI1425" s="111"/>
      <c r="BJ1425" s="111"/>
      <c r="BK1425" s="111"/>
      <c r="BL1425" s="111"/>
      <c r="BM1425" s="111"/>
      <c r="BN1425" s="111"/>
      <c r="BO1425" s="111"/>
      <c r="BP1425" s="111"/>
      <c r="BQ1425" s="111"/>
      <c r="BR1425" s="111"/>
      <c r="BS1425" s="111"/>
      <c r="DR1425" s="29"/>
      <c r="DS1425" s="29"/>
      <c r="DT1425" s="29"/>
      <c r="DU1425" s="29"/>
      <c r="DV1425" s="29"/>
      <c r="DW1425" s="29"/>
      <c r="DX1425" s="29"/>
      <c r="DY1425" s="29"/>
      <c r="DZ1425" s="29"/>
      <c r="EA1425" s="29"/>
      <c r="EB1425" s="29"/>
      <c r="EC1425" s="29"/>
      <c r="ED1425" s="29"/>
      <c r="EE1425" s="29"/>
      <c r="EF1425" s="111"/>
      <c r="EG1425" s="111"/>
      <c r="EH1425" s="111"/>
      <c r="EI1425" s="111"/>
      <c r="EJ1425" s="111"/>
      <c r="EK1425" s="111"/>
      <c r="EL1425" s="111"/>
      <c r="EM1425" s="111"/>
      <c r="EN1425" s="111"/>
      <c r="EO1425" s="111"/>
      <c r="EP1425" s="111"/>
      <c r="EQ1425" s="111"/>
      <c r="ER1425" s="111"/>
      <c r="ES1425" s="111"/>
    </row>
    <row r="1426" spans="44:149">
      <c r="AR1426" s="29"/>
      <c r="AS1426" s="29"/>
      <c r="AT1426" s="29"/>
      <c r="AU1426" s="29"/>
      <c r="AV1426" s="29"/>
      <c r="AW1426" s="29"/>
      <c r="AX1426" s="29"/>
      <c r="AY1426" s="29"/>
      <c r="AZ1426" s="29"/>
      <c r="BA1426" s="29"/>
      <c r="BB1426" s="29"/>
      <c r="BC1426" s="29"/>
      <c r="BD1426" s="29"/>
      <c r="BE1426" s="29"/>
      <c r="BF1426" s="111"/>
      <c r="BG1426" s="111"/>
      <c r="BH1426" s="111"/>
      <c r="BI1426" s="111"/>
      <c r="BJ1426" s="111"/>
      <c r="BK1426" s="111"/>
      <c r="BL1426" s="111"/>
      <c r="BM1426" s="111"/>
      <c r="BN1426" s="111"/>
      <c r="BO1426" s="111"/>
      <c r="BP1426" s="111"/>
      <c r="BQ1426" s="111"/>
      <c r="BR1426" s="111"/>
      <c r="BS1426" s="111"/>
      <c r="DR1426" s="29"/>
      <c r="DS1426" s="29"/>
      <c r="DT1426" s="29"/>
      <c r="DU1426" s="29"/>
      <c r="DV1426" s="29"/>
      <c r="DW1426" s="29"/>
      <c r="DX1426" s="29"/>
      <c r="DY1426" s="29"/>
      <c r="DZ1426" s="29"/>
      <c r="EA1426" s="29"/>
      <c r="EB1426" s="29"/>
      <c r="EC1426" s="29"/>
      <c r="ED1426" s="29"/>
      <c r="EE1426" s="29"/>
      <c r="EF1426" s="111"/>
      <c r="EG1426" s="111"/>
      <c r="EH1426" s="111"/>
      <c r="EI1426" s="111"/>
      <c r="EJ1426" s="111"/>
      <c r="EK1426" s="111"/>
      <c r="EL1426" s="111"/>
      <c r="EM1426" s="111"/>
      <c r="EN1426" s="111"/>
      <c r="EO1426" s="111"/>
      <c r="EP1426" s="111"/>
      <c r="EQ1426" s="111"/>
      <c r="ER1426" s="111"/>
      <c r="ES1426" s="111"/>
    </row>
    <row r="1427" spans="44:149">
      <c r="AR1427" s="29"/>
      <c r="AS1427" s="29"/>
      <c r="AT1427" s="29"/>
      <c r="AU1427" s="29"/>
      <c r="AV1427" s="29"/>
      <c r="AW1427" s="29"/>
      <c r="AX1427" s="29"/>
      <c r="AY1427" s="29"/>
      <c r="AZ1427" s="29"/>
      <c r="BA1427" s="29"/>
      <c r="BB1427" s="29"/>
      <c r="BC1427" s="29"/>
      <c r="BD1427" s="29"/>
      <c r="BE1427" s="29"/>
      <c r="BF1427" s="111"/>
      <c r="BG1427" s="111"/>
      <c r="BH1427" s="111"/>
      <c r="BI1427" s="111"/>
      <c r="BJ1427" s="111"/>
      <c r="BK1427" s="111"/>
      <c r="BL1427" s="111"/>
      <c r="BM1427" s="111"/>
      <c r="BN1427" s="111"/>
      <c r="BO1427" s="111"/>
      <c r="BP1427" s="111"/>
      <c r="BQ1427" s="111"/>
      <c r="BR1427" s="111"/>
      <c r="BS1427" s="111"/>
      <c r="DR1427" s="29"/>
      <c r="DS1427" s="29"/>
      <c r="DT1427" s="29"/>
      <c r="DU1427" s="29"/>
      <c r="DV1427" s="29"/>
      <c r="DW1427" s="29"/>
      <c r="DX1427" s="29"/>
      <c r="DY1427" s="29"/>
      <c r="DZ1427" s="29"/>
      <c r="EA1427" s="29"/>
      <c r="EB1427" s="29"/>
      <c r="EC1427" s="29"/>
      <c r="ED1427" s="29"/>
      <c r="EE1427" s="29"/>
      <c r="EF1427" s="111"/>
      <c r="EG1427" s="111"/>
      <c r="EH1427" s="111"/>
      <c r="EI1427" s="111"/>
      <c r="EJ1427" s="111"/>
      <c r="EK1427" s="111"/>
      <c r="EL1427" s="111"/>
      <c r="EM1427" s="111"/>
      <c r="EN1427" s="111"/>
      <c r="EO1427" s="111"/>
      <c r="EP1427" s="111"/>
      <c r="EQ1427" s="111"/>
      <c r="ER1427" s="111"/>
      <c r="ES1427" s="111"/>
    </row>
    <row r="1428" spans="44:149">
      <c r="AR1428" s="29"/>
      <c r="AS1428" s="29"/>
      <c r="AT1428" s="29"/>
      <c r="AU1428" s="29"/>
      <c r="AV1428" s="29"/>
      <c r="AW1428" s="29"/>
      <c r="AX1428" s="29"/>
      <c r="AY1428" s="29"/>
      <c r="AZ1428" s="29"/>
      <c r="BA1428" s="29"/>
      <c r="BB1428" s="29"/>
      <c r="BC1428" s="29"/>
      <c r="BD1428" s="29"/>
      <c r="BE1428" s="29"/>
      <c r="BF1428" s="111"/>
      <c r="BG1428" s="111"/>
      <c r="BH1428" s="111"/>
      <c r="BI1428" s="111"/>
      <c r="BJ1428" s="111"/>
      <c r="BK1428" s="111"/>
      <c r="BL1428" s="111"/>
      <c r="BM1428" s="111"/>
      <c r="BN1428" s="111"/>
      <c r="BO1428" s="111"/>
      <c r="BP1428" s="111"/>
      <c r="BQ1428" s="111"/>
      <c r="BR1428" s="111"/>
      <c r="BS1428" s="111"/>
      <c r="DR1428" s="29"/>
      <c r="DS1428" s="29"/>
      <c r="DT1428" s="29"/>
      <c r="DU1428" s="29"/>
      <c r="DV1428" s="29"/>
      <c r="DW1428" s="29"/>
      <c r="DX1428" s="29"/>
      <c r="DY1428" s="29"/>
      <c r="DZ1428" s="29"/>
      <c r="EA1428" s="29"/>
      <c r="EB1428" s="29"/>
      <c r="EC1428" s="29"/>
      <c r="ED1428" s="29"/>
      <c r="EE1428" s="29"/>
      <c r="EF1428" s="111"/>
      <c r="EG1428" s="111"/>
      <c r="EH1428" s="111"/>
      <c r="EI1428" s="111"/>
      <c r="EJ1428" s="111"/>
      <c r="EK1428" s="111"/>
      <c r="EL1428" s="111"/>
      <c r="EM1428" s="111"/>
      <c r="EN1428" s="111"/>
      <c r="EO1428" s="111"/>
      <c r="EP1428" s="111"/>
      <c r="EQ1428" s="111"/>
      <c r="ER1428" s="111"/>
      <c r="ES1428" s="111"/>
    </row>
    <row r="1429" spans="44:149">
      <c r="AR1429" s="29"/>
      <c r="AS1429" s="29"/>
      <c r="AT1429" s="29"/>
      <c r="AU1429" s="29"/>
      <c r="AV1429" s="29"/>
      <c r="AW1429" s="29"/>
      <c r="AX1429" s="29"/>
      <c r="AY1429" s="29"/>
      <c r="AZ1429" s="29"/>
      <c r="BA1429" s="29"/>
      <c r="BB1429" s="29"/>
      <c r="BC1429" s="29"/>
      <c r="BD1429" s="29"/>
      <c r="BE1429" s="29"/>
      <c r="BF1429" s="111"/>
      <c r="BG1429" s="111"/>
      <c r="BH1429" s="111"/>
      <c r="BI1429" s="111"/>
      <c r="BJ1429" s="111"/>
      <c r="BK1429" s="111"/>
      <c r="BL1429" s="111"/>
      <c r="BM1429" s="111"/>
      <c r="BN1429" s="111"/>
      <c r="BO1429" s="111"/>
      <c r="BP1429" s="111"/>
      <c r="BQ1429" s="111"/>
      <c r="BR1429" s="111"/>
      <c r="BS1429" s="111"/>
      <c r="DR1429" s="29"/>
      <c r="DS1429" s="29"/>
      <c r="DT1429" s="29"/>
      <c r="DU1429" s="29"/>
      <c r="DV1429" s="29"/>
      <c r="DW1429" s="29"/>
      <c r="DX1429" s="29"/>
      <c r="DY1429" s="29"/>
      <c r="DZ1429" s="29"/>
      <c r="EA1429" s="29"/>
      <c r="EB1429" s="29"/>
      <c r="EC1429" s="29"/>
      <c r="ED1429" s="29"/>
      <c r="EE1429" s="29"/>
      <c r="EF1429" s="111"/>
      <c r="EG1429" s="111"/>
      <c r="EH1429" s="111"/>
      <c r="EI1429" s="111"/>
      <c r="EJ1429" s="111"/>
      <c r="EK1429" s="111"/>
      <c r="EL1429" s="111"/>
      <c r="EM1429" s="111"/>
      <c r="EN1429" s="111"/>
      <c r="EO1429" s="111"/>
      <c r="EP1429" s="111"/>
      <c r="EQ1429" s="111"/>
      <c r="ER1429" s="111"/>
      <c r="ES1429" s="111"/>
    </row>
    <row r="1430" spans="44:149">
      <c r="AR1430" s="29"/>
      <c r="AS1430" s="29"/>
      <c r="AT1430" s="29"/>
      <c r="AU1430" s="29"/>
      <c r="AV1430" s="29"/>
      <c r="AW1430" s="29"/>
      <c r="AX1430" s="29"/>
      <c r="AY1430" s="29"/>
      <c r="AZ1430" s="29"/>
      <c r="BA1430" s="29"/>
      <c r="BB1430" s="29"/>
      <c r="BC1430" s="29"/>
      <c r="BD1430" s="29"/>
      <c r="BE1430" s="29"/>
      <c r="BF1430" s="111"/>
      <c r="BG1430" s="111"/>
      <c r="BH1430" s="111"/>
      <c r="BI1430" s="111"/>
      <c r="BJ1430" s="111"/>
      <c r="BK1430" s="111"/>
      <c r="BL1430" s="111"/>
      <c r="BM1430" s="111"/>
      <c r="BN1430" s="111"/>
      <c r="BO1430" s="111"/>
      <c r="BP1430" s="111"/>
      <c r="BQ1430" s="111"/>
      <c r="BR1430" s="111"/>
      <c r="BS1430" s="111"/>
      <c r="DR1430" s="29"/>
      <c r="DS1430" s="29"/>
      <c r="DT1430" s="29"/>
      <c r="DU1430" s="29"/>
      <c r="DV1430" s="29"/>
      <c r="DW1430" s="29"/>
      <c r="DX1430" s="29"/>
      <c r="DY1430" s="29"/>
      <c r="DZ1430" s="29"/>
      <c r="EA1430" s="29"/>
      <c r="EB1430" s="29"/>
      <c r="EC1430" s="29"/>
      <c r="ED1430" s="29"/>
      <c r="EE1430" s="29"/>
      <c r="EF1430" s="111"/>
      <c r="EG1430" s="111"/>
      <c r="EH1430" s="111"/>
      <c r="EI1430" s="111"/>
      <c r="EJ1430" s="111"/>
      <c r="EK1430" s="111"/>
      <c r="EL1430" s="111"/>
      <c r="EM1430" s="111"/>
      <c r="EN1430" s="111"/>
      <c r="EO1430" s="111"/>
      <c r="EP1430" s="111"/>
      <c r="EQ1430" s="111"/>
      <c r="ER1430" s="111"/>
      <c r="ES1430" s="111"/>
    </row>
    <row r="1431" spans="44:149">
      <c r="AR1431" s="29"/>
      <c r="AS1431" s="29"/>
      <c r="AT1431" s="29"/>
      <c r="AU1431" s="29"/>
      <c r="AV1431" s="29"/>
      <c r="AW1431" s="29"/>
      <c r="AX1431" s="29"/>
      <c r="AY1431" s="29"/>
      <c r="AZ1431" s="29"/>
      <c r="BA1431" s="29"/>
      <c r="BB1431" s="29"/>
      <c r="BC1431" s="29"/>
      <c r="BD1431" s="29"/>
      <c r="BE1431" s="29"/>
      <c r="BF1431" s="111"/>
      <c r="BG1431" s="111"/>
      <c r="BH1431" s="111"/>
      <c r="BI1431" s="111"/>
      <c r="BJ1431" s="111"/>
      <c r="BK1431" s="111"/>
      <c r="BL1431" s="111"/>
      <c r="BM1431" s="111"/>
      <c r="BN1431" s="111"/>
      <c r="BO1431" s="111"/>
      <c r="BP1431" s="111"/>
      <c r="BQ1431" s="111"/>
      <c r="BR1431" s="111"/>
      <c r="BS1431" s="111"/>
      <c r="DR1431" s="29"/>
      <c r="DS1431" s="29"/>
      <c r="DT1431" s="29"/>
      <c r="DU1431" s="29"/>
      <c r="DV1431" s="29"/>
      <c r="DW1431" s="29"/>
      <c r="DX1431" s="29"/>
      <c r="DY1431" s="29"/>
      <c r="DZ1431" s="29"/>
      <c r="EA1431" s="29"/>
      <c r="EB1431" s="29"/>
      <c r="EC1431" s="29"/>
      <c r="ED1431" s="29"/>
      <c r="EE1431" s="29"/>
      <c r="EF1431" s="111"/>
      <c r="EG1431" s="111"/>
      <c r="EH1431" s="111"/>
      <c r="EI1431" s="111"/>
      <c r="EJ1431" s="111"/>
      <c r="EK1431" s="111"/>
      <c r="EL1431" s="111"/>
      <c r="EM1431" s="111"/>
      <c r="EN1431" s="111"/>
      <c r="EO1431" s="111"/>
      <c r="EP1431" s="111"/>
      <c r="EQ1431" s="111"/>
      <c r="ER1431" s="111"/>
      <c r="ES1431" s="111"/>
    </row>
    <row r="1432" spans="44:149">
      <c r="AR1432" s="29"/>
      <c r="AS1432" s="29"/>
      <c r="AT1432" s="29"/>
      <c r="AU1432" s="29"/>
      <c r="AV1432" s="29"/>
      <c r="AW1432" s="29"/>
      <c r="AX1432" s="29"/>
      <c r="AY1432" s="29"/>
      <c r="AZ1432" s="29"/>
      <c r="BA1432" s="29"/>
      <c r="BB1432" s="29"/>
      <c r="BC1432" s="29"/>
      <c r="BD1432" s="29"/>
      <c r="BE1432" s="29"/>
      <c r="BF1432" s="111"/>
      <c r="BG1432" s="111"/>
      <c r="BH1432" s="111"/>
      <c r="BI1432" s="111"/>
      <c r="BJ1432" s="111"/>
      <c r="BK1432" s="111"/>
      <c r="BL1432" s="111"/>
      <c r="BM1432" s="111"/>
      <c r="BN1432" s="111"/>
      <c r="BO1432" s="111"/>
      <c r="BP1432" s="111"/>
      <c r="BQ1432" s="111"/>
      <c r="BR1432" s="111"/>
      <c r="BS1432" s="111"/>
      <c r="DR1432" s="29"/>
      <c r="DS1432" s="29"/>
      <c r="DT1432" s="29"/>
      <c r="DU1432" s="29"/>
      <c r="DV1432" s="29"/>
      <c r="DW1432" s="29"/>
      <c r="DX1432" s="29"/>
      <c r="DY1432" s="29"/>
      <c r="DZ1432" s="29"/>
      <c r="EA1432" s="29"/>
      <c r="EB1432" s="29"/>
      <c r="EC1432" s="29"/>
      <c r="ED1432" s="29"/>
      <c r="EE1432" s="29"/>
      <c r="EF1432" s="111"/>
      <c r="EG1432" s="111"/>
      <c r="EH1432" s="111"/>
      <c r="EI1432" s="111"/>
      <c r="EJ1432" s="111"/>
      <c r="EK1432" s="111"/>
      <c r="EL1432" s="111"/>
      <c r="EM1432" s="111"/>
      <c r="EN1432" s="111"/>
      <c r="EO1432" s="111"/>
      <c r="EP1432" s="111"/>
      <c r="EQ1432" s="111"/>
      <c r="ER1432" s="111"/>
      <c r="ES1432" s="111"/>
    </row>
    <row r="1433" spans="44:149">
      <c r="AR1433" s="29"/>
      <c r="AS1433" s="29"/>
      <c r="AT1433" s="29"/>
      <c r="AU1433" s="29"/>
      <c r="AV1433" s="29"/>
      <c r="AW1433" s="29"/>
      <c r="AX1433" s="29"/>
      <c r="AY1433" s="29"/>
      <c r="AZ1433" s="29"/>
      <c r="BA1433" s="29"/>
      <c r="BB1433" s="29"/>
      <c r="BC1433" s="29"/>
      <c r="BD1433" s="29"/>
      <c r="BE1433" s="29"/>
      <c r="BF1433" s="111"/>
      <c r="BG1433" s="111"/>
      <c r="BH1433" s="111"/>
      <c r="BI1433" s="111"/>
      <c r="BJ1433" s="111"/>
      <c r="BK1433" s="111"/>
      <c r="BL1433" s="111"/>
      <c r="BM1433" s="111"/>
      <c r="BN1433" s="111"/>
      <c r="BO1433" s="111"/>
      <c r="BP1433" s="111"/>
      <c r="BQ1433" s="111"/>
      <c r="BR1433" s="111"/>
      <c r="BS1433" s="111"/>
      <c r="DR1433" s="29"/>
      <c r="DS1433" s="29"/>
      <c r="DT1433" s="29"/>
      <c r="DU1433" s="29"/>
      <c r="DV1433" s="29"/>
      <c r="DW1433" s="29"/>
      <c r="DX1433" s="29"/>
      <c r="DY1433" s="29"/>
      <c r="DZ1433" s="29"/>
      <c r="EA1433" s="29"/>
      <c r="EB1433" s="29"/>
      <c r="EC1433" s="29"/>
      <c r="ED1433" s="29"/>
      <c r="EE1433" s="29"/>
      <c r="EF1433" s="111"/>
      <c r="EG1433" s="111"/>
      <c r="EH1433" s="111"/>
      <c r="EI1433" s="111"/>
      <c r="EJ1433" s="111"/>
      <c r="EK1433" s="111"/>
      <c r="EL1433" s="111"/>
      <c r="EM1433" s="111"/>
      <c r="EN1433" s="111"/>
      <c r="EO1433" s="111"/>
      <c r="EP1433" s="111"/>
      <c r="EQ1433" s="111"/>
      <c r="ER1433" s="111"/>
      <c r="ES1433" s="111"/>
    </row>
    <row r="1434" spans="44:149">
      <c r="AR1434" s="29"/>
      <c r="AS1434" s="29"/>
      <c r="AT1434" s="29"/>
      <c r="AU1434" s="29"/>
      <c r="AV1434" s="29"/>
      <c r="AW1434" s="29"/>
      <c r="AX1434" s="29"/>
      <c r="AY1434" s="29"/>
      <c r="AZ1434" s="29"/>
      <c r="BA1434" s="29"/>
      <c r="BB1434" s="29"/>
      <c r="BC1434" s="29"/>
      <c r="BD1434" s="29"/>
      <c r="BE1434" s="29"/>
      <c r="BF1434" s="111"/>
      <c r="BG1434" s="111"/>
      <c r="BH1434" s="111"/>
      <c r="BI1434" s="111"/>
      <c r="BJ1434" s="111"/>
      <c r="BK1434" s="111"/>
      <c r="BL1434" s="111"/>
      <c r="BM1434" s="111"/>
      <c r="BN1434" s="111"/>
      <c r="BO1434" s="111"/>
      <c r="BP1434" s="111"/>
      <c r="BQ1434" s="111"/>
      <c r="BR1434" s="111"/>
      <c r="BS1434" s="111"/>
      <c r="DR1434" s="29"/>
      <c r="DS1434" s="29"/>
      <c r="DT1434" s="29"/>
      <c r="DU1434" s="29"/>
      <c r="DV1434" s="29"/>
      <c r="DW1434" s="29"/>
      <c r="DX1434" s="29"/>
      <c r="DY1434" s="29"/>
      <c r="DZ1434" s="29"/>
      <c r="EA1434" s="29"/>
      <c r="EB1434" s="29"/>
      <c r="EC1434" s="29"/>
      <c r="ED1434" s="29"/>
      <c r="EE1434" s="29"/>
      <c r="EF1434" s="111"/>
      <c r="EG1434" s="111"/>
      <c r="EH1434" s="111"/>
      <c r="EI1434" s="111"/>
      <c r="EJ1434" s="111"/>
      <c r="EK1434" s="111"/>
      <c r="EL1434" s="111"/>
      <c r="EM1434" s="111"/>
      <c r="EN1434" s="111"/>
      <c r="EO1434" s="111"/>
      <c r="EP1434" s="111"/>
      <c r="EQ1434" s="111"/>
      <c r="ER1434" s="111"/>
      <c r="ES1434" s="111"/>
    </row>
    <row r="1435" spans="44:149">
      <c r="AR1435" s="29"/>
      <c r="AS1435" s="29"/>
      <c r="AT1435" s="29"/>
      <c r="AU1435" s="29"/>
      <c r="AV1435" s="29"/>
      <c r="AW1435" s="29"/>
      <c r="AX1435" s="29"/>
      <c r="AY1435" s="29"/>
      <c r="AZ1435" s="29"/>
      <c r="BA1435" s="29"/>
      <c r="BB1435" s="29"/>
      <c r="BC1435" s="29"/>
      <c r="BD1435" s="29"/>
      <c r="BE1435" s="29"/>
      <c r="BF1435" s="111"/>
      <c r="BG1435" s="111"/>
      <c r="BH1435" s="111"/>
      <c r="BI1435" s="111"/>
      <c r="BJ1435" s="111"/>
      <c r="BK1435" s="111"/>
      <c r="BL1435" s="111"/>
      <c r="BM1435" s="111"/>
      <c r="BN1435" s="111"/>
      <c r="BO1435" s="111"/>
      <c r="BP1435" s="111"/>
      <c r="BQ1435" s="111"/>
      <c r="BR1435" s="111"/>
      <c r="BS1435" s="111"/>
      <c r="DR1435" s="29"/>
      <c r="DS1435" s="29"/>
      <c r="DT1435" s="29"/>
      <c r="DU1435" s="29"/>
      <c r="DV1435" s="29"/>
      <c r="DW1435" s="29"/>
      <c r="DX1435" s="29"/>
      <c r="DY1435" s="29"/>
      <c r="DZ1435" s="29"/>
      <c r="EA1435" s="29"/>
      <c r="EB1435" s="29"/>
      <c r="EC1435" s="29"/>
      <c r="ED1435" s="29"/>
      <c r="EE1435" s="29"/>
      <c r="EF1435" s="111"/>
      <c r="EG1435" s="111"/>
      <c r="EH1435" s="111"/>
      <c r="EI1435" s="111"/>
      <c r="EJ1435" s="111"/>
      <c r="EK1435" s="111"/>
      <c r="EL1435" s="111"/>
      <c r="EM1435" s="111"/>
      <c r="EN1435" s="111"/>
      <c r="EO1435" s="111"/>
      <c r="EP1435" s="111"/>
      <c r="EQ1435" s="111"/>
      <c r="ER1435" s="111"/>
      <c r="ES1435" s="111"/>
    </row>
    <row r="1436" spans="44:149">
      <c r="AR1436" s="29"/>
      <c r="AS1436" s="29"/>
      <c r="AT1436" s="29"/>
      <c r="AU1436" s="29"/>
      <c r="AV1436" s="29"/>
      <c r="AW1436" s="29"/>
      <c r="AX1436" s="29"/>
      <c r="AY1436" s="29"/>
      <c r="AZ1436" s="29"/>
      <c r="BA1436" s="29"/>
      <c r="BB1436" s="29"/>
      <c r="BC1436" s="29"/>
      <c r="BD1436" s="29"/>
      <c r="BE1436" s="29"/>
      <c r="BF1436" s="111"/>
      <c r="BG1436" s="111"/>
      <c r="BH1436" s="111"/>
      <c r="BI1436" s="111"/>
      <c r="BJ1436" s="111"/>
      <c r="BK1436" s="111"/>
      <c r="BL1436" s="111"/>
      <c r="BM1436" s="111"/>
      <c r="BN1436" s="111"/>
      <c r="BO1436" s="111"/>
      <c r="BP1436" s="111"/>
      <c r="BQ1436" s="111"/>
      <c r="BR1436" s="111"/>
      <c r="BS1436" s="111"/>
      <c r="DR1436" s="29"/>
      <c r="DS1436" s="29"/>
      <c r="DT1436" s="29"/>
      <c r="DU1436" s="29"/>
      <c r="DV1436" s="29"/>
      <c r="DW1436" s="29"/>
      <c r="DX1436" s="29"/>
      <c r="DY1436" s="29"/>
      <c r="DZ1436" s="29"/>
      <c r="EA1436" s="29"/>
      <c r="EB1436" s="29"/>
      <c r="EC1436" s="29"/>
      <c r="ED1436" s="29"/>
      <c r="EE1436" s="29"/>
      <c r="EF1436" s="111"/>
      <c r="EG1436" s="111"/>
      <c r="EH1436" s="111"/>
      <c r="EI1436" s="111"/>
      <c r="EJ1436" s="111"/>
      <c r="EK1436" s="111"/>
      <c r="EL1436" s="111"/>
      <c r="EM1436" s="111"/>
      <c r="EN1436" s="111"/>
      <c r="EO1436" s="111"/>
      <c r="EP1436" s="111"/>
      <c r="EQ1436" s="111"/>
      <c r="ER1436" s="111"/>
      <c r="ES1436" s="111"/>
    </row>
    <row r="1437" spans="44:149">
      <c r="AR1437" s="29"/>
      <c r="AS1437" s="29"/>
      <c r="AT1437" s="29"/>
      <c r="AU1437" s="29"/>
      <c r="AV1437" s="29"/>
      <c r="AW1437" s="29"/>
      <c r="AX1437" s="29"/>
      <c r="AY1437" s="29"/>
      <c r="AZ1437" s="29"/>
      <c r="BA1437" s="29"/>
      <c r="BB1437" s="29"/>
      <c r="BC1437" s="29"/>
      <c r="BD1437" s="29"/>
      <c r="BE1437" s="29"/>
      <c r="BF1437" s="111"/>
      <c r="BG1437" s="111"/>
      <c r="BH1437" s="111"/>
      <c r="BI1437" s="111"/>
      <c r="BJ1437" s="111"/>
      <c r="BK1437" s="111"/>
      <c r="BL1437" s="111"/>
      <c r="BM1437" s="111"/>
      <c r="BN1437" s="111"/>
      <c r="BO1437" s="111"/>
      <c r="BP1437" s="111"/>
      <c r="BQ1437" s="111"/>
      <c r="BR1437" s="111"/>
      <c r="BS1437" s="111"/>
      <c r="DR1437" s="29"/>
      <c r="DS1437" s="29"/>
      <c r="DT1437" s="29"/>
      <c r="DU1437" s="29"/>
      <c r="DV1437" s="29"/>
      <c r="DW1437" s="29"/>
      <c r="DX1437" s="29"/>
      <c r="DY1437" s="29"/>
      <c r="DZ1437" s="29"/>
      <c r="EA1437" s="29"/>
      <c r="EB1437" s="29"/>
      <c r="EC1437" s="29"/>
      <c r="ED1437" s="29"/>
      <c r="EE1437" s="29"/>
      <c r="EF1437" s="111"/>
      <c r="EG1437" s="111"/>
      <c r="EH1437" s="111"/>
      <c r="EI1437" s="111"/>
      <c r="EJ1437" s="111"/>
      <c r="EK1437" s="111"/>
      <c r="EL1437" s="111"/>
      <c r="EM1437" s="111"/>
      <c r="EN1437" s="111"/>
      <c r="EO1437" s="111"/>
      <c r="EP1437" s="111"/>
      <c r="EQ1437" s="111"/>
      <c r="ER1437" s="111"/>
      <c r="ES1437" s="111"/>
    </row>
    <row r="1438" spans="44:149">
      <c r="AR1438" s="29"/>
      <c r="AS1438" s="29"/>
      <c r="AT1438" s="29"/>
      <c r="AU1438" s="29"/>
      <c r="AV1438" s="29"/>
      <c r="AW1438" s="29"/>
      <c r="AX1438" s="29"/>
      <c r="AY1438" s="29"/>
      <c r="AZ1438" s="29"/>
      <c r="BA1438" s="29"/>
      <c r="BB1438" s="29"/>
      <c r="BC1438" s="29"/>
      <c r="BD1438" s="29"/>
      <c r="BE1438" s="29"/>
      <c r="BF1438" s="111"/>
      <c r="BG1438" s="111"/>
      <c r="BH1438" s="111"/>
      <c r="BI1438" s="111"/>
      <c r="BJ1438" s="111"/>
      <c r="BK1438" s="111"/>
      <c r="BL1438" s="111"/>
      <c r="BM1438" s="111"/>
      <c r="BN1438" s="111"/>
      <c r="BO1438" s="111"/>
      <c r="BP1438" s="111"/>
      <c r="BQ1438" s="111"/>
      <c r="BR1438" s="111"/>
      <c r="BS1438" s="111"/>
      <c r="DR1438" s="29"/>
      <c r="DS1438" s="29"/>
      <c r="DT1438" s="29"/>
      <c r="DU1438" s="29"/>
      <c r="DV1438" s="29"/>
      <c r="DW1438" s="29"/>
      <c r="DX1438" s="29"/>
      <c r="DY1438" s="29"/>
      <c r="DZ1438" s="29"/>
      <c r="EA1438" s="29"/>
      <c r="EB1438" s="29"/>
      <c r="EC1438" s="29"/>
      <c r="ED1438" s="29"/>
      <c r="EE1438" s="29"/>
      <c r="EF1438" s="111"/>
      <c r="EG1438" s="111"/>
      <c r="EH1438" s="111"/>
      <c r="EI1438" s="111"/>
      <c r="EJ1438" s="111"/>
      <c r="EK1438" s="111"/>
      <c r="EL1438" s="111"/>
      <c r="EM1438" s="111"/>
      <c r="EN1438" s="111"/>
      <c r="EO1438" s="111"/>
      <c r="EP1438" s="111"/>
      <c r="EQ1438" s="111"/>
      <c r="ER1438" s="111"/>
      <c r="ES1438" s="111"/>
    </row>
    <row r="1439" spans="44:149">
      <c r="AR1439" s="29"/>
      <c r="AS1439" s="29"/>
      <c r="AT1439" s="29"/>
      <c r="AU1439" s="29"/>
      <c r="AV1439" s="29"/>
      <c r="AW1439" s="29"/>
      <c r="AX1439" s="29"/>
      <c r="AY1439" s="29"/>
      <c r="AZ1439" s="29"/>
      <c r="BA1439" s="29"/>
      <c r="BB1439" s="29"/>
      <c r="BC1439" s="29"/>
      <c r="BD1439" s="29"/>
      <c r="BE1439" s="29"/>
      <c r="BF1439" s="111"/>
      <c r="BG1439" s="111"/>
      <c r="BH1439" s="111"/>
      <c r="BI1439" s="111"/>
      <c r="BJ1439" s="111"/>
      <c r="BK1439" s="111"/>
      <c r="BL1439" s="111"/>
      <c r="BM1439" s="111"/>
      <c r="BN1439" s="111"/>
      <c r="BO1439" s="111"/>
      <c r="BP1439" s="111"/>
      <c r="BQ1439" s="111"/>
      <c r="BR1439" s="111"/>
      <c r="BS1439" s="111"/>
      <c r="DR1439" s="29"/>
      <c r="DS1439" s="29"/>
      <c r="DT1439" s="29"/>
      <c r="DU1439" s="29"/>
      <c r="DV1439" s="29"/>
      <c r="DW1439" s="29"/>
      <c r="DX1439" s="29"/>
      <c r="DY1439" s="29"/>
      <c r="DZ1439" s="29"/>
      <c r="EA1439" s="29"/>
      <c r="EB1439" s="29"/>
      <c r="EC1439" s="29"/>
      <c r="ED1439" s="29"/>
      <c r="EE1439" s="29"/>
      <c r="EF1439" s="111"/>
      <c r="EG1439" s="111"/>
      <c r="EH1439" s="111"/>
      <c r="EI1439" s="111"/>
      <c r="EJ1439" s="111"/>
      <c r="EK1439" s="111"/>
      <c r="EL1439" s="111"/>
      <c r="EM1439" s="111"/>
      <c r="EN1439" s="111"/>
      <c r="EO1439" s="111"/>
      <c r="EP1439" s="111"/>
      <c r="EQ1439" s="111"/>
      <c r="ER1439" s="111"/>
      <c r="ES1439" s="111"/>
    </row>
    <row r="1440" spans="44:149">
      <c r="AR1440" s="29"/>
      <c r="AS1440" s="29"/>
      <c r="AT1440" s="29"/>
      <c r="AU1440" s="29"/>
      <c r="AV1440" s="29"/>
      <c r="AW1440" s="29"/>
      <c r="AX1440" s="29"/>
      <c r="AY1440" s="29"/>
      <c r="AZ1440" s="29"/>
      <c r="BA1440" s="29"/>
      <c r="BB1440" s="29"/>
      <c r="BC1440" s="29"/>
      <c r="BD1440" s="29"/>
      <c r="BE1440" s="29"/>
      <c r="BF1440" s="111"/>
      <c r="BG1440" s="111"/>
      <c r="BH1440" s="111"/>
      <c r="BI1440" s="111"/>
      <c r="BJ1440" s="111"/>
      <c r="BK1440" s="111"/>
      <c r="BL1440" s="111"/>
      <c r="BM1440" s="111"/>
      <c r="BN1440" s="111"/>
      <c r="BO1440" s="111"/>
      <c r="BP1440" s="111"/>
      <c r="BQ1440" s="111"/>
      <c r="BR1440" s="111"/>
      <c r="BS1440" s="111"/>
      <c r="DR1440" s="29"/>
      <c r="DS1440" s="29"/>
      <c r="DT1440" s="29"/>
      <c r="DU1440" s="29"/>
      <c r="DV1440" s="29"/>
      <c r="DW1440" s="29"/>
      <c r="DX1440" s="29"/>
      <c r="DY1440" s="29"/>
      <c r="DZ1440" s="29"/>
      <c r="EA1440" s="29"/>
      <c r="EB1440" s="29"/>
      <c r="EC1440" s="29"/>
      <c r="ED1440" s="29"/>
      <c r="EE1440" s="29"/>
      <c r="EF1440" s="111"/>
      <c r="EG1440" s="111"/>
      <c r="EH1440" s="111"/>
      <c r="EI1440" s="111"/>
      <c r="EJ1440" s="111"/>
      <c r="EK1440" s="111"/>
      <c r="EL1440" s="111"/>
      <c r="EM1440" s="111"/>
      <c r="EN1440" s="111"/>
      <c r="EO1440" s="111"/>
      <c r="EP1440" s="111"/>
      <c r="EQ1440" s="111"/>
      <c r="ER1440" s="111"/>
      <c r="ES1440" s="111"/>
    </row>
    <row r="1441" spans="44:149">
      <c r="AR1441" s="29"/>
      <c r="AS1441" s="29"/>
      <c r="AT1441" s="29"/>
      <c r="AU1441" s="29"/>
      <c r="AV1441" s="29"/>
      <c r="AW1441" s="29"/>
      <c r="AX1441" s="29"/>
      <c r="AY1441" s="29"/>
      <c r="AZ1441" s="29"/>
      <c r="BA1441" s="29"/>
      <c r="BB1441" s="29"/>
      <c r="BC1441" s="29"/>
      <c r="BD1441" s="29"/>
      <c r="BE1441" s="29"/>
      <c r="BF1441" s="111"/>
      <c r="BG1441" s="111"/>
      <c r="BH1441" s="111"/>
      <c r="BI1441" s="111"/>
      <c r="BJ1441" s="111"/>
      <c r="BK1441" s="111"/>
      <c r="BL1441" s="111"/>
      <c r="BM1441" s="111"/>
      <c r="BN1441" s="111"/>
      <c r="BO1441" s="111"/>
      <c r="BP1441" s="111"/>
      <c r="BQ1441" s="111"/>
      <c r="BR1441" s="111"/>
      <c r="BS1441" s="111"/>
      <c r="DR1441" s="29"/>
      <c r="DS1441" s="29"/>
      <c r="DT1441" s="29"/>
      <c r="DU1441" s="29"/>
      <c r="DV1441" s="29"/>
      <c r="DW1441" s="29"/>
      <c r="DX1441" s="29"/>
      <c r="DY1441" s="29"/>
      <c r="DZ1441" s="29"/>
      <c r="EA1441" s="29"/>
      <c r="EB1441" s="29"/>
      <c r="EC1441" s="29"/>
      <c r="ED1441" s="29"/>
      <c r="EE1441" s="29"/>
      <c r="EF1441" s="111"/>
      <c r="EG1441" s="111"/>
      <c r="EH1441" s="111"/>
      <c r="EI1441" s="111"/>
      <c r="EJ1441" s="111"/>
      <c r="EK1441" s="111"/>
      <c r="EL1441" s="111"/>
      <c r="EM1441" s="111"/>
      <c r="EN1441" s="111"/>
      <c r="EO1441" s="111"/>
      <c r="EP1441" s="111"/>
      <c r="EQ1441" s="111"/>
      <c r="ER1441" s="111"/>
      <c r="ES1441" s="111"/>
    </row>
    <row r="1442" spans="44:149">
      <c r="AR1442" s="29"/>
      <c r="AS1442" s="29"/>
      <c r="AT1442" s="29"/>
      <c r="AU1442" s="29"/>
      <c r="AV1442" s="29"/>
      <c r="AW1442" s="29"/>
      <c r="AX1442" s="29"/>
      <c r="AY1442" s="29"/>
      <c r="AZ1442" s="29"/>
      <c r="BA1442" s="29"/>
      <c r="BB1442" s="29"/>
      <c r="BC1442" s="29"/>
      <c r="BD1442" s="29"/>
      <c r="BE1442" s="29"/>
      <c r="BF1442" s="111"/>
      <c r="BG1442" s="111"/>
      <c r="BH1442" s="111"/>
      <c r="BI1442" s="111"/>
      <c r="BJ1442" s="111"/>
      <c r="BK1442" s="111"/>
      <c r="BL1442" s="111"/>
      <c r="BM1442" s="111"/>
      <c r="BN1442" s="111"/>
      <c r="BO1442" s="111"/>
      <c r="BP1442" s="111"/>
      <c r="BQ1442" s="111"/>
      <c r="BR1442" s="111"/>
      <c r="BS1442" s="111"/>
      <c r="DR1442" s="29"/>
      <c r="DS1442" s="29"/>
      <c r="DT1442" s="29"/>
      <c r="DU1442" s="29"/>
      <c r="DV1442" s="29"/>
      <c r="DW1442" s="29"/>
      <c r="DX1442" s="29"/>
      <c r="DY1442" s="29"/>
      <c r="DZ1442" s="29"/>
      <c r="EA1442" s="29"/>
      <c r="EB1442" s="29"/>
      <c r="EC1442" s="29"/>
      <c r="ED1442" s="29"/>
      <c r="EE1442" s="29"/>
      <c r="EF1442" s="111"/>
      <c r="EG1442" s="111"/>
      <c r="EH1442" s="111"/>
      <c r="EI1442" s="111"/>
      <c r="EJ1442" s="111"/>
      <c r="EK1442" s="111"/>
      <c r="EL1442" s="111"/>
      <c r="EM1442" s="111"/>
      <c r="EN1442" s="111"/>
      <c r="EO1442" s="111"/>
      <c r="EP1442" s="111"/>
      <c r="EQ1442" s="111"/>
      <c r="ER1442" s="111"/>
      <c r="ES1442" s="111"/>
    </row>
    <row r="1443" spans="44:149">
      <c r="AR1443" s="29"/>
      <c r="AS1443" s="29"/>
      <c r="AT1443" s="29"/>
      <c r="AU1443" s="29"/>
      <c r="AV1443" s="29"/>
      <c r="AW1443" s="29"/>
      <c r="AX1443" s="29"/>
      <c r="AY1443" s="29"/>
      <c r="AZ1443" s="29"/>
      <c r="BA1443" s="29"/>
      <c r="BB1443" s="29"/>
      <c r="BC1443" s="29"/>
      <c r="BD1443" s="29"/>
      <c r="BE1443" s="29"/>
      <c r="BF1443" s="111"/>
      <c r="BG1443" s="111"/>
      <c r="BH1443" s="111"/>
      <c r="BI1443" s="111"/>
      <c r="BJ1443" s="111"/>
      <c r="BK1443" s="111"/>
      <c r="BL1443" s="111"/>
      <c r="BM1443" s="111"/>
      <c r="BN1443" s="111"/>
      <c r="BO1443" s="111"/>
      <c r="BP1443" s="111"/>
      <c r="BQ1443" s="111"/>
      <c r="BR1443" s="111"/>
      <c r="BS1443" s="111"/>
      <c r="DR1443" s="29"/>
      <c r="DS1443" s="29"/>
      <c r="DT1443" s="29"/>
      <c r="DU1443" s="29"/>
      <c r="DV1443" s="29"/>
      <c r="DW1443" s="29"/>
      <c r="DX1443" s="29"/>
      <c r="DY1443" s="29"/>
      <c r="DZ1443" s="29"/>
      <c r="EA1443" s="29"/>
      <c r="EB1443" s="29"/>
      <c r="EC1443" s="29"/>
      <c r="ED1443" s="29"/>
      <c r="EE1443" s="29"/>
      <c r="EF1443" s="111"/>
      <c r="EG1443" s="111"/>
      <c r="EH1443" s="111"/>
      <c r="EI1443" s="111"/>
      <c r="EJ1443" s="111"/>
      <c r="EK1443" s="111"/>
      <c r="EL1443" s="111"/>
      <c r="EM1443" s="111"/>
      <c r="EN1443" s="111"/>
      <c r="EO1443" s="111"/>
      <c r="EP1443" s="111"/>
      <c r="EQ1443" s="111"/>
      <c r="ER1443" s="111"/>
      <c r="ES1443" s="111"/>
    </row>
    <row r="1444" spans="44:149">
      <c r="AR1444" s="29"/>
      <c r="AS1444" s="29"/>
      <c r="AT1444" s="29"/>
      <c r="AU1444" s="29"/>
      <c r="AV1444" s="29"/>
      <c r="AW1444" s="29"/>
      <c r="AX1444" s="29"/>
      <c r="AY1444" s="29"/>
      <c r="AZ1444" s="29"/>
      <c r="BA1444" s="29"/>
      <c r="BB1444" s="29"/>
      <c r="BC1444" s="29"/>
      <c r="BD1444" s="29"/>
      <c r="BE1444" s="29"/>
      <c r="BF1444" s="111"/>
      <c r="BG1444" s="111"/>
      <c r="BH1444" s="111"/>
      <c r="BI1444" s="111"/>
      <c r="BJ1444" s="111"/>
      <c r="BK1444" s="111"/>
      <c r="BL1444" s="111"/>
      <c r="BM1444" s="111"/>
      <c r="BN1444" s="111"/>
      <c r="BO1444" s="111"/>
      <c r="BP1444" s="111"/>
      <c r="BQ1444" s="111"/>
      <c r="BR1444" s="111"/>
      <c r="BS1444" s="111"/>
      <c r="DR1444" s="29"/>
      <c r="DS1444" s="29"/>
      <c r="DT1444" s="29"/>
      <c r="DU1444" s="29"/>
      <c r="DV1444" s="29"/>
      <c r="DW1444" s="29"/>
      <c r="DX1444" s="29"/>
      <c r="DY1444" s="29"/>
      <c r="DZ1444" s="29"/>
      <c r="EA1444" s="29"/>
      <c r="EB1444" s="29"/>
      <c r="EC1444" s="29"/>
      <c r="ED1444" s="29"/>
      <c r="EE1444" s="29"/>
      <c r="EF1444" s="111"/>
      <c r="EG1444" s="111"/>
      <c r="EH1444" s="111"/>
      <c r="EI1444" s="111"/>
      <c r="EJ1444" s="111"/>
      <c r="EK1444" s="111"/>
      <c r="EL1444" s="111"/>
      <c r="EM1444" s="111"/>
      <c r="EN1444" s="111"/>
      <c r="EO1444" s="111"/>
      <c r="EP1444" s="111"/>
      <c r="EQ1444" s="111"/>
      <c r="ER1444" s="111"/>
      <c r="ES1444" s="111"/>
    </row>
    <row r="1445" spans="44:149">
      <c r="AR1445" s="29"/>
      <c r="AS1445" s="29"/>
      <c r="AT1445" s="29"/>
      <c r="AU1445" s="29"/>
      <c r="AV1445" s="29"/>
      <c r="AW1445" s="29"/>
      <c r="AX1445" s="29"/>
      <c r="AY1445" s="29"/>
      <c r="AZ1445" s="29"/>
      <c r="BA1445" s="29"/>
      <c r="BB1445" s="29"/>
      <c r="BC1445" s="29"/>
      <c r="BD1445" s="29"/>
      <c r="BE1445" s="29"/>
      <c r="BF1445" s="111"/>
      <c r="BG1445" s="111"/>
      <c r="BH1445" s="111"/>
      <c r="BI1445" s="111"/>
      <c r="BJ1445" s="111"/>
      <c r="BK1445" s="111"/>
      <c r="BL1445" s="111"/>
      <c r="BM1445" s="111"/>
      <c r="BN1445" s="111"/>
      <c r="BO1445" s="111"/>
      <c r="BP1445" s="111"/>
      <c r="BQ1445" s="111"/>
      <c r="BR1445" s="111"/>
      <c r="BS1445" s="111"/>
      <c r="DR1445" s="29"/>
      <c r="DS1445" s="29"/>
      <c r="DT1445" s="29"/>
      <c r="DU1445" s="29"/>
      <c r="DV1445" s="29"/>
      <c r="DW1445" s="29"/>
      <c r="DX1445" s="29"/>
      <c r="DY1445" s="29"/>
      <c r="DZ1445" s="29"/>
      <c r="EA1445" s="29"/>
      <c r="EB1445" s="29"/>
      <c r="EC1445" s="29"/>
      <c r="ED1445" s="29"/>
      <c r="EE1445" s="29"/>
      <c r="EF1445" s="111"/>
      <c r="EG1445" s="111"/>
      <c r="EH1445" s="111"/>
      <c r="EI1445" s="111"/>
      <c r="EJ1445" s="111"/>
      <c r="EK1445" s="111"/>
      <c r="EL1445" s="111"/>
      <c r="EM1445" s="111"/>
      <c r="EN1445" s="111"/>
      <c r="EO1445" s="111"/>
      <c r="EP1445" s="111"/>
      <c r="EQ1445" s="111"/>
      <c r="ER1445" s="111"/>
      <c r="ES1445" s="111"/>
    </row>
    <row r="1446" spans="44:149">
      <c r="AR1446" s="29"/>
      <c r="AS1446" s="29"/>
      <c r="AT1446" s="29"/>
      <c r="AU1446" s="29"/>
      <c r="AV1446" s="29"/>
      <c r="AW1446" s="29"/>
      <c r="AX1446" s="29"/>
      <c r="AY1446" s="29"/>
      <c r="AZ1446" s="29"/>
      <c r="BA1446" s="29"/>
      <c r="BB1446" s="29"/>
      <c r="BC1446" s="29"/>
      <c r="BD1446" s="29"/>
      <c r="BE1446" s="29"/>
      <c r="BF1446" s="111"/>
      <c r="BG1446" s="111"/>
      <c r="BH1446" s="111"/>
      <c r="BI1446" s="111"/>
      <c r="BJ1446" s="111"/>
      <c r="BK1446" s="111"/>
      <c r="BL1446" s="111"/>
      <c r="BM1446" s="111"/>
      <c r="BN1446" s="111"/>
      <c r="BO1446" s="111"/>
      <c r="BP1446" s="111"/>
      <c r="BQ1446" s="111"/>
      <c r="BR1446" s="111"/>
      <c r="BS1446" s="111"/>
      <c r="DR1446" s="29"/>
      <c r="DS1446" s="29"/>
      <c r="DT1446" s="29"/>
      <c r="DU1446" s="29"/>
      <c r="DV1446" s="29"/>
      <c r="DW1446" s="29"/>
      <c r="DX1446" s="29"/>
      <c r="DY1446" s="29"/>
      <c r="DZ1446" s="29"/>
      <c r="EA1446" s="29"/>
      <c r="EB1446" s="29"/>
      <c r="EC1446" s="29"/>
      <c r="ED1446" s="29"/>
      <c r="EE1446" s="29"/>
      <c r="EF1446" s="111"/>
      <c r="EG1446" s="111"/>
      <c r="EH1446" s="111"/>
      <c r="EI1446" s="111"/>
      <c r="EJ1446" s="111"/>
      <c r="EK1446" s="111"/>
      <c r="EL1446" s="111"/>
      <c r="EM1446" s="111"/>
      <c r="EN1446" s="111"/>
      <c r="EO1446" s="111"/>
      <c r="EP1446" s="111"/>
      <c r="EQ1446" s="111"/>
      <c r="ER1446" s="111"/>
      <c r="ES1446" s="111"/>
    </row>
    <row r="1447" spans="44:149">
      <c r="AR1447" s="29"/>
      <c r="AS1447" s="29"/>
      <c r="AT1447" s="29"/>
      <c r="AU1447" s="29"/>
      <c r="AV1447" s="29"/>
      <c r="AW1447" s="29"/>
      <c r="AX1447" s="29"/>
      <c r="AY1447" s="29"/>
      <c r="AZ1447" s="29"/>
      <c r="BA1447" s="29"/>
      <c r="BB1447" s="29"/>
      <c r="BC1447" s="29"/>
      <c r="BD1447" s="29"/>
      <c r="BE1447" s="29"/>
      <c r="BF1447" s="111"/>
      <c r="BG1447" s="111"/>
      <c r="BH1447" s="111"/>
      <c r="BI1447" s="111"/>
      <c r="BJ1447" s="111"/>
      <c r="BK1447" s="111"/>
      <c r="BL1447" s="111"/>
      <c r="BM1447" s="111"/>
      <c r="BN1447" s="111"/>
      <c r="BO1447" s="111"/>
      <c r="BP1447" s="111"/>
      <c r="BQ1447" s="111"/>
      <c r="BR1447" s="111"/>
      <c r="BS1447" s="111"/>
      <c r="DR1447" s="29"/>
      <c r="DS1447" s="29"/>
      <c r="DT1447" s="29"/>
      <c r="DU1447" s="29"/>
      <c r="DV1447" s="29"/>
      <c r="DW1447" s="29"/>
      <c r="DX1447" s="29"/>
      <c r="DY1447" s="29"/>
      <c r="DZ1447" s="29"/>
      <c r="EA1447" s="29"/>
      <c r="EB1447" s="29"/>
      <c r="EC1447" s="29"/>
      <c r="ED1447" s="29"/>
      <c r="EE1447" s="29"/>
      <c r="EF1447" s="111"/>
      <c r="EG1447" s="111"/>
      <c r="EH1447" s="111"/>
      <c r="EI1447" s="111"/>
      <c r="EJ1447" s="111"/>
      <c r="EK1447" s="111"/>
      <c r="EL1447" s="111"/>
      <c r="EM1447" s="111"/>
      <c r="EN1447" s="111"/>
      <c r="EO1447" s="111"/>
      <c r="EP1447" s="111"/>
      <c r="EQ1447" s="111"/>
      <c r="ER1447" s="111"/>
      <c r="ES1447" s="111"/>
    </row>
    <row r="1448" spans="44:149">
      <c r="AR1448" s="29"/>
      <c r="AS1448" s="29"/>
      <c r="AT1448" s="29"/>
      <c r="AU1448" s="29"/>
      <c r="AV1448" s="29"/>
      <c r="AW1448" s="29"/>
      <c r="AX1448" s="29"/>
      <c r="AY1448" s="29"/>
      <c r="AZ1448" s="29"/>
      <c r="BA1448" s="29"/>
      <c r="BB1448" s="29"/>
      <c r="BC1448" s="29"/>
      <c r="BD1448" s="29"/>
      <c r="BE1448" s="29"/>
      <c r="BF1448" s="111"/>
      <c r="BG1448" s="111"/>
      <c r="BH1448" s="111"/>
      <c r="BI1448" s="111"/>
      <c r="BJ1448" s="111"/>
      <c r="BK1448" s="111"/>
      <c r="BL1448" s="111"/>
      <c r="BM1448" s="111"/>
      <c r="BN1448" s="111"/>
      <c r="BO1448" s="111"/>
      <c r="BP1448" s="111"/>
      <c r="BQ1448" s="111"/>
      <c r="BR1448" s="111"/>
      <c r="BS1448" s="111"/>
      <c r="DR1448" s="29"/>
      <c r="DS1448" s="29"/>
      <c r="DT1448" s="29"/>
      <c r="DU1448" s="29"/>
      <c r="DV1448" s="29"/>
      <c r="DW1448" s="29"/>
      <c r="DX1448" s="29"/>
      <c r="DY1448" s="29"/>
      <c r="DZ1448" s="29"/>
      <c r="EA1448" s="29"/>
      <c r="EB1448" s="29"/>
      <c r="EC1448" s="29"/>
      <c r="ED1448" s="29"/>
      <c r="EE1448" s="29"/>
      <c r="EF1448" s="111"/>
      <c r="EG1448" s="111"/>
      <c r="EH1448" s="111"/>
      <c r="EI1448" s="111"/>
      <c r="EJ1448" s="111"/>
      <c r="EK1448" s="111"/>
      <c r="EL1448" s="111"/>
      <c r="EM1448" s="111"/>
      <c r="EN1448" s="111"/>
      <c r="EO1448" s="111"/>
      <c r="EP1448" s="111"/>
      <c r="EQ1448" s="111"/>
      <c r="ER1448" s="111"/>
      <c r="ES1448" s="111"/>
    </row>
    <row r="1449" spans="44:149">
      <c r="AR1449" s="29"/>
      <c r="AS1449" s="29"/>
      <c r="AT1449" s="29"/>
      <c r="AU1449" s="29"/>
      <c r="AV1449" s="29"/>
      <c r="AW1449" s="29"/>
      <c r="AX1449" s="29"/>
      <c r="AY1449" s="29"/>
      <c r="AZ1449" s="29"/>
      <c r="BA1449" s="29"/>
      <c r="BB1449" s="29"/>
      <c r="BC1449" s="29"/>
      <c r="BD1449" s="29"/>
      <c r="BE1449" s="29"/>
      <c r="BF1449" s="111"/>
      <c r="BG1449" s="111"/>
      <c r="BH1449" s="111"/>
      <c r="BI1449" s="111"/>
      <c r="BJ1449" s="111"/>
      <c r="BK1449" s="111"/>
      <c r="BL1449" s="111"/>
      <c r="BM1449" s="111"/>
      <c r="BN1449" s="111"/>
      <c r="BO1449" s="111"/>
      <c r="BP1449" s="111"/>
      <c r="BQ1449" s="111"/>
      <c r="BR1449" s="111"/>
      <c r="BS1449" s="111"/>
      <c r="DR1449" s="29"/>
      <c r="DS1449" s="29"/>
      <c r="DT1449" s="29"/>
      <c r="DU1449" s="29"/>
      <c r="DV1449" s="29"/>
      <c r="DW1449" s="29"/>
      <c r="DX1449" s="29"/>
      <c r="DY1449" s="29"/>
      <c r="DZ1449" s="29"/>
      <c r="EA1449" s="29"/>
      <c r="EB1449" s="29"/>
      <c r="EC1449" s="29"/>
      <c r="ED1449" s="29"/>
      <c r="EE1449" s="29"/>
      <c r="EF1449" s="111"/>
      <c r="EG1449" s="111"/>
      <c r="EH1449" s="111"/>
      <c r="EI1449" s="111"/>
      <c r="EJ1449" s="111"/>
      <c r="EK1449" s="111"/>
      <c r="EL1449" s="111"/>
      <c r="EM1449" s="111"/>
      <c r="EN1449" s="111"/>
      <c r="EO1449" s="111"/>
      <c r="EP1449" s="111"/>
      <c r="EQ1449" s="111"/>
      <c r="ER1449" s="111"/>
      <c r="ES1449" s="111"/>
    </row>
    <row r="1450" spans="44:149">
      <c r="AR1450" s="29"/>
      <c r="AS1450" s="29"/>
      <c r="AT1450" s="29"/>
      <c r="AU1450" s="29"/>
      <c r="AV1450" s="29"/>
      <c r="AW1450" s="29"/>
      <c r="AX1450" s="29"/>
      <c r="AY1450" s="29"/>
      <c r="AZ1450" s="29"/>
      <c r="BA1450" s="29"/>
      <c r="BB1450" s="29"/>
      <c r="BC1450" s="29"/>
      <c r="BD1450" s="29"/>
      <c r="BE1450" s="29"/>
      <c r="BF1450" s="111"/>
      <c r="BG1450" s="111"/>
      <c r="BH1450" s="111"/>
      <c r="BI1450" s="111"/>
      <c r="BJ1450" s="111"/>
      <c r="BK1450" s="111"/>
      <c r="BL1450" s="111"/>
      <c r="BM1450" s="111"/>
      <c r="BN1450" s="111"/>
      <c r="BO1450" s="111"/>
      <c r="BP1450" s="111"/>
      <c r="BQ1450" s="111"/>
      <c r="BR1450" s="111"/>
      <c r="BS1450" s="111"/>
      <c r="DR1450" s="29"/>
      <c r="DS1450" s="29"/>
      <c r="DT1450" s="29"/>
      <c r="DU1450" s="29"/>
      <c r="DV1450" s="29"/>
      <c r="DW1450" s="29"/>
      <c r="DX1450" s="29"/>
      <c r="DY1450" s="29"/>
      <c r="DZ1450" s="29"/>
      <c r="EA1450" s="29"/>
      <c r="EB1450" s="29"/>
      <c r="EC1450" s="29"/>
      <c r="ED1450" s="29"/>
      <c r="EE1450" s="29"/>
      <c r="EF1450" s="111"/>
      <c r="EG1450" s="111"/>
      <c r="EH1450" s="111"/>
      <c r="EI1450" s="111"/>
      <c r="EJ1450" s="111"/>
      <c r="EK1450" s="111"/>
      <c r="EL1450" s="111"/>
      <c r="EM1450" s="111"/>
      <c r="EN1450" s="111"/>
      <c r="EO1450" s="111"/>
      <c r="EP1450" s="111"/>
      <c r="EQ1450" s="111"/>
      <c r="ER1450" s="111"/>
      <c r="ES1450" s="111"/>
    </row>
    <row r="1451" spans="44:149">
      <c r="AR1451" s="29"/>
      <c r="AS1451" s="29"/>
      <c r="AT1451" s="29"/>
      <c r="AU1451" s="29"/>
      <c r="AV1451" s="29"/>
      <c r="AW1451" s="29"/>
      <c r="AX1451" s="29"/>
      <c r="AY1451" s="29"/>
      <c r="AZ1451" s="29"/>
      <c r="BA1451" s="29"/>
      <c r="BB1451" s="29"/>
      <c r="BC1451" s="29"/>
      <c r="BD1451" s="29"/>
      <c r="BE1451" s="29"/>
      <c r="BF1451" s="111"/>
      <c r="BG1451" s="111"/>
      <c r="BH1451" s="111"/>
      <c r="BI1451" s="111"/>
      <c r="BJ1451" s="111"/>
      <c r="BK1451" s="111"/>
      <c r="BL1451" s="111"/>
      <c r="BM1451" s="111"/>
      <c r="BN1451" s="111"/>
      <c r="BO1451" s="111"/>
      <c r="BP1451" s="111"/>
      <c r="BQ1451" s="111"/>
      <c r="BR1451" s="111"/>
      <c r="BS1451" s="111"/>
      <c r="DR1451" s="29"/>
      <c r="DS1451" s="29"/>
      <c r="DT1451" s="29"/>
      <c r="DU1451" s="29"/>
      <c r="DV1451" s="29"/>
      <c r="DW1451" s="29"/>
      <c r="DX1451" s="29"/>
      <c r="DY1451" s="29"/>
      <c r="DZ1451" s="29"/>
      <c r="EA1451" s="29"/>
      <c r="EB1451" s="29"/>
      <c r="EC1451" s="29"/>
      <c r="ED1451" s="29"/>
      <c r="EE1451" s="29"/>
      <c r="EF1451" s="111"/>
      <c r="EG1451" s="111"/>
      <c r="EH1451" s="111"/>
      <c r="EI1451" s="111"/>
      <c r="EJ1451" s="111"/>
      <c r="EK1451" s="111"/>
      <c r="EL1451" s="111"/>
      <c r="EM1451" s="111"/>
      <c r="EN1451" s="111"/>
      <c r="EO1451" s="111"/>
      <c r="EP1451" s="111"/>
      <c r="EQ1451" s="111"/>
      <c r="ER1451" s="111"/>
      <c r="ES1451" s="111"/>
    </row>
    <row r="1452" spans="44:149">
      <c r="AR1452" s="29"/>
      <c r="AS1452" s="29"/>
      <c r="AT1452" s="29"/>
      <c r="AU1452" s="29"/>
      <c r="AV1452" s="29"/>
      <c r="AW1452" s="29"/>
      <c r="AX1452" s="29"/>
      <c r="AY1452" s="29"/>
      <c r="AZ1452" s="29"/>
      <c r="BA1452" s="29"/>
      <c r="BB1452" s="29"/>
      <c r="BC1452" s="29"/>
      <c r="BD1452" s="29"/>
      <c r="BE1452" s="29"/>
      <c r="BF1452" s="111"/>
      <c r="BG1452" s="111"/>
      <c r="BH1452" s="111"/>
      <c r="BI1452" s="111"/>
      <c r="BJ1452" s="111"/>
      <c r="BK1452" s="111"/>
      <c r="BL1452" s="111"/>
      <c r="BM1452" s="111"/>
      <c r="BN1452" s="111"/>
      <c r="BO1452" s="111"/>
      <c r="BP1452" s="111"/>
      <c r="BQ1452" s="111"/>
      <c r="BR1452" s="111"/>
      <c r="BS1452" s="111"/>
      <c r="DR1452" s="29"/>
      <c r="DS1452" s="29"/>
      <c r="DT1452" s="29"/>
      <c r="DU1452" s="29"/>
      <c r="DV1452" s="29"/>
      <c r="DW1452" s="29"/>
      <c r="DX1452" s="29"/>
      <c r="DY1452" s="29"/>
      <c r="DZ1452" s="29"/>
      <c r="EA1452" s="29"/>
      <c r="EB1452" s="29"/>
      <c r="EC1452" s="29"/>
      <c r="ED1452" s="29"/>
      <c r="EE1452" s="29"/>
      <c r="EF1452" s="111"/>
      <c r="EG1452" s="111"/>
      <c r="EH1452" s="111"/>
      <c r="EI1452" s="111"/>
      <c r="EJ1452" s="111"/>
      <c r="EK1452" s="111"/>
      <c r="EL1452" s="111"/>
      <c r="EM1452" s="111"/>
      <c r="EN1452" s="111"/>
      <c r="EO1452" s="111"/>
      <c r="EP1452" s="111"/>
      <c r="EQ1452" s="111"/>
      <c r="ER1452" s="111"/>
      <c r="ES1452" s="111"/>
    </row>
    <row r="1453" spans="44:149">
      <c r="AR1453" s="29"/>
      <c r="AS1453" s="29"/>
      <c r="AT1453" s="29"/>
      <c r="AU1453" s="29"/>
      <c r="AV1453" s="29"/>
      <c r="AW1453" s="29"/>
      <c r="AX1453" s="29"/>
      <c r="AY1453" s="29"/>
      <c r="AZ1453" s="29"/>
      <c r="BA1453" s="29"/>
      <c r="BB1453" s="29"/>
      <c r="BC1453" s="29"/>
      <c r="BD1453" s="29"/>
      <c r="BE1453" s="29"/>
      <c r="BF1453" s="111"/>
      <c r="BG1453" s="111"/>
      <c r="BH1453" s="111"/>
      <c r="BI1453" s="111"/>
      <c r="BJ1453" s="111"/>
      <c r="BK1453" s="111"/>
      <c r="BL1453" s="111"/>
      <c r="BM1453" s="111"/>
      <c r="BN1453" s="111"/>
      <c r="BO1453" s="111"/>
      <c r="BP1453" s="111"/>
      <c r="BQ1453" s="111"/>
      <c r="BR1453" s="111"/>
      <c r="BS1453" s="111"/>
      <c r="DR1453" s="29"/>
      <c r="DS1453" s="29"/>
      <c r="DT1453" s="29"/>
      <c r="DU1453" s="29"/>
      <c r="DV1453" s="29"/>
      <c r="DW1453" s="29"/>
      <c r="DX1453" s="29"/>
      <c r="DY1453" s="29"/>
      <c r="DZ1453" s="29"/>
      <c r="EA1453" s="29"/>
      <c r="EB1453" s="29"/>
      <c r="EC1453" s="29"/>
      <c r="ED1453" s="29"/>
      <c r="EE1453" s="29"/>
      <c r="EF1453" s="111"/>
      <c r="EG1453" s="111"/>
      <c r="EH1453" s="111"/>
      <c r="EI1453" s="111"/>
      <c r="EJ1453" s="111"/>
      <c r="EK1453" s="111"/>
      <c r="EL1453" s="111"/>
      <c r="EM1453" s="111"/>
      <c r="EN1453" s="111"/>
      <c r="EO1453" s="111"/>
      <c r="EP1453" s="111"/>
      <c r="EQ1453" s="111"/>
      <c r="ER1453" s="111"/>
      <c r="ES1453" s="111"/>
    </row>
    <row r="1454" spans="44:149">
      <c r="AR1454" s="29"/>
      <c r="AS1454" s="29"/>
      <c r="AT1454" s="29"/>
      <c r="AU1454" s="29"/>
      <c r="AV1454" s="29"/>
      <c r="AW1454" s="29"/>
      <c r="AX1454" s="29"/>
      <c r="AY1454" s="29"/>
      <c r="AZ1454" s="29"/>
      <c r="BA1454" s="29"/>
      <c r="BB1454" s="29"/>
      <c r="BC1454" s="29"/>
      <c r="BD1454" s="29"/>
      <c r="BE1454" s="29"/>
      <c r="BF1454" s="111"/>
      <c r="BG1454" s="111"/>
      <c r="BH1454" s="111"/>
      <c r="BI1454" s="111"/>
      <c r="BJ1454" s="111"/>
      <c r="BK1454" s="111"/>
      <c r="BL1454" s="111"/>
      <c r="BM1454" s="111"/>
      <c r="BN1454" s="111"/>
      <c r="BO1454" s="111"/>
      <c r="BP1454" s="111"/>
      <c r="BQ1454" s="111"/>
      <c r="BR1454" s="111"/>
      <c r="BS1454" s="111"/>
      <c r="DR1454" s="29"/>
      <c r="DS1454" s="29"/>
      <c r="DT1454" s="29"/>
      <c r="DU1454" s="29"/>
      <c r="DV1454" s="29"/>
      <c r="DW1454" s="29"/>
      <c r="DX1454" s="29"/>
      <c r="DY1454" s="29"/>
      <c r="DZ1454" s="29"/>
      <c r="EA1454" s="29"/>
      <c r="EB1454" s="29"/>
      <c r="EC1454" s="29"/>
      <c r="ED1454" s="29"/>
      <c r="EE1454" s="29"/>
      <c r="EF1454" s="111"/>
      <c r="EG1454" s="111"/>
      <c r="EH1454" s="111"/>
      <c r="EI1454" s="111"/>
      <c r="EJ1454" s="111"/>
      <c r="EK1454" s="111"/>
      <c r="EL1454" s="111"/>
      <c r="EM1454" s="111"/>
      <c r="EN1454" s="111"/>
      <c r="EO1454" s="111"/>
      <c r="EP1454" s="111"/>
      <c r="EQ1454" s="111"/>
      <c r="ER1454" s="111"/>
      <c r="ES1454" s="111"/>
    </row>
    <row r="1455" spans="44:149">
      <c r="AR1455" s="29"/>
      <c r="AS1455" s="29"/>
      <c r="AT1455" s="29"/>
      <c r="AU1455" s="29"/>
      <c r="AV1455" s="29"/>
      <c r="AW1455" s="29"/>
      <c r="AX1455" s="29"/>
      <c r="AY1455" s="29"/>
      <c r="AZ1455" s="29"/>
      <c r="BA1455" s="29"/>
      <c r="BB1455" s="29"/>
      <c r="BC1455" s="29"/>
      <c r="BD1455" s="29"/>
      <c r="BE1455" s="29"/>
      <c r="BF1455" s="111"/>
      <c r="BG1455" s="111"/>
      <c r="BH1455" s="111"/>
      <c r="BI1455" s="111"/>
      <c r="BJ1455" s="111"/>
      <c r="BK1455" s="111"/>
      <c r="BL1455" s="111"/>
      <c r="BM1455" s="111"/>
      <c r="BN1455" s="111"/>
      <c r="BO1455" s="111"/>
      <c r="BP1455" s="111"/>
      <c r="BQ1455" s="111"/>
      <c r="BR1455" s="111"/>
      <c r="BS1455" s="111"/>
      <c r="DR1455" s="29"/>
      <c r="DS1455" s="29"/>
      <c r="DT1455" s="29"/>
      <c r="DU1455" s="29"/>
      <c r="DV1455" s="29"/>
      <c r="DW1455" s="29"/>
      <c r="DX1455" s="29"/>
      <c r="DY1455" s="29"/>
      <c r="DZ1455" s="29"/>
      <c r="EA1455" s="29"/>
      <c r="EB1455" s="29"/>
      <c r="EC1455" s="29"/>
      <c r="ED1455" s="29"/>
      <c r="EE1455" s="29"/>
      <c r="EF1455" s="111"/>
      <c r="EG1455" s="111"/>
      <c r="EH1455" s="111"/>
      <c r="EI1455" s="111"/>
      <c r="EJ1455" s="111"/>
      <c r="EK1455" s="111"/>
      <c r="EL1455" s="111"/>
      <c r="EM1455" s="111"/>
      <c r="EN1455" s="111"/>
      <c r="EO1455" s="111"/>
      <c r="EP1455" s="111"/>
      <c r="EQ1455" s="111"/>
      <c r="ER1455" s="111"/>
      <c r="ES1455" s="111"/>
    </row>
    <row r="1456" spans="44:149">
      <c r="AR1456" s="29"/>
      <c r="AS1456" s="29"/>
      <c r="AT1456" s="29"/>
      <c r="AU1456" s="29"/>
      <c r="AV1456" s="29"/>
      <c r="AW1456" s="29"/>
      <c r="AX1456" s="29"/>
      <c r="AY1456" s="29"/>
      <c r="AZ1456" s="29"/>
      <c r="BA1456" s="29"/>
      <c r="BB1456" s="29"/>
      <c r="BC1456" s="29"/>
      <c r="BD1456" s="29"/>
      <c r="BE1456" s="29"/>
      <c r="BF1456" s="111"/>
      <c r="BG1456" s="111"/>
      <c r="BH1456" s="111"/>
      <c r="BI1456" s="111"/>
      <c r="BJ1456" s="111"/>
      <c r="BK1456" s="111"/>
      <c r="BL1456" s="111"/>
      <c r="BM1456" s="111"/>
      <c r="BN1456" s="111"/>
      <c r="BO1456" s="111"/>
      <c r="BP1456" s="111"/>
      <c r="BQ1456" s="111"/>
      <c r="BR1456" s="111"/>
      <c r="BS1456" s="111"/>
      <c r="DR1456" s="29"/>
      <c r="DS1456" s="29"/>
      <c r="DT1456" s="29"/>
      <c r="DU1456" s="29"/>
      <c r="DV1456" s="29"/>
      <c r="DW1456" s="29"/>
      <c r="DX1456" s="29"/>
      <c r="DY1456" s="29"/>
      <c r="DZ1456" s="29"/>
      <c r="EA1456" s="29"/>
      <c r="EB1456" s="29"/>
      <c r="EC1456" s="29"/>
      <c r="ED1456" s="29"/>
      <c r="EE1456" s="29"/>
      <c r="EF1456" s="111"/>
      <c r="EG1456" s="111"/>
      <c r="EH1456" s="111"/>
      <c r="EI1456" s="111"/>
      <c r="EJ1456" s="111"/>
      <c r="EK1456" s="111"/>
      <c r="EL1456" s="111"/>
      <c r="EM1456" s="111"/>
      <c r="EN1456" s="111"/>
      <c r="EO1456" s="111"/>
      <c r="EP1456" s="111"/>
      <c r="EQ1456" s="111"/>
      <c r="ER1456" s="111"/>
      <c r="ES1456" s="111"/>
    </row>
    <row r="1457" spans="44:149">
      <c r="AR1457" s="29"/>
      <c r="AS1457" s="29"/>
      <c r="AT1457" s="29"/>
      <c r="AU1457" s="29"/>
      <c r="AV1457" s="29"/>
      <c r="AW1457" s="29"/>
      <c r="AX1457" s="29"/>
      <c r="AY1457" s="29"/>
      <c r="AZ1457" s="29"/>
      <c r="BA1457" s="29"/>
      <c r="BB1457" s="29"/>
      <c r="BC1457" s="29"/>
      <c r="BD1457" s="29"/>
      <c r="BE1457" s="29"/>
      <c r="BF1457" s="111"/>
      <c r="BG1457" s="111"/>
      <c r="BH1457" s="111"/>
      <c r="BI1457" s="111"/>
      <c r="BJ1457" s="111"/>
      <c r="BK1457" s="111"/>
      <c r="BL1457" s="111"/>
      <c r="BM1457" s="111"/>
      <c r="BN1457" s="111"/>
      <c r="BO1457" s="111"/>
      <c r="BP1457" s="111"/>
      <c r="BQ1457" s="111"/>
      <c r="BR1457" s="111"/>
      <c r="BS1457" s="111"/>
      <c r="DR1457" s="29"/>
      <c r="DS1457" s="29"/>
      <c r="DT1457" s="29"/>
      <c r="DU1457" s="29"/>
      <c r="DV1457" s="29"/>
      <c r="DW1457" s="29"/>
      <c r="DX1457" s="29"/>
      <c r="DY1457" s="29"/>
      <c r="DZ1457" s="29"/>
      <c r="EA1457" s="29"/>
      <c r="EB1457" s="29"/>
      <c r="EC1457" s="29"/>
      <c r="ED1457" s="29"/>
      <c r="EE1457" s="29"/>
      <c r="EF1457" s="111"/>
      <c r="EG1457" s="111"/>
      <c r="EH1457" s="111"/>
      <c r="EI1457" s="111"/>
      <c r="EJ1457" s="111"/>
      <c r="EK1457" s="111"/>
      <c r="EL1457" s="111"/>
      <c r="EM1457" s="111"/>
      <c r="EN1457" s="111"/>
      <c r="EO1457" s="111"/>
      <c r="EP1457" s="111"/>
      <c r="EQ1457" s="111"/>
      <c r="ER1457" s="111"/>
      <c r="ES1457" s="111"/>
    </row>
    <row r="1458" spans="44:149">
      <c r="AR1458" s="29"/>
      <c r="AS1458" s="29"/>
      <c r="AT1458" s="29"/>
      <c r="AU1458" s="29"/>
      <c r="AV1458" s="29"/>
      <c r="AW1458" s="29"/>
      <c r="AX1458" s="29"/>
      <c r="AY1458" s="29"/>
      <c r="AZ1458" s="29"/>
      <c r="BA1458" s="29"/>
      <c r="BB1458" s="29"/>
      <c r="BC1458" s="29"/>
      <c r="BD1458" s="29"/>
      <c r="BE1458" s="29"/>
      <c r="BF1458" s="111"/>
      <c r="BG1458" s="111"/>
      <c r="BH1458" s="111"/>
      <c r="BI1458" s="111"/>
      <c r="BJ1458" s="111"/>
      <c r="BK1458" s="111"/>
      <c r="BL1458" s="111"/>
      <c r="BM1458" s="111"/>
      <c r="BN1458" s="111"/>
      <c r="BO1458" s="111"/>
      <c r="BP1458" s="111"/>
      <c r="BQ1458" s="111"/>
      <c r="BR1458" s="111"/>
      <c r="BS1458" s="111"/>
      <c r="DR1458" s="29"/>
      <c r="DS1458" s="29"/>
      <c r="DT1458" s="29"/>
      <c r="DU1458" s="29"/>
      <c r="DV1458" s="29"/>
      <c r="DW1458" s="29"/>
      <c r="DX1458" s="29"/>
      <c r="DY1458" s="29"/>
      <c r="DZ1458" s="29"/>
      <c r="EA1458" s="29"/>
      <c r="EB1458" s="29"/>
      <c r="EC1458" s="29"/>
      <c r="ED1458" s="29"/>
      <c r="EE1458" s="29"/>
      <c r="EF1458" s="111"/>
      <c r="EG1458" s="111"/>
      <c r="EH1458" s="111"/>
      <c r="EI1458" s="111"/>
      <c r="EJ1458" s="111"/>
      <c r="EK1458" s="111"/>
      <c r="EL1458" s="111"/>
      <c r="EM1458" s="111"/>
      <c r="EN1458" s="111"/>
      <c r="EO1458" s="111"/>
      <c r="EP1458" s="111"/>
      <c r="EQ1458" s="111"/>
      <c r="ER1458" s="111"/>
      <c r="ES1458" s="111"/>
    </row>
    <row r="1459" spans="44:149">
      <c r="AR1459" s="29"/>
      <c r="AS1459" s="29"/>
      <c r="AT1459" s="29"/>
      <c r="AU1459" s="29"/>
      <c r="AV1459" s="29"/>
      <c r="AW1459" s="29"/>
      <c r="AX1459" s="29"/>
      <c r="AY1459" s="29"/>
      <c r="AZ1459" s="29"/>
      <c r="BA1459" s="29"/>
      <c r="BB1459" s="29"/>
      <c r="BC1459" s="29"/>
      <c r="BD1459" s="29"/>
      <c r="BE1459" s="29"/>
      <c r="BF1459" s="111"/>
      <c r="BG1459" s="111"/>
      <c r="BH1459" s="111"/>
      <c r="BI1459" s="111"/>
      <c r="BJ1459" s="111"/>
      <c r="BK1459" s="111"/>
      <c r="BL1459" s="111"/>
      <c r="BM1459" s="111"/>
      <c r="BN1459" s="111"/>
      <c r="BO1459" s="111"/>
      <c r="BP1459" s="111"/>
      <c r="BQ1459" s="111"/>
      <c r="BR1459" s="111"/>
      <c r="BS1459" s="111"/>
      <c r="DR1459" s="29"/>
      <c r="DS1459" s="29"/>
      <c r="DT1459" s="29"/>
      <c r="DU1459" s="29"/>
      <c r="DV1459" s="29"/>
      <c r="DW1459" s="29"/>
      <c r="DX1459" s="29"/>
      <c r="DY1459" s="29"/>
      <c r="DZ1459" s="29"/>
      <c r="EA1459" s="29"/>
      <c r="EB1459" s="29"/>
      <c r="EC1459" s="29"/>
      <c r="ED1459" s="29"/>
      <c r="EE1459" s="29"/>
      <c r="EF1459" s="111"/>
      <c r="EG1459" s="111"/>
      <c r="EH1459" s="111"/>
      <c r="EI1459" s="111"/>
      <c r="EJ1459" s="111"/>
      <c r="EK1459" s="111"/>
      <c r="EL1459" s="111"/>
      <c r="EM1459" s="111"/>
      <c r="EN1459" s="111"/>
      <c r="EO1459" s="111"/>
      <c r="EP1459" s="111"/>
      <c r="EQ1459" s="111"/>
      <c r="ER1459" s="111"/>
      <c r="ES1459" s="111"/>
    </row>
    <row r="1460" spans="44:149">
      <c r="AR1460" s="29"/>
      <c r="AS1460" s="29"/>
      <c r="AT1460" s="29"/>
      <c r="AU1460" s="29"/>
      <c r="AV1460" s="29"/>
      <c r="AW1460" s="29"/>
      <c r="AX1460" s="29"/>
      <c r="AY1460" s="29"/>
      <c r="AZ1460" s="29"/>
      <c r="BA1460" s="29"/>
      <c r="BB1460" s="29"/>
      <c r="BC1460" s="29"/>
      <c r="BD1460" s="29"/>
      <c r="BE1460" s="29"/>
      <c r="BF1460" s="111"/>
      <c r="BG1460" s="111"/>
      <c r="BH1460" s="111"/>
      <c r="BI1460" s="111"/>
      <c r="BJ1460" s="111"/>
      <c r="BK1460" s="111"/>
      <c r="BL1460" s="111"/>
      <c r="BM1460" s="111"/>
      <c r="BN1460" s="111"/>
      <c r="BO1460" s="111"/>
      <c r="BP1460" s="111"/>
      <c r="BQ1460" s="111"/>
      <c r="BR1460" s="111"/>
      <c r="BS1460" s="111"/>
      <c r="DR1460" s="29"/>
      <c r="DS1460" s="29"/>
      <c r="DT1460" s="29"/>
      <c r="DU1460" s="29"/>
      <c r="DV1460" s="29"/>
      <c r="DW1460" s="29"/>
      <c r="DX1460" s="29"/>
      <c r="DY1460" s="29"/>
      <c r="DZ1460" s="29"/>
      <c r="EA1460" s="29"/>
      <c r="EB1460" s="29"/>
      <c r="EC1460" s="29"/>
      <c r="ED1460" s="29"/>
      <c r="EE1460" s="29"/>
      <c r="EF1460" s="111"/>
      <c r="EG1460" s="111"/>
      <c r="EH1460" s="111"/>
      <c r="EI1460" s="111"/>
      <c r="EJ1460" s="111"/>
      <c r="EK1460" s="111"/>
      <c r="EL1460" s="111"/>
      <c r="EM1460" s="111"/>
      <c r="EN1460" s="111"/>
      <c r="EO1460" s="111"/>
      <c r="EP1460" s="111"/>
      <c r="EQ1460" s="111"/>
      <c r="ER1460" s="111"/>
      <c r="ES1460" s="111"/>
    </row>
    <row r="1461" spans="44:149">
      <c r="AR1461" s="29"/>
      <c r="AS1461" s="29"/>
      <c r="AT1461" s="29"/>
      <c r="AU1461" s="29"/>
      <c r="AV1461" s="29"/>
      <c r="AW1461" s="29"/>
      <c r="AX1461" s="29"/>
      <c r="AY1461" s="29"/>
      <c r="AZ1461" s="29"/>
      <c r="BA1461" s="29"/>
      <c r="BB1461" s="29"/>
      <c r="BC1461" s="29"/>
      <c r="BD1461" s="29"/>
      <c r="BE1461" s="29"/>
      <c r="BF1461" s="111"/>
      <c r="BG1461" s="111"/>
      <c r="BH1461" s="111"/>
      <c r="BI1461" s="111"/>
      <c r="BJ1461" s="111"/>
      <c r="BK1461" s="111"/>
      <c r="BL1461" s="111"/>
      <c r="BM1461" s="111"/>
      <c r="BN1461" s="111"/>
      <c r="BO1461" s="111"/>
      <c r="BP1461" s="111"/>
      <c r="BQ1461" s="111"/>
      <c r="BR1461" s="111"/>
      <c r="BS1461" s="111"/>
      <c r="DR1461" s="29"/>
      <c r="DS1461" s="29"/>
      <c r="DT1461" s="29"/>
      <c r="DU1461" s="29"/>
      <c r="DV1461" s="29"/>
      <c r="DW1461" s="29"/>
      <c r="DX1461" s="29"/>
      <c r="DY1461" s="29"/>
      <c r="DZ1461" s="29"/>
      <c r="EA1461" s="29"/>
      <c r="EB1461" s="29"/>
      <c r="EC1461" s="29"/>
      <c r="ED1461" s="29"/>
      <c r="EE1461" s="29"/>
      <c r="EF1461" s="111"/>
      <c r="EG1461" s="111"/>
      <c r="EH1461" s="111"/>
      <c r="EI1461" s="111"/>
      <c r="EJ1461" s="111"/>
      <c r="EK1461" s="111"/>
      <c r="EL1461" s="111"/>
      <c r="EM1461" s="111"/>
      <c r="EN1461" s="111"/>
      <c r="EO1461" s="111"/>
      <c r="EP1461" s="111"/>
      <c r="EQ1461" s="111"/>
      <c r="ER1461" s="111"/>
      <c r="ES1461" s="111"/>
    </row>
    <row r="1462" spans="44:149">
      <c r="AR1462" s="29"/>
      <c r="AS1462" s="29"/>
      <c r="AT1462" s="29"/>
      <c r="AU1462" s="29"/>
      <c r="AV1462" s="29"/>
      <c r="AW1462" s="29"/>
      <c r="AX1462" s="29"/>
      <c r="AY1462" s="29"/>
      <c r="AZ1462" s="29"/>
      <c r="BA1462" s="29"/>
      <c r="BB1462" s="29"/>
      <c r="BC1462" s="29"/>
      <c r="BD1462" s="29"/>
      <c r="BE1462" s="29"/>
      <c r="BF1462" s="111"/>
      <c r="BG1462" s="111"/>
      <c r="BH1462" s="111"/>
      <c r="BI1462" s="111"/>
      <c r="BJ1462" s="111"/>
      <c r="BK1462" s="111"/>
      <c r="BL1462" s="111"/>
      <c r="BM1462" s="111"/>
      <c r="BN1462" s="111"/>
      <c r="BO1462" s="111"/>
      <c r="BP1462" s="111"/>
      <c r="BQ1462" s="111"/>
      <c r="BR1462" s="111"/>
      <c r="BS1462" s="111"/>
      <c r="DR1462" s="29"/>
      <c r="DS1462" s="29"/>
      <c r="DT1462" s="29"/>
      <c r="DU1462" s="29"/>
      <c r="DV1462" s="29"/>
      <c r="DW1462" s="29"/>
      <c r="DX1462" s="29"/>
      <c r="DY1462" s="29"/>
      <c r="DZ1462" s="29"/>
      <c r="EA1462" s="29"/>
      <c r="EB1462" s="29"/>
      <c r="EC1462" s="29"/>
      <c r="ED1462" s="29"/>
      <c r="EE1462" s="29"/>
      <c r="EF1462" s="111"/>
      <c r="EG1462" s="111"/>
      <c r="EH1462" s="111"/>
      <c r="EI1462" s="111"/>
      <c r="EJ1462" s="111"/>
      <c r="EK1462" s="111"/>
      <c r="EL1462" s="111"/>
      <c r="EM1462" s="111"/>
      <c r="EN1462" s="111"/>
      <c r="EO1462" s="111"/>
      <c r="EP1462" s="111"/>
      <c r="EQ1462" s="111"/>
      <c r="ER1462" s="111"/>
      <c r="ES1462" s="111"/>
    </row>
    <row r="1463" spans="44:149">
      <c r="AR1463" s="29"/>
      <c r="AS1463" s="29"/>
      <c r="AT1463" s="29"/>
      <c r="AU1463" s="29"/>
      <c r="AV1463" s="29"/>
      <c r="AW1463" s="29"/>
      <c r="AX1463" s="29"/>
      <c r="AY1463" s="29"/>
      <c r="AZ1463" s="29"/>
      <c r="BA1463" s="29"/>
      <c r="BB1463" s="29"/>
      <c r="BC1463" s="29"/>
      <c r="BD1463" s="29"/>
      <c r="BE1463" s="29"/>
      <c r="BF1463" s="111"/>
      <c r="BG1463" s="111"/>
      <c r="BH1463" s="111"/>
      <c r="BI1463" s="111"/>
      <c r="BJ1463" s="111"/>
      <c r="BK1463" s="111"/>
      <c r="BL1463" s="111"/>
      <c r="BM1463" s="111"/>
      <c r="BN1463" s="111"/>
      <c r="BO1463" s="111"/>
      <c r="BP1463" s="111"/>
      <c r="BQ1463" s="111"/>
      <c r="BR1463" s="111"/>
      <c r="BS1463" s="111"/>
      <c r="DR1463" s="29"/>
      <c r="DS1463" s="29"/>
      <c r="DT1463" s="29"/>
      <c r="DU1463" s="29"/>
      <c r="DV1463" s="29"/>
      <c r="DW1463" s="29"/>
      <c r="DX1463" s="29"/>
      <c r="DY1463" s="29"/>
      <c r="DZ1463" s="29"/>
      <c r="EA1463" s="29"/>
      <c r="EB1463" s="29"/>
      <c r="EC1463" s="29"/>
      <c r="ED1463" s="29"/>
      <c r="EE1463" s="29"/>
      <c r="EF1463" s="111"/>
      <c r="EG1463" s="111"/>
      <c r="EH1463" s="111"/>
      <c r="EI1463" s="111"/>
      <c r="EJ1463" s="111"/>
      <c r="EK1463" s="111"/>
      <c r="EL1463" s="111"/>
      <c r="EM1463" s="111"/>
      <c r="EN1463" s="111"/>
      <c r="EO1463" s="111"/>
      <c r="EP1463" s="111"/>
      <c r="EQ1463" s="111"/>
      <c r="ER1463" s="111"/>
      <c r="ES1463" s="111"/>
    </row>
    <row r="1464" spans="44:149">
      <c r="AR1464" s="29"/>
      <c r="AS1464" s="29"/>
      <c r="AT1464" s="29"/>
      <c r="AU1464" s="29"/>
      <c r="AV1464" s="29"/>
      <c r="AW1464" s="29"/>
      <c r="AX1464" s="29"/>
      <c r="AY1464" s="29"/>
      <c r="AZ1464" s="29"/>
      <c r="BA1464" s="29"/>
      <c r="BB1464" s="29"/>
      <c r="BC1464" s="29"/>
      <c r="BD1464" s="29"/>
      <c r="BE1464" s="29"/>
      <c r="BF1464" s="111"/>
      <c r="BG1464" s="111"/>
      <c r="BH1464" s="111"/>
      <c r="BI1464" s="111"/>
      <c r="BJ1464" s="111"/>
      <c r="BK1464" s="111"/>
      <c r="BL1464" s="111"/>
      <c r="BM1464" s="111"/>
      <c r="BN1464" s="111"/>
      <c r="BO1464" s="111"/>
      <c r="BP1464" s="111"/>
      <c r="BQ1464" s="111"/>
      <c r="BR1464" s="111"/>
      <c r="BS1464" s="111"/>
      <c r="DR1464" s="29"/>
      <c r="DS1464" s="29"/>
      <c r="DT1464" s="29"/>
      <c r="DU1464" s="29"/>
      <c r="DV1464" s="29"/>
      <c r="DW1464" s="29"/>
      <c r="DX1464" s="29"/>
      <c r="DY1464" s="29"/>
      <c r="DZ1464" s="29"/>
      <c r="EA1464" s="29"/>
      <c r="EB1464" s="29"/>
      <c r="EC1464" s="29"/>
      <c r="ED1464" s="29"/>
      <c r="EE1464" s="29"/>
      <c r="EF1464" s="111"/>
      <c r="EG1464" s="111"/>
      <c r="EH1464" s="111"/>
      <c r="EI1464" s="111"/>
      <c r="EJ1464" s="111"/>
      <c r="EK1464" s="111"/>
      <c r="EL1464" s="111"/>
      <c r="EM1464" s="111"/>
      <c r="EN1464" s="111"/>
      <c r="EO1464" s="111"/>
      <c r="EP1464" s="111"/>
      <c r="EQ1464" s="111"/>
      <c r="ER1464" s="111"/>
      <c r="ES1464" s="111"/>
    </row>
    <row r="1465" spans="44:149">
      <c r="AR1465" s="29"/>
      <c r="AS1465" s="29"/>
      <c r="AT1465" s="29"/>
      <c r="AU1465" s="29"/>
      <c r="AV1465" s="29"/>
      <c r="AW1465" s="29"/>
      <c r="AX1465" s="29"/>
      <c r="AY1465" s="29"/>
      <c r="AZ1465" s="29"/>
      <c r="BA1465" s="29"/>
      <c r="BB1465" s="29"/>
      <c r="BC1465" s="29"/>
      <c r="BD1465" s="29"/>
      <c r="BE1465" s="29"/>
      <c r="BF1465" s="111"/>
      <c r="BG1465" s="111"/>
      <c r="BH1465" s="111"/>
      <c r="BI1465" s="111"/>
      <c r="BJ1465" s="111"/>
      <c r="BK1465" s="111"/>
      <c r="BL1465" s="111"/>
      <c r="BM1465" s="111"/>
      <c r="BN1465" s="111"/>
      <c r="BO1465" s="111"/>
      <c r="BP1465" s="111"/>
      <c r="BQ1465" s="111"/>
      <c r="BR1465" s="111"/>
      <c r="BS1465" s="111"/>
      <c r="DR1465" s="29"/>
      <c r="DS1465" s="29"/>
      <c r="DT1465" s="29"/>
      <c r="DU1465" s="29"/>
      <c r="DV1465" s="29"/>
      <c r="DW1465" s="29"/>
      <c r="DX1465" s="29"/>
      <c r="DY1465" s="29"/>
      <c r="DZ1465" s="29"/>
      <c r="EA1465" s="29"/>
      <c r="EB1465" s="29"/>
      <c r="EC1465" s="29"/>
      <c r="ED1465" s="29"/>
      <c r="EE1465" s="29"/>
      <c r="EF1465" s="111"/>
      <c r="EG1465" s="111"/>
      <c r="EH1465" s="111"/>
      <c r="EI1465" s="111"/>
      <c r="EJ1465" s="111"/>
      <c r="EK1465" s="111"/>
      <c r="EL1465" s="111"/>
      <c r="EM1465" s="111"/>
      <c r="EN1465" s="111"/>
      <c r="EO1465" s="111"/>
      <c r="EP1465" s="111"/>
      <c r="EQ1465" s="111"/>
      <c r="ER1465" s="111"/>
      <c r="ES1465" s="111"/>
    </row>
    <row r="1466" spans="44:149">
      <c r="AR1466" s="29"/>
      <c r="AS1466" s="29"/>
      <c r="AT1466" s="29"/>
      <c r="AU1466" s="29"/>
      <c r="AV1466" s="29"/>
      <c r="AW1466" s="29"/>
      <c r="AX1466" s="29"/>
      <c r="AY1466" s="29"/>
      <c r="AZ1466" s="29"/>
      <c r="BA1466" s="29"/>
      <c r="BB1466" s="29"/>
      <c r="BC1466" s="29"/>
      <c r="BD1466" s="29"/>
      <c r="BE1466" s="29"/>
      <c r="BF1466" s="111"/>
      <c r="BG1466" s="111"/>
      <c r="BH1466" s="111"/>
      <c r="BI1466" s="111"/>
      <c r="BJ1466" s="111"/>
      <c r="BK1466" s="111"/>
      <c r="BL1466" s="111"/>
      <c r="BM1466" s="111"/>
      <c r="BN1466" s="111"/>
      <c r="BO1466" s="111"/>
      <c r="BP1466" s="111"/>
      <c r="BQ1466" s="111"/>
      <c r="BR1466" s="111"/>
      <c r="BS1466" s="111"/>
      <c r="DR1466" s="29"/>
      <c r="DS1466" s="29"/>
      <c r="DT1466" s="29"/>
      <c r="DU1466" s="29"/>
      <c r="DV1466" s="29"/>
      <c r="DW1466" s="29"/>
      <c r="DX1466" s="29"/>
      <c r="DY1466" s="29"/>
      <c r="DZ1466" s="29"/>
      <c r="EA1466" s="29"/>
      <c r="EB1466" s="29"/>
      <c r="EC1466" s="29"/>
      <c r="ED1466" s="29"/>
      <c r="EE1466" s="29"/>
      <c r="EF1466" s="111"/>
      <c r="EG1466" s="111"/>
      <c r="EH1466" s="111"/>
      <c r="EI1466" s="111"/>
      <c r="EJ1466" s="111"/>
      <c r="EK1466" s="111"/>
      <c r="EL1466" s="111"/>
      <c r="EM1466" s="111"/>
      <c r="EN1466" s="111"/>
      <c r="EO1466" s="111"/>
      <c r="EP1466" s="111"/>
      <c r="EQ1466" s="111"/>
      <c r="ER1466" s="111"/>
      <c r="ES1466" s="111"/>
    </row>
    <row r="1467" spans="44:149">
      <c r="AR1467" s="29"/>
      <c r="AS1467" s="29"/>
      <c r="AT1467" s="29"/>
      <c r="AU1467" s="29"/>
      <c r="AV1467" s="29"/>
      <c r="AW1467" s="29"/>
      <c r="AX1467" s="29"/>
      <c r="AY1467" s="29"/>
      <c r="AZ1467" s="29"/>
      <c r="BA1467" s="29"/>
      <c r="BB1467" s="29"/>
      <c r="BC1467" s="29"/>
      <c r="BD1467" s="29"/>
      <c r="BE1467" s="29"/>
      <c r="BF1467" s="111"/>
      <c r="BG1467" s="111"/>
      <c r="BH1467" s="111"/>
      <c r="BI1467" s="111"/>
      <c r="BJ1467" s="111"/>
      <c r="BK1467" s="111"/>
      <c r="BL1467" s="111"/>
      <c r="BM1467" s="111"/>
      <c r="BN1467" s="111"/>
      <c r="BO1467" s="111"/>
      <c r="BP1467" s="111"/>
      <c r="BQ1467" s="111"/>
      <c r="BR1467" s="111"/>
      <c r="BS1467" s="111"/>
      <c r="DR1467" s="29"/>
      <c r="DS1467" s="29"/>
      <c r="DT1467" s="29"/>
      <c r="DU1467" s="29"/>
      <c r="DV1467" s="29"/>
      <c r="DW1467" s="29"/>
      <c r="DX1467" s="29"/>
      <c r="DY1467" s="29"/>
      <c r="DZ1467" s="29"/>
      <c r="EA1467" s="29"/>
      <c r="EB1467" s="29"/>
      <c r="EC1467" s="29"/>
      <c r="ED1467" s="29"/>
      <c r="EE1467" s="29"/>
      <c r="EF1467" s="111"/>
      <c r="EG1467" s="111"/>
      <c r="EH1467" s="111"/>
      <c r="EI1467" s="111"/>
      <c r="EJ1467" s="111"/>
      <c r="EK1467" s="111"/>
      <c r="EL1467" s="111"/>
      <c r="EM1467" s="111"/>
      <c r="EN1467" s="111"/>
      <c r="EO1467" s="111"/>
      <c r="EP1467" s="111"/>
      <c r="EQ1467" s="111"/>
      <c r="ER1467" s="111"/>
      <c r="ES1467" s="111"/>
    </row>
    <row r="1468" spans="44:149">
      <c r="AR1468" s="29"/>
      <c r="AS1468" s="29"/>
      <c r="AT1468" s="29"/>
      <c r="AU1468" s="29"/>
      <c r="AV1468" s="29"/>
      <c r="AW1468" s="29"/>
      <c r="AX1468" s="29"/>
      <c r="AY1468" s="29"/>
      <c r="AZ1468" s="29"/>
      <c r="BA1468" s="29"/>
      <c r="BB1468" s="29"/>
      <c r="BC1468" s="29"/>
      <c r="BD1468" s="29"/>
      <c r="BE1468" s="29"/>
      <c r="BF1468" s="111"/>
      <c r="BG1468" s="111"/>
      <c r="BH1468" s="111"/>
      <c r="BI1468" s="111"/>
      <c r="BJ1468" s="111"/>
      <c r="BK1468" s="111"/>
      <c r="BL1468" s="111"/>
      <c r="BM1468" s="111"/>
      <c r="BN1468" s="111"/>
      <c r="BO1468" s="111"/>
      <c r="BP1468" s="111"/>
      <c r="BQ1468" s="111"/>
      <c r="BR1468" s="111"/>
      <c r="BS1468" s="111"/>
      <c r="DR1468" s="29"/>
      <c r="DS1468" s="29"/>
      <c r="DT1468" s="29"/>
      <c r="DU1468" s="29"/>
      <c r="DV1468" s="29"/>
      <c r="DW1468" s="29"/>
      <c r="DX1468" s="29"/>
      <c r="DY1468" s="29"/>
      <c r="DZ1468" s="29"/>
      <c r="EA1468" s="29"/>
      <c r="EB1468" s="29"/>
      <c r="EC1468" s="29"/>
      <c r="ED1468" s="29"/>
      <c r="EE1468" s="29"/>
      <c r="EF1468" s="111"/>
      <c r="EG1468" s="111"/>
      <c r="EH1468" s="111"/>
      <c r="EI1468" s="111"/>
      <c r="EJ1468" s="111"/>
      <c r="EK1468" s="111"/>
      <c r="EL1468" s="111"/>
      <c r="EM1468" s="111"/>
      <c r="EN1468" s="111"/>
      <c r="EO1468" s="111"/>
      <c r="EP1468" s="111"/>
      <c r="EQ1468" s="111"/>
      <c r="ER1468" s="111"/>
      <c r="ES1468" s="111"/>
    </row>
    <row r="1469" spans="44:149">
      <c r="AR1469" s="29"/>
      <c r="AS1469" s="29"/>
      <c r="AT1469" s="29"/>
      <c r="AU1469" s="29"/>
      <c r="AV1469" s="29"/>
      <c r="AW1469" s="29"/>
      <c r="AX1469" s="29"/>
      <c r="AY1469" s="29"/>
      <c r="AZ1469" s="29"/>
      <c r="BA1469" s="29"/>
      <c r="BB1469" s="29"/>
      <c r="BC1469" s="29"/>
      <c r="BD1469" s="29"/>
      <c r="BE1469" s="29"/>
      <c r="BF1469" s="111"/>
      <c r="BG1469" s="111"/>
      <c r="BH1469" s="111"/>
      <c r="BI1469" s="111"/>
      <c r="BJ1469" s="111"/>
      <c r="BK1469" s="111"/>
      <c r="BL1469" s="111"/>
      <c r="BM1469" s="111"/>
      <c r="BN1469" s="111"/>
      <c r="BO1469" s="111"/>
      <c r="BP1469" s="111"/>
      <c r="BQ1469" s="111"/>
      <c r="BR1469" s="111"/>
      <c r="BS1469" s="111"/>
      <c r="DR1469" s="29"/>
      <c r="DS1469" s="29"/>
      <c r="DT1469" s="29"/>
      <c r="DU1469" s="29"/>
      <c r="DV1469" s="29"/>
      <c r="DW1469" s="29"/>
      <c r="DX1469" s="29"/>
      <c r="DY1469" s="29"/>
      <c r="DZ1469" s="29"/>
      <c r="EA1469" s="29"/>
      <c r="EB1469" s="29"/>
      <c r="EC1469" s="29"/>
      <c r="ED1469" s="29"/>
      <c r="EE1469" s="29"/>
      <c r="EF1469" s="111"/>
      <c r="EG1469" s="111"/>
      <c r="EH1469" s="111"/>
      <c r="EI1469" s="111"/>
      <c r="EJ1469" s="111"/>
      <c r="EK1469" s="111"/>
      <c r="EL1469" s="111"/>
      <c r="EM1469" s="111"/>
      <c r="EN1469" s="111"/>
      <c r="EO1469" s="111"/>
      <c r="EP1469" s="111"/>
      <c r="EQ1469" s="111"/>
      <c r="ER1469" s="111"/>
      <c r="ES1469" s="111"/>
    </row>
    <row r="1470" spans="44:149">
      <c r="AR1470" s="29"/>
      <c r="AS1470" s="29"/>
      <c r="AT1470" s="29"/>
      <c r="AU1470" s="29"/>
      <c r="AV1470" s="29"/>
      <c r="AW1470" s="29"/>
      <c r="AX1470" s="29"/>
      <c r="AY1470" s="29"/>
      <c r="AZ1470" s="29"/>
      <c r="BA1470" s="29"/>
      <c r="BB1470" s="29"/>
      <c r="BC1470" s="29"/>
      <c r="BD1470" s="29"/>
      <c r="BE1470" s="29"/>
      <c r="BF1470" s="111"/>
      <c r="BG1470" s="111"/>
      <c r="BH1470" s="111"/>
      <c r="BI1470" s="111"/>
      <c r="BJ1470" s="111"/>
      <c r="BK1470" s="111"/>
      <c r="BL1470" s="111"/>
      <c r="BM1470" s="111"/>
      <c r="BN1470" s="111"/>
      <c r="BO1470" s="111"/>
      <c r="BP1470" s="111"/>
      <c r="BQ1470" s="111"/>
      <c r="BR1470" s="111"/>
      <c r="BS1470" s="111"/>
      <c r="DR1470" s="29"/>
      <c r="DS1470" s="29"/>
      <c r="DT1470" s="29"/>
      <c r="DU1470" s="29"/>
      <c r="DV1470" s="29"/>
      <c r="DW1470" s="29"/>
      <c r="DX1470" s="29"/>
      <c r="DY1470" s="29"/>
      <c r="DZ1470" s="29"/>
      <c r="EA1470" s="29"/>
      <c r="EB1470" s="29"/>
      <c r="EC1470" s="29"/>
      <c r="ED1470" s="29"/>
      <c r="EE1470" s="29"/>
      <c r="EF1470" s="111"/>
      <c r="EG1470" s="111"/>
      <c r="EH1470" s="111"/>
      <c r="EI1470" s="111"/>
      <c r="EJ1470" s="111"/>
      <c r="EK1470" s="111"/>
      <c r="EL1470" s="111"/>
      <c r="EM1470" s="111"/>
      <c r="EN1470" s="111"/>
      <c r="EO1470" s="111"/>
      <c r="EP1470" s="111"/>
      <c r="EQ1470" s="111"/>
      <c r="ER1470" s="111"/>
      <c r="ES1470" s="111"/>
    </row>
    <row r="1471" spans="44:149">
      <c r="AR1471" s="29"/>
      <c r="AS1471" s="29"/>
      <c r="AT1471" s="29"/>
      <c r="AU1471" s="29"/>
      <c r="AV1471" s="29"/>
      <c r="AW1471" s="29"/>
      <c r="AX1471" s="29"/>
      <c r="AY1471" s="29"/>
      <c r="AZ1471" s="29"/>
      <c r="BA1471" s="29"/>
      <c r="BB1471" s="29"/>
      <c r="BC1471" s="29"/>
      <c r="BD1471" s="29"/>
      <c r="BE1471" s="29"/>
      <c r="BF1471" s="111"/>
      <c r="BG1471" s="111"/>
      <c r="BH1471" s="111"/>
      <c r="BI1471" s="111"/>
      <c r="BJ1471" s="111"/>
      <c r="BK1471" s="111"/>
      <c r="BL1471" s="111"/>
      <c r="BM1471" s="111"/>
      <c r="BN1471" s="111"/>
      <c r="BO1471" s="111"/>
      <c r="BP1471" s="111"/>
      <c r="BQ1471" s="111"/>
      <c r="BR1471" s="111"/>
      <c r="BS1471" s="111"/>
      <c r="DR1471" s="29"/>
      <c r="DS1471" s="29"/>
      <c r="DT1471" s="29"/>
      <c r="DU1471" s="29"/>
      <c r="DV1471" s="29"/>
      <c r="DW1471" s="29"/>
      <c r="DX1471" s="29"/>
      <c r="DY1471" s="29"/>
      <c r="DZ1471" s="29"/>
      <c r="EA1471" s="29"/>
      <c r="EB1471" s="29"/>
      <c r="EC1471" s="29"/>
      <c r="ED1471" s="29"/>
      <c r="EE1471" s="29"/>
      <c r="EF1471" s="111"/>
      <c r="EG1471" s="111"/>
      <c r="EH1471" s="111"/>
      <c r="EI1471" s="111"/>
      <c r="EJ1471" s="111"/>
      <c r="EK1471" s="111"/>
      <c r="EL1471" s="111"/>
      <c r="EM1471" s="111"/>
      <c r="EN1471" s="111"/>
      <c r="EO1471" s="111"/>
      <c r="EP1471" s="111"/>
      <c r="EQ1471" s="111"/>
      <c r="ER1471" s="111"/>
      <c r="ES1471" s="111"/>
    </row>
    <row r="1472" spans="44:149">
      <c r="AR1472" s="29"/>
      <c r="AS1472" s="29"/>
      <c r="AT1472" s="29"/>
      <c r="AU1472" s="29"/>
      <c r="AV1472" s="29"/>
      <c r="AW1472" s="29"/>
      <c r="AX1472" s="29"/>
      <c r="AY1472" s="29"/>
      <c r="AZ1472" s="29"/>
      <c r="BA1472" s="29"/>
      <c r="BB1472" s="29"/>
      <c r="BC1472" s="29"/>
      <c r="BD1472" s="29"/>
      <c r="BE1472" s="29"/>
      <c r="BF1472" s="111"/>
      <c r="BG1472" s="111"/>
      <c r="BH1472" s="111"/>
      <c r="BI1472" s="111"/>
      <c r="BJ1472" s="111"/>
      <c r="BK1472" s="111"/>
      <c r="BL1472" s="111"/>
      <c r="BM1472" s="111"/>
      <c r="BN1472" s="111"/>
      <c r="BO1472" s="111"/>
      <c r="BP1472" s="111"/>
      <c r="BQ1472" s="111"/>
      <c r="BR1472" s="111"/>
      <c r="BS1472" s="111"/>
      <c r="DR1472" s="29"/>
      <c r="DS1472" s="29"/>
      <c r="DT1472" s="29"/>
      <c r="DU1472" s="29"/>
      <c r="DV1472" s="29"/>
      <c r="DW1472" s="29"/>
      <c r="DX1472" s="29"/>
      <c r="DY1472" s="29"/>
      <c r="DZ1472" s="29"/>
      <c r="EA1472" s="29"/>
      <c r="EB1472" s="29"/>
      <c r="EC1472" s="29"/>
      <c r="ED1472" s="29"/>
      <c r="EE1472" s="29"/>
      <c r="EF1472" s="111"/>
      <c r="EG1472" s="111"/>
      <c r="EH1472" s="111"/>
      <c r="EI1472" s="111"/>
      <c r="EJ1472" s="111"/>
      <c r="EK1472" s="111"/>
      <c r="EL1472" s="111"/>
      <c r="EM1472" s="111"/>
      <c r="EN1472" s="111"/>
      <c r="EO1472" s="111"/>
      <c r="EP1472" s="111"/>
      <c r="EQ1472" s="111"/>
      <c r="ER1472" s="111"/>
      <c r="ES1472" s="111"/>
    </row>
    <row r="1473" spans="44:149">
      <c r="AR1473" s="29"/>
      <c r="AS1473" s="29"/>
      <c r="AT1473" s="29"/>
      <c r="AU1473" s="29"/>
      <c r="AV1473" s="29"/>
      <c r="AW1473" s="29"/>
      <c r="AX1473" s="29"/>
      <c r="AY1473" s="29"/>
      <c r="AZ1473" s="29"/>
      <c r="BA1473" s="29"/>
      <c r="BB1473" s="29"/>
      <c r="BC1473" s="29"/>
      <c r="BD1473" s="29"/>
      <c r="BE1473" s="29"/>
      <c r="BF1473" s="111"/>
      <c r="BG1473" s="111"/>
      <c r="BH1473" s="111"/>
      <c r="BI1473" s="111"/>
      <c r="BJ1473" s="111"/>
      <c r="BK1473" s="111"/>
      <c r="BL1473" s="111"/>
      <c r="BM1473" s="111"/>
      <c r="BN1473" s="111"/>
      <c r="BO1473" s="111"/>
      <c r="BP1473" s="111"/>
      <c r="BQ1473" s="111"/>
      <c r="BR1473" s="111"/>
      <c r="BS1473" s="111"/>
      <c r="DR1473" s="29"/>
      <c r="DS1473" s="29"/>
      <c r="DT1473" s="29"/>
      <c r="DU1473" s="29"/>
      <c r="DV1473" s="29"/>
      <c r="DW1473" s="29"/>
      <c r="DX1473" s="29"/>
      <c r="DY1473" s="29"/>
      <c r="DZ1473" s="29"/>
      <c r="EA1473" s="29"/>
      <c r="EB1473" s="29"/>
      <c r="EC1473" s="29"/>
      <c r="ED1473" s="29"/>
      <c r="EE1473" s="29"/>
      <c r="EF1473" s="111"/>
      <c r="EG1473" s="111"/>
      <c r="EH1473" s="111"/>
      <c r="EI1473" s="111"/>
      <c r="EJ1473" s="111"/>
      <c r="EK1473" s="111"/>
      <c r="EL1473" s="111"/>
      <c r="EM1473" s="111"/>
      <c r="EN1473" s="111"/>
      <c r="EO1473" s="111"/>
      <c r="EP1473" s="111"/>
      <c r="EQ1473" s="111"/>
      <c r="ER1473" s="111"/>
      <c r="ES1473" s="111"/>
    </row>
    <row r="1474" spans="44:149">
      <c r="AR1474" s="29"/>
      <c r="AS1474" s="29"/>
      <c r="AT1474" s="29"/>
      <c r="AU1474" s="29"/>
      <c r="AV1474" s="29"/>
      <c r="AW1474" s="29"/>
      <c r="AX1474" s="29"/>
      <c r="AY1474" s="29"/>
      <c r="AZ1474" s="29"/>
      <c r="BA1474" s="29"/>
      <c r="BB1474" s="29"/>
      <c r="BC1474" s="29"/>
      <c r="BD1474" s="29"/>
      <c r="BE1474" s="29"/>
      <c r="BF1474" s="111"/>
      <c r="BG1474" s="111"/>
      <c r="BH1474" s="111"/>
      <c r="BI1474" s="111"/>
      <c r="BJ1474" s="111"/>
      <c r="BK1474" s="111"/>
      <c r="BL1474" s="111"/>
      <c r="BM1474" s="111"/>
      <c r="BN1474" s="111"/>
      <c r="BO1474" s="111"/>
      <c r="BP1474" s="111"/>
      <c r="BQ1474" s="111"/>
      <c r="BR1474" s="111"/>
      <c r="BS1474" s="111"/>
      <c r="DR1474" s="29"/>
      <c r="DS1474" s="29"/>
      <c r="DT1474" s="29"/>
      <c r="DU1474" s="29"/>
      <c r="DV1474" s="29"/>
      <c r="DW1474" s="29"/>
      <c r="DX1474" s="29"/>
      <c r="DY1474" s="29"/>
      <c r="DZ1474" s="29"/>
      <c r="EA1474" s="29"/>
      <c r="EB1474" s="29"/>
      <c r="EC1474" s="29"/>
      <c r="ED1474" s="29"/>
      <c r="EE1474" s="29"/>
      <c r="EF1474" s="111"/>
      <c r="EG1474" s="111"/>
      <c r="EH1474" s="111"/>
      <c r="EI1474" s="111"/>
      <c r="EJ1474" s="111"/>
      <c r="EK1474" s="111"/>
      <c r="EL1474" s="111"/>
      <c r="EM1474" s="111"/>
      <c r="EN1474" s="111"/>
      <c r="EO1474" s="111"/>
      <c r="EP1474" s="111"/>
      <c r="EQ1474" s="111"/>
      <c r="ER1474" s="111"/>
      <c r="ES1474" s="111"/>
    </row>
    <row r="1475" spans="44:149">
      <c r="AR1475" s="29"/>
      <c r="AS1475" s="29"/>
      <c r="AT1475" s="29"/>
      <c r="AU1475" s="29"/>
      <c r="AV1475" s="29"/>
      <c r="AW1475" s="29"/>
      <c r="AX1475" s="29"/>
      <c r="AY1475" s="29"/>
      <c r="AZ1475" s="29"/>
      <c r="BA1475" s="29"/>
      <c r="BB1475" s="29"/>
      <c r="BC1475" s="29"/>
      <c r="BD1475" s="29"/>
      <c r="BE1475" s="29"/>
      <c r="BF1475" s="111"/>
      <c r="BG1475" s="111"/>
      <c r="BH1475" s="111"/>
      <c r="BI1475" s="111"/>
      <c r="BJ1475" s="111"/>
      <c r="BK1475" s="111"/>
      <c r="BL1475" s="111"/>
      <c r="BM1475" s="111"/>
      <c r="BN1475" s="111"/>
      <c r="BO1475" s="111"/>
      <c r="BP1475" s="111"/>
      <c r="BQ1475" s="111"/>
      <c r="BR1475" s="111"/>
      <c r="BS1475" s="111"/>
      <c r="DR1475" s="29"/>
      <c r="DS1475" s="29"/>
      <c r="DT1475" s="29"/>
      <c r="DU1475" s="29"/>
      <c r="DV1475" s="29"/>
      <c r="DW1475" s="29"/>
      <c r="DX1475" s="29"/>
      <c r="DY1475" s="29"/>
      <c r="DZ1475" s="29"/>
      <c r="EA1475" s="29"/>
      <c r="EB1475" s="29"/>
      <c r="EC1475" s="29"/>
      <c r="ED1475" s="29"/>
      <c r="EE1475" s="29"/>
      <c r="EF1475" s="111"/>
      <c r="EG1475" s="111"/>
      <c r="EH1475" s="111"/>
      <c r="EI1475" s="111"/>
      <c r="EJ1475" s="111"/>
      <c r="EK1475" s="111"/>
      <c r="EL1475" s="111"/>
      <c r="EM1475" s="111"/>
      <c r="EN1475" s="111"/>
      <c r="EO1475" s="111"/>
      <c r="EP1475" s="111"/>
      <c r="EQ1475" s="111"/>
      <c r="ER1475" s="111"/>
      <c r="ES1475" s="111"/>
    </row>
    <row r="1476" spans="44:149">
      <c r="AR1476" s="29"/>
      <c r="AS1476" s="29"/>
      <c r="AT1476" s="29"/>
      <c r="AU1476" s="29"/>
      <c r="AV1476" s="29"/>
      <c r="AW1476" s="29"/>
      <c r="AX1476" s="29"/>
      <c r="AY1476" s="29"/>
      <c r="AZ1476" s="29"/>
      <c r="BA1476" s="29"/>
      <c r="BB1476" s="29"/>
      <c r="BC1476" s="29"/>
      <c r="BD1476" s="29"/>
      <c r="BE1476" s="29"/>
      <c r="BF1476" s="111"/>
      <c r="BG1476" s="111"/>
      <c r="BH1476" s="111"/>
      <c r="BI1476" s="111"/>
      <c r="BJ1476" s="111"/>
      <c r="BK1476" s="111"/>
      <c r="BL1476" s="111"/>
      <c r="BM1476" s="111"/>
      <c r="BN1476" s="111"/>
      <c r="BO1476" s="111"/>
      <c r="BP1476" s="111"/>
      <c r="BQ1476" s="111"/>
      <c r="BR1476" s="111"/>
      <c r="BS1476" s="111"/>
      <c r="DR1476" s="29"/>
      <c r="DS1476" s="29"/>
      <c r="DT1476" s="29"/>
      <c r="DU1476" s="29"/>
      <c r="DV1476" s="29"/>
      <c r="DW1476" s="29"/>
      <c r="DX1476" s="29"/>
      <c r="DY1476" s="29"/>
      <c r="DZ1476" s="29"/>
      <c r="EA1476" s="29"/>
      <c r="EB1476" s="29"/>
      <c r="EC1476" s="29"/>
      <c r="ED1476" s="29"/>
      <c r="EE1476" s="29"/>
      <c r="EF1476" s="111"/>
      <c r="EG1476" s="111"/>
      <c r="EH1476" s="111"/>
      <c r="EI1476" s="111"/>
      <c r="EJ1476" s="111"/>
      <c r="EK1476" s="111"/>
      <c r="EL1476" s="111"/>
      <c r="EM1476" s="111"/>
      <c r="EN1476" s="111"/>
      <c r="EO1476" s="111"/>
      <c r="EP1476" s="111"/>
      <c r="EQ1476" s="111"/>
      <c r="ER1476" s="111"/>
      <c r="ES1476" s="111"/>
    </row>
    <row r="1477" spans="44:149">
      <c r="AR1477" s="29"/>
      <c r="AS1477" s="29"/>
      <c r="AT1477" s="29"/>
      <c r="AU1477" s="29"/>
      <c r="AV1477" s="29"/>
      <c r="AW1477" s="29"/>
      <c r="AX1477" s="29"/>
      <c r="AY1477" s="29"/>
      <c r="AZ1477" s="29"/>
      <c r="BA1477" s="29"/>
      <c r="BB1477" s="29"/>
      <c r="BC1477" s="29"/>
      <c r="BD1477" s="29"/>
      <c r="BE1477" s="29"/>
      <c r="BF1477" s="111"/>
      <c r="BG1477" s="111"/>
      <c r="BH1477" s="111"/>
      <c r="BI1477" s="111"/>
      <c r="BJ1477" s="111"/>
      <c r="BK1477" s="111"/>
      <c r="BL1477" s="111"/>
      <c r="BM1477" s="111"/>
      <c r="BN1477" s="111"/>
      <c r="BO1477" s="111"/>
      <c r="BP1477" s="111"/>
      <c r="BQ1477" s="111"/>
      <c r="BR1477" s="111"/>
      <c r="BS1477" s="111"/>
      <c r="DR1477" s="29"/>
      <c r="DS1477" s="29"/>
      <c r="DT1477" s="29"/>
      <c r="DU1477" s="29"/>
      <c r="DV1477" s="29"/>
      <c r="DW1477" s="29"/>
      <c r="DX1477" s="29"/>
      <c r="DY1477" s="29"/>
      <c r="DZ1477" s="29"/>
      <c r="EA1477" s="29"/>
      <c r="EB1477" s="29"/>
      <c r="EC1477" s="29"/>
      <c r="ED1477" s="29"/>
      <c r="EE1477" s="29"/>
      <c r="EF1477" s="111"/>
      <c r="EG1477" s="111"/>
      <c r="EH1477" s="111"/>
      <c r="EI1477" s="111"/>
      <c r="EJ1477" s="111"/>
      <c r="EK1477" s="111"/>
      <c r="EL1477" s="111"/>
      <c r="EM1477" s="111"/>
      <c r="EN1477" s="111"/>
      <c r="EO1477" s="111"/>
      <c r="EP1477" s="111"/>
      <c r="EQ1477" s="111"/>
      <c r="ER1477" s="111"/>
      <c r="ES1477" s="111"/>
    </row>
    <row r="1478" spans="44:149">
      <c r="AR1478" s="29"/>
      <c r="AS1478" s="29"/>
      <c r="AT1478" s="29"/>
      <c r="AU1478" s="29"/>
      <c r="AV1478" s="29"/>
      <c r="AW1478" s="29"/>
      <c r="AX1478" s="29"/>
      <c r="AY1478" s="29"/>
      <c r="AZ1478" s="29"/>
      <c r="BA1478" s="29"/>
      <c r="BB1478" s="29"/>
      <c r="BC1478" s="29"/>
      <c r="BD1478" s="29"/>
      <c r="BE1478" s="29"/>
      <c r="BF1478" s="111"/>
      <c r="BG1478" s="111"/>
      <c r="BH1478" s="111"/>
      <c r="BI1478" s="111"/>
      <c r="BJ1478" s="111"/>
      <c r="BK1478" s="111"/>
      <c r="BL1478" s="111"/>
      <c r="BM1478" s="111"/>
      <c r="BN1478" s="111"/>
      <c r="BO1478" s="111"/>
      <c r="BP1478" s="111"/>
      <c r="BQ1478" s="111"/>
      <c r="BR1478" s="111"/>
      <c r="BS1478" s="111"/>
      <c r="DR1478" s="29"/>
      <c r="DS1478" s="29"/>
      <c r="DT1478" s="29"/>
      <c r="DU1478" s="29"/>
      <c r="DV1478" s="29"/>
      <c r="DW1478" s="29"/>
      <c r="DX1478" s="29"/>
      <c r="DY1478" s="29"/>
      <c r="DZ1478" s="29"/>
      <c r="EA1478" s="29"/>
      <c r="EB1478" s="29"/>
      <c r="EC1478" s="29"/>
      <c r="ED1478" s="29"/>
      <c r="EE1478" s="29"/>
      <c r="EF1478" s="111"/>
      <c r="EG1478" s="111"/>
      <c r="EH1478" s="111"/>
      <c r="EI1478" s="111"/>
      <c r="EJ1478" s="111"/>
      <c r="EK1478" s="111"/>
      <c r="EL1478" s="111"/>
      <c r="EM1478" s="111"/>
      <c r="EN1478" s="111"/>
      <c r="EO1478" s="111"/>
      <c r="EP1478" s="111"/>
      <c r="EQ1478" s="111"/>
      <c r="ER1478" s="111"/>
      <c r="ES1478" s="111"/>
    </row>
    <row r="1479" spans="44:149">
      <c r="AR1479" s="29"/>
      <c r="AS1479" s="29"/>
      <c r="AT1479" s="29"/>
      <c r="AU1479" s="29"/>
      <c r="AV1479" s="29"/>
      <c r="AW1479" s="29"/>
      <c r="AX1479" s="29"/>
      <c r="AY1479" s="29"/>
      <c r="AZ1479" s="29"/>
      <c r="BA1479" s="29"/>
      <c r="BB1479" s="29"/>
      <c r="BC1479" s="29"/>
      <c r="BD1479" s="29"/>
      <c r="BE1479" s="29"/>
      <c r="BF1479" s="111"/>
      <c r="BG1479" s="111"/>
      <c r="BH1479" s="111"/>
      <c r="BI1479" s="111"/>
      <c r="BJ1479" s="111"/>
      <c r="BK1479" s="111"/>
      <c r="BL1479" s="111"/>
      <c r="BM1479" s="111"/>
      <c r="BN1479" s="111"/>
      <c r="BO1479" s="111"/>
      <c r="BP1479" s="111"/>
      <c r="BQ1479" s="111"/>
      <c r="BR1479" s="111"/>
      <c r="BS1479" s="111"/>
      <c r="DR1479" s="29"/>
      <c r="DS1479" s="29"/>
      <c r="DT1479" s="29"/>
      <c r="DU1479" s="29"/>
      <c r="DV1479" s="29"/>
      <c r="DW1479" s="29"/>
      <c r="DX1479" s="29"/>
      <c r="DY1479" s="29"/>
      <c r="DZ1479" s="29"/>
      <c r="EA1479" s="29"/>
      <c r="EB1479" s="29"/>
      <c r="EC1479" s="29"/>
      <c r="ED1479" s="29"/>
      <c r="EE1479" s="29"/>
      <c r="EF1479" s="111"/>
      <c r="EG1479" s="111"/>
      <c r="EH1479" s="111"/>
      <c r="EI1479" s="111"/>
      <c r="EJ1479" s="111"/>
      <c r="EK1479" s="111"/>
      <c r="EL1479" s="111"/>
      <c r="EM1479" s="111"/>
      <c r="EN1479" s="111"/>
      <c r="EO1479" s="111"/>
      <c r="EP1479" s="111"/>
      <c r="EQ1479" s="111"/>
      <c r="ER1479" s="111"/>
      <c r="ES1479" s="111"/>
    </row>
    <row r="1480" spans="44:149">
      <c r="AR1480" s="29"/>
      <c r="AS1480" s="29"/>
      <c r="AT1480" s="29"/>
      <c r="AU1480" s="29"/>
      <c r="AV1480" s="29"/>
      <c r="AW1480" s="29"/>
      <c r="AX1480" s="29"/>
      <c r="AY1480" s="29"/>
      <c r="AZ1480" s="29"/>
      <c r="BA1480" s="29"/>
      <c r="BB1480" s="29"/>
      <c r="BC1480" s="29"/>
      <c r="BD1480" s="29"/>
      <c r="BE1480" s="29"/>
      <c r="BF1480" s="111"/>
      <c r="BG1480" s="111"/>
      <c r="BH1480" s="111"/>
      <c r="BI1480" s="111"/>
      <c r="BJ1480" s="111"/>
      <c r="BK1480" s="111"/>
      <c r="BL1480" s="111"/>
      <c r="BM1480" s="111"/>
      <c r="BN1480" s="111"/>
      <c r="BO1480" s="111"/>
      <c r="BP1480" s="111"/>
      <c r="BQ1480" s="111"/>
      <c r="BR1480" s="111"/>
      <c r="BS1480" s="111"/>
      <c r="DR1480" s="29"/>
      <c r="DS1480" s="29"/>
      <c r="DT1480" s="29"/>
      <c r="DU1480" s="29"/>
      <c r="DV1480" s="29"/>
      <c r="DW1480" s="29"/>
      <c r="DX1480" s="29"/>
      <c r="DY1480" s="29"/>
      <c r="DZ1480" s="29"/>
      <c r="EA1480" s="29"/>
      <c r="EB1480" s="29"/>
      <c r="EC1480" s="29"/>
      <c r="ED1480" s="29"/>
      <c r="EE1480" s="29"/>
      <c r="EF1480" s="111"/>
      <c r="EG1480" s="111"/>
      <c r="EH1480" s="111"/>
      <c r="EI1480" s="111"/>
      <c r="EJ1480" s="111"/>
      <c r="EK1480" s="111"/>
      <c r="EL1480" s="111"/>
      <c r="EM1480" s="111"/>
      <c r="EN1480" s="111"/>
      <c r="EO1480" s="111"/>
      <c r="EP1480" s="111"/>
      <c r="EQ1480" s="111"/>
      <c r="ER1480" s="111"/>
      <c r="ES1480" s="111"/>
    </row>
    <row r="1481" spans="44:149">
      <c r="AR1481" s="29"/>
      <c r="AS1481" s="29"/>
      <c r="AT1481" s="29"/>
      <c r="AU1481" s="29"/>
      <c r="AV1481" s="29"/>
      <c r="AW1481" s="29"/>
      <c r="AX1481" s="29"/>
      <c r="AY1481" s="29"/>
      <c r="AZ1481" s="29"/>
      <c r="BA1481" s="29"/>
      <c r="BB1481" s="29"/>
      <c r="BC1481" s="29"/>
      <c r="BD1481" s="29"/>
      <c r="BE1481" s="29"/>
      <c r="BF1481" s="111"/>
      <c r="BG1481" s="111"/>
      <c r="BH1481" s="111"/>
      <c r="BI1481" s="111"/>
      <c r="BJ1481" s="111"/>
      <c r="BK1481" s="111"/>
      <c r="BL1481" s="111"/>
      <c r="BM1481" s="111"/>
      <c r="BN1481" s="111"/>
      <c r="BO1481" s="111"/>
      <c r="BP1481" s="111"/>
      <c r="BQ1481" s="111"/>
      <c r="BR1481" s="111"/>
      <c r="BS1481" s="111"/>
      <c r="DR1481" s="29"/>
      <c r="DS1481" s="29"/>
      <c r="DT1481" s="29"/>
      <c r="DU1481" s="29"/>
      <c r="DV1481" s="29"/>
      <c r="DW1481" s="29"/>
      <c r="DX1481" s="29"/>
      <c r="DY1481" s="29"/>
      <c r="DZ1481" s="29"/>
      <c r="EA1481" s="29"/>
      <c r="EB1481" s="29"/>
      <c r="EC1481" s="29"/>
      <c r="ED1481" s="29"/>
      <c r="EE1481" s="29"/>
      <c r="EF1481" s="111"/>
      <c r="EG1481" s="111"/>
      <c r="EH1481" s="111"/>
      <c r="EI1481" s="111"/>
      <c r="EJ1481" s="111"/>
      <c r="EK1481" s="111"/>
      <c r="EL1481" s="111"/>
      <c r="EM1481" s="111"/>
      <c r="EN1481" s="111"/>
      <c r="EO1481" s="111"/>
      <c r="EP1481" s="111"/>
      <c r="EQ1481" s="111"/>
      <c r="ER1481" s="111"/>
      <c r="ES1481" s="111"/>
    </row>
    <row r="1482" spans="44:149">
      <c r="AR1482" s="29"/>
      <c r="AS1482" s="29"/>
      <c r="AT1482" s="29"/>
      <c r="AU1482" s="29"/>
      <c r="AV1482" s="29"/>
      <c r="AW1482" s="29"/>
      <c r="AX1482" s="29"/>
      <c r="AY1482" s="29"/>
      <c r="AZ1482" s="29"/>
      <c r="BA1482" s="29"/>
      <c r="BB1482" s="29"/>
      <c r="BC1482" s="29"/>
      <c r="BD1482" s="29"/>
      <c r="BE1482" s="29"/>
      <c r="BF1482" s="111"/>
      <c r="BG1482" s="111"/>
      <c r="BH1482" s="111"/>
      <c r="BI1482" s="111"/>
      <c r="BJ1482" s="111"/>
      <c r="BK1482" s="111"/>
      <c r="BL1482" s="111"/>
      <c r="BM1482" s="111"/>
      <c r="BN1482" s="111"/>
      <c r="BO1482" s="111"/>
      <c r="BP1482" s="111"/>
      <c r="BQ1482" s="111"/>
      <c r="BR1482" s="111"/>
      <c r="BS1482" s="111"/>
      <c r="DR1482" s="29"/>
      <c r="DS1482" s="29"/>
      <c r="DT1482" s="29"/>
      <c r="DU1482" s="29"/>
      <c r="DV1482" s="29"/>
      <c r="DW1482" s="29"/>
      <c r="DX1482" s="29"/>
      <c r="DY1482" s="29"/>
      <c r="DZ1482" s="29"/>
      <c r="EA1482" s="29"/>
      <c r="EB1482" s="29"/>
      <c r="EC1482" s="29"/>
      <c r="ED1482" s="29"/>
      <c r="EE1482" s="29"/>
      <c r="EF1482" s="111"/>
      <c r="EG1482" s="111"/>
      <c r="EH1482" s="111"/>
      <c r="EI1482" s="111"/>
      <c r="EJ1482" s="111"/>
      <c r="EK1482" s="111"/>
      <c r="EL1482" s="111"/>
      <c r="EM1482" s="111"/>
      <c r="EN1482" s="111"/>
      <c r="EO1482" s="111"/>
      <c r="EP1482" s="111"/>
      <c r="EQ1482" s="111"/>
      <c r="ER1482" s="111"/>
      <c r="ES1482" s="111"/>
    </row>
    <row r="1483" spans="44:149">
      <c r="AR1483" s="29"/>
      <c r="AS1483" s="29"/>
      <c r="AT1483" s="29"/>
      <c r="AU1483" s="29"/>
      <c r="AV1483" s="29"/>
      <c r="AW1483" s="29"/>
      <c r="AX1483" s="29"/>
      <c r="AY1483" s="29"/>
      <c r="AZ1483" s="29"/>
      <c r="BA1483" s="29"/>
      <c r="BB1483" s="29"/>
      <c r="BC1483" s="29"/>
      <c r="BD1483" s="29"/>
      <c r="BE1483" s="29"/>
      <c r="BF1483" s="111"/>
      <c r="BG1483" s="111"/>
      <c r="BH1483" s="111"/>
      <c r="BI1483" s="111"/>
      <c r="BJ1483" s="111"/>
      <c r="BK1483" s="111"/>
      <c r="BL1483" s="111"/>
      <c r="BM1483" s="111"/>
      <c r="BN1483" s="111"/>
      <c r="BO1483" s="111"/>
      <c r="BP1483" s="111"/>
      <c r="BQ1483" s="111"/>
      <c r="BR1483" s="111"/>
      <c r="BS1483" s="111"/>
      <c r="DR1483" s="29"/>
      <c r="DS1483" s="29"/>
      <c r="DT1483" s="29"/>
      <c r="DU1483" s="29"/>
      <c r="DV1483" s="29"/>
      <c r="DW1483" s="29"/>
      <c r="DX1483" s="29"/>
      <c r="DY1483" s="29"/>
      <c r="DZ1483" s="29"/>
      <c r="EA1483" s="29"/>
      <c r="EB1483" s="29"/>
      <c r="EC1483" s="29"/>
      <c r="ED1483" s="29"/>
      <c r="EE1483" s="29"/>
      <c r="EF1483" s="111"/>
      <c r="EG1483" s="111"/>
      <c r="EH1483" s="111"/>
      <c r="EI1483" s="111"/>
      <c r="EJ1483" s="111"/>
      <c r="EK1483" s="111"/>
      <c r="EL1483" s="111"/>
      <c r="EM1483" s="111"/>
      <c r="EN1483" s="111"/>
      <c r="EO1483" s="111"/>
      <c r="EP1483" s="111"/>
      <c r="EQ1483" s="111"/>
      <c r="ER1483" s="111"/>
      <c r="ES1483" s="111"/>
    </row>
    <row r="1484" spans="44:149">
      <c r="AR1484" s="29"/>
      <c r="AS1484" s="29"/>
      <c r="AT1484" s="29"/>
      <c r="AU1484" s="29"/>
      <c r="AV1484" s="29"/>
      <c r="AW1484" s="29"/>
      <c r="AX1484" s="29"/>
      <c r="AY1484" s="29"/>
      <c r="AZ1484" s="29"/>
      <c r="BA1484" s="29"/>
      <c r="BB1484" s="29"/>
      <c r="BC1484" s="29"/>
      <c r="BD1484" s="29"/>
      <c r="BE1484" s="29"/>
      <c r="BF1484" s="111"/>
      <c r="BG1484" s="111"/>
      <c r="BH1484" s="111"/>
      <c r="BI1484" s="111"/>
      <c r="BJ1484" s="111"/>
      <c r="BK1484" s="111"/>
      <c r="BL1484" s="111"/>
      <c r="BM1484" s="111"/>
      <c r="BN1484" s="111"/>
      <c r="BO1484" s="111"/>
      <c r="BP1484" s="111"/>
      <c r="BQ1484" s="111"/>
      <c r="BR1484" s="111"/>
      <c r="BS1484" s="111"/>
      <c r="DR1484" s="29"/>
      <c r="DS1484" s="29"/>
      <c r="DT1484" s="29"/>
      <c r="DU1484" s="29"/>
      <c r="DV1484" s="29"/>
      <c r="DW1484" s="29"/>
      <c r="DX1484" s="29"/>
      <c r="DY1484" s="29"/>
      <c r="DZ1484" s="29"/>
      <c r="EA1484" s="29"/>
      <c r="EB1484" s="29"/>
      <c r="EC1484" s="29"/>
      <c r="ED1484" s="29"/>
      <c r="EE1484" s="29"/>
      <c r="EF1484" s="111"/>
      <c r="EG1484" s="111"/>
      <c r="EH1484" s="111"/>
      <c r="EI1484" s="111"/>
      <c r="EJ1484" s="111"/>
      <c r="EK1484" s="111"/>
      <c r="EL1484" s="111"/>
      <c r="EM1484" s="111"/>
      <c r="EN1484" s="111"/>
      <c r="EO1484" s="111"/>
      <c r="EP1484" s="111"/>
      <c r="EQ1484" s="111"/>
      <c r="ER1484" s="111"/>
      <c r="ES1484" s="111"/>
    </row>
    <row r="1485" spans="44:149">
      <c r="AR1485" s="29"/>
      <c r="AS1485" s="29"/>
      <c r="AT1485" s="29"/>
      <c r="AU1485" s="29"/>
      <c r="AV1485" s="29"/>
      <c r="AW1485" s="29"/>
      <c r="AX1485" s="29"/>
      <c r="AY1485" s="29"/>
      <c r="AZ1485" s="29"/>
      <c r="BA1485" s="29"/>
      <c r="BB1485" s="29"/>
      <c r="BC1485" s="29"/>
      <c r="BD1485" s="29"/>
      <c r="BE1485" s="29"/>
      <c r="BF1485" s="111"/>
      <c r="BG1485" s="111"/>
      <c r="BH1485" s="111"/>
      <c r="BI1485" s="111"/>
      <c r="BJ1485" s="111"/>
      <c r="BK1485" s="111"/>
      <c r="BL1485" s="111"/>
      <c r="BM1485" s="111"/>
      <c r="BN1485" s="111"/>
      <c r="BO1485" s="111"/>
      <c r="BP1485" s="111"/>
      <c r="BQ1485" s="111"/>
      <c r="BR1485" s="111"/>
      <c r="BS1485" s="111"/>
      <c r="DR1485" s="29"/>
      <c r="DS1485" s="29"/>
      <c r="DT1485" s="29"/>
      <c r="DU1485" s="29"/>
      <c r="DV1485" s="29"/>
      <c r="DW1485" s="29"/>
      <c r="DX1485" s="29"/>
      <c r="DY1485" s="29"/>
      <c r="DZ1485" s="29"/>
      <c r="EA1485" s="29"/>
      <c r="EB1485" s="29"/>
      <c r="EC1485" s="29"/>
      <c r="ED1485" s="29"/>
      <c r="EE1485" s="29"/>
      <c r="EF1485" s="111"/>
      <c r="EG1485" s="111"/>
      <c r="EH1485" s="111"/>
      <c r="EI1485" s="111"/>
      <c r="EJ1485" s="111"/>
      <c r="EK1485" s="111"/>
      <c r="EL1485" s="111"/>
      <c r="EM1485" s="111"/>
      <c r="EN1485" s="111"/>
      <c r="EO1485" s="111"/>
      <c r="EP1485" s="111"/>
      <c r="EQ1485" s="111"/>
      <c r="ER1485" s="111"/>
      <c r="ES1485" s="111"/>
    </row>
    <row r="1486" spans="44:149">
      <c r="AR1486" s="29"/>
      <c r="AS1486" s="29"/>
      <c r="AT1486" s="29"/>
      <c r="AU1486" s="29"/>
      <c r="AV1486" s="29"/>
      <c r="AW1486" s="29"/>
      <c r="AX1486" s="29"/>
      <c r="AY1486" s="29"/>
      <c r="AZ1486" s="29"/>
      <c r="BA1486" s="29"/>
      <c r="BB1486" s="29"/>
      <c r="BC1486" s="29"/>
      <c r="BD1486" s="29"/>
      <c r="BE1486" s="29"/>
      <c r="BF1486" s="111"/>
      <c r="BG1486" s="111"/>
      <c r="BH1486" s="111"/>
      <c r="BI1486" s="111"/>
      <c r="BJ1486" s="111"/>
      <c r="BK1486" s="111"/>
      <c r="BL1486" s="111"/>
      <c r="BM1486" s="111"/>
      <c r="BN1486" s="111"/>
      <c r="BO1486" s="111"/>
      <c r="BP1486" s="111"/>
      <c r="BQ1486" s="111"/>
      <c r="BR1486" s="111"/>
      <c r="BS1486" s="111"/>
      <c r="DR1486" s="29"/>
      <c r="DS1486" s="29"/>
      <c r="DT1486" s="29"/>
      <c r="DU1486" s="29"/>
      <c r="DV1486" s="29"/>
      <c r="DW1486" s="29"/>
      <c r="DX1486" s="29"/>
      <c r="DY1486" s="29"/>
      <c r="DZ1486" s="29"/>
      <c r="EA1486" s="29"/>
      <c r="EB1486" s="29"/>
      <c r="EC1486" s="29"/>
      <c r="ED1486" s="29"/>
      <c r="EE1486" s="29"/>
      <c r="EF1486" s="111"/>
      <c r="EG1486" s="111"/>
      <c r="EH1486" s="111"/>
      <c r="EI1486" s="111"/>
      <c r="EJ1486" s="111"/>
      <c r="EK1486" s="111"/>
      <c r="EL1486" s="111"/>
      <c r="EM1486" s="111"/>
      <c r="EN1486" s="111"/>
      <c r="EO1486" s="111"/>
      <c r="EP1486" s="111"/>
      <c r="EQ1486" s="111"/>
      <c r="ER1486" s="111"/>
      <c r="ES1486" s="111"/>
    </row>
    <row r="1487" spans="44:149">
      <c r="AR1487" s="29"/>
      <c r="AS1487" s="29"/>
      <c r="AT1487" s="29"/>
      <c r="AU1487" s="29"/>
      <c r="AV1487" s="29"/>
      <c r="AW1487" s="29"/>
      <c r="AX1487" s="29"/>
      <c r="AY1487" s="29"/>
      <c r="AZ1487" s="29"/>
      <c r="BA1487" s="29"/>
      <c r="BB1487" s="29"/>
      <c r="BC1487" s="29"/>
      <c r="BD1487" s="29"/>
      <c r="BE1487" s="29"/>
      <c r="BF1487" s="111"/>
      <c r="BG1487" s="111"/>
      <c r="BH1487" s="111"/>
      <c r="BI1487" s="111"/>
      <c r="BJ1487" s="111"/>
      <c r="BK1487" s="111"/>
      <c r="BL1487" s="111"/>
      <c r="BM1487" s="111"/>
      <c r="BN1487" s="111"/>
      <c r="BO1487" s="111"/>
      <c r="BP1487" s="111"/>
      <c r="BQ1487" s="111"/>
      <c r="BR1487" s="111"/>
      <c r="BS1487" s="111"/>
      <c r="DR1487" s="29"/>
      <c r="DS1487" s="29"/>
      <c r="DT1487" s="29"/>
      <c r="DU1487" s="29"/>
      <c r="DV1487" s="29"/>
      <c r="DW1487" s="29"/>
      <c r="DX1487" s="29"/>
      <c r="DY1487" s="29"/>
      <c r="DZ1487" s="29"/>
      <c r="EA1487" s="29"/>
      <c r="EB1487" s="29"/>
      <c r="EC1487" s="29"/>
      <c r="ED1487" s="29"/>
      <c r="EE1487" s="29"/>
      <c r="EF1487" s="111"/>
      <c r="EG1487" s="111"/>
      <c r="EH1487" s="111"/>
      <c r="EI1487" s="111"/>
      <c r="EJ1487" s="111"/>
      <c r="EK1487" s="111"/>
      <c r="EL1487" s="111"/>
      <c r="EM1487" s="111"/>
      <c r="EN1487" s="111"/>
      <c r="EO1487" s="111"/>
      <c r="EP1487" s="111"/>
      <c r="EQ1487" s="111"/>
      <c r="ER1487" s="111"/>
      <c r="ES1487" s="111"/>
    </row>
    <row r="1488" spans="44:149">
      <c r="AR1488" s="29"/>
      <c r="AS1488" s="29"/>
      <c r="AT1488" s="29"/>
      <c r="AU1488" s="29"/>
      <c r="AV1488" s="29"/>
      <c r="AW1488" s="29"/>
      <c r="AX1488" s="29"/>
      <c r="AY1488" s="29"/>
      <c r="AZ1488" s="29"/>
      <c r="BA1488" s="29"/>
      <c r="BB1488" s="29"/>
      <c r="BC1488" s="29"/>
      <c r="BD1488" s="29"/>
      <c r="BE1488" s="29"/>
      <c r="BF1488" s="111"/>
      <c r="BG1488" s="111"/>
      <c r="BH1488" s="111"/>
      <c r="BI1488" s="111"/>
      <c r="BJ1488" s="111"/>
      <c r="BK1488" s="111"/>
      <c r="BL1488" s="111"/>
      <c r="BM1488" s="111"/>
      <c r="BN1488" s="111"/>
      <c r="BO1488" s="111"/>
      <c r="BP1488" s="111"/>
      <c r="BQ1488" s="111"/>
      <c r="BR1488" s="111"/>
      <c r="BS1488" s="111"/>
      <c r="DR1488" s="29"/>
      <c r="DS1488" s="29"/>
      <c r="DT1488" s="29"/>
      <c r="DU1488" s="29"/>
      <c r="DV1488" s="29"/>
      <c r="DW1488" s="29"/>
      <c r="DX1488" s="29"/>
      <c r="DY1488" s="29"/>
      <c r="DZ1488" s="29"/>
      <c r="EA1488" s="29"/>
      <c r="EB1488" s="29"/>
      <c r="EC1488" s="29"/>
      <c r="ED1488" s="29"/>
      <c r="EE1488" s="29"/>
      <c r="EF1488" s="111"/>
      <c r="EG1488" s="111"/>
      <c r="EH1488" s="111"/>
      <c r="EI1488" s="111"/>
      <c r="EJ1488" s="111"/>
      <c r="EK1488" s="111"/>
      <c r="EL1488" s="111"/>
      <c r="EM1488" s="111"/>
      <c r="EN1488" s="111"/>
      <c r="EO1488" s="111"/>
      <c r="EP1488" s="111"/>
      <c r="EQ1488" s="111"/>
      <c r="ER1488" s="111"/>
      <c r="ES1488" s="111"/>
    </row>
    <row r="1489" spans="44:149">
      <c r="AR1489" s="29"/>
      <c r="AS1489" s="29"/>
      <c r="AT1489" s="29"/>
      <c r="AU1489" s="29"/>
      <c r="AV1489" s="29"/>
      <c r="AW1489" s="29"/>
      <c r="AX1489" s="29"/>
      <c r="AY1489" s="29"/>
      <c r="AZ1489" s="29"/>
      <c r="BA1489" s="29"/>
      <c r="BB1489" s="29"/>
      <c r="BC1489" s="29"/>
      <c r="BD1489" s="29"/>
      <c r="BE1489" s="29"/>
      <c r="BF1489" s="111"/>
      <c r="BG1489" s="111"/>
      <c r="BH1489" s="111"/>
      <c r="BI1489" s="111"/>
      <c r="BJ1489" s="111"/>
      <c r="BK1489" s="111"/>
      <c r="BL1489" s="111"/>
      <c r="BM1489" s="111"/>
      <c r="BN1489" s="111"/>
      <c r="BO1489" s="111"/>
      <c r="BP1489" s="111"/>
      <c r="BQ1489" s="111"/>
      <c r="BR1489" s="111"/>
      <c r="BS1489" s="111"/>
      <c r="DR1489" s="29"/>
      <c r="DS1489" s="29"/>
      <c r="DT1489" s="29"/>
      <c r="DU1489" s="29"/>
      <c r="DV1489" s="29"/>
      <c r="DW1489" s="29"/>
      <c r="DX1489" s="29"/>
      <c r="DY1489" s="29"/>
      <c r="DZ1489" s="29"/>
      <c r="EA1489" s="29"/>
      <c r="EB1489" s="29"/>
      <c r="EC1489" s="29"/>
      <c r="ED1489" s="29"/>
      <c r="EE1489" s="29"/>
      <c r="EF1489" s="111"/>
      <c r="EG1489" s="111"/>
      <c r="EH1489" s="111"/>
      <c r="EI1489" s="111"/>
      <c r="EJ1489" s="111"/>
      <c r="EK1489" s="111"/>
      <c r="EL1489" s="111"/>
      <c r="EM1489" s="111"/>
      <c r="EN1489" s="111"/>
      <c r="EO1489" s="111"/>
      <c r="EP1489" s="111"/>
      <c r="EQ1489" s="111"/>
      <c r="ER1489" s="111"/>
      <c r="ES1489" s="111"/>
    </row>
    <row r="1490" spans="44:149">
      <c r="AR1490" s="29"/>
      <c r="AS1490" s="29"/>
      <c r="AT1490" s="29"/>
      <c r="AU1490" s="29"/>
      <c r="AV1490" s="29"/>
      <c r="AW1490" s="29"/>
      <c r="AX1490" s="29"/>
      <c r="AY1490" s="29"/>
      <c r="AZ1490" s="29"/>
      <c r="BA1490" s="29"/>
      <c r="BB1490" s="29"/>
      <c r="BC1490" s="29"/>
      <c r="BD1490" s="29"/>
      <c r="BE1490" s="29"/>
      <c r="BF1490" s="111"/>
      <c r="BG1490" s="111"/>
      <c r="BH1490" s="111"/>
      <c r="BI1490" s="111"/>
      <c r="BJ1490" s="111"/>
      <c r="BK1490" s="111"/>
      <c r="BL1490" s="111"/>
      <c r="BM1490" s="111"/>
      <c r="BN1490" s="111"/>
      <c r="BO1490" s="111"/>
      <c r="BP1490" s="111"/>
      <c r="BQ1490" s="111"/>
      <c r="BR1490" s="111"/>
      <c r="BS1490" s="111"/>
      <c r="DR1490" s="29"/>
      <c r="DS1490" s="29"/>
      <c r="DT1490" s="29"/>
      <c r="DU1490" s="29"/>
      <c r="DV1490" s="29"/>
      <c r="DW1490" s="29"/>
      <c r="DX1490" s="29"/>
      <c r="DY1490" s="29"/>
      <c r="DZ1490" s="29"/>
      <c r="EA1490" s="29"/>
      <c r="EB1490" s="29"/>
      <c r="EC1490" s="29"/>
      <c r="ED1490" s="29"/>
      <c r="EE1490" s="29"/>
      <c r="EF1490" s="111"/>
      <c r="EG1490" s="111"/>
      <c r="EH1490" s="111"/>
      <c r="EI1490" s="111"/>
      <c r="EJ1490" s="111"/>
      <c r="EK1490" s="111"/>
      <c r="EL1490" s="111"/>
      <c r="EM1490" s="111"/>
      <c r="EN1490" s="111"/>
      <c r="EO1490" s="111"/>
      <c r="EP1490" s="111"/>
      <c r="EQ1490" s="111"/>
      <c r="ER1490" s="111"/>
      <c r="ES1490" s="111"/>
    </row>
    <row r="1491" spans="44:149">
      <c r="AR1491" s="29"/>
      <c r="AS1491" s="29"/>
      <c r="AT1491" s="29"/>
      <c r="AU1491" s="29"/>
      <c r="AV1491" s="29"/>
      <c r="AW1491" s="29"/>
      <c r="AX1491" s="29"/>
      <c r="AY1491" s="29"/>
      <c r="AZ1491" s="29"/>
      <c r="BA1491" s="29"/>
      <c r="BB1491" s="29"/>
      <c r="BC1491" s="29"/>
      <c r="BD1491" s="29"/>
      <c r="BE1491" s="29"/>
      <c r="BF1491" s="111"/>
      <c r="BG1491" s="111"/>
      <c r="BH1491" s="111"/>
      <c r="BI1491" s="111"/>
      <c r="BJ1491" s="111"/>
      <c r="BK1491" s="111"/>
      <c r="BL1491" s="111"/>
      <c r="BM1491" s="111"/>
      <c r="BN1491" s="111"/>
      <c r="BO1491" s="111"/>
      <c r="BP1491" s="111"/>
      <c r="BQ1491" s="111"/>
      <c r="BR1491" s="111"/>
      <c r="BS1491" s="111"/>
      <c r="DR1491" s="29"/>
      <c r="DS1491" s="29"/>
      <c r="DT1491" s="29"/>
      <c r="DU1491" s="29"/>
      <c r="DV1491" s="29"/>
      <c r="DW1491" s="29"/>
      <c r="DX1491" s="29"/>
      <c r="DY1491" s="29"/>
      <c r="DZ1491" s="29"/>
      <c r="EA1491" s="29"/>
      <c r="EB1491" s="29"/>
      <c r="EC1491" s="29"/>
      <c r="ED1491" s="29"/>
      <c r="EE1491" s="29"/>
      <c r="EF1491" s="111"/>
      <c r="EG1491" s="111"/>
      <c r="EH1491" s="111"/>
      <c r="EI1491" s="111"/>
      <c r="EJ1491" s="111"/>
      <c r="EK1491" s="111"/>
      <c r="EL1491" s="111"/>
      <c r="EM1491" s="111"/>
      <c r="EN1491" s="111"/>
      <c r="EO1491" s="111"/>
      <c r="EP1491" s="111"/>
      <c r="EQ1491" s="111"/>
      <c r="ER1491" s="111"/>
      <c r="ES1491" s="111"/>
    </row>
    <row r="1492" spans="44:149">
      <c r="AR1492" s="29"/>
      <c r="AS1492" s="29"/>
      <c r="AT1492" s="29"/>
      <c r="AU1492" s="29"/>
      <c r="AV1492" s="29"/>
      <c r="AW1492" s="29"/>
      <c r="AX1492" s="29"/>
      <c r="AY1492" s="29"/>
      <c r="AZ1492" s="29"/>
      <c r="BA1492" s="29"/>
      <c r="BB1492" s="29"/>
      <c r="BC1492" s="29"/>
      <c r="BD1492" s="29"/>
      <c r="BE1492" s="29"/>
      <c r="BF1492" s="111"/>
      <c r="BG1492" s="111"/>
      <c r="BH1492" s="111"/>
      <c r="BI1492" s="111"/>
      <c r="BJ1492" s="111"/>
      <c r="BK1492" s="111"/>
      <c r="BL1492" s="111"/>
      <c r="BM1492" s="111"/>
      <c r="BN1492" s="111"/>
      <c r="BO1492" s="111"/>
      <c r="BP1492" s="111"/>
      <c r="BQ1492" s="111"/>
      <c r="BR1492" s="111"/>
      <c r="BS1492" s="111"/>
      <c r="DR1492" s="29"/>
      <c r="DS1492" s="29"/>
      <c r="DT1492" s="29"/>
      <c r="DU1492" s="29"/>
      <c r="DV1492" s="29"/>
      <c r="DW1492" s="29"/>
      <c r="DX1492" s="29"/>
      <c r="DY1492" s="29"/>
      <c r="DZ1492" s="29"/>
      <c r="EA1492" s="29"/>
      <c r="EB1492" s="29"/>
      <c r="EC1492" s="29"/>
      <c r="ED1492" s="29"/>
      <c r="EE1492" s="29"/>
      <c r="EF1492" s="111"/>
      <c r="EG1492" s="111"/>
      <c r="EH1492" s="111"/>
      <c r="EI1492" s="111"/>
      <c r="EJ1492" s="111"/>
      <c r="EK1492" s="111"/>
      <c r="EL1492" s="111"/>
      <c r="EM1492" s="111"/>
      <c r="EN1492" s="111"/>
      <c r="EO1492" s="111"/>
      <c r="EP1492" s="111"/>
      <c r="EQ1492" s="111"/>
      <c r="ER1492" s="111"/>
      <c r="ES1492" s="111"/>
    </row>
    <row r="1493" spans="44:149">
      <c r="AR1493" s="29"/>
      <c r="AS1493" s="29"/>
      <c r="AT1493" s="29"/>
      <c r="AU1493" s="29"/>
      <c r="AV1493" s="29"/>
      <c r="AW1493" s="29"/>
      <c r="AX1493" s="29"/>
      <c r="AY1493" s="29"/>
      <c r="AZ1493" s="29"/>
      <c r="BA1493" s="29"/>
      <c r="BB1493" s="29"/>
      <c r="BC1493" s="29"/>
      <c r="BD1493" s="29"/>
      <c r="BE1493" s="29"/>
      <c r="BF1493" s="111"/>
      <c r="BG1493" s="111"/>
      <c r="BH1493" s="111"/>
      <c r="BI1493" s="111"/>
      <c r="BJ1493" s="111"/>
      <c r="BK1493" s="111"/>
      <c r="BL1493" s="111"/>
      <c r="BM1493" s="111"/>
      <c r="BN1493" s="111"/>
      <c r="BO1493" s="111"/>
      <c r="BP1493" s="111"/>
      <c r="BQ1493" s="111"/>
      <c r="BR1493" s="111"/>
      <c r="BS1493" s="111"/>
      <c r="DR1493" s="29"/>
      <c r="DS1493" s="29"/>
      <c r="DT1493" s="29"/>
      <c r="DU1493" s="29"/>
      <c r="DV1493" s="29"/>
      <c r="DW1493" s="29"/>
      <c r="DX1493" s="29"/>
      <c r="DY1493" s="29"/>
      <c r="DZ1493" s="29"/>
      <c r="EA1493" s="29"/>
      <c r="EB1493" s="29"/>
      <c r="EC1493" s="29"/>
      <c r="ED1493" s="29"/>
      <c r="EE1493" s="29"/>
      <c r="EF1493" s="111"/>
      <c r="EG1493" s="111"/>
      <c r="EH1493" s="111"/>
      <c r="EI1493" s="111"/>
      <c r="EJ1493" s="111"/>
      <c r="EK1493" s="111"/>
      <c r="EL1493" s="111"/>
      <c r="EM1493" s="111"/>
      <c r="EN1493" s="111"/>
      <c r="EO1493" s="111"/>
      <c r="EP1493" s="111"/>
      <c r="EQ1493" s="111"/>
      <c r="ER1493" s="111"/>
      <c r="ES1493" s="111"/>
    </row>
    <row r="1494" spans="44:149">
      <c r="AR1494" s="29"/>
      <c r="AS1494" s="29"/>
      <c r="AT1494" s="29"/>
      <c r="AU1494" s="29"/>
      <c r="AV1494" s="29"/>
      <c r="AW1494" s="29"/>
      <c r="AX1494" s="29"/>
      <c r="AY1494" s="29"/>
      <c r="AZ1494" s="29"/>
      <c r="BA1494" s="29"/>
      <c r="BB1494" s="29"/>
      <c r="BC1494" s="29"/>
      <c r="BD1494" s="29"/>
      <c r="BE1494" s="29"/>
      <c r="BF1494" s="111"/>
      <c r="BG1494" s="111"/>
      <c r="BH1494" s="111"/>
      <c r="BI1494" s="111"/>
      <c r="BJ1494" s="111"/>
      <c r="BK1494" s="111"/>
      <c r="BL1494" s="111"/>
      <c r="BM1494" s="111"/>
      <c r="BN1494" s="111"/>
      <c r="BO1494" s="111"/>
      <c r="BP1494" s="111"/>
      <c r="BQ1494" s="111"/>
      <c r="BR1494" s="111"/>
      <c r="BS1494" s="111"/>
      <c r="DR1494" s="29"/>
      <c r="DS1494" s="29"/>
      <c r="DT1494" s="29"/>
      <c r="DU1494" s="29"/>
      <c r="DV1494" s="29"/>
      <c r="DW1494" s="29"/>
      <c r="DX1494" s="29"/>
      <c r="DY1494" s="29"/>
      <c r="DZ1494" s="29"/>
      <c r="EA1494" s="29"/>
      <c r="EB1494" s="29"/>
      <c r="EC1494" s="29"/>
      <c r="ED1494" s="29"/>
      <c r="EE1494" s="29"/>
      <c r="EF1494" s="111"/>
      <c r="EG1494" s="111"/>
      <c r="EH1494" s="111"/>
      <c r="EI1494" s="111"/>
      <c r="EJ1494" s="111"/>
      <c r="EK1494" s="111"/>
      <c r="EL1494" s="111"/>
      <c r="EM1494" s="111"/>
      <c r="EN1494" s="111"/>
      <c r="EO1494" s="111"/>
      <c r="EP1494" s="111"/>
      <c r="EQ1494" s="111"/>
      <c r="ER1494" s="111"/>
      <c r="ES1494" s="111"/>
    </row>
    <row r="1495" spans="44:149">
      <c r="AR1495" s="29"/>
      <c r="AS1495" s="29"/>
      <c r="AT1495" s="29"/>
      <c r="AU1495" s="29"/>
      <c r="AV1495" s="29"/>
      <c r="AW1495" s="29"/>
      <c r="AX1495" s="29"/>
      <c r="AY1495" s="29"/>
      <c r="AZ1495" s="29"/>
      <c r="BA1495" s="29"/>
      <c r="BB1495" s="29"/>
      <c r="BC1495" s="29"/>
      <c r="BD1495" s="29"/>
      <c r="BE1495" s="29"/>
      <c r="BF1495" s="111"/>
      <c r="BG1495" s="111"/>
      <c r="BH1495" s="111"/>
      <c r="BI1495" s="111"/>
      <c r="BJ1495" s="111"/>
      <c r="BK1495" s="111"/>
      <c r="BL1495" s="111"/>
      <c r="BM1495" s="111"/>
      <c r="BN1495" s="111"/>
      <c r="BO1495" s="111"/>
      <c r="BP1495" s="111"/>
      <c r="BQ1495" s="111"/>
      <c r="BR1495" s="111"/>
      <c r="BS1495" s="111"/>
      <c r="DR1495" s="29"/>
      <c r="DS1495" s="29"/>
      <c r="DT1495" s="29"/>
      <c r="DU1495" s="29"/>
      <c r="DV1495" s="29"/>
      <c r="DW1495" s="29"/>
      <c r="DX1495" s="29"/>
      <c r="DY1495" s="29"/>
      <c r="DZ1495" s="29"/>
      <c r="EA1495" s="29"/>
      <c r="EB1495" s="29"/>
      <c r="EC1495" s="29"/>
      <c r="ED1495" s="29"/>
      <c r="EE1495" s="29"/>
      <c r="EF1495" s="111"/>
      <c r="EG1495" s="111"/>
      <c r="EH1495" s="111"/>
      <c r="EI1495" s="111"/>
      <c r="EJ1495" s="111"/>
      <c r="EK1495" s="111"/>
      <c r="EL1495" s="111"/>
      <c r="EM1495" s="111"/>
      <c r="EN1495" s="111"/>
      <c r="EO1495" s="111"/>
      <c r="EP1495" s="111"/>
      <c r="EQ1495" s="111"/>
      <c r="ER1495" s="111"/>
      <c r="ES1495" s="111"/>
    </row>
    <row r="1496" spans="44:149">
      <c r="AR1496" s="29"/>
      <c r="AS1496" s="29"/>
      <c r="AT1496" s="29"/>
      <c r="AU1496" s="29"/>
      <c r="AV1496" s="29"/>
      <c r="AW1496" s="29"/>
      <c r="AX1496" s="29"/>
      <c r="AY1496" s="29"/>
      <c r="AZ1496" s="29"/>
      <c r="BA1496" s="29"/>
      <c r="BB1496" s="29"/>
      <c r="BC1496" s="29"/>
      <c r="BD1496" s="29"/>
      <c r="BE1496" s="29"/>
      <c r="BF1496" s="111"/>
      <c r="BG1496" s="111"/>
      <c r="BH1496" s="111"/>
      <c r="BI1496" s="111"/>
      <c r="BJ1496" s="111"/>
      <c r="BK1496" s="111"/>
      <c r="BL1496" s="111"/>
      <c r="BM1496" s="111"/>
      <c r="BN1496" s="111"/>
      <c r="BO1496" s="111"/>
      <c r="BP1496" s="111"/>
      <c r="BQ1496" s="111"/>
      <c r="BR1496" s="111"/>
      <c r="BS1496" s="111"/>
      <c r="DR1496" s="29"/>
      <c r="DS1496" s="29"/>
      <c r="DT1496" s="29"/>
      <c r="DU1496" s="29"/>
      <c r="DV1496" s="29"/>
      <c r="DW1496" s="29"/>
      <c r="DX1496" s="29"/>
      <c r="DY1496" s="29"/>
      <c r="DZ1496" s="29"/>
      <c r="EA1496" s="29"/>
      <c r="EB1496" s="29"/>
      <c r="EC1496" s="29"/>
      <c r="ED1496" s="29"/>
      <c r="EE1496" s="29"/>
      <c r="EF1496" s="111"/>
      <c r="EG1496" s="111"/>
      <c r="EH1496" s="111"/>
      <c r="EI1496" s="111"/>
      <c r="EJ1496" s="111"/>
      <c r="EK1496" s="111"/>
      <c r="EL1496" s="111"/>
      <c r="EM1496" s="111"/>
      <c r="EN1496" s="111"/>
      <c r="EO1496" s="111"/>
      <c r="EP1496" s="111"/>
      <c r="EQ1496" s="111"/>
      <c r="ER1496" s="111"/>
      <c r="ES1496" s="111"/>
    </row>
    <row r="1497" spans="44:149">
      <c r="AR1497" s="29"/>
      <c r="AS1497" s="29"/>
      <c r="AT1497" s="29"/>
      <c r="AU1497" s="29"/>
      <c r="AV1497" s="29"/>
      <c r="AW1497" s="29"/>
      <c r="AX1497" s="29"/>
      <c r="AY1497" s="29"/>
      <c r="AZ1497" s="29"/>
      <c r="BA1497" s="29"/>
      <c r="BB1497" s="29"/>
      <c r="BC1497" s="29"/>
      <c r="BD1497" s="29"/>
      <c r="BE1497" s="29"/>
      <c r="BF1497" s="111"/>
      <c r="BG1497" s="111"/>
      <c r="BH1497" s="111"/>
      <c r="BI1497" s="111"/>
      <c r="BJ1497" s="111"/>
      <c r="BK1497" s="111"/>
      <c r="BL1497" s="111"/>
      <c r="BM1497" s="111"/>
      <c r="BN1497" s="111"/>
      <c r="BO1497" s="111"/>
      <c r="BP1497" s="111"/>
      <c r="BQ1497" s="111"/>
      <c r="BR1497" s="111"/>
      <c r="BS1497" s="111"/>
      <c r="DR1497" s="29"/>
      <c r="DS1497" s="29"/>
      <c r="DT1497" s="29"/>
      <c r="DU1497" s="29"/>
      <c r="DV1497" s="29"/>
      <c r="DW1497" s="29"/>
      <c r="DX1497" s="29"/>
      <c r="DY1497" s="29"/>
      <c r="DZ1497" s="29"/>
      <c r="EA1497" s="29"/>
      <c r="EB1497" s="29"/>
      <c r="EC1497" s="29"/>
      <c r="ED1497" s="29"/>
      <c r="EE1497" s="29"/>
      <c r="EF1497" s="111"/>
      <c r="EG1497" s="111"/>
      <c r="EH1497" s="111"/>
      <c r="EI1497" s="111"/>
      <c r="EJ1497" s="111"/>
      <c r="EK1497" s="111"/>
      <c r="EL1497" s="111"/>
      <c r="EM1497" s="111"/>
      <c r="EN1497" s="111"/>
      <c r="EO1497" s="111"/>
      <c r="EP1497" s="111"/>
      <c r="EQ1497" s="111"/>
      <c r="ER1497" s="111"/>
      <c r="ES1497" s="111"/>
    </row>
    <row r="1498" spans="44:149">
      <c r="AR1498" s="29"/>
      <c r="AS1498" s="29"/>
      <c r="AT1498" s="29"/>
      <c r="AU1498" s="29"/>
      <c r="AV1498" s="29"/>
      <c r="AW1498" s="29"/>
      <c r="AX1498" s="29"/>
      <c r="AY1498" s="29"/>
      <c r="AZ1498" s="29"/>
      <c r="BA1498" s="29"/>
      <c r="BB1498" s="29"/>
      <c r="BC1498" s="29"/>
      <c r="BD1498" s="29"/>
      <c r="BE1498" s="29"/>
      <c r="BF1498" s="111"/>
      <c r="BG1498" s="111"/>
      <c r="BH1498" s="111"/>
      <c r="BI1498" s="111"/>
      <c r="BJ1498" s="111"/>
      <c r="BK1498" s="111"/>
      <c r="BL1498" s="111"/>
      <c r="BM1498" s="111"/>
      <c r="BN1498" s="111"/>
      <c r="BO1498" s="111"/>
      <c r="BP1498" s="111"/>
      <c r="BQ1498" s="111"/>
      <c r="BR1498" s="111"/>
      <c r="BS1498" s="111"/>
      <c r="DR1498" s="29"/>
      <c r="DS1498" s="29"/>
      <c r="DT1498" s="29"/>
      <c r="DU1498" s="29"/>
      <c r="DV1498" s="29"/>
      <c r="DW1498" s="29"/>
      <c r="DX1498" s="29"/>
      <c r="DY1498" s="29"/>
      <c r="DZ1498" s="29"/>
      <c r="EA1498" s="29"/>
      <c r="EB1498" s="29"/>
      <c r="EC1498" s="29"/>
      <c r="ED1498" s="29"/>
      <c r="EE1498" s="29"/>
      <c r="EF1498" s="111"/>
      <c r="EG1498" s="111"/>
      <c r="EH1498" s="111"/>
      <c r="EI1498" s="111"/>
      <c r="EJ1498" s="111"/>
      <c r="EK1498" s="111"/>
      <c r="EL1498" s="111"/>
      <c r="EM1498" s="111"/>
      <c r="EN1498" s="111"/>
      <c r="EO1498" s="111"/>
      <c r="EP1498" s="111"/>
      <c r="EQ1498" s="111"/>
      <c r="ER1498" s="111"/>
      <c r="ES1498" s="111"/>
    </row>
    <row r="1499" spans="44:149">
      <c r="AR1499" s="29"/>
      <c r="AS1499" s="29"/>
      <c r="AT1499" s="29"/>
      <c r="AU1499" s="29"/>
      <c r="AV1499" s="29"/>
      <c r="AW1499" s="29"/>
      <c r="AX1499" s="29"/>
      <c r="AY1499" s="29"/>
      <c r="AZ1499" s="29"/>
      <c r="BA1499" s="29"/>
      <c r="BB1499" s="29"/>
      <c r="BC1499" s="29"/>
      <c r="BD1499" s="29"/>
      <c r="BE1499" s="29"/>
      <c r="BF1499" s="111"/>
      <c r="BG1499" s="111"/>
      <c r="BH1499" s="111"/>
      <c r="BI1499" s="111"/>
      <c r="BJ1499" s="111"/>
      <c r="BK1499" s="111"/>
      <c r="BL1499" s="111"/>
      <c r="BM1499" s="111"/>
      <c r="BN1499" s="111"/>
      <c r="BO1499" s="111"/>
      <c r="BP1499" s="111"/>
      <c r="BQ1499" s="111"/>
      <c r="BR1499" s="111"/>
      <c r="BS1499" s="111"/>
      <c r="DR1499" s="29"/>
      <c r="DS1499" s="29"/>
      <c r="DT1499" s="29"/>
      <c r="DU1499" s="29"/>
      <c r="DV1499" s="29"/>
      <c r="DW1499" s="29"/>
      <c r="DX1499" s="29"/>
      <c r="DY1499" s="29"/>
      <c r="DZ1499" s="29"/>
      <c r="EA1499" s="29"/>
      <c r="EB1499" s="29"/>
      <c r="EC1499" s="29"/>
      <c r="ED1499" s="29"/>
      <c r="EE1499" s="29"/>
      <c r="EF1499" s="111"/>
      <c r="EG1499" s="111"/>
      <c r="EH1499" s="111"/>
      <c r="EI1499" s="111"/>
      <c r="EJ1499" s="111"/>
      <c r="EK1499" s="111"/>
      <c r="EL1499" s="111"/>
      <c r="EM1499" s="111"/>
      <c r="EN1499" s="111"/>
      <c r="EO1499" s="111"/>
      <c r="EP1499" s="111"/>
      <c r="EQ1499" s="111"/>
      <c r="ER1499" s="111"/>
      <c r="ES1499" s="111"/>
    </row>
    <row r="1500" spans="44:149">
      <c r="AR1500" s="29"/>
      <c r="AS1500" s="29"/>
      <c r="AT1500" s="29"/>
      <c r="AU1500" s="29"/>
      <c r="AV1500" s="29"/>
      <c r="AW1500" s="29"/>
      <c r="AX1500" s="29"/>
      <c r="AY1500" s="29"/>
      <c r="AZ1500" s="29"/>
      <c r="BA1500" s="29"/>
      <c r="BB1500" s="29"/>
      <c r="BC1500" s="29"/>
      <c r="BD1500" s="29"/>
      <c r="BE1500" s="29"/>
      <c r="BF1500" s="111"/>
      <c r="BG1500" s="111"/>
      <c r="BH1500" s="111"/>
      <c r="BI1500" s="111"/>
      <c r="BJ1500" s="111"/>
      <c r="BK1500" s="111"/>
      <c r="BL1500" s="111"/>
      <c r="BM1500" s="111"/>
      <c r="BN1500" s="111"/>
      <c r="BO1500" s="111"/>
      <c r="BP1500" s="111"/>
      <c r="BQ1500" s="111"/>
      <c r="BR1500" s="111"/>
      <c r="BS1500" s="111"/>
      <c r="DR1500" s="29"/>
      <c r="DS1500" s="29"/>
      <c r="DT1500" s="29"/>
      <c r="DU1500" s="29"/>
      <c r="DV1500" s="29"/>
      <c r="DW1500" s="29"/>
      <c r="DX1500" s="29"/>
      <c r="DY1500" s="29"/>
      <c r="DZ1500" s="29"/>
      <c r="EA1500" s="29"/>
      <c r="EB1500" s="29"/>
      <c r="EC1500" s="29"/>
      <c r="ED1500" s="29"/>
      <c r="EE1500" s="29"/>
      <c r="EF1500" s="111"/>
      <c r="EG1500" s="111"/>
      <c r="EH1500" s="111"/>
      <c r="EI1500" s="111"/>
      <c r="EJ1500" s="111"/>
      <c r="EK1500" s="111"/>
      <c r="EL1500" s="111"/>
      <c r="EM1500" s="111"/>
      <c r="EN1500" s="111"/>
      <c r="EO1500" s="111"/>
      <c r="EP1500" s="111"/>
      <c r="EQ1500" s="111"/>
      <c r="ER1500" s="111"/>
      <c r="ES1500" s="111"/>
    </row>
    <row r="1501" spans="44:149">
      <c r="AR1501" s="29"/>
      <c r="AS1501" s="29"/>
      <c r="AT1501" s="29"/>
      <c r="AU1501" s="29"/>
      <c r="AV1501" s="29"/>
      <c r="AW1501" s="29"/>
      <c r="AX1501" s="29"/>
      <c r="AY1501" s="29"/>
      <c r="AZ1501" s="29"/>
      <c r="BA1501" s="29"/>
      <c r="BB1501" s="29"/>
      <c r="BC1501" s="29"/>
      <c r="BD1501" s="29"/>
      <c r="BE1501" s="29"/>
      <c r="BF1501" s="111"/>
      <c r="BG1501" s="111"/>
      <c r="BH1501" s="111"/>
      <c r="BI1501" s="111"/>
      <c r="BJ1501" s="111"/>
      <c r="BK1501" s="111"/>
      <c r="BL1501" s="111"/>
      <c r="BM1501" s="111"/>
      <c r="BN1501" s="111"/>
      <c r="BO1501" s="111"/>
      <c r="BP1501" s="111"/>
      <c r="BQ1501" s="111"/>
      <c r="BR1501" s="111"/>
      <c r="BS1501" s="111"/>
      <c r="DR1501" s="29"/>
      <c r="DS1501" s="29"/>
      <c r="DT1501" s="29"/>
      <c r="DU1501" s="29"/>
      <c r="DV1501" s="29"/>
      <c r="DW1501" s="29"/>
      <c r="DX1501" s="29"/>
      <c r="DY1501" s="29"/>
      <c r="DZ1501" s="29"/>
      <c r="EA1501" s="29"/>
      <c r="EB1501" s="29"/>
      <c r="EC1501" s="29"/>
      <c r="ED1501" s="29"/>
      <c r="EE1501" s="29"/>
      <c r="EF1501" s="111"/>
      <c r="EG1501" s="111"/>
      <c r="EH1501" s="111"/>
      <c r="EI1501" s="111"/>
      <c r="EJ1501" s="111"/>
      <c r="EK1501" s="111"/>
      <c r="EL1501" s="111"/>
      <c r="EM1501" s="111"/>
      <c r="EN1501" s="111"/>
      <c r="EO1501" s="111"/>
      <c r="EP1501" s="111"/>
      <c r="EQ1501" s="111"/>
      <c r="ER1501" s="111"/>
      <c r="ES1501" s="111"/>
    </row>
    <row r="1502" spans="44:149">
      <c r="AR1502" s="29"/>
      <c r="AS1502" s="29"/>
      <c r="AT1502" s="29"/>
      <c r="AU1502" s="29"/>
      <c r="AV1502" s="29"/>
      <c r="AW1502" s="29"/>
      <c r="AX1502" s="29"/>
      <c r="AY1502" s="29"/>
      <c r="AZ1502" s="29"/>
      <c r="BA1502" s="29"/>
      <c r="BB1502" s="29"/>
      <c r="BC1502" s="29"/>
      <c r="BD1502" s="29"/>
      <c r="BE1502" s="29"/>
      <c r="BF1502" s="111"/>
      <c r="BG1502" s="111"/>
      <c r="BH1502" s="111"/>
      <c r="BI1502" s="111"/>
      <c r="BJ1502" s="111"/>
      <c r="BK1502" s="111"/>
      <c r="BL1502" s="111"/>
      <c r="BM1502" s="111"/>
      <c r="BN1502" s="111"/>
      <c r="BO1502" s="111"/>
      <c r="BP1502" s="111"/>
      <c r="BQ1502" s="111"/>
      <c r="BR1502" s="111"/>
      <c r="BS1502" s="111"/>
      <c r="DR1502" s="29"/>
      <c r="DS1502" s="29"/>
      <c r="DT1502" s="29"/>
      <c r="DU1502" s="29"/>
      <c r="DV1502" s="29"/>
      <c r="DW1502" s="29"/>
      <c r="DX1502" s="29"/>
      <c r="DY1502" s="29"/>
      <c r="DZ1502" s="29"/>
      <c r="EA1502" s="29"/>
      <c r="EB1502" s="29"/>
      <c r="EC1502" s="29"/>
      <c r="ED1502" s="29"/>
      <c r="EE1502" s="29"/>
      <c r="EF1502" s="111"/>
      <c r="EG1502" s="111"/>
      <c r="EH1502" s="111"/>
      <c r="EI1502" s="111"/>
      <c r="EJ1502" s="111"/>
      <c r="EK1502" s="111"/>
      <c r="EL1502" s="111"/>
      <c r="EM1502" s="111"/>
      <c r="EN1502" s="111"/>
      <c r="EO1502" s="111"/>
      <c r="EP1502" s="111"/>
      <c r="EQ1502" s="111"/>
      <c r="ER1502" s="111"/>
      <c r="ES1502" s="111"/>
    </row>
    <row r="1503" spans="44:149">
      <c r="AR1503" s="29"/>
      <c r="AS1503" s="29"/>
      <c r="AT1503" s="29"/>
      <c r="AU1503" s="29"/>
      <c r="AV1503" s="29"/>
      <c r="AW1503" s="29"/>
      <c r="AX1503" s="29"/>
      <c r="AY1503" s="29"/>
      <c r="AZ1503" s="29"/>
      <c r="BA1503" s="29"/>
      <c r="BB1503" s="29"/>
      <c r="BC1503" s="29"/>
      <c r="BD1503" s="29"/>
      <c r="BE1503" s="29"/>
      <c r="BF1503" s="111"/>
      <c r="BG1503" s="111"/>
      <c r="BH1503" s="111"/>
      <c r="BI1503" s="111"/>
      <c r="BJ1503" s="111"/>
      <c r="BK1503" s="111"/>
      <c r="BL1503" s="111"/>
      <c r="BM1503" s="111"/>
      <c r="BN1503" s="111"/>
      <c r="BO1503" s="111"/>
      <c r="BP1503" s="111"/>
      <c r="BQ1503" s="111"/>
      <c r="BR1503" s="111"/>
      <c r="BS1503" s="111"/>
      <c r="DR1503" s="29"/>
      <c r="DS1503" s="29"/>
      <c r="DT1503" s="29"/>
      <c r="DU1503" s="29"/>
      <c r="DV1503" s="29"/>
      <c r="DW1503" s="29"/>
      <c r="DX1503" s="29"/>
      <c r="DY1503" s="29"/>
      <c r="DZ1503" s="29"/>
      <c r="EA1503" s="29"/>
      <c r="EB1503" s="29"/>
      <c r="EC1503" s="29"/>
      <c r="ED1503" s="29"/>
      <c r="EE1503" s="29"/>
      <c r="EF1503" s="111"/>
      <c r="EG1503" s="111"/>
      <c r="EH1503" s="111"/>
      <c r="EI1503" s="111"/>
      <c r="EJ1503" s="111"/>
      <c r="EK1503" s="111"/>
      <c r="EL1503" s="111"/>
      <c r="EM1503" s="111"/>
      <c r="EN1503" s="111"/>
      <c r="EO1503" s="111"/>
      <c r="EP1503" s="111"/>
      <c r="EQ1503" s="111"/>
      <c r="ER1503" s="111"/>
      <c r="ES1503" s="111"/>
    </row>
    <row r="1504" spans="44:149">
      <c r="AR1504" s="29"/>
      <c r="AS1504" s="29"/>
      <c r="AT1504" s="29"/>
      <c r="AU1504" s="29"/>
      <c r="AV1504" s="29"/>
      <c r="AW1504" s="29"/>
      <c r="AX1504" s="29"/>
      <c r="AY1504" s="29"/>
      <c r="AZ1504" s="29"/>
      <c r="BA1504" s="29"/>
      <c r="BB1504" s="29"/>
      <c r="BC1504" s="29"/>
      <c r="BD1504" s="29"/>
      <c r="BE1504" s="29"/>
      <c r="BF1504" s="111"/>
      <c r="BG1504" s="111"/>
      <c r="BH1504" s="111"/>
      <c r="BI1504" s="111"/>
      <c r="BJ1504" s="111"/>
      <c r="BK1504" s="111"/>
      <c r="BL1504" s="111"/>
      <c r="BM1504" s="111"/>
      <c r="BN1504" s="111"/>
      <c r="BO1504" s="111"/>
      <c r="BP1504" s="111"/>
      <c r="BQ1504" s="111"/>
      <c r="BR1504" s="111"/>
      <c r="BS1504" s="111"/>
      <c r="DR1504" s="29"/>
      <c r="DS1504" s="29"/>
      <c r="DT1504" s="29"/>
      <c r="DU1504" s="29"/>
      <c r="DV1504" s="29"/>
      <c r="DW1504" s="29"/>
      <c r="DX1504" s="29"/>
      <c r="DY1504" s="29"/>
      <c r="DZ1504" s="29"/>
      <c r="EA1504" s="29"/>
      <c r="EB1504" s="29"/>
      <c r="EC1504" s="29"/>
      <c r="ED1504" s="29"/>
      <c r="EE1504" s="29"/>
      <c r="EF1504" s="111"/>
      <c r="EG1504" s="111"/>
      <c r="EH1504" s="111"/>
      <c r="EI1504" s="111"/>
      <c r="EJ1504" s="111"/>
      <c r="EK1504" s="111"/>
      <c r="EL1504" s="111"/>
      <c r="EM1504" s="111"/>
      <c r="EN1504" s="111"/>
      <c r="EO1504" s="111"/>
      <c r="EP1504" s="111"/>
      <c r="EQ1504" s="111"/>
      <c r="ER1504" s="111"/>
      <c r="ES1504" s="111"/>
    </row>
    <row r="1505" spans="44:149">
      <c r="AR1505" s="29"/>
      <c r="AS1505" s="29"/>
      <c r="AT1505" s="29"/>
      <c r="AU1505" s="29"/>
      <c r="AV1505" s="29"/>
      <c r="AW1505" s="29"/>
      <c r="AX1505" s="29"/>
      <c r="AY1505" s="29"/>
      <c r="AZ1505" s="29"/>
      <c r="BA1505" s="29"/>
      <c r="BB1505" s="29"/>
      <c r="BC1505" s="29"/>
      <c r="BD1505" s="29"/>
      <c r="BE1505" s="29"/>
      <c r="BF1505" s="111"/>
      <c r="BG1505" s="111"/>
      <c r="BH1505" s="111"/>
      <c r="BI1505" s="111"/>
      <c r="BJ1505" s="111"/>
      <c r="BK1505" s="111"/>
      <c r="BL1505" s="111"/>
      <c r="BM1505" s="111"/>
      <c r="BN1505" s="111"/>
      <c r="BO1505" s="111"/>
      <c r="BP1505" s="111"/>
      <c r="BQ1505" s="111"/>
      <c r="BR1505" s="111"/>
      <c r="BS1505" s="111"/>
      <c r="DR1505" s="29"/>
      <c r="DS1505" s="29"/>
      <c r="DT1505" s="29"/>
      <c r="DU1505" s="29"/>
      <c r="DV1505" s="29"/>
      <c r="DW1505" s="29"/>
      <c r="DX1505" s="29"/>
      <c r="DY1505" s="29"/>
      <c r="DZ1505" s="29"/>
      <c r="EA1505" s="29"/>
      <c r="EB1505" s="29"/>
      <c r="EC1505" s="29"/>
      <c r="ED1505" s="29"/>
      <c r="EE1505" s="29"/>
      <c r="EF1505" s="111"/>
      <c r="EG1505" s="111"/>
      <c r="EH1505" s="111"/>
      <c r="EI1505" s="111"/>
      <c r="EJ1505" s="111"/>
      <c r="EK1505" s="111"/>
      <c r="EL1505" s="111"/>
      <c r="EM1505" s="111"/>
      <c r="EN1505" s="111"/>
      <c r="EO1505" s="111"/>
      <c r="EP1505" s="111"/>
      <c r="EQ1505" s="111"/>
      <c r="ER1505" s="111"/>
      <c r="ES1505" s="111"/>
    </row>
    <row r="1506" spans="44:149">
      <c r="AR1506" s="29"/>
      <c r="AS1506" s="29"/>
      <c r="AT1506" s="29"/>
      <c r="AU1506" s="29"/>
      <c r="AV1506" s="29"/>
      <c r="AW1506" s="29"/>
      <c r="AX1506" s="29"/>
      <c r="AY1506" s="29"/>
      <c r="AZ1506" s="29"/>
      <c r="BA1506" s="29"/>
      <c r="BB1506" s="29"/>
      <c r="BC1506" s="29"/>
      <c r="BD1506" s="29"/>
      <c r="BE1506" s="29"/>
      <c r="BF1506" s="111"/>
      <c r="BG1506" s="111"/>
      <c r="BH1506" s="111"/>
      <c r="BI1506" s="111"/>
      <c r="BJ1506" s="111"/>
      <c r="BK1506" s="111"/>
      <c r="BL1506" s="111"/>
      <c r="BM1506" s="111"/>
      <c r="BN1506" s="111"/>
      <c r="BO1506" s="111"/>
      <c r="BP1506" s="111"/>
      <c r="BQ1506" s="111"/>
      <c r="BR1506" s="111"/>
      <c r="BS1506" s="111"/>
      <c r="DR1506" s="29"/>
      <c r="DS1506" s="29"/>
      <c r="DT1506" s="29"/>
      <c r="DU1506" s="29"/>
      <c r="DV1506" s="29"/>
      <c r="DW1506" s="29"/>
      <c r="DX1506" s="29"/>
      <c r="DY1506" s="29"/>
      <c r="DZ1506" s="29"/>
      <c r="EA1506" s="29"/>
      <c r="EB1506" s="29"/>
      <c r="EC1506" s="29"/>
      <c r="ED1506" s="29"/>
      <c r="EE1506" s="29"/>
      <c r="EF1506" s="111"/>
      <c r="EG1506" s="111"/>
      <c r="EH1506" s="111"/>
      <c r="EI1506" s="111"/>
      <c r="EJ1506" s="111"/>
      <c r="EK1506" s="111"/>
      <c r="EL1506" s="111"/>
      <c r="EM1506" s="111"/>
      <c r="EN1506" s="111"/>
      <c r="EO1506" s="111"/>
      <c r="EP1506" s="111"/>
      <c r="EQ1506" s="111"/>
      <c r="ER1506" s="111"/>
      <c r="ES1506" s="111"/>
    </row>
    <row r="1507" spans="44:149">
      <c r="AR1507" s="29"/>
      <c r="AS1507" s="29"/>
      <c r="AT1507" s="29"/>
      <c r="AU1507" s="29"/>
      <c r="AV1507" s="29"/>
      <c r="AW1507" s="29"/>
      <c r="AX1507" s="29"/>
      <c r="AY1507" s="29"/>
      <c r="AZ1507" s="29"/>
      <c r="BA1507" s="29"/>
      <c r="BB1507" s="29"/>
      <c r="BC1507" s="29"/>
      <c r="BD1507" s="29"/>
      <c r="BE1507" s="29"/>
      <c r="BF1507" s="111"/>
      <c r="BG1507" s="111"/>
      <c r="BH1507" s="111"/>
      <c r="BI1507" s="111"/>
      <c r="BJ1507" s="111"/>
      <c r="BK1507" s="111"/>
      <c r="BL1507" s="111"/>
      <c r="BM1507" s="111"/>
      <c r="BN1507" s="111"/>
      <c r="BO1507" s="111"/>
      <c r="BP1507" s="111"/>
      <c r="BQ1507" s="111"/>
      <c r="BR1507" s="111"/>
      <c r="BS1507" s="111"/>
      <c r="DR1507" s="29"/>
      <c r="DS1507" s="29"/>
      <c r="DT1507" s="29"/>
      <c r="DU1507" s="29"/>
      <c r="DV1507" s="29"/>
      <c r="DW1507" s="29"/>
      <c r="DX1507" s="29"/>
      <c r="DY1507" s="29"/>
      <c r="DZ1507" s="29"/>
      <c r="EA1507" s="29"/>
      <c r="EB1507" s="29"/>
      <c r="EC1507" s="29"/>
      <c r="ED1507" s="29"/>
      <c r="EE1507" s="29"/>
      <c r="EF1507" s="111"/>
      <c r="EG1507" s="111"/>
      <c r="EH1507" s="111"/>
      <c r="EI1507" s="111"/>
      <c r="EJ1507" s="111"/>
      <c r="EK1507" s="111"/>
      <c r="EL1507" s="111"/>
      <c r="EM1507" s="111"/>
      <c r="EN1507" s="111"/>
      <c r="EO1507" s="111"/>
      <c r="EP1507" s="111"/>
      <c r="EQ1507" s="111"/>
      <c r="ER1507" s="111"/>
      <c r="ES1507" s="111"/>
    </row>
    <row r="1508" spans="44:149">
      <c r="AR1508" s="29"/>
      <c r="AS1508" s="29"/>
      <c r="AT1508" s="29"/>
      <c r="AU1508" s="29"/>
      <c r="AV1508" s="29"/>
      <c r="AW1508" s="29"/>
      <c r="AX1508" s="29"/>
      <c r="AY1508" s="29"/>
      <c r="AZ1508" s="29"/>
      <c r="BA1508" s="29"/>
      <c r="BB1508" s="29"/>
      <c r="BC1508" s="29"/>
      <c r="BD1508" s="29"/>
      <c r="BE1508" s="29"/>
      <c r="BF1508" s="111"/>
      <c r="BG1508" s="111"/>
      <c r="BH1508" s="111"/>
      <c r="BI1508" s="111"/>
      <c r="BJ1508" s="111"/>
      <c r="BK1508" s="111"/>
      <c r="BL1508" s="111"/>
      <c r="BM1508" s="111"/>
      <c r="BN1508" s="111"/>
      <c r="BO1508" s="111"/>
      <c r="BP1508" s="111"/>
      <c r="BQ1508" s="111"/>
      <c r="BR1508" s="111"/>
      <c r="BS1508" s="111"/>
      <c r="DR1508" s="29"/>
      <c r="DS1508" s="29"/>
      <c r="DT1508" s="29"/>
      <c r="DU1508" s="29"/>
      <c r="DV1508" s="29"/>
      <c r="DW1508" s="29"/>
      <c r="DX1508" s="29"/>
      <c r="DY1508" s="29"/>
      <c r="DZ1508" s="29"/>
      <c r="EA1508" s="29"/>
      <c r="EB1508" s="29"/>
      <c r="EC1508" s="29"/>
      <c r="ED1508" s="29"/>
      <c r="EE1508" s="29"/>
      <c r="EF1508" s="111"/>
      <c r="EG1508" s="111"/>
      <c r="EH1508" s="111"/>
      <c r="EI1508" s="111"/>
      <c r="EJ1508" s="111"/>
      <c r="EK1508" s="111"/>
      <c r="EL1508" s="111"/>
      <c r="EM1508" s="111"/>
      <c r="EN1508" s="111"/>
      <c r="EO1508" s="111"/>
      <c r="EP1508" s="111"/>
      <c r="EQ1508" s="111"/>
      <c r="ER1508" s="111"/>
      <c r="ES1508" s="111"/>
    </row>
    <row r="1509" spans="44:149">
      <c r="AR1509" s="29"/>
      <c r="AS1509" s="29"/>
      <c r="AT1509" s="29"/>
      <c r="AU1509" s="29"/>
      <c r="AV1509" s="29"/>
      <c r="AW1509" s="29"/>
      <c r="AX1509" s="29"/>
      <c r="AY1509" s="29"/>
      <c r="AZ1509" s="29"/>
      <c r="BA1509" s="29"/>
      <c r="BB1509" s="29"/>
      <c r="BC1509" s="29"/>
      <c r="BD1509" s="29"/>
      <c r="BE1509" s="29"/>
      <c r="BF1509" s="111"/>
      <c r="BG1509" s="111"/>
      <c r="BH1509" s="111"/>
      <c r="BI1509" s="111"/>
      <c r="BJ1509" s="111"/>
      <c r="BK1509" s="111"/>
      <c r="BL1509" s="111"/>
      <c r="BM1509" s="111"/>
      <c r="BN1509" s="111"/>
      <c r="BO1509" s="111"/>
      <c r="BP1509" s="111"/>
      <c r="BQ1509" s="111"/>
      <c r="BR1509" s="111"/>
      <c r="BS1509" s="111"/>
      <c r="DR1509" s="29"/>
      <c r="DS1509" s="29"/>
      <c r="DT1509" s="29"/>
      <c r="DU1509" s="29"/>
      <c r="DV1509" s="29"/>
      <c r="DW1509" s="29"/>
      <c r="DX1509" s="29"/>
      <c r="DY1509" s="29"/>
      <c r="DZ1509" s="29"/>
      <c r="EA1509" s="29"/>
      <c r="EB1509" s="29"/>
      <c r="EC1509" s="29"/>
      <c r="ED1509" s="29"/>
      <c r="EE1509" s="29"/>
      <c r="EF1509" s="111"/>
      <c r="EG1509" s="111"/>
      <c r="EH1509" s="111"/>
      <c r="EI1509" s="111"/>
      <c r="EJ1509" s="111"/>
      <c r="EK1509" s="111"/>
      <c r="EL1509" s="111"/>
      <c r="EM1509" s="111"/>
      <c r="EN1509" s="111"/>
      <c r="EO1509" s="111"/>
      <c r="EP1509" s="111"/>
      <c r="EQ1509" s="111"/>
      <c r="ER1509" s="111"/>
      <c r="ES1509" s="111"/>
    </row>
    <row r="1510" spans="44:149">
      <c r="AR1510" s="29"/>
      <c r="AS1510" s="29"/>
      <c r="AT1510" s="29"/>
      <c r="AU1510" s="29"/>
      <c r="AV1510" s="29"/>
      <c r="AW1510" s="29"/>
      <c r="AX1510" s="29"/>
      <c r="AY1510" s="29"/>
      <c r="AZ1510" s="29"/>
      <c r="BA1510" s="29"/>
      <c r="BB1510" s="29"/>
      <c r="BC1510" s="29"/>
      <c r="BD1510" s="29"/>
      <c r="BE1510" s="29"/>
      <c r="BF1510" s="111"/>
      <c r="BG1510" s="111"/>
      <c r="BH1510" s="111"/>
      <c r="BI1510" s="111"/>
      <c r="BJ1510" s="111"/>
      <c r="BK1510" s="111"/>
      <c r="BL1510" s="111"/>
      <c r="BM1510" s="111"/>
      <c r="BN1510" s="111"/>
      <c r="BO1510" s="111"/>
      <c r="BP1510" s="111"/>
      <c r="BQ1510" s="111"/>
      <c r="BR1510" s="111"/>
      <c r="BS1510" s="111"/>
      <c r="DR1510" s="29"/>
      <c r="DS1510" s="29"/>
      <c r="DT1510" s="29"/>
      <c r="DU1510" s="29"/>
      <c r="DV1510" s="29"/>
      <c r="DW1510" s="29"/>
      <c r="DX1510" s="29"/>
      <c r="DY1510" s="29"/>
      <c r="DZ1510" s="29"/>
      <c r="EA1510" s="29"/>
      <c r="EB1510" s="29"/>
      <c r="EC1510" s="29"/>
      <c r="ED1510" s="29"/>
      <c r="EE1510" s="29"/>
      <c r="EF1510" s="111"/>
      <c r="EG1510" s="111"/>
      <c r="EH1510" s="111"/>
      <c r="EI1510" s="111"/>
      <c r="EJ1510" s="111"/>
      <c r="EK1510" s="111"/>
      <c r="EL1510" s="111"/>
      <c r="EM1510" s="111"/>
      <c r="EN1510" s="111"/>
      <c r="EO1510" s="111"/>
      <c r="EP1510" s="111"/>
      <c r="EQ1510" s="111"/>
      <c r="ER1510" s="111"/>
      <c r="ES1510" s="111"/>
    </row>
    <row r="1511" spans="44:149">
      <c r="AR1511" s="29"/>
      <c r="AS1511" s="29"/>
      <c r="AT1511" s="29"/>
      <c r="AU1511" s="29"/>
      <c r="AV1511" s="29"/>
      <c r="AW1511" s="29"/>
      <c r="AX1511" s="29"/>
      <c r="AY1511" s="29"/>
      <c r="AZ1511" s="29"/>
      <c r="BA1511" s="29"/>
      <c r="BB1511" s="29"/>
      <c r="BC1511" s="29"/>
      <c r="BD1511" s="29"/>
      <c r="BE1511" s="29"/>
      <c r="BF1511" s="111"/>
      <c r="BG1511" s="111"/>
      <c r="BH1511" s="111"/>
      <c r="BI1511" s="111"/>
      <c r="BJ1511" s="111"/>
      <c r="BK1511" s="111"/>
      <c r="BL1511" s="111"/>
      <c r="BM1511" s="111"/>
      <c r="BN1511" s="111"/>
      <c r="BO1511" s="111"/>
      <c r="BP1511" s="111"/>
      <c r="BQ1511" s="111"/>
      <c r="BR1511" s="111"/>
      <c r="BS1511" s="111"/>
      <c r="DR1511" s="29"/>
      <c r="DS1511" s="29"/>
      <c r="DT1511" s="29"/>
      <c r="DU1511" s="29"/>
      <c r="DV1511" s="29"/>
      <c r="DW1511" s="29"/>
      <c r="DX1511" s="29"/>
      <c r="DY1511" s="29"/>
      <c r="DZ1511" s="29"/>
      <c r="EA1511" s="29"/>
      <c r="EB1511" s="29"/>
      <c r="EC1511" s="29"/>
      <c r="ED1511" s="29"/>
      <c r="EE1511" s="29"/>
      <c r="EF1511" s="111"/>
      <c r="EG1511" s="111"/>
      <c r="EH1511" s="111"/>
      <c r="EI1511" s="111"/>
      <c r="EJ1511" s="111"/>
      <c r="EK1511" s="111"/>
      <c r="EL1511" s="111"/>
      <c r="EM1511" s="111"/>
      <c r="EN1511" s="111"/>
      <c r="EO1511" s="111"/>
      <c r="EP1511" s="111"/>
      <c r="EQ1511" s="111"/>
      <c r="ER1511" s="111"/>
      <c r="ES1511" s="111"/>
    </row>
    <row r="1512" spans="44:149">
      <c r="AR1512" s="29"/>
      <c r="AS1512" s="29"/>
      <c r="AT1512" s="29"/>
      <c r="AU1512" s="29"/>
      <c r="AV1512" s="29"/>
      <c r="AW1512" s="29"/>
      <c r="AX1512" s="29"/>
      <c r="AY1512" s="29"/>
      <c r="AZ1512" s="29"/>
      <c r="BA1512" s="29"/>
      <c r="BB1512" s="29"/>
      <c r="BC1512" s="29"/>
      <c r="BD1512" s="29"/>
      <c r="BE1512" s="29"/>
      <c r="BF1512" s="111"/>
      <c r="BG1512" s="111"/>
      <c r="BH1512" s="111"/>
      <c r="BI1512" s="111"/>
      <c r="BJ1512" s="111"/>
      <c r="BK1512" s="111"/>
      <c r="BL1512" s="111"/>
      <c r="BM1512" s="111"/>
      <c r="BN1512" s="111"/>
      <c r="BO1512" s="111"/>
      <c r="BP1512" s="111"/>
      <c r="BQ1512" s="111"/>
      <c r="BR1512" s="111"/>
      <c r="BS1512" s="111"/>
      <c r="DR1512" s="29"/>
      <c r="DS1512" s="29"/>
      <c r="DT1512" s="29"/>
      <c r="DU1512" s="29"/>
      <c r="DV1512" s="29"/>
      <c r="DW1512" s="29"/>
      <c r="DX1512" s="29"/>
      <c r="DY1512" s="29"/>
      <c r="DZ1512" s="29"/>
      <c r="EA1512" s="29"/>
      <c r="EB1512" s="29"/>
      <c r="EC1512" s="29"/>
      <c r="ED1512" s="29"/>
      <c r="EE1512" s="29"/>
      <c r="EF1512" s="111"/>
      <c r="EG1512" s="111"/>
      <c r="EH1512" s="111"/>
      <c r="EI1512" s="111"/>
      <c r="EJ1512" s="111"/>
      <c r="EK1512" s="111"/>
      <c r="EL1512" s="111"/>
      <c r="EM1512" s="111"/>
      <c r="EN1512" s="111"/>
      <c r="EO1512" s="111"/>
      <c r="EP1512" s="111"/>
      <c r="EQ1512" s="111"/>
      <c r="ER1512" s="111"/>
      <c r="ES1512" s="111"/>
    </row>
  </sheetData>
  <mergeCells count="63">
    <mergeCell ref="EA19:EL20"/>
    <mergeCell ref="EM19:EP20"/>
    <mergeCell ref="EQ19:ES20"/>
    <mergeCell ref="DB21:DC21"/>
    <mergeCell ref="EG21:EG22"/>
    <mergeCell ref="EK21:EK22"/>
    <mergeCell ref="EL21:EL22"/>
    <mergeCell ref="EO21:EO22"/>
    <mergeCell ref="EP21:EP22"/>
    <mergeCell ref="DA19:DD20"/>
    <mergeCell ref="DL21:DL22"/>
    <mergeCell ref="DM21:DM22"/>
    <mergeCell ref="ER21:ER22"/>
    <mergeCell ref="ES21:ES22"/>
    <mergeCell ref="DN21:DN22"/>
    <mergeCell ref="DN19:DQ20"/>
    <mergeCell ref="DE19:DH20"/>
    <mergeCell ref="DI19:DK20"/>
    <mergeCell ref="DL19:DM20"/>
    <mergeCell ref="BQ19:BS20"/>
    <mergeCell ref="BR21:BR22"/>
    <mergeCell ref="BS21:BS22"/>
    <mergeCell ref="BM19:BP20"/>
    <mergeCell ref="P99:P100"/>
    <mergeCell ref="S99:S100"/>
    <mergeCell ref="BO21:BO22"/>
    <mergeCell ref="BP21:BP22"/>
    <mergeCell ref="R64:S64"/>
    <mergeCell ref="O62:P62"/>
    <mergeCell ref="N52:O52"/>
    <mergeCell ref="R56:R57"/>
    <mergeCell ref="S56:S57"/>
    <mergeCell ref="R62:S63"/>
    <mergeCell ref="M67:O67"/>
    <mergeCell ref="N51:O51"/>
    <mergeCell ref="V11:X12"/>
    <mergeCell ref="BA19:BL20"/>
    <mergeCell ref="AL21:AL22"/>
    <mergeCell ref="AM21:AM22"/>
    <mergeCell ref="AL19:AM20"/>
    <mergeCell ref="AB21:AC21"/>
    <mergeCell ref="AE19:AH20"/>
    <mergeCell ref="AI19:AK20"/>
    <mergeCell ref="AN19:AQ20"/>
    <mergeCell ref="AN21:AN22"/>
    <mergeCell ref="BL21:BL22"/>
    <mergeCell ref="BK21:BK22"/>
    <mergeCell ref="M11:U12"/>
    <mergeCell ref="M13:O13"/>
    <mergeCell ref="M116:X117"/>
    <mergeCell ref="BG21:BG22"/>
    <mergeCell ref="T56:T57"/>
    <mergeCell ref="U56:U57"/>
    <mergeCell ref="O59:P59"/>
    <mergeCell ref="Q56:Q57"/>
    <mergeCell ref="N53:O53"/>
    <mergeCell ref="P53:R53"/>
    <mergeCell ref="O58:P58"/>
    <mergeCell ref="N50:O50"/>
    <mergeCell ref="T53:V53"/>
    <mergeCell ref="P95:P96"/>
    <mergeCell ref="S95:S96"/>
    <mergeCell ref="O56:P57"/>
  </mergeCells>
  <phoneticPr fontId="26" type="noConversion"/>
  <conditionalFormatting sqref="X75 X82 X92 X106 X132 X136 X138 X148 X152 X154 X157:X158 BL23:BL384 BP23:BP384 BS23:BS384">
    <cfRule type="containsText" dxfId="15" priority="71" operator="containsText" text="OK">
      <formula>NOT(ISERROR(SEARCH("OK",X23)))</formula>
    </cfRule>
  </conditionalFormatting>
  <conditionalFormatting sqref="X75 X82 X92 X106 X132 X136 X138 X148 X152 X154 X157:X158 BL23:BL384 BP23:BP384 BS23:BS384">
    <cfRule type="containsText" dxfId="14" priority="70" operator="containsText" text="CHECK">
      <formula>NOT(ISERROR(SEARCH("CHECK",X23)))</formula>
    </cfRule>
  </conditionalFormatting>
  <conditionalFormatting sqref="BO385:BO1048576 BO1:BO22">
    <cfRule type="top10" dxfId="13" priority="49" rank="1"/>
  </conditionalFormatting>
  <conditionalFormatting sqref="BK21:BK22">
    <cfRule type="top10" dxfId="12" priority="137" rank="1"/>
  </conditionalFormatting>
  <conditionalFormatting sqref="BR385:BR1048576 BR1:BR22">
    <cfRule type="top10" dxfId="11" priority="30" rank="1"/>
  </conditionalFormatting>
  <conditionalFormatting sqref="W72">
    <cfRule type="containsText" dxfId="10" priority="14" operator="containsText" text="O/S">
      <formula>NOT(ISERROR(SEARCH("O/S",W72)))</formula>
    </cfRule>
  </conditionalFormatting>
  <conditionalFormatting sqref="X122">
    <cfRule type="containsText" dxfId="9" priority="8" operator="containsText" text="Shear key">
      <formula>NOT(ISERROR(SEARCH("Shear key",X122)))</formula>
    </cfRule>
    <cfRule type="containsText" dxfId="8" priority="9" operator="containsText" text="Gia cường">
      <formula>NOT(ISERROR(SEARCH("Gia cường",X122)))</formula>
    </cfRule>
    <cfRule type="containsText" dxfId="7" priority="10" operator="containsText" text="Check">
      <formula>NOT(ISERROR(SEARCH("Check",X122)))</formula>
    </cfRule>
    <cfRule type="containsText" dxfId="6" priority="11" operator="containsText" text="OK">
      <formula>NOT(ISERROR(SEARCH("OK",X122)))</formula>
    </cfRule>
  </conditionalFormatting>
  <conditionalFormatting sqref="EL23:EL384 EP23:EP384 ES23:ES384">
    <cfRule type="containsText" dxfId="5" priority="4" operator="containsText" text="OK">
      <formula>NOT(ISERROR(SEARCH("OK",EL23)))</formula>
    </cfRule>
  </conditionalFormatting>
  <conditionalFormatting sqref="EL23:EL384 EP23:EP384 ES23:ES384">
    <cfRule type="containsText" dxfId="4" priority="3" operator="containsText" text="CHECK">
      <formula>NOT(ISERROR(SEARCH("CHECK",EL23)))</formula>
    </cfRule>
  </conditionalFormatting>
  <conditionalFormatting sqref="EO385:EO1048576 EO1:EO22">
    <cfRule type="top10" dxfId="3" priority="2" rank="1"/>
  </conditionalFormatting>
  <conditionalFormatting sqref="EK21:EK22">
    <cfRule type="top10" dxfId="2" priority="5" rank="1"/>
  </conditionalFormatting>
  <conditionalFormatting sqref="ER385:ER1048576 ER1:ER22">
    <cfRule type="top10" dxfId="1" priority="1" rank="1"/>
  </conditionalFormatting>
  <dataValidations disablePrompts="1" count="1">
    <dataValidation type="list" allowBlank="1" showInputMessage="1" showErrorMessage="1" sqref="U70" xr:uid="{00000000-0002-0000-0100-000000000000}">
      <formula1>"Trái, Phải"</formula1>
    </dataValidation>
  </dataValidations>
  <pageMargins left="0.59055118110236204" right="0.31496062992126" top="0.59055118110236204" bottom="0.59055118110236204" header="0.31496062992126" footer="0.31496062992126"/>
  <pageSetup orientation="portrait" r:id="rId1"/>
  <ignoredErrors>
    <ignoredError sqref="W87" evalError="1"/>
    <ignoredError sqref="T53 P53" formulaRange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00000000-0002-0000-0100-000001000000}">
          <x14:formula1>
            <xm:f>Data!$K$4:$K$99</xm:f>
          </x14:formula1>
          <xm:sqref>W17</xm:sqref>
        </x14:dataValidation>
        <x14:dataValidation type="list" allowBlank="1" showInputMessage="1" showErrorMessage="1" xr:uid="{00000000-0002-0000-0100-000002000000}">
          <x14:formula1>
            <xm:f>Data!$A$3:$A$99</xm:f>
          </x14:formula1>
          <xm:sqref>W22</xm:sqref>
        </x14:dataValidation>
        <x14:dataValidation type="list" allowBlank="1" showInputMessage="1" showErrorMessage="1" xr:uid="{00000000-0002-0000-0100-000003000000}">
          <x14:formula1>
            <xm:f>Data!$AZ$3:$AZ$99</xm:f>
          </x14:formula1>
          <xm:sqref>W28</xm:sqref>
        </x14:dataValidation>
        <x14:dataValidation type="list" allowBlank="1" showInputMessage="1" showErrorMessage="1" xr:uid="{00000000-0002-0000-0100-000004000000}">
          <x14:formula1>
            <xm:f>Data!$DF$2:$DF$5</xm:f>
          </x14:formula1>
          <xm:sqref>U61</xm:sqref>
        </x14:dataValidation>
        <x14:dataValidation type="list" allowBlank="1" showInputMessage="1" showErrorMessage="1" xr:uid="{00000000-0002-0000-0100-000005000000}">
          <x14:formula1>
            <xm:f>Data!$DH$2:$DH$7</xm:f>
          </x14:formula1>
          <xm:sqref>W16</xm:sqref>
        </x14:dataValidation>
        <x14:dataValidation type="list" allowBlank="1" showInputMessage="1" showErrorMessage="1" xr:uid="{00000000-0002-0000-0100-000006000000}">
          <x14:formula1>
            <xm:f>Data!$BJ$5:$BJ$16</xm:f>
          </x14:formula1>
          <xm:sqref>W35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34"/>
  <sheetViews>
    <sheetView showGridLines="0" zoomScale="130" zoomScaleNormal="130" workbookViewId="0">
      <selection activeCell="K5" sqref="K5"/>
    </sheetView>
  </sheetViews>
  <sheetFormatPr defaultRowHeight="14.4"/>
  <cols>
    <col min="4" max="10" width="9.109375" style="121"/>
  </cols>
  <sheetData>
    <row r="1" spans="1:13" ht="15">
      <c r="A1" s="123" t="str">
        <f>"- Số bu lông theo phương bản cánh:"</f>
        <v>- Số bu lông theo phương bản cánh:</v>
      </c>
      <c r="B1" s="123"/>
      <c r="C1" s="124"/>
      <c r="D1" s="125"/>
      <c r="E1" s="126" t="s">
        <v>326</v>
      </c>
      <c r="F1" s="129" t="e">
        <f>Cal!#REF!</f>
        <v>#REF!</v>
      </c>
      <c r="G1" s="127" t="s">
        <v>1</v>
      </c>
      <c r="H1" s="131"/>
      <c r="I1" s="132" t="s">
        <v>212</v>
      </c>
      <c r="J1" s="132" t="s">
        <v>213</v>
      </c>
      <c r="K1" s="132" t="s">
        <v>214</v>
      </c>
      <c r="L1" s="132" t="s">
        <v>215</v>
      </c>
      <c r="M1" s="132" t="s">
        <v>216</v>
      </c>
    </row>
    <row r="2" spans="1:13" ht="15">
      <c r="A2" s="123" t="str">
        <f>"- Số bu lông theo phương bản bụng:"</f>
        <v>- Số bu lông theo phương bản bụng:</v>
      </c>
      <c r="B2" s="123"/>
      <c r="C2" s="124"/>
      <c r="D2" s="125"/>
      <c r="E2" s="126" t="s">
        <v>327</v>
      </c>
      <c r="F2" s="129" t="e">
        <f>Cal!#REF!</f>
        <v>#REF!</v>
      </c>
      <c r="G2" s="127" t="s">
        <v>1</v>
      </c>
      <c r="H2" s="132">
        <f>Cal!W44</f>
        <v>24</v>
      </c>
      <c r="I2" s="131" t="e">
        <f>VLOOKUP(H2,Cal!$A$13:$E$30,2,FALSE)</f>
        <v>#N/A</v>
      </c>
      <c r="J2" s="131" t="e">
        <f>VLOOKUP(H2,Cal!$A$13:$E$30,3,FALSE)</f>
        <v>#N/A</v>
      </c>
      <c r="K2" s="131" t="e">
        <f>VLOOKUP(H2,Cal!$A$13:$E$30,4,FALSE)</f>
        <v>#N/A</v>
      </c>
      <c r="L2" s="131" t="e">
        <f>VLOOKUP(H2,Cal!$A$13:$E$30,5,FALSE)</f>
        <v>#N/A</v>
      </c>
      <c r="M2" s="131" t="e">
        <f>VLOOKUP(C4,Cal!$G$46:$K$55,2,FALSE)</f>
        <v>#N/A</v>
      </c>
    </row>
    <row r="4" spans="1:13">
      <c r="A4" s="118" t="s">
        <v>310</v>
      </c>
      <c r="B4" s="118" t="s">
        <v>311</v>
      </c>
      <c r="C4" s="128">
        <f>Cal!W48</f>
        <v>250</v>
      </c>
      <c r="D4" s="120" t="s">
        <v>313</v>
      </c>
      <c r="E4" s="120">
        <f>C5/2</f>
        <v>335</v>
      </c>
      <c r="F4" s="120">
        <f>E4</f>
        <v>335</v>
      </c>
      <c r="G4" s="120">
        <f>-F4</f>
        <v>-335</v>
      </c>
      <c r="H4" s="120">
        <f>G4</f>
        <v>-335</v>
      </c>
      <c r="I4" s="120">
        <f>E4</f>
        <v>335</v>
      </c>
      <c r="J4" s="120"/>
    </row>
    <row r="5" spans="1:13">
      <c r="A5" s="118"/>
      <c r="B5" s="118" t="s">
        <v>312</v>
      </c>
      <c r="C5" s="128">
        <f>Cal!W47</f>
        <v>670</v>
      </c>
      <c r="D5" s="120" t="s">
        <v>314</v>
      </c>
      <c r="E5" s="120">
        <f>C4/2</f>
        <v>125</v>
      </c>
      <c r="F5" s="120">
        <f>-E5</f>
        <v>-125</v>
      </c>
      <c r="G5" s="120">
        <f>F5</f>
        <v>-125</v>
      </c>
      <c r="H5" s="120">
        <f>E5</f>
        <v>125</v>
      </c>
      <c r="I5" s="120">
        <f>E5</f>
        <v>125</v>
      </c>
      <c r="J5" s="120"/>
    </row>
    <row r="7" spans="1:13">
      <c r="A7" s="118" t="s">
        <v>316</v>
      </c>
      <c r="B7" s="118" t="s">
        <v>311</v>
      </c>
      <c r="C7" s="128">
        <f>Cal!W40</f>
        <v>200</v>
      </c>
      <c r="D7" s="120" t="s">
        <v>313</v>
      </c>
      <c r="E7" s="120">
        <f>C8/2</f>
        <v>225</v>
      </c>
      <c r="F7" s="120">
        <f>E7</f>
        <v>225</v>
      </c>
      <c r="G7" s="120">
        <f>-C8/2</f>
        <v>-225</v>
      </c>
      <c r="H7" s="120">
        <f>C8/2</f>
        <v>225</v>
      </c>
      <c r="I7" s="120">
        <f>-E7</f>
        <v>-225</v>
      </c>
      <c r="J7" s="120">
        <f>I7</f>
        <v>-225</v>
      </c>
    </row>
    <row r="8" spans="1:13">
      <c r="A8" s="118"/>
      <c r="B8" s="118" t="s">
        <v>315</v>
      </c>
      <c r="C8" s="128">
        <f>Cal!W39</f>
        <v>450</v>
      </c>
      <c r="D8" s="120" t="s">
        <v>314</v>
      </c>
      <c r="E8" s="120">
        <f>C7/2</f>
        <v>100</v>
      </c>
      <c r="F8" s="120">
        <f>-E8</f>
        <v>-100</v>
      </c>
      <c r="G8" s="120">
        <v>0</v>
      </c>
      <c r="H8" s="120">
        <v>0</v>
      </c>
      <c r="I8" s="120">
        <f>E8</f>
        <v>100</v>
      </c>
      <c r="J8" s="120">
        <f>-I8</f>
        <v>-100</v>
      </c>
    </row>
    <row r="10" spans="1:13" ht="15" customHeight="1">
      <c r="A10" s="278" t="s">
        <v>317</v>
      </c>
      <c r="B10" s="118" t="s">
        <v>210</v>
      </c>
      <c r="C10" s="128" t="e">
        <f>F1</f>
        <v>#REF!</v>
      </c>
      <c r="D10" s="120" t="s">
        <v>313</v>
      </c>
      <c r="E10" s="122" t="e">
        <f>-C5/2+C12</f>
        <v>#N/A</v>
      </c>
      <c r="F10" s="122" t="e">
        <f>E10</f>
        <v>#N/A</v>
      </c>
      <c r="G10" s="122" t="e">
        <f>F10</f>
        <v>#N/A</v>
      </c>
      <c r="H10" s="120" t="e">
        <f>ABS(E10)</f>
        <v>#N/A</v>
      </c>
      <c r="I10" s="120" t="e">
        <f>H10</f>
        <v>#N/A</v>
      </c>
      <c r="J10" s="120" t="e">
        <f>I10</f>
        <v>#N/A</v>
      </c>
    </row>
    <row r="11" spans="1:13">
      <c r="A11" s="278"/>
      <c r="B11" s="118" t="s">
        <v>216</v>
      </c>
      <c r="C11" s="128" t="e">
        <f>M2</f>
        <v>#N/A</v>
      </c>
      <c r="D11" s="120" t="s">
        <v>314</v>
      </c>
      <c r="E11" s="122" t="e">
        <f>IF(C10=2,-C11/2,-C11)</f>
        <v>#REF!</v>
      </c>
      <c r="F11" s="122" t="e">
        <f>E11+C11</f>
        <v>#REF!</v>
      </c>
      <c r="G11" s="122" t="e">
        <f>IF(C10=2,F11,F11+C11)</f>
        <v>#REF!</v>
      </c>
      <c r="H11" s="120" t="e">
        <f>E11</f>
        <v>#REF!</v>
      </c>
      <c r="I11" s="120" t="e">
        <f t="shared" ref="I11:J11" si="0">F11</f>
        <v>#REF!</v>
      </c>
      <c r="J11" s="120" t="e">
        <f t="shared" si="0"/>
        <v>#REF!</v>
      </c>
    </row>
    <row r="12" spans="1:13">
      <c r="A12" s="278"/>
      <c r="B12" s="118" t="s">
        <v>212</v>
      </c>
      <c r="C12" s="128" t="e">
        <f>I2</f>
        <v>#N/A</v>
      </c>
      <c r="D12" s="120"/>
      <c r="E12" s="122"/>
      <c r="F12" s="122"/>
      <c r="G12" s="122"/>
      <c r="H12" s="120"/>
      <c r="I12" s="120"/>
      <c r="J12" s="120"/>
    </row>
    <row r="14" spans="1:13">
      <c r="A14" s="278" t="s">
        <v>318</v>
      </c>
      <c r="B14" s="120" t="s">
        <v>210</v>
      </c>
      <c r="C14" s="130" t="e">
        <f>IF(MOD(F2,2)=1,"Y","N")</f>
        <v>#REF!</v>
      </c>
      <c r="D14" s="120" t="s">
        <v>313</v>
      </c>
      <c r="E14" s="120" t="e">
        <f>IF(C14="Y",0,E10)</f>
        <v>#REF!</v>
      </c>
      <c r="F14" s="120" t="e">
        <f>IF(C14="Y",0,J10)</f>
        <v>#REF!</v>
      </c>
      <c r="G14" s="120"/>
      <c r="H14" s="120"/>
      <c r="I14" s="120"/>
      <c r="J14" s="120"/>
    </row>
    <row r="15" spans="1:13">
      <c r="A15" s="278"/>
      <c r="B15" s="120"/>
      <c r="C15" s="120"/>
      <c r="D15" s="120" t="s">
        <v>314</v>
      </c>
      <c r="E15" s="120" t="e">
        <f>E11</f>
        <v>#REF!</v>
      </c>
      <c r="F15" s="120" t="e">
        <f>J11</f>
        <v>#REF!</v>
      </c>
      <c r="G15" s="120"/>
      <c r="H15" s="120"/>
      <c r="I15" s="120"/>
      <c r="J15" s="120"/>
    </row>
    <row r="16" spans="1:13">
      <c r="A16" s="278"/>
      <c r="B16" s="120"/>
      <c r="C16" s="120"/>
      <c r="D16" s="120"/>
      <c r="E16" s="120"/>
      <c r="F16" s="120"/>
      <c r="G16" s="120"/>
      <c r="H16" s="120"/>
      <c r="I16" s="120"/>
      <c r="J16" s="120"/>
    </row>
    <row r="18" spans="1:12">
      <c r="A18" s="278" t="s">
        <v>319</v>
      </c>
      <c r="B18" s="118" t="s">
        <v>320</v>
      </c>
      <c r="C18" s="119"/>
      <c r="D18" s="120" t="s">
        <v>313</v>
      </c>
      <c r="E18" s="122" t="e">
        <f>IF(F2&gt;3,E10+C19,E10)</f>
        <v>#REF!</v>
      </c>
      <c r="F18" s="122" t="e">
        <f>E18</f>
        <v>#REF!</v>
      </c>
      <c r="G18" s="122"/>
      <c r="H18" s="120" t="e">
        <f>ABS(E18)</f>
        <v>#REF!</v>
      </c>
      <c r="I18" s="120" t="e">
        <f>H18</f>
        <v>#REF!</v>
      </c>
      <c r="J18" s="120"/>
    </row>
    <row r="19" spans="1:12">
      <c r="A19" s="278"/>
      <c r="B19" s="118" t="s">
        <v>321</v>
      </c>
      <c r="C19" s="128" t="e">
        <f>J2+K2</f>
        <v>#N/A</v>
      </c>
      <c r="D19" s="120" t="s">
        <v>314</v>
      </c>
      <c r="E19" s="122" t="e">
        <f>E11</f>
        <v>#REF!</v>
      </c>
      <c r="F19" s="122" t="e">
        <f>ABS(E19)</f>
        <v>#REF!</v>
      </c>
      <c r="G19" s="122"/>
      <c r="H19" s="120" t="e">
        <f>E19</f>
        <v>#REF!</v>
      </c>
      <c r="I19" s="120" t="e">
        <f t="shared" ref="I19" si="1">F19</f>
        <v>#REF!</v>
      </c>
      <c r="J19" s="120"/>
    </row>
    <row r="20" spans="1:12">
      <c r="A20" s="278"/>
      <c r="B20" s="118"/>
      <c r="C20" s="119"/>
      <c r="D20" s="120"/>
      <c r="E20" s="122"/>
      <c r="F20" s="122"/>
      <c r="G20" s="122"/>
      <c r="H20" s="120"/>
      <c r="I20" s="120"/>
      <c r="J20" s="120"/>
    </row>
    <row r="22" spans="1:12">
      <c r="A22" s="278" t="s">
        <v>319</v>
      </c>
      <c r="B22" s="118" t="s">
        <v>320</v>
      </c>
      <c r="C22" s="119"/>
      <c r="D22" s="120" t="s">
        <v>313</v>
      </c>
      <c r="E22" s="122" t="e">
        <f>IF(F2&gt;5,E18+C23,E10)</f>
        <v>#REF!</v>
      </c>
      <c r="F22" s="122" t="e">
        <f>E22</f>
        <v>#REF!</v>
      </c>
      <c r="G22" s="122"/>
      <c r="H22" s="120" t="e">
        <f>ABS(E22)</f>
        <v>#REF!</v>
      </c>
      <c r="I22" s="120" t="e">
        <f>H22</f>
        <v>#REF!</v>
      </c>
      <c r="J22" s="120"/>
    </row>
    <row r="23" spans="1:12">
      <c r="A23" s="278"/>
      <c r="B23" s="118" t="s">
        <v>215</v>
      </c>
      <c r="C23" s="128" t="e">
        <f>L2</f>
        <v>#N/A</v>
      </c>
      <c r="D23" s="120" t="s">
        <v>314</v>
      </c>
      <c r="E23" s="122" t="e">
        <f>E19</f>
        <v>#REF!</v>
      </c>
      <c r="F23" s="122" t="e">
        <f>F19</f>
        <v>#REF!</v>
      </c>
      <c r="G23" s="122"/>
      <c r="H23" s="120" t="e">
        <f>E23</f>
        <v>#REF!</v>
      </c>
      <c r="I23" s="120" t="e">
        <f t="shared" ref="I23" si="2">F23</f>
        <v>#REF!</v>
      </c>
      <c r="J23" s="120"/>
    </row>
    <row r="24" spans="1:12">
      <c r="A24" s="278"/>
      <c r="B24" s="118"/>
      <c r="C24" s="119"/>
      <c r="D24" s="120"/>
      <c r="E24" s="122"/>
      <c r="F24" s="122"/>
      <c r="G24" s="122"/>
      <c r="H24" s="120"/>
      <c r="I24" s="120"/>
      <c r="J24" s="120"/>
    </row>
    <row r="26" spans="1:12">
      <c r="A26" s="278" t="s">
        <v>322</v>
      </c>
      <c r="B26" s="118" t="s">
        <v>210</v>
      </c>
      <c r="C26" s="128">
        <f>Cal!Q59</f>
        <v>1</v>
      </c>
      <c r="D26" s="120" t="s">
        <v>313</v>
      </c>
      <c r="E26" s="122">
        <f>(-1)*IF(C26=0,0,C5/2)</f>
        <v>-335</v>
      </c>
      <c r="F26" s="122">
        <f>IF(C26=0,0,E26+(C5-C8)/2)</f>
        <v>-225</v>
      </c>
      <c r="G26" s="122"/>
      <c r="H26" s="120">
        <f>IF(C26=0,0,E26)</f>
        <v>-335</v>
      </c>
      <c r="I26" s="120">
        <f>IF(C26=0,0,F26)</f>
        <v>-225</v>
      </c>
      <c r="J26" s="120"/>
    </row>
    <row r="27" spans="1:12">
      <c r="A27" s="278"/>
      <c r="B27" s="118"/>
      <c r="C27" s="119"/>
      <c r="D27" s="120" t="s">
        <v>314</v>
      </c>
      <c r="E27" s="122">
        <f>IF(C26=0,0,IF(C26=1,0,-C11/2))</f>
        <v>0</v>
      </c>
      <c r="F27" s="122">
        <f>IF(C26=0,0,E27)</f>
        <v>0</v>
      </c>
      <c r="G27" s="122"/>
      <c r="H27" s="120">
        <f>IF(C26=0,0,IF(C26=1,E27,E27+C11))</f>
        <v>0</v>
      </c>
      <c r="I27" s="120">
        <f>H27</f>
        <v>0</v>
      </c>
      <c r="J27" s="120"/>
    </row>
    <row r="28" spans="1:12">
      <c r="A28" s="278"/>
      <c r="B28" s="118"/>
      <c r="C28" s="119"/>
      <c r="D28" s="120" t="s">
        <v>313</v>
      </c>
      <c r="E28" s="122">
        <f>IF(C26=0,0,C5/2)</f>
        <v>335</v>
      </c>
      <c r="F28" s="122">
        <f>IF(C26=0,0,E28-(C5-C8)/2)</f>
        <v>225</v>
      </c>
      <c r="G28" s="122"/>
      <c r="H28" s="120">
        <f>IF(C26=0,0,E28)</f>
        <v>335</v>
      </c>
      <c r="I28" s="120">
        <f>IF(C26=0,0,F28)</f>
        <v>225</v>
      </c>
      <c r="J28" s="120"/>
    </row>
    <row r="29" spans="1:12">
      <c r="A29" s="118"/>
      <c r="B29" s="118"/>
      <c r="C29" s="118"/>
      <c r="D29" s="120" t="s">
        <v>314</v>
      </c>
      <c r="E29" s="122">
        <f>E27</f>
        <v>0</v>
      </c>
      <c r="F29" s="122">
        <f>F27</f>
        <v>0</v>
      </c>
      <c r="G29" s="122"/>
      <c r="H29" s="120">
        <f>H27</f>
        <v>0</v>
      </c>
      <c r="I29" s="120">
        <f>I27</f>
        <v>0</v>
      </c>
      <c r="J29" s="120"/>
      <c r="K29" t="s">
        <v>325</v>
      </c>
      <c r="L29">
        <v>4</v>
      </c>
    </row>
    <row r="30" spans="1:12">
      <c r="D30"/>
      <c r="E30"/>
      <c r="F30"/>
      <c r="G30"/>
      <c r="H30"/>
      <c r="I30"/>
      <c r="J30"/>
    </row>
    <row r="31" spans="1:12">
      <c r="A31" s="278" t="s">
        <v>323</v>
      </c>
      <c r="B31" s="118" t="s">
        <v>210</v>
      </c>
      <c r="C31" s="128">
        <f>Cal!Q58</f>
        <v>2</v>
      </c>
      <c r="D31" s="120" t="s">
        <v>313</v>
      </c>
      <c r="E31" s="122">
        <f>IF(C31=0,0,IF(C31=1,0,IF(C31=2,-C8/6)))</f>
        <v>-75</v>
      </c>
      <c r="F31" s="122">
        <f>E31</f>
        <v>-75</v>
      </c>
      <c r="G31" s="122"/>
      <c r="H31" s="120">
        <f>E31</f>
        <v>-75</v>
      </c>
      <c r="I31" s="120">
        <f>F31</f>
        <v>-75</v>
      </c>
      <c r="J31" s="120"/>
      <c r="K31" t="s">
        <v>324</v>
      </c>
      <c r="L31" t="e">
        <f>C5-2*(C12+C19)</f>
        <v>#N/A</v>
      </c>
    </row>
    <row r="32" spans="1:12">
      <c r="A32" s="278"/>
      <c r="B32" s="118"/>
      <c r="C32" s="119"/>
      <c r="D32" s="120" t="s">
        <v>314</v>
      </c>
      <c r="E32" s="122">
        <v>0</v>
      </c>
      <c r="F32" s="122">
        <f>IF(C31=0,0,-C7/2)</f>
        <v>-100</v>
      </c>
      <c r="G32" s="122"/>
      <c r="H32" s="120">
        <f>E32</f>
        <v>0</v>
      </c>
      <c r="I32" s="120">
        <f>ABS(F32)</f>
        <v>100</v>
      </c>
      <c r="J32" s="120"/>
    </row>
    <row r="33" spans="1:10">
      <c r="A33" s="278"/>
      <c r="B33" s="118"/>
      <c r="C33" s="119"/>
      <c r="D33" s="120" t="s">
        <v>313</v>
      </c>
      <c r="E33" s="122">
        <f>ABS(E31)</f>
        <v>75</v>
      </c>
      <c r="F33" s="122">
        <f>E33</f>
        <v>75</v>
      </c>
      <c r="G33" s="122"/>
      <c r="H33" s="120">
        <f>E33</f>
        <v>75</v>
      </c>
      <c r="I33" s="120">
        <f>H33</f>
        <v>75</v>
      </c>
      <c r="J33" s="120"/>
    </row>
    <row r="34" spans="1:10">
      <c r="A34" s="118"/>
      <c r="B34" s="118"/>
      <c r="C34" s="118"/>
      <c r="D34" s="120" t="s">
        <v>314</v>
      </c>
      <c r="E34" s="122">
        <f>E32</f>
        <v>0</v>
      </c>
      <c r="F34" s="122">
        <f>F32</f>
        <v>-100</v>
      </c>
      <c r="G34" s="122"/>
      <c r="H34" s="120">
        <f>H32</f>
        <v>0</v>
      </c>
      <c r="I34" s="120">
        <f>I32</f>
        <v>100</v>
      </c>
      <c r="J34" s="120"/>
    </row>
  </sheetData>
  <mergeCells count="6">
    <mergeCell ref="A31:A33"/>
    <mergeCell ref="A10:A12"/>
    <mergeCell ref="A14:A16"/>
    <mergeCell ref="A18:A20"/>
    <mergeCell ref="A22:A24"/>
    <mergeCell ref="A26:A28"/>
  </mergeCells>
  <conditionalFormatting sqref="H2:M2">
    <cfRule type="expression" dxfId="0" priority="1">
      <formula>$A3=$W$20</formula>
    </cfRule>
  </conditionalFormatting>
  <pageMargins left="0.7" right="0.7" top="0.75" bottom="0.75" header="0.3" footer="0.3"/>
  <ignoredErrors>
    <ignoredError sqref="F3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2026-09-12T16:11:07Z</cp:lastPrinted>
  <dcterms:created xsi:type="dcterms:W3CDTF">2023-12-24T09:13:35Z</dcterms:created>
  <dcterms:modified xsi:type="dcterms:W3CDTF">2026-09-22T03:25:22Z</dcterms:modified>
</cp:coreProperties>
</file>