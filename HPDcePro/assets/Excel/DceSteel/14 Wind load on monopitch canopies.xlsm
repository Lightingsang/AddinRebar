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01F050B8-E7B2-422E-898E-D3A49571D53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Loading" sheetId="3" r:id="rId1"/>
    <sheet name="TCVN" sheetId="4" r:id="rId2"/>
    <sheet name="ASCE" sheetId="1" r:id="rId3"/>
  </sheets>
  <functionGroups builtInGroupCount="19"/>
  <externalReferences>
    <externalReference r:id="rId4"/>
  </externalReferences>
  <definedNames>
    <definedName name="_xlnm._FilterDatabase" localSheetId="2" hidden="1">ASCE!$G$13:$I$14</definedName>
    <definedName name="_IND1">#REF!</definedName>
    <definedName name="AA">'[1]2Angles'!$A$1</definedName>
    <definedName name="_xlnm.Print_Area" localSheetId="2">ASCE!$A$5:$M$102</definedName>
    <definedName name="_xlnm.Print_Area" localSheetId="0">Loading!$B$3:$K$34</definedName>
    <definedName name="_xlnm.Print_Area" localSheetId="1">TCVN!$A$5:$T$53</definedName>
    <definedName name="_xlnm.Print_Titles" localSheetId="1">TCVN!$8:$10</definedName>
    <definedName name="Sha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2" i="4" l="1"/>
  <c r="E74" i="1"/>
  <c r="C29" i="3" l="1"/>
  <c r="I30" i="3"/>
  <c r="J46" i="4"/>
  <c r="J45" i="4"/>
  <c r="G32" i="4"/>
  <c r="G31" i="4"/>
  <c r="AM39" i="4" l="1"/>
  <c r="AL39" i="4"/>
  <c r="G30" i="4"/>
  <c r="G29" i="4"/>
  <c r="D24" i="4"/>
  <c r="D23" i="4"/>
  <c r="D22" i="4"/>
  <c r="B20" i="4"/>
  <c r="K18" i="4"/>
  <c r="D18" i="4"/>
  <c r="V17" i="4"/>
  <c r="D17" i="4"/>
  <c r="V16" i="4"/>
  <c r="D16" i="4"/>
  <c r="V15" i="4"/>
  <c r="K22" i="4" s="1"/>
  <c r="D15" i="4"/>
  <c r="V14" i="4"/>
  <c r="D14" i="4"/>
  <c r="K13" i="4"/>
  <c r="K14" i="4" s="1"/>
  <c r="D13" i="4"/>
  <c r="D12" i="4"/>
  <c r="B11" i="4"/>
  <c r="F9" i="4"/>
  <c r="C9" i="4"/>
  <c r="F8" i="4"/>
  <c r="C8" i="4"/>
  <c r="K30" i="4"/>
  <c r="J30" i="4"/>
  <c r="J29" i="4"/>
  <c r="K29" i="4"/>
  <c r="L40" i="4" l="1"/>
  <c r="G46" i="4"/>
  <c r="F40" i="4"/>
  <c r="G45" i="4"/>
  <c r="K23" i="4"/>
  <c r="K25" i="4" s="1"/>
  <c r="L45" i="4" l="1"/>
  <c r="P52" i="4" s="1"/>
  <c r="L29" i="4"/>
  <c r="L46" i="4"/>
  <c r="M30" i="4"/>
  <c r="L30" i="4"/>
  <c r="M29" i="4"/>
  <c r="N51" i="4" l="1"/>
  <c r="N52" i="4"/>
  <c r="H51" i="4"/>
  <c r="H52" i="4"/>
  <c r="J51" i="4"/>
  <c r="J52" i="4"/>
  <c r="L51" i="4"/>
  <c r="L52" i="4"/>
  <c r="R51" i="4"/>
  <c r="R52" i="4"/>
  <c r="P51" i="4"/>
  <c r="I23" i="3"/>
  <c r="I24" i="3" s="1"/>
  <c r="C23" i="3" l="1"/>
  <c r="C47" i="1" l="1"/>
  <c r="V14" i="1" l="1"/>
  <c r="V13" i="1"/>
  <c r="V12" i="1"/>
  <c r="Q65" i="1"/>
  <c r="H69" i="1"/>
  <c r="G58" i="1"/>
  <c r="S59" i="1"/>
  <c r="S60" i="1"/>
  <c r="S58" i="1"/>
  <c r="C63" i="1"/>
  <c r="C56" i="1"/>
  <c r="AI47" i="1"/>
  <c r="AH47" i="1"/>
  <c r="AG47" i="1"/>
  <c r="AF47" i="1"/>
  <c r="AE47" i="1"/>
  <c r="AD47" i="1"/>
  <c r="AC47" i="1"/>
  <c r="AB47" i="1"/>
  <c r="AI46" i="1"/>
  <c r="AH46" i="1"/>
  <c r="AG46" i="1"/>
  <c r="AF46" i="1"/>
  <c r="AE46" i="1"/>
  <c r="AD46" i="1"/>
  <c r="AC46" i="1"/>
  <c r="AB46" i="1"/>
  <c r="AI45" i="1"/>
  <c r="AH45" i="1"/>
  <c r="AG45" i="1"/>
  <c r="AF45" i="1"/>
  <c r="AE45" i="1"/>
  <c r="AD45" i="1"/>
  <c r="AC45" i="1"/>
  <c r="AB45" i="1"/>
  <c r="AI44" i="1"/>
  <c r="AH44" i="1"/>
  <c r="AG44" i="1"/>
  <c r="AF44" i="1"/>
  <c r="AE44" i="1"/>
  <c r="AD44" i="1"/>
  <c r="AC44" i="1"/>
  <c r="AB44" i="1"/>
  <c r="AI43" i="1"/>
  <c r="AH43" i="1"/>
  <c r="AG43" i="1"/>
  <c r="AF43" i="1"/>
  <c r="AE43" i="1"/>
  <c r="AD43" i="1"/>
  <c r="AC43" i="1"/>
  <c r="AB43" i="1"/>
  <c r="AI42" i="1"/>
  <c r="AH42" i="1"/>
  <c r="AG42" i="1"/>
  <c r="AF42" i="1"/>
  <c r="AE42" i="1"/>
  <c r="AD42" i="1"/>
  <c r="AC42" i="1"/>
  <c r="AB42" i="1"/>
  <c r="AI41" i="1"/>
  <c r="AH41" i="1"/>
  <c r="AG41" i="1"/>
  <c r="AF41" i="1"/>
  <c r="AE41" i="1"/>
  <c r="AD41" i="1"/>
  <c r="AC41" i="1"/>
  <c r="AB41" i="1"/>
  <c r="AI39" i="1"/>
  <c r="AH39" i="1"/>
  <c r="AG39" i="1"/>
  <c r="AF39" i="1"/>
  <c r="AE39" i="1"/>
  <c r="AD39" i="1"/>
  <c r="AC39" i="1"/>
  <c r="AB39" i="1"/>
  <c r="AI38" i="1"/>
  <c r="AH38" i="1"/>
  <c r="AG38" i="1"/>
  <c r="AF38" i="1"/>
  <c r="AE38" i="1"/>
  <c r="AD38" i="1"/>
  <c r="AC38" i="1"/>
  <c r="AB38" i="1"/>
  <c r="AI37" i="1"/>
  <c r="AH37" i="1"/>
  <c r="AG37" i="1"/>
  <c r="AF37" i="1"/>
  <c r="AE37" i="1"/>
  <c r="AD37" i="1"/>
  <c r="AC37" i="1"/>
  <c r="AB37" i="1"/>
  <c r="AI36" i="1"/>
  <c r="AH36" i="1"/>
  <c r="AG36" i="1"/>
  <c r="AF36" i="1"/>
  <c r="AE36" i="1"/>
  <c r="AD36" i="1"/>
  <c r="AC36" i="1"/>
  <c r="AB36" i="1"/>
  <c r="AI35" i="1"/>
  <c r="AH35" i="1"/>
  <c r="AG35" i="1"/>
  <c r="AF35" i="1"/>
  <c r="AE35" i="1"/>
  <c r="AD35" i="1"/>
  <c r="AC35" i="1"/>
  <c r="AB35" i="1"/>
  <c r="AI34" i="1"/>
  <c r="AH34" i="1"/>
  <c r="AG34" i="1"/>
  <c r="AF34" i="1"/>
  <c r="AE34" i="1"/>
  <c r="AD34" i="1"/>
  <c r="AC34" i="1"/>
  <c r="AB34" i="1"/>
  <c r="AI33" i="1"/>
  <c r="AH33" i="1"/>
  <c r="AG33" i="1"/>
  <c r="AF33" i="1"/>
  <c r="AE33" i="1"/>
  <c r="AD33" i="1"/>
  <c r="AC33" i="1"/>
  <c r="AB33" i="1"/>
  <c r="J34" i="1"/>
  <c r="H34" i="1"/>
  <c r="H23" i="1"/>
  <c r="H20" i="1"/>
  <c r="Z40" i="1" l="1"/>
  <c r="AB40" i="1" s="1" a="1"/>
  <c r="AB40" i="1" s="1"/>
  <c r="P51" i="1" s="1"/>
  <c r="G49" i="1" s="1"/>
  <c r="B76" i="1"/>
  <c r="O100" i="1" s="1"/>
  <c r="W100" i="1"/>
  <c r="G59" i="1"/>
  <c r="AI40" i="1" a="1"/>
  <c r="AI40" i="1" s="1"/>
  <c r="W51" i="1" s="1"/>
  <c r="AH40" i="1" a="1"/>
  <c r="AH40" i="1" s="1"/>
  <c r="V51" i="1" s="1"/>
  <c r="AF40" i="1" a="1"/>
  <c r="AF40" i="1" s="1"/>
  <c r="T51" i="1" s="1"/>
  <c r="I49" i="1" s="1"/>
  <c r="AE40" i="1" a="1"/>
  <c r="AE40" i="1" s="1"/>
  <c r="S51" i="1" s="1"/>
  <c r="AD40" i="1" a="1"/>
  <c r="AD40" i="1" s="1"/>
  <c r="R51" i="1" s="1"/>
  <c r="AC40" i="1" a="1"/>
  <c r="AC40" i="1" s="1"/>
  <c r="Q51" i="1" s="1"/>
  <c r="H49" i="1" s="1"/>
  <c r="Z48" i="1"/>
  <c r="AG40" i="1" a="1"/>
  <c r="AG40" i="1" s="1"/>
  <c r="U51" i="1" s="1"/>
  <c r="J49" i="1" s="1"/>
  <c r="H24" i="1"/>
  <c r="H14" i="1"/>
  <c r="T13" i="1"/>
  <c r="Q14" i="1"/>
  <c r="P12" i="1"/>
  <c r="H35" i="1" l="1"/>
  <c r="H25" i="1"/>
  <c r="D82" i="1"/>
  <c r="AI48" i="1" a="1"/>
  <c r="AI48" i="1" s="1"/>
  <c r="W52" i="1" s="1"/>
  <c r="AB48" i="1" a="1"/>
  <c r="AB48" i="1" s="1"/>
  <c r="P52" i="1" s="1"/>
  <c r="G50" i="1" s="1"/>
  <c r="AD48" i="1" a="1"/>
  <c r="AD48" i="1" s="1"/>
  <c r="R52" i="1" s="1"/>
  <c r="AE48" i="1" a="1"/>
  <c r="AE48" i="1" s="1"/>
  <c r="S52" i="1" s="1"/>
  <c r="AC48" i="1" a="1"/>
  <c r="AC48" i="1" s="1"/>
  <c r="Q52" i="1" s="1"/>
  <c r="H50" i="1" s="1"/>
  <c r="AF48" i="1" a="1"/>
  <c r="AF48" i="1" s="1"/>
  <c r="T52" i="1" s="1"/>
  <c r="I50" i="1" s="1"/>
  <c r="AH48" i="1" a="1"/>
  <c r="AH48" i="1" s="1"/>
  <c r="V52" i="1" s="1"/>
  <c r="AG48" i="1" a="1"/>
  <c r="AG48" i="1" s="1"/>
  <c r="U52" i="1" s="1"/>
  <c r="J50" i="1" s="1"/>
  <c r="Q68" i="1"/>
  <c r="Q66" i="1"/>
  <c r="Q67" i="1" s="1"/>
  <c r="Q70" i="1" s="1"/>
  <c r="H70" i="1" s="1"/>
  <c r="T12" i="1"/>
  <c r="S12" i="1"/>
  <c r="R12" i="1"/>
  <c r="Q12" i="1"/>
  <c r="P14" i="1"/>
  <c r="S13" i="1"/>
  <c r="R13" i="1"/>
  <c r="Q13" i="1"/>
  <c r="H17" i="1" s="1"/>
  <c r="T14" i="1"/>
  <c r="S14" i="1"/>
  <c r="P13" i="1"/>
  <c r="R14" i="1"/>
  <c r="H36" i="1" l="1"/>
  <c r="I51" i="1" s="1"/>
  <c r="I53" i="1" s="1"/>
  <c r="P87" i="1"/>
  <c r="X79" i="1"/>
  <c r="X76" i="1"/>
  <c r="P79" i="1"/>
  <c r="P86" i="1"/>
  <c r="X90" i="1"/>
  <c r="X78" i="1"/>
  <c r="P83" i="1"/>
  <c r="X83" i="1"/>
  <c r="P76" i="1"/>
  <c r="P85" i="1"/>
  <c r="X89" i="1"/>
  <c r="X77" i="1"/>
  <c r="P84" i="1"/>
  <c r="X88" i="1"/>
  <c r="X87" i="1"/>
  <c r="P82" i="1"/>
  <c r="X86" i="1"/>
  <c r="P88" i="1"/>
  <c r="P81" i="1"/>
  <c r="X85" i="1"/>
  <c r="P80" i="1"/>
  <c r="X84" i="1"/>
  <c r="X80" i="1"/>
  <c r="P90" i="1"/>
  <c r="P78" i="1"/>
  <c r="X82" i="1"/>
  <c r="P89" i="1"/>
  <c r="P77" i="1"/>
  <c r="X81" i="1"/>
  <c r="D76" i="1"/>
  <c r="P95" i="1" s="1"/>
  <c r="J17" i="1"/>
  <c r="G52" i="1"/>
  <c r="G54" i="1" s="1"/>
  <c r="G51" i="1"/>
  <c r="G53" i="1" s="1"/>
  <c r="H52" i="1"/>
  <c r="H54" i="1" s="1"/>
  <c r="I52" i="1"/>
  <c r="I54" i="1" s="1"/>
  <c r="J51" i="1"/>
  <c r="J53" i="1" s="1"/>
  <c r="J52" i="1"/>
  <c r="J54" i="1" s="1"/>
  <c r="H51" i="1"/>
  <c r="H53" i="1" s="1"/>
  <c r="G61" i="1"/>
  <c r="G63" i="1" s="1"/>
  <c r="T97" i="1" l="1"/>
  <c r="R97" i="1"/>
  <c r="Q97" i="1"/>
  <c r="V97" i="1"/>
  <c r="S97" i="1"/>
  <c r="U97" i="1"/>
  <c r="G60" i="1"/>
  <c r="G62" i="1" s="1"/>
  <c r="X95" i="1"/>
  <c r="Y97" i="1" l="1"/>
  <c r="Z97" i="1"/>
  <c r="Z98" i="1"/>
  <c r="Z96" i="1"/>
  <c r="AA98" i="1"/>
  <c r="AA96" i="1"/>
  <c r="AC98" i="1"/>
  <c r="AC96" i="1"/>
  <c r="AD98" i="1"/>
  <c r="AD96" i="1"/>
  <c r="Y98" i="1"/>
  <c r="Y96" i="1"/>
  <c r="Z99" i="1"/>
  <c r="Z95" i="1"/>
  <c r="AB97" i="1"/>
  <c r="AA99" i="1"/>
  <c r="AA97" i="1"/>
  <c r="AA95" i="1"/>
  <c r="AB95" i="1"/>
  <c r="Y95" i="1"/>
  <c r="AB98" i="1"/>
  <c r="AB99" i="1"/>
  <c r="Y99" i="1"/>
  <c r="AC99" i="1"/>
  <c r="AC97" i="1"/>
  <c r="AC95" i="1"/>
  <c r="AD99" i="1"/>
  <c r="AD97" i="1"/>
  <c r="AD95" i="1"/>
  <c r="AB96" i="1"/>
  <c r="Q99" i="1"/>
  <c r="V96" i="1"/>
  <c r="Q98" i="1"/>
  <c r="R98" i="1"/>
  <c r="S98" i="1"/>
  <c r="R95" i="1"/>
  <c r="T98" i="1"/>
  <c r="S95" i="1"/>
  <c r="U98" i="1"/>
  <c r="T95" i="1"/>
  <c r="V98" i="1"/>
  <c r="U95" i="1"/>
  <c r="Q96" i="1"/>
  <c r="R99" i="1"/>
  <c r="V95" i="1"/>
  <c r="R96" i="1"/>
  <c r="U99" i="1"/>
  <c r="U96" i="1"/>
  <c r="S99" i="1"/>
  <c r="T99" i="1"/>
  <c r="S96" i="1"/>
  <c r="T96" i="1"/>
  <c r="V99" i="1"/>
  <c r="Q95" i="1"/>
  <c r="S100" i="1" a="1"/>
  <c r="T100" i="1" a="1"/>
  <c r="Q100" i="1" a="1"/>
  <c r="R100" i="1" a="1"/>
  <c r="AB100" i="1" a="1"/>
  <c r="AD100" i="1" a="1"/>
  <c r="AC100" i="1" a="1"/>
  <c r="Z100" i="1" a="1"/>
  <c r="Y100" i="1" a="1"/>
  <c r="V100" i="1" a="1"/>
  <c r="AA100" i="1" a="1"/>
  <c r="U100" i="1" a="1"/>
  <c r="Q100" i="1" l="1"/>
  <c r="E76" i="1" s="1"/>
  <c r="Y100" i="1"/>
  <c r="AA100" i="1"/>
  <c r="AD100" i="1"/>
  <c r="T100" i="1"/>
  <c r="H76" i="1" s="1"/>
  <c r="H82" i="1" s="1"/>
  <c r="H83" i="1" s="1"/>
  <c r="S100" i="1"/>
  <c r="G76" i="1" s="1"/>
  <c r="G82" i="1" s="1"/>
  <c r="G83" i="1" s="1"/>
  <c r="U100" i="1"/>
  <c r="I76" i="1" s="1"/>
  <c r="I82" i="1" s="1"/>
  <c r="I83" i="1" s="1"/>
  <c r="AB100" i="1"/>
  <c r="V100" i="1"/>
  <c r="J76" i="1" s="1"/>
  <c r="J82" i="1" s="1"/>
  <c r="J83" i="1" s="1"/>
  <c r="AC100" i="1"/>
  <c r="R100" i="1"/>
  <c r="F76" i="1" s="1"/>
  <c r="F82" i="1" s="1"/>
  <c r="F83" i="1" s="1"/>
  <c r="Z100" i="1"/>
  <c r="E82" i="1" l="1"/>
  <c r="E8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J45" authorId="0" shapeId="0" xr:uid="{3036BD17-EE64-45C8-8C81-6C89A269BA52}">
      <text>
        <r>
          <rPr>
            <b/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  <comment ref="J46" authorId="0" shapeId="0" xr:uid="{C3B78A91-758A-4AB9-93C3-DF59DF262486}">
      <text>
        <r>
          <rPr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Tomanovich</author>
    <author>Huynh Vu Minh Toan</author>
    <author>toan.hvm</author>
    <author>Bob Dalpiaz</author>
    <author>4892</author>
  </authors>
  <commentList>
    <comment ref="H15" authorId="0" shapeId="0" xr:uid="{21587B6F-52D5-4E9E-B404-3D4C731A8141}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H16" authorId="1" shapeId="0" xr:uid="{AE3D476B-2B8C-4C90-AD1D-28BE6BBD5300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H18" authorId="2" shapeId="0" xr:uid="{A44D0686-18EC-4CD5-8677-B1AE113D548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H24" authorId="2" shapeId="0" xr:uid="{6BD710E6-1C1C-498F-A2D6-0BAFBA7783B8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building Mean Roof Height, h, is determined as follows:
  For buildings with roof angle &gt; 10 degrees:  h = (hr+he)/2
  For buildings with roof angle &lt;= 10 degrees:  h = he</t>
        </r>
      </text>
    </comment>
    <comment ref="H26" authorId="3" shapeId="0" xr:uid="{8D2A783D-F927-4E04-9BB2-EEBE0050BEE0}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H27" authorId="4" shapeId="0" xr:uid="{8B0516F5-6C87-4DF5-9C9E-801900665BFC}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H34" authorId="2" shapeId="0" xr:uid="{CDD7D2FE-FF08-42F4-8996-A776D39FFE7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J34" authorId="2" shapeId="0" xr:uid="{EA421A20-C3E2-40EE-A585-877E13E5351F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H69" authorId="2" shapeId="0" xr:uid="{D5CF09E7-2E22-4E4C-A6B1-F21A86B73A2B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Effective Area, Ae, for a component or cladding panel equals the span length times the effective width that need not be less than 1/3 of the span length; however, for a fastener it is the area tributary to an individual fastener.
  Note:  Major structural components supporting tributary areas &gt; 700
             sq ft shall be permitted to be designed using the provisions for
             main wind-force resisting systems (MWFRS).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<sst xmlns="http://schemas.openxmlformats.org/spreadsheetml/2006/main" count="469" uniqueCount="279">
  <si>
    <t>Velocity pressure exposure coefficient</t>
  </si>
  <si>
    <t>Item
Hạng mục</t>
  </si>
  <si>
    <t>Canopy
Mái đón</t>
  </si>
  <si>
    <t>WIND LOADING ANALYSIS
PHÂN TÍCH TẢI TRỌNG GIÓ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</si>
  <si>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</si>
  <si>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</si>
  <si>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</si>
  <si>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</si>
  <si>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</si>
  <si>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</si>
  <si>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</si>
  <si>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</si>
  <si>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</si>
  <si>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</si>
  <si>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</si>
  <si>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</si>
  <si>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</si>
  <si>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</si>
  <si>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</si>
  <si>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</si>
  <si>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</si>
  <si>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</si>
  <si>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</si>
  <si>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</si>
  <si>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</si>
  <si>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</si>
  <si>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years / năm</t>
  </si>
  <si>
    <t>Return period wind speed / Chu kỳ lặp</t>
  </si>
  <si>
    <t>Exposure / Dạng địa hình</t>
  </si>
  <si>
    <t>B</t>
  </si>
  <si>
    <t>C</t>
  </si>
  <si>
    <t xml:space="preserve">Building classification / Cấp công trình </t>
  </si>
  <si>
    <r>
      <t>H</t>
    </r>
    <r>
      <rPr>
        <vertAlign val="subscript"/>
        <sz val="11"/>
        <color theme="1"/>
        <rFont val="Calibri"/>
        <family val="2"/>
        <scheme val="minor"/>
      </rPr>
      <t>up</t>
    </r>
    <r>
      <rPr>
        <sz val="11"/>
        <color theme="1"/>
        <rFont val="Calibri"/>
        <family val="2"/>
        <scheme val="minor"/>
      </rPr>
      <t xml:space="preserve"> =</t>
    </r>
  </si>
  <si>
    <t>m</t>
  </si>
  <si>
    <t>Slope of roof / Độ dốc mái</t>
  </si>
  <si>
    <t>i =</t>
  </si>
  <si>
    <t>%</t>
  </si>
  <si>
    <t>Góc nghiêng mái / Angle of roof</t>
  </si>
  <si>
    <t>a</t>
  </si>
  <si>
    <t>a =</t>
  </si>
  <si>
    <t>Horizontal dimension of roof / Bề rộng mái</t>
  </si>
  <si>
    <t>L =</t>
  </si>
  <si>
    <t>Highest point on the roof / Điểm cao nhất trên mái</t>
  </si>
  <si>
    <t>Roof eave height / Điểm thấp nhất trên mái</t>
  </si>
  <si>
    <r>
      <t>H</t>
    </r>
    <r>
      <rPr>
        <vertAlign val="subscript"/>
        <sz val="11"/>
        <color theme="1"/>
        <rFont val="Calibri"/>
        <family val="2"/>
        <scheme val="minor"/>
      </rPr>
      <t>low</t>
    </r>
    <r>
      <rPr>
        <sz val="11"/>
        <color theme="1"/>
        <rFont val="Calibri"/>
        <family val="2"/>
        <scheme val="minor"/>
      </rPr>
      <t xml:space="preserve"> =</t>
    </r>
  </si>
  <si>
    <t>Mean roof height / Chiều cao mái tính toán</t>
  </si>
  <si>
    <t>h =</t>
  </si>
  <si>
    <t>Hurricane Region / Vùng bão ?</t>
  </si>
  <si>
    <t>N</t>
  </si>
  <si>
    <t>Wind flow / Luồng gió ?</t>
  </si>
  <si>
    <t>Clear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</si>
  <si>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</si>
  <si>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Gust eff. Factor / Hệ số gió giật</t>
  </si>
  <si>
    <t>G =</t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</si>
  <si>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</si>
  <si>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</si>
  <si>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</si>
  <si>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</si>
  <si>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</si>
  <si>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</si>
  <si>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</si>
  <si>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</si>
  <si>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</si>
  <si>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</si>
  <si>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Y</t>
  </si>
  <si>
    <t>Velocity pressure at height z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</si>
  <si>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</si>
  <si>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</si>
  <si>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Roof angle</t>
  </si>
  <si>
    <t>Load case</t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</si>
  <si>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</si>
  <si>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</si>
  <si>
    <t>Clear Flow</t>
  </si>
  <si>
    <t>Obstructed Flow</t>
  </si>
  <si>
    <r>
      <t>C</t>
    </r>
    <r>
      <rPr>
        <vertAlign val="subscript"/>
        <sz val="10"/>
        <rFont val="Arial"/>
        <family val="2"/>
      </rPr>
      <t>NW</t>
    </r>
  </si>
  <si>
    <r>
      <t>C</t>
    </r>
    <r>
      <rPr>
        <vertAlign val="subscript"/>
        <sz val="10"/>
        <rFont val="Arial"/>
        <family val="2"/>
      </rPr>
      <t>NL</t>
    </r>
  </si>
  <si>
    <t>A</t>
  </si>
  <si>
    <r>
      <t xml:space="preserve">Notes 3: For values </t>
    </r>
    <r>
      <rPr>
        <sz val="10"/>
        <color indexed="12"/>
        <rFont val="Symbol"/>
        <family val="1"/>
        <charset val="2"/>
      </rPr>
      <t>q</t>
    </r>
    <r>
      <rPr>
        <sz val="13"/>
        <color indexed="12"/>
        <rFont val="Arial"/>
        <family val="2"/>
      </rPr>
      <t xml:space="preserve"> </t>
    </r>
    <r>
      <rPr>
        <sz val="10"/>
        <color indexed="12"/>
        <rFont val="Arial"/>
        <family val="2"/>
      </rPr>
      <t>of between 7.5</t>
    </r>
    <r>
      <rPr>
        <vertAlign val="superscript"/>
        <sz val="10"/>
        <color rgb="FF0000FF"/>
        <rFont val="Arial"/>
        <family val="2"/>
      </rPr>
      <t>o</t>
    </r>
    <r>
      <rPr>
        <sz val="10"/>
        <color indexed="12"/>
        <rFont val="Arial"/>
        <family val="2"/>
      </rPr>
      <t xml:space="preserve"> and 45</t>
    </r>
    <r>
      <rPr>
        <vertAlign val="superscript"/>
        <sz val="10"/>
        <color rgb="FF0000FF"/>
        <rFont val="Arial"/>
        <family val="2"/>
      </rPr>
      <t>o</t>
    </r>
    <r>
      <rPr>
        <sz val="10"/>
        <color indexed="12"/>
        <rFont val="Arial"/>
        <family val="2"/>
      </rPr>
      <t>, linear interpolation is permitted. For values of less than 7.5</t>
    </r>
    <r>
      <rPr>
        <vertAlign val="superscript"/>
        <sz val="10"/>
        <color rgb="FF0000FF"/>
        <rFont val="Arial"/>
        <family val="2"/>
      </rPr>
      <t>o</t>
    </r>
    <r>
      <rPr>
        <sz val="10"/>
        <color indexed="12"/>
        <rFont val="Arial"/>
        <family val="2"/>
      </rPr>
      <t>, use load coefficients for 0</t>
    </r>
    <r>
      <rPr>
        <vertAlign val="superscript"/>
        <sz val="10"/>
        <color rgb="FF0000FF"/>
        <rFont val="Arial"/>
        <family val="2"/>
      </rPr>
      <t>o</t>
    </r>
  </si>
  <si>
    <t>Wind direction, γ = 0</t>
  </si>
  <si>
    <t>Wind direction, γ = 180</t>
  </si>
  <si>
    <r>
      <t>C</t>
    </r>
    <r>
      <rPr>
        <vertAlign val="subscript"/>
        <sz val="11"/>
        <rFont val="Calibri"/>
        <family val="2"/>
        <scheme val="minor"/>
      </rPr>
      <t>NW</t>
    </r>
  </si>
  <si>
    <r>
      <t>C</t>
    </r>
    <r>
      <rPr>
        <vertAlign val="subscript"/>
        <sz val="11"/>
        <rFont val="Calibri"/>
        <family val="2"/>
        <scheme val="minor"/>
      </rPr>
      <t>NL</t>
    </r>
  </si>
  <si>
    <t>Pressure
(kPa)</t>
  </si>
  <si>
    <r>
      <t>Net pressure
Coeficient, C</t>
    </r>
    <r>
      <rPr>
        <vertAlign val="subscript"/>
        <sz val="11"/>
        <color theme="1"/>
        <rFont val="Calibri"/>
        <family val="2"/>
        <scheme val="minor"/>
      </rPr>
      <t>N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</si>
  <si>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  <r>
      <rPr>
        <vertAlign val="superscript"/>
        <sz val="8.5"/>
        <rFont val="Arial"/>
        <family val="2"/>
      </rPr>
      <t>0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</si>
  <si>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  <r>
      <rPr>
        <vertAlign val="superscript"/>
        <sz val="8.5"/>
        <rFont val="Arial"/>
        <family val="2"/>
      </rPr>
      <t>0</t>
    </r>
  </si>
  <si>
    <t>Load Case
Trường hợp</t>
  </si>
  <si>
    <t>Bước khung (m)</t>
  </si>
  <si>
    <r>
      <t>C</t>
    </r>
    <r>
      <rPr>
        <vertAlign val="subscript"/>
        <sz val="10"/>
        <rFont val="Arial"/>
        <family val="2"/>
      </rPr>
      <t>N</t>
    </r>
  </si>
  <si>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90</t>
    </r>
    <r>
      <rPr>
        <vertAlign val="superscript"/>
        <sz val="8.5"/>
        <rFont val="Arial"/>
        <family val="2"/>
      </rPr>
      <t>0</t>
    </r>
  </si>
  <si>
    <t>&lt; h</t>
  </si>
  <si>
    <t>&gt; h, &lt; 2h</t>
  </si>
  <si>
    <t>&gt; 2h</t>
  </si>
  <si>
    <t>Obstructed</t>
  </si>
  <si>
    <t>Case A</t>
  </si>
  <si>
    <t>Case B</t>
  </si>
  <si>
    <t>km/h</t>
  </si>
  <si>
    <t>II/ Main wind force resisting system / Tải trọng gió tác dụng lên hệ khung</t>
  </si>
  <si>
    <t>III/ Wind loads: Components &amp; cladding / Tác trọng gió tác dụng lên hệ bao che</t>
  </si>
  <si>
    <t>Bay spacing / Bước khung</t>
  </si>
  <si>
    <t>B =</t>
  </si>
  <si>
    <t>S =</t>
  </si>
  <si>
    <t>Max spacing of purlin / Khoảng cách lớn nhất xà gồ</t>
  </si>
  <si>
    <t>Effective Wind Area / Diện tích gió hữu hiệu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</si>
  <si>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</si>
  <si>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</si>
  <si>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t>Ae</t>
  </si>
  <si>
    <r>
      <t>C</t>
    </r>
    <r>
      <rPr>
        <vertAlign val="subscript"/>
        <sz val="10"/>
        <color indexed="8"/>
        <rFont val="Arial"/>
        <family val="2"/>
      </rPr>
      <t>N</t>
    </r>
  </si>
  <si>
    <t>Obstructed wind flow</t>
  </si>
  <si>
    <r>
      <t>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</si>
  <si>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Zone 3</t>
  </si>
  <si>
    <t>Zone 2</t>
  </si>
  <si>
    <t>Zone 1</t>
  </si>
  <si>
    <t>10%L =</t>
  </si>
  <si>
    <t>0.4h =</t>
  </si>
  <si>
    <t>Min (10%L ; 0.4h) =</t>
  </si>
  <si>
    <t>4%h =</t>
  </si>
  <si>
    <t>Min</t>
  </si>
  <si>
    <t>Clear wind flow</t>
  </si>
  <si>
    <t>ASCE 7-16 Minimum Design Loads For Buildings And Other Structures</t>
  </si>
  <si>
    <t>Width of edge zone / Bề rộng vùng biên</t>
  </si>
  <si>
    <t xml:space="preserve">a = </t>
  </si>
  <si>
    <t>Roof angle
Góc nghiêng mái</t>
  </si>
  <si>
    <t>Wind Load Tabulation for Roof Components &amp; Cladding
Bảng tính tải trọng gió cho các bộ phận mái và lớp phủ</t>
  </si>
  <si>
    <t>Component</t>
  </si>
  <si>
    <t>z</t>
  </si>
  <si>
    <r>
      <t>p = Net Design Pressures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</si>
  <si>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Cấu kiện</t>
  </si>
  <si>
    <t>(m)</t>
  </si>
  <si>
    <t>For z = h:</t>
  </si>
  <si>
    <t>Zone 3 / Vùng 3</t>
  </si>
  <si>
    <t>Zone 2 / Vùng 2</t>
  </si>
  <si>
    <t>Zone 1 / Vùng 1</t>
  </si>
  <si>
    <r>
      <t>Factor / Hệ số C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</si>
  <si>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Áp lực lên xà gồ (kN/m)</t>
  </si>
  <si>
    <r>
      <t>A</t>
    </r>
    <r>
      <rPr>
        <vertAlign val="subscript"/>
        <sz val="10"/>
        <rFont val="Arial"/>
        <family val="2"/>
      </rPr>
      <t>e</t>
    </r>
  </si>
  <si>
    <t>Design wind speed / Tốc độ gió thiết kế</t>
  </si>
  <si>
    <t>STT</t>
  </si>
  <si>
    <t>Loại vật liệu</t>
  </si>
  <si>
    <t>Mác</t>
  </si>
  <si>
    <t>Cường độ
(MPa)</t>
  </si>
  <si>
    <t>Thép tấm tổ hợp</t>
  </si>
  <si>
    <t>A572-50</t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</si>
  <si>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=</t>
    </r>
  </si>
  <si>
    <t>Thép hình</t>
  </si>
  <si>
    <t>Bu lông neo</t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</si>
  <si>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=</t>
    </r>
  </si>
  <si>
    <t>Bu lông cường độ cao</t>
  </si>
  <si>
    <t>Cấu tạo mái đón</t>
  </si>
  <si>
    <t>a. Tĩnh tải</t>
  </si>
  <si>
    <t>b. Hoạt tải mái</t>
  </si>
  <si>
    <t>2. Tải trọng</t>
  </si>
  <si>
    <t>A36</t>
  </si>
  <si>
    <t>TÍNH TOÁN MÁI CHE</t>
  </si>
  <si>
    <t>1. Vật liệu</t>
  </si>
  <si>
    <t>Trọng lượng bản thân kết cấu thép: Được tính toán bằng phần mềm</t>
  </si>
  <si>
    <t>(mm)</t>
  </si>
  <si>
    <t>Chiều dày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</si>
  <si>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</si>
  <si>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Trọng lượng riêng</t>
  </si>
  <si>
    <t>Trọng lượng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</si>
  <si>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</si>
  <si>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Tiêu chuẩn áp dụng:</t>
  </si>
  <si>
    <t xml:space="preserve"> TCVN 5575 : 2012 Kết cấu thép - Tiêu chuẩn thiết kế</t>
  </si>
  <si>
    <t xml:space="preserve"> TCVN 2737 : 2023 Tải trọng và tác động - Tiêu chuẩn thiết kế</t>
  </si>
  <si>
    <t>(Khu vực H: Mái không sử dụng, chỉ có người đi lại sữa chữa)</t>
  </si>
  <si>
    <t>EN&amp;VN</t>
  </si>
  <si>
    <t xml:space="preserve">Terrain </t>
  </si>
  <si>
    <t>zg</t>
  </si>
  <si>
    <t>zmin</t>
  </si>
  <si>
    <t>k(ze)max</t>
  </si>
  <si>
    <t>VN</t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</si>
  <si>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</si>
  <si>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</si>
  <si>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</si>
  <si>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</si>
  <si>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</si>
  <si>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</si>
  <si>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</si>
  <si>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</si>
  <si>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Rev. No.</t>
  </si>
  <si>
    <t>Hiệu chỉnh</t>
  </si>
  <si>
    <t>Date:</t>
  </si>
  <si>
    <t>Ngày</t>
  </si>
  <si>
    <t>Design</t>
  </si>
  <si>
    <t>Thiết kế</t>
  </si>
  <si>
    <t>Zone</t>
  </si>
  <si>
    <t>W3s,20</t>
  </si>
  <si>
    <t>Check</t>
  </si>
  <si>
    <t>Kiểm tra</t>
  </si>
  <si>
    <t>kPa (QC 02-2022/BXD)</t>
  </si>
  <si>
    <t>Design code:</t>
  </si>
  <si>
    <t>zg =</t>
  </si>
  <si>
    <t>TCVN 2737:2023 Loads and Action - Design standard</t>
  </si>
  <si>
    <t>TCVN 2737:2023 Tải trọng và tác động - Tiêu chuẩn thiết kế</t>
  </si>
  <si>
    <t>zmin =</t>
  </si>
  <si>
    <t>Section F.2.1 Flat roofs are defined as having a angle</t>
  </si>
  <si>
    <t>Mục F.2.1 Mái bằng khi có góc dốc</t>
  </si>
  <si>
    <t>Zone / Vùng</t>
  </si>
  <si>
    <t>I. Input Data / Dữ liệu thiết kế:</t>
  </si>
  <si>
    <t>I. Dữ liệu thiết kế</t>
  </si>
  <si>
    <t>degree</t>
  </si>
  <si>
    <t>Wind pressure / Áp lực gió</t>
  </si>
  <si>
    <t>Áp lực gió</t>
  </si>
  <si>
    <t>Dạng sơ đồ</t>
  </si>
  <si>
    <t>anpha</t>
  </si>
  <si>
    <t>Ce1</t>
  </si>
  <si>
    <t>Ce2</t>
  </si>
  <si>
    <t>Exposure Category / Dạng địa hình</t>
  </si>
  <si>
    <t>Dạng địa hình</t>
  </si>
  <si>
    <t>Canopy height / Chiều cao mái đón</t>
  </si>
  <si>
    <t>Chiều cao mái đón</t>
  </si>
  <si>
    <t>Eave Height / Chiều cao đỉnh cột</t>
  </si>
  <si>
    <t>Chiều cao đỉnh cột</t>
  </si>
  <si>
    <t>Arch height / Chiều cao vòm</t>
  </si>
  <si>
    <t>Chiều cao vòm</t>
  </si>
  <si>
    <t>Roof / building width</t>
  </si>
  <si>
    <t>Chiều rộng nhà / mái</t>
  </si>
  <si>
    <t>Roof / building length</t>
  </si>
  <si>
    <t>Chiều dài nhà / mái</t>
  </si>
  <si>
    <t>II. Calculation / Tính toán</t>
  </si>
  <si>
    <t>II. Tính toán</t>
  </si>
  <si>
    <t>Ratio</t>
  </si>
  <si>
    <t>Tỷ số</t>
  </si>
  <si>
    <t>(kPa)</t>
  </si>
  <si>
    <t>Reference height / Chiều cao tham chiếu</t>
  </si>
  <si>
    <t>Chiều cao tham chiếu</t>
  </si>
  <si>
    <t>Terrain factor / Hệ số địa hình</t>
  </si>
  <si>
    <t>Hệ số địa hình</t>
  </si>
  <si>
    <t>Gust Effect factor / Hệ số hiệu ứng giật</t>
  </si>
  <si>
    <t>Hệ số hiệu ứng giật</t>
  </si>
  <si>
    <t>Internal pressure coefficient</t>
  </si>
  <si>
    <t>Hệ số khí động áp lực bên trong</t>
  </si>
  <si>
    <t>Wind pressure acting on the surfaces:</t>
  </si>
  <si>
    <t>Áp lực gió tác dụng lên bề mặt:</t>
  </si>
  <si>
    <t>Design wind load  - Transverse Direction (kPa)</t>
  </si>
  <si>
    <t>Tải trọng gió thiết kế - Hương ngang (kPa)</t>
  </si>
  <si>
    <t>Structural type:</t>
  </si>
  <si>
    <t>Loại kết cấu:</t>
  </si>
  <si>
    <t>Roof pitch angle / Góc nghiêng mái</t>
  </si>
  <si>
    <t>Góc nghiêng mái</t>
  </si>
  <si>
    <t>Roof slope / Độ dốc mái</t>
  </si>
  <si>
    <t>Độ dốc mái</t>
  </si>
  <si>
    <t>(Clause 10.2.2 TCVN 2737:2023)</t>
  </si>
  <si>
    <t>(Mục 10.2.2 TCVN 2737:2023)</t>
  </si>
  <si>
    <t>Case 1 / TH1</t>
  </si>
  <si>
    <t>Trường hợp 1</t>
  </si>
  <si>
    <t>Case 2 / TH2</t>
  </si>
  <si>
    <t>Trường hợp 2</t>
  </si>
  <si>
    <t>Tổng tĩnh tải phân bố đều lên mái</t>
  </si>
  <si>
    <t>kPa</t>
  </si>
  <si>
    <r>
      <t>W</t>
    </r>
    <r>
      <rPr>
        <vertAlign val="subscript"/>
        <sz val="10"/>
        <rFont val="Calibri"/>
        <family val="2"/>
        <scheme val="minor"/>
      </rPr>
      <t>3s,20</t>
    </r>
    <r>
      <rPr>
        <sz val="10"/>
        <rFont val="Calibri"/>
        <family val="2"/>
        <scheme val="minor"/>
      </rPr>
      <t xml:space="preserve"> =</t>
    </r>
  </si>
  <si>
    <t>Determine a, zg, Kh, I, and qh:</t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</si>
  <si>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</si>
  <si>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=</t>
    </r>
  </si>
  <si>
    <r>
      <t>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 =</t>
    </r>
  </si>
  <si>
    <r>
      <t>G</t>
    </r>
    <r>
      <rPr>
        <vertAlign val="subscript"/>
        <sz val="10"/>
        <rFont val="Calibri"/>
        <family val="2"/>
        <scheme val="minor"/>
      </rPr>
      <t>f</t>
    </r>
    <r>
      <rPr>
        <sz val="10"/>
        <rFont val="Calibri"/>
        <family val="2"/>
        <scheme val="minor"/>
      </rPr>
      <t xml:space="preserve"> =</t>
    </r>
  </si>
  <si>
    <r>
      <t>W</t>
    </r>
    <r>
      <rPr>
        <b/>
        <vertAlign val="subscript"/>
        <sz val="10"/>
        <rFont val="Calibri"/>
        <family val="2"/>
        <scheme val="minor"/>
      </rPr>
      <t>k</t>
    </r>
    <r>
      <rPr>
        <b/>
        <sz val="10"/>
        <rFont val="Calibri"/>
        <family val="2"/>
        <scheme val="minor"/>
      </rPr>
      <t xml:space="preserve"> = W</t>
    </r>
    <r>
      <rPr>
        <b/>
        <vertAlign val="subscript"/>
        <sz val="10"/>
        <rFont val="Calibri"/>
        <family val="2"/>
        <scheme val="minor"/>
      </rPr>
      <t>3s,10</t>
    </r>
    <r>
      <rPr>
        <b/>
        <sz val="10"/>
        <rFont val="Calibri"/>
        <family val="2"/>
        <scheme val="minor"/>
      </rPr>
      <t xml:space="preserve"> . k(z</t>
    </r>
    <r>
      <rPr>
        <b/>
        <vertAlign val="subscript"/>
        <sz val="10"/>
        <rFont val="Calibri"/>
        <family val="2"/>
        <scheme val="minor"/>
      </rPr>
      <t>e</t>
    </r>
    <r>
      <rPr>
        <b/>
        <sz val="10"/>
        <rFont val="Calibri"/>
        <family val="2"/>
        <scheme val="minor"/>
      </rPr>
      <t>).c</t>
    </r>
    <r>
      <rPr>
        <b/>
        <vertAlign val="subscript"/>
        <sz val="10"/>
        <rFont val="Calibri"/>
        <family val="2"/>
        <scheme val="minor"/>
      </rPr>
      <t>p</t>
    </r>
    <r>
      <rPr>
        <b/>
        <sz val="10"/>
        <rFont val="Calibri"/>
        <family val="2"/>
        <scheme val="minor"/>
      </rPr>
      <t>.G</t>
    </r>
    <r>
      <rPr>
        <b/>
        <vertAlign val="subscript"/>
        <sz val="10"/>
        <rFont val="Calibri"/>
        <family val="2"/>
        <scheme val="minor"/>
      </rPr>
      <t>f</t>
    </r>
  </si>
  <si>
    <r>
      <rPr>
        <u/>
        <sz val="10"/>
        <rFont val="Calibri"/>
        <family val="2"/>
        <scheme val="minor"/>
      </rPr>
      <t>Ghi chú:</t>
    </r>
    <r>
      <rPr>
        <b/>
        <u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Hệ số Cp lấy theo chú thích 3</t>
    </r>
  </si>
  <si>
    <t>Gió ngang</t>
  </si>
  <si>
    <t>Gió dọc</t>
  </si>
  <si>
    <r>
      <t>Áp lực (kN/m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</si>
  <si>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t>C</t>
    </r>
    <r>
      <rPr>
        <b/>
        <vertAlign val="subscript"/>
        <sz val="10"/>
        <rFont val="Calibri"/>
        <family val="2"/>
        <scheme val="minor"/>
      </rPr>
      <t>p</t>
    </r>
  </si>
  <si>
    <r>
      <t>W</t>
    </r>
    <r>
      <rPr>
        <b/>
        <vertAlign val="subscript"/>
        <sz val="10"/>
        <rFont val="Calibri"/>
        <family val="2"/>
        <scheme val="minor"/>
      </rPr>
      <t>1</t>
    </r>
  </si>
  <si>
    <r>
      <t>C</t>
    </r>
    <r>
      <rPr>
        <b/>
        <vertAlign val="subscript"/>
        <sz val="10"/>
        <rFont val="Calibri"/>
        <family val="2"/>
        <scheme val="minor"/>
      </rPr>
      <t>p1</t>
    </r>
  </si>
  <si>
    <r>
      <t>C</t>
    </r>
    <r>
      <rPr>
        <b/>
        <vertAlign val="subscript"/>
        <sz val="10"/>
        <rFont val="Calibri"/>
        <family val="2"/>
        <scheme val="minor"/>
      </rPr>
      <t>p2</t>
    </r>
  </si>
  <si>
    <r>
      <t>W</t>
    </r>
    <r>
      <rPr>
        <b/>
        <vertAlign val="sub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</t>
    </r>
  </si>
  <si>
    <t>W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</si>
  <si>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>2</t>
    </r>
  </si>
  <si>
    <t>z =</t>
  </si>
  <si>
    <t>Height above ground level</t>
  </si>
  <si>
    <t>W1</t>
  </si>
  <si>
    <t>W2</t>
  </si>
  <si>
    <t>Gió ngang - Sơ đồ 3</t>
  </si>
  <si>
    <t>Gió ngang - Sơ đồ 4</t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</si>
  <si>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. 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).G</t>
    </r>
    <r>
      <rPr>
        <vertAlign val="subscript"/>
        <sz val="10"/>
        <rFont val="Calibri"/>
        <family val="2"/>
        <scheme val="minor"/>
      </rPr>
      <t>f</t>
    </r>
    <r>
      <rPr>
        <sz val="10"/>
        <rFont val="Calibri"/>
        <family val="2"/>
        <scheme val="minor"/>
      </rPr>
      <t xml:space="preserve"> =</t>
    </r>
  </si>
  <si>
    <t>Bước cột
(m)</t>
  </si>
  <si>
    <t>Khung giữa</t>
  </si>
  <si>
    <t>Khung đầu hồi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</si>
</sst>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0"/>
    <numFmt numFmtId="167" formatCode="[$-409]d\-mmm\-yy;@"/>
    <numFmt numFmtId="168" formatCode="0.0%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0"/>
      <name val="Times New Roman"/>
      <family val="1"/>
    </font>
    <font>
      <sz val="8.5"/>
      <name val="Arial"/>
      <family val="2"/>
    </font>
    <font>
      <sz val="10"/>
      <color indexed="12"/>
      <name val="Symbol"/>
      <family val="1"/>
      <charset val="2"/>
    </font>
    <font>
      <sz val="13"/>
      <color indexed="12"/>
      <name val="Arial"/>
      <family val="2"/>
    </font>
    <font>
      <vertAlign val="superscript"/>
      <sz val="10"/>
      <color rgb="FF0000FF"/>
      <name val="Arial"/>
      <family val="2"/>
    </font>
    <font>
      <vertAlign val="subscript"/>
      <sz val="11"/>
      <name val="Calibri"/>
      <family val="2"/>
      <scheme val="minor"/>
    </font>
    <font>
      <sz val="10"/>
      <color rgb="FF0000CC"/>
      <name val="Arial"/>
      <family val="2"/>
    </font>
    <font>
      <vertAlign val="superscript"/>
      <sz val="8.5"/>
      <name val="Arial"/>
      <family val="2"/>
    </font>
    <font>
      <sz val="10"/>
      <name val="Arial"/>
      <family val="1"/>
    </font>
    <font>
      <b/>
      <sz val="11"/>
      <color rgb="FF0000CC"/>
      <name val="Calibri"/>
      <family val="2"/>
      <scheme val="minor"/>
    </font>
    <font>
      <vertAlign val="superscript"/>
      <sz val="10"/>
      <name val="Arial"/>
      <family val="2"/>
    </font>
    <font>
      <sz val="10"/>
      <color theme="9" tint="-0.499984740745262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b/>
      <sz val="12"/>
      <color rgb="FF0070C0"/>
      <name val="Arial"/>
      <family val="2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indexed="8"/>
      <name val="Arial"/>
      <family val="2"/>
    </font>
    <font>
      <sz val="11"/>
      <color theme="1"/>
      <name val="Calibri"/>
      <family val="2"/>
      <charset val="163"/>
      <scheme val="minor"/>
    </font>
    <font>
      <b/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9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rgb="FF0000CC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 tint="-9.9978637043366805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</borders>
  <cellStyleXfs count="5">
    <xf numFmtId="0" fontId="0" fillId="0" borderId="0"/>
    <xf numFmtId="0" fontId="6" fillId="0" borderId="0"/>
    <xf numFmtId="0" fontId="11" fillId="4" borderId="0" applyNumberFormat="0" applyBorder="0" applyAlignment="0" applyProtection="0"/>
    <xf numFmtId="49" fontId="46" fillId="0" borderId="0">
      <alignment horizontal="left" vertical="center"/>
    </xf>
    <xf numFmtId="0" fontId="47" fillId="0" borderId="0"/>
  </cellStyleXfs>
  <cellXfs count="347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6" fillId="5" borderId="0" xfId="1" applyFill="1"/>
    <xf numFmtId="0" fontId="6" fillId="5" borderId="3" xfId="1" applyFill="1" applyBorder="1" applyAlignment="1">
      <alignment horizontal="center"/>
    </xf>
    <xf numFmtId="0" fontId="20" fillId="5" borderId="0" xfId="1" applyFont="1" applyFill="1"/>
    <xf numFmtId="0" fontId="20" fillId="5" borderId="0" xfId="1" applyFont="1" applyFill="1" applyAlignment="1">
      <alignment vertical="center"/>
    </xf>
    <xf numFmtId="0" fontId="19" fillId="5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6" fillId="5" borderId="20" xfId="1" applyFill="1" applyBorder="1" applyAlignment="1">
      <alignment horizontal="center"/>
    </xf>
    <xf numFmtId="0" fontId="6" fillId="5" borderId="23" xfId="1" applyFill="1" applyBorder="1" applyAlignment="1">
      <alignment horizontal="center"/>
    </xf>
    <xf numFmtId="0" fontId="6" fillId="5" borderId="24" xfId="1" applyFill="1" applyBorder="1" applyAlignment="1">
      <alignment horizontal="center"/>
    </xf>
    <xf numFmtId="0" fontId="6" fillId="5" borderId="25" xfId="1" applyFill="1" applyBorder="1" applyAlignment="1">
      <alignment vertical="center"/>
    </xf>
    <xf numFmtId="0" fontId="6" fillId="5" borderId="17" xfId="1" applyFill="1" applyBorder="1" applyAlignment="1">
      <alignment horizontal="center"/>
    </xf>
    <xf numFmtId="0" fontId="6" fillId="5" borderId="18" xfId="1" applyFill="1" applyBorder="1" applyAlignment="1">
      <alignment horizontal="center"/>
    </xf>
    <xf numFmtId="0" fontId="6" fillId="5" borderId="26" xfId="1" applyFill="1" applyBorder="1" applyAlignment="1">
      <alignment vertical="center"/>
    </xf>
    <xf numFmtId="0" fontId="6" fillId="5" borderId="26" xfId="1" applyFill="1" applyBorder="1"/>
    <xf numFmtId="2" fontId="10" fillId="0" borderId="27" xfId="0" applyNumberFormat="1" applyFont="1" applyBorder="1"/>
    <xf numFmtId="0" fontId="10" fillId="0" borderId="23" xfId="0" applyFont="1" applyBorder="1" applyAlignment="1">
      <alignment horizontal="center" vertical="center"/>
    </xf>
    <xf numFmtId="2" fontId="32" fillId="5" borderId="23" xfId="1" applyNumberFormat="1" applyFont="1" applyFill="1" applyBorder="1" applyAlignment="1">
      <alignment horizontal="center" vertical="center"/>
    </xf>
    <xf numFmtId="2" fontId="32" fillId="5" borderId="24" xfId="1" applyNumberFormat="1" applyFont="1" applyFill="1" applyBorder="1" applyAlignment="1">
      <alignment horizontal="center" vertical="center"/>
    </xf>
    <xf numFmtId="2" fontId="20" fillId="5" borderId="3" xfId="1" applyNumberFormat="1" applyFont="1" applyFill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12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11" fillId="0" borderId="0" xfId="2" applyNumberFormat="1" applyFill="1" applyBorder="1" applyAlignment="1">
      <alignment horizontal="center" vertical="center"/>
    </xf>
    <xf numFmtId="0" fontId="34" fillId="5" borderId="3" xfId="1" applyFont="1" applyFill="1" applyBorder="1" applyAlignment="1">
      <alignment horizontal="center" vertical="center"/>
    </xf>
    <xf numFmtId="0" fontId="6" fillId="5" borderId="3" xfId="1" applyFill="1" applyBorder="1" applyAlignment="1" applyProtection="1">
      <alignment horizontal="center"/>
      <protection hidden="1"/>
    </xf>
    <xf numFmtId="2" fontId="6" fillId="5" borderId="3" xfId="1" applyNumberFormat="1" applyFill="1" applyBorder="1" applyAlignment="1">
      <alignment horizontal="center"/>
    </xf>
    <xf numFmtId="0" fontId="6" fillId="5" borderId="0" xfId="1" applyFill="1" applyAlignment="1">
      <alignment horizontal="center" vertical="center"/>
    </xf>
    <xf numFmtId="0" fontId="6" fillId="5" borderId="0" xfId="1" applyFill="1" applyAlignment="1">
      <alignment horizontal="right" vertical="center"/>
    </xf>
    <xf numFmtId="0" fontId="38" fillId="5" borderId="0" xfId="1" applyFont="1" applyFill="1" applyAlignment="1">
      <alignment horizontal="center" vertical="center"/>
    </xf>
    <xf numFmtId="2" fontId="37" fillId="5" borderId="3" xfId="1" applyNumberFormat="1" applyFont="1" applyFill="1" applyBorder="1" applyAlignment="1" applyProtection="1">
      <alignment horizontal="center"/>
      <protection hidden="1"/>
    </xf>
    <xf numFmtId="0" fontId="6" fillId="5" borderId="43" xfId="1" applyFill="1" applyBorder="1" applyAlignment="1" applyProtection="1">
      <alignment horizontal="center" vertical="center"/>
      <protection hidden="1"/>
    </xf>
    <xf numFmtId="0" fontId="6" fillId="5" borderId="44" xfId="1" applyFill="1" applyBorder="1" applyAlignment="1" applyProtection="1">
      <alignment horizontal="center" vertical="center"/>
      <protection hidden="1"/>
    </xf>
    <xf numFmtId="0" fontId="6" fillId="5" borderId="45" xfId="1" applyFill="1" applyBorder="1" applyAlignment="1" applyProtection="1">
      <alignment horizontal="center" vertical="center"/>
      <protection hidden="1"/>
    </xf>
    <xf numFmtId="2" fontId="6" fillId="5" borderId="27" xfId="1" applyNumberFormat="1" applyFill="1" applyBorder="1" applyAlignment="1">
      <alignment horizontal="center" vertical="center"/>
    </xf>
    <xf numFmtId="2" fontId="6" fillId="5" borderId="23" xfId="1" applyNumberFormat="1" applyFill="1" applyBorder="1" applyAlignment="1">
      <alignment horizontal="center" vertical="center"/>
    </xf>
    <xf numFmtId="0" fontId="6" fillId="5" borderId="26" xfId="1" applyFill="1" applyBorder="1" applyAlignment="1">
      <alignment horizontal="center" vertical="center"/>
    </xf>
    <xf numFmtId="2" fontId="6" fillId="5" borderId="24" xfId="1" applyNumberFormat="1" applyFill="1" applyBorder="1" applyAlignment="1">
      <alignment horizontal="center" vertical="center"/>
    </xf>
    <xf numFmtId="0" fontId="6" fillId="5" borderId="23" xfId="1" applyFill="1" applyBorder="1" applyAlignment="1">
      <alignment horizontal="center" vertical="center"/>
    </xf>
    <xf numFmtId="0" fontId="6" fillId="5" borderId="0" xfId="1" applyFill="1" applyAlignment="1">
      <alignment horizontal="center"/>
    </xf>
    <xf numFmtId="0" fontId="0" fillId="0" borderId="3" xfId="0" applyBorder="1"/>
    <xf numFmtId="0" fontId="0" fillId="0" borderId="1" xfId="0" applyBorder="1"/>
    <xf numFmtId="0" fontId="0" fillId="0" borderId="13" xfId="0" applyBorder="1"/>
    <xf numFmtId="0" fontId="0" fillId="0" borderId="1" xfId="0" applyBorder="1" applyAlignment="1">
      <alignment horizontal="left" indent="1"/>
    </xf>
    <xf numFmtId="0" fontId="0" fillId="0" borderId="6" xfId="0" applyBorder="1"/>
    <xf numFmtId="0" fontId="0" fillId="0" borderId="7" xfId="0" applyBorder="1"/>
    <xf numFmtId="0" fontId="0" fillId="0" borderId="14" xfId="0" applyBorder="1"/>
    <xf numFmtId="0" fontId="6" fillId="0" borderId="0" xfId="0" applyFont="1" applyAlignment="1" applyProtection="1">
      <alignment horizontal="left" vertical="center"/>
      <protection hidden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2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18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22" fillId="5" borderId="0" xfId="0" applyNumberFormat="1" applyFont="1" applyFill="1" applyAlignment="1" applyProtection="1">
      <alignment horizontal="center"/>
      <protection locked="0"/>
    </xf>
    <xf numFmtId="0" fontId="24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0" fontId="6" fillId="5" borderId="0" xfId="1" applyFill="1" applyAlignment="1">
      <alignment vertical="center"/>
    </xf>
    <xf numFmtId="0" fontId="6" fillId="0" borderId="0" xfId="1" applyAlignment="1">
      <alignment horizontal="center"/>
    </xf>
    <xf numFmtId="0" fontId="41" fillId="0" borderId="0" xfId="0" applyFont="1" applyAlignment="1">
      <alignment horizontal="left" indent="1"/>
    </xf>
    <xf numFmtId="0" fontId="0" fillId="0" borderId="49" xfId="0" applyBorder="1" applyAlignment="1">
      <alignment horizontal="right" vertical="center"/>
    </xf>
    <xf numFmtId="0" fontId="10" fillId="0" borderId="49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right"/>
    </xf>
    <xf numFmtId="0" fontId="4" fillId="0" borderId="0" xfId="0" applyFont="1"/>
    <xf numFmtId="0" fontId="10" fillId="0" borderId="33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19" fillId="0" borderId="0" xfId="0" applyFont="1" applyAlignment="1">
      <alignment horizontal="left" indent="1"/>
    </xf>
    <xf numFmtId="0" fontId="45" fillId="0" borderId="0" xfId="0" applyFont="1"/>
    <xf numFmtId="0" fontId="48" fillId="5" borderId="0" xfId="3" applyNumberFormat="1" applyFont="1" applyFill="1" applyAlignment="1">
      <alignment horizontal="left" vertical="center" indent="1"/>
    </xf>
    <xf numFmtId="49" fontId="48" fillId="5" borderId="0" xfId="3" applyFont="1" applyFill="1" applyAlignment="1">
      <alignment vertical="center"/>
    </xf>
    <xf numFmtId="0" fontId="48" fillId="5" borderId="0" xfId="3" applyNumberFormat="1" applyFont="1" applyFill="1">
      <alignment horizontal="left" vertical="center"/>
    </xf>
    <xf numFmtId="166" fontId="48" fillId="5" borderId="0" xfId="3" applyNumberFormat="1" applyFont="1" applyFill="1">
      <alignment horizontal="left" vertical="center"/>
    </xf>
    <xf numFmtId="0" fontId="49" fillId="5" borderId="0" xfId="1" applyFont="1" applyFill="1" applyAlignment="1">
      <alignment horizontal="center"/>
    </xf>
    <xf numFmtId="0" fontId="50" fillId="5" borderId="0" xfId="1" applyFont="1" applyFill="1"/>
    <xf numFmtId="167" fontId="48" fillId="5" borderId="0" xfId="3" applyNumberFormat="1" applyFont="1" applyFill="1" applyAlignment="1">
      <alignment horizontal="left" vertical="top"/>
    </xf>
    <xf numFmtId="166" fontId="51" fillId="5" borderId="0" xfId="3" applyNumberFormat="1" applyFont="1" applyFill="1" applyAlignment="1">
      <alignment vertical="center"/>
    </xf>
    <xf numFmtId="0" fontId="52" fillId="5" borderId="0" xfId="1" applyFont="1" applyFill="1"/>
    <xf numFmtId="0" fontId="50" fillId="8" borderId="3" xfId="1" applyFont="1" applyFill="1" applyBorder="1" applyAlignment="1">
      <alignment horizontal="center" vertical="center"/>
    </xf>
    <xf numFmtId="0" fontId="50" fillId="8" borderId="3" xfId="1" applyFont="1" applyFill="1" applyBorder="1"/>
    <xf numFmtId="0" fontId="52" fillId="5" borderId="9" xfId="1" applyFont="1" applyFill="1" applyBorder="1" applyAlignment="1">
      <alignment horizontal="center" vertical="center"/>
    </xf>
    <xf numFmtId="0" fontId="52" fillId="5" borderId="3" xfId="1" applyFont="1" applyFill="1" applyBorder="1" applyAlignment="1">
      <alignment horizontal="center" vertical="center"/>
    </xf>
    <xf numFmtId="0" fontId="50" fillId="5" borderId="0" xfId="1" applyFont="1" applyFill="1" applyProtection="1">
      <protection hidden="1"/>
    </xf>
    <xf numFmtId="0" fontId="55" fillId="5" borderId="13" xfId="1" applyFont="1" applyFill="1" applyBorder="1" applyProtection="1">
      <protection hidden="1"/>
    </xf>
    <xf numFmtId="0" fontId="55" fillId="5" borderId="0" xfId="1" applyFont="1" applyFill="1" applyAlignment="1" applyProtection="1">
      <alignment horizontal="center"/>
      <protection hidden="1"/>
    </xf>
    <xf numFmtId="0" fontId="56" fillId="5" borderId="13" xfId="1" applyFont="1" applyFill="1" applyBorder="1" applyProtection="1">
      <protection hidden="1"/>
    </xf>
    <xf numFmtId="0" fontId="56" fillId="5" borderId="0" xfId="1" applyFont="1" applyFill="1" applyAlignment="1" applyProtection="1">
      <alignment horizontal="center"/>
      <protection hidden="1"/>
    </xf>
    <xf numFmtId="0" fontId="50" fillId="5" borderId="1" xfId="1" applyFont="1" applyFill="1" applyBorder="1" applyProtection="1">
      <protection hidden="1"/>
    </xf>
    <xf numFmtId="0" fontId="50" fillId="5" borderId="13" xfId="1" applyFont="1" applyFill="1" applyBorder="1" applyProtection="1">
      <protection hidden="1"/>
    </xf>
    <xf numFmtId="0" fontId="52" fillId="5" borderId="0" xfId="1" applyFont="1" applyFill="1" applyProtection="1">
      <protection hidden="1"/>
    </xf>
    <xf numFmtId="0" fontId="52" fillId="5" borderId="0" xfId="1" applyFont="1" applyFill="1" applyAlignment="1" applyProtection="1">
      <alignment horizontal="center"/>
      <protection hidden="1"/>
    </xf>
    <xf numFmtId="0" fontId="52" fillId="5" borderId="13" xfId="1" applyFont="1" applyFill="1" applyBorder="1" applyAlignment="1" applyProtection="1">
      <alignment horizontal="center"/>
      <protection hidden="1"/>
    </xf>
    <xf numFmtId="0" fontId="52" fillId="5" borderId="0" xfId="1" applyFont="1" applyFill="1" applyAlignment="1">
      <alignment horizontal="center"/>
    </xf>
    <xf numFmtId="0" fontId="50" fillId="5" borderId="0" xfId="1" applyFont="1" applyFill="1" applyAlignment="1" applyProtection="1">
      <alignment horizontal="center" vertical="center"/>
      <protection hidden="1"/>
    </xf>
    <xf numFmtId="0" fontId="50" fillId="5" borderId="3" xfId="1" applyFont="1" applyFill="1" applyBorder="1" applyAlignment="1">
      <alignment horizontal="center" vertical="center"/>
    </xf>
    <xf numFmtId="0" fontId="52" fillId="5" borderId="0" xfId="1" applyFont="1" applyFill="1" applyAlignment="1">
      <alignment horizontal="right"/>
    </xf>
    <xf numFmtId="0" fontId="59" fillId="5" borderId="0" xfId="1" applyFont="1" applyFill="1" applyProtection="1">
      <protection hidden="1"/>
    </xf>
    <xf numFmtId="0" fontId="52" fillId="5" borderId="9" xfId="1" applyFont="1" applyFill="1" applyBorder="1" applyAlignment="1">
      <alignment horizontal="right" vertical="center"/>
    </xf>
    <xf numFmtId="2" fontId="59" fillId="5" borderId="0" xfId="1" applyNumberFormat="1" applyFont="1" applyFill="1" applyAlignment="1" applyProtection="1">
      <alignment horizontal="left"/>
      <protection hidden="1"/>
    </xf>
    <xf numFmtId="0" fontId="52" fillId="5" borderId="9" xfId="1" applyFont="1" applyFill="1" applyBorder="1" applyAlignment="1">
      <alignment horizontal="right"/>
    </xf>
    <xf numFmtId="0" fontId="50" fillId="0" borderId="3" xfId="1" applyFont="1" applyBorder="1"/>
    <xf numFmtId="2" fontId="52" fillId="5" borderId="0" xfId="1" applyNumberFormat="1" applyFont="1" applyFill="1" applyAlignment="1">
      <alignment horizontal="center"/>
    </xf>
    <xf numFmtId="0" fontId="50" fillId="5" borderId="13" xfId="1" applyFont="1" applyFill="1" applyBorder="1"/>
    <xf numFmtId="0" fontId="62" fillId="0" borderId="3" xfId="4" applyFont="1" applyBorder="1" applyAlignment="1">
      <alignment horizontal="center" vertical="center"/>
    </xf>
    <xf numFmtId="165" fontId="52" fillId="5" borderId="0" xfId="1" applyNumberFormat="1" applyFont="1" applyFill="1" applyAlignment="1">
      <alignment horizontal="center"/>
    </xf>
    <xf numFmtId="2" fontId="49" fillId="5" borderId="0" xfId="1" applyNumberFormat="1" applyFont="1" applyFill="1" applyAlignment="1" applyProtection="1">
      <alignment horizontal="center" vertical="center"/>
      <protection hidden="1"/>
    </xf>
    <xf numFmtId="0" fontId="64" fillId="5" borderId="0" xfId="1" applyFont="1" applyFill="1" applyAlignment="1">
      <alignment horizontal="centerContinuous"/>
    </xf>
    <xf numFmtId="0" fontId="62" fillId="0" borderId="0" xfId="4" applyFont="1" applyAlignment="1">
      <alignment horizontal="center" vertical="center"/>
    </xf>
    <xf numFmtId="0" fontId="52" fillId="5" borderId="0" xfId="1" applyFont="1" applyFill="1" applyAlignment="1">
      <alignment horizontal="left"/>
    </xf>
    <xf numFmtId="0" fontId="50" fillId="5" borderId="1" xfId="1" applyFont="1" applyFill="1" applyBorder="1" applyAlignment="1" applyProtection="1">
      <alignment horizontal="right"/>
      <protection hidden="1"/>
    </xf>
    <xf numFmtId="2" fontId="49" fillId="5" borderId="13" xfId="1" applyNumberFormat="1" applyFont="1" applyFill="1" applyBorder="1" applyAlignment="1" applyProtection="1">
      <alignment horizontal="center" vertical="center"/>
      <protection hidden="1"/>
    </xf>
    <xf numFmtId="0" fontId="52" fillId="5" borderId="0" xfId="1" quotePrefix="1" applyFont="1" applyFill="1" applyAlignment="1">
      <alignment horizontal="right"/>
    </xf>
    <xf numFmtId="0" fontId="50" fillId="8" borderId="0" xfId="1" applyFont="1" applyFill="1"/>
    <xf numFmtId="0" fontId="66" fillId="5" borderId="1" xfId="1" applyFont="1" applyFill="1" applyBorder="1" applyProtection="1">
      <protection hidden="1"/>
    </xf>
    <xf numFmtId="0" fontId="50" fillId="3" borderId="0" xfId="1" applyFont="1" applyFill="1" applyAlignment="1">
      <alignment horizontal="center" vertical="center"/>
    </xf>
    <xf numFmtId="0" fontId="62" fillId="0" borderId="0" xfId="4" applyFont="1" applyAlignment="1">
      <alignment vertical="center"/>
    </xf>
    <xf numFmtId="0" fontId="60" fillId="5" borderId="0" xfId="1" applyFont="1" applyFill="1" applyAlignment="1">
      <alignment horizontal="center"/>
    </xf>
    <xf numFmtId="0" fontId="60" fillId="5" borderId="0" xfId="1" applyFont="1" applyFill="1" applyAlignment="1">
      <alignment horizontal="center" vertical="center"/>
    </xf>
    <xf numFmtId="2" fontId="50" fillId="5" borderId="51" xfId="1" applyNumberFormat="1" applyFont="1" applyFill="1" applyBorder="1" applyAlignment="1" applyProtection="1">
      <alignment horizontal="center" vertical="center"/>
      <protection hidden="1"/>
    </xf>
    <xf numFmtId="2" fontId="50" fillId="5" borderId="49" xfId="1" applyNumberFormat="1" applyFont="1" applyFill="1" applyBorder="1" applyAlignment="1" applyProtection="1">
      <alignment horizontal="center" vertical="center"/>
      <protection hidden="1"/>
    </xf>
    <xf numFmtId="0" fontId="50" fillId="5" borderId="33" xfId="1" applyFont="1" applyFill="1" applyBorder="1" applyAlignment="1" applyProtection="1">
      <alignment horizontal="left" vertical="center"/>
      <protection hidden="1"/>
    </xf>
    <xf numFmtId="0" fontId="50" fillId="5" borderId="7" xfId="1" applyFont="1" applyFill="1" applyBorder="1" applyProtection="1">
      <protection hidden="1"/>
    </xf>
    <xf numFmtId="0" fontId="50" fillId="5" borderId="14" xfId="1" applyFont="1" applyFill="1" applyBorder="1" applyProtection="1">
      <protection hidden="1"/>
    </xf>
    <xf numFmtId="0" fontId="61" fillId="5" borderId="13" xfId="1" applyFont="1" applyFill="1" applyBorder="1" applyAlignment="1" applyProtection="1">
      <alignment horizontal="left"/>
      <protection hidden="1"/>
    </xf>
    <xf numFmtId="0" fontId="61" fillId="5" borderId="1" xfId="1" applyFont="1" applyFill="1" applyBorder="1" applyAlignment="1" applyProtection="1">
      <alignment horizontal="left" indent="1"/>
      <protection hidden="1"/>
    </xf>
    <xf numFmtId="0" fontId="50" fillId="5" borderId="6" xfId="1" applyFont="1" applyFill="1" applyBorder="1" applyProtection="1">
      <protection hidden="1"/>
    </xf>
    <xf numFmtId="0" fontId="56" fillId="5" borderId="51" xfId="1" applyFont="1" applyFill="1" applyBorder="1" applyAlignment="1" applyProtection="1">
      <alignment horizontal="center" vertical="center" wrapText="1"/>
      <protection hidden="1"/>
    </xf>
    <xf numFmtId="0" fontId="56" fillId="5" borderId="51" xfId="1" applyFont="1" applyFill="1" applyBorder="1" applyAlignment="1" applyProtection="1">
      <alignment horizontal="center" vertical="center"/>
      <protection hidden="1"/>
    </xf>
    <xf numFmtId="0" fontId="54" fillId="5" borderId="0" xfId="1" applyFont="1" applyFill="1" applyAlignment="1" applyProtection="1">
      <alignment horizontal="left"/>
      <protection hidden="1"/>
    </xf>
    <xf numFmtId="0" fontId="55" fillId="5" borderId="0" xfId="1" applyFont="1" applyFill="1" applyProtection="1">
      <protection hidden="1"/>
    </xf>
    <xf numFmtId="0" fontId="50" fillId="5" borderId="0" xfId="1" applyFont="1" applyFill="1" applyAlignment="1" applyProtection="1">
      <alignment horizontal="left"/>
      <protection hidden="1"/>
    </xf>
    <xf numFmtId="0" fontId="56" fillId="5" borderId="0" xfId="1" applyFont="1" applyFill="1" applyProtection="1">
      <protection hidden="1"/>
    </xf>
    <xf numFmtId="0" fontId="52" fillId="5" borderId="0" xfId="1" applyFont="1" applyFill="1" applyProtection="1">
      <protection locked="0"/>
    </xf>
    <xf numFmtId="0" fontId="50" fillId="5" borderId="0" xfId="1" applyFont="1" applyFill="1" applyAlignment="1" applyProtection="1">
      <alignment vertical="center"/>
      <protection hidden="1"/>
    </xf>
    <xf numFmtId="0" fontId="50" fillId="5" borderId="0" xfId="1" applyFont="1" applyFill="1" applyAlignment="1" applyProtection="1">
      <alignment horizontal="left" vertical="center"/>
      <protection hidden="1"/>
    </xf>
    <xf numFmtId="0" fontId="50" fillId="5" borderId="0" xfId="1" applyFont="1" applyFill="1" applyAlignment="1" applyProtection="1">
      <alignment horizontal="right"/>
      <protection hidden="1"/>
    </xf>
    <xf numFmtId="0" fontId="52" fillId="5" borderId="0" xfId="1" applyFont="1" applyFill="1" applyAlignment="1" applyProtection="1">
      <alignment horizontal="center"/>
      <protection locked="0"/>
    </xf>
    <xf numFmtId="0" fontId="52" fillId="5" borderId="0" xfId="1" applyFont="1" applyFill="1" applyAlignment="1" applyProtection="1">
      <alignment horizontal="left" vertical="center"/>
      <protection locked="0"/>
    </xf>
    <xf numFmtId="2" fontId="50" fillId="5" borderId="0" xfId="1" applyNumberFormat="1" applyFont="1" applyFill="1" applyAlignment="1" applyProtection="1">
      <alignment horizontal="center" vertical="center"/>
      <protection hidden="1"/>
    </xf>
    <xf numFmtId="2" fontId="52" fillId="5" borderId="0" xfId="1" applyNumberFormat="1" applyFont="1" applyFill="1" applyAlignment="1" applyProtection="1">
      <alignment horizontal="center"/>
      <protection locked="0"/>
    </xf>
    <xf numFmtId="0" fontId="50" fillId="5" borderId="0" xfId="1" applyFont="1" applyFill="1" applyAlignment="1" applyProtection="1">
      <alignment horizontal="right" vertical="center"/>
      <protection hidden="1"/>
    </xf>
    <xf numFmtId="168" fontId="60" fillId="5" borderId="0" xfId="1" applyNumberFormat="1" applyFont="1" applyFill="1" applyAlignment="1" applyProtection="1">
      <alignment horizontal="center" vertical="center"/>
      <protection hidden="1"/>
    </xf>
    <xf numFmtId="2" fontId="50" fillId="5" borderId="0" xfId="1" applyNumberFormat="1" applyFont="1" applyFill="1" applyAlignment="1" applyProtection="1">
      <alignment horizontal="center"/>
      <protection locked="0"/>
    </xf>
    <xf numFmtId="165" fontId="50" fillId="5" borderId="0" xfId="1" applyNumberFormat="1" applyFont="1" applyFill="1" applyAlignment="1" applyProtection="1">
      <alignment horizontal="center" vertical="center"/>
      <protection hidden="1"/>
    </xf>
    <xf numFmtId="2" fontId="60" fillId="5" borderId="0" xfId="1" applyNumberFormat="1" applyFont="1" applyFill="1" applyAlignment="1" applyProtection="1">
      <alignment horizontal="center"/>
      <protection locked="0"/>
    </xf>
    <xf numFmtId="0" fontId="50" fillId="5" borderId="0" xfId="1" applyFont="1" applyFill="1" applyAlignment="1">
      <alignment horizontal="right" vertical="center"/>
    </xf>
    <xf numFmtId="165" fontId="50" fillId="5" borderId="0" xfId="1" applyNumberFormat="1" applyFont="1" applyFill="1" applyAlignment="1" applyProtection="1">
      <alignment horizontal="center"/>
      <protection locked="0"/>
    </xf>
    <xf numFmtId="2" fontId="50" fillId="5" borderId="0" xfId="1" applyNumberFormat="1" applyFont="1" applyFill="1" applyAlignment="1" applyProtection="1">
      <alignment horizontal="left" vertical="center"/>
      <protection hidden="1"/>
    </xf>
    <xf numFmtId="165" fontId="63" fillId="5" borderId="0" xfId="1" applyNumberFormat="1" applyFont="1" applyFill="1" applyAlignment="1" applyProtection="1">
      <alignment horizontal="center"/>
      <protection locked="0"/>
    </xf>
    <xf numFmtId="2" fontId="50" fillId="5" borderId="0" xfId="1" applyNumberFormat="1" applyFont="1" applyFill="1" applyAlignment="1" applyProtection="1">
      <alignment vertical="center"/>
      <protection hidden="1"/>
    </xf>
    <xf numFmtId="2" fontId="65" fillId="5" borderId="0" xfId="1" applyNumberFormat="1" applyFont="1" applyFill="1" applyAlignment="1" applyProtection="1">
      <alignment horizontal="center" vertical="center"/>
      <protection hidden="1"/>
    </xf>
    <xf numFmtId="2" fontId="53" fillId="5" borderId="49" xfId="1" applyNumberFormat="1" applyFont="1" applyFill="1" applyBorder="1" applyAlignment="1" applyProtection="1">
      <alignment horizontal="center" vertical="center"/>
      <protection hidden="1"/>
    </xf>
    <xf numFmtId="2" fontId="53" fillId="5" borderId="51" xfId="1" applyNumberFormat="1" applyFont="1" applyFill="1" applyBorder="1" applyAlignment="1" applyProtection="1">
      <alignment horizontal="center" vertical="center"/>
      <protection hidden="1"/>
    </xf>
    <xf numFmtId="2" fontId="69" fillId="7" borderId="12" xfId="2" applyNumberFormat="1" applyFont="1" applyFill="1" applyBorder="1" applyAlignment="1">
      <alignment horizontal="center" vertical="center"/>
    </xf>
    <xf numFmtId="2" fontId="69" fillId="7" borderId="4" xfId="2" applyNumberFormat="1" applyFont="1" applyFill="1" applyBorder="1" applyAlignment="1">
      <alignment horizontal="center" vertical="center"/>
    </xf>
    <xf numFmtId="2" fontId="69" fillId="7" borderId="3" xfId="2" applyNumberFormat="1" applyFont="1" applyFill="1" applyBorder="1" applyAlignment="1">
      <alignment horizontal="center" vertical="center"/>
    </xf>
    <xf numFmtId="2" fontId="38" fillId="5" borderId="3" xfId="1" applyNumberFormat="1" applyFont="1" applyFill="1" applyBorder="1" applyAlignment="1">
      <alignment horizontal="center"/>
    </xf>
    <xf numFmtId="2" fontId="38" fillId="5" borderId="3" xfId="1" applyNumberFormat="1" applyFont="1" applyFill="1" applyBorder="1" applyAlignment="1" applyProtection="1">
      <alignment horizontal="center"/>
      <protection hidden="1"/>
    </xf>
    <xf numFmtId="2" fontId="69" fillId="0" borderId="3" xfId="0" applyNumberFormat="1" applyFont="1" applyBorder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0" fontId="0" fillId="0" borderId="0" xfId="0" applyAlignment="1">
      <alignment horizontal="left" indent="1"/>
    </xf>
    <xf numFmtId="0" fontId="10" fillId="0" borderId="33" xfId="0" applyFont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11" fillId="0" borderId="2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33" xfId="0" applyFont="1" applyBorder="1" applyAlignment="1">
      <alignment horizontal="left" vertical="center"/>
    </xf>
    <xf numFmtId="0" fontId="4" fillId="0" borderId="49" xfId="0" applyFont="1" applyBorder="1" applyAlignment="1">
      <alignment horizontal="left" vertical="center"/>
    </xf>
    <xf numFmtId="0" fontId="4" fillId="0" borderId="33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69" fillId="0" borderId="2" xfId="0" applyFont="1" applyBorder="1" applyAlignment="1">
      <alignment horizontal="center"/>
    </xf>
    <xf numFmtId="0" fontId="42" fillId="0" borderId="33" xfId="0" applyFont="1" applyBorder="1" applyAlignment="1">
      <alignment horizontal="center" vertical="center" wrapText="1"/>
    </xf>
    <xf numFmtId="0" fontId="42" fillId="0" borderId="33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3" fillId="2" borderId="32" xfId="0" applyFont="1" applyFill="1" applyBorder="1" applyAlignment="1" applyProtection="1">
      <alignment horizontal="center" vertical="center" wrapText="1"/>
      <protection hidden="1"/>
    </xf>
    <xf numFmtId="0" fontId="43" fillId="2" borderId="33" xfId="0" applyFont="1" applyFill="1" applyBorder="1" applyAlignment="1" applyProtection="1">
      <alignment horizontal="center" vertical="center" wrapText="1"/>
      <protection hidden="1"/>
    </xf>
    <xf numFmtId="0" fontId="43" fillId="2" borderId="34" xfId="0" applyFont="1" applyFill="1" applyBorder="1" applyAlignment="1" applyProtection="1">
      <alignment horizontal="center" vertical="center" wrapText="1"/>
      <protection hidden="1"/>
    </xf>
    <xf numFmtId="0" fontId="43" fillId="2" borderId="1" xfId="0" applyFont="1" applyFill="1" applyBorder="1" applyAlignment="1" applyProtection="1">
      <alignment horizontal="center" vertical="center" wrapText="1"/>
      <protection hidden="1"/>
    </xf>
    <xf numFmtId="0" fontId="43" fillId="2" borderId="0" xfId="0" applyFont="1" applyFill="1" applyAlignment="1" applyProtection="1">
      <alignment horizontal="center" vertical="center" wrapText="1"/>
      <protection hidden="1"/>
    </xf>
    <xf numFmtId="0" fontId="43" fillId="2" borderId="13" xfId="0" applyFont="1" applyFill="1" applyBorder="1" applyAlignment="1" applyProtection="1">
      <alignment horizontal="center" vertical="center" wrapText="1"/>
      <protection hidden="1"/>
    </xf>
    <xf numFmtId="0" fontId="41" fillId="3" borderId="2" xfId="0" applyFont="1" applyFill="1" applyBorder="1" applyAlignment="1">
      <alignment horizontal="left" vertical="center" indent="1"/>
    </xf>
    <xf numFmtId="0" fontId="0" fillId="0" borderId="51" xfId="0" applyBorder="1" applyAlignment="1">
      <alignment horizontal="left" vertical="center" indent="1"/>
    </xf>
    <xf numFmtId="0" fontId="10" fillId="0" borderId="51" xfId="0" applyFont="1" applyBorder="1" applyAlignment="1">
      <alignment horizontal="center"/>
    </xf>
    <xf numFmtId="0" fontId="0" fillId="0" borderId="49" xfId="0" applyBorder="1" applyAlignment="1">
      <alignment horizontal="left" vertical="center" indent="1"/>
    </xf>
    <xf numFmtId="0" fontId="10" fillId="0" borderId="52" xfId="0" applyFont="1" applyBorder="1" applyAlignment="1">
      <alignment horizontal="center"/>
    </xf>
    <xf numFmtId="0" fontId="0" fillId="0" borderId="50" xfId="0" applyBorder="1" applyAlignment="1">
      <alignment horizontal="left" vertical="center" indent="1"/>
    </xf>
    <xf numFmtId="2" fontId="50" fillId="5" borderId="5" xfId="1" applyNumberFormat="1" applyFont="1" applyFill="1" applyBorder="1" applyAlignment="1" applyProtection="1">
      <alignment horizontal="center"/>
      <protection hidden="1"/>
    </xf>
    <xf numFmtId="2" fontId="50" fillId="5" borderId="9" xfId="1" applyNumberFormat="1" applyFont="1" applyFill="1" applyBorder="1" applyAlignment="1" applyProtection="1">
      <alignment horizontal="center"/>
      <protection hidden="1"/>
    </xf>
    <xf numFmtId="0" fontId="50" fillId="5" borderId="5" xfId="1" applyFont="1" applyFill="1" applyBorder="1" applyAlignment="1" applyProtection="1">
      <alignment horizontal="center"/>
      <protection hidden="1"/>
    </xf>
    <xf numFmtId="0" fontId="50" fillId="5" borderId="2" xfId="1" applyFont="1" applyFill="1" applyBorder="1" applyAlignment="1" applyProtection="1">
      <alignment horizontal="center"/>
      <protection hidden="1"/>
    </xf>
    <xf numFmtId="0" fontId="50" fillId="5" borderId="9" xfId="1" applyFont="1" applyFill="1" applyBorder="1" applyAlignment="1" applyProtection="1">
      <alignment horizontal="center"/>
      <protection hidden="1"/>
    </xf>
    <xf numFmtId="0" fontId="50" fillId="5" borderId="3" xfId="1" applyFont="1" applyFill="1" applyBorder="1" applyAlignment="1" applyProtection="1">
      <alignment horizontal="center"/>
      <protection hidden="1"/>
    </xf>
    <xf numFmtId="0" fontId="50" fillId="5" borderId="32" xfId="1" applyFont="1" applyFill="1" applyBorder="1" applyAlignment="1" applyProtection="1">
      <alignment horizontal="center" vertical="center" wrapText="1"/>
      <protection hidden="1"/>
    </xf>
    <xf numFmtId="0" fontId="50" fillId="5" borderId="34" xfId="1" applyFont="1" applyFill="1" applyBorder="1" applyAlignment="1" applyProtection="1">
      <alignment horizontal="center" vertical="center"/>
      <protection hidden="1"/>
    </xf>
    <xf numFmtId="0" fontId="50" fillId="5" borderId="6" xfId="1" applyFont="1" applyFill="1" applyBorder="1" applyAlignment="1" applyProtection="1">
      <alignment horizontal="center" vertical="center"/>
      <protection hidden="1"/>
    </xf>
    <xf numFmtId="0" fontId="50" fillId="5" borderId="14" xfId="1" applyFont="1" applyFill="1" applyBorder="1" applyAlignment="1" applyProtection="1">
      <alignment horizontal="center" vertical="center"/>
      <protection hidden="1"/>
    </xf>
    <xf numFmtId="0" fontId="70" fillId="5" borderId="3" xfId="1" applyFont="1" applyFill="1" applyBorder="1" applyAlignment="1" applyProtection="1">
      <alignment horizontal="center"/>
      <protection hidden="1"/>
    </xf>
    <xf numFmtId="2" fontId="50" fillId="5" borderId="3" xfId="1" applyNumberFormat="1" applyFont="1" applyFill="1" applyBorder="1" applyAlignment="1" applyProtection="1">
      <alignment horizontal="center"/>
      <protection hidden="1"/>
    </xf>
    <xf numFmtId="0" fontId="50" fillId="5" borderId="51" xfId="1" applyFont="1" applyFill="1" applyBorder="1" applyAlignment="1" applyProtection="1">
      <alignment horizontal="center" vertical="center"/>
      <protection hidden="1"/>
    </xf>
    <xf numFmtId="0" fontId="56" fillId="5" borderId="56" xfId="1" applyFont="1" applyFill="1" applyBorder="1" applyAlignment="1" applyProtection="1">
      <alignment horizontal="center" vertical="center" wrapText="1"/>
      <protection hidden="1"/>
    </xf>
    <xf numFmtId="2" fontId="50" fillId="5" borderId="52" xfId="1" applyNumberFormat="1" applyFont="1" applyFill="1" applyBorder="1" applyAlignment="1" applyProtection="1">
      <alignment horizontal="center" vertical="center"/>
      <protection hidden="1"/>
    </xf>
    <xf numFmtId="2" fontId="50" fillId="5" borderId="51" xfId="1" applyNumberFormat="1" applyFont="1" applyFill="1" applyBorder="1" applyAlignment="1" applyProtection="1">
      <alignment horizontal="center" vertical="center"/>
      <protection hidden="1"/>
    </xf>
    <xf numFmtId="0" fontId="56" fillId="5" borderId="56" xfId="1" applyFont="1" applyFill="1" applyBorder="1" applyAlignment="1" applyProtection="1">
      <alignment horizontal="center" vertical="center"/>
      <protection hidden="1"/>
    </xf>
    <xf numFmtId="2" fontId="53" fillId="5" borderId="52" xfId="1" applyNumberFormat="1" applyFont="1" applyFill="1" applyBorder="1" applyAlignment="1" applyProtection="1">
      <alignment horizontal="center" vertical="center"/>
      <protection hidden="1"/>
    </xf>
    <xf numFmtId="2" fontId="53" fillId="5" borderId="51" xfId="1" applyNumberFormat="1" applyFont="1" applyFill="1" applyBorder="1" applyAlignment="1" applyProtection="1">
      <alignment horizontal="center" vertical="center"/>
      <protection hidden="1"/>
    </xf>
    <xf numFmtId="0" fontId="50" fillId="5" borderId="52" xfId="1" applyFont="1" applyFill="1" applyBorder="1" applyAlignment="1" applyProtection="1">
      <alignment horizontal="center" vertical="center"/>
      <protection hidden="1"/>
    </xf>
    <xf numFmtId="2" fontId="56" fillId="5" borderId="52" xfId="1" applyNumberFormat="1" applyFont="1" applyFill="1" applyBorder="1" applyAlignment="1" applyProtection="1">
      <alignment horizontal="center" vertical="center"/>
      <protection hidden="1"/>
    </xf>
    <xf numFmtId="2" fontId="56" fillId="5" borderId="56" xfId="1" applyNumberFormat="1" applyFont="1" applyFill="1" applyBorder="1" applyAlignment="1" applyProtection="1">
      <alignment horizontal="center" vertical="center"/>
      <protection hidden="1"/>
    </xf>
    <xf numFmtId="0" fontId="56" fillId="5" borderId="52" xfId="1" applyFont="1" applyFill="1" applyBorder="1" applyAlignment="1">
      <alignment horizontal="center"/>
    </xf>
    <xf numFmtId="0" fontId="50" fillId="5" borderId="0" xfId="1" applyFont="1" applyFill="1" applyAlignment="1" applyProtection="1">
      <alignment horizontal="center"/>
      <protection hidden="1"/>
    </xf>
    <xf numFmtId="0" fontId="62" fillId="0" borderId="9" xfId="4" applyFont="1" applyBorder="1" applyAlignment="1">
      <alignment horizontal="center" vertical="center"/>
    </xf>
    <xf numFmtId="2" fontId="50" fillId="5" borderId="0" xfId="1" applyNumberFormat="1" applyFont="1" applyFill="1" applyAlignment="1" applyProtection="1">
      <alignment horizontal="center"/>
      <protection locked="0"/>
    </xf>
    <xf numFmtId="0" fontId="50" fillId="5" borderId="49" xfId="1" applyFont="1" applyFill="1" applyBorder="1" applyAlignment="1" applyProtection="1">
      <alignment horizontal="center" vertical="center"/>
      <protection hidden="1"/>
    </xf>
    <xf numFmtId="2" fontId="56" fillId="5" borderId="51" xfId="1" applyNumberFormat="1" applyFont="1" applyFill="1" applyBorder="1" applyAlignment="1" applyProtection="1">
      <alignment horizontal="center" vertical="center"/>
      <protection hidden="1"/>
    </xf>
    <xf numFmtId="0" fontId="62" fillId="0" borderId="3" xfId="4" applyFont="1" applyBorder="1" applyAlignment="1">
      <alignment horizontal="center" vertical="center"/>
    </xf>
    <xf numFmtId="0" fontId="56" fillId="0" borderId="0" xfId="1" applyFont="1" applyAlignment="1" applyProtection="1">
      <alignment horizontal="center" vertical="center"/>
      <protection hidden="1"/>
    </xf>
    <xf numFmtId="0" fontId="53" fillId="5" borderId="53" xfId="1" applyFont="1" applyFill="1" applyBorder="1" applyAlignment="1">
      <alignment horizontal="center" vertical="center"/>
    </xf>
    <xf numFmtId="0" fontId="53" fillId="5" borderId="54" xfId="1" applyFont="1" applyFill="1" applyBorder="1" applyAlignment="1">
      <alignment horizontal="center" vertical="center"/>
    </xf>
    <xf numFmtId="0" fontId="53" fillId="5" borderId="55" xfId="1" applyFont="1" applyFill="1" applyBorder="1" applyAlignment="1">
      <alignment horizontal="center" vertical="center"/>
    </xf>
    <xf numFmtId="0" fontId="57" fillId="3" borderId="5" xfId="1" applyFont="1" applyFill="1" applyBorder="1" applyAlignment="1" applyProtection="1">
      <alignment horizontal="left" vertical="center" indent="1"/>
      <protection hidden="1"/>
    </xf>
    <xf numFmtId="0" fontId="57" fillId="3" borderId="2" xfId="1" applyFont="1" applyFill="1" applyBorder="1" applyAlignment="1" applyProtection="1">
      <alignment horizontal="left" vertical="center" indent="1"/>
      <protection hidden="1"/>
    </xf>
    <xf numFmtId="0" fontId="40" fillId="3" borderId="33" xfId="0" applyFont="1" applyFill="1" applyBorder="1" applyAlignment="1" applyProtection="1">
      <alignment horizontal="center" vertical="center" wrapText="1"/>
      <protection hidden="1"/>
    </xf>
    <xf numFmtId="0" fontId="40" fillId="3" borderId="34" xfId="0" applyFont="1" applyFill="1" applyBorder="1" applyAlignment="1" applyProtection="1">
      <alignment horizontal="center" vertical="center" wrapText="1"/>
      <protection hidden="1"/>
    </xf>
    <xf numFmtId="0" fontId="40" fillId="3" borderId="0" xfId="0" applyFont="1" applyFill="1" applyAlignment="1" applyProtection="1">
      <alignment horizontal="center" vertical="center" wrapText="1"/>
      <protection hidden="1"/>
    </xf>
    <xf numFmtId="0" fontId="40" fillId="3" borderId="13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1" xfId="0" applyFont="1" applyFill="1" applyBorder="1" applyAlignment="1" applyProtection="1">
      <alignment horizontal="center" vertical="center" wrapText="1"/>
      <protection hidden="1"/>
    </xf>
    <xf numFmtId="0" fontId="5" fillId="2" borderId="0" xfId="0" applyFont="1" applyFill="1" applyAlignment="1" applyProtection="1">
      <alignment horizontal="center" vertical="center" wrapText="1"/>
      <protection hidden="1"/>
    </xf>
    <xf numFmtId="0" fontId="62" fillId="0" borderId="3" xfId="4" applyFont="1" applyBorder="1" applyAlignment="1">
      <alignment horizontal="center" vertical="center" wrapText="1"/>
    </xf>
    <xf numFmtId="2" fontId="6" fillId="5" borderId="8" xfId="1" applyNumberFormat="1" applyFill="1" applyBorder="1" applyAlignment="1">
      <alignment horizontal="center" vertical="center"/>
    </xf>
    <xf numFmtId="2" fontId="6" fillId="5" borderId="10" xfId="1" applyNumberFormat="1" applyFill="1" applyBorder="1" applyAlignment="1">
      <alignment horizontal="center" vertical="center"/>
    </xf>
    <xf numFmtId="2" fontId="6" fillId="5" borderId="11" xfId="1" applyNumberFormat="1" applyFill="1" applyBorder="1" applyAlignment="1">
      <alignment horizontal="center" vertical="center"/>
    </xf>
    <xf numFmtId="0" fontId="6" fillId="5" borderId="15" xfId="1" applyFill="1" applyBorder="1" applyAlignment="1" applyProtection="1">
      <alignment horizontal="center" vertical="center" wrapText="1"/>
      <protection hidden="1"/>
    </xf>
    <xf numFmtId="0" fontId="6" fillId="5" borderId="19" xfId="1" applyFill="1" applyBorder="1" applyAlignment="1" applyProtection="1">
      <alignment horizontal="center" vertical="center" wrapText="1"/>
      <protection hidden="1"/>
    </xf>
    <xf numFmtId="0" fontId="6" fillId="5" borderId="39" xfId="1" applyFill="1" applyBorder="1" applyAlignment="1" applyProtection="1">
      <alignment horizontal="center" vertical="center" wrapText="1"/>
      <protection hidden="1"/>
    </xf>
    <xf numFmtId="0" fontId="6" fillId="5" borderId="46" xfId="1" applyFill="1" applyBorder="1" applyAlignment="1" applyProtection="1">
      <alignment horizontal="center" vertical="center"/>
      <protection hidden="1"/>
    </xf>
    <xf numFmtId="0" fontId="6" fillId="5" borderId="13" xfId="1" applyFill="1" applyBorder="1" applyAlignment="1" applyProtection="1">
      <alignment horizontal="center" vertical="center"/>
      <protection hidden="1"/>
    </xf>
    <xf numFmtId="0" fontId="6" fillId="5" borderId="14" xfId="1" applyFill="1" applyBorder="1" applyAlignment="1" applyProtection="1">
      <alignment horizontal="center" vertical="center"/>
      <protection hidden="1"/>
    </xf>
    <xf numFmtId="0" fontId="6" fillId="5" borderId="16" xfId="1" applyFill="1" applyBorder="1" applyAlignment="1" applyProtection="1">
      <alignment horizontal="center" vertical="center"/>
      <protection hidden="1"/>
    </xf>
    <xf numFmtId="0" fontId="6" fillId="5" borderId="11" xfId="1" applyFill="1" applyBorder="1" applyAlignment="1" applyProtection="1">
      <alignment horizontal="center" vertical="center"/>
      <protection hidden="1"/>
    </xf>
    <xf numFmtId="0" fontId="21" fillId="5" borderId="5" xfId="1" applyFont="1" applyFill="1" applyBorder="1" applyAlignment="1" applyProtection="1">
      <alignment horizontal="center"/>
      <protection hidden="1"/>
    </xf>
    <xf numFmtId="0" fontId="21" fillId="5" borderId="2" xfId="1" applyFont="1" applyFill="1" applyBorder="1" applyAlignment="1" applyProtection="1">
      <alignment horizontal="center"/>
      <protection hidden="1"/>
    </xf>
    <xf numFmtId="0" fontId="21" fillId="5" borderId="38" xfId="1" applyFont="1" applyFill="1" applyBorder="1" applyAlignment="1" applyProtection="1">
      <alignment horizontal="center"/>
      <protection hidden="1"/>
    </xf>
    <xf numFmtId="0" fontId="0" fillId="0" borderId="4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8" xfId="0" applyBorder="1" applyAlignment="1">
      <alignment horizontal="center"/>
    </xf>
    <xf numFmtId="0" fontId="6" fillId="5" borderId="41" xfId="1" applyFill="1" applyBorder="1" applyAlignment="1" applyProtection="1">
      <alignment horizontal="center" vertical="center"/>
      <protection hidden="1"/>
    </xf>
    <xf numFmtId="0" fontId="6" fillId="5" borderId="42" xfId="1" applyFill="1" applyBorder="1" applyAlignment="1" applyProtection="1">
      <alignment horizontal="center" vertical="center"/>
      <protection hidden="1"/>
    </xf>
    <xf numFmtId="0" fontId="21" fillId="5" borderId="35" xfId="1" applyFont="1" applyFill="1" applyBorder="1" applyAlignment="1" applyProtection="1">
      <alignment horizontal="center"/>
      <protection hidden="1"/>
    </xf>
    <xf numFmtId="0" fontId="21" fillId="5" borderId="36" xfId="1" applyFont="1" applyFill="1" applyBorder="1" applyAlignment="1" applyProtection="1">
      <alignment horizontal="center"/>
      <protection hidden="1"/>
    </xf>
    <xf numFmtId="0" fontId="21" fillId="5" borderId="37" xfId="1" applyFont="1" applyFill="1" applyBorder="1" applyAlignment="1" applyProtection="1">
      <alignment horizontal="center"/>
      <protection hidden="1"/>
    </xf>
    <xf numFmtId="0" fontId="21" fillId="5" borderId="9" xfId="1" applyFont="1" applyFill="1" applyBorder="1" applyAlignment="1" applyProtection="1">
      <alignment horizontal="center"/>
      <protection hidden="1"/>
    </xf>
    <xf numFmtId="0" fontId="6" fillId="5" borderId="3" xfId="1" applyFill="1" applyBorder="1" applyAlignment="1" applyProtection="1">
      <alignment horizontal="center" vertical="center"/>
      <protection hidden="1"/>
    </xf>
    <xf numFmtId="0" fontId="6" fillId="5" borderId="3" xfId="1" applyFill="1" applyBorder="1" applyAlignment="1" applyProtection="1">
      <alignment horizontal="center"/>
      <protection hidden="1"/>
    </xf>
    <xf numFmtId="0" fontId="21" fillId="5" borderId="5" xfId="1" applyFont="1" applyFill="1" applyBorder="1" applyAlignment="1" applyProtection="1">
      <alignment horizontal="center" vertical="center"/>
      <protection hidden="1"/>
    </xf>
    <xf numFmtId="0" fontId="21" fillId="5" borderId="9" xfId="1" applyFont="1" applyFill="1" applyBorder="1" applyAlignment="1" applyProtection="1">
      <alignment horizontal="center" vertical="center"/>
      <protection hidden="1"/>
    </xf>
    <xf numFmtId="0" fontId="4" fillId="0" borderId="3" xfId="0" applyFont="1" applyBorder="1" applyAlignment="1">
      <alignment horizontal="center"/>
    </xf>
    <xf numFmtId="0" fontId="39" fillId="5" borderId="3" xfId="1" applyFont="1" applyFill="1" applyBorder="1" applyAlignment="1" applyProtection="1">
      <alignment horizontal="center" wrapText="1"/>
      <protection hidden="1"/>
    </xf>
    <xf numFmtId="0" fontId="19" fillId="5" borderId="8" xfId="1" applyFont="1" applyFill="1" applyBorder="1" applyAlignment="1">
      <alignment horizontal="center" vertical="center"/>
    </xf>
    <xf numFmtId="0" fontId="19" fillId="5" borderId="11" xfId="1" applyFont="1" applyFill="1" applyBorder="1" applyAlignment="1">
      <alignment horizontal="center" vertical="center"/>
    </xf>
    <xf numFmtId="0" fontId="6" fillId="5" borderId="3" xfId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28" xfId="0" applyFill="1" applyBorder="1" applyAlignment="1">
      <alignment horizontal="center" wrapText="1"/>
    </xf>
    <xf numFmtId="0" fontId="0" fillId="3" borderId="29" xfId="0" applyFill="1" applyBorder="1" applyAlignment="1">
      <alignment horizontal="center" wrapText="1"/>
    </xf>
    <xf numFmtId="0" fontId="0" fillId="3" borderId="12" xfId="0" applyFill="1" applyBorder="1" applyAlignment="1">
      <alignment horizontal="center" vertical="center"/>
    </xf>
    <xf numFmtId="0" fontId="35" fillId="3" borderId="30" xfId="0" applyFont="1" applyFill="1" applyBorder="1" applyAlignment="1">
      <alignment horizontal="center" wrapText="1"/>
    </xf>
    <xf numFmtId="0" fontId="35" fillId="3" borderId="31" xfId="0" applyFont="1" applyFill="1" applyBorder="1" applyAlignment="1">
      <alignment horizontal="center" wrapText="1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3" borderId="5" xfId="1" applyFont="1" applyFill="1" applyBorder="1" applyAlignment="1" applyProtection="1">
      <alignment horizontal="left" vertical="center"/>
      <protection hidden="1"/>
    </xf>
    <xf numFmtId="0" fontId="7" fillId="3" borderId="2" xfId="1" applyFont="1" applyFill="1" applyBorder="1" applyAlignment="1" applyProtection="1">
      <alignment horizontal="left" vertical="center"/>
      <protection hidden="1"/>
    </xf>
    <xf numFmtId="0" fontId="6" fillId="5" borderId="3" xfId="1" applyFill="1" applyBorder="1" applyAlignment="1" applyProtection="1">
      <alignment horizontal="center" vertical="center" wrapText="1"/>
      <protection hidden="1"/>
    </xf>
    <xf numFmtId="0" fontId="42" fillId="3" borderId="3" xfId="0" applyFont="1" applyFill="1" applyBorder="1" applyAlignment="1">
      <alignment horizontal="center"/>
    </xf>
    <xf numFmtId="0" fontId="19" fillId="5" borderId="5" xfId="1" applyFont="1" applyFill="1" applyBorder="1" applyAlignment="1">
      <alignment horizontal="center"/>
    </xf>
    <xf numFmtId="0" fontId="19" fillId="5" borderId="9" xfId="1" applyFont="1" applyFill="1" applyBorder="1" applyAlignment="1">
      <alignment horizontal="center"/>
    </xf>
    <xf numFmtId="0" fontId="6" fillId="5" borderId="3" xfId="1" applyFill="1" applyBorder="1" applyAlignment="1">
      <alignment horizontal="center"/>
    </xf>
    <xf numFmtId="0" fontId="6" fillId="5" borderId="20" xfId="1" applyFill="1" applyBorder="1" applyAlignment="1">
      <alignment horizontal="center"/>
    </xf>
    <xf numFmtId="0" fontId="19" fillId="5" borderId="8" xfId="1" applyFont="1" applyFill="1" applyBorder="1" applyAlignment="1" applyProtection="1">
      <alignment horizontal="center" vertical="center"/>
      <protection hidden="1"/>
    </xf>
    <xf numFmtId="0" fontId="19" fillId="5" borderId="10" xfId="1" applyFont="1" applyFill="1" applyBorder="1" applyAlignment="1" applyProtection="1">
      <alignment horizontal="center" vertical="center"/>
      <protection hidden="1"/>
    </xf>
    <xf numFmtId="0" fontId="19" fillId="5" borderId="11" xfId="1" applyFont="1" applyFill="1" applyBorder="1" applyAlignment="1" applyProtection="1">
      <alignment horizontal="center" vertical="center"/>
      <protection hidden="1"/>
    </xf>
    <xf numFmtId="0" fontId="19" fillId="5" borderId="8" xfId="1" applyFont="1" applyFill="1" applyBorder="1" applyAlignment="1">
      <alignment horizontal="center" vertical="center" wrapText="1"/>
    </xf>
    <xf numFmtId="0" fontId="19" fillId="5" borderId="10" xfId="1" applyFont="1" applyFill="1" applyBorder="1" applyAlignment="1">
      <alignment horizontal="center" vertical="center" wrapText="1"/>
    </xf>
    <xf numFmtId="0" fontId="19" fillId="5" borderId="11" xfId="1" applyFont="1" applyFill="1" applyBorder="1" applyAlignment="1">
      <alignment horizontal="center" vertical="center" wrapText="1"/>
    </xf>
    <xf numFmtId="0" fontId="19" fillId="5" borderId="5" xfId="1" applyFont="1" applyFill="1" applyBorder="1" applyAlignment="1">
      <alignment horizontal="center" vertical="center"/>
    </xf>
    <xf numFmtId="0" fontId="19" fillId="5" borderId="2" xfId="1" applyFont="1" applyFill="1" applyBorder="1" applyAlignment="1">
      <alignment horizontal="center" vertical="center"/>
    </xf>
    <xf numFmtId="0" fontId="19" fillId="5" borderId="9" xfId="1" applyFont="1" applyFill="1" applyBorder="1" applyAlignment="1">
      <alignment horizontal="center" vertical="center"/>
    </xf>
    <xf numFmtId="0" fontId="6" fillId="5" borderId="15" xfId="1" applyFill="1" applyBorder="1" applyAlignment="1" applyProtection="1">
      <alignment horizontal="center" vertical="center"/>
      <protection hidden="1"/>
    </xf>
    <xf numFmtId="0" fontId="6" fillId="5" borderId="19" xfId="1" applyFill="1" applyBorder="1" applyAlignment="1" applyProtection="1">
      <alignment horizontal="center" vertical="center"/>
      <protection hidden="1"/>
    </xf>
    <xf numFmtId="0" fontId="6" fillId="5" borderId="21" xfId="1" applyFill="1" applyBorder="1" applyAlignment="1" applyProtection="1">
      <alignment horizontal="center" vertical="center"/>
      <protection hidden="1"/>
    </xf>
    <xf numFmtId="0" fontId="6" fillId="5" borderId="16" xfId="1" applyFill="1" applyBorder="1" applyAlignment="1">
      <alignment horizontal="center" vertical="center" wrapText="1"/>
    </xf>
    <xf numFmtId="0" fontId="6" fillId="5" borderId="10" xfId="1" applyFill="1" applyBorder="1" applyAlignment="1">
      <alignment horizontal="center" vertical="center" wrapText="1"/>
    </xf>
    <xf numFmtId="0" fontId="6" fillId="5" borderId="22" xfId="1" applyFill="1" applyBorder="1" applyAlignment="1">
      <alignment horizontal="center" vertical="center" wrapText="1"/>
    </xf>
    <xf numFmtId="0" fontId="6" fillId="5" borderId="17" xfId="1" applyFill="1" applyBorder="1" applyAlignment="1">
      <alignment horizontal="center" vertical="center"/>
    </xf>
    <xf numFmtId="0" fontId="6" fillId="5" borderId="18" xfId="1" applyFill="1" applyBorder="1" applyAlignment="1">
      <alignment horizontal="center" vertical="center"/>
    </xf>
    <xf numFmtId="0" fontId="6" fillId="5" borderId="3" xfId="1" applyFill="1" applyBorder="1" applyAlignment="1">
      <alignment horizontal="center" vertical="center"/>
    </xf>
    <xf numFmtId="0" fontId="20" fillId="5" borderId="1" xfId="1" applyFont="1" applyFill="1" applyBorder="1" applyAlignment="1">
      <alignment horizontal="left" vertical="center" wrapText="1"/>
    </xf>
    <xf numFmtId="0" fontId="20" fillId="5" borderId="0" xfId="1" applyFont="1" applyFill="1" applyAlignment="1">
      <alignment horizontal="left" vertical="center" wrapText="1"/>
    </xf>
    <xf numFmtId="0" fontId="20" fillId="5" borderId="13" xfId="1" applyFont="1" applyFill="1" applyBorder="1" applyAlignment="1">
      <alignment horizontal="left" vertical="center" wrapText="1"/>
    </xf>
    <xf numFmtId="0" fontId="20" fillId="5" borderId="6" xfId="1" applyFont="1" applyFill="1" applyBorder="1" applyAlignment="1">
      <alignment horizontal="left" vertical="center" wrapText="1"/>
    </xf>
    <xf numFmtId="0" fontId="20" fillId="5" borderId="7" xfId="1" applyFont="1" applyFill="1" applyBorder="1" applyAlignment="1">
      <alignment horizontal="left" vertical="center" wrapText="1"/>
    </xf>
    <xf numFmtId="0" fontId="20" fillId="5" borderId="14" xfId="1" applyFont="1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21" fillId="5" borderId="3" xfId="1" applyFont="1" applyFill="1" applyBorder="1" applyAlignment="1" applyProtection="1">
      <alignment horizontal="center"/>
      <protection hidden="1"/>
    </xf>
    <xf numFmtId="0" fontId="6" fillId="5" borderId="40" xfId="1" applyFill="1" applyBorder="1" applyAlignment="1">
      <alignment horizontal="center" vertical="center"/>
    </xf>
    <xf numFmtId="0" fontId="6" fillId="5" borderId="19" xfId="1" applyFill="1" applyBorder="1" applyAlignment="1">
      <alignment horizontal="center" vertical="center"/>
    </xf>
    <xf numFmtId="0" fontId="6" fillId="5" borderId="39" xfId="1" applyFill="1" applyBorder="1" applyAlignment="1">
      <alignment horizontal="center" vertical="center"/>
    </xf>
    <xf numFmtId="0" fontId="6" fillId="5" borderId="21" xfId="1" applyFill="1" applyBorder="1" applyAlignment="1">
      <alignment horizontal="center" vertical="center"/>
    </xf>
    <xf numFmtId="2" fontId="6" fillId="5" borderId="3" xfId="1" applyNumberFormat="1" applyFill="1" applyBorder="1" applyAlignment="1">
      <alignment horizontal="center" vertical="center"/>
    </xf>
    <xf numFmtId="0" fontId="6" fillId="5" borderId="34" xfId="1" applyFill="1" applyBorder="1" applyAlignment="1">
      <alignment horizontal="center" vertical="center"/>
    </xf>
    <xf numFmtId="0" fontId="6" fillId="5" borderId="13" xfId="1" applyFill="1" applyBorder="1" applyAlignment="1">
      <alignment horizontal="center" vertical="center"/>
    </xf>
    <xf numFmtId="0" fontId="6" fillId="5" borderId="14" xfId="1" applyFill="1" applyBorder="1" applyAlignment="1">
      <alignment horizontal="center" vertical="center"/>
    </xf>
    <xf numFmtId="0" fontId="50" fillId="5" borderId="32" xfId="1" applyFont="1" applyFill="1" applyBorder="1" applyAlignment="1" applyProtection="1">
      <alignment horizontal="center"/>
      <protection hidden="1"/>
    </xf>
    <xf numFmtId="0" fontId="50" fillId="5" borderId="33" xfId="1" applyFont="1" applyFill="1" applyBorder="1" applyAlignment="1" applyProtection="1">
      <alignment horizontal="center"/>
      <protection hidden="1"/>
    </xf>
    <xf numFmtId="0" fontId="50" fillId="5" borderId="34" xfId="1" applyFont="1" applyFill="1" applyBorder="1" applyAlignment="1" applyProtection="1">
      <alignment horizontal="center"/>
      <protection hidden="1"/>
    </xf>
    <xf numFmtId="0" fontId="50" fillId="5" borderId="6" xfId="1" applyFont="1" applyFill="1" applyBorder="1" applyAlignment="1" applyProtection="1">
      <alignment horizontal="center"/>
      <protection hidden="1"/>
    </xf>
    <xf numFmtId="0" fontId="50" fillId="5" borderId="7" xfId="1" applyFont="1" applyFill="1" applyBorder="1" applyAlignment="1" applyProtection="1">
      <alignment horizontal="center"/>
      <protection hidden="1"/>
    </xf>
    <xf numFmtId="0" fontId="50" fillId="5" borderId="14" xfId="1" applyFont="1" applyFill="1" applyBorder="1" applyAlignment="1" applyProtection="1">
      <alignment horizontal="center"/>
      <protection hidden="1"/>
    </xf>
    <xf numFmtId="0" fontId="50" fillId="5" borderId="3" xfId="1" applyFont="1" applyFill="1" applyBorder="1" applyAlignment="1" applyProtection="1">
      <alignment horizontal="left" vertical="center" indent="1"/>
      <protection hidden="1"/>
    </xf>
  </cellXfs>
  <cellStyles count="5">
    <cellStyle name="Good" xfId="2" builtinId="26"/>
    <cellStyle name="Normal" xfId="0" builtinId="0"/>
    <cellStyle name="Normal 2" xfId="1" xr:uid="{DCA97497-E9FA-4A9C-A634-D2FECC055F74}"/>
    <cellStyle name="Normal 3" xfId="4" xr:uid="{E6C227FD-0DC3-46A2-BA1C-54142E728B22}"/>
    <cellStyle name="Tieu de phu" xfId="3" xr:uid="{31561870-675F-43E9-92B5-F1E4CA59EC1B}"/>
  </cellStyles>
  <dxfs count="0"/>
  <tableStyles count="0" defaultTableStyle="TableStyleMedium2" defaultPivotStyle="PivotStyleLight16"/>
  <colors>
    <mruColors>
      <color rgb="FF0000CC"/>
      <color rgb="FF0061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513522</xdr:colOff>
      <xdr:row>4</xdr:row>
      <xdr:rowOff>0</xdr:rowOff>
    </xdr:from>
    <xdr:to>
      <xdr:col>19</xdr:col>
      <xdr:colOff>331243</xdr:colOff>
      <xdr:row>28</xdr:row>
      <xdr:rowOff>11987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909B6-A867-DC1B-1122-67E543D4F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7087" y="775681"/>
          <a:ext cx="4721025" cy="47993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329277</xdr:colOff>
      <xdr:row>32</xdr:row>
      <xdr:rowOff>19705</xdr:rowOff>
    </xdr:from>
    <xdr:to>
      <xdr:col>8</xdr:col>
      <xdr:colOff>124731</xdr:colOff>
      <xdr:row>38</xdr:row>
      <xdr:rowOff>118241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0ED84F-1578-4D96-9119-3321A45A36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5018" t="59223" r="25406"/>
        <a:stretch/>
      </xdr:blipFill>
      <xdr:spPr>
        <a:xfrm>
          <a:off x="1656208" y="5563912"/>
          <a:ext cx="1319454" cy="1083881"/>
        </a:xfrm>
        <a:prstGeom prst="rect">
          <a:avLst/>
        </a:prstGeom>
      </xdr:spPr>
    </xdr:pic>
    <xdr:clientData/>
  </xdr:twoCellAnchor>
  <xdr:twoCellAnchor editAs="oneCell">
    <xdr:from>
      <xdr:col>11</xdr:col>
      <xdr:colOff>192758</xdr:colOff>
      <xdr:row>32</xdr:row>
      <xdr:rowOff>0</xdr:rowOff>
    </xdr:from>
    <xdr:to>
      <xdr:col>14</xdr:col>
      <xdr:colOff>340421</xdr:colOff>
      <xdr:row>38</xdr:row>
      <xdr:rowOff>137948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7E7A01-05B0-4B32-B3A4-FAF3BE1603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3959" t="56381" r="25211"/>
        <a:stretch/>
      </xdr:blipFill>
      <xdr:spPr>
        <a:xfrm>
          <a:off x="4186689" y="5544207"/>
          <a:ext cx="1316939" cy="1123293"/>
        </a:xfrm>
        <a:prstGeom prst="rect">
          <a:avLst/>
        </a:prstGeom>
      </xdr:spPr>
    </xdr:pic>
    <xdr:clientData/>
  </xdr:twoCellAnchor>
  <xdr:twoCellAnchor editAs="oneCell">
    <xdr:from>
      <xdr:col>24</xdr:col>
      <xdr:colOff>430710</xdr:colOff>
      <xdr:row>23</xdr:row>
      <xdr:rowOff>168519</xdr:rowOff>
    </xdr:from>
    <xdr:to>
      <xdr:col>31</xdr:col>
      <xdr:colOff>197827</xdr:colOff>
      <xdr:row>41</xdr:row>
      <xdr:rowOff>119842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CC0CF9-CA12-2B93-650B-6E872DAB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19479" y="3399692"/>
          <a:ext cx="4024060" cy="3013977"/>
        </a:xfrm>
        <a:prstGeom prst="rect">
          <a:avLst/>
        </a:prstGeom>
      </xdr:spPr>
    </xdr:pic>
    <xdr:clientData/>
  </xdr:twoCellAnchor>
  <xdr:oneCellAnchor>
    <xdr:from>
      <xdr:col>4</xdr:col>
      <xdr:colOff>161192</xdr:colOff>
      <xdr:row>34</xdr:row>
      <xdr:rowOff>51288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9B0E7A4-485B-EB5F-C0D3-939318883E49}"/>
            </a:ext>
          </a:extLst>
        </xdr:cNvPr>
        <xdr:cNvSpPr txBox="1"/>
      </xdr:nvSpPr>
      <xdr:spPr>
        <a:xfrm>
          <a:off x="1487365" y="521676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124557</xdr:colOff>
      <xdr:row>33</xdr:row>
      <xdr:rowOff>14655</xdr:rowOff>
    </xdr:from>
    <xdr:ext cx="412100" cy="248851"/>
    <xdr:sp macro="" textlink="H51">
      <xdr:nvSpPr>
        <xdr:cNvPr id="6" name="TextBox 5">
          <a:extLst>
            <a:ext uri="{FF2B5EF4-FFF2-40B4-BE49-F238E27FC236}">
              <a16:creationId xmlns:a16="http://schemas.microsoft.com/office/drawing/2014/main" id="{8B4E7C3B-271F-FFD6-6ED4-B7106F6C3739}"/>
            </a:ext>
          </a:extLst>
        </xdr:cNvPr>
        <xdr:cNvSpPr txBox="1"/>
      </xdr:nvSpPr>
      <xdr:spPr>
        <a:xfrm>
          <a:off x="1450730" y="5018943"/>
          <a:ext cx="4121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E775A6F-410E-4932-A914-D0322FF32AC8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2.48</a:t>
          </a:fld>
          <a:endParaRPr lang="en-US" sz="1100"/>
        </a:p>
      </xdr:txBody>
    </xdr:sp>
    <xdr:clientData/>
  </xdr:oneCellAnchor>
  <xdr:oneCellAnchor>
    <xdr:from>
      <xdr:col>8</xdr:col>
      <xdr:colOff>14977</xdr:colOff>
      <xdr:row>32</xdr:row>
      <xdr:rowOff>120008</xdr:rowOff>
    </xdr:from>
    <xdr:ext cx="412100" cy="248851"/>
    <xdr:sp macro="" textlink="J51">
      <xdr:nvSpPr>
        <xdr:cNvPr id="7" name="TextBox 6">
          <a:extLst>
            <a:ext uri="{FF2B5EF4-FFF2-40B4-BE49-F238E27FC236}">
              <a16:creationId xmlns:a16="http://schemas.microsoft.com/office/drawing/2014/main" id="{8ED1BCAB-B7AB-4F16-8707-B58EB860FD9D}"/>
            </a:ext>
          </a:extLst>
        </xdr:cNvPr>
        <xdr:cNvSpPr txBox="1"/>
      </xdr:nvSpPr>
      <xdr:spPr>
        <a:xfrm>
          <a:off x="2865150" y="4963104"/>
          <a:ext cx="4121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4A50C5C-F96B-4D41-B4D8-33E3A16DB9A5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0.71</a:t>
          </a:fld>
          <a:endParaRPr lang="en-US" sz="1100"/>
        </a:p>
      </xdr:txBody>
    </xdr:sp>
    <xdr:clientData/>
  </xdr:oneCellAnchor>
  <xdr:oneCellAnchor>
    <xdr:from>
      <xdr:col>10</xdr:col>
      <xdr:colOff>337038</xdr:colOff>
      <xdr:row>32</xdr:row>
      <xdr:rowOff>146539</xdr:rowOff>
    </xdr:from>
    <xdr:ext cx="451342" cy="248851"/>
    <xdr:sp macro="" textlink="L51">
      <xdr:nvSpPr>
        <xdr:cNvPr id="8" name="TextBox 7">
          <a:extLst>
            <a:ext uri="{FF2B5EF4-FFF2-40B4-BE49-F238E27FC236}">
              <a16:creationId xmlns:a16="http://schemas.microsoft.com/office/drawing/2014/main" id="{4365AB3F-4C5A-41A8-ADDA-BCB6A79FAE84}"/>
            </a:ext>
          </a:extLst>
        </xdr:cNvPr>
        <xdr:cNvSpPr txBox="1"/>
      </xdr:nvSpPr>
      <xdr:spPr>
        <a:xfrm>
          <a:off x="3949211" y="4989635"/>
          <a:ext cx="45134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454ECAC-CF2F-4CD5-9E13-F0032126A2F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-2.30</a:t>
          </a:fld>
          <a:endParaRPr lang="en-US" sz="1100"/>
        </a:p>
      </xdr:txBody>
    </xdr:sp>
    <xdr:clientData/>
  </xdr:oneCellAnchor>
  <xdr:oneCellAnchor>
    <xdr:from>
      <xdr:col>14</xdr:col>
      <xdr:colOff>175846</xdr:colOff>
      <xdr:row>33</xdr:row>
      <xdr:rowOff>146539</xdr:rowOff>
    </xdr:from>
    <xdr:ext cx="451342" cy="248851"/>
    <xdr:sp macro="" textlink="N51">
      <xdr:nvSpPr>
        <xdr:cNvPr id="9" name="TextBox 8">
          <a:extLst>
            <a:ext uri="{FF2B5EF4-FFF2-40B4-BE49-F238E27FC236}">
              <a16:creationId xmlns:a16="http://schemas.microsoft.com/office/drawing/2014/main" id="{FBA59377-918E-4B95-9678-7C6C53BE6D08}"/>
            </a:ext>
          </a:extLst>
        </xdr:cNvPr>
        <xdr:cNvSpPr txBox="1"/>
      </xdr:nvSpPr>
      <xdr:spPr>
        <a:xfrm>
          <a:off x="5341327" y="5150827"/>
          <a:ext cx="45134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5B39AE4-A2B2-46A3-84D9-8A6ECFB6CCBC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-0.35</a:t>
          </a:fld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353784</xdr:colOff>
      <xdr:row>28</xdr:row>
      <xdr:rowOff>88895</xdr:rowOff>
    </xdr:from>
    <xdr:to>
      <xdr:col>45</xdr:col>
      <xdr:colOff>257609</xdr:colOff>
      <xdr:row>48</xdr:row>
      <xdr:rowOff>132047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B2DDBC-FA81-C9D5-5F7F-BDFF33A0B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21105" y="5803895"/>
          <a:ext cx="6027040" cy="3937268"/>
        </a:xfrm>
        <a:prstGeom prst="rect">
          <a:avLst/>
        </a:prstGeom>
      </xdr:spPr>
    </xdr:pic>
    <xdr:clientData/>
  </xdr:twoCellAnchor>
  <xdr:twoCellAnchor editAs="oneCell">
    <xdr:from>
      <xdr:col>1</xdr:col>
      <xdr:colOff>257717</xdr:colOff>
      <xdr:row>36</xdr:row>
      <xdr:rowOff>122197</xdr:rowOff>
    </xdr:from>
    <xdr:to>
      <xdr:col>8</xdr:col>
      <xdr:colOff>241151</xdr:colOff>
      <xdr:row>45</xdr:row>
      <xdr:rowOff>97153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8DDF97-C9FA-F21E-6D66-2D52EE753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890" y="7610312"/>
          <a:ext cx="4240376" cy="1679465"/>
        </a:xfrm>
        <a:prstGeom prst="rect">
          <a:avLst/>
        </a:prstGeom>
      </xdr:spPr>
    </xdr:pic>
    <xdr:clientData/>
  </xdr:twoCellAnchor>
  <xdr:twoCellAnchor editAs="oneCell">
    <xdr:from>
      <xdr:col>9</xdr:col>
      <xdr:colOff>267700</xdr:colOff>
      <xdr:row>36</xdr:row>
      <xdr:rowOff>99074</xdr:rowOff>
    </xdr:from>
    <xdr:to>
      <xdr:col>11</xdr:col>
      <xdr:colOff>417635</xdr:colOff>
      <xdr:row>45</xdr:row>
      <xdr:rowOff>66536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D667F-FEB6-FC24-DF0C-BB668C65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15950" y="7587189"/>
          <a:ext cx="1366204" cy="1671971"/>
        </a:xfrm>
        <a:prstGeom prst="rect">
          <a:avLst/>
        </a:prstGeom>
      </xdr:spPr>
    </xdr:pic>
    <xdr:clientData/>
  </xdr:twoCellAnchor>
  <xdr:twoCellAnchor editAs="oneCell">
    <xdr:from>
      <xdr:col>2</xdr:col>
      <xdr:colOff>2503</xdr:colOff>
      <xdr:row>84</xdr:row>
      <xdr:rowOff>178037</xdr:rowOff>
    </xdr:from>
    <xdr:to>
      <xdr:col>10</xdr:col>
      <xdr:colOff>41413</xdr:colOff>
      <xdr:row>96</xdr:row>
      <xdr:rowOff>83612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090390-EB7F-692E-54E6-308C9B591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633" y="16039233"/>
          <a:ext cx="4942215" cy="2216422"/>
        </a:xfrm>
        <a:prstGeom prst="rect">
          <a:avLst/>
        </a:prstGeom>
      </xdr:spPr>
    </xdr:pic>
    <xdr:clientData/>
  </xdr:twoCellAnchor>
  <xdr:twoCellAnchor editAs="oneCell">
    <xdr:from>
      <xdr:col>30</xdr:col>
      <xdr:colOff>579295</xdr:colOff>
      <xdr:row>51</xdr:row>
      <xdr:rowOff>56029</xdr:rowOff>
    </xdr:from>
    <xdr:to>
      <xdr:col>38</xdr:col>
      <xdr:colOff>329301</xdr:colOff>
      <xdr:row>78</xdr:row>
      <xdr:rowOff>72016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0AE3E8-9189-4808-8FBF-38D34B8A7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295795" y="9581029"/>
          <a:ext cx="4590947" cy="52715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U98PRINAP02\clients\Documents%20and%20Settings\RVICERRA\Desktop\Engineering%20Design%20Aids\Alex\AISCPro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, S, M, HP Shapes"/>
      <sheetName val="C, MC Shapes"/>
      <sheetName val="WT Shapes"/>
      <sheetName val="Angles"/>
      <sheetName val="2Angles"/>
      <sheetName val="Tubes"/>
      <sheetName val="Pipes"/>
    </sheetNames>
    <sheetDataSet>
      <sheetData sheetId="0"/>
      <sheetData sheetId="1"/>
      <sheetData sheetId="2"/>
      <sheetData sheetId="3"/>
      <sheetData sheetId="4">
        <row r="1">
          <cell r="A1" t="str">
            <v>Shape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C8FE-C6BB-463E-B54D-01FD5B81228B}">
  <sheetPr codeName="Sheet3">
    <tabColor rgb="FF0070C0"/>
  </sheetPr>
  <dimension ref="A2:K33"/>
  <sheetViews>
    <sheetView showGridLines="0" view="pageBreakPreview" topLeftCell="A11" zoomScale="115" zoomScaleNormal="115" zoomScaleSheetLayoutView="115" workbookViewId="0">
      <selection activeCell="L16" sqref="L16"/>
    </sheetView>
  </sheetViews>
  <sheetFormatPr defaultRowHeight="15" outlineLevelRow="1"/>
  <cols>
    <col min="1" max="1" width="2.7109375" customWidth="1"/>
    <col min="2" max="2" width="5.5703125" customWidth="1"/>
    <col min="6" max="8" width="9.7109375" customWidth="1"/>
    <col min="9" max="10" width="10.42578125" customWidth="1"/>
  </cols>
  <sheetData>
    <row r="2" spans="1:11" hidden="1"/>
    <row r="3" spans="1:11" ht="15" customHeight="1">
      <c r="B3" s="196" t="s">
        <v>153</v>
      </c>
      <c r="C3" s="197"/>
      <c r="D3" s="197"/>
      <c r="E3" s="197"/>
      <c r="F3" s="197"/>
      <c r="G3" s="197"/>
      <c r="H3" s="197"/>
      <c r="I3" s="197"/>
      <c r="J3" s="197"/>
      <c r="K3" s="198"/>
    </row>
    <row r="4" spans="1:11" ht="15" customHeight="1">
      <c r="B4" s="199"/>
      <c r="C4" s="200"/>
      <c r="D4" s="200"/>
      <c r="E4" s="200"/>
      <c r="F4" s="200"/>
      <c r="G4" s="200"/>
      <c r="H4" s="200"/>
      <c r="I4" s="200"/>
      <c r="J4" s="200"/>
      <c r="K4" s="201"/>
    </row>
    <row r="5" spans="1:11">
      <c r="A5" s="50"/>
      <c r="C5" s="86" t="s">
        <v>162</v>
      </c>
      <c r="D5" s="72"/>
      <c r="E5" s="85" t="s">
        <v>164</v>
      </c>
      <c r="F5" s="72"/>
      <c r="K5" s="51"/>
    </row>
    <row r="6" spans="1:11">
      <c r="A6" s="50"/>
      <c r="E6" s="85" t="s">
        <v>163</v>
      </c>
      <c r="K6" s="51"/>
    </row>
    <row r="7" spans="1:11">
      <c r="A7" s="50"/>
      <c r="B7" s="202" t="s">
        <v>154</v>
      </c>
      <c r="C7" s="202"/>
      <c r="K7" s="51"/>
    </row>
    <row r="8" spans="1:11">
      <c r="A8" s="50"/>
      <c r="K8" s="51"/>
    </row>
    <row r="9" spans="1:11">
      <c r="A9" s="50"/>
      <c r="C9" s="194" t="s">
        <v>137</v>
      </c>
      <c r="D9" s="194" t="s">
        <v>138</v>
      </c>
      <c r="E9" s="194"/>
      <c r="F9" s="194"/>
      <c r="G9" s="193" t="s">
        <v>139</v>
      </c>
      <c r="H9" s="194"/>
      <c r="I9" s="193" t="s">
        <v>140</v>
      </c>
      <c r="J9" s="194"/>
      <c r="K9" s="51"/>
    </row>
    <row r="10" spans="1:11">
      <c r="A10" s="50"/>
      <c r="C10" s="195"/>
      <c r="D10" s="195"/>
      <c r="E10" s="195"/>
      <c r="F10" s="195"/>
      <c r="G10" s="195"/>
      <c r="H10" s="195"/>
      <c r="I10" s="195"/>
      <c r="J10" s="195"/>
      <c r="K10" s="51"/>
    </row>
    <row r="11" spans="1:11" ht="18">
      <c r="A11" s="50"/>
      <c r="C11" s="77">
        <v>1</v>
      </c>
      <c r="D11" s="205" t="s">
        <v>141</v>
      </c>
      <c r="E11" s="205"/>
      <c r="F11" s="205"/>
      <c r="G11" s="206" t="s">
        <v>142</v>
      </c>
      <c r="H11" s="206"/>
      <c r="I11" s="73" t="s">
        <v>143</v>
      </c>
      <c r="J11" s="74">
        <v>345</v>
      </c>
      <c r="K11" s="51"/>
    </row>
    <row r="12" spans="1:11" ht="18">
      <c r="A12" s="50"/>
      <c r="C12" s="78">
        <v>2</v>
      </c>
      <c r="D12" s="207" t="s">
        <v>144</v>
      </c>
      <c r="E12" s="207"/>
      <c r="F12" s="207"/>
      <c r="G12" s="190" t="s">
        <v>152</v>
      </c>
      <c r="H12" s="190"/>
      <c r="I12" s="73" t="s">
        <v>143</v>
      </c>
      <c r="J12" s="75">
        <v>220</v>
      </c>
      <c r="K12" s="51"/>
    </row>
    <row r="13" spans="1:11" ht="18">
      <c r="A13" s="50"/>
      <c r="C13" s="78">
        <v>3</v>
      </c>
      <c r="D13" s="207" t="s">
        <v>145</v>
      </c>
      <c r="E13" s="207"/>
      <c r="F13" s="207"/>
      <c r="G13" s="190">
        <v>4.5999999999999996</v>
      </c>
      <c r="H13" s="190"/>
      <c r="I13" s="79" t="s">
        <v>146</v>
      </c>
      <c r="J13" s="75">
        <v>400</v>
      </c>
      <c r="K13" s="51"/>
    </row>
    <row r="14" spans="1:11" ht="18">
      <c r="A14" s="50"/>
      <c r="C14" s="80">
        <v>4</v>
      </c>
      <c r="D14" s="203" t="s">
        <v>147</v>
      </c>
      <c r="E14" s="203"/>
      <c r="F14" s="203"/>
      <c r="G14" s="204">
        <v>8.8000000000000007</v>
      </c>
      <c r="H14" s="204"/>
      <c r="I14" s="81" t="s">
        <v>146</v>
      </c>
      <c r="J14" s="76">
        <v>800</v>
      </c>
      <c r="K14" s="51"/>
    </row>
    <row r="15" spans="1:11">
      <c r="A15" s="50"/>
      <c r="K15" s="51"/>
    </row>
    <row r="16" spans="1:11">
      <c r="B16" s="202" t="s">
        <v>151</v>
      </c>
      <c r="C16" s="202"/>
    </row>
    <row r="18" spans="3:10">
      <c r="C18" s="82" t="s">
        <v>149</v>
      </c>
    </row>
    <row r="19" spans="3:10">
      <c r="C19" t="s">
        <v>155</v>
      </c>
    </row>
    <row r="20" spans="3:10" ht="15" customHeight="1" outlineLevel="1">
      <c r="C20" s="182" t="s">
        <v>148</v>
      </c>
      <c r="D20" s="182"/>
      <c r="E20" s="182"/>
      <c r="F20" s="185" t="s">
        <v>157</v>
      </c>
      <c r="G20" s="187" t="s">
        <v>159</v>
      </c>
      <c r="H20" s="187"/>
      <c r="I20" s="187" t="s">
        <v>160</v>
      </c>
      <c r="J20" s="187"/>
    </row>
    <row r="21" spans="3:10" ht="15" customHeight="1" outlineLevel="1">
      <c r="C21" s="183"/>
      <c r="D21" s="183"/>
      <c r="E21" s="183"/>
      <c r="F21" s="186"/>
      <c r="G21" s="188"/>
      <c r="H21" s="188"/>
      <c r="I21" s="188"/>
      <c r="J21" s="188"/>
    </row>
    <row r="22" spans="3:10" ht="17.25" outlineLevel="1">
      <c r="C22" s="184"/>
      <c r="D22" s="184"/>
      <c r="E22" s="184"/>
      <c r="F22" s="84" t="s">
        <v>156</v>
      </c>
      <c r="G22" s="189" t="s">
        <v>158</v>
      </c>
      <c r="H22" s="189"/>
      <c r="I22" s="189" t="s">
        <v>161</v>
      </c>
      <c r="J22" s="189"/>
    </row>
    <row r="23" spans="3:10" outlineLevel="1">
      <c r="C23" s="178" t="str">
        <f>"- Lớp kính cường lực"</f>
        <v>- Lớp kính cường lực</v>
      </c>
      <c r="D23" s="178"/>
      <c r="E23" s="178"/>
      <c r="F23" s="83">
        <v>15</v>
      </c>
      <c r="G23" s="179">
        <v>25</v>
      </c>
      <c r="H23" s="179"/>
      <c r="I23" s="191">
        <f>G23*F23/1000</f>
        <v>0.375</v>
      </c>
      <c r="J23" s="191"/>
    </row>
    <row r="24" spans="3:10" outlineLevel="1">
      <c r="C24" s="180" t="s">
        <v>249</v>
      </c>
      <c r="D24" s="180"/>
      <c r="E24" s="180"/>
      <c r="F24" s="180"/>
      <c r="G24" s="180"/>
      <c r="H24" s="180"/>
      <c r="I24" s="192">
        <f>I23</f>
        <v>0.375</v>
      </c>
      <c r="J24" s="192"/>
    </row>
    <row r="26" spans="3:10" outlineLevel="1">
      <c r="C26" s="182" t="s">
        <v>148</v>
      </c>
      <c r="D26" s="182"/>
      <c r="E26" s="182"/>
      <c r="F26" s="185" t="s">
        <v>157</v>
      </c>
      <c r="G26" s="187" t="s">
        <v>159</v>
      </c>
      <c r="H26" s="187"/>
      <c r="I26" s="187" t="s">
        <v>160</v>
      </c>
      <c r="J26" s="187"/>
    </row>
    <row r="27" spans="3:10" outlineLevel="1">
      <c r="C27" s="183"/>
      <c r="D27" s="183"/>
      <c r="E27" s="183"/>
      <c r="F27" s="186"/>
      <c r="G27" s="188"/>
      <c r="H27" s="188"/>
      <c r="I27" s="188"/>
      <c r="J27" s="188"/>
    </row>
    <row r="28" spans="3:10" ht="17.25" outlineLevel="1">
      <c r="C28" s="184"/>
      <c r="D28" s="184"/>
      <c r="E28" s="184"/>
      <c r="F28" s="84" t="s">
        <v>156</v>
      </c>
      <c r="G28" s="189" t="s">
        <v>158</v>
      </c>
      <c r="H28" s="189"/>
      <c r="I28" s="189" t="s">
        <v>161</v>
      </c>
      <c r="J28" s="189"/>
    </row>
    <row r="29" spans="3:10" outlineLevel="1">
      <c r="C29" s="178" t="str">
        <f>"- Mái tôn + xà gồ"</f>
        <v>- Mái tôn + xà gồ</v>
      </c>
      <c r="D29" s="178"/>
      <c r="E29" s="178"/>
      <c r="F29" s="83"/>
      <c r="G29" s="179"/>
      <c r="H29" s="179"/>
      <c r="I29" s="179">
        <v>0.1</v>
      </c>
      <c r="J29" s="179"/>
    </row>
    <row r="30" spans="3:10" outlineLevel="1">
      <c r="C30" s="180" t="s">
        <v>249</v>
      </c>
      <c r="D30" s="180"/>
      <c r="E30" s="180"/>
      <c r="F30" s="180"/>
      <c r="G30" s="180"/>
      <c r="H30" s="180"/>
      <c r="I30" s="181">
        <f>I29</f>
        <v>0.1</v>
      </c>
      <c r="J30" s="181"/>
    </row>
    <row r="32" spans="3:10" ht="17.25">
      <c r="C32" s="82" t="s">
        <v>150</v>
      </c>
      <c r="E32" s="57">
        <v>0.3</v>
      </c>
      <c r="F32" s="63" t="s">
        <v>67</v>
      </c>
    </row>
    <row r="33" spans="4:4">
      <c r="D33" s="63" t="s">
        <v>165</v>
      </c>
    </row>
  </sheetData>
  <mergeCells count="37">
    <mergeCell ref="I9:J10"/>
    <mergeCell ref="F20:F21"/>
    <mergeCell ref="B3:K4"/>
    <mergeCell ref="B7:C7"/>
    <mergeCell ref="B16:C16"/>
    <mergeCell ref="C9:C10"/>
    <mergeCell ref="D9:F10"/>
    <mergeCell ref="G9:H10"/>
    <mergeCell ref="D14:F14"/>
    <mergeCell ref="G14:H14"/>
    <mergeCell ref="C20:E22"/>
    <mergeCell ref="D11:F11"/>
    <mergeCell ref="G11:H11"/>
    <mergeCell ref="D12:F12"/>
    <mergeCell ref="G12:H12"/>
    <mergeCell ref="D13:F13"/>
    <mergeCell ref="G13:H13"/>
    <mergeCell ref="I23:J23"/>
    <mergeCell ref="I24:J24"/>
    <mergeCell ref="C24:H24"/>
    <mergeCell ref="G20:H21"/>
    <mergeCell ref="G22:H22"/>
    <mergeCell ref="I20:J21"/>
    <mergeCell ref="I22:J22"/>
    <mergeCell ref="C23:E23"/>
    <mergeCell ref="G23:H23"/>
    <mergeCell ref="C26:E28"/>
    <mergeCell ref="F26:F27"/>
    <mergeCell ref="G26:H27"/>
    <mergeCell ref="I26:J27"/>
    <mergeCell ref="G28:H28"/>
    <mergeCell ref="I28:J28"/>
    <mergeCell ref="C29:E29"/>
    <mergeCell ref="G29:H29"/>
    <mergeCell ref="I29:J29"/>
    <mergeCell ref="C30:H30"/>
    <mergeCell ref="I30:J30"/>
  </mergeCells>
  <pageMargins left="0.7" right="0.7" top="0.75" bottom="0.75" header="0.3" footer="0.3"/>
  <pageSetup scale="67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A6B3-002E-401D-B568-7F50AA5AF6B8}">
  <sheetPr codeName="Sheet4">
    <tabColor rgb="FF0070C0"/>
  </sheetPr>
  <dimension ref="B1:AM52"/>
  <sheetViews>
    <sheetView showGridLines="0" tabSelected="1" view="pageBreakPreview" topLeftCell="A27" zoomScale="130" zoomScaleNormal="115" zoomScaleSheetLayoutView="130" workbookViewId="0">
      <selection activeCell="V50" sqref="V50"/>
    </sheetView>
  </sheetViews>
  <sheetFormatPr defaultRowHeight="12.75"/>
  <cols>
    <col min="1" max="1" width="2.7109375" style="92" customWidth="1"/>
    <col min="2" max="12" width="5.7109375" style="100" customWidth="1"/>
    <col min="13" max="13" width="6.140625" style="100" customWidth="1"/>
    <col min="14" max="19" width="5.7109375" style="100" customWidth="1"/>
    <col min="20" max="20" width="3" style="100" customWidth="1"/>
    <col min="21" max="21" width="9.140625" style="91" customWidth="1"/>
    <col min="22" max="22" width="10.42578125" style="92" customWidth="1"/>
    <col min="23" max="27" width="9.140625" style="92" customWidth="1"/>
    <col min="28" max="36" width="9.140625" style="92"/>
    <col min="37" max="37" width="10.42578125" style="92" bestFit="1" customWidth="1"/>
    <col min="38" max="39" width="30.5703125" style="92" customWidth="1"/>
    <col min="40" max="16384" width="9.140625" style="92"/>
  </cols>
  <sheetData>
    <row r="1" spans="2:39" hidden="1"/>
    <row r="2" spans="2:39" hidden="1">
      <c r="B2" s="87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9"/>
      <c r="T2" s="90"/>
    </row>
    <row r="3" spans="2:39" hidden="1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9"/>
      <c r="T3" s="93"/>
    </row>
    <row r="4" spans="2:39" hidden="1">
      <c r="B4" s="87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9"/>
      <c r="T4" s="94"/>
      <c r="AA4" s="95"/>
      <c r="AK4" s="96"/>
      <c r="AL4" s="96" t="s">
        <v>166</v>
      </c>
      <c r="AM4" s="96" t="s">
        <v>171</v>
      </c>
    </row>
    <row r="5" spans="2:39" ht="13.5" customHeight="1" thickBot="1">
      <c r="B5" s="247" t="s">
        <v>3</v>
      </c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3" t="s">
        <v>1</v>
      </c>
      <c r="O5" s="243"/>
      <c r="P5" s="243"/>
      <c r="Q5" s="243" t="s">
        <v>2</v>
      </c>
      <c r="R5" s="243"/>
      <c r="S5" s="244"/>
      <c r="T5" s="94"/>
      <c r="AA5" s="95"/>
      <c r="AK5" s="96">
        <v>1</v>
      </c>
      <c r="AL5" s="97" t="s">
        <v>172</v>
      </c>
      <c r="AM5" s="97" t="s">
        <v>173</v>
      </c>
    </row>
    <row r="6" spans="2:39" ht="12.75" customHeight="1">
      <c r="B6" s="249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45"/>
      <c r="O6" s="245"/>
      <c r="P6" s="245"/>
      <c r="Q6" s="245"/>
      <c r="R6" s="245"/>
      <c r="S6" s="246"/>
      <c r="T6" s="94"/>
      <c r="U6" s="238" t="s">
        <v>166</v>
      </c>
      <c r="V6" s="98" t="s">
        <v>167</v>
      </c>
      <c r="W6" s="99" t="s">
        <v>168</v>
      </c>
      <c r="X6" s="99" t="s">
        <v>169</v>
      </c>
      <c r="Y6" s="99" t="s">
        <v>38</v>
      </c>
      <c r="Z6" s="99" t="s">
        <v>170</v>
      </c>
      <c r="AA6" s="95"/>
      <c r="AK6" s="96">
        <v>2</v>
      </c>
      <c r="AL6" s="97" t="s">
        <v>174</v>
      </c>
      <c r="AM6" s="97" t="s">
        <v>175</v>
      </c>
    </row>
    <row r="7" spans="2:39" ht="12.75" customHeight="1">
      <c r="B7" s="249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45"/>
      <c r="O7" s="245"/>
      <c r="P7" s="245"/>
      <c r="Q7" s="245"/>
      <c r="R7" s="245"/>
      <c r="S7" s="246"/>
      <c r="T7" s="94"/>
      <c r="U7" s="239"/>
      <c r="V7" s="98" t="s">
        <v>76</v>
      </c>
      <c r="W7" s="99">
        <v>213.36</v>
      </c>
      <c r="X7" s="99">
        <v>2.13</v>
      </c>
      <c r="Y7" s="99">
        <v>11.5</v>
      </c>
      <c r="Z7" s="99">
        <v>1.99</v>
      </c>
      <c r="AA7" s="95"/>
      <c r="AK7" s="96">
        <v>3</v>
      </c>
      <c r="AL7" s="97" t="s">
        <v>176</v>
      </c>
      <c r="AM7" s="97" t="s">
        <v>177</v>
      </c>
    </row>
    <row r="8" spans="2:39" ht="15.75">
      <c r="B8" s="105"/>
      <c r="C8" s="146" t="str">
        <f>VLOOKUP(9,$AK$5:$AM$44,1+MATCH(U6,$AL$4:$AM$4,0),FALSE)</f>
        <v>Design code:</v>
      </c>
      <c r="E8" s="147"/>
      <c r="F8" s="148" t="str">
        <f>VLOOKUP(10,$AK$5:$AM$44,1+MATCH(U6,$AL$4:$AM$4,0),FALSE)</f>
        <v>TCVN 2737:2023 Loads and Action - Design standard</v>
      </c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01"/>
      <c r="T8" s="102"/>
      <c r="U8" s="239"/>
      <c r="V8" s="98" t="s">
        <v>29</v>
      </c>
      <c r="W8" s="99">
        <v>274.32</v>
      </c>
      <c r="X8" s="99">
        <v>4.57</v>
      </c>
      <c r="Y8" s="99">
        <v>9.5</v>
      </c>
      <c r="Z8" s="99">
        <v>1.97</v>
      </c>
      <c r="AA8" s="95"/>
      <c r="AK8" s="96">
        <v>4</v>
      </c>
      <c r="AL8" s="97" t="s">
        <v>178</v>
      </c>
      <c r="AM8" s="97" t="s">
        <v>179</v>
      </c>
    </row>
    <row r="9" spans="2:39" ht="13.5" thickBot="1">
      <c r="B9" s="105"/>
      <c r="C9" s="146" t="str">
        <f>IF(U6="EN&amp;VN",AM13,"")</f>
        <v>Tiêu chuẩn thiết kế:</v>
      </c>
      <c r="E9" s="149"/>
      <c r="F9" s="100" t="str">
        <f>IF(U6="EN&amp;VN",AM14,"")</f>
        <v>TCVN 2737:2023 Tải trọng và tác động - Tiêu chuẩn thiết kế</v>
      </c>
      <c r="H9" s="149"/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03"/>
      <c r="T9" s="104"/>
      <c r="U9" s="240"/>
      <c r="V9" s="98" t="s">
        <v>30</v>
      </c>
      <c r="W9" s="99">
        <v>365.76</v>
      </c>
      <c r="X9" s="99">
        <v>9.14</v>
      </c>
      <c r="Y9" s="99">
        <v>7</v>
      </c>
      <c r="Z9" s="99">
        <v>1.98</v>
      </c>
      <c r="AK9" s="96">
        <v>5</v>
      </c>
      <c r="AL9" s="97" t="s">
        <v>180</v>
      </c>
      <c r="AM9" s="97" t="s">
        <v>181</v>
      </c>
    </row>
    <row r="10" spans="2:39">
      <c r="B10" s="105"/>
      <c r="S10" s="106"/>
      <c r="AK10" s="96">
        <v>6</v>
      </c>
      <c r="AL10" s="97" t="s">
        <v>182</v>
      </c>
      <c r="AM10" s="97" t="s">
        <v>183</v>
      </c>
    </row>
    <row r="11" spans="2:39">
      <c r="B11" s="241" t="str">
        <f>VLOOKUP(13,$AK$5:$AM$44,1+MATCH(U6,$AL$4:$AM$4,0),FALSE)</f>
        <v>I. Input Data / Dữ liệu thiết kế:</v>
      </c>
      <c r="C11" s="242"/>
      <c r="D11" s="242"/>
      <c r="E11" s="242"/>
      <c r="F11" s="242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07"/>
      <c r="S11" s="109"/>
      <c r="T11" s="108"/>
      <c r="V11" s="110"/>
      <c r="AK11" s="96">
        <v>7</v>
      </c>
      <c r="AL11" s="97" t="s">
        <v>184</v>
      </c>
      <c r="AM11" s="97" t="s">
        <v>185</v>
      </c>
    </row>
    <row r="12" spans="2:39">
      <c r="B12" s="105"/>
      <c r="C12" s="151"/>
      <c r="D12" s="152" t="str">
        <f>VLOOKUP(12,$AK$5:$AM$44,1+MATCH(U6,$AL$4:$AM$4,0),FALSE)</f>
        <v>Zone / Vùng</v>
      </c>
      <c r="J12" s="153"/>
      <c r="K12" s="154" t="s">
        <v>8</v>
      </c>
      <c r="L12" s="155"/>
      <c r="M12" s="154"/>
      <c r="N12" s="154"/>
      <c r="O12" s="154"/>
      <c r="P12" s="154"/>
      <c r="Q12" s="154"/>
      <c r="S12" s="106"/>
      <c r="V12" s="110"/>
      <c r="X12" s="99" t="s">
        <v>186</v>
      </c>
      <c r="Y12" s="99" t="s">
        <v>187</v>
      </c>
      <c r="AK12" s="96">
        <v>8</v>
      </c>
      <c r="AL12" s="97" t="s">
        <v>188</v>
      </c>
      <c r="AM12" s="97" t="s">
        <v>189</v>
      </c>
    </row>
    <row r="13" spans="2:39" ht="14.25">
      <c r="B13" s="105"/>
      <c r="D13" s="152" t="str">
        <f>VLOOKUP(14,$AK$5:$AM$44,1+MATCH(U6,$AL$4:$AM$4,0),FALSE)</f>
        <v>Wind pressure / Áp lực gió</v>
      </c>
      <c r="J13" s="153" t="s">
        <v>251</v>
      </c>
      <c r="K13" s="111">
        <f>VLOOKUP(K12,$X$12:$Y$17,2,FALSE)</f>
        <v>0.95</v>
      </c>
      <c r="L13" s="152" t="s">
        <v>190</v>
      </c>
      <c r="N13" s="111"/>
      <c r="O13" s="111"/>
      <c r="P13" s="111"/>
      <c r="Q13" s="111"/>
      <c r="S13" s="106"/>
      <c r="U13" s="95" t="s">
        <v>252</v>
      </c>
      <c r="X13" s="112" t="s">
        <v>7</v>
      </c>
      <c r="Y13" s="112">
        <v>0.65</v>
      </c>
      <c r="Z13" s="95"/>
      <c r="AA13" s="113"/>
      <c r="AK13" s="96">
        <v>9</v>
      </c>
      <c r="AL13" s="97" t="s">
        <v>191</v>
      </c>
      <c r="AM13" s="97" t="s">
        <v>5</v>
      </c>
    </row>
    <row r="14" spans="2:39" ht="14.25">
      <c r="B14" s="105"/>
      <c r="D14" s="152" t="str">
        <f>VLOOKUP(14,$AK$5:$AM$44,1+MATCH(U6,$AL$4:$AM$4,0),FALSE)</f>
        <v>Wind pressure / Áp lực gió</v>
      </c>
      <c r="J14" s="153" t="s">
        <v>253</v>
      </c>
      <c r="K14" s="156">
        <f>0.852*K13</f>
        <v>0.8093999999999999</v>
      </c>
      <c r="L14" s="152" t="s">
        <v>250</v>
      </c>
      <c r="N14" s="156"/>
      <c r="O14" s="156"/>
      <c r="P14" s="156"/>
      <c r="Q14" s="156"/>
      <c r="S14" s="106"/>
      <c r="T14" s="114"/>
      <c r="U14" s="115" t="s">
        <v>192</v>
      </c>
      <c r="V14" s="99">
        <f>VLOOKUP(K15,$V$7:$Y$9,2,FALSE)</f>
        <v>274.32</v>
      </c>
      <c r="X14" s="112" t="s">
        <v>8</v>
      </c>
      <c r="Y14" s="112">
        <v>0.95</v>
      </c>
      <c r="Z14" s="95"/>
      <c r="AA14" s="113"/>
      <c r="AK14" s="96">
        <v>10</v>
      </c>
      <c r="AL14" s="97" t="s">
        <v>193</v>
      </c>
      <c r="AM14" s="97" t="s">
        <v>194</v>
      </c>
    </row>
    <row r="15" spans="2:39">
      <c r="B15" s="105"/>
      <c r="D15" s="152" t="str">
        <f>VLOOKUP(15,$AK$5:$AM$44,1+MATCH(U6,$AL$4:$AM$4,0),FALSE)</f>
        <v>Exposure Category / Dạng địa hình</v>
      </c>
      <c r="J15" s="153"/>
      <c r="K15" s="154" t="s">
        <v>29</v>
      </c>
      <c r="L15" s="152"/>
      <c r="N15" s="154"/>
      <c r="O15" s="154"/>
      <c r="P15" s="154"/>
      <c r="Q15" s="154"/>
      <c r="S15" s="106"/>
      <c r="T15" s="116"/>
      <c r="U15" s="115" t="s">
        <v>195</v>
      </c>
      <c r="V15" s="99">
        <f>VLOOKUP(K15,$V$7:$Y$9,3,FALSE)</f>
        <v>4.57</v>
      </c>
      <c r="X15" s="112" t="s">
        <v>9</v>
      </c>
      <c r="Y15" s="112">
        <v>1.25</v>
      </c>
      <c r="Z15" s="95"/>
      <c r="AA15" s="113"/>
      <c r="AK15" s="96">
        <v>11</v>
      </c>
      <c r="AL15" s="97" t="s">
        <v>196</v>
      </c>
      <c r="AM15" s="97" t="s">
        <v>197</v>
      </c>
    </row>
    <row r="16" spans="2:39">
      <c r="B16" s="105"/>
      <c r="D16" s="148" t="str">
        <f>VLOOKUP(16,$AK$5:$AM$44,1+MATCH(U6,$AL$4:$AM$4,0),FALSE)</f>
        <v>Canopy height / Chiều cao mái đón</v>
      </c>
      <c r="J16" s="153" t="s">
        <v>46</v>
      </c>
      <c r="K16" s="157">
        <v>12.55</v>
      </c>
      <c r="L16" s="152" t="s">
        <v>33</v>
      </c>
      <c r="N16" s="157"/>
      <c r="O16" s="157"/>
      <c r="P16" s="157"/>
      <c r="Q16" s="157"/>
      <c r="S16" s="106"/>
      <c r="U16" s="117" t="s">
        <v>39</v>
      </c>
      <c r="V16" s="99">
        <f>VLOOKUP(K15,$V$7:$Y$9,4,FALSE)</f>
        <v>9.5</v>
      </c>
      <c r="X16" s="112" t="s">
        <v>10</v>
      </c>
      <c r="Y16" s="112">
        <v>1.55</v>
      </c>
      <c r="Z16" s="95"/>
      <c r="AA16" s="113"/>
      <c r="AK16" s="96">
        <v>12</v>
      </c>
      <c r="AL16" s="118" t="s">
        <v>198</v>
      </c>
      <c r="AM16" s="118" t="s">
        <v>6</v>
      </c>
    </row>
    <row r="17" spans="2:39">
      <c r="B17" s="105"/>
      <c r="D17" s="152" t="str">
        <f>VLOOKUP(31,$AK$5:$AM$44,1+MATCH(U6,$AL$4:$AM$4,0),FALSE)</f>
        <v>Roof slope / Độ dốc mái</v>
      </c>
      <c r="J17" s="158" t="s">
        <v>35</v>
      </c>
      <c r="K17" s="159">
        <v>0</v>
      </c>
      <c r="L17" s="152"/>
      <c r="N17" s="159"/>
      <c r="O17" s="159"/>
      <c r="P17" s="159"/>
      <c r="Q17" s="159"/>
      <c r="S17" s="106"/>
      <c r="U17" s="98" t="s">
        <v>170</v>
      </c>
      <c r="V17" s="99">
        <f>VLOOKUP(K15,$V$7:$Z$9,5,FALSE)</f>
        <v>1.97</v>
      </c>
      <c r="W17" s="95"/>
      <c r="X17" s="112" t="s">
        <v>11</v>
      </c>
      <c r="Y17" s="112">
        <v>1.85</v>
      </c>
      <c r="Z17" s="95"/>
      <c r="AA17" s="113"/>
      <c r="AK17" s="96">
        <v>13</v>
      </c>
      <c r="AL17" s="118" t="s">
        <v>199</v>
      </c>
      <c r="AM17" s="118" t="s">
        <v>200</v>
      </c>
    </row>
    <row r="18" spans="2:39">
      <c r="B18" s="105"/>
      <c r="D18" s="152" t="str">
        <f>VLOOKUP(30,$AK$5:$AM$44,1+MATCH(U6,$AL$4:$AM$4,0),FALSE)</f>
        <v>Roof pitch angle / Góc nghiêng mái</v>
      </c>
      <c r="J18" s="153" t="s">
        <v>39</v>
      </c>
      <c r="K18" s="160">
        <f>DEGREES(ATAN(K17))</f>
        <v>0</v>
      </c>
      <c r="L18" s="152" t="s">
        <v>201</v>
      </c>
      <c r="N18" s="160"/>
      <c r="O18" s="160"/>
      <c r="P18" s="160"/>
      <c r="Q18" s="160"/>
      <c r="S18" s="141"/>
      <c r="X18" s="113"/>
      <c r="Y18" s="119"/>
      <c r="Z18" s="95"/>
      <c r="AA18" s="113"/>
      <c r="AK18" s="96">
        <v>14</v>
      </c>
      <c r="AL18" s="118" t="s">
        <v>202</v>
      </c>
      <c r="AM18" s="118" t="s">
        <v>203</v>
      </c>
    </row>
    <row r="19" spans="2:39">
      <c r="B19" s="105"/>
      <c r="I19" s="153"/>
      <c r="L19" s="92"/>
      <c r="M19" s="92"/>
      <c r="S19" s="141"/>
      <c r="Y19" s="119"/>
      <c r="Z19" s="95"/>
      <c r="AA19" s="113"/>
      <c r="AK19" s="96">
        <v>15</v>
      </c>
      <c r="AL19" s="118" t="s">
        <v>208</v>
      </c>
      <c r="AM19" s="118" t="s">
        <v>209</v>
      </c>
    </row>
    <row r="20" spans="2:39">
      <c r="B20" s="241" t="str">
        <f>VLOOKUP(21,$AK$5:$AM$44,1+MATCH(U6,$AL$4:$AM$4,0),FALSE)</f>
        <v>II. Calculation / Tính toán</v>
      </c>
      <c r="C20" s="242"/>
      <c r="D20" s="242"/>
      <c r="E20" s="242"/>
      <c r="F20" s="242"/>
      <c r="S20" s="106"/>
      <c r="Y20" s="119"/>
      <c r="Z20" s="95"/>
      <c r="AA20" s="113"/>
      <c r="AK20" s="96">
        <v>16</v>
      </c>
      <c r="AL20" s="118" t="s">
        <v>210</v>
      </c>
      <c r="AM20" s="118" t="s">
        <v>211</v>
      </c>
    </row>
    <row r="21" spans="2:39" ht="15" customHeight="1">
      <c r="B21" s="105"/>
      <c r="D21" s="152"/>
      <c r="I21" s="237" t="s">
        <v>257</v>
      </c>
      <c r="J21" s="237"/>
      <c r="K21" s="237"/>
      <c r="L21" s="237"/>
      <c r="M21" s="237"/>
      <c r="S21" s="106"/>
      <c r="Y21" s="119"/>
      <c r="Z21" s="122"/>
      <c r="AA21" s="113"/>
      <c r="AK21" s="96">
        <v>17</v>
      </c>
      <c r="AL21" s="118" t="s">
        <v>212</v>
      </c>
      <c r="AM21" s="118" t="s">
        <v>213</v>
      </c>
    </row>
    <row r="22" spans="2:39" ht="14.25">
      <c r="B22" s="105"/>
      <c r="D22" s="152" t="str">
        <f>VLOOKUP(23,$AK$5:$AM$44,1+MATCH(U6,$AL$4:$AM$4,0),FALSE)</f>
        <v>Reference height / Chiều cao tham chiếu</v>
      </c>
      <c r="G22" s="156"/>
      <c r="I22" s="92"/>
      <c r="J22" s="158" t="s">
        <v>254</v>
      </c>
      <c r="K22" s="156">
        <f>MAX(K16,V15)</f>
        <v>12.55</v>
      </c>
      <c r="L22" s="100" t="s">
        <v>33</v>
      </c>
      <c r="M22" s="156"/>
      <c r="N22" s="156"/>
      <c r="O22" s="156"/>
      <c r="P22" s="156"/>
      <c r="Q22" s="156"/>
      <c r="S22" s="106"/>
      <c r="T22" s="111"/>
      <c r="Y22" s="95"/>
      <c r="Z22" s="95"/>
      <c r="AA22" s="95"/>
      <c r="AK22" s="96">
        <v>18</v>
      </c>
      <c r="AL22" s="118" t="s">
        <v>214</v>
      </c>
      <c r="AM22" s="118" t="s">
        <v>215</v>
      </c>
    </row>
    <row r="23" spans="2:39" ht="14.25">
      <c r="B23" s="105"/>
      <c r="D23" s="152" t="str">
        <f>VLOOKUP(24,$AK$5:$AM$44,1+MATCH(U6,$AL$4:$AM$4,0),FALSE)</f>
        <v>Terrain factor / Hệ số địa hình</v>
      </c>
      <c r="G23" s="161"/>
      <c r="I23" s="92"/>
      <c r="J23" s="158" t="s">
        <v>255</v>
      </c>
      <c r="K23" s="161">
        <f>MIN(2.01*(K22/V14)^(2/V16),V17)</f>
        <v>1.049958444575654</v>
      </c>
      <c r="L23" s="161"/>
      <c r="M23" s="161"/>
      <c r="N23" s="161"/>
      <c r="O23" s="161"/>
      <c r="P23" s="161"/>
      <c r="Q23" s="161"/>
      <c r="S23" s="106"/>
      <c r="T23" s="123"/>
      <c r="Y23" s="95"/>
      <c r="Z23" s="95"/>
      <c r="AA23" s="124"/>
      <c r="AK23" s="96">
        <v>19</v>
      </c>
      <c r="AL23" s="97" t="s">
        <v>216</v>
      </c>
      <c r="AM23" s="97" t="s">
        <v>217</v>
      </c>
    </row>
    <row r="24" spans="2:39" ht="14.25">
      <c r="B24" s="105"/>
      <c r="D24" s="152" t="str">
        <f>VLOOKUP(25,$AK$5:$AM$44,1+MATCH(U6,$AL$4:$AM$4,0),FALSE)</f>
        <v>Gust Effect factor / Hệ số hiệu ứng giật</v>
      </c>
      <c r="G24" s="162"/>
      <c r="I24" s="92"/>
      <c r="J24" s="163" t="s">
        <v>256</v>
      </c>
      <c r="K24" s="160">
        <v>0.85</v>
      </c>
      <c r="L24" s="162"/>
      <c r="M24" s="162"/>
      <c r="N24" s="162"/>
      <c r="O24" s="162"/>
      <c r="P24" s="162"/>
      <c r="Q24" s="162"/>
      <c r="S24" s="120"/>
      <c r="T24" s="123"/>
      <c r="Y24" s="125"/>
      <c r="Z24" s="125"/>
      <c r="AA24" s="126"/>
      <c r="AK24" s="96">
        <v>20</v>
      </c>
      <c r="AL24" s="97" t="s">
        <v>218</v>
      </c>
      <c r="AM24" s="97" t="s">
        <v>219</v>
      </c>
    </row>
    <row r="25" spans="2:39" ht="14.25">
      <c r="B25" s="127"/>
      <c r="C25" s="160"/>
      <c r="G25" s="164"/>
      <c r="H25" s="164"/>
      <c r="I25" s="164"/>
      <c r="J25" s="158" t="s">
        <v>275</v>
      </c>
      <c r="K25" s="164">
        <f>$K$14*$K$23*$K$24</f>
        <v>0.72236091028360416</v>
      </c>
      <c r="L25" s="165" t="s">
        <v>224</v>
      </c>
      <c r="M25" s="164"/>
      <c r="N25" s="164"/>
      <c r="O25" s="164"/>
      <c r="P25" s="164"/>
      <c r="Q25" s="164"/>
      <c r="S25" s="128"/>
      <c r="T25" s="123"/>
      <c r="U25" s="251" t="s">
        <v>204</v>
      </c>
      <c r="V25" s="236" t="s">
        <v>205</v>
      </c>
      <c r="W25" s="236" t="s">
        <v>206</v>
      </c>
      <c r="X25" s="236" t="s">
        <v>207</v>
      </c>
      <c r="Y25" s="125"/>
      <c r="Z25" s="125"/>
      <c r="AA25" s="126"/>
      <c r="AK25" s="96">
        <v>21</v>
      </c>
      <c r="AL25" s="118" t="s">
        <v>220</v>
      </c>
      <c r="AM25" s="118" t="s">
        <v>221</v>
      </c>
    </row>
    <row r="26" spans="2:39">
      <c r="B26" s="142" t="s">
        <v>259</v>
      </c>
      <c r="C26" s="160"/>
      <c r="E26" s="158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5"/>
      <c r="S26" s="128"/>
      <c r="T26" s="123"/>
      <c r="U26" s="251"/>
      <c r="V26" s="236"/>
      <c r="W26" s="236"/>
      <c r="X26" s="236"/>
      <c r="Y26" s="125"/>
      <c r="Z26" s="125"/>
      <c r="AA26" s="126"/>
      <c r="AK26" s="96">
        <v>22</v>
      </c>
      <c r="AL26" s="118" t="s">
        <v>222</v>
      </c>
      <c r="AM26" s="118" t="s">
        <v>223</v>
      </c>
    </row>
    <row r="27" spans="2:39" ht="15.75" customHeight="1">
      <c r="B27" s="127"/>
      <c r="C27" s="233"/>
      <c r="G27" s="228"/>
      <c r="H27" s="228"/>
      <c r="I27" s="228"/>
      <c r="J27" s="230" t="s">
        <v>13</v>
      </c>
      <c r="K27" s="230"/>
      <c r="L27" s="228" t="s">
        <v>261</v>
      </c>
      <c r="M27" s="228"/>
      <c r="N27" s="167"/>
      <c r="S27" s="128"/>
      <c r="T27" s="123"/>
      <c r="U27" s="232" t="s">
        <v>9</v>
      </c>
      <c r="V27" s="121">
        <v>10</v>
      </c>
      <c r="W27" s="121">
        <v>1.4</v>
      </c>
      <c r="X27" s="121">
        <v>0.4</v>
      </c>
      <c r="Y27" s="125"/>
      <c r="Z27" s="125"/>
      <c r="AA27" s="126"/>
      <c r="AK27" s="96">
        <v>23</v>
      </c>
      <c r="AL27" s="97" t="s">
        <v>225</v>
      </c>
      <c r="AM27" s="97" t="s">
        <v>226</v>
      </c>
    </row>
    <row r="28" spans="2:39" ht="14.25">
      <c r="B28" s="127"/>
      <c r="C28" s="233"/>
      <c r="G28" s="235"/>
      <c r="H28" s="235"/>
      <c r="I28" s="235"/>
      <c r="J28" s="144" t="s">
        <v>264</v>
      </c>
      <c r="K28" s="144" t="s">
        <v>265</v>
      </c>
      <c r="L28" s="145" t="s">
        <v>263</v>
      </c>
      <c r="M28" s="145" t="s">
        <v>266</v>
      </c>
      <c r="N28" s="111"/>
      <c r="S28" s="106"/>
      <c r="T28" s="123"/>
      <c r="U28" s="232"/>
      <c r="V28" s="121">
        <v>20</v>
      </c>
      <c r="W28" s="121">
        <v>1.8</v>
      </c>
      <c r="X28" s="121">
        <v>0.5</v>
      </c>
      <c r="Y28" s="125"/>
      <c r="Z28" s="125"/>
      <c r="AA28" s="126"/>
      <c r="AK28" s="96">
        <v>24</v>
      </c>
      <c r="AL28" s="97" t="s">
        <v>227</v>
      </c>
      <c r="AM28" s="97" t="s">
        <v>228</v>
      </c>
    </row>
    <row r="29" spans="2:39" ht="15" customHeight="1">
      <c r="B29" s="105"/>
      <c r="G29" s="234" t="str">
        <f>VLOOKUP(33,$AK$5:$AM$44,1+MATCH(U6,$AL$4:$AM$4,0),FALSE)</f>
        <v>Case 1 / TH1</v>
      </c>
      <c r="H29" s="234"/>
      <c r="I29" s="234"/>
      <c r="J29" s="137">
        <f>noisuy1chieu(K18,V27:V29,W27:W29)</f>
        <v>1.4</v>
      </c>
      <c r="K29" s="137">
        <f>noisuy1chieu(K18,V27:V29,X27:X29)</f>
        <v>0.4</v>
      </c>
      <c r="L29" s="169">
        <f>$K$25*J29</f>
        <v>1.0113052743970459</v>
      </c>
      <c r="M29" s="169">
        <f>$K$25*K29</f>
        <v>0.28894436411344165</v>
      </c>
      <c r="N29" s="168"/>
      <c r="S29" s="106"/>
      <c r="T29" s="123"/>
      <c r="U29" s="232"/>
      <c r="V29" s="121">
        <v>30</v>
      </c>
      <c r="W29" s="121">
        <v>2.2000000000000002</v>
      </c>
      <c r="X29" s="121">
        <v>0.6</v>
      </c>
      <c r="Y29" s="125"/>
      <c r="Z29" s="125"/>
      <c r="AA29" s="126"/>
      <c r="AK29" s="96">
        <v>25</v>
      </c>
      <c r="AL29" s="97" t="s">
        <v>229</v>
      </c>
      <c r="AM29" s="97" t="s">
        <v>230</v>
      </c>
    </row>
    <row r="30" spans="2:39" ht="15" customHeight="1">
      <c r="B30" s="105"/>
      <c r="G30" s="220" t="str">
        <f>VLOOKUP(34,$AK$5:$AM$44,1+MATCH(U6,$AL$4:$AM$4,0),FALSE)</f>
        <v>Case 2 / TH2</v>
      </c>
      <c r="H30" s="220"/>
      <c r="I30" s="220"/>
      <c r="J30" s="136">
        <f>noisuy1chieu(K18,V30:V32,W30:W32)</f>
        <v>-1.3</v>
      </c>
      <c r="K30" s="136">
        <f>noisuy1chieu(K18,V30:V32,X30:X32)</f>
        <v>-0.2</v>
      </c>
      <c r="L30" s="170">
        <f>$K$25*J30</f>
        <v>-0.93906918336868539</v>
      </c>
      <c r="M30" s="170">
        <f>$K$25*K30</f>
        <v>-0.14447218205672083</v>
      </c>
      <c r="N30" s="168"/>
      <c r="S30" s="106"/>
      <c r="T30" s="107"/>
      <c r="U30" s="232" t="s">
        <v>10</v>
      </c>
      <c r="V30" s="121">
        <v>10</v>
      </c>
      <c r="W30" s="121">
        <v>-1.3</v>
      </c>
      <c r="X30" s="121">
        <v>-0.2</v>
      </c>
      <c r="Y30" s="125"/>
      <c r="Z30" s="125"/>
      <c r="AA30" s="129"/>
      <c r="AK30" s="96">
        <v>26</v>
      </c>
      <c r="AL30" s="97" t="s">
        <v>231</v>
      </c>
      <c r="AM30" s="97" t="s">
        <v>232</v>
      </c>
    </row>
    <row r="31" spans="2:39">
      <c r="B31" s="105"/>
      <c r="D31" s="156"/>
      <c r="E31" s="156"/>
      <c r="F31" s="123"/>
      <c r="G31" s="138" t="str">
        <f>"+ Các giá trị dấu + chỉ tác động gió hướng xuống"</f>
        <v>+ Các giá trị dấu + chỉ tác động gió hướng xuống</v>
      </c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06"/>
      <c r="T31" s="107"/>
      <c r="U31" s="232"/>
      <c r="V31" s="121">
        <v>20</v>
      </c>
      <c r="W31" s="121">
        <v>-1.4</v>
      </c>
      <c r="X31" s="121">
        <v>-0.3</v>
      </c>
      <c r="Y31" s="125"/>
      <c r="Z31" s="125"/>
      <c r="AA31" s="129"/>
      <c r="AK31" s="96">
        <v>27</v>
      </c>
      <c r="AL31" s="130" t="s">
        <v>233</v>
      </c>
      <c r="AM31" s="130" t="s">
        <v>234</v>
      </c>
    </row>
    <row r="32" spans="2:39">
      <c r="B32" s="105"/>
      <c r="D32" s="156"/>
      <c r="E32" s="156"/>
      <c r="F32" s="123"/>
      <c r="G32" s="152" t="str">
        <f>"+ Các giá trị dấu - chỉ tác động gió hướng lên"</f>
        <v>+ Các giá trị dấu - chỉ tác động gió hướng lên</v>
      </c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06"/>
      <c r="T32" s="107"/>
      <c r="U32" s="232"/>
      <c r="V32" s="121">
        <v>30</v>
      </c>
      <c r="W32" s="121">
        <v>-1.6</v>
      </c>
      <c r="X32" s="121">
        <v>-0.4</v>
      </c>
      <c r="Y32" s="125"/>
      <c r="Z32" s="125"/>
      <c r="AA32" s="129"/>
      <c r="AK32" s="96">
        <v>28</v>
      </c>
      <c r="AL32" s="118" t="s">
        <v>235</v>
      </c>
      <c r="AM32" s="118" t="s">
        <v>236</v>
      </c>
    </row>
    <row r="33" spans="2:39">
      <c r="B33" s="131"/>
      <c r="S33" s="106"/>
      <c r="Y33" s="125"/>
      <c r="Z33" s="125"/>
      <c r="AA33" s="95"/>
      <c r="AK33" s="96">
        <v>29</v>
      </c>
      <c r="AL33" s="97" t="s">
        <v>237</v>
      </c>
      <c r="AM33" s="97" t="s">
        <v>238</v>
      </c>
    </row>
    <row r="34" spans="2:39">
      <c r="B34" s="131"/>
      <c r="S34" s="106"/>
      <c r="AA34" s="95"/>
      <c r="AK34" s="96">
        <v>30</v>
      </c>
      <c r="AL34" s="118" t="s">
        <v>239</v>
      </c>
      <c r="AM34" s="118" t="s">
        <v>240</v>
      </c>
    </row>
    <row r="35" spans="2:39">
      <c r="B35" s="131"/>
      <c r="S35" s="106"/>
      <c r="Y35" s="125"/>
      <c r="Z35" s="125"/>
      <c r="AA35" s="95"/>
      <c r="AK35" s="96">
        <v>31</v>
      </c>
      <c r="AL35" s="97" t="s">
        <v>241</v>
      </c>
      <c r="AM35" s="97" t="s">
        <v>242</v>
      </c>
    </row>
    <row r="36" spans="2:39">
      <c r="B36" s="131"/>
      <c r="S36" s="106"/>
      <c r="Y36" s="125"/>
      <c r="Z36" s="125"/>
      <c r="AK36" s="96">
        <v>32</v>
      </c>
      <c r="AL36" s="118" t="s">
        <v>243</v>
      </c>
      <c r="AM36" s="118" t="s">
        <v>244</v>
      </c>
    </row>
    <row r="37" spans="2:39">
      <c r="B37" s="131"/>
      <c r="S37" s="106"/>
      <c r="Y37" s="125"/>
      <c r="Z37" s="125"/>
      <c r="AK37" s="96">
        <v>33</v>
      </c>
      <c r="AL37" s="118" t="s">
        <v>245</v>
      </c>
      <c r="AM37" s="118" t="s">
        <v>246</v>
      </c>
    </row>
    <row r="38" spans="2:39">
      <c r="B38" s="131"/>
      <c r="S38" s="106"/>
      <c r="Y38" s="125"/>
      <c r="Z38" s="125"/>
      <c r="AK38" s="96">
        <v>34</v>
      </c>
      <c r="AL38" s="118" t="s">
        <v>247</v>
      </c>
      <c r="AM38" s="118" t="s">
        <v>248</v>
      </c>
    </row>
    <row r="39" spans="2:39">
      <c r="B39" s="131"/>
      <c r="S39" s="106"/>
      <c r="U39" s="132"/>
      <c r="V39" s="132"/>
      <c r="W39" s="132"/>
      <c r="X39" s="132"/>
      <c r="Y39" s="125"/>
      <c r="Z39" s="125"/>
      <c r="AK39" s="96">
        <v>35</v>
      </c>
      <c r="AL39" s="118" t="str">
        <f>"+ values indicate a net downward acting wind action / Các giá trị dấu + chỉ tác động gió hướng xuống"</f>
        <v>+ values indicate a net downward acting wind action / Các giá trị dấu + chỉ tác động gió hướng xuống</v>
      </c>
      <c r="AM39" s="118" t="str">
        <f>"Các giá trị dấu + chỉ tác động gió hướng xuống"</f>
        <v>Các giá trị dấu + chỉ tác động gió hướng xuống</v>
      </c>
    </row>
    <row r="40" spans="2:39">
      <c r="B40" s="131"/>
      <c r="F40" s="231" t="str">
        <f>G29</f>
        <v>Case 1 / TH1</v>
      </c>
      <c r="G40" s="231"/>
      <c r="H40" s="231"/>
      <c r="L40" s="231" t="str">
        <f>G30</f>
        <v>Case 2 / TH2</v>
      </c>
      <c r="M40" s="231"/>
      <c r="N40" s="231"/>
      <c r="O40" s="231"/>
      <c r="S40" s="106"/>
      <c r="V40" s="125"/>
      <c r="W40" s="125"/>
      <c r="X40" s="125"/>
      <c r="Y40" s="133"/>
      <c r="Z40" s="133"/>
      <c r="AK40" s="96">
        <v>37</v>
      </c>
      <c r="AL40" s="118"/>
      <c r="AM40" s="118"/>
    </row>
    <row r="41" spans="2:39">
      <c r="B41" s="105"/>
      <c r="S41" s="106"/>
      <c r="Y41" s="133"/>
      <c r="Z41" s="133"/>
      <c r="AK41" s="96">
        <v>38</v>
      </c>
      <c r="AL41" s="118"/>
      <c r="AM41" s="118"/>
    </row>
    <row r="42" spans="2:39">
      <c r="B42" s="142" t="s">
        <v>260</v>
      </c>
      <c r="S42" s="106"/>
      <c r="U42" s="134"/>
      <c r="V42" s="135"/>
      <c r="W42" s="135"/>
      <c r="X42" s="135"/>
      <c r="Y42" s="135"/>
      <c r="Z42" s="135"/>
      <c r="AA42" s="135"/>
      <c r="AK42" s="96">
        <v>48</v>
      </c>
      <c r="AL42" s="118"/>
      <c r="AM42" s="118"/>
    </row>
    <row r="43" spans="2:39" ht="15">
      <c r="B43" s="131"/>
      <c r="G43" s="228"/>
      <c r="H43" s="228"/>
      <c r="I43" s="228"/>
      <c r="J43" s="230" t="s">
        <v>13</v>
      </c>
      <c r="K43" s="230"/>
      <c r="L43" s="228" t="s">
        <v>261</v>
      </c>
      <c r="M43" s="228"/>
      <c r="S43" s="106"/>
      <c r="U43" s="134"/>
      <c r="V43" s="135"/>
      <c r="W43" s="135"/>
      <c r="X43" s="135"/>
      <c r="Y43" s="135"/>
      <c r="Z43" s="135"/>
      <c r="AA43" s="135"/>
      <c r="AK43" s="96">
        <v>49</v>
      </c>
      <c r="AL43" s="118"/>
      <c r="AM43" s="118"/>
    </row>
    <row r="44" spans="2:39" ht="15" customHeight="1">
      <c r="B44" s="105"/>
      <c r="G44" s="229"/>
      <c r="H44" s="229"/>
      <c r="I44" s="229"/>
      <c r="J44" s="221" t="s">
        <v>262</v>
      </c>
      <c r="K44" s="221"/>
      <c r="L44" s="224" t="s">
        <v>267</v>
      </c>
      <c r="M44" s="224"/>
      <c r="S44" s="106"/>
      <c r="X44" s="113"/>
      <c r="Y44" s="119"/>
      <c r="Z44" s="95"/>
      <c r="AA44" s="95"/>
      <c r="AK44" s="96">
        <v>50</v>
      </c>
      <c r="AL44" s="118"/>
      <c r="AM44" s="118"/>
    </row>
    <row r="45" spans="2:39" ht="15" customHeight="1">
      <c r="B45" s="105"/>
      <c r="G45" s="227" t="str">
        <f>G29</f>
        <v>Case 1 / TH1</v>
      </c>
      <c r="H45" s="227"/>
      <c r="I45" s="227"/>
      <c r="J45" s="222">
        <f>(1.4+0.4)/2</f>
        <v>0.89999999999999991</v>
      </c>
      <c r="K45" s="222"/>
      <c r="L45" s="225">
        <f>$K$25*J45</f>
        <v>0.65012481925524368</v>
      </c>
      <c r="M45" s="225"/>
      <c r="S45" s="106"/>
      <c r="X45" s="113"/>
      <c r="Y45" s="119"/>
      <c r="Z45" s="95"/>
      <c r="AA45" s="95"/>
    </row>
    <row r="46" spans="2:39" ht="15" customHeight="1">
      <c r="B46" s="105"/>
      <c r="G46" s="220" t="str">
        <f>G30</f>
        <v>Case 2 / TH2</v>
      </c>
      <c r="H46" s="220"/>
      <c r="I46" s="220"/>
      <c r="J46" s="223">
        <f>(1.3+0.2)/2*(-1)</f>
        <v>-0.75</v>
      </c>
      <c r="K46" s="223"/>
      <c r="L46" s="226">
        <f>$K$25*J46</f>
        <v>-0.54177068271270312</v>
      </c>
      <c r="M46" s="226"/>
      <c r="S46" s="106"/>
      <c r="X46" s="113"/>
      <c r="Y46" s="119"/>
      <c r="Z46" s="95"/>
      <c r="AA46" s="95"/>
    </row>
    <row r="47" spans="2:39">
      <c r="B47" s="105"/>
      <c r="G47" s="100" t="s">
        <v>258</v>
      </c>
      <c r="S47" s="106"/>
    </row>
    <row r="48" spans="2:39">
      <c r="B48" s="143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40"/>
    </row>
    <row r="49" spans="2:19" ht="15" customHeight="1">
      <c r="B49" s="340"/>
      <c r="C49" s="341"/>
      <c r="D49" s="341"/>
      <c r="E49" s="342"/>
      <c r="F49" s="214" t="s">
        <v>276</v>
      </c>
      <c r="G49" s="215"/>
      <c r="H49" s="213" t="s">
        <v>273</v>
      </c>
      <c r="I49" s="213"/>
      <c r="J49" s="213"/>
      <c r="K49" s="213"/>
      <c r="L49" s="210" t="s">
        <v>274</v>
      </c>
      <c r="M49" s="211"/>
      <c r="N49" s="211"/>
      <c r="O49" s="212"/>
      <c r="P49" s="210" t="s">
        <v>260</v>
      </c>
      <c r="Q49" s="211"/>
      <c r="R49" s="211"/>
      <c r="S49" s="212"/>
    </row>
    <row r="50" spans="2:19">
      <c r="B50" s="343"/>
      <c r="C50" s="344"/>
      <c r="D50" s="344"/>
      <c r="E50" s="345"/>
      <c r="F50" s="216"/>
      <c r="G50" s="217"/>
      <c r="H50" s="213" t="s">
        <v>271</v>
      </c>
      <c r="I50" s="213"/>
      <c r="J50" s="213" t="s">
        <v>272</v>
      </c>
      <c r="K50" s="213"/>
      <c r="L50" s="210" t="s">
        <v>271</v>
      </c>
      <c r="M50" s="212"/>
      <c r="N50" s="210" t="s">
        <v>272</v>
      </c>
      <c r="O50" s="212"/>
      <c r="P50" s="210" t="s">
        <v>271</v>
      </c>
      <c r="Q50" s="212"/>
      <c r="R50" s="210" t="s">
        <v>272</v>
      </c>
      <c r="S50" s="212"/>
    </row>
    <row r="51" spans="2:19">
      <c r="B51" s="346" t="s">
        <v>277</v>
      </c>
      <c r="C51" s="346"/>
      <c r="D51" s="346"/>
      <c r="E51" s="346"/>
      <c r="F51" s="218">
        <v>2.4500000000000002</v>
      </c>
      <c r="G51" s="218"/>
      <c r="H51" s="219">
        <f>$F$51*L29</f>
        <v>2.4776979222727626</v>
      </c>
      <c r="I51" s="219"/>
      <c r="J51" s="219">
        <f>F51*M29</f>
        <v>0.70791369207793209</v>
      </c>
      <c r="K51" s="219"/>
      <c r="L51" s="208">
        <f>$F$51*L30</f>
        <v>-2.3007194992532796</v>
      </c>
      <c r="M51" s="209"/>
      <c r="N51" s="208">
        <f>$F$51*M30</f>
        <v>-0.35395684603896604</v>
      </c>
      <c r="O51" s="209"/>
      <c r="P51" s="208">
        <f>$F$51*L45</f>
        <v>1.592805807175347</v>
      </c>
      <c r="Q51" s="209"/>
      <c r="R51" s="208">
        <f>$F$51*L46</f>
        <v>-1.3273381726461226</v>
      </c>
      <c r="S51" s="209"/>
    </row>
    <row r="52" spans="2:19">
      <c r="B52" s="346" t="s">
        <v>278</v>
      </c>
      <c r="C52" s="346"/>
      <c r="D52" s="346"/>
      <c r="E52" s="346"/>
      <c r="F52" s="218">
        <f>F51/2</f>
        <v>1.2250000000000001</v>
      </c>
      <c r="G52" s="218"/>
      <c r="H52" s="219">
        <f>$F$52*L29</f>
        <v>1.2388489611363813</v>
      </c>
      <c r="I52" s="219"/>
      <c r="J52" s="219">
        <f>F52*M29</f>
        <v>0.35395684603896604</v>
      </c>
      <c r="K52" s="219"/>
      <c r="L52" s="208">
        <f>$F$52*L30</f>
        <v>-1.1503597496266398</v>
      </c>
      <c r="M52" s="209"/>
      <c r="N52" s="208">
        <f>$F$52*M30</f>
        <v>-0.17697842301948302</v>
      </c>
      <c r="O52" s="209"/>
      <c r="P52" s="208">
        <f>$F$52*L45</f>
        <v>0.79640290358767352</v>
      </c>
      <c r="Q52" s="209"/>
      <c r="R52" s="208">
        <f>$F$52*L46</f>
        <v>-0.66366908632306132</v>
      </c>
      <c r="S52" s="209"/>
    </row>
  </sheetData>
  <mergeCells count="59">
    <mergeCell ref="F52:G52"/>
    <mergeCell ref="H52:I52"/>
    <mergeCell ref="J52:K52"/>
    <mergeCell ref="L52:M52"/>
    <mergeCell ref="N52:O52"/>
    <mergeCell ref="P52:Q52"/>
    <mergeCell ref="R52:S52"/>
    <mergeCell ref="B51:E51"/>
    <mergeCell ref="B52:E52"/>
    <mergeCell ref="B49:E50"/>
    <mergeCell ref="W25:W26"/>
    <mergeCell ref="X25:X26"/>
    <mergeCell ref="I21:M21"/>
    <mergeCell ref="U6:U9"/>
    <mergeCell ref="B11:F11"/>
    <mergeCell ref="B20:F20"/>
    <mergeCell ref="Q5:S7"/>
    <mergeCell ref="N5:P7"/>
    <mergeCell ref="B5:M7"/>
    <mergeCell ref="U25:U26"/>
    <mergeCell ref="V25:V26"/>
    <mergeCell ref="F40:H40"/>
    <mergeCell ref="L40:O40"/>
    <mergeCell ref="U27:U29"/>
    <mergeCell ref="U30:U32"/>
    <mergeCell ref="C27:C28"/>
    <mergeCell ref="J27:K27"/>
    <mergeCell ref="L27:M27"/>
    <mergeCell ref="G30:I30"/>
    <mergeCell ref="G29:I29"/>
    <mergeCell ref="G27:I28"/>
    <mergeCell ref="G46:I46"/>
    <mergeCell ref="J44:K44"/>
    <mergeCell ref="J45:K45"/>
    <mergeCell ref="J46:K46"/>
    <mergeCell ref="L44:M44"/>
    <mergeCell ref="L45:M45"/>
    <mergeCell ref="L46:M46"/>
    <mergeCell ref="G45:I45"/>
    <mergeCell ref="G43:I44"/>
    <mergeCell ref="J43:K43"/>
    <mergeCell ref="L43:M43"/>
    <mergeCell ref="H49:K49"/>
    <mergeCell ref="F49:G50"/>
    <mergeCell ref="F51:G51"/>
    <mergeCell ref="H50:I50"/>
    <mergeCell ref="J50:K50"/>
    <mergeCell ref="H51:I51"/>
    <mergeCell ref="J51:K51"/>
    <mergeCell ref="L51:M51"/>
    <mergeCell ref="N51:O51"/>
    <mergeCell ref="L49:O49"/>
    <mergeCell ref="P49:S49"/>
    <mergeCell ref="P50:Q50"/>
    <mergeCell ref="R50:S50"/>
    <mergeCell ref="P51:Q51"/>
    <mergeCell ref="R51:S51"/>
    <mergeCell ref="L50:M50"/>
    <mergeCell ref="N50:O50"/>
  </mergeCells>
  <dataValidations disablePrompts="1" count="4">
    <dataValidation allowBlank="1" showInputMessage="1" showErrorMessage="1" prompt="Nhà bê tông: Gf = 0.85 + h/2840_x000a_Nhà thép: Gf = 0.85+h/1010" sqref="C25:C27" xr:uid="{C2A1780F-EEA6-42AC-946F-37631DCAE599}"/>
    <dataValidation type="list" allowBlank="1" showInputMessage="1" showErrorMessage="1" sqref="U6:U9" xr:uid="{FF059BF1-B29A-49E4-9ED9-D1C58CD8C2EA}">
      <formula1>$AL$4:$AM$4</formula1>
    </dataValidation>
    <dataValidation type="list" operator="greaterThanOrEqual" showInputMessage="1" showErrorMessage="1" errorTitle="Warning!" error="Minimum design wind speed = 85 mph" sqref="K12:Q12" xr:uid="{F94B7336-0FE4-497B-833E-04FC6C778282}">
      <formula1>$X$13:$X$17</formula1>
    </dataValidation>
    <dataValidation type="list" allowBlank="1" showInputMessage="1" showErrorMessage="1" errorTitle="Warning!" error="Invalid exposure category_x000a_Must input either A, B, C, or D" sqref="N15:Q15 K15:L15" xr:uid="{861A1F9F-94E0-447D-ACED-2AD8B24D883F}">
      <formula1>"A,B,C"</formula1>
    </dataValidation>
  </dataValidations>
  <printOptions gridLines="1"/>
  <pageMargins left="1" right="0.5" top="0.75" bottom="0.75" header="0.5" footer="0.5"/>
  <pageSetup paperSize="9" scale="72" orientation="portrait" r:id="rId1"/>
  <headerFooter alignWithMargins="0"/>
  <ignoredErrors>
    <ignoredError sqref="K18 K25" unlockedFormula="1"/>
    <ignoredError sqref="J30 K29:K30" formulaRange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AI100"/>
  <sheetViews>
    <sheetView showGridLines="0" view="pageBreakPreview" topLeftCell="A47" zoomScale="85" zoomScaleNormal="145" zoomScaleSheetLayoutView="85" workbookViewId="0">
      <selection activeCell="I58" sqref="I58"/>
    </sheetView>
  </sheetViews>
  <sheetFormatPr defaultRowHeight="15" outlineLevelRow="1"/>
  <cols>
    <col min="1" max="1" width="2.7109375" customWidth="1"/>
    <col min="13" max="13" width="4.5703125" customWidth="1"/>
    <col min="17" max="17" width="10.85546875" bestFit="1" customWidth="1"/>
    <col min="21" max="21" width="11.5703125" customWidth="1"/>
  </cols>
  <sheetData>
    <row r="2" spans="2:22" hidden="1"/>
    <row r="3" spans="2:22" hidden="1"/>
    <row r="4" spans="2:22" hidden="1"/>
    <row r="6" spans="2:22" ht="15" customHeight="1">
      <c r="B6" s="247" t="s">
        <v>3</v>
      </c>
      <c r="C6" s="248"/>
      <c r="D6" s="248"/>
      <c r="E6" s="248"/>
      <c r="F6" s="248"/>
      <c r="G6" s="248"/>
      <c r="H6" s="248"/>
      <c r="I6" s="243" t="s">
        <v>1</v>
      </c>
      <c r="J6" s="243"/>
      <c r="K6" s="243" t="s">
        <v>2</v>
      </c>
      <c r="L6" s="244"/>
    </row>
    <row r="7" spans="2:22" ht="15" customHeight="1">
      <c r="B7" s="249"/>
      <c r="C7" s="250"/>
      <c r="D7" s="250"/>
      <c r="E7" s="250"/>
      <c r="F7" s="250"/>
      <c r="G7" s="250"/>
      <c r="H7" s="250"/>
      <c r="I7" s="245"/>
      <c r="J7" s="245"/>
      <c r="K7" s="245"/>
      <c r="L7" s="246"/>
    </row>
    <row r="8" spans="2:22" ht="15" customHeight="1">
      <c r="B8" s="249"/>
      <c r="C8" s="250"/>
      <c r="D8" s="250"/>
      <c r="E8" s="250"/>
      <c r="F8" s="250"/>
      <c r="G8" s="250"/>
      <c r="H8" s="250"/>
      <c r="I8" s="245"/>
      <c r="J8" s="245"/>
      <c r="K8" s="245"/>
      <c r="L8" s="246"/>
    </row>
    <row r="9" spans="2:22">
      <c r="B9" s="50"/>
      <c r="C9" s="56" t="s">
        <v>5</v>
      </c>
      <c r="E9" s="56" t="s">
        <v>119</v>
      </c>
      <c r="L9" s="51"/>
      <c r="O9" s="301" t="s">
        <v>19</v>
      </c>
      <c r="P9" s="301"/>
      <c r="Q9" s="301"/>
      <c r="R9" s="301"/>
      <c r="S9" s="301"/>
      <c r="T9" s="301"/>
      <c r="U9" s="301"/>
      <c r="V9" s="301"/>
    </row>
    <row r="10" spans="2:22" ht="15" customHeight="1">
      <c r="B10" s="50"/>
      <c r="L10" s="51"/>
      <c r="O10" s="2" t="s">
        <v>6</v>
      </c>
      <c r="P10" s="2" t="s">
        <v>7</v>
      </c>
      <c r="Q10" s="2" t="s">
        <v>8</v>
      </c>
      <c r="R10" s="2" t="s">
        <v>9</v>
      </c>
      <c r="S10" s="2" t="s">
        <v>10</v>
      </c>
      <c r="T10" s="2" t="s">
        <v>11</v>
      </c>
      <c r="U10" s="3" t="s">
        <v>12</v>
      </c>
      <c r="V10" s="2" t="s">
        <v>13</v>
      </c>
    </row>
    <row r="11" spans="2:22" ht="18">
      <c r="B11" s="298" t="s">
        <v>4</v>
      </c>
      <c r="C11" s="299"/>
      <c r="D11" s="299"/>
      <c r="E11" s="299"/>
      <c r="L11" s="51"/>
      <c r="O11" s="2" t="s">
        <v>15</v>
      </c>
      <c r="P11" s="1">
        <v>36</v>
      </c>
      <c r="Q11" s="1">
        <v>44</v>
      </c>
      <c r="R11" s="1">
        <v>50</v>
      </c>
      <c r="S11" s="1">
        <v>55</v>
      </c>
      <c r="T11" s="1">
        <v>61</v>
      </c>
      <c r="U11" s="3">
        <v>50</v>
      </c>
      <c r="V11" s="5" t="s">
        <v>14</v>
      </c>
    </row>
    <row r="12" spans="2:22" ht="18">
      <c r="B12" s="50"/>
      <c r="L12" s="51"/>
      <c r="O12" s="2" t="s">
        <v>16</v>
      </c>
      <c r="P12" s="1">
        <f>P11*$V$12</f>
        <v>42.452315172444344</v>
      </c>
      <c r="Q12" s="1">
        <f t="shared" ref="Q12:T12" si="0">Q11*$V$12</f>
        <v>51.886162988543084</v>
      </c>
      <c r="R12" s="1">
        <f t="shared" si="0"/>
        <v>58.961548850617142</v>
      </c>
      <c r="S12" s="1">
        <f t="shared" si="0"/>
        <v>64.857703735678854</v>
      </c>
      <c r="T12" s="1">
        <f t="shared" si="0"/>
        <v>71.933089597752911</v>
      </c>
      <c r="U12" s="2">
        <v>300</v>
      </c>
      <c r="V12" s="4">
        <f>(0.36+0.1*LN(12*U12))/(0.36+0.1*LN(12*$U$11))</f>
        <v>1.1792309770123428</v>
      </c>
    </row>
    <row r="13" spans="2:22" ht="18">
      <c r="B13" s="52" t="s">
        <v>20</v>
      </c>
      <c r="H13" s="57" t="s">
        <v>8</v>
      </c>
      <c r="I13" t="s">
        <v>21</v>
      </c>
      <c r="L13" s="51"/>
      <c r="O13" s="2" t="s">
        <v>17</v>
      </c>
      <c r="P13" s="1">
        <f>P11*$V$13</f>
        <v>45.503524296240059</v>
      </c>
      <c r="Q13" s="1">
        <f t="shared" ref="Q13:T13" si="1">Q11*$V$13</f>
        <v>55.615418584293401</v>
      </c>
      <c r="R13" s="1">
        <f t="shared" si="1"/>
        <v>63.199339300333413</v>
      </c>
      <c r="S13" s="1">
        <f t="shared" si="1"/>
        <v>69.51927323036675</v>
      </c>
      <c r="T13" s="1">
        <f t="shared" si="1"/>
        <v>77.103193946406762</v>
      </c>
      <c r="U13" s="2">
        <v>700</v>
      </c>
      <c r="V13" s="4">
        <f>(0.36+0.1*LN(12*U13))/(0.36+0.1*LN(12*$U$11))</f>
        <v>1.2639867860066683</v>
      </c>
    </row>
    <row r="14" spans="2:22" ht="18">
      <c r="B14" s="52" t="s">
        <v>22</v>
      </c>
      <c r="G14" s="58" t="s">
        <v>23</v>
      </c>
      <c r="H14" s="59">
        <f>HLOOKUP($H$13,$P$10:$T$14,2,FALSE)</f>
        <v>44</v>
      </c>
      <c r="I14" t="s">
        <v>24</v>
      </c>
      <c r="L14" s="51"/>
      <c r="O14" s="2" t="s">
        <v>18</v>
      </c>
      <c r="P14" s="1">
        <f>P11*$V$14</f>
        <v>48.698796857087316</v>
      </c>
      <c r="Q14" s="1">
        <f t="shared" ref="Q14:T14" si="2">Q11*$V$14</f>
        <v>59.520751714217823</v>
      </c>
      <c r="R14" s="1">
        <f t="shared" si="2"/>
        <v>67.637217857065707</v>
      </c>
      <c r="S14" s="1">
        <f t="shared" si="2"/>
        <v>74.400939642772286</v>
      </c>
      <c r="T14" s="1">
        <f t="shared" si="2"/>
        <v>82.51740578562017</v>
      </c>
      <c r="U14" s="2">
        <v>1700</v>
      </c>
      <c r="V14" s="4">
        <f>(0.36+0.1*LN(12*U14))/(0.36+0.1*LN(12*$U$11))</f>
        <v>1.3527443571413142</v>
      </c>
    </row>
    <row r="15" spans="2:22">
      <c r="B15" s="52" t="s">
        <v>31</v>
      </c>
      <c r="H15" s="60" t="s">
        <v>8</v>
      </c>
      <c r="L15" s="51"/>
    </row>
    <row r="16" spans="2:22" ht="18">
      <c r="B16" s="52" t="s">
        <v>27</v>
      </c>
      <c r="H16" s="57">
        <v>700</v>
      </c>
      <c r="I16" t="s">
        <v>26</v>
      </c>
      <c r="L16" s="51"/>
      <c r="O16" s="2" t="s">
        <v>59</v>
      </c>
      <c r="P16" s="7" t="s">
        <v>38</v>
      </c>
      <c r="Q16" s="6" t="s">
        <v>60</v>
      </c>
      <c r="S16" s="6"/>
      <c r="T16" s="6" t="s">
        <v>48</v>
      </c>
      <c r="U16" s="6" t="s">
        <v>64</v>
      </c>
    </row>
    <row r="17" spans="2:35">
      <c r="B17" s="52" t="s">
        <v>136</v>
      </c>
      <c r="G17" s="58" t="s">
        <v>25</v>
      </c>
      <c r="H17" s="61">
        <f>HLOOKUP($H$13,$P$10:$T$14,MATCH($H$16,$U$11:$U$14,0)+1,FALSE)</f>
        <v>55.615418584293401</v>
      </c>
      <c r="I17" t="s">
        <v>24</v>
      </c>
      <c r="J17" s="62">
        <f>H17*3.6</f>
        <v>200.21550690345626</v>
      </c>
      <c r="K17" s="63" t="s">
        <v>96</v>
      </c>
      <c r="L17" s="51"/>
      <c r="O17" s="2" t="s">
        <v>29</v>
      </c>
      <c r="P17" s="6">
        <v>7</v>
      </c>
      <c r="Q17" s="6">
        <v>365.76</v>
      </c>
      <c r="S17" s="6" t="s">
        <v>7</v>
      </c>
      <c r="T17" s="6">
        <v>0.87</v>
      </c>
      <c r="U17" s="6">
        <v>0.77</v>
      </c>
    </row>
    <row r="18" spans="2:35">
      <c r="B18" s="52" t="s">
        <v>28</v>
      </c>
      <c r="H18" s="57" t="s">
        <v>29</v>
      </c>
      <c r="L18" s="51"/>
      <c r="O18" s="2" t="s">
        <v>30</v>
      </c>
      <c r="P18" s="6">
        <v>9.5</v>
      </c>
      <c r="Q18" s="6">
        <v>274.32</v>
      </c>
      <c r="S18" s="6" t="s">
        <v>8</v>
      </c>
      <c r="T18" s="6">
        <v>1</v>
      </c>
      <c r="U18" s="6">
        <v>1</v>
      </c>
    </row>
    <row r="19" spans="2:35">
      <c r="B19" s="52" t="s">
        <v>34</v>
      </c>
      <c r="G19" s="58" t="s">
        <v>35</v>
      </c>
      <c r="H19" s="57">
        <v>5</v>
      </c>
      <c r="I19" t="s">
        <v>36</v>
      </c>
      <c r="L19" s="51"/>
      <c r="O19" s="2" t="s">
        <v>58</v>
      </c>
      <c r="P19" s="6">
        <v>11.5</v>
      </c>
      <c r="Q19" s="6">
        <v>213.36</v>
      </c>
      <c r="S19" s="6" t="s">
        <v>9</v>
      </c>
      <c r="T19" s="6">
        <v>1.1499999999999999</v>
      </c>
      <c r="U19" s="6">
        <v>1.1499999999999999</v>
      </c>
    </row>
    <row r="20" spans="2:35">
      <c r="B20" s="52" t="s">
        <v>37</v>
      </c>
      <c r="G20" s="64" t="s">
        <v>39</v>
      </c>
      <c r="H20" s="65">
        <f>DEGREES(ATAN(H19/100))</f>
        <v>2.8624052261117479</v>
      </c>
      <c r="L20" s="51"/>
      <c r="S20" s="6" t="s">
        <v>10</v>
      </c>
      <c r="T20" s="6">
        <v>1.1499999999999999</v>
      </c>
      <c r="U20" s="6">
        <v>1.1499999999999999</v>
      </c>
    </row>
    <row r="21" spans="2:35">
      <c r="B21" s="52" t="s">
        <v>40</v>
      </c>
      <c r="G21" s="58" t="s">
        <v>41</v>
      </c>
      <c r="H21" s="57">
        <v>3</v>
      </c>
      <c r="I21" t="s">
        <v>33</v>
      </c>
      <c r="L21" s="51"/>
    </row>
    <row r="22" spans="2:35" ht="18">
      <c r="B22" s="52" t="s">
        <v>42</v>
      </c>
      <c r="G22" s="58" t="s">
        <v>32</v>
      </c>
      <c r="H22" s="57">
        <v>6</v>
      </c>
      <c r="I22" t="s">
        <v>33</v>
      </c>
      <c r="L22" s="51"/>
    </row>
    <row r="23" spans="2:35" ht="18">
      <c r="B23" s="52" t="s">
        <v>43</v>
      </c>
      <c r="G23" s="58" t="s">
        <v>44</v>
      </c>
      <c r="H23" s="66">
        <f>H22-H19/100*H21</f>
        <v>5.85</v>
      </c>
      <c r="I23" t="s">
        <v>33</v>
      </c>
      <c r="L23" s="51"/>
    </row>
    <row r="24" spans="2:35">
      <c r="B24" s="52" t="s">
        <v>45</v>
      </c>
      <c r="G24" s="58" t="s">
        <v>46</v>
      </c>
      <c r="H24" s="66">
        <f>IF(H20&gt;10,(H22+H23)/2,H23)</f>
        <v>5.85</v>
      </c>
      <c r="I24" t="s">
        <v>33</v>
      </c>
      <c r="L24" s="51"/>
    </row>
    <row r="25" spans="2:35">
      <c r="B25" s="52" t="s">
        <v>270</v>
      </c>
      <c r="G25" s="58" t="s">
        <v>269</v>
      </c>
      <c r="H25" s="177">
        <f>IF(H18="B",MAX(H24,9.1),H24)</f>
        <v>9.1</v>
      </c>
      <c r="I25" t="s">
        <v>33</v>
      </c>
      <c r="L25" s="51"/>
    </row>
    <row r="26" spans="2:35" ht="18">
      <c r="B26" s="52" t="s">
        <v>56</v>
      </c>
      <c r="G26" s="58" t="s">
        <v>51</v>
      </c>
      <c r="H26" s="67">
        <v>1</v>
      </c>
      <c r="L26" s="51"/>
    </row>
    <row r="27" spans="2:35" ht="18">
      <c r="B27" s="52" t="s">
        <v>54</v>
      </c>
      <c r="G27" s="58" t="s">
        <v>55</v>
      </c>
      <c r="H27" s="67">
        <v>0.85</v>
      </c>
      <c r="L27" s="51"/>
    </row>
    <row r="28" spans="2:35">
      <c r="B28" s="52" t="s">
        <v>52</v>
      </c>
      <c r="G28" s="58" t="s">
        <v>53</v>
      </c>
      <c r="H28" s="67">
        <v>0.85</v>
      </c>
      <c r="L28" s="51"/>
    </row>
    <row r="29" spans="2:35" ht="15.75" thickBot="1">
      <c r="B29" s="52" t="s">
        <v>47</v>
      </c>
      <c r="H29" s="60" t="s">
        <v>48</v>
      </c>
      <c r="L29" s="51"/>
    </row>
    <row r="30" spans="2:35">
      <c r="B30" s="52" t="s">
        <v>49</v>
      </c>
      <c r="H30" s="60" t="s">
        <v>50</v>
      </c>
      <c r="L30" s="51"/>
      <c r="O30" s="306" t="s">
        <v>68</v>
      </c>
      <c r="P30" s="309" t="s">
        <v>69</v>
      </c>
      <c r="Q30" s="312" t="s">
        <v>78</v>
      </c>
      <c r="R30" s="313"/>
      <c r="S30" s="313"/>
      <c r="T30" s="314"/>
      <c r="U30" s="312" t="s">
        <v>79</v>
      </c>
      <c r="V30" s="313"/>
      <c r="W30" s="313"/>
      <c r="X30" s="314"/>
      <c r="Y30" s="8"/>
      <c r="Z30" s="315" t="s">
        <v>68</v>
      </c>
      <c r="AA30" s="318" t="s">
        <v>69</v>
      </c>
      <c r="AB30" s="321" t="s">
        <v>70</v>
      </c>
      <c r="AC30" s="321"/>
      <c r="AD30" s="321"/>
      <c r="AE30" s="321"/>
      <c r="AF30" s="321" t="s">
        <v>71</v>
      </c>
      <c r="AG30" s="321"/>
      <c r="AH30" s="321"/>
      <c r="AI30" s="322"/>
    </row>
    <row r="31" spans="2:35">
      <c r="B31" s="50"/>
      <c r="L31" s="51"/>
      <c r="O31" s="307"/>
      <c r="P31" s="310"/>
      <c r="Q31" s="302" t="s">
        <v>72</v>
      </c>
      <c r="R31" s="303"/>
      <c r="S31" s="302" t="s">
        <v>73</v>
      </c>
      <c r="T31" s="303"/>
      <c r="U31" s="302" t="s">
        <v>72</v>
      </c>
      <c r="V31" s="303"/>
      <c r="W31" s="302" t="s">
        <v>73</v>
      </c>
      <c r="X31" s="303"/>
      <c r="Y31" s="8"/>
      <c r="Z31" s="316"/>
      <c r="AA31" s="319"/>
      <c r="AB31" s="304" t="s">
        <v>72</v>
      </c>
      <c r="AC31" s="304"/>
      <c r="AD31" s="304" t="s">
        <v>73</v>
      </c>
      <c r="AE31" s="304"/>
      <c r="AF31" s="304" t="s">
        <v>72</v>
      </c>
      <c r="AG31" s="304"/>
      <c r="AH31" s="304" t="s">
        <v>73</v>
      </c>
      <c r="AI31" s="305"/>
    </row>
    <row r="32" spans="2:35" ht="15" customHeight="1" thickBot="1">
      <c r="B32" s="298" t="s">
        <v>97</v>
      </c>
      <c r="C32" s="299"/>
      <c r="D32" s="299"/>
      <c r="E32" s="299"/>
      <c r="F32" s="299"/>
      <c r="G32" s="299"/>
      <c r="H32" s="299"/>
      <c r="I32" s="299"/>
      <c r="L32" s="51"/>
      <c r="O32" s="308"/>
      <c r="P32" s="311"/>
      <c r="Q32" s="12" t="s">
        <v>80</v>
      </c>
      <c r="R32" s="12" t="s">
        <v>81</v>
      </c>
      <c r="S32" s="12" t="s">
        <v>80</v>
      </c>
      <c r="T32" s="12" t="s">
        <v>81</v>
      </c>
      <c r="U32" s="12" t="s">
        <v>80</v>
      </c>
      <c r="V32" s="12" t="s">
        <v>81</v>
      </c>
      <c r="W32" s="12" t="s">
        <v>80</v>
      </c>
      <c r="X32" s="12" t="s">
        <v>81</v>
      </c>
      <c r="Y32" s="8"/>
      <c r="Z32" s="317"/>
      <c r="AA32" s="320"/>
      <c r="AB32" s="16" t="s">
        <v>74</v>
      </c>
      <c r="AC32" s="16" t="s">
        <v>75</v>
      </c>
      <c r="AD32" s="16" t="s">
        <v>74</v>
      </c>
      <c r="AE32" s="16" t="s">
        <v>75</v>
      </c>
      <c r="AF32" s="16" t="s">
        <v>74</v>
      </c>
      <c r="AG32" s="16" t="s">
        <v>75</v>
      </c>
      <c r="AH32" s="16" t="s">
        <v>74</v>
      </c>
      <c r="AI32" s="17" t="s">
        <v>75</v>
      </c>
    </row>
    <row r="33" spans="2:35">
      <c r="B33" s="50"/>
      <c r="L33" s="51"/>
      <c r="O33" s="281">
        <v>0</v>
      </c>
      <c r="P33" s="12" t="s">
        <v>76</v>
      </c>
      <c r="Q33" s="12">
        <v>1.2</v>
      </c>
      <c r="R33" s="12">
        <v>0.3</v>
      </c>
      <c r="S33" s="12">
        <v>-0.5</v>
      </c>
      <c r="T33" s="12">
        <v>-1.2</v>
      </c>
      <c r="U33" s="12">
        <v>1.2</v>
      </c>
      <c r="V33" s="12">
        <v>0.3</v>
      </c>
      <c r="W33" s="13">
        <v>-0.5</v>
      </c>
      <c r="X33" s="12">
        <v>-1.2</v>
      </c>
      <c r="Y33" s="8"/>
      <c r="Z33" s="18">
        <v>0</v>
      </c>
      <c r="AA33" s="19" t="s">
        <v>76</v>
      </c>
      <c r="AB33" s="19">
        <f t="shared" ref="AB33:AI33" si="3">Q33</f>
        <v>1.2</v>
      </c>
      <c r="AC33" s="19">
        <f t="shared" si="3"/>
        <v>0.3</v>
      </c>
      <c r="AD33" s="19">
        <f t="shared" si="3"/>
        <v>-0.5</v>
      </c>
      <c r="AE33" s="19">
        <f t="shared" si="3"/>
        <v>-1.2</v>
      </c>
      <c r="AF33" s="19">
        <f t="shared" si="3"/>
        <v>1.2</v>
      </c>
      <c r="AG33" s="19">
        <f t="shared" si="3"/>
        <v>0.3</v>
      </c>
      <c r="AH33" s="19">
        <f t="shared" si="3"/>
        <v>-0.5</v>
      </c>
      <c r="AI33" s="20">
        <f t="shared" si="3"/>
        <v>-1.2</v>
      </c>
    </row>
    <row r="34" spans="2:35" ht="15" customHeight="1">
      <c r="B34" s="50" t="s">
        <v>57</v>
      </c>
      <c r="G34" s="68" t="s">
        <v>61</v>
      </c>
      <c r="H34" s="59">
        <f>VLOOKUP(H18,$O$17:$Q$19,2,FALSE)</f>
        <v>7</v>
      </c>
      <c r="I34" s="58" t="s">
        <v>62</v>
      </c>
      <c r="J34" s="59">
        <f>VLOOKUP(H18,$O$17:$Q$19,3,FALSE)</f>
        <v>365.76</v>
      </c>
      <c r="K34" t="s">
        <v>33</v>
      </c>
      <c r="L34" s="51"/>
      <c r="O34" s="282"/>
      <c r="P34" s="12" t="s">
        <v>29</v>
      </c>
      <c r="Q34" s="12">
        <v>-1.1000000000000001</v>
      </c>
      <c r="R34" s="12">
        <v>-0.1</v>
      </c>
      <c r="S34" s="12">
        <v>-1.1000000000000001</v>
      </c>
      <c r="T34" s="12">
        <v>-0.6</v>
      </c>
      <c r="U34" s="12">
        <v>-1.1000000000000001</v>
      </c>
      <c r="V34" s="12">
        <v>-0.1</v>
      </c>
      <c r="W34" s="12">
        <v>-1.1000000000000001</v>
      </c>
      <c r="X34" s="12">
        <v>-0.6</v>
      </c>
      <c r="Y34" s="8"/>
      <c r="Z34" s="21">
        <v>7.5</v>
      </c>
      <c r="AA34" s="9" t="s">
        <v>76</v>
      </c>
      <c r="AB34" s="9">
        <f t="shared" ref="AB34:AI34" si="4">Q35</f>
        <v>-0.6</v>
      </c>
      <c r="AC34" s="9">
        <f t="shared" si="4"/>
        <v>-1</v>
      </c>
      <c r="AD34" s="9">
        <f t="shared" si="4"/>
        <v>-1</v>
      </c>
      <c r="AE34" s="9">
        <f t="shared" si="4"/>
        <v>-1.5</v>
      </c>
      <c r="AF34" s="9">
        <f t="shared" si="4"/>
        <v>0.9</v>
      </c>
      <c r="AG34" s="9">
        <f t="shared" si="4"/>
        <v>1.5</v>
      </c>
      <c r="AH34" s="9">
        <f t="shared" si="4"/>
        <v>-0.2</v>
      </c>
      <c r="AI34" s="15">
        <f t="shared" si="4"/>
        <v>-1.2</v>
      </c>
    </row>
    <row r="35" spans="2:35" ht="15" customHeight="1">
      <c r="B35" s="50" t="s">
        <v>0</v>
      </c>
      <c r="G35" s="58" t="s">
        <v>63</v>
      </c>
      <c r="H35" s="69">
        <f>IF($H$18="B",IF($H$24&lt;9.1,2.01*(9.1/$J$34)^(2/$H$34),2.01*($H$24/$J$34)^(2/$H$34)),IF(OR($H$18="C",$H$18="D"),IF($H$24&lt;4.6,2.01*(4.6/$J$34)^(2/$H$34),2.01*($H$24/$J$34)^(2/$H$34))))</f>
        <v>0.69962627259143728</v>
      </c>
      <c r="L35" s="51"/>
      <c r="O35" s="281">
        <v>7.5</v>
      </c>
      <c r="P35" s="12" t="s">
        <v>76</v>
      </c>
      <c r="Q35" s="12">
        <v>-0.6</v>
      </c>
      <c r="R35" s="12">
        <v>-1</v>
      </c>
      <c r="S35" s="12">
        <v>-1</v>
      </c>
      <c r="T35" s="12">
        <v>-1.5</v>
      </c>
      <c r="U35" s="12">
        <v>0.9</v>
      </c>
      <c r="V35" s="12">
        <v>1.5</v>
      </c>
      <c r="W35" s="12">
        <v>-0.2</v>
      </c>
      <c r="X35" s="12">
        <v>-1.2</v>
      </c>
      <c r="Y35" s="8"/>
      <c r="Z35" s="22">
        <v>15</v>
      </c>
      <c r="AA35" s="9" t="s">
        <v>76</v>
      </c>
      <c r="AB35" s="9">
        <f t="shared" ref="AB35:AI35" si="5">Q37</f>
        <v>-0.9</v>
      </c>
      <c r="AC35" s="9">
        <f t="shared" si="5"/>
        <v>-1.3</v>
      </c>
      <c r="AD35" s="9">
        <f t="shared" si="5"/>
        <v>-1.1000000000000001</v>
      </c>
      <c r="AE35" s="9">
        <f t="shared" si="5"/>
        <v>-1.5</v>
      </c>
      <c r="AF35" s="9">
        <f t="shared" si="5"/>
        <v>1.3</v>
      </c>
      <c r="AG35" s="9">
        <f t="shared" si="5"/>
        <v>1.6</v>
      </c>
      <c r="AH35" s="9">
        <f t="shared" si="5"/>
        <v>0.4</v>
      </c>
      <c r="AI35" s="15">
        <f t="shared" si="5"/>
        <v>-1.1000000000000001</v>
      </c>
    </row>
    <row r="36" spans="2:35" ht="18.75">
      <c r="B36" s="50" t="s">
        <v>65</v>
      </c>
      <c r="G36" s="58" t="s">
        <v>66</v>
      </c>
      <c r="H36" s="69">
        <f>0.613*H35*H26*H27*1*H17^2/1000</f>
        <v>1.1275503149404578</v>
      </c>
      <c r="I36" t="s">
        <v>67</v>
      </c>
      <c r="J36" t="s">
        <v>268</v>
      </c>
      <c r="L36" s="51"/>
      <c r="O36" s="282"/>
      <c r="P36" s="12" t="s">
        <v>29</v>
      </c>
      <c r="Q36" s="12">
        <v>-1.4</v>
      </c>
      <c r="R36" s="12">
        <v>0</v>
      </c>
      <c r="S36" s="12">
        <v>-1.7</v>
      </c>
      <c r="T36" s="12">
        <v>-0.8</v>
      </c>
      <c r="U36" s="12">
        <v>1.6</v>
      </c>
      <c r="V36" s="12">
        <v>0.3</v>
      </c>
      <c r="W36" s="12">
        <v>0.8</v>
      </c>
      <c r="X36" s="12">
        <v>-0.3</v>
      </c>
      <c r="Y36" s="8"/>
      <c r="Z36" s="22">
        <v>22.5</v>
      </c>
      <c r="AA36" s="9" t="s">
        <v>76</v>
      </c>
      <c r="AB36" s="9">
        <f t="shared" ref="AB36:AI36" si="6">Q39</f>
        <v>-1.5</v>
      </c>
      <c r="AC36" s="9">
        <f t="shared" si="6"/>
        <v>-1.6</v>
      </c>
      <c r="AD36" s="9">
        <f t="shared" si="6"/>
        <v>-1.5</v>
      </c>
      <c r="AE36" s="9">
        <f t="shared" si="6"/>
        <v>-1.7</v>
      </c>
      <c r="AF36" s="9">
        <f t="shared" si="6"/>
        <v>1.7</v>
      </c>
      <c r="AG36" s="9">
        <f t="shared" si="6"/>
        <v>1.8</v>
      </c>
      <c r="AH36" s="9">
        <f t="shared" si="6"/>
        <v>0.5</v>
      </c>
      <c r="AI36" s="15">
        <f t="shared" si="6"/>
        <v>-1</v>
      </c>
    </row>
    <row r="37" spans="2:35">
      <c r="B37" s="50"/>
      <c r="L37" s="51"/>
      <c r="O37" s="281">
        <v>15</v>
      </c>
      <c r="P37" s="12" t="s">
        <v>76</v>
      </c>
      <c r="Q37" s="12">
        <v>-0.9</v>
      </c>
      <c r="R37" s="12">
        <v>-1.3</v>
      </c>
      <c r="S37" s="12">
        <v>-1.1000000000000001</v>
      </c>
      <c r="T37" s="12">
        <v>-1.5</v>
      </c>
      <c r="U37" s="12">
        <v>1.3</v>
      </c>
      <c r="V37" s="12">
        <v>1.6</v>
      </c>
      <c r="W37" s="12">
        <v>0.4</v>
      </c>
      <c r="X37" s="12">
        <v>-1.1000000000000001</v>
      </c>
      <c r="Y37" s="8"/>
      <c r="Z37" s="22">
        <v>30</v>
      </c>
      <c r="AA37" s="9" t="s">
        <v>76</v>
      </c>
      <c r="AB37" s="9">
        <f t="shared" ref="AB37:AI37" si="7">Q41</f>
        <v>-1.8</v>
      </c>
      <c r="AC37" s="9">
        <f t="shared" si="7"/>
        <v>-1.8</v>
      </c>
      <c r="AD37" s="9">
        <f t="shared" si="7"/>
        <v>-1.5</v>
      </c>
      <c r="AE37" s="9">
        <f t="shared" si="7"/>
        <v>-1.8</v>
      </c>
      <c r="AF37" s="9">
        <f t="shared" si="7"/>
        <v>2.1</v>
      </c>
      <c r="AG37" s="9">
        <f t="shared" si="7"/>
        <v>2.1</v>
      </c>
      <c r="AH37" s="9">
        <f t="shared" si="7"/>
        <v>0.6</v>
      </c>
      <c r="AI37" s="15">
        <f t="shared" si="7"/>
        <v>-1</v>
      </c>
    </row>
    <row r="38" spans="2:35">
      <c r="B38" s="50"/>
      <c r="L38" s="51"/>
      <c r="O38" s="282"/>
      <c r="P38" s="12" t="s">
        <v>29</v>
      </c>
      <c r="Q38" s="12">
        <v>-1.9</v>
      </c>
      <c r="R38" s="12">
        <v>0</v>
      </c>
      <c r="S38" s="12">
        <v>-2.1</v>
      </c>
      <c r="T38" s="12">
        <v>-0.6</v>
      </c>
      <c r="U38" s="12">
        <v>1.8</v>
      </c>
      <c r="V38" s="12">
        <v>0.6</v>
      </c>
      <c r="W38" s="12">
        <v>1.2</v>
      </c>
      <c r="X38" s="12">
        <v>-0.3</v>
      </c>
      <c r="Y38" s="8"/>
      <c r="Z38" s="22">
        <v>37.5</v>
      </c>
      <c r="AA38" s="9" t="s">
        <v>76</v>
      </c>
      <c r="AB38" s="9">
        <f t="shared" ref="AB38:AI38" si="8">Q43</f>
        <v>-1.8</v>
      </c>
      <c r="AC38" s="9">
        <f t="shared" si="8"/>
        <v>-1.8</v>
      </c>
      <c r="AD38" s="9">
        <f t="shared" si="8"/>
        <v>-1.5</v>
      </c>
      <c r="AE38" s="9">
        <f t="shared" si="8"/>
        <v>-1.8</v>
      </c>
      <c r="AF38" s="9">
        <f t="shared" si="8"/>
        <v>2.1</v>
      </c>
      <c r="AG38" s="9">
        <f t="shared" si="8"/>
        <v>2.2000000000000002</v>
      </c>
      <c r="AH38" s="9">
        <f t="shared" si="8"/>
        <v>0.7</v>
      </c>
      <c r="AI38" s="15">
        <f t="shared" si="8"/>
        <v>-0.9</v>
      </c>
    </row>
    <row r="39" spans="2:35">
      <c r="B39" s="50"/>
      <c r="L39" s="51"/>
      <c r="O39" s="281">
        <v>22.5</v>
      </c>
      <c r="P39" s="12" t="s">
        <v>76</v>
      </c>
      <c r="Q39" s="12">
        <v>-1.5</v>
      </c>
      <c r="R39" s="12">
        <v>-1.6</v>
      </c>
      <c r="S39" s="12">
        <v>-1.5</v>
      </c>
      <c r="T39" s="12">
        <v>-1.7</v>
      </c>
      <c r="U39" s="12">
        <v>1.7</v>
      </c>
      <c r="V39" s="12">
        <v>1.8</v>
      </c>
      <c r="W39" s="12">
        <v>0.5</v>
      </c>
      <c r="X39" s="12">
        <v>-1</v>
      </c>
      <c r="Y39" s="8"/>
      <c r="Z39" s="22">
        <v>45</v>
      </c>
      <c r="AA39" s="9" t="s">
        <v>76</v>
      </c>
      <c r="AB39" s="9">
        <f t="shared" ref="AB39:AI39" si="9">Q45</f>
        <v>-1.6</v>
      </c>
      <c r="AC39" s="9">
        <f t="shared" si="9"/>
        <v>-1.8</v>
      </c>
      <c r="AD39" s="9">
        <f t="shared" si="9"/>
        <v>-1.3</v>
      </c>
      <c r="AE39" s="9">
        <f t="shared" si="9"/>
        <v>-1.8</v>
      </c>
      <c r="AF39" s="9">
        <f t="shared" si="9"/>
        <v>2.2000000000000002</v>
      </c>
      <c r="AG39" s="9">
        <f t="shared" si="9"/>
        <v>2.5</v>
      </c>
      <c r="AH39" s="9">
        <f t="shared" si="9"/>
        <v>0.8</v>
      </c>
      <c r="AI39" s="15">
        <f t="shared" si="9"/>
        <v>-0.9</v>
      </c>
    </row>
    <row r="40" spans="2:35" ht="15" customHeight="1" thickBot="1">
      <c r="B40" s="50"/>
      <c r="L40" s="51"/>
      <c r="O40" s="282"/>
      <c r="P40" s="12" t="s">
        <v>29</v>
      </c>
      <c r="Q40" s="12">
        <v>-2.4</v>
      </c>
      <c r="R40" s="12">
        <v>-0.3</v>
      </c>
      <c r="S40" s="12">
        <v>-2.2999999999999998</v>
      </c>
      <c r="T40" s="12">
        <v>-0.9</v>
      </c>
      <c r="U40" s="12">
        <v>2.2000000000000002</v>
      </c>
      <c r="V40" s="12">
        <v>0.7</v>
      </c>
      <c r="W40" s="12">
        <v>1.3</v>
      </c>
      <c r="X40" s="12">
        <v>0</v>
      </c>
      <c r="Y40" s="8"/>
      <c r="Z40" s="23">
        <f>H20</f>
        <v>2.8624052261117479</v>
      </c>
      <c r="AA40" s="24" t="s">
        <v>76</v>
      </c>
      <c r="AB40" s="25" cm="1">
        <f t="array" ref="AB40">IF($Z$40&lt;7.5,AB33,noisuy1chieu($Z$40,$Z$34:$Z$39,AB34:AB39))</f>
        <v>1.2</v>
      </c>
      <c r="AC40" s="25" cm="1">
        <f t="array" ref="AC40">IF($Z$40&lt;7.5,AC33,noisuy1chieu($Z$40,$Z$34:$Z$39,AC34:AC39))</f>
        <v>0.3</v>
      </c>
      <c r="AD40" s="25" cm="1">
        <f t="array" ref="AD40">IF($Z$40&lt;7.5,AD33,noisuy1chieu($Z$40,$Z$34:$Z$39,AD34:AD39))</f>
        <v>-0.5</v>
      </c>
      <c r="AE40" s="25" cm="1">
        <f t="array" ref="AE40">IF($Z$40&lt;7.5,AE33,noisuy1chieu($Z$40,$Z$34:$Z$39,AE34:AE39))</f>
        <v>-1.2</v>
      </c>
      <c r="AF40" s="25" cm="1">
        <f t="array" ref="AF40">IF($Z$40&lt;7.5,AF33,noisuy1chieu($Z$40,$Z$34:$Z$39,AF34:AF39))</f>
        <v>1.2</v>
      </c>
      <c r="AG40" s="25" cm="1">
        <f t="array" ref="AG40">IF($Z$40&lt;7.5,AG33,noisuy1chieu($Z$40,$Z$34:$Z$39,AG34:AG39))</f>
        <v>0.3</v>
      </c>
      <c r="AH40" s="25" cm="1">
        <f t="array" ref="AH40">IF($Z$40&lt;7.5,AH33,noisuy1chieu($Z$40,$Z$34:$Z$39,AH34:AH39))</f>
        <v>-0.5</v>
      </c>
      <c r="AI40" s="26" cm="1">
        <f t="array" ref="AI40">IF($Z$40&lt;7.5,AI33,noisuy1chieu($Z$40,$Z$34:$Z$39,AI34:AI39))</f>
        <v>-1.2</v>
      </c>
    </row>
    <row r="41" spans="2:35">
      <c r="B41" s="50"/>
      <c r="L41" s="51"/>
      <c r="O41" s="281">
        <v>30</v>
      </c>
      <c r="P41" s="12" t="s">
        <v>76</v>
      </c>
      <c r="Q41" s="12">
        <v>-1.8</v>
      </c>
      <c r="R41" s="12">
        <v>-1.8</v>
      </c>
      <c r="S41" s="12">
        <v>-1.5</v>
      </c>
      <c r="T41" s="12">
        <v>-1.8</v>
      </c>
      <c r="U41" s="12">
        <v>2.1</v>
      </c>
      <c r="V41" s="12">
        <v>2.1</v>
      </c>
      <c r="W41" s="12">
        <v>0.6</v>
      </c>
      <c r="X41" s="12">
        <v>-1</v>
      </c>
      <c r="Y41" s="8"/>
      <c r="Z41" s="18">
        <v>0</v>
      </c>
      <c r="AA41" s="19" t="s">
        <v>29</v>
      </c>
      <c r="AB41" s="19">
        <f t="shared" ref="AB41:AI41" si="10">Q34</f>
        <v>-1.1000000000000001</v>
      </c>
      <c r="AC41" s="19">
        <f t="shared" si="10"/>
        <v>-0.1</v>
      </c>
      <c r="AD41" s="19">
        <f t="shared" si="10"/>
        <v>-1.1000000000000001</v>
      </c>
      <c r="AE41" s="19">
        <f t="shared" si="10"/>
        <v>-0.6</v>
      </c>
      <c r="AF41" s="19">
        <f t="shared" si="10"/>
        <v>-1.1000000000000001</v>
      </c>
      <c r="AG41" s="19">
        <f t="shared" si="10"/>
        <v>-0.1</v>
      </c>
      <c r="AH41" s="19">
        <f t="shared" si="10"/>
        <v>-1.1000000000000001</v>
      </c>
      <c r="AI41" s="20">
        <f t="shared" si="10"/>
        <v>-0.6</v>
      </c>
    </row>
    <row r="42" spans="2:35" ht="15" customHeight="1">
      <c r="B42" s="50"/>
      <c r="L42" s="51"/>
      <c r="O42" s="282"/>
      <c r="P42" s="12" t="s">
        <v>29</v>
      </c>
      <c r="Q42" s="12">
        <v>-2.5</v>
      </c>
      <c r="R42" s="12">
        <v>-0.5</v>
      </c>
      <c r="S42" s="12">
        <v>-2.2999999999999998</v>
      </c>
      <c r="T42" s="12">
        <v>-1.1000000000000001</v>
      </c>
      <c r="U42" s="12">
        <v>2.6</v>
      </c>
      <c r="V42" s="12">
        <v>1</v>
      </c>
      <c r="W42" s="12">
        <v>1.6</v>
      </c>
      <c r="X42" s="12">
        <v>0.1</v>
      </c>
      <c r="Y42" s="8"/>
      <c r="Z42" s="21">
        <v>7.5</v>
      </c>
      <c r="AA42" s="9" t="s">
        <v>29</v>
      </c>
      <c r="AB42" s="9">
        <f t="shared" ref="AB42:AI42" si="11">Q36</f>
        <v>-1.4</v>
      </c>
      <c r="AC42" s="9">
        <f t="shared" si="11"/>
        <v>0</v>
      </c>
      <c r="AD42" s="9">
        <f t="shared" si="11"/>
        <v>-1.7</v>
      </c>
      <c r="AE42" s="9">
        <f t="shared" si="11"/>
        <v>-0.8</v>
      </c>
      <c r="AF42" s="9">
        <f t="shared" si="11"/>
        <v>1.6</v>
      </c>
      <c r="AG42" s="9">
        <f t="shared" si="11"/>
        <v>0.3</v>
      </c>
      <c r="AH42" s="9">
        <f t="shared" si="11"/>
        <v>0.8</v>
      </c>
      <c r="AI42" s="15">
        <f t="shared" si="11"/>
        <v>-0.3</v>
      </c>
    </row>
    <row r="43" spans="2:35">
      <c r="B43" s="50"/>
      <c r="L43" s="51"/>
      <c r="O43" s="281">
        <v>37.5</v>
      </c>
      <c r="P43" s="12" t="s">
        <v>76</v>
      </c>
      <c r="Q43" s="12">
        <v>-1.8</v>
      </c>
      <c r="R43" s="12">
        <v>-1.8</v>
      </c>
      <c r="S43" s="12">
        <v>-1.5</v>
      </c>
      <c r="T43" s="12">
        <v>-1.8</v>
      </c>
      <c r="U43" s="12">
        <v>2.1</v>
      </c>
      <c r="V43" s="12">
        <v>2.2000000000000002</v>
      </c>
      <c r="W43" s="12">
        <v>0.7</v>
      </c>
      <c r="X43" s="12">
        <v>-0.9</v>
      </c>
      <c r="Y43" s="8"/>
      <c r="Z43" s="22">
        <v>15</v>
      </c>
      <c r="AA43" s="9" t="s">
        <v>29</v>
      </c>
      <c r="AB43" s="9">
        <f t="shared" ref="AB43:AI43" si="12">Q38</f>
        <v>-1.9</v>
      </c>
      <c r="AC43" s="9">
        <f t="shared" si="12"/>
        <v>0</v>
      </c>
      <c r="AD43" s="9">
        <f t="shared" si="12"/>
        <v>-2.1</v>
      </c>
      <c r="AE43" s="9">
        <f t="shared" si="12"/>
        <v>-0.6</v>
      </c>
      <c r="AF43" s="9">
        <f t="shared" si="12"/>
        <v>1.8</v>
      </c>
      <c r="AG43" s="9">
        <f t="shared" si="12"/>
        <v>0.6</v>
      </c>
      <c r="AH43" s="9">
        <f t="shared" si="12"/>
        <v>1.2</v>
      </c>
      <c r="AI43" s="15">
        <f t="shared" si="12"/>
        <v>-0.3</v>
      </c>
    </row>
    <row r="44" spans="2:35">
      <c r="B44" s="50"/>
      <c r="L44" s="51"/>
      <c r="O44" s="282"/>
      <c r="P44" s="12" t="s">
        <v>29</v>
      </c>
      <c r="Q44" s="12">
        <v>-2.4</v>
      </c>
      <c r="R44" s="12">
        <v>-0.6</v>
      </c>
      <c r="S44" s="12">
        <v>-2.2000000000000002</v>
      </c>
      <c r="T44" s="12">
        <v>-1.1000000000000001</v>
      </c>
      <c r="U44" s="12">
        <v>2.7</v>
      </c>
      <c r="V44" s="12">
        <v>1.1000000000000001</v>
      </c>
      <c r="W44" s="12">
        <v>1.9</v>
      </c>
      <c r="X44" s="12">
        <v>0.3</v>
      </c>
      <c r="Y44" s="8"/>
      <c r="Z44" s="22">
        <v>22.5</v>
      </c>
      <c r="AA44" s="9" t="s">
        <v>29</v>
      </c>
      <c r="AB44" s="9">
        <f t="shared" ref="AB44:AI44" si="13">Q40</f>
        <v>-2.4</v>
      </c>
      <c r="AC44" s="9">
        <f t="shared" si="13"/>
        <v>-0.3</v>
      </c>
      <c r="AD44" s="9">
        <f t="shared" si="13"/>
        <v>-2.2999999999999998</v>
      </c>
      <c r="AE44" s="9">
        <f t="shared" si="13"/>
        <v>-0.9</v>
      </c>
      <c r="AF44" s="9">
        <f t="shared" si="13"/>
        <v>2.2000000000000002</v>
      </c>
      <c r="AG44" s="9">
        <f t="shared" si="13"/>
        <v>0.7</v>
      </c>
      <c r="AH44" s="9">
        <f t="shared" si="13"/>
        <v>1.3</v>
      </c>
      <c r="AI44" s="15">
        <f t="shared" si="13"/>
        <v>0</v>
      </c>
    </row>
    <row r="45" spans="2:35">
      <c r="B45" s="50"/>
      <c r="L45" s="51"/>
      <c r="O45" s="281">
        <v>45</v>
      </c>
      <c r="P45" s="12" t="s">
        <v>76</v>
      </c>
      <c r="Q45" s="12">
        <v>-1.6</v>
      </c>
      <c r="R45" s="12">
        <v>-1.8</v>
      </c>
      <c r="S45" s="12">
        <v>-1.3</v>
      </c>
      <c r="T45" s="12">
        <v>-1.8</v>
      </c>
      <c r="U45" s="12">
        <v>2.2000000000000002</v>
      </c>
      <c r="V45" s="12">
        <v>2.5</v>
      </c>
      <c r="W45" s="12">
        <v>0.8</v>
      </c>
      <c r="X45" s="12">
        <v>-0.9</v>
      </c>
      <c r="Y45" s="8"/>
      <c r="Z45" s="22">
        <v>30</v>
      </c>
      <c r="AA45" s="9" t="s">
        <v>29</v>
      </c>
      <c r="AB45" s="9">
        <f t="shared" ref="AB45:AI45" si="14">Q42</f>
        <v>-2.5</v>
      </c>
      <c r="AC45" s="9">
        <f t="shared" si="14"/>
        <v>-0.5</v>
      </c>
      <c r="AD45" s="9">
        <f t="shared" si="14"/>
        <v>-2.2999999999999998</v>
      </c>
      <c r="AE45" s="9">
        <f t="shared" si="14"/>
        <v>-1.1000000000000001</v>
      </c>
      <c r="AF45" s="9">
        <f t="shared" si="14"/>
        <v>2.6</v>
      </c>
      <c r="AG45" s="9">
        <f t="shared" si="14"/>
        <v>1</v>
      </c>
      <c r="AH45" s="9">
        <f t="shared" si="14"/>
        <v>1.6</v>
      </c>
      <c r="AI45" s="15">
        <f t="shared" si="14"/>
        <v>0.1</v>
      </c>
    </row>
    <row r="46" spans="2:35">
      <c r="B46" s="50"/>
      <c r="L46" s="51"/>
      <c r="O46" s="282"/>
      <c r="P46" s="12" t="s">
        <v>29</v>
      </c>
      <c r="Q46" s="12">
        <v>-2.2999999999999998</v>
      </c>
      <c r="R46" s="12">
        <v>-0.7</v>
      </c>
      <c r="S46" s="12">
        <v>-1.9</v>
      </c>
      <c r="T46" s="12">
        <v>-1.2</v>
      </c>
      <c r="U46" s="12">
        <v>2.6</v>
      </c>
      <c r="V46" s="12">
        <v>1.4</v>
      </c>
      <c r="W46" s="12">
        <v>2.1</v>
      </c>
      <c r="X46" s="12">
        <v>0.4</v>
      </c>
      <c r="Y46" s="8"/>
      <c r="Z46" s="22">
        <v>37.5</v>
      </c>
      <c r="AA46" s="9" t="s">
        <v>29</v>
      </c>
      <c r="AB46" s="9">
        <f t="shared" ref="AB46:AI46" si="15">Q44</f>
        <v>-2.4</v>
      </c>
      <c r="AC46" s="9">
        <f t="shared" si="15"/>
        <v>-0.6</v>
      </c>
      <c r="AD46" s="9">
        <f t="shared" si="15"/>
        <v>-2.2000000000000002</v>
      </c>
      <c r="AE46" s="9">
        <f t="shared" si="15"/>
        <v>-1.1000000000000001</v>
      </c>
      <c r="AF46" s="9">
        <f t="shared" si="15"/>
        <v>2.7</v>
      </c>
      <c r="AG46" s="9">
        <f t="shared" si="15"/>
        <v>1.1000000000000001</v>
      </c>
      <c r="AH46" s="9">
        <f t="shared" si="15"/>
        <v>1.9</v>
      </c>
      <c r="AI46" s="15">
        <f t="shared" si="15"/>
        <v>0.3</v>
      </c>
    </row>
    <row r="47" spans="2:35" ht="15" customHeight="1">
      <c r="B47" s="50"/>
      <c r="C47" s="330" t="str">
        <f>H30&amp;" Flow"</f>
        <v>Clear Flow</v>
      </c>
      <c r="D47" s="330"/>
      <c r="E47" s="284" t="s">
        <v>86</v>
      </c>
      <c r="F47" s="284"/>
      <c r="G47" s="323" t="s">
        <v>84</v>
      </c>
      <c r="H47" s="323"/>
      <c r="I47" s="323" t="s">
        <v>85</v>
      </c>
      <c r="J47" s="323"/>
      <c r="L47" s="51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8"/>
      <c r="Z47" s="22">
        <v>45</v>
      </c>
      <c r="AA47" s="9" t="s">
        <v>29</v>
      </c>
      <c r="AB47" s="9">
        <f t="shared" ref="AB47:AI47" si="16">Q46</f>
        <v>-2.2999999999999998</v>
      </c>
      <c r="AC47" s="9">
        <f t="shared" si="16"/>
        <v>-0.7</v>
      </c>
      <c r="AD47" s="9">
        <f t="shared" si="16"/>
        <v>-1.9</v>
      </c>
      <c r="AE47" s="9">
        <f t="shared" si="16"/>
        <v>-1.2</v>
      </c>
      <c r="AF47" s="9">
        <f t="shared" si="16"/>
        <v>2.6</v>
      </c>
      <c r="AG47" s="9">
        <f t="shared" si="16"/>
        <v>1.4</v>
      </c>
      <c r="AH47" s="9">
        <f t="shared" si="16"/>
        <v>2.1</v>
      </c>
      <c r="AI47" s="15">
        <f t="shared" si="16"/>
        <v>0.4</v>
      </c>
    </row>
    <row r="48" spans="2:35" ht="16.5" thickBot="1">
      <c r="B48" s="50"/>
      <c r="C48" s="330"/>
      <c r="D48" s="330"/>
      <c r="E48" s="284"/>
      <c r="F48" s="284"/>
      <c r="G48" s="9" t="s">
        <v>74</v>
      </c>
      <c r="H48" s="9" t="s">
        <v>75</v>
      </c>
      <c r="I48" s="9" t="s">
        <v>74</v>
      </c>
      <c r="J48" s="9" t="s">
        <v>75</v>
      </c>
      <c r="L48" s="51"/>
      <c r="O48" s="283" t="s">
        <v>69</v>
      </c>
      <c r="P48" s="323" t="s">
        <v>70</v>
      </c>
      <c r="Q48" s="323"/>
      <c r="R48" s="323"/>
      <c r="S48" s="323"/>
      <c r="T48" s="323" t="s">
        <v>71</v>
      </c>
      <c r="U48" s="323"/>
      <c r="V48" s="323"/>
      <c r="W48" s="323"/>
      <c r="X48" s="10"/>
      <c r="Y48" s="8"/>
      <c r="Z48" s="23">
        <f>Z40</f>
        <v>2.8624052261117479</v>
      </c>
      <c r="AA48" s="24" t="s">
        <v>29</v>
      </c>
      <c r="AB48" s="25" cm="1">
        <f t="array" ref="AB48">IF($Z$48&lt;7.5,AB41,noisuy1chieu($Z$48,$Z$42:$Z$47,AB42:AB47))</f>
        <v>-1.1000000000000001</v>
      </c>
      <c r="AC48" s="25" cm="1">
        <f t="array" ref="AC48">IF($Z$48&lt;7.5,AC41,noisuy1chieu($Z$48,$Z$42:$Z$47,AC42:AC47))</f>
        <v>-0.1</v>
      </c>
      <c r="AD48" s="25" cm="1">
        <f t="array" ref="AD48">IF($Z$48&lt;7.5,AD41,noisuy1chieu($Z$48,$Z$42:$Z$47,AD42:AD47))</f>
        <v>-1.1000000000000001</v>
      </c>
      <c r="AE48" s="25" cm="1">
        <f t="array" ref="AE48">IF($Z$48&lt;7.5,AE41,noisuy1chieu($Z$48,$Z$42:$Z$47,AE42:AE47))</f>
        <v>-0.6</v>
      </c>
      <c r="AF48" s="25" cm="1">
        <f t="array" ref="AF48">IF($Z$48&lt;7.5,AF41,noisuy1chieu($Z$48,$Z$42:$Z$47,AF42:AF47))</f>
        <v>-1.1000000000000001</v>
      </c>
      <c r="AG48" s="25" cm="1">
        <f t="array" ref="AG48">IF($Z$48&lt;7.5,AG41,noisuy1chieu($Z$48,$Z$42:$Z$47,AG42:AG47))</f>
        <v>-0.1</v>
      </c>
      <c r="AH48" s="25" cm="1">
        <f t="array" ref="AH48">IF($Z$48&lt;7.5,AH41,noisuy1chieu($Z$48,$Z$42:$Z$47,AH42:AH47))</f>
        <v>-1.1000000000000001</v>
      </c>
      <c r="AI48" s="26" cm="1">
        <f t="array" ref="AI48">IF($Z$48&lt;7.5,AI41,noisuy1chieu($Z$48,$Z$42:$Z$47,AI42:AI47))</f>
        <v>-0.6</v>
      </c>
    </row>
    <row r="49" spans="2:35">
      <c r="B49" s="50"/>
      <c r="C49" s="295" t="s">
        <v>83</v>
      </c>
      <c r="D49" s="295"/>
      <c r="E49" s="296" t="s">
        <v>76</v>
      </c>
      <c r="F49" s="296"/>
      <c r="G49" s="28">
        <f>IF($H$30="Clear",P51,R51)</f>
        <v>1.2</v>
      </c>
      <c r="H49" s="28">
        <f>IF($H$30="Clear",Q51,S51)</f>
        <v>0.3</v>
      </c>
      <c r="I49" s="28">
        <f>IF($H$30="Clear",T51,V51)</f>
        <v>1.2</v>
      </c>
      <c r="J49" s="28">
        <f>IF($H$30="Clear",U51,W51)</f>
        <v>0.3</v>
      </c>
      <c r="L49" s="51"/>
      <c r="O49" s="283"/>
      <c r="P49" s="304" t="s">
        <v>72</v>
      </c>
      <c r="Q49" s="304"/>
      <c r="R49" s="304" t="s">
        <v>73</v>
      </c>
      <c r="S49" s="304"/>
      <c r="T49" s="304" t="s">
        <v>72</v>
      </c>
      <c r="U49" s="304"/>
      <c r="V49" s="304" t="s">
        <v>73</v>
      </c>
      <c r="W49" s="304"/>
      <c r="X49" s="11"/>
      <c r="Y49" s="11"/>
      <c r="Z49" s="324" t="s">
        <v>77</v>
      </c>
      <c r="AA49" s="325"/>
      <c r="AB49" s="325"/>
      <c r="AC49" s="325"/>
      <c r="AD49" s="325"/>
      <c r="AE49" s="325"/>
      <c r="AF49" s="325"/>
      <c r="AG49" s="325"/>
      <c r="AH49" s="325"/>
      <c r="AI49" s="326"/>
    </row>
    <row r="50" spans="2:35" ht="15" customHeight="1">
      <c r="B50" s="50"/>
      <c r="C50" s="295"/>
      <c r="D50" s="295"/>
      <c r="E50" s="297" t="s">
        <v>29</v>
      </c>
      <c r="F50" s="297"/>
      <c r="G50" s="29">
        <f>IF($H$30="Clear",P52,R52)</f>
        <v>-1.1000000000000001</v>
      </c>
      <c r="H50" s="29">
        <f>IF($H$30="Clear",Q52,S52)</f>
        <v>-0.1</v>
      </c>
      <c r="I50" s="29">
        <f>IF($H$30="Clear",T52,V52)</f>
        <v>-1.1000000000000001</v>
      </c>
      <c r="J50" s="29">
        <f>IF($H$30="Clear",U52,W52)</f>
        <v>-0.1</v>
      </c>
      <c r="L50" s="51"/>
      <c r="O50" s="283"/>
      <c r="P50" s="9" t="s">
        <v>74</v>
      </c>
      <c r="Q50" s="9" t="s">
        <v>75</v>
      </c>
      <c r="R50" s="9" t="s">
        <v>74</v>
      </c>
      <c r="S50" s="9" t="s">
        <v>75</v>
      </c>
      <c r="T50" s="9" t="s">
        <v>74</v>
      </c>
      <c r="U50" s="9" t="s">
        <v>75</v>
      </c>
      <c r="V50" s="9" t="s">
        <v>74</v>
      </c>
      <c r="W50" s="9" t="s">
        <v>75</v>
      </c>
      <c r="X50" s="11"/>
      <c r="Y50" s="11"/>
      <c r="Z50" s="324"/>
      <c r="AA50" s="325"/>
      <c r="AB50" s="325"/>
      <c r="AC50" s="325"/>
      <c r="AD50" s="325"/>
      <c r="AE50" s="325"/>
      <c r="AF50" s="325"/>
      <c r="AG50" s="325"/>
      <c r="AH50" s="325"/>
      <c r="AI50" s="326"/>
    </row>
    <row r="51" spans="2:35">
      <c r="B51" s="50"/>
      <c r="C51" s="295" t="s">
        <v>82</v>
      </c>
      <c r="D51" s="295"/>
      <c r="E51" s="296" t="s">
        <v>76</v>
      </c>
      <c r="F51" s="296"/>
      <c r="G51" s="171">
        <f t="shared" ref="G51:J52" si="17">$H$36*$H$28*G49</f>
        <v>1.1501013212392668</v>
      </c>
      <c r="H51" s="171">
        <f t="shared" si="17"/>
        <v>0.2875253303098167</v>
      </c>
      <c r="I51" s="171">
        <f t="shared" si="17"/>
        <v>1.1501013212392668</v>
      </c>
      <c r="J51" s="171">
        <f t="shared" si="17"/>
        <v>0.2875253303098167</v>
      </c>
      <c r="L51" s="51"/>
      <c r="O51" s="14" t="s">
        <v>76</v>
      </c>
      <c r="P51" s="27">
        <f>AB40</f>
        <v>1.2</v>
      </c>
      <c r="Q51" s="27">
        <f>AC40</f>
        <v>0.3</v>
      </c>
      <c r="R51" s="27">
        <f t="shared" ref="R51:S51" si="18">AD40</f>
        <v>-0.5</v>
      </c>
      <c r="S51" s="27">
        <f t="shared" si="18"/>
        <v>-1.2</v>
      </c>
      <c r="T51" s="27">
        <f>AF40</f>
        <v>1.2</v>
      </c>
      <c r="U51" s="27">
        <f>AG40</f>
        <v>0.3</v>
      </c>
      <c r="V51" s="27">
        <f t="shared" ref="V51" si="19">AH40</f>
        <v>-0.5</v>
      </c>
      <c r="W51" s="27">
        <f t="shared" ref="W51" si="20">AI40</f>
        <v>-1.2</v>
      </c>
      <c r="X51" s="11"/>
      <c r="Y51" s="11"/>
      <c r="Z51" s="327"/>
      <c r="AA51" s="328"/>
      <c r="AB51" s="328"/>
      <c r="AC51" s="328"/>
      <c r="AD51" s="328"/>
      <c r="AE51" s="328"/>
      <c r="AF51" s="328"/>
      <c r="AG51" s="328"/>
      <c r="AH51" s="328"/>
      <c r="AI51" s="329"/>
    </row>
    <row r="52" spans="2:35">
      <c r="B52" s="50"/>
      <c r="C52" s="295"/>
      <c r="D52" s="295"/>
      <c r="E52" s="297" t="s">
        <v>29</v>
      </c>
      <c r="F52" s="297"/>
      <c r="G52" s="172">
        <f t="shared" si="17"/>
        <v>-1.0542595444693279</v>
      </c>
      <c r="H52" s="172">
        <f t="shared" si="17"/>
        <v>-9.5841776769938908E-2</v>
      </c>
      <c r="I52" s="172">
        <f t="shared" si="17"/>
        <v>-1.0542595444693279</v>
      </c>
      <c r="J52" s="172">
        <f t="shared" si="17"/>
        <v>-9.5841776769938908E-2</v>
      </c>
      <c r="L52" s="51"/>
      <c r="O52" s="14" t="s">
        <v>29</v>
      </c>
      <c r="P52" s="27">
        <f>AB48</f>
        <v>-1.1000000000000001</v>
      </c>
      <c r="Q52" s="27">
        <f t="shared" ref="Q52:S52" si="21">AC48</f>
        <v>-0.1</v>
      </c>
      <c r="R52" s="27">
        <f t="shared" si="21"/>
        <v>-1.1000000000000001</v>
      </c>
      <c r="S52" s="27">
        <f t="shared" si="21"/>
        <v>-0.6</v>
      </c>
      <c r="T52" s="27">
        <f>AF48</f>
        <v>-1.1000000000000001</v>
      </c>
      <c r="U52" s="27">
        <f t="shared" ref="U52" si="22">AG48</f>
        <v>-0.1</v>
      </c>
      <c r="V52" s="27">
        <f t="shared" ref="V52" si="23">AH48</f>
        <v>-1.1000000000000001</v>
      </c>
      <c r="W52" s="27">
        <f t="shared" ref="W52" si="24">AI48</f>
        <v>-0.6</v>
      </c>
    </row>
    <row r="53" spans="2:35" outlineLevel="1">
      <c r="B53" s="50"/>
      <c r="C53" s="285" t="s">
        <v>87</v>
      </c>
      <c r="D53" s="286"/>
      <c r="E53" s="287" t="s">
        <v>76</v>
      </c>
      <c r="F53" s="287"/>
      <c r="G53" s="30">
        <f>$C$54*G51</f>
        <v>6.9006079274356011</v>
      </c>
      <c r="H53" s="30">
        <f t="shared" ref="H53:J54" si="25">$C$54*H51</f>
        <v>1.7251519818589003</v>
      </c>
      <c r="I53" s="30">
        <f t="shared" si="25"/>
        <v>6.9006079274356011</v>
      </c>
      <c r="J53" s="30">
        <f t="shared" si="25"/>
        <v>1.7251519818589003</v>
      </c>
      <c r="L53" s="51"/>
    </row>
    <row r="54" spans="2:35" outlineLevel="1">
      <c r="B54" s="50"/>
      <c r="C54" s="288">
        <v>6</v>
      </c>
      <c r="D54" s="289"/>
      <c r="E54" s="290" t="s">
        <v>29</v>
      </c>
      <c r="F54" s="290"/>
      <c r="G54" s="31">
        <f>$C$54*G52</f>
        <v>-6.3255572668159674</v>
      </c>
      <c r="H54" s="31">
        <f t="shared" si="25"/>
        <v>-0.5750506606196335</v>
      </c>
      <c r="I54" s="31">
        <f t="shared" si="25"/>
        <v>-6.3255572668159674</v>
      </c>
      <c r="J54" s="31">
        <f t="shared" si="25"/>
        <v>-0.5750506606196335</v>
      </c>
      <c r="L54" s="51"/>
    </row>
    <row r="55" spans="2:35">
      <c r="B55" s="50"/>
      <c r="L55" s="51"/>
    </row>
    <row r="56" spans="2:35">
      <c r="B56" s="50"/>
      <c r="C56" s="291" t="str">
        <f>C47</f>
        <v>Clear Flow</v>
      </c>
      <c r="D56" s="292"/>
      <c r="E56" s="284" t="s">
        <v>86</v>
      </c>
      <c r="F56" s="284"/>
      <c r="G56" s="33" t="s">
        <v>89</v>
      </c>
      <c r="H56" s="70"/>
      <c r="L56" s="51"/>
    </row>
    <row r="57" spans="2:35" ht="15.75">
      <c r="B57" s="50"/>
      <c r="C57" s="293" t="s">
        <v>92</v>
      </c>
      <c r="D57" s="294"/>
      <c r="E57" s="284"/>
      <c r="F57" s="284"/>
      <c r="G57" s="9" t="s">
        <v>88</v>
      </c>
      <c r="H57" s="71"/>
      <c r="L57" s="51"/>
      <c r="O57" s="6" t="s">
        <v>94</v>
      </c>
      <c r="P57" s="6" t="s">
        <v>50</v>
      </c>
      <c r="Q57" s="6" t="s">
        <v>93</v>
      </c>
      <c r="S57" s="6" t="s">
        <v>95</v>
      </c>
      <c r="T57" s="6" t="s">
        <v>50</v>
      </c>
      <c r="U57" s="6" t="s">
        <v>93</v>
      </c>
    </row>
    <row r="58" spans="2:35">
      <c r="B58" s="50"/>
      <c r="C58" s="295" t="s">
        <v>83</v>
      </c>
      <c r="D58" s="295"/>
      <c r="E58" s="296" t="s">
        <v>76</v>
      </c>
      <c r="F58" s="296"/>
      <c r="G58" s="28">
        <f>INDEX($P$58:$Q$60,MATCH($C$57,$O$58:$O$60,0),MATCH($H$30,$P$57:$Q$57,0))</f>
        <v>-0.3</v>
      </c>
      <c r="H58" s="65"/>
      <c r="L58" s="51"/>
      <c r="O58" s="6" t="s">
        <v>90</v>
      </c>
      <c r="P58" s="6">
        <v>-0.8</v>
      </c>
      <c r="Q58" s="6">
        <v>-1.2</v>
      </c>
      <c r="S58" s="6" t="str">
        <f>O58</f>
        <v>&lt; h</v>
      </c>
      <c r="T58" s="6">
        <v>0.8</v>
      </c>
      <c r="U58" s="6">
        <v>0.5</v>
      </c>
    </row>
    <row r="59" spans="2:35">
      <c r="B59" s="50"/>
      <c r="C59" s="295"/>
      <c r="D59" s="295"/>
      <c r="E59" s="297" t="s">
        <v>29</v>
      </c>
      <c r="F59" s="297"/>
      <c r="G59" s="29">
        <f>INDEX($T$58:$U$60,MATCH($C$57,$S$58:$S$60,0),MATCH($H$30,$T$57:$U$57,0))</f>
        <v>0.3</v>
      </c>
      <c r="H59" s="65"/>
      <c r="L59" s="51"/>
      <c r="O59" s="6" t="s">
        <v>91</v>
      </c>
      <c r="P59" s="6">
        <v>-0.6</v>
      </c>
      <c r="Q59" s="6">
        <v>-0.9</v>
      </c>
      <c r="S59" s="6" t="str">
        <f>O59</f>
        <v>&gt; h, &lt; 2h</v>
      </c>
      <c r="T59" s="6">
        <v>0.5</v>
      </c>
      <c r="U59" s="6">
        <v>0.5</v>
      </c>
    </row>
    <row r="60" spans="2:35">
      <c r="B60" s="50"/>
      <c r="C60" s="295" t="s">
        <v>82</v>
      </c>
      <c r="D60" s="295"/>
      <c r="E60" s="296" t="s">
        <v>76</v>
      </c>
      <c r="F60" s="296"/>
      <c r="G60" s="171">
        <f>$H$36*$H$28*G58</f>
        <v>-0.2875253303098167</v>
      </c>
      <c r="H60" s="32"/>
      <c r="L60" s="51"/>
      <c r="O60" s="6" t="s">
        <v>92</v>
      </c>
      <c r="P60" s="6">
        <v>-0.3</v>
      </c>
      <c r="Q60" s="6">
        <v>-0.6</v>
      </c>
      <c r="S60" s="6" t="str">
        <f>O60</f>
        <v>&gt; 2h</v>
      </c>
      <c r="T60" s="6">
        <v>0.3</v>
      </c>
      <c r="U60" s="6">
        <v>0.3</v>
      </c>
    </row>
    <row r="61" spans="2:35">
      <c r="B61" s="50"/>
      <c r="C61" s="295"/>
      <c r="D61" s="295"/>
      <c r="E61" s="297" t="s">
        <v>29</v>
      </c>
      <c r="F61" s="297"/>
      <c r="G61" s="173">
        <f>$H$36*$H$28*G59</f>
        <v>0.2875253303098167</v>
      </c>
      <c r="H61" s="32"/>
      <c r="L61" s="51"/>
    </row>
    <row r="62" spans="2:35" outlineLevel="1">
      <c r="B62" s="50"/>
      <c r="C62" s="285" t="s">
        <v>87</v>
      </c>
      <c r="D62" s="286"/>
      <c r="E62" s="287" t="s">
        <v>76</v>
      </c>
      <c r="F62" s="287"/>
      <c r="G62" s="30">
        <f>$C$63*G60</f>
        <v>-1.7251519818589003</v>
      </c>
      <c r="H62" s="65"/>
      <c r="L62" s="51"/>
    </row>
    <row r="63" spans="2:35" outlineLevel="1">
      <c r="B63" s="50"/>
      <c r="C63" s="288">
        <f>C54</f>
        <v>6</v>
      </c>
      <c r="D63" s="289"/>
      <c r="E63" s="290" t="s">
        <v>29</v>
      </c>
      <c r="F63" s="290"/>
      <c r="G63" s="31">
        <f>$C$63*G61</f>
        <v>1.7251519818589003</v>
      </c>
      <c r="H63" s="65"/>
      <c r="L63" s="51"/>
    </row>
    <row r="64" spans="2:35">
      <c r="B64" s="50"/>
      <c r="L64" s="51"/>
    </row>
    <row r="65" spans="2:30">
      <c r="B65" s="298" t="s">
        <v>98</v>
      </c>
      <c r="C65" s="299"/>
      <c r="D65" s="299"/>
      <c r="E65" s="299"/>
      <c r="F65" s="299"/>
      <c r="G65" s="299"/>
      <c r="H65" s="299"/>
      <c r="I65" s="299"/>
      <c r="L65" s="51"/>
      <c r="O65" s="8"/>
      <c r="P65" s="37" t="s">
        <v>113</v>
      </c>
      <c r="Q65" s="36">
        <f>0.1*H21</f>
        <v>0.30000000000000004</v>
      </c>
      <c r="R65" s="8" t="s">
        <v>33</v>
      </c>
    </row>
    <row r="66" spans="2:30">
      <c r="B66" s="50"/>
      <c r="L66" s="51"/>
      <c r="O66" s="8"/>
      <c r="P66" s="37" t="s">
        <v>114</v>
      </c>
      <c r="Q66" s="36">
        <f>0.4*H24</f>
        <v>2.34</v>
      </c>
      <c r="R66" s="8" t="s">
        <v>33</v>
      </c>
      <c r="W66" s="10"/>
    </row>
    <row r="67" spans="2:30">
      <c r="B67" s="52" t="s">
        <v>99</v>
      </c>
      <c r="G67" s="58" t="s">
        <v>100</v>
      </c>
      <c r="H67" s="57">
        <v>6</v>
      </c>
      <c r="I67" t="s">
        <v>33</v>
      </c>
      <c r="L67" s="51"/>
      <c r="O67" s="8"/>
      <c r="P67" s="37" t="s">
        <v>115</v>
      </c>
      <c r="Q67" s="36">
        <f>MIN(Q65,Q66)</f>
        <v>0.30000000000000004</v>
      </c>
      <c r="R67" s="8" t="s">
        <v>33</v>
      </c>
      <c r="W67" s="10"/>
    </row>
    <row r="68" spans="2:30">
      <c r="B68" s="52" t="s">
        <v>102</v>
      </c>
      <c r="G68" s="58" t="s">
        <v>101</v>
      </c>
      <c r="H68" s="57">
        <v>1.2</v>
      </c>
      <c r="I68" t="s">
        <v>33</v>
      </c>
      <c r="L68" s="51"/>
      <c r="O68" s="8"/>
      <c r="P68" s="37" t="s">
        <v>116</v>
      </c>
      <c r="Q68" s="36">
        <f>0.04*H24</f>
        <v>0.23399999999999999</v>
      </c>
      <c r="R68" s="8" t="s">
        <v>33</v>
      </c>
      <c r="W68" s="10"/>
    </row>
    <row r="69" spans="2:30" ht="18">
      <c r="B69" s="52" t="s">
        <v>103</v>
      </c>
      <c r="G69" s="58" t="s">
        <v>105</v>
      </c>
      <c r="H69" s="59">
        <f>MAX(H67*H68,H67*H67/3)</f>
        <v>12</v>
      </c>
      <c r="I69" t="s">
        <v>104</v>
      </c>
      <c r="L69" s="51"/>
      <c r="O69" s="8"/>
      <c r="P69" s="37" t="s">
        <v>117</v>
      </c>
      <c r="Q69" s="36">
        <v>0.9</v>
      </c>
      <c r="R69" s="8" t="s">
        <v>33</v>
      </c>
      <c r="W69" s="10"/>
    </row>
    <row r="70" spans="2:30">
      <c r="B70" s="52" t="s">
        <v>120</v>
      </c>
      <c r="G70" s="58" t="s">
        <v>121</v>
      </c>
      <c r="H70" s="59">
        <f>Q70</f>
        <v>0.9</v>
      </c>
      <c r="I70" t="s">
        <v>33</v>
      </c>
      <c r="L70" s="51"/>
      <c r="O70" s="8"/>
      <c r="P70" s="37" t="s">
        <v>39</v>
      </c>
      <c r="Q70" s="38">
        <f>MAX(Q67,Q68,Q69)</f>
        <v>0.9</v>
      </c>
      <c r="R70" s="8" t="s">
        <v>33</v>
      </c>
      <c r="W70" s="10"/>
    </row>
    <row r="71" spans="2:30" ht="15.75" customHeight="1" thickBot="1">
      <c r="B71" s="50"/>
      <c r="L71" s="51"/>
    </row>
    <row r="72" spans="2:30" ht="18.75" thickBot="1">
      <c r="B72" s="279" t="s">
        <v>133</v>
      </c>
      <c r="C72" s="279"/>
      <c r="D72" s="279"/>
      <c r="E72" s="279"/>
      <c r="F72" s="279"/>
      <c r="G72" s="279"/>
      <c r="H72" s="279"/>
      <c r="I72" s="279"/>
      <c r="J72" s="279"/>
      <c r="L72" s="51"/>
      <c r="O72" s="40">
        <v>0</v>
      </c>
      <c r="P72" s="41">
        <v>1</v>
      </c>
      <c r="Q72" s="41">
        <v>2</v>
      </c>
      <c r="R72" s="41">
        <v>3</v>
      </c>
      <c r="S72" s="41">
        <v>4</v>
      </c>
      <c r="T72" s="41">
        <v>5</v>
      </c>
      <c r="U72" s="41">
        <v>6</v>
      </c>
      <c r="V72" s="42">
        <v>7</v>
      </c>
      <c r="W72" s="40">
        <v>0</v>
      </c>
      <c r="X72" s="41">
        <v>1</v>
      </c>
      <c r="Y72" s="41">
        <v>2</v>
      </c>
      <c r="Z72" s="41">
        <v>3</v>
      </c>
      <c r="AA72" s="41">
        <v>4</v>
      </c>
      <c r="AB72" s="41">
        <v>5</v>
      </c>
      <c r="AC72" s="41">
        <v>6</v>
      </c>
      <c r="AD72" s="42">
        <v>7</v>
      </c>
    </row>
    <row r="73" spans="2:30" ht="15.75">
      <c r="B73" s="300" t="s">
        <v>122</v>
      </c>
      <c r="C73" s="300"/>
      <c r="D73" s="275" t="s">
        <v>135</v>
      </c>
      <c r="E73" s="331" t="s">
        <v>107</v>
      </c>
      <c r="F73" s="331"/>
      <c r="G73" s="331"/>
      <c r="H73" s="331"/>
      <c r="I73" s="331"/>
      <c r="J73" s="331"/>
      <c r="L73" s="51"/>
      <c r="O73" s="255" t="s">
        <v>68</v>
      </c>
      <c r="P73" s="261" t="s">
        <v>106</v>
      </c>
      <c r="Q73" s="271" t="s">
        <v>107</v>
      </c>
      <c r="R73" s="272"/>
      <c r="S73" s="272"/>
      <c r="T73" s="272"/>
      <c r="U73" s="272"/>
      <c r="V73" s="273"/>
      <c r="W73" s="258" t="s">
        <v>68</v>
      </c>
      <c r="X73" s="261" t="s">
        <v>106</v>
      </c>
      <c r="Y73" s="271" t="s">
        <v>107</v>
      </c>
      <c r="Z73" s="272"/>
      <c r="AA73" s="272"/>
      <c r="AB73" s="272"/>
      <c r="AC73" s="272"/>
      <c r="AD73" s="273"/>
    </row>
    <row r="74" spans="2:30">
      <c r="B74" s="300"/>
      <c r="C74" s="300"/>
      <c r="D74" s="275"/>
      <c r="E74" s="331" t="str">
        <f>IF(H30="Clear","Clear wind flow","Obstructed wind flow")</f>
        <v>Clear wind flow</v>
      </c>
      <c r="F74" s="331"/>
      <c r="G74" s="331"/>
      <c r="H74" s="331"/>
      <c r="I74" s="331"/>
      <c r="J74" s="331"/>
      <c r="L74" s="51"/>
      <c r="O74" s="256"/>
      <c r="P74" s="262"/>
      <c r="Q74" s="263" t="s">
        <v>118</v>
      </c>
      <c r="R74" s="264"/>
      <c r="S74" s="264"/>
      <c r="T74" s="264"/>
      <c r="U74" s="264"/>
      <c r="V74" s="265"/>
      <c r="W74" s="259"/>
      <c r="X74" s="262"/>
      <c r="Y74" s="263" t="s">
        <v>108</v>
      </c>
      <c r="Z74" s="264"/>
      <c r="AA74" s="264"/>
      <c r="AB74" s="264"/>
      <c r="AC74" s="264"/>
      <c r="AD74" s="265"/>
    </row>
    <row r="75" spans="2:30">
      <c r="B75" s="300"/>
      <c r="C75" s="300"/>
      <c r="D75" s="34" t="s">
        <v>109</v>
      </c>
      <c r="E75" s="277" t="s">
        <v>130</v>
      </c>
      <c r="F75" s="278"/>
      <c r="G75" s="277" t="s">
        <v>131</v>
      </c>
      <c r="H75" s="278"/>
      <c r="I75" s="277" t="s">
        <v>132</v>
      </c>
      <c r="J75" s="278"/>
      <c r="L75" s="51"/>
      <c r="O75" s="257"/>
      <c r="P75" s="34" t="s">
        <v>109</v>
      </c>
      <c r="Q75" s="263" t="s">
        <v>110</v>
      </c>
      <c r="R75" s="274"/>
      <c r="S75" s="263" t="s">
        <v>111</v>
      </c>
      <c r="T75" s="274"/>
      <c r="U75" s="263" t="s">
        <v>112</v>
      </c>
      <c r="V75" s="265"/>
      <c r="W75" s="260"/>
      <c r="X75" s="34" t="s">
        <v>109</v>
      </c>
      <c r="Y75" s="263" t="s">
        <v>110</v>
      </c>
      <c r="Z75" s="274"/>
      <c r="AA75" s="263" t="s">
        <v>111</v>
      </c>
      <c r="AB75" s="274"/>
      <c r="AC75" s="263" t="s">
        <v>112</v>
      </c>
      <c r="AD75" s="265"/>
    </row>
    <row r="76" spans="2:30">
      <c r="B76" s="336">
        <f>H20</f>
        <v>2.8624052261117479</v>
      </c>
      <c r="C76" s="336"/>
      <c r="D76" s="35" t="str">
        <f>IF(H69&lt;=H70^2,CONCATENATE("&lt;",$H$70^2),IF(H69&lt;=4*H70^2,CONCATENATE("&lt;",4*$H$70^2),CONCATENATE("&gt;",4*$H$70^2)))</f>
        <v>&gt;3.24</v>
      </c>
      <c r="E76" s="174">
        <f>IF($H$30="Clear",Q100,Y100)</f>
        <v>1.3526616096496582</v>
      </c>
      <c r="F76" s="174">
        <f t="shared" ref="F76:J76" si="26">IF($H$30="Clear",R100,Z100)</f>
        <v>-1.2144962549209595</v>
      </c>
      <c r="G76" s="174">
        <f t="shared" si="26"/>
        <v>1.3526616096496582</v>
      </c>
      <c r="H76" s="174">
        <f t="shared" si="26"/>
        <v>-1.2144962549209595</v>
      </c>
      <c r="I76" s="174">
        <f t="shared" si="26"/>
        <v>1.3526616096496582</v>
      </c>
      <c r="J76" s="174">
        <f t="shared" si="26"/>
        <v>-1.2144962549209595</v>
      </c>
      <c r="L76" s="51"/>
      <c r="O76" s="332">
        <v>0</v>
      </c>
      <c r="P76" s="35" t="str">
        <f>CONCATENATE("&lt;",$H$70^2)</f>
        <v>&lt;0.81</v>
      </c>
      <c r="Q76" s="9">
        <v>2.4</v>
      </c>
      <c r="R76" s="9">
        <v>-3.3</v>
      </c>
      <c r="S76" s="9">
        <v>1.8</v>
      </c>
      <c r="T76" s="9">
        <v>-1.7</v>
      </c>
      <c r="U76" s="9">
        <v>1.2</v>
      </c>
      <c r="V76" s="15">
        <v>-1.1000000000000001</v>
      </c>
      <c r="W76" s="337">
        <v>0</v>
      </c>
      <c r="X76" s="35" t="str">
        <f>CONCATENATE("&lt;",$H$70^2)</f>
        <v>&lt;0.81</v>
      </c>
      <c r="Y76" s="9">
        <v>1</v>
      </c>
      <c r="Z76" s="9">
        <v>-3.6</v>
      </c>
      <c r="AA76" s="9">
        <v>0.8</v>
      </c>
      <c r="AB76" s="9">
        <v>-1.8</v>
      </c>
      <c r="AC76" s="9">
        <v>0.5</v>
      </c>
      <c r="AD76" s="15">
        <v>-1.2</v>
      </c>
    </row>
    <row r="77" spans="2:30">
      <c r="B77" s="50"/>
      <c r="L77" s="51"/>
      <c r="O77" s="333"/>
      <c r="P77" s="9" t="str">
        <f>CONCATENATE("&lt;",4*$H$70^2)</f>
        <v>&lt;3.24</v>
      </c>
      <c r="Q77" s="9">
        <v>1.8</v>
      </c>
      <c r="R77" s="9">
        <v>-1.7</v>
      </c>
      <c r="S77" s="9">
        <v>1.8</v>
      </c>
      <c r="T77" s="9">
        <v>-1.7</v>
      </c>
      <c r="U77" s="9">
        <v>1.2</v>
      </c>
      <c r="V77" s="15">
        <v>-1.1000000000000001</v>
      </c>
      <c r="W77" s="338"/>
      <c r="X77" s="9" t="str">
        <f>CONCATENATE("&lt;",4*$H$70^2)</f>
        <v>&lt;3.24</v>
      </c>
      <c r="Y77" s="9">
        <v>0.8</v>
      </c>
      <c r="Z77" s="9">
        <v>-1.8</v>
      </c>
      <c r="AA77" s="9">
        <v>0.8</v>
      </c>
      <c r="AB77" s="9">
        <v>-1.8</v>
      </c>
      <c r="AC77" s="9">
        <v>0.5</v>
      </c>
      <c r="AD77" s="15">
        <v>-1.2</v>
      </c>
    </row>
    <row r="78" spans="2:30" ht="15" customHeight="1">
      <c r="B78" s="280" t="s">
        <v>123</v>
      </c>
      <c r="C78" s="280"/>
      <c r="D78" s="280"/>
      <c r="E78" s="280"/>
      <c r="F78" s="280"/>
      <c r="G78" s="280"/>
      <c r="H78" s="280"/>
      <c r="I78" s="280"/>
      <c r="J78" s="280"/>
      <c r="L78" s="51"/>
      <c r="O78" s="334"/>
      <c r="P78" s="9" t="str">
        <f>CONCATENATE("&gt;",4*$H$70^2)</f>
        <v>&gt;3.24</v>
      </c>
      <c r="Q78" s="9">
        <v>1.2</v>
      </c>
      <c r="R78" s="9">
        <v>-1.1000000000000001</v>
      </c>
      <c r="S78" s="9">
        <v>1.2</v>
      </c>
      <c r="T78" s="9">
        <v>-1.1000000000000001</v>
      </c>
      <c r="U78" s="9">
        <v>1.2</v>
      </c>
      <c r="V78" s="15">
        <v>-1.1000000000000001</v>
      </c>
      <c r="W78" s="339"/>
      <c r="X78" s="9" t="str">
        <f>CONCATENATE("&gt;",4*$H$70^2)</f>
        <v>&gt;3.24</v>
      </c>
      <c r="Y78" s="9">
        <v>0.5</v>
      </c>
      <c r="Z78" s="9">
        <v>-1.2</v>
      </c>
      <c r="AA78" s="9">
        <v>0.5</v>
      </c>
      <c r="AB78" s="9">
        <v>-1.2</v>
      </c>
      <c r="AC78" s="9">
        <v>0.5</v>
      </c>
      <c r="AD78" s="15">
        <v>-1.2</v>
      </c>
    </row>
    <row r="79" spans="2:30">
      <c r="B79" s="280"/>
      <c r="C79" s="280"/>
      <c r="D79" s="280"/>
      <c r="E79" s="280"/>
      <c r="F79" s="280"/>
      <c r="G79" s="280"/>
      <c r="H79" s="280"/>
      <c r="I79" s="280"/>
      <c r="J79" s="280"/>
      <c r="L79" s="51"/>
      <c r="O79" s="332">
        <v>7.5</v>
      </c>
      <c r="P79" s="35" t="str">
        <f>CONCATENATE("&lt;",$H$70^2)</f>
        <v>&lt;0.81</v>
      </c>
      <c r="Q79" s="9">
        <v>3.2</v>
      </c>
      <c r="R79" s="9">
        <v>-4.2</v>
      </c>
      <c r="S79" s="9">
        <v>2.4</v>
      </c>
      <c r="T79" s="9">
        <v>-2.1</v>
      </c>
      <c r="U79" s="9">
        <v>1.6</v>
      </c>
      <c r="V79" s="15">
        <v>-1.4</v>
      </c>
      <c r="W79" s="337">
        <v>7.5</v>
      </c>
      <c r="X79" s="35" t="str">
        <f>CONCATENATE("&lt;",$H$70^2)</f>
        <v>&lt;0.81</v>
      </c>
      <c r="Y79" s="9">
        <v>1.6</v>
      </c>
      <c r="Z79" s="9">
        <v>-5.0999999999999996</v>
      </c>
      <c r="AA79" s="9">
        <v>1.2</v>
      </c>
      <c r="AB79" s="9">
        <v>-2.6</v>
      </c>
      <c r="AC79" s="9">
        <v>0.8</v>
      </c>
      <c r="AD79" s="15">
        <v>-1.7</v>
      </c>
    </row>
    <row r="80" spans="2:30">
      <c r="B80" s="276" t="s">
        <v>124</v>
      </c>
      <c r="C80" s="276"/>
      <c r="D80" s="34" t="s">
        <v>125</v>
      </c>
      <c r="E80" s="276" t="s">
        <v>126</v>
      </c>
      <c r="F80" s="276"/>
      <c r="G80" s="276"/>
      <c r="H80" s="276"/>
      <c r="I80" s="276"/>
      <c r="J80" s="276"/>
      <c r="L80" s="51"/>
      <c r="O80" s="333"/>
      <c r="P80" s="9" t="str">
        <f>CONCATENATE("&lt;",4*$H$70^2)</f>
        <v>&lt;3.24</v>
      </c>
      <c r="Q80" s="9">
        <v>2.4</v>
      </c>
      <c r="R80" s="9">
        <v>-2.1</v>
      </c>
      <c r="S80" s="9">
        <v>2.4</v>
      </c>
      <c r="T80" s="9">
        <v>-2.1</v>
      </c>
      <c r="U80" s="9">
        <v>1.6</v>
      </c>
      <c r="V80" s="15">
        <v>-1.4</v>
      </c>
      <c r="W80" s="338"/>
      <c r="X80" s="9" t="str">
        <f>CONCATENATE("&lt;",4*$H$70^2)</f>
        <v>&lt;3.24</v>
      </c>
      <c r="Y80" s="9">
        <v>1.2</v>
      </c>
      <c r="Z80" s="9">
        <v>-2.6</v>
      </c>
      <c r="AA80" s="9">
        <v>1.2</v>
      </c>
      <c r="AB80" s="9">
        <v>-2.6</v>
      </c>
      <c r="AC80" s="9">
        <v>0.8</v>
      </c>
      <c r="AD80" s="15">
        <v>-1.7</v>
      </c>
    </row>
    <row r="81" spans="2:30">
      <c r="B81" s="275" t="s">
        <v>127</v>
      </c>
      <c r="C81" s="275"/>
      <c r="D81" s="34" t="s">
        <v>128</v>
      </c>
      <c r="E81" s="277" t="s">
        <v>130</v>
      </c>
      <c r="F81" s="278"/>
      <c r="G81" s="277" t="s">
        <v>131</v>
      </c>
      <c r="H81" s="278"/>
      <c r="I81" s="277" t="s">
        <v>132</v>
      </c>
      <c r="J81" s="278"/>
      <c r="L81" s="51"/>
      <c r="O81" s="334"/>
      <c r="P81" s="9" t="str">
        <f>CONCATENATE("&gt;",4*$H$70^2)</f>
        <v>&gt;3.24</v>
      </c>
      <c r="Q81" s="9">
        <v>1.6</v>
      </c>
      <c r="R81" s="9">
        <v>-1.4</v>
      </c>
      <c r="S81" s="9">
        <v>1.6</v>
      </c>
      <c r="T81" s="9">
        <v>-1.4</v>
      </c>
      <c r="U81" s="9">
        <v>1.6</v>
      </c>
      <c r="V81" s="15">
        <v>-1.4</v>
      </c>
      <c r="W81" s="339"/>
      <c r="X81" s="9" t="str">
        <f>CONCATENATE("&gt;",4*$H$70^2)</f>
        <v>&gt;3.24</v>
      </c>
      <c r="Y81" s="9">
        <v>0.8</v>
      </c>
      <c r="Z81" s="9">
        <v>-1.7</v>
      </c>
      <c r="AA81" s="9">
        <v>0.8</v>
      </c>
      <c r="AB81" s="9">
        <v>-1.7</v>
      </c>
      <c r="AC81" s="9">
        <v>0.8</v>
      </c>
      <c r="AD81" s="15">
        <v>-1.7</v>
      </c>
    </row>
    <row r="82" spans="2:30">
      <c r="B82" s="276" t="s">
        <v>129</v>
      </c>
      <c r="C82" s="276"/>
      <c r="D82" s="39">
        <f>H24</f>
        <v>5.85</v>
      </c>
      <c r="E82" s="175">
        <f t="shared" ref="E82:J82" si="27">$H$36*$H$28*E76</f>
        <v>1.2964149203730877</v>
      </c>
      <c r="F82" s="175">
        <f t="shared" si="27"/>
        <v>-1.1639947895206142</v>
      </c>
      <c r="G82" s="175">
        <f t="shared" si="27"/>
        <v>1.2964149203730877</v>
      </c>
      <c r="H82" s="175">
        <f t="shared" si="27"/>
        <v>-1.1639947895206142</v>
      </c>
      <c r="I82" s="175">
        <f t="shared" si="27"/>
        <v>1.2964149203730877</v>
      </c>
      <c r="J82" s="175">
        <f t="shared" si="27"/>
        <v>-1.1639947895206142</v>
      </c>
      <c r="L82" s="51"/>
      <c r="O82" s="332">
        <v>15</v>
      </c>
      <c r="P82" s="35" t="str">
        <f>CONCATENATE("&lt;",$H$70^2)</f>
        <v>&lt;0.81</v>
      </c>
      <c r="Q82" s="9">
        <v>3.6</v>
      </c>
      <c r="R82" s="9">
        <v>-3.8</v>
      </c>
      <c r="S82" s="9">
        <v>2.7</v>
      </c>
      <c r="T82" s="9">
        <v>-2.9</v>
      </c>
      <c r="U82" s="9">
        <v>1.8</v>
      </c>
      <c r="V82" s="15">
        <v>-1.9</v>
      </c>
      <c r="W82" s="337">
        <v>15</v>
      </c>
      <c r="X82" s="35" t="str">
        <f>CONCATENATE("&lt;",$H$70^2)</f>
        <v>&lt;0.81</v>
      </c>
      <c r="Y82" s="9">
        <v>2.4</v>
      </c>
      <c r="Z82" s="9">
        <v>-4.2</v>
      </c>
      <c r="AA82" s="9">
        <v>1.8</v>
      </c>
      <c r="AB82" s="9">
        <v>-3.2</v>
      </c>
      <c r="AC82" s="9">
        <v>1.2</v>
      </c>
      <c r="AD82" s="15">
        <v>-2.1</v>
      </c>
    </row>
    <row r="83" spans="2:30">
      <c r="B83" s="49" t="s">
        <v>134</v>
      </c>
      <c r="C83" s="49"/>
      <c r="D83" s="49"/>
      <c r="E83" s="176">
        <f>E82*$H$68</f>
        <v>1.5556979044477053</v>
      </c>
      <c r="F83" s="176">
        <f t="shared" ref="F83:I83" si="28">F82*$H$68</f>
        <v>-1.3967937474247369</v>
      </c>
      <c r="G83" s="176">
        <f t="shared" si="28"/>
        <v>1.5556979044477053</v>
      </c>
      <c r="H83" s="176">
        <f t="shared" si="28"/>
        <v>-1.3967937474247369</v>
      </c>
      <c r="I83" s="176">
        <f t="shared" si="28"/>
        <v>1.5556979044477053</v>
      </c>
      <c r="J83" s="176">
        <f>J82*$H$68</f>
        <v>-1.3967937474247369</v>
      </c>
      <c r="L83" s="51"/>
      <c r="O83" s="333"/>
      <c r="P83" s="9" t="str">
        <f>CONCATENATE("&lt;",4*$H$70^2)</f>
        <v>&lt;3.24</v>
      </c>
      <c r="Q83" s="9">
        <v>2.7</v>
      </c>
      <c r="R83" s="9">
        <v>-2.9</v>
      </c>
      <c r="S83" s="9">
        <v>2.7</v>
      </c>
      <c r="T83" s="9">
        <v>-2.9</v>
      </c>
      <c r="U83" s="9">
        <v>1.8</v>
      </c>
      <c r="V83" s="15">
        <v>-1.9</v>
      </c>
      <c r="W83" s="338"/>
      <c r="X83" s="9" t="str">
        <f>CONCATENATE("&lt;",4*$H$70^2)</f>
        <v>&lt;3.24</v>
      </c>
      <c r="Y83" s="9">
        <v>1.8</v>
      </c>
      <c r="Z83" s="48">
        <v>-3.2</v>
      </c>
      <c r="AA83" s="9">
        <v>1.8</v>
      </c>
      <c r="AB83" s="9">
        <v>-3.2</v>
      </c>
      <c r="AC83" s="9">
        <v>1.2</v>
      </c>
      <c r="AD83" s="15">
        <v>-2.1</v>
      </c>
    </row>
    <row r="84" spans="2:30">
      <c r="B84" s="50"/>
      <c r="L84" s="51"/>
      <c r="O84" s="334"/>
      <c r="P84" s="9" t="str">
        <f>CONCATENATE("&gt;",4*$H$70^2)</f>
        <v>&gt;3.24</v>
      </c>
      <c r="Q84" s="9">
        <v>1.8</v>
      </c>
      <c r="R84" s="9">
        <v>-1.9</v>
      </c>
      <c r="S84" s="9">
        <v>1.8</v>
      </c>
      <c r="T84" s="9">
        <v>-1.9</v>
      </c>
      <c r="U84" s="9">
        <v>1.8</v>
      </c>
      <c r="V84" s="15">
        <v>-1.9</v>
      </c>
      <c r="W84" s="339"/>
      <c r="X84" s="9" t="str">
        <f>CONCATENATE("&gt;",4*$H$70^2)</f>
        <v>&gt;3.24</v>
      </c>
      <c r="Y84" s="9">
        <v>1.2</v>
      </c>
      <c r="Z84" s="9">
        <v>-2.1</v>
      </c>
      <c r="AA84" s="9">
        <v>1.2</v>
      </c>
      <c r="AB84" s="9">
        <v>-2.1</v>
      </c>
      <c r="AC84" s="9">
        <v>1.2</v>
      </c>
      <c r="AD84" s="15">
        <v>-2.1</v>
      </c>
    </row>
    <row r="85" spans="2:30">
      <c r="B85" s="50"/>
      <c r="L85" s="51"/>
      <c r="O85" s="332">
        <v>30</v>
      </c>
      <c r="P85" s="35" t="str">
        <f>CONCATENATE("&lt;",$H$70^2)</f>
        <v>&lt;0.81</v>
      </c>
      <c r="Q85" s="9">
        <v>5.2</v>
      </c>
      <c r="R85" s="9">
        <v>-5</v>
      </c>
      <c r="S85" s="9">
        <v>3.9</v>
      </c>
      <c r="T85" s="9">
        <v>-3.8</v>
      </c>
      <c r="U85" s="9">
        <v>2.6</v>
      </c>
      <c r="V85" s="15">
        <v>-2.5</v>
      </c>
      <c r="W85" s="337">
        <v>30</v>
      </c>
      <c r="X85" s="35" t="str">
        <f>CONCATENATE("&lt;",$H$70^2)</f>
        <v>&lt;0.81</v>
      </c>
      <c r="Y85" s="9">
        <v>3.2</v>
      </c>
      <c r="Z85" s="9">
        <v>-4.5999999999999996</v>
      </c>
      <c r="AA85" s="9">
        <v>2.4</v>
      </c>
      <c r="AB85" s="9">
        <v>-3.5</v>
      </c>
      <c r="AC85" s="9">
        <v>1.6</v>
      </c>
      <c r="AD85" s="15">
        <v>-2.2999999999999998</v>
      </c>
    </row>
    <row r="86" spans="2:30">
      <c r="B86" s="50"/>
      <c r="L86" s="51"/>
      <c r="O86" s="333"/>
      <c r="P86" s="9" t="str">
        <f>CONCATENATE("&lt;",4*$H$70^2)</f>
        <v>&lt;3.24</v>
      </c>
      <c r="Q86" s="9">
        <v>3.9</v>
      </c>
      <c r="R86" s="9">
        <v>-3.8</v>
      </c>
      <c r="S86" s="9">
        <v>3.9</v>
      </c>
      <c r="T86" s="9">
        <v>-3.8</v>
      </c>
      <c r="U86" s="9">
        <v>2.6</v>
      </c>
      <c r="V86" s="15">
        <v>-2.5</v>
      </c>
      <c r="W86" s="338"/>
      <c r="X86" s="9" t="str">
        <f>CONCATENATE("&lt;",4*$H$70^2)</f>
        <v>&lt;3.24</v>
      </c>
      <c r="Y86" s="9">
        <v>2.4</v>
      </c>
      <c r="Z86" s="9">
        <v>-3.5</v>
      </c>
      <c r="AA86" s="9">
        <v>2.4</v>
      </c>
      <c r="AB86" s="9">
        <v>-3.5</v>
      </c>
      <c r="AC86" s="9">
        <v>1.6</v>
      </c>
      <c r="AD86" s="15">
        <v>-2.2999999999999998</v>
      </c>
    </row>
    <row r="87" spans="2:30">
      <c r="B87" s="50"/>
      <c r="L87" s="51"/>
      <c r="O87" s="334"/>
      <c r="P87" s="9" t="str">
        <f>CONCATENATE("&gt;",4*$H$70^2)</f>
        <v>&gt;3.24</v>
      </c>
      <c r="Q87" s="9">
        <v>2.6</v>
      </c>
      <c r="R87" s="9">
        <v>-2.5</v>
      </c>
      <c r="S87" s="9">
        <v>2.6</v>
      </c>
      <c r="T87" s="9">
        <v>-2.5</v>
      </c>
      <c r="U87" s="9">
        <v>2.6</v>
      </c>
      <c r="V87" s="15">
        <v>-2.5</v>
      </c>
      <c r="W87" s="339"/>
      <c r="X87" s="9" t="str">
        <f>CONCATENATE("&gt;",4*$H$70^2)</f>
        <v>&gt;3.24</v>
      </c>
      <c r="Y87" s="9">
        <v>1.6</v>
      </c>
      <c r="Z87" s="9">
        <v>-2.2999999999999998</v>
      </c>
      <c r="AA87" s="9">
        <v>1.6</v>
      </c>
      <c r="AB87" s="9">
        <v>-2.2999999999999998</v>
      </c>
      <c r="AC87" s="9">
        <v>1.6</v>
      </c>
      <c r="AD87" s="15">
        <v>-2.2999999999999998</v>
      </c>
    </row>
    <row r="88" spans="2:30">
      <c r="B88" s="50"/>
      <c r="L88" s="51"/>
      <c r="O88" s="332">
        <v>45</v>
      </c>
      <c r="P88" s="35" t="str">
        <f>CONCATENATE("&lt;",$H$70^2)</f>
        <v>&lt;0.81</v>
      </c>
      <c r="Q88" s="9">
        <v>5.2</v>
      </c>
      <c r="R88" s="9">
        <v>-4.5999999999999996</v>
      </c>
      <c r="S88" s="9">
        <v>3.9</v>
      </c>
      <c r="T88" s="9">
        <v>-3.5</v>
      </c>
      <c r="U88" s="9">
        <v>2.6</v>
      </c>
      <c r="V88" s="15">
        <v>-2.2999999999999998</v>
      </c>
      <c r="W88" s="337">
        <v>45</v>
      </c>
      <c r="X88" s="35" t="str">
        <f>CONCATENATE("&lt;",$H$70^2)</f>
        <v>&lt;0.81</v>
      </c>
      <c r="Y88" s="9">
        <v>4.2</v>
      </c>
      <c r="Z88" s="9">
        <v>-3.8</v>
      </c>
      <c r="AA88" s="9">
        <v>3.2</v>
      </c>
      <c r="AB88" s="9">
        <v>-2.9</v>
      </c>
      <c r="AC88" s="9">
        <v>2.1</v>
      </c>
      <c r="AD88" s="15">
        <v>-1.9</v>
      </c>
    </row>
    <row r="89" spans="2:30">
      <c r="B89" s="50"/>
      <c r="L89" s="51"/>
      <c r="O89" s="333"/>
      <c r="P89" s="9" t="str">
        <f>CONCATENATE("&lt;",4*$H$70^2)</f>
        <v>&lt;3.24</v>
      </c>
      <c r="Q89" s="9">
        <v>3.9</v>
      </c>
      <c r="R89" s="9">
        <v>-3.5</v>
      </c>
      <c r="S89" s="9">
        <v>3.9</v>
      </c>
      <c r="T89" s="9">
        <v>-3.5</v>
      </c>
      <c r="U89" s="9">
        <v>2.6</v>
      </c>
      <c r="V89" s="15">
        <v>-2.2999999999999998</v>
      </c>
      <c r="W89" s="338"/>
      <c r="X89" s="9" t="str">
        <f>CONCATENATE("&lt;",4*$H$70^2)</f>
        <v>&lt;3.24</v>
      </c>
      <c r="Y89" s="9">
        <v>3.2</v>
      </c>
      <c r="Z89" s="9">
        <v>-2.9</v>
      </c>
      <c r="AA89" s="9">
        <v>3.2</v>
      </c>
      <c r="AB89" s="9">
        <v>-2.9</v>
      </c>
      <c r="AC89" s="9">
        <v>2.1</v>
      </c>
      <c r="AD89" s="15">
        <v>-1.9</v>
      </c>
    </row>
    <row r="90" spans="2:30" ht="15.75" thickBot="1">
      <c r="B90" s="50"/>
      <c r="L90" s="51"/>
      <c r="O90" s="335"/>
      <c r="P90" s="16" t="str">
        <f>CONCATENATE("&gt;",4*$H$70^2)</f>
        <v>&gt;3.24</v>
      </c>
      <c r="Q90" s="16">
        <v>2.6</v>
      </c>
      <c r="R90" s="16">
        <v>-2.2999999999999998</v>
      </c>
      <c r="S90" s="16">
        <v>2.6</v>
      </c>
      <c r="T90" s="16">
        <v>-2.2999999999999998</v>
      </c>
      <c r="U90" s="16">
        <v>2.6</v>
      </c>
      <c r="V90" s="17">
        <v>-2.2999999999999998</v>
      </c>
      <c r="W90" s="339"/>
      <c r="X90" s="9" t="str">
        <f>CONCATENATE("&gt;",4*$H$70^2)</f>
        <v>&gt;3.24</v>
      </c>
      <c r="Y90" s="9">
        <v>2.1</v>
      </c>
      <c r="Z90" s="9">
        <v>-1.9</v>
      </c>
      <c r="AA90" s="9">
        <v>2.1</v>
      </c>
      <c r="AB90" s="9">
        <v>1.9</v>
      </c>
      <c r="AC90" s="9">
        <v>2.1</v>
      </c>
      <c r="AD90" s="15">
        <v>-1.9</v>
      </c>
    </row>
    <row r="91" spans="2:30" ht="15.75" thickBot="1">
      <c r="B91" s="50"/>
      <c r="L91" s="51"/>
      <c r="O91" s="266"/>
      <c r="P91" s="267"/>
      <c r="Q91" s="267"/>
      <c r="R91" s="267"/>
      <c r="S91" s="267"/>
      <c r="T91" s="267"/>
      <c r="U91" s="267"/>
      <c r="V91" s="268"/>
      <c r="W91" s="269"/>
      <c r="X91" s="269"/>
      <c r="Y91" s="269"/>
      <c r="Z91" s="269"/>
      <c r="AA91" s="269"/>
      <c r="AB91" s="269"/>
      <c r="AC91" s="269"/>
      <c r="AD91" s="270"/>
    </row>
    <row r="92" spans="2:30" ht="15.75">
      <c r="B92" s="50"/>
      <c r="L92" s="51"/>
      <c r="O92" s="255" t="s">
        <v>68</v>
      </c>
      <c r="P92" s="261" t="s">
        <v>106</v>
      </c>
      <c r="Q92" s="271" t="s">
        <v>107</v>
      </c>
      <c r="R92" s="272"/>
      <c r="S92" s="272"/>
      <c r="T92" s="272"/>
      <c r="U92" s="272"/>
      <c r="V92" s="273"/>
      <c r="W92" s="255" t="s">
        <v>68</v>
      </c>
      <c r="X92" s="261" t="s">
        <v>106</v>
      </c>
      <c r="Y92" s="271" t="s">
        <v>107</v>
      </c>
      <c r="Z92" s="272"/>
      <c r="AA92" s="272"/>
      <c r="AB92" s="272"/>
      <c r="AC92" s="272"/>
      <c r="AD92" s="273"/>
    </row>
    <row r="93" spans="2:30">
      <c r="B93" s="50"/>
      <c r="L93" s="51"/>
      <c r="O93" s="256"/>
      <c r="P93" s="262"/>
      <c r="Q93" s="263" t="s">
        <v>118</v>
      </c>
      <c r="R93" s="264"/>
      <c r="S93" s="264"/>
      <c r="T93" s="264"/>
      <c r="U93" s="264"/>
      <c r="V93" s="265"/>
      <c r="W93" s="256"/>
      <c r="X93" s="262"/>
      <c r="Y93" s="263" t="s">
        <v>118</v>
      </c>
      <c r="Z93" s="264"/>
      <c r="AA93" s="264"/>
      <c r="AB93" s="264"/>
      <c r="AC93" s="264"/>
      <c r="AD93" s="265"/>
    </row>
    <row r="94" spans="2:30">
      <c r="B94" s="50"/>
      <c r="L94" s="51"/>
      <c r="O94" s="257"/>
      <c r="P94" s="34" t="s">
        <v>109</v>
      </c>
      <c r="Q94" s="263" t="s">
        <v>110</v>
      </c>
      <c r="R94" s="274"/>
      <c r="S94" s="263" t="s">
        <v>111</v>
      </c>
      <c r="T94" s="274"/>
      <c r="U94" s="263" t="s">
        <v>112</v>
      </c>
      <c r="V94" s="265"/>
      <c r="W94" s="257"/>
      <c r="X94" s="34" t="s">
        <v>109</v>
      </c>
      <c r="Y94" s="263" t="s">
        <v>110</v>
      </c>
      <c r="Z94" s="274"/>
      <c r="AA94" s="263" t="s">
        <v>111</v>
      </c>
      <c r="AB94" s="274"/>
      <c r="AC94" s="263" t="s">
        <v>112</v>
      </c>
      <c r="AD94" s="265"/>
    </row>
    <row r="95" spans="2:30">
      <c r="B95" s="50"/>
      <c r="L95" s="51"/>
      <c r="O95" s="45">
        <v>0</v>
      </c>
      <c r="P95" s="252" t="str">
        <f>D76</f>
        <v>&gt;3.24</v>
      </c>
      <c r="Q95" s="9">
        <f>VLOOKUP($P$95,$P$76:$V$78,Q72,FALSE)</f>
        <v>1.2</v>
      </c>
      <c r="R95" s="9">
        <f t="shared" ref="R95:V95" si="29">VLOOKUP($P$95,$P$76:$V$78,R72,FALSE)</f>
        <v>-1.1000000000000001</v>
      </c>
      <c r="S95" s="9">
        <f t="shared" si="29"/>
        <v>1.2</v>
      </c>
      <c r="T95" s="9">
        <f t="shared" si="29"/>
        <v>-1.1000000000000001</v>
      </c>
      <c r="U95" s="9">
        <f t="shared" si="29"/>
        <v>1.2</v>
      </c>
      <c r="V95" s="15">
        <f t="shared" si="29"/>
        <v>-1.1000000000000001</v>
      </c>
      <c r="W95" s="45">
        <v>0</v>
      </c>
      <c r="X95" s="252" t="str">
        <f>D76</f>
        <v>&gt;3.24</v>
      </c>
      <c r="Y95" s="9">
        <f>VLOOKUP($X$95,$X$76:$AD$78,Y72,FALSE)</f>
        <v>0.5</v>
      </c>
      <c r="Z95" s="9">
        <f t="shared" ref="Z95:AD95" si="30">VLOOKUP($X$95,$X$76:$AD$78,Z72,FALSE)</f>
        <v>-1.2</v>
      </c>
      <c r="AA95" s="9">
        <f t="shared" si="30"/>
        <v>0.5</v>
      </c>
      <c r="AB95" s="9">
        <f t="shared" si="30"/>
        <v>-1.2</v>
      </c>
      <c r="AC95" s="9">
        <f t="shared" si="30"/>
        <v>0.5</v>
      </c>
      <c r="AD95" s="15">
        <f t="shared" si="30"/>
        <v>-1.2</v>
      </c>
    </row>
    <row r="96" spans="2:30">
      <c r="B96" s="50"/>
      <c r="L96" s="51"/>
      <c r="O96" s="45">
        <v>7.5</v>
      </c>
      <c r="P96" s="253"/>
      <c r="Q96" s="9">
        <f>VLOOKUP($P$95,$P$79:$V$81,Q72,FALSE)</f>
        <v>1.6</v>
      </c>
      <c r="R96" s="9">
        <f t="shared" ref="R96:V96" si="31">VLOOKUP($P$95,$P$79:$V$81,R72,FALSE)</f>
        <v>-1.4</v>
      </c>
      <c r="S96" s="9">
        <f t="shared" si="31"/>
        <v>1.6</v>
      </c>
      <c r="T96" s="9">
        <f t="shared" si="31"/>
        <v>-1.4</v>
      </c>
      <c r="U96" s="9">
        <f t="shared" si="31"/>
        <v>1.6</v>
      </c>
      <c r="V96" s="15">
        <f t="shared" si="31"/>
        <v>-1.4</v>
      </c>
      <c r="W96" s="45">
        <v>7.5</v>
      </c>
      <c r="X96" s="253"/>
      <c r="Y96" s="9">
        <f>VLOOKUP($X$95,$X$79:$AD$81,Y72,FALSE)</f>
        <v>0.8</v>
      </c>
      <c r="Z96" s="9">
        <f t="shared" ref="Z96:AD96" si="32">VLOOKUP($X$95,$X$79:$AD$81,Z72,FALSE)</f>
        <v>-1.7</v>
      </c>
      <c r="AA96" s="9">
        <f t="shared" si="32"/>
        <v>0.8</v>
      </c>
      <c r="AB96" s="9">
        <f t="shared" si="32"/>
        <v>-1.7</v>
      </c>
      <c r="AC96" s="9">
        <f t="shared" si="32"/>
        <v>0.8</v>
      </c>
      <c r="AD96" s="15">
        <f t="shared" si="32"/>
        <v>-1.7</v>
      </c>
    </row>
    <row r="97" spans="2:30">
      <c r="B97" s="50"/>
      <c r="L97" s="51"/>
      <c r="O97" s="45">
        <v>15</v>
      </c>
      <c r="P97" s="253"/>
      <c r="Q97" s="9">
        <f t="shared" ref="Q97:V97" si="33">VLOOKUP($P$95,$P$82:$V$84,Q$72,FALSE)</f>
        <v>1.8</v>
      </c>
      <c r="R97" s="9">
        <f t="shared" si="33"/>
        <v>-1.9</v>
      </c>
      <c r="S97" s="9">
        <f t="shared" si="33"/>
        <v>1.8</v>
      </c>
      <c r="T97" s="9">
        <f t="shared" si="33"/>
        <v>-1.9</v>
      </c>
      <c r="U97" s="9">
        <f t="shared" si="33"/>
        <v>1.8</v>
      </c>
      <c r="V97" s="15">
        <f t="shared" si="33"/>
        <v>-1.9</v>
      </c>
      <c r="W97" s="45">
        <v>15</v>
      </c>
      <c r="X97" s="253"/>
      <c r="Y97" s="9">
        <f>VLOOKUP($X$95,$X$82:$AD$84,Y72,FALSE)</f>
        <v>1.2</v>
      </c>
      <c r="Z97" s="9">
        <f>VLOOKUP($X$95,$X$82:$AD$84,Z72,FALSE)</f>
        <v>-2.1</v>
      </c>
      <c r="AA97" s="9">
        <f t="shared" ref="AA97:AD97" si="34">VLOOKUP($X$95,$X$82:$AD$84,AA72,FALSE)</f>
        <v>1.2</v>
      </c>
      <c r="AB97" s="9">
        <f t="shared" si="34"/>
        <v>-2.1</v>
      </c>
      <c r="AC97" s="9">
        <f t="shared" si="34"/>
        <v>1.2</v>
      </c>
      <c r="AD97" s="15">
        <f t="shared" si="34"/>
        <v>-2.1</v>
      </c>
    </row>
    <row r="98" spans="2:30">
      <c r="B98" s="50"/>
      <c r="L98" s="51"/>
      <c r="O98" s="45">
        <v>30</v>
      </c>
      <c r="P98" s="253"/>
      <c r="Q98" s="9">
        <f>VLOOKUP($P$95,$P$85:$V$87,Q$72,FALSE)</f>
        <v>2.6</v>
      </c>
      <c r="R98" s="9">
        <f t="shared" ref="R98:V98" si="35">VLOOKUP($P$95,$P$85:$V$87,R$72,FALSE)</f>
        <v>-2.5</v>
      </c>
      <c r="S98" s="9">
        <f t="shared" si="35"/>
        <v>2.6</v>
      </c>
      <c r="T98" s="9">
        <f t="shared" si="35"/>
        <v>-2.5</v>
      </c>
      <c r="U98" s="9">
        <f t="shared" si="35"/>
        <v>2.6</v>
      </c>
      <c r="V98" s="15">
        <f t="shared" si="35"/>
        <v>-2.5</v>
      </c>
      <c r="W98" s="45">
        <v>30</v>
      </c>
      <c r="X98" s="253"/>
      <c r="Y98" s="9">
        <f>VLOOKUP($X$95,$X$85:$AD$87,Y72,FALSE)</f>
        <v>1.6</v>
      </c>
      <c r="Z98" s="9">
        <f t="shared" ref="Z98:AD98" si="36">VLOOKUP($X$95,$X$85:$AD$87,Z72,FALSE)</f>
        <v>-2.2999999999999998</v>
      </c>
      <c r="AA98" s="9">
        <f t="shared" si="36"/>
        <v>1.6</v>
      </c>
      <c r="AB98" s="9">
        <f t="shared" si="36"/>
        <v>-2.2999999999999998</v>
      </c>
      <c r="AC98" s="9">
        <f t="shared" si="36"/>
        <v>1.6</v>
      </c>
      <c r="AD98" s="15">
        <f t="shared" si="36"/>
        <v>-2.2999999999999998</v>
      </c>
    </row>
    <row r="99" spans="2:30">
      <c r="B99" s="50"/>
      <c r="L99" s="51"/>
      <c r="O99" s="45">
        <v>45</v>
      </c>
      <c r="P99" s="254"/>
      <c r="Q99" s="9">
        <f>VLOOKUP($P$95,$P$88:$V$90,Q$72,FALSE)</f>
        <v>2.6</v>
      </c>
      <c r="R99" s="9">
        <f t="shared" ref="R99:V99" si="37">VLOOKUP($P$95,$P$88:$V$90,R$72,FALSE)</f>
        <v>-2.2999999999999998</v>
      </c>
      <c r="S99" s="9">
        <f t="shared" si="37"/>
        <v>2.6</v>
      </c>
      <c r="T99" s="9">
        <f t="shared" si="37"/>
        <v>-2.2999999999999998</v>
      </c>
      <c r="U99" s="9">
        <f t="shared" si="37"/>
        <v>2.6</v>
      </c>
      <c r="V99" s="15">
        <f t="shared" si="37"/>
        <v>-2.2999999999999998</v>
      </c>
      <c r="W99" s="45">
        <v>45</v>
      </c>
      <c r="X99" s="254"/>
      <c r="Y99" s="9">
        <f>VLOOKUP($X$95,$X$88:$AD$90,Y72,FALSE)</f>
        <v>2.1</v>
      </c>
      <c r="Z99" s="9">
        <f t="shared" ref="Z99:AD99" si="38">VLOOKUP($X$95,$X$88:$AD$90,Z72,FALSE)</f>
        <v>-1.9</v>
      </c>
      <c r="AA99" s="9">
        <f t="shared" si="38"/>
        <v>2.1</v>
      </c>
      <c r="AB99" s="9">
        <f t="shared" si="38"/>
        <v>1.9</v>
      </c>
      <c r="AC99" s="9">
        <f t="shared" si="38"/>
        <v>2.1</v>
      </c>
      <c r="AD99" s="15">
        <f t="shared" si="38"/>
        <v>-1.9</v>
      </c>
    </row>
    <row r="100" spans="2:30" ht="15.75" thickBot="1"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5"/>
      <c r="O100" s="43">
        <f>B76</f>
        <v>2.8624052261117479</v>
      </c>
      <c r="P100" s="44" t="s">
        <v>14</v>
      </c>
      <c r="Q100" s="44" cm="1">
        <f t="array" ref="Q100">noisuy1chieu($O$100,$O$95:$O$99,Q95:Q99)</f>
        <v>1.3526616096496582</v>
      </c>
      <c r="R100" s="44" cm="1">
        <f t="array" ref="R100">noisuy1chieu($O$100,$O$95:$O$99,R95:R99)</f>
        <v>-1.2144962549209595</v>
      </c>
      <c r="S100" s="44" cm="1">
        <f t="array" ref="S100">noisuy1chieu($O$100,$O$95:$O$99,S95:S99)</f>
        <v>1.3526616096496582</v>
      </c>
      <c r="T100" s="44" cm="1">
        <f t="array" ref="T100">noisuy1chieu($O$100,$O$95:$O$99,T95:T99)</f>
        <v>-1.2144962549209595</v>
      </c>
      <c r="U100" s="44" cm="1">
        <f t="array" ref="U100">noisuy1chieu($O$100,$O$95:$O$99,U95:U99)</f>
        <v>1.3526616096496582</v>
      </c>
      <c r="V100" s="46" cm="1">
        <f t="array" ref="V100">noisuy1chieu($O$100,$O$95:$O$99,V95:V99)</f>
        <v>-1.2144962549209595</v>
      </c>
      <c r="W100" s="43">
        <f>H20</f>
        <v>2.8624052261117479</v>
      </c>
      <c r="X100" s="47" t="s">
        <v>14</v>
      </c>
      <c r="Y100" s="44" cm="1">
        <f t="array" ref="Y100">noisuy1chieu($W$100,$W$95:$W$99,Y95:Y99)</f>
        <v>0.61449623107910156</v>
      </c>
      <c r="Z100" s="44" cm="1">
        <f t="array" ref="Z100">noisuy1chieu($W$100,$W$95:$W$99,Z95:Z99)</f>
        <v>-1.3908270597457886</v>
      </c>
      <c r="AA100" s="44" cm="1">
        <f t="array" ref="AA100">noisuy1chieu($W$100,$W$95:$W$99,AA95:AA99)</f>
        <v>0.61449623107910156</v>
      </c>
      <c r="AB100" s="44" cm="1">
        <f t="array" ref="AB100">noisuy1chieu($W$100,$W$95:$W$99,AB95:AB99)</f>
        <v>-1.3908270597457886</v>
      </c>
      <c r="AC100" s="44" cm="1">
        <f t="array" ref="AC100">noisuy1chieu($W$100,$W$95:$W$99,AC95:AC99)</f>
        <v>0.61449623107910156</v>
      </c>
      <c r="AD100" s="46" cm="1">
        <f t="array" ref="AD100">noisuy1chieu($W$100,$W$95:$W$99,AD95:AD99)</f>
        <v>-1.3908270597457886</v>
      </c>
    </row>
  </sheetData>
  <mergeCells count="124">
    <mergeCell ref="B76:C76"/>
    <mergeCell ref="Q94:R94"/>
    <mergeCell ref="S94:T94"/>
    <mergeCell ref="U94:V94"/>
    <mergeCell ref="W76:W78"/>
    <mergeCell ref="P95:P99"/>
    <mergeCell ref="W79:W81"/>
    <mergeCell ref="W82:W84"/>
    <mergeCell ref="W85:W87"/>
    <mergeCell ref="W88:W90"/>
    <mergeCell ref="X73:X74"/>
    <mergeCell ref="Y73:AD73"/>
    <mergeCell ref="D73:D74"/>
    <mergeCell ref="E73:J73"/>
    <mergeCell ref="E74:J74"/>
    <mergeCell ref="Y74:AD74"/>
    <mergeCell ref="Q92:V92"/>
    <mergeCell ref="Y75:Z75"/>
    <mergeCell ref="AA75:AB75"/>
    <mergeCell ref="AC75:AD75"/>
    <mergeCell ref="P73:P74"/>
    <mergeCell ref="Q73:V73"/>
    <mergeCell ref="Q74:V74"/>
    <mergeCell ref="Q75:R75"/>
    <mergeCell ref="S75:T75"/>
    <mergeCell ref="U75:V75"/>
    <mergeCell ref="O76:O78"/>
    <mergeCell ref="O79:O81"/>
    <mergeCell ref="O82:O84"/>
    <mergeCell ref="O85:O87"/>
    <mergeCell ref="O88:O90"/>
    <mergeCell ref="G47:H47"/>
    <mergeCell ref="I47:J47"/>
    <mergeCell ref="C49:D50"/>
    <mergeCell ref="C51:D52"/>
    <mergeCell ref="C47:D48"/>
    <mergeCell ref="E47:F48"/>
    <mergeCell ref="E49:F49"/>
    <mergeCell ref="E52:F52"/>
    <mergeCell ref="E51:F51"/>
    <mergeCell ref="E50:F50"/>
    <mergeCell ref="T48:W48"/>
    <mergeCell ref="T49:U49"/>
    <mergeCell ref="V49:W49"/>
    <mergeCell ref="Z49:AI51"/>
    <mergeCell ref="P48:S48"/>
    <mergeCell ref="P49:Q49"/>
    <mergeCell ref="R49:S49"/>
    <mergeCell ref="C53:D53"/>
    <mergeCell ref="C54:D54"/>
    <mergeCell ref="E53:F53"/>
    <mergeCell ref="E54:F54"/>
    <mergeCell ref="AD31:AE31"/>
    <mergeCell ref="AF31:AG31"/>
    <mergeCell ref="AH31:AI31"/>
    <mergeCell ref="O33:O34"/>
    <mergeCell ref="O30:O32"/>
    <mergeCell ref="P30:P32"/>
    <mergeCell ref="Q30:T30"/>
    <mergeCell ref="U30:X30"/>
    <mergeCell ref="Z30:Z32"/>
    <mergeCell ref="AA30:AA32"/>
    <mergeCell ref="AB30:AE30"/>
    <mergeCell ref="AF30:AI30"/>
    <mergeCell ref="Q31:R31"/>
    <mergeCell ref="S31:T31"/>
    <mergeCell ref="U31:V31"/>
    <mergeCell ref="B32:I32"/>
    <mergeCell ref="B11:E11"/>
    <mergeCell ref="O9:V9"/>
    <mergeCell ref="W31:X31"/>
    <mergeCell ref="O35:O36"/>
    <mergeCell ref="O37:O38"/>
    <mergeCell ref="O39:O40"/>
    <mergeCell ref="O41:O42"/>
    <mergeCell ref="AB31:AC31"/>
    <mergeCell ref="B72:J72"/>
    <mergeCell ref="E75:F75"/>
    <mergeCell ref="G75:H75"/>
    <mergeCell ref="I75:J75"/>
    <mergeCell ref="B78:J79"/>
    <mergeCell ref="B80:C80"/>
    <mergeCell ref="O43:O44"/>
    <mergeCell ref="O45:O46"/>
    <mergeCell ref="O48:O50"/>
    <mergeCell ref="E56:F57"/>
    <mergeCell ref="C62:D62"/>
    <mergeCell ref="E62:F62"/>
    <mergeCell ref="C63:D63"/>
    <mergeCell ref="E63:F63"/>
    <mergeCell ref="C56:D56"/>
    <mergeCell ref="C57:D57"/>
    <mergeCell ref="C58:D59"/>
    <mergeCell ref="E58:F58"/>
    <mergeCell ref="E59:F59"/>
    <mergeCell ref="C60:D61"/>
    <mergeCell ref="E60:F60"/>
    <mergeCell ref="E61:F61"/>
    <mergeCell ref="B65:I65"/>
    <mergeCell ref="B73:C75"/>
    <mergeCell ref="B6:H8"/>
    <mergeCell ref="I6:J8"/>
    <mergeCell ref="K6:L8"/>
    <mergeCell ref="X95:X99"/>
    <mergeCell ref="O73:O75"/>
    <mergeCell ref="W73:W75"/>
    <mergeCell ref="O92:O94"/>
    <mergeCell ref="P92:P93"/>
    <mergeCell ref="Q93:V93"/>
    <mergeCell ref="O91:V91"/>
    <mergeCell ref="W91:AD91"/>
    <mergeCell ref="W92:W94"/>
    <mergeCell ref="X92:X93"/>
    <mergeCell ref="Y93:AD93"/>
    <mergeCell ref="Y92:AD92"/>
    <mergeCell ref="Y94:Z94"/>
    <mergeCell ref="AA94:AB94"/>
    <mergeCell ref="AC94:AD94"/>
    <mergeCell ref="B81:C81"/>
    <mergeCell ref="B82:C82"/>
    <mergeCell ref="E81:F81"/>
    <mergeCell ref="G81:H81"/>
    <mergeCell ref="I81:J81"/>
    <mergeCell ref="E80:J80"/>
  </mergeCells>
  <dataValidations disablePrompts="1" count="7">
    <dataValidation type="list" allowBlank="1" showInputMessage="1" showErrorMessage="1" sqref="H13" xr:uid="{9D35467E-6673-4571-B4FD-D9F4B94D1B19}">
      <formula1>$P$10:$T$10</formula1>
    </dataValidation>
    <dataValidation type="list" allowBlank="1" showInputMessage="1" showErrorMessage="1" sqref="H16" xr:uid="{D7BFCA03-D93D-4BB1-ADDB-944FBFCDECE6}">
      <formula1>$U$11:$U$14</formula1>
    </dataValidation>
    <dataValidation type="list" allowBlank="1" showInputMessage="1" showErrorMessage="1" sqref="H18" xr:uid="{E6C77F1F-9A7D-4161-9E2E-86FDFF8BFDE6}">
      <formula1>"B,C,D"</formula1>
    </dataValidation>
    <dataValidation type="list" allowBlank="1" showInputMessage="1" showErrorMessage="1" errorTitle="Warning!" error="Invalid building category_x000a_Must input either I, II, III, or IV" sqref="H15" xr:uid="{0EF3CAC6-52C6-4F54-83A6-800261A7383A}">
      <formula1>$S$17:$S$20</formula1>
    </dataValidation>
    <dataValidation type="list" allowBlank="1" showInputMessage="1" showErrorMessage="1" prompt="Is location in a hurricane prone or non-hurricane prone region?" sqref="H29" xr:uid="{519FF67B-BDA1-4D35-8C1F-A7415E1F45B4}">
      <formula1>$L$16:$L$17</formula1>
    </dataValidation>
    <dataValidation type="list" allowBlank="1" showInputMessage="1" showErrorMessage="1" sqref="H30" xr:uid="{56FD2025-73FF-4C36-A8EF-2EEA611DD3BD}">
      <formula1>$P$57:$Q$57</formula1>
    </dataValidation>
    <dataValidation type="list" allowBlank="1" showInputMessage="1" showErrorMessage="1" sqref="C57:D57" xr:uid="{65D417CD-2446-4529-BE3A-C42B991E9E7E}">
      <formula1>$O$58:$O$60</formula1>
    </dataValidation>
  </dataValidations>
  <pageMargins left="0.7" right="0.7" top="0.75" bottom="0.75" header="0.3" footer="0.3"/>
  <pageSetup paperSize="9" scale="72" orientation="portrait" horizontalDpi="1200" verticalDpi="1200" r:id="rId1"/>
  <rowBreaks count="1" manualBreakCount="1">
    <brk id="64" max="12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Loading</vt:lpstr>
      <vt:lpstr>TCVN</vt:lpstr>
      <vt:lpstr>ASCE</vt:lpstr>
      <vt:lpstr>ASCE!Print_Area</vt:lpstr>
      <vt:lpstr>Loading!Print_Area</vt:lpstr>
      <vt:lpstr>TCVN!Print_Area</vt:lpstr>
      <vt:lpstr>TCVN!Print_Titles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2024-04-23T00:05:38Z</cp:lastPrinted>
  <dcterms:created xsi:type="dcterms:W3CDTF">2015-06-05T18:17:20Z</dcterms:created>
  <dcterms:modified xsi:type="dcterms:W3CDTF">2025-05-28T07:45:56Z</dcterms:modified>
</cp:coreProperties>
</file>