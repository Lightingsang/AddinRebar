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1DC6C1CF-C70D-4983-8DB1-97CE96CAA79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ustFactor" sheetId="5" r:id="rId1"/>
    <sheet name="TCVN" sheetId="4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Area" localSheetId="1">TCVN!$A$6:$AA$144</definedName>
    <definedName name="_xlnm.Print_Titles" localSheetId="0">GustFactor!#REF!</definedName>
    <definedName name="Styp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8" i="4" l="1"/>
  <c r="Z113" i="4" s="1"/>
  <c r="Z108" i="4"/>
  <c r="C123" i="4"/>
  <c r="X107" i="4"/>
  <c r="P107" i="4"/>
  <c r="L128" i="4"/>
  <c r="D128" i="4"/>
  <c r="AD109" i="4"/>
  <c r="AC109" i="4"/>
  <c r="AB109" i="4"/>
  <c r="Z97" i="4"/>
  <c r="Z82" i="4"/>
  <c r="C82" i="4"/>
  <c r="C97" i="4"/>
  <c r="X102" i="4"/>
  <c r="S102" i="4"/>
  <c r="I102" i="4"/>
  <c r="D102" i="4"/>
  <c r="AD83" i="4"/>
  <c r="AC83" i="4"/>
  <c r="AB83" i="4"/>
  <c r="AD39" i="4" l="1"/>
  <c r="AD36" i="4"/>
  <c r="G39" i="4"/>
  <c r="AD38" i="4"/>
  <c r="G36" i="4"/>
  <c r="AD35" i="4"/>
  <c r="AE39" i="4"/>
  <c r="AE38" i="4"/>
  <c r="M45" i="4" l="1"/>
  <c r="K45" i="4"/>
  <c r="I45" i="4"/>
  <c r="G45" i="4"/>
  <c r="E45" i="4"/>
  <c r="M44" i="4"/>
  <c r="K44" i="4"/>
  <c r="I44" i="4"/>
  <c r="G44" i="4"/>
  <c r="E44" i="4"/>
  <c r="W45" i="4"/>
  <c r="U45" i="4"/>
  <c r="S45" i="4"/>
  <c r="Q45" i="4"/>
  <c r="O45" i="4"/>
  <c r="W44" i="4"/>
  <c r="U44" i="4"/>
  <c r="S44" i="4"/>
  <c r="Q44" i="4"/>
  <c r="O44" i="4"/>
  <c r="T21" i="4"/>
  <c r="AF66" i="4"/>
  <c r="AG67" i="4"/>
  <c r="AF67" i="4"/>
  <c r="AE67" i="4"/>
  <c r="AD67" i="4"/>
  <c r="O74" i="4"/>
  <c r="K74" i="4"/>
  <c r="AD66" i="4" s="1"/>
  <c r="C76" i="4"/>
  <c r="L54" i="5"/>
  <c r="J54" i="5"/>
  <c r="L53" i="5"/>
  <c r="J53" i="5"/>
  <c r="L52" i="5"/>
  <c r="J52" i="5"/>
  <c r="K36" i="5"/>
  <c r="E36" i="5"/>
  <c r="K30" i="5"/>
  <c r="K29" i="5"/>
  <c r="B28" i="5"/>
  <c r="H24" i="5"/>
  <c r="H21" i="5"/>
  <c r="H20" i="5"/>
  <c r="H19" i="5"/>
  <c r="H18" i="5"/>
  <c r="H23" i="5" s="1"/>
  <c r="H17" i="5"/>
  <c r="H22" i="5" s="1"/>
  <c r="H16" i="5"/>
  <c r="H15" i="5"/>
  <c r="H14" i="5"/>
  <c r="H13" i="5"/>
  <c r="H12" i="5"/>
  <c r="H25" i="5" s="1"/>
  <c r="H11" i="5"/>
  <c r="H10" i="5"/>
  <c r="E7" i="5"/>
  <c r="O39" i="4"/>
  <c r="M39" i="4"/>
  <c r="O36" i="4"/>
  <c r="M36" i="4"/>
  <c r="M31" i="4"/>
  <c r="M48" i="4" s="1"/>
  <c r="S13" i="4"/>
  <c r="I39" i="4"/>
  <c r="I36" i="4"/>
  <c r="S32" i="4"/>
  <c r="S61" i="4" s="1"/>
  <c r="Q32" i="4"/>
  <c r="E61" i="4" s="1"/>
  <c r="O32" i="4"/>
  <c r="O49" i="4" s="1"/>
  <c r="M32" i="4"/>
  <c r="G49" i="4" s="1"/>
  <c r="C32" i="4"/>
  <c r="S31" i="4"/>
  <c r="S60" i="4" s="1"/>
  <c r="Q31" i="4"/>
  <c r="G60" i="4" s="1"/>
  <c r="O31" i="4"/>
  <c r="Q48" i="4" s="1"/>
  <c r="C30" i="4"/>
  <c r="N27" i="4"/>
  <c r="J27" i="4"/>
  <c r="N26" i="4"/>
  <c r="J26" i="4"/>
  <c r="E26" i="4"/>
  <c r="E27" i="4" s="1"/>
  <c r="M23" i="4"/>
  <c r="AI51" i="4" s="1"/>
  <c r="J16" i="4"/>
  <c r="J15" i="4"/>
  <c r="J14" i="4"/>
  <c r="G14" i="4"/>
  <c r="J12" i="4"/>
  <c r="I12" i="4"/>
  <c r="BD9" i="4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K39" i="4" a="1"/>
  <c r="E76" i="4" a="1"/>
  <c r="K36" i="4" a="1"/>
  <c r="AL51" i="4"/>
  <c r="AM51" i="4"/>
  <c r="AK51" i="4"/>
  <c r="AN51" i="4"/>
  <c r="AJ51" i="4"/>
  <c r="BD33" i="4" l="1"/>
  <c r="BD34" i="4" s="1"/>
  <c r="BD35" i="4" s="1"/>
  <c r="BD36" i="4" s="1"/>
  <c r="BD37" i="4" s="1"/>
  <c r="BD38" i="4" s="1"/>
  <c r="BD39" i="4" s="1"/>
  <c r="E76" i="4"/>
  <c r="G76" i="4" s="1"/>
  <c r="K42" i="5"/>
  <c r="K45" i="5" s="1"/>
  <c r="K40" i="5"/>
  <c r="K39" i="5" s="1"/>
  <c r="E40" i="5"/>
  <c r="E39" i="5" s="1"/>
  <c r="E37" i="5"/>
  <c r="K43" i="5"/>
  <c r="K46" i="5" s="1"/>
  <c r="K41" i="5"/>
  <c r="K44" i="5" s="1"/>
  <c r="E41" i="5"/>
  <c r="E44" i="5" s="1"/>
  <c r="E43" i="5"/>
  <c r="E46" i="5" s="1"/>
  <c r="E42" i="5"/>
  <c r="E45" i="5" s="1"/>
  <c r="K37" i="5"/>
  <c r="M60" i="4"/>
  <c r="M61" i="4"/>
  <c r="O61" i="4"/>
  <c r="E48" i="4"/>
  <c r="E49" i="4"/>
  <c r="G48" i="4"/>
  <c r="I48" i="4"/>
  <c r="AD72" i="4" s="1"/>
  <c r="K48" i="4"/>
  <c r="AE72" i="4" s="1"/>
  <c r="S48" i="4"/>
  <c r="AF72" i="4" s="1"/>
  <c r="U48" i="4"/>
  <c r="AG72" i="4" s="1"/>
  <c r="I60" i="4"/>
  <c r="W48" i="4"/>
  <c r="K60" i="4"/>
  <c r="Q49" i="4"/>
  <c r="G61" i="4"/>
  <c r="S49" i="4"/>
  <c r="AF73" i="4" s="1"/>
  <c r="I61" i="4"/>
  <c r="U49" i="4"/>
  <c r="AG73" i="4" s="1"/>
  <c r="K61" i="4"/>
  <c r="W49" i="4"/>
  <c r="Q61" i="4"/>
  <c r="K49" i="4"/>
  <c r="AE73" i="4" s="1"/>
  <c r="M49" i="4"/>
  <c r="O60" i="4"/>
  <c r="Q60" i="4"/>
  <c r="E60" i="4"/>
  <c r="O48" i="4"/>
  <c r="I49" i="4"/>
  <c r="AD73" i="4" s="1"/>
  <c r="K36" i="4"/>
  <c r="Q36" i="4" s="1"/>
  <c r="AD69" i="4"/>
  <c r="AF69" i="4"/>
  <c r="AG69" i="4"/>
  <c r="AE69" i="4"/>
  <c r="K39" i="4"/>
  <c r="Q39" i="4" s="1"/>
  <c r="AB51" i="4"/>
  <c r="AB64" i="4"/>
  <c r="AE51" i="4"/>
  <c r="AE64" i="4"/>
  <c r="AD51" i="4"/>
  <c r="AF64" i="4"/>
  <c r="AC51" i="4"/>
  <c r="AG51" i="4"/>
  <c r="AC64" i="4"/>
  <c r="AD64" i="4"/>
  <c r="AF51" i="4"/>
  <c r="C135" i="4" l="1"/>
  <c r="C141" i="4"/>
  <c r="AB74" i="4"/>
  <c r="AB72" i="4"/>
  <c r="AB71" i="4"/>
  <c r="AB69" i="4"/>
  <c r="AB77" i="4"/>
  <c r="AB76" i="4"/>
  <c r="AB75" i="4"/>
  <c r="AB73" i="4"/>
  <c r="AB70" i="4"/>
  <c r="AB68" i="4"/>
  <c r="AG75" i="4"/>
  <c r="AG74" i="4"/>
  <c r="AD75" i="4"/>
  <c r="AE75" i="4"/>
  <c r="AF75" i="4"/>
  <c r="AD74" i="4"/>
  <c r="AG71" i="4"/>
  <c r="AF71" i="4"/>
  <c r="AF74" i="4"/>
  <c r="AD71" i="4"/>
  <c r="AE71" i="4"/>
  <c r="AE74" i="4"/>
  <c r="E38" i="5"/>
  <c r="E33" i="5" s="1"/>
  <c r="K38" i="5"/>
  <c r="K33" i="5" s="1"/>
  <c r="E58" i="4"/>
  <c r="E59" i="4" s="1"/>
  <c r="E46" i="4"/>
  <c r="I50" i="4"/>
  <c r="Q51" i="4"/>
  <c r="W51" i="4"/>
  <c r="O51" i="4"/>
  <c r="E51" i="4"/>
  <c r="W50" i="4"/>
  <c r="K50" i="4"/>
  <c r="G47" i="4"/>
  <c r="G50" i="4"/>
  <c r="K51" i="4"/>
  <c r="G51" i="4"/>
  <c r="S51" i="4"/>
  <c r="W47" i="4"/>
  <c r="U47" i="4"/>
  <c r="U51" i="4"/>
  <c r="E50" i="4"/>
  <c r="M51" i="4"/>
  <c r="I51" i="4"/>
  <c r="S47" i="4"/>
  <c r="E47" i="4"/>
  <c r="U50" i="4"/>
  <c r="O50" i="4"/>
  <c r="M47" i="4"/>
  <c r="K47" i="4"/>
  <c r="Q50" i="4"/>
  <c r="I47" i="4"/>
  <c r="Q47" i="4"/>
  <c r="M50" i="4"/>
  <c r="O47" i="4"/>
  <c r="S50" i="4"/>
  <c r="S63" i="4"/>
  <c r="I62" i="4"/>
  <c r="M63" i="4"/>
  <c r="I63" i="4"/>
  <c r="O63" i="4"/>
  <c r="K63" i="4"/>
  <c r="Q62" i="4"/>
  <c r="K62" i="4"/>
  <c r="G63" i="4"/>
  <c r="E63" i="4"/>
  <c r="O62" i="4"/>
  <c r="M62" i="4"/>
  <c r="S62" i="4"/>
  <c r="G62" i="4"/>
  <c r="Q63" i="4"/>
  <c r="BD40" i="4"/>
  <c r="C16" i="4"/>
  <c r="E62" i="4"/>
  <c r="Q58" i="4"/>
  <c r="Q59" i="4" s="1"/>
  <c r="I58" i="4"/>
  <c r="I59" i="4" s="1"/>
  <c r="O58" i="4"/>
  <c r="O59" i="4" s="1"/>
  <c r="G58" i="4"/>
  <c r="G59" i="4" s="1"/>
  <c r="M58" i="4"/>
  <c r="M59" i="4" s="1"/>
  <c r="S58" i="4"/>
  <c r="S59" i="4" s="1"/>
  <c r="K58" i="4"/>
  <c r="K59" i="4" s="1"/>
  <c r="Q46" i="4"/>
  <c r="G46" i="4"/>
  <c r="O46" i="4"/>
  <c r="W46" i="4"/>
  <c r="M46" i="4"/>
  <c r="I46" i="4" l="1"/>
  <c r="AD68" i="4"/>
  <c r="AD70" i="4" s="1"/>
  <c r="AD76" i="4" s="1"/>
  <c r="K76" i="4" s="1"/>
  <c r="S46" i="4"/>
  <c r="S52" i="4" s="1"/>
  <c r="AF68" i="4"/>
  <c r="AF70" i="4" s="1"/>
  <c r="AF76" i="4" s="1"/>
  <c r="O76" i="4" s="1"/>
  <c r="U46" i="4"/>
  <c r="AG68" i="4"/>
  <c r="AG70" i="4" s="1"/>
  <c r="AG76" i="4" s="1"/>
  <c r="Q76" i="4" s="1"/>
  <c r="K46" i="4"/>
  <c r="K52" i="4" s="1"/>
  <c r="AE68" i="4"/>
  <c r="AE70" i="4" s="1"/>
  <c r="AE76" i="4" s="1"/>
  <c r="M76" i="4" s="1"/>
  <c r="AD77" i="4"/>
  <c r="K77" i="4" s="1"/>
  <c r="AF77" i="4"/>
  <c r="O77" i="4" s="1"/>
  <c r="AE77" i="4"/>
  <c r="M77" i="4" s="1"/>
  <c r="AG77" i="4"/>
  <c r="Q77" i="4" s="1"/>
  <c r="U52" i="4"/>
  <c r="BD41" i="4"/>
  <c r="BD42" i="4" s="1"/>
  <c r="J11" i="4"/>
  <c r="J21" i="4"/>
  <c r="J18" i="4"/>
  <c r="C35" i="4"/>
  <c r="C29" i="4"/>
  <c r="L29" i="4"/>
  <c r="C13" i="4"/>
  <c r="C38" i="4"/>
  <c r="C25" i="4"/>
  <c r="C42" i="4"/>
  <c r="I74" i="4" s="1"/>
  <c r="J19" i="4"/>
  <c r="I11" i="4"/>
  <c r="C15" i="4"/>
  <c r="C24" i="4"/>
  <c r="C56" i="4"/>
  <c r="J20" i="4"/>
  <c r="C14" i="4"/>
  <c r="C34" i="4"/>
  <c r="S53" i="4"/>
  <c r="U53" i="4" s="1"/>
  <c r="M53" i="4"/>
  <c r="E64" i="4"/>
  <c r="W53" i="4"/>
  <c r="E52" i="4"/>
  <c r="Q52" i="4"/>
  <c r="O52" i="4"/>
  <c r="I52" i="4"/>
  <c r="I53" i="4"/>
  <c r="K53" i="4" s="1"/>
  <c r="G52" i="4"/>
  <c r="Q53" i="4"/>
  <c r="O53" i="4"/>
  <c r="E53" i="4"/>
  <c r="O65" i="4"/>
  <c r="O64" i="4"/>
  <c r="S65" i="4"/>
  <c r="S64" i="4"/>
  <c r="M64" i="4"/>
  <c r="M65" i="4"/>
  <c r="K64" i="4"/>
  <c r="K65" i="4"/>
  <c r="Q64" i="4"/>
  <c r="Q65" i="4"/>
  <c r="E65" i="4"/>
  <c r="G53" i="4"/>
  <c r="G64" i="4"/>
  <c r="G65" i="4"/>
  <c r="W52" i="4"/>
  <c r="I64" i="4"/>
  <c r="I65" i="4"/>
  <c r="M52" i="4"/>
  <c r="K91" i="4" l="1"/>
  <c r="K137" i="4"/>
  <c r="D113" i="4"/>
  <c r="I113" i="4" s="1"/>
  <c r="K143" i="4"/>
  <c r="P110" i="4"/>
  <c r="X110" i="4" s="1"/>
  <c r="M143" i="4"/>
  <c r="P123" i="4"/>
  <c r="U123" i="4" s="1"/>
  <c r="S143" i="4"/>
  <c r="P115" i="4"/>
  <c r="U115" i="4" s="1"/>
  <c r="Q143" i="4"/>
  <c r="D114" i="4"/>
  <c r="I114" i="4" s="1"/>
  <c r="K144" i="4"/>
  <c r="I92" i="4"/>
  <c r="M138" i="4"/>
  <c r="K92" i="4"/>
  <c r="K138" i="4"/>
  <c r="D85" i="4"/>
  <c r="D100" i="4" s="1"/>
  <c r="E138" i="4"/>
  <c r="D91" i="4"/>
  <c r="G137" i="4"/>
  <c r="R110" i="4"/>
  <c r="U110" i="4" s="1"/>
  <c r="O143" i="4"/>
  <c r="X92" i="4"/>
  <c r="Q138" i="4"/>
  <c r="D121" i="4"/>
  <c r="I121" i="4" s="1"/>
  <c r="I144" i="4"/>
  <c r="F126" i="4"/>
  <c r="I126" i="4" s="1"/>
  <c r="G144" i="4"/>
  <c r="U91" i="4"/>
  <c r="S137" i="4"/>
  <c r="X84" i="4"/>
  <c r="X99" i="4" s="1"/>
  <c r="O137" i="4"/>
  <c r="U92" i="4"/>
  <c r="S138" i="4"/>
  <c r="P91" i="4"/>
  <c r="U137" i="4"/>
  <c r="R111" i="4"/>
  <c r="U111" i="4" s="1"/>
  <c r="O144" i="4"/>
  <c r="S91" i="4"/>
  <c r="W137" i="4"/>
  <c r="F125" i="4"/>
  <c r="I125" i="4" s="1"/>
  <c r="G143" i="4"/>
  <c r="D92" i="4"/>
  <c r="G138" i="4"/>
  <c r="X91" i="4"/>
  <c r="Q137" i="4"/>
  <c r="S92" i="4"/>
  <c r="W138" i="4"/>
  <c r="D125" i="4"/>
  <c r="L125" i="4" s="1"/>
  <c r="E143" i="4"/>
  <c r="P111" i="4"/>
  <c r="X111" i="4" s="1"/>
  <c r="M144" i="4"/>
  <c r="P124" i="4"/>
  <c r="U124" i="4" s="1"/>
  <c r="S144" i="4"/>
  <c r="P92" i="4"/>
  <c r="U138" i="4"/>
  <c r="X85" i="4"/>
  <c r="X100" i="4" s="1"/>
  <c r="O138" i="4"/>
  <c r="I91" i="4"/>
  <c r="M137" i="4"/>
  <c r="D120" i="4"/>
  <c r="I120" i="4" s="1"/>
  <c r="I143" i="4"/>
  <c r="F92" i="4"/>
  <c r="I138" i="4"/>
  <c r="F91" i="4"/>
  <c r="I137" i="4"/>
  <c r="D126" i="4"/>
  <c r="L126" i="4" s="1"/>
  <c r="E144" i="4"/>
  <c r="P116" i="4"/>
  <c r="U116" i="4" s="1"/>
  <c r="Q144" i="4"/>
  <c r="D84" i="4"/>
  <c r="D99" i="4" s="1"/>
  <c r="E137" i="4"/>
  <c r="BD43" i="4"/>
  <c r="BD44" i="4" s="1"/>
  <c r="C55" i="4" s="1"/>
  <c r="R16" i="4"/>
  <c r="C47" i="4"/>
  <c r="C62" i="4"/>
  <c r="C48" i="4"/>
  <c r="C61" i="4" l="1"/>
  <c r="K32" i="4" s="1"/>
  <c r="C137" i="4"/>
  <c r="C144" i="4"/>
  <c r="C140" i="4"/>
  <c r="C143" i="4"/>
  <c r="C138" i="4"/>
  <c r="C53" i="4"/>
  <c r="C64" i="4"/>
  <c r="I76" i="4" s="1"/>
  <c r="C60" i="4"/>
  <c r="K31" i="4" s="1"/>
  <c r="C44" i="4"/>
  <c r="C50" i="4"/>
  <c r="C65" i="4"/>
  <c r="I77" i="4" s="1"/>
  <c r="C46" i="4"/>
  <c r="C51" i="4"/>
  <c r="C52" i="4"/>
  <c r="C45" i="4"/>
  <c r="C49" i="4"/>
  <c r="C63" i="4"/>
  <c r="BD45" i="4"/>
  <c r="V23" i="4"/>
  <c r="L25" i="4"/>
  <c r="C31" i="4"/>
  <c r="BD46" i="4" l="1"/>
  <c r="P24" i="4"/>
  <c r="J22" i="4" l="1"/>
  <c r="C41" i="4"/>
  <c r="J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  <author>DELL</author>
  </authors>
  <commentList>
    <comment ref="K53" authorId="0" shapeId="0" xr:uid="{26FDB151-194B-4B72-9580-298B5A882234}">
      <text>
        <r>
          <rPr>
            <b/>
            <sz val="9"/>
            <color indexed="81"/>
            <rFont val="Tahoma"/>
            <family val="2"/>
          </rPr>
          <t>[TOAN]:</t>
        </r>
        <r>
          <rPr>
            <sz val="9"/>
            <color indexed="81"/>
            <rFont val="Tahoma"/>
            <family val="2"/>
          </rPr>
          <t xml:space="preserve">
[Chú thích 1]: Không được xét đồng thời giá trị âm và dương trên cùng 1 mặt (Theo European, giá trị trong chú thích là áp lực gió, k phải hệ số Ce)
Vì vậy giá trị ô [X45] tối thiểu = 0, để đồng bộ với giá trị vùng J</t>
        </r>
      </text>
    </comment>
    <comment ref="U53" authorId="0" shapeId="0" xr:uid="{88C55F1C-6372-4ABB-B52B-798C111E7842}">
      <text>
        <r>
          <rPr>
            <b/>
            <sz val="9"/>
            <color indexed="81"/>
            <rFont val="Tahoma"/>
            <family val="2"/>
          </rPr>
          <t>[TOAN]:</t>
        </r>
        <r>
          <rPr>
            <sz val="9"/>
            <color indexed="81"/>
            <rFont val="Tahoma"/>
            <family val="2"/>
          </rPr>
          <t xml:space="preserve">
[Chú thích 1]: Không được xét đồng thời giá trị âm và dương trên cùng 1 mặt (Theo European, giá trị trong chú thích là áp lực gió, k phải hệ số Ce)
Vì vậy giá trị ô [X45] tối thiểu = 0, để đồng bộ với giá trị vùng J</t>
        </r>
      </text>
    </comment>
    <comment ref="I71" authorId="1" shapeId="0" xr:uid="{A2040B0B-BB78-4466-9C95-FB1B2F0F6B3E}">
      <text>
        <r>
          <rPr>
            <sz val="9"/>
            <color indexed="81"/>
            <rFont val="Tahoma"/>
            <family val="2"/>
          </rPr>
          <t xml:space="preserve">[HVMT]:
Mục F.10.2
</t>
        </r>
      </text>
    </comment>
    <comment ref="C76" authorId="1" shapeId="0" xr:uid="{E6DA2528-62B1-4DBF-B5C5-1C1DAF18F540}">
      <text>
        <r>
          <rPr>
            <sz val="9"/>
            <color indexed="81"/>
            <rFont val="Tahoma"/>
            <family val="2"/>
          </rPr>
          <t xml:space="preserve">Toàn:
Chiều cao tính tới chân mái
</t>
        </r>
      </text>
    </comment>
    <comment ref="I76" authorId="1" shapeId="0" xr:uid="{A9E7C6F0-07D9-4C75-80CA-9B5A974C2345}">
      <text>
        <r>
          <rPr>
            <sz val="9"/>
            <color indexed="81"/>
            <rFont val="Tahoma"/>
            <family val="2"/>
          </rPr>
          <t xml:space="preserve">[HVMT]:
Mục F.10.2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<sst xmlns="http://schemas.openxmlformats.org/spreadsheetml/2006/main" count="537" uniqueCount="334">
  <si>
    <t>Hệ số ce khi góc hướng gió 90</t>
  </si>
  <si>
    <t>VN</t>
  </si>
  <si>
    <t>RC building</t>
  </si>
  <si>
    <t>/ Nhà BTCT</t>
  </si>
  <si>
    <t>Sharp eaves</t>
  </si>
  <si>
    <t>/ Có cạnh sắc</t>
  </si>
  <si>
    <r>
      <rPr>
        <b/>
        <sz val="11"/>
        <rFont val="Arial"/>
        <family val="2"/>
      </rPr>
      <t xml:space="preserve">Góc dốc </t>
    </r>
    <r>
      <rPr>
        <b/>
        <i/>
        <sz val="11"/>
        <rFont val="Arial"/>
        <family val="2"/>
      </rPr>
      <t xml:space="preserve">α, </t>
    </r>
    <r>
      <rPr>
        <sz val="11"/>
        <rFont val="Symbol"/>
        <family val="1"/>
      </rPr>
      <t></t>
    </r>
  </si>
  <si>
    <r>
      <rPr>
        <b/>
        <sz val="11"/>
        <rFont val="Arial"/>
        <family val="2"/>
      </rPr>
      <t>Vùng</t>
    </r>
  </si>
  <si>
    <t>EN</t>
  </si>
  <si>
    <t>ENVN</t>
  </si>
  <si>
    <t>Steel building</t>
  </si>
  <si>
    <t>/ Nhà thép</t>
  </si>
  <si>
    <t>With parapets</t>
  </si>
  <si>
    <t>/ Có tường chắn mái</t>
  </si>
  <si>
    <r>
      <rPr>
        <b/>
        <sz val="11"/>
        <rFont val="Arial"/>
        <family val="2"/>
      </rPr>
      <t>F</t>
    </r>
  </si>
  <si>
    <r>
      <rPr>
        <b/>
        <sz val="11"/>
        <rFont val="Arial"/>
        <family val="2"/>
      </rPr>
      <t>G</t>
    </r>
  </si>
  <si>
    <r>
      <rPr>
        <b/>
        <sz val="11"/>
        <rFont val="Arial"/>
        <family val="2"/>
      </rPr>
      <t>H</t>
    </r>
  </si>
  <si>
    <r>
      <rPr>
        <b/>
        <sz val="11"/>
        <rFont val="Arial"/>
        <family val="2"/>
      </rPr>
      <t>I</t>
    </r>
  </si>
  <si>
    <r>
      <rPr>
        <b/>
        <sz val="11"/>
        <rFont val="Arial"/>
        <family val="2"/>
      </rPr>
      <t>J</t>
    </r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</si>
  <si>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</si>
  <si>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</si>
  <si>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</si>
  <si>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</si>
  <si>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</si>
  <si>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</si>
  <si>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</si>
  <si>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</si>
  <si>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I</t>
  </si>
  <si>
    <t>II</t>
  </si>
  <si>
    <t>III</t>
  </si>
  <si>
    <t>IV</t>
  </si>
  <si>
    <t>V</t>
  </si>
  <si>
    <t>Rev. No.</t>
  </si>
  <si>
    <t>Hiệu chỉnh</t>
  </si>
  <si>
    <t>Zone</t>
  </si>
  <si>
    <t>W3s,20</t>
  </si>
  <si>
    <t>Date:</t>
  </si>
  <si>
    <t>Ngày</t>
  </si>
  <si>
    <t>Design</t>
  </si>
  <si>
    <t>Thiết kế</t>
  </si>
  <si>
    <t>Wind X</t>
  </si>
  <si>
    <t xml:space="preserve">Terrain </t>
  </si>
  <si>
    <t>zg</t>
  </si>
  <si>
    <t>zmin</t>
  </si>
  <si>
    <t>a</t>
  </si>
  <si>
    <t>k(ze)max</t>
  </si>
  <si>
    <t>Check</t>
  </si>
  <si>
    <t>Kiểm tra</t>
  </si>
  <si>
    <t>A</t>
  </si>
  <si>
    <t>Design code:</t>
  </si>
  <si>
    <t>Tiêu chuẩn thiết kế:</t>
  </si>
  <si>
    <t>B [m] =</t>
  </si>
  <si>
    <t>B</t>
  </si>
  <si>
    <t>TCVN 2737:2023 Loads and Action - Design standard</t>
  </si>
  <si>
    <t>TCVN 2737:2023 Tải trọng và tác động - Tiêu chuẩn thiết kế</t>
  </si>
  <si>
    <t>L [m] =</t>
  </si>
  <si>
    <t>C</t>
  </si>
  <si>
    <t>Section F.2.1 Flat roofs are defined as having a angle</t>
  </si>
  <si>
    <t>Mục F.2.1 Mái bằng khi có góc dốc</t>
  </si>
  <si>
    <t>h [m] =</t>
  </si>
  <si>
    <t>BUILDING (STRUCTURE) DATA</t>
  </si>
  <si>
    <t>DỮ LIỆU CÔNG TRÌNH</t>
  </si>
  <si>
    <t>BUILDING (STRUCTURE) DATA / DỮ LIỆU CÔNG TRÌNH</t>
  </si>
  <si>
    <t>Structure:</t>
  </si>
  <si>
    <t>Kết cấu:</t>
  </si>
  <si>
    <t>Structure / Kết cấu:</t>
  </si>
  <si>
    <t>Wind Y</t>
  </si>
  <si>
    <t>F</t>
  </si>
  <si>
    <t>G</t>
  </si>
  <si>
    <t>H</t>
  </si>
  <si>
    <t>Flat roof</t>
  </si>
  <si>
    <t>Mái bằng</t>
  </si>
  <si>
    <t>i =</t>
  </si>
  <si>
    <t>Structural type:</t>
  </si>
  <si>
    <t>Loại kết cấu:</t>
  </si>
  <si>
    <t>Structural type / Loại:</t>
  </si>
  <si>
    <t>Type of roof:</t>
  </si>
  <si>
    <t>Loại mái:</t>
  </si>
  <si>
    <t>Roof type / Loại mái:</t>
  </si>
  <si>
    <t>Roof / building width</t>
  </si>
  <si>
    <t>Chiều rộng nhà / mái</t>
  </si>
  <si>
    <t>Roof width / Chiều rộng mái</t>
  </si>
  <si>
    <t>Roof / building length</t>
  </si>
  <si>
    <t>Chiều dài nhà / mái</t>
  </si>
  <si>
    <t>Roof length / Chiều dài mái</t>
  </si>
  <si>
    <t>Building height</t>
  </si>
  <si>
    <t>Chiều cao nhà</t>
  </si>
  <si>
    <t>Building height / Chiều cao nhà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</si>
  <si>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</si>
  <si>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</si>
  <si>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</si>
  <si>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t>J</t>
  </si>
  <si>
    <t>Parapet height</t>
  </si>
  <si>
    <t>Chiều cao tường chắn</t>
  </si>
  <si>
    <t>Parapet height / Chiều cao tường chắn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</si>
  <si>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</si>
  <si>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</si>
  <si>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</si>
  <si>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</si>
  <si>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</si>
  <si>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</si>
  <si>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</si>
  <si>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</si>
  <si>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</si>
  <si>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Gust Effect factor / Hệ số hiệu ứng giật</t>
  </si>
  <si>
    <t>SITE DATA</t>
  </si>
  <si>
    <t>DỮ LIỆU ĐỊA ĐIỂM</t>
  </si>
  <si>
    <t>SITE DATA / DỮ LIỆU ĐỊA ĐIỂM</t>
  </si>
  <si>
    <t>Vùng</t>
  </si>
  <si>
    <t>Zone / Vùng</t>
  </si>
  <si>
    <t>Site terrain type:</t>
  </si>
  <si>
    <t>Dạng địa hình</t>
  </si>
  <si>
    <t>Site terrain type / Dạng địa hình:</t>
  </si>
  <si>
    <t>COEFFICIENTS AND FACTORS</t>
  </si>
  <si>
    <t>HỆ SỐ</t>
  </si>
  <si>
    <t>FACTORS / HỆ SỐ</t>
  </si>
  <si>
    <t>Internal pressure coefficient</t>
  </si>
  <si>
    <t>Hệ số khí động áp lực bên trong</t>
  </si>
  <si>
    <t>Case 1</t>
  </si>
  <si>
    <t>Trường hợp 1</t>
  </si>
  <si>
    <t>Case 1 / TH1</t>
  </si>
  <si>
    <t>Case 2</t>
  </si>
  <si>
    <t>Trường hợp 2</t>
  </si>
  <si>
    <t>Case 2 / TH2</t>
  </si>
  <si>
    <t>CALCULATIONS: WIND PRESSURES FOR ROOF</t>
  </si>
  <si>
    <t>TÍNH TOÁN ÁP LỰC GIÓ</t>
  </si>
  <si>
    <t>Reference height</t>
  </si>
  <si>
    <t>Chiều cao tham chiếu</t>
  </si>
  <si>
    <t>Reference height / Chiều cao tham chiếu</t>
  </si>
  <si>
    <t xml:space="preserve">Terrain factor </t>
  </si>
  <si>
    <t>Hệ số thay đổi theo độ cao và địa hình</t>
  </si>
  <si>
    <t>Terrain factor  / Hệ số địa hình</t>
  </si>
  <si>
    <t>(Section 10.2.2)</t>
  </si>
  <si>
    <t>(Mục 10.2.2)</t>
  </si>
  <si>
    <t>TH1</t>
  </si>
  <si>
    <t>TH2</t>
  </si>
  <si>
    <t>Roof pitch angle</t>
  </si>
  <si>
    <t>Góc nghiêng mái</t>
  </si>
  <si>
    <t>Roof pitch angle / Góc nghiêng mái</t>
  </si>
  <si>
    <t>Roof slope</t>
  </si>
  <si>
    <t>Độ dốc mái</t>
  </si>
  <si>
    <t>Roof slope / Độ dốc mái</t>
  </si>
  <si>
    <t>CALCULATIONS: WIND PRESSURES FOR ROOF (WIND X)</t>
  </si>
  <si>
    <t>TÍNH TOÁN ÁP LỰC GIÓ LÊN MÁI (PHƯƠNG X)</t>
  </si>
  <si>
    <t>CALCULATIONS: WIND PRESSURES FOR ROOF (WIND X)
TÍNH TOÁN ÁP LỰC GIÓ LÊN MÁI (PHƯƠNG X)</t>
  </si>
  <si>
    <t>(m)</t>
  </si>
  <si>
    <t>CALCULATIONS: WIND PRESSURES FOR ROOF (WIND Y)</t>
  </si>
  <si>
    <t>TÍNH TOÁN ÁP LỰC GIÓ LÊN MÁI (PHƯƠNG Y)</t>
  </si>
  <si>
    <t>CALCULATIONS: WIND PRESSURES FOR ROOF (WIND Y)
TÍNH TOÁN ÁP LỰC GIÓ LÊN MÁI (PHƯƠNG Y)</t>
  </si>
  <si>
    <t>Ridge or trough</t>
  </si>
  <si>
    <t>Đường nóc</t>
  </si>
  <si>
    <t>Ridge or trough / Đường nóc</t>
  </si>
  <si>
    <t>Zone F</t>
  </si>
  <si>
    <t>Zone H</t>
  </si>
  <si>
    <t>Zone I</t>
  </si>
  <si>
    <t>Zone G</t>
  </si>
  <si>
    <t>Zone J</t>
  </si>
  <si>
    <t>TÍNH TOÁN TẢI TRỌNG GIÓ TÁC DỤNG LÊN NHÀ MÁI DỐC HAI PHÍA</t>
  </si>
  <si>
    <t>HẠNG MỤC</t>
  </si>
  <si>
    <t>NHÀ XƯỞNG</t>
  </si>
  <si>
    <t>DIAGRAM: ZONES OF DUOPITCH ROOF / SƠ ĐỒ PHÂN CHIA VÙNG ÁP LỰC GIÓ</t>
  </si>
  <si>
    <t>DIAGRAM: ZONES OF DUOPITCH ROOF</t>
  </si>
  <si>
    <t>SƠ ĐỒ PHÂN CHIA VÙNG ÁP LỰC GIÓ</t>
  </si>
  <si>
    <t>Gió X</t>
  </si>
  <si>
    <t>Wind/Gió X</t>
  </si>
  <si>
    <t>Gió Y</t>
  </si>
  <si>
    <t>Wind/Gió Y</t>
  </si>
  <si>
    <t>Vùng F</t>
  </si>
  <si>
    <t>Zone / Vùng F</t>
  </si>
  <si>
    <t>Vùng G</t>
  </si>
  <si>
    <t>Zone / Vùng G</t>
  </si>
  <si>
    <t>Vùng H</t>
  </si>
  <si>
    <t>Zone / Vùng H</t>
  </si>
  <si>
    <t>Vùng I</t>
  </si>
  <si>
    <t>Zone / Vùng I</t>
  </si>
  <si>
    <t>Vùng J</t>
  </si>
  <si>
    <t>Zone / Vùng J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</si>
  <si>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</si>
  <si>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Hệ số áp lực trong (phụ lục F12)</t>
  </si>
  <si>
    <t>Độ hở của tường chắn</t>
  </si>
  <si>
    <t>Open ratio for each wind direction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</si>
  <si>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[m] =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</si>
  <si>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</si>
  <si>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</si>
  <si>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</si>
  <si>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</si>
  <si>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t>Hệ số ce khi góc hướng gió = 0 (bảng giá trị TH1)</t>
  </si>
  <si>
    <t>Hệ số ce khi góc hướng gió = 0 (bảng giá trị TH2)</t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</si>
  <si>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</si>
  <si>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</si>
  <si>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</si>
  <si>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</si>
  <si>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b (m)</t>
  </si>
  <si>
    <t>d (m)</t>
  </si>
  <si>
    <t>CALCULATION WIND PRESSURES / TÍNH TOÁN ÁP LỰC GIÓ</t>
  </si>
  <si>
    <t>CALCULATION WIND PRESSURES</t>
  </si>
  <si>
    <t>DIRECTION X</t>
  </si>
  <si>
    <t>DIRECTION Y</t>
  </si>
  <si>
    <t>PHƯƠNG X</t>
  </si>
  <si>
    <t>PHƯƠNG Y</t>
  </si>
  <si>
    <t>DIRECTION X / PHƯƠNG X</t>
  </si>
  <si>
    <t>DIRECTION Y / PHƯƠNG Y</t>
  </si>
  <si>
    <t>GIÓ Y+</t>
  </si>
  <si>
    <t>GIÓ Y-</t>
  </si>
  <si>
    <t>GIÓ X+</t>
  </si>
  <si>
    <t>GIÓ X-</t>
  </si>
  <si>
    <t>Load</t>
  </si>
  <si>
    <t>Wx+</t>
  </si>
  <si>
    <t>Wx-</t>
  </si>
  <si>
    <t>Wy+</t>
  </si>
  <si>
    <t>Wy-</t>
  </si>
  <si>
    <t>m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</si>
  <si>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</si>
  <si>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</si>
  <si>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</si>
  <si>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WIND PRESSURE ACTING ON THE SURFACES:</t>
  </si>
  <si>
    <t>ÁP LỰC GIÓ TÁC DỤNG LÊN BỀ MẶT:</t>
  </si>
  <si>
    <t>WIND PRESSURE ACTING ON THE SURFACES / ÁP LỰC GIÓ TÁC DỤNG LÊN BỀ MẶT:</t>
  </si>
  <si>
    <t>Tải trọng</t>
  </si>
  <si>
    <t>Load / Tải trọng</t>
  </si>
  <si>
    <t>DIAGRAM: ZONES OF DUOPITCH ROOF (WIND X+) / SƠ ĐỒ PHÂN CHIA VÙNG ÁP LỰC GIÓ (GIÓ X+)</t>
  </si>
  <si>
    <t>SƠ ĐỒ PHÂN CHIA VÙNG ÁP LỰC GIÓ (GIÓ X+)</t>
  </si>
  <si>
    <t>DIAGRAM: ZONES OF DUOPITCH ROOF (WIND X+)</t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</si>
  <si>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</si>
  <si>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</si>
  <si>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</t>
    </r>
  </si>
  <si>
    <t>DIAGRAM: ZONES OF DUOPITCH ROOF (WIND X-) / SƠ ĐỒ PHÂN CHIA VÙNG ÁP LỰC GIÓ (GIÓ X-)</t>
  </si>
  <si>
    <t>DIAGRAM: ZONES OF DUOPITCH ROOF (WIND Y+) / SƠ ĐỒ PHÂN CHIA VÙNG ÁP LỰC GIÓ (GIÓ Y+)</t>
  </si>
  <si>
    <t>DIAGRAM: ZONES OF DUOPITCH ROOF (WIND Y-) / SƠ ĐỒ PHÂN CHIA VÙNG ÁP LỰC GIÓ (GIÓ Y-)</t>
  </si>
  <si>
    <t>SƠ ĐỒ PHÂN CHIA VÙNG ÁP LỰC GIÓ (GIÓ X-)</t>
  </si>
  <si>
    <t>SƠ ĐỒ PHÂN CHIA VÙNG ÁP LỰC GIÓ (GIÓ Y+)</t>
  </si>
  <si>
    <t>SƠ ĐỒ PHÂN CHIA VÙNG ÁP LỰC GIÓ (GIÓ Y-)</t>
  </si>
  <si>
    <t>DIAGRAM: ZONES OF DUOPITCH ROOF (WIND X-)</t>
  </si>
  <si>
    <t>DIAGRAM: ZONES OF DUOPITCH ROOF (WIND Y+)</t>
  </si>
  <si>
    <t>DIAGRAM: ZONES OF DUOPITCH ROOF (WIND Y-)</t>
  </si>
  <si>
    <t>SƠ ĐỒ PHÂN CHIA VÙNG ÁP LỰC GIÓ (GIÓ X)</t>
  </si>
  <si>
    <t>SƠ ĐỒ PHÂN CHIA VÙNG ÁP LỰC GIÓ (GIÓ Y)</t>
  </si>
  <si>
    <t>LƯU Ý: SHEET NÀY TÍNH TOÁN CHO KÈO // OX</t>
  </si>
  <si>
    <t>TÍNH TOÁN HỆ SỐ HIỆU ỨNG GIẬT Gf</t>
  </si>
  <si>
    <t>1. Dữ liệu tính toán</t>
  </si>
  <si>
    <t>Chiều cao nhà từ mặt đất (m)</t>
  </si>
  <si>
    <t>Chiều cao lan can tầng mái: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</si>
  <si>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</si>
  <si>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</si>
  <si>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</si>
  <si>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</si>
  <si>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</si>
  <si>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</si>
  <si>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</si>
  <si>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</si>
  <si>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</si>
  <si>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</si>
  <si>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</si>
  <si>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</si>
  <si>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</si>
  <si>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</si>
  <si>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</si>
  <si>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</si>
  <si>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</si>
  <si>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</si>
  <si>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</si>
  <si>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</si>
  <si>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</si>
  <si>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</si>
  <si>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</si>
  <si>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</si>
  <si>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</si>
  <si>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</si>
  <si>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</si>
  <si>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</si>
  <si>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</si>
  <si>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</si>
  <si>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</si>
  <si>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</si>
  <si>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</si>
  <si>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</si>
  <si>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</si>
  <si>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</si>
  <si>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</si>
  <si>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</si>
  <si>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</si>
  <si>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</si>
  <si>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</si>
  <si>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</si>
  <si>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</si>
  <si>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</si>
  <si>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</si>
  <si>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</si>
  <si>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</si>
  <si>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</si>
  <si>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</si>
  <si>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</si>
  <si>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</si>
  <si>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</si>
  <si>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</si>
  <si>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</si>
  <si>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</si>
  <si>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</si>
  <si>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</si>
  <si>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</si>
  <si>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</si>
  <si>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</si>
  <si>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</si>
  <si>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</si>
  <si>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</si>
  <si>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</si>
  <si>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</si>
  <si>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</si>
  <si>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</si>
  <si>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</si>
  <si>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</si>
  <si>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</si>
  <si>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PHỤ LỤC F.8 NHÀ CÓ CỬA TRỜI DỌC NHÀ</t>
  </si>
  <si>
    <t>Mục F.8.1 Hệ số Ce sẽ theo gió mái chính.</t>
  </si>
  <si>
    <t>Bề rộng truyền tải của khung</t>
  </si>
  <si>
    <t>B =</t>
  </si>
  <si>
    <r>
      <t>q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</si>
  <si>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t>Tải trọng gió tác dụng lên khung (kN/m)</t>
  </si>
  <si>
    <t>Mục other trong tool để format màu sắc in ấn</t>
  </si>
  <si>
    <t>Mái đơn</t>
  </si>
  <si>
    <t>Răng cưa - Bên trái</t>
  </si>
  <si>
    <t>Răng cưa - Giữa</t>
  </si>
  <si>
    <t>Răng cưa - Bên phải</t>
  </si>
  <si>
    <t>Răng cưa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</si>
  <si>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</si>
  <si>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</si>
  <si>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</si>
  <si>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</si>
  <si>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</si>
  <si>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</si>
  <si>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</si>
  <si>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t>b</t>
  </si>
  <si>
    <t>h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</si>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</sst>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CE"/>
      <charset val="238"/>
    </font>
    <font>
      <sz val="10"/>
      <name val="Arial"/>
      <family val="2"/>
    </font>
    <font>
      <sz val="10"/>
      <color theme="1"/>
      <name val="Arial"/>
      <family val="2"/>
    </font>
    <font>
      <b/>
      <i/>
      <sz val="11"/>
      <color indexed="8"/>
      <name val="Arial"/>
      <family val="2"/>
    </font>
    <font>
      <sz val="16"/>
      <color rgb="FFFF0000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11"/>
      <name val="Symbol"/>
      <family val="1"/>
    </font>
    <font>
      <sz val="11"/>
      <color rgb="FF000000"/>
      <name val="Arial"/>
      <family val="2"/>
    </font>
    <font>
      <sz val="11"/>
      <name val="Calibri"/>
      <family val="2"/>
      <scheme val="minor"/>
    </font>
    <font>
      <i/>
      <u/>
      <sz val="11"/>
      <name val="Calibri"/>
      <family val="2"/>
      <scheme val="minor"/>
    </font>
    <font>
      <sz val="10"/>
      <color rgb="FFFF0000"/>
      <name val="Arial"/>
      <family val="2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name val="Symbol"/>
      <family val="1"/>
      <charset val="2"/>
    </font>
    <font>
      <b/>
      <sz val="10"/>
      <color rgb="FFC0000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sz val="10"/>
      <color rgb="FFC00000"/>
      <name val="Arial"/>
      <family val="2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indexed="12"/>
      <name val="Arial"/>
      <family val="2"/>
    </font>
    <font>
      <sz val="10"/>
      <color rgb="FFFFFFFF"/>
      <name val="Arial"/>
      <family val="2"/>
    </font>
    <font>
      <sz val="11"/>
      <color rgb="FF0070C0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11"/>
      <color rgb="FFFF00FF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10"/>
      <name val="Arial"/>
      <family val="2"/>
    </font>
    <font>
      <b/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FF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rgb="FFC00000"/>
      <name val="Arial"/>
      <family val="2"/>
    </font>
    <font>
      <b/>
      <sz val="11"/>
      <color rgb="FFFA7D00"/>
      <name val="Calibri"/>
      <family val="2"/>
      <scheme val="minor"/>
    </font>
    <font>
      <sz val="20"/>
      <color rgb="FFC00000"/>
      <name val="Arial"/>
      <family val="2"/>
    </font>
    <font>
      <b/>
      <sz val="12"/>
      <color rgb="FFFFFFFF"/>
      <name val="Arial"/>
      <family val="2"/>
    </font>
    <font>
      <b/>
      <sz val="12"/>
      <color rgb="FF0070C0"/>
      <name val="Arial"/>
      <family val="2"/>
    </font>
    <font>
      <sz val="11"/>
      <color rgb="FFFF000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0000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2" fillId="0" borderId="0"/>
    <xf numFmtId="49" fontId="6" fillId="0" borderId="0">
      <alignment horizontal="left" vertical="center"/>
    </xf>
    <xf numFmtId="9" fontId="4" fillId="0" borderId="0" applyFont="0" applyFill="0" applyBorder="0" applyAlignment="0" applyProtection="0"/>
    <xf numFmtId="0" fontId="4" fillId="0" borderId="0"/>
    <xf numFmtId="0" fontId="45" fillId="10" borderId="0" applyNumberFormat="0" applyBorder="0" applyAlignment="0" applyProtection="0"/>
    <xf numFmtId="0" fontId="47" fillId="0" borderId="0"/>
    <xf numFmtId="0" fontId="2" fillId="0" borderId="0"/>
    <xf numFmtId="0" fontId="46" fillId="0" borderId="0"/>
    <xf numFmtId="0" fontId="67" fillId="12" borderId="66" applyNumberFormat="0" applyAlignment="0" applyProtection="0"/>
  </cellStyleXfs>
  <cellXfs count="500">
    <xf numFmtId="0" fontId="0" fillId="0" borderId="0" xfId="0"/>
    <xf numFmtId="0" fontId="3" fillId="0" borderId="0" xfId="1" applyFont="1" applyProtection="1">
      <protection hidden="1"/>
    </xf>
    <xf numFmtId="0" fontId="2" fillId="0" borderId="0" xfId="1" applyProtection="1">
      <protection hidden="1"/>
    </xf>
    <xf numFmtId="0" fontId="2" fillId="0" borderId="0" xfId="1"/>
    <xf numFmtId="0" fontId="4" fillId="4" borderId="0" xfId="1" applyFont="1" applyFill="1"/>
    <xf numFmtId="0" fontId="2" fillId="4" borderId="0" xfId="1" applyFill="1"/>
    <xf numFmtId="0" fontId="2" fillId="5" borderId="1" xfId="1" applyFill="1" applyBorder="1" applyAlignment="1">
      <alignment horizontal="center" vertical="center"/>
    </xf>
    <xf numFmtId="0" fontId="8" fillId="0" borderId="14" xfId="1" applyFont="1" applyBorder="1" applyAlignment="1">
      <alignment horizontal="center" vertical="top" wrapText="1"/>
    </xf>
    <xf numFmtId="0" fontId="8" fillId="0" borderId="15" xfId="1" applyFont="1" applyBorder="1" applyAlignment="1">
      <alignment horizontal="center" vertical="top" wrapText="1"/>
    </xf>
    <xf numFmtId="0" fontId="4" fillId="5" borderId="1" xfId="1" applyFont="1" applyFill="1" applyBorder="1"/>
    <xf numFmtId="0" fontId="2" fillId="2" borderId="0" xfId="1" applyFill="1"/>
    <xf numFmtId="164" fontId="11" fillId="0" borderId="14" xfId="1" applyNumberFormat="1" applyFont="1" applyBorder="1" applyAlignment="1">
      <alignment horizontal="center" vertical="center" shrinkToFit="1"/>
    </xf>
    <xf numFmtId="164" fontId="11" fillId="0" borderId="1" xfId="1" applyNumberFormat="1" applyFont="1" applyBorder="1" applyAlignment="1">
      <alignment horizontal="center" vertical="top" shrinkToFit="1"/>
    </xf>
    <xf numFmtId="0" fontId="12" fillId="0" borderId="0" xfId="1" applyFont="1" applyAlignment="1" applyProtection="1">
      <alignment vertical="center"/>
      <protection hidden="1"/>
    </xf>
    <xf numFmtId="0" fontId="13" fillId="2" borderId="6" xfId="1" applyFont="1" applyFill="1" applyBorder="1" applyAlignment="1" applyProtection="1">
      <alignment horizontal="right" vertical="center"/>
      <protection hidden="1"/>
    </xf>
    <xf numFmtId="1" fontId="11" fillId="0" borderId="15" xfId="1" applyNumberFormat="1" applyFont="1" applyBorder="1" applyAlignment="1">
      <alignment horizontal="center" vertical="center" shrinkToFit="1"/>
    </xf>
    <xf numFmtId="164" fontId="11" fillId="0" borderId="15" xfId="1" applyNumberFormat="1" applyFont="1" applyBorder="1" applyAlignment="1">
      <alignment horizontal="center" vertical="center" shrinkToFit="1"/>
    </xf>
    <xf numFmtId="0" fontId="2" fillId="0" borderId="1" xfId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19" fillId="2" borderId="1" xfId="1" applyFont="1" applyFill="1" applyBorder="1" applyAlignment="1">
      <alignment horizontal="center" vertical="center"/>
    </xf>
    <xf numFmtId="0" fontId="4" fillId="0" borderId="0" xfId="1" applyFont="1"/>
    <xf numFmtId="2" fontId="20" fillId="0" borderId="1" xfId="1" applyNumberFormat="1" applyFont="1" applyBorder="1" applyAlignment="1">
      <alignment horizontal="center" vertical="center"/>
    </xf>
    <xf numFmtId="0" fontId="4" fillId="5" borderId="0" xfId="1" applyFont="1" applyFill="1"/>
    <xf numFmtId="164" fontId="11" fillId="0" borderId="14" xfId="1" applyNumberFormat="1" applyFont="1" applyBorder="1" applyAlignment="1">
      <alignment horizontal="center" vertical="top" shrinkToFit="1"/>
    </xf>
    <xf numFmtId="1" fontId="11" fillId="0" borderId="1" xfId="1" applyNumberFormat="1" applyFont="1" applyBorder="1" applyAlignment="1">
      <alignment horizontal="center" vertical="center" shrinkToFit="1"/>
    </xf>
    <xf numFmtId="164" fontId="11" fillId="0" borderId="21" xfId="1" applyNumberFormat="1" applyFont="1" applyBorder="1" applyAlignment="1">
      <alignment horizontal="center" vertical="top" shrinkToFit="1"/>
    </xf>
    <xf numFmtId="1" fontId="11" fillId="0" borderId="13" xfId="1" applyNumberFormat="1" applyFont="1" applyBorder="1" applyAlignment="1">
      <alignment horizontal="center" vertical="top" shrinkToFit="1"/>
    </xf>
    <xf numFmtId="1" fontId="11" fillId="0" borderId="14" xfId="1" applyNumberFormat="1" applyFont="1" applyBorder="1" applyAlignment="1">
      <alignment horizontal="center" vertical="top" shrinkToFit="1"/>
    </xf>
    <xf numFmtId="2" fontId="20" fillId="0" borderId="0" xfId="1" applyNumberFormat="1" applyFont="1" applyAlignment="1">
      <alignment horizontal="center" vertical="center"/>
    </xf>
    <xf numFmtId="0" fontId="2" fillId="5" borderId="1" xfId="1" applyFill="1" applyBorder="1"/>
    <xf numFmtId="0" fontId="12" fillId="0" borderId="5" xfId="1" applyFont="1" applyBorder="1" applyAlignment="1" applyProtection="1">
      <alignment vertical="center"/>
      <protection hidden="1"/>
    </xf>
    <xf numFmtId="0" fontId="12" fillId="0" borderId="6" xfId="1" applyFont="1" applyBorder="1" applyAlignment="1" applyProtection="1">
      <alignment vertical="center"/>
      <protection hidden="1"/>
    </xf>
    <xf numFmtId="0" fontId="12" fillId="0" borderId="8" xfId="1" applyFont="1" applyBorder="1" applyAlignment="1" applyProtection="1">
      <alignment vertical="center"/>
      <protection hidden="1"/>
    </xf>
    <xf numFmtId="0" fontId="24" fillId="0" borderId="0" xfId="1" applyFont="1"/>
    <xf numFmtId="0" fontId="28" fillId="0" borderId="0" xfId="1" applyFont="1"/>
    <xf numFmtId="0" fontId="16" fillId="0" borderId="8" xfId="1" applyFont="1" applyBorder="1" applyAlignment="1" applyProtection="1">
      <alignment vertical="center"/>
      <protection hidden="1"/>
    </xf>
    <xf numFmtId="0" fontId="2" fillId="0" borderId="0" xfId="1" applyAlignment="1">
      <alignment vertical="center"/>
    </xf>
    <xf numFmtId="0" fontId="2" fillId="0" borderId="8" xfId="1" applyBorder="1" applyProtection="1">
      <protection hidden="1"/>
    </xf>
    <xf numFmtId="0" fontId="2" fillId="0" borderId="12" xfId="1" applyBorder="1" applyProtection="1">
      <protection hidden="1"/>
    </xf>
    <xf numFmtId="0" fontId="8" fillId="0" borderId="37" xfId="1" applyFont="1" applyBorder="1" applyAlignment="1">
      <alignment horizontal="center" vertical="top" wrapText="1"/>
    </xf>
    <xf numFmtId="164" fontId="11" fillId="0" borderId="37" xfId="1" applyNumberFormat="1" applyFont="1" applyBorder="1" applyAlignment="1">
      <alignment horizontal="center" vertical="center" shrinkToFit="1"/>
    </xf>
    <xf numFmtId="164" fontId="11" fillId="0" borderId="38" xfId="1" applyNumberFormat="1" applyFont="1" applyBorder="1" applyAlignment="1">
      <alignment horizontal="center" vertical="center" shrinkToFit="1"/>
    </xf>
    <xf numFmtId="0" fontId="12" fillId="0" borderId="8" xfId="0" applyFont="1" applyBorder="1" applyProtection="1">
      <protection hidden="1"/>
    </xf>
    <xf numFmtId="0" fontId="2" fillId="8" borderId="1" xfId="0" applyFont="1" applyFill="1" applyBorder="1"/>
    <xf numFmtId="0" fontId="2" fillId="0" borderId="1" xfId="0" applyFont="1" applyBorder="1"/>
    <xf numFmtId="0" fontId="7" fillId="0" borderId="0" xfId="1" applyFont="1" applyAlignment="1">
      <alignment vertical="center"/>
    </xf>
    <xf numFmtId="0" fontId="12" fillId="2" borderId="5" xfId="1" applyFont="1" applyFill="1" applyBorder="1" applyAlignment="1" applyProtection="1">
      <alignment vertical="center"/>
      <protection hidden="1"/>
    </xf>
    <xf numFmtId="9" fontId="2" fillId="0" borderId="4" xfId="1" applyNumberFormat="1" applyBorder="1" applyAlignment="1">
      <alignment horizontal="center" vertical="center"/>
    </xf>
    <xf numFmtId="164" fontId="11" fillId="0" borderId="4" xfId="1" applyNumberFormat="1" applyFont="1" applyBorder="1" applyAlignment="1">
      <alignment horizontal="center" vertical="top" shrinkToFit="1"/>
    </xf>
    <xf numFmtId="2" fontId="20" fillId="0" borderId="4" xfId="1" applyNumberFormat="1" applyFont="1" applyBorder="1" applyAlignment="1">
      <alignment horizontal="center" vertical="center"/>
    </xf>
    <xf numFmtId="1" fontId="11" fillId="0" borderId="56" xfId="1" applyNumberFormat="1" applyFont="1" applyBorder="1" applyAlignment="1">
      <alignment horizontal="center" vertical="center" shrinkToFit="1"/>
    </xf>
    <xf numFmtId="1" fontId="11" fillId="0" borderId="21" xfId="1" applyNumberFormat="1" applyFont="1" applyBorder="1" applyAlignment="1">
      <alignment horizontal="center" vertical="center" shrinkToFit="1"/>
    </xf>
    <xf numFmtId="0" fontId="32" fillId="0" borderId="0" xfId="2" applyNumberFormat="1" applyFont="1" applyAlignment="1">
      <alignment vertical="center"/>
    </xf>
    <xf numFmtId="0" fontId="12" fillId="0" borderId="0" xfId="1" applyFont="1" applyProtection="1">
      <protection hidden="1"/>
    </xf>
    <xf numFmtId="0" fontId="24" fillId="0" borderId="0" xfId="1" applyFont="1" applyAlignment="1">
      <alignment horizontal="right" vertical="center" textRotation="90"/>
    </xf>
    <xf numFmtId="0" fontId="12" fillId="0" borderId="30" xfId="1" applyFont="1" applyBorder="1" applyAlignment="1" applyProtection="1">
      <alignment vertical="center"/>
      <protection hidden="1"/>
    </xf>
    <xf numFmtId="0" fontId="12" fillId="0" borderId="31" xfId="1" applyFont="1" applyBorder="1" applyAlignment="1" applyProtection="1">
      <alignment vertical="center"/>
      <protection hidden="1"/>
    </xf>
    <xf numFmtId="0" fontId="12" fillId="0" borderId="32" xfId="1" applyFont="1" applyBorder="1" applyAlignment="1" applyProtection="1">
      <alignment vertical="center"/>
      <protection hidden="1"/>
    </xf>
    <xf numFmtId="0" fontId="12" fillId="0" borderId="33" xfId="1" applyFont="1" applyBorder="1" applyAlignment="1" applyProtection="1">
      <alignment vertical="center"/>
      <protection hidden="1"/>
    </xf>
    <xf numFmtId="0" fontId="12" fillId="0" borderId="29" xfId="1" applyFont="1" applyBorder="1" applyAlignment="1" applyProtection="1">
      <alignment vertical="center"/>
      <protection hidden="1"/>
    </xf>
    <xf numFmtId="0" fontId="12" fillId="0" borderId="34" xfId="1" applyFont="1" applyBorder="1" applyAlignment="1" applyProtection="1">
      <alignment vertical="center"/>
      <protection hidden="1"/>
    </xf>
    <xf numFmtId="0" fontId="12" fillId="0" borderId="28" xfId="1" applyFont="1" applyBorder="1" applyAlignment="1" applyProtection="1">
      <alignment vertical="center"/>
      <protection hidden="1"/>
    </xf>
    <xf numFmtId="0" fontId="12" fillId="0" borderId="35" xfId="1" applyFont="1" applyBorder="1" applyAlignment="1" applyProtection="1">
      <alignment vertical="center"/>
      <protection hidden="1"/>
    </xf>
    <xf numFmtId="0" fontId="42" fillId="0" borderId="6" xfId="1" applyFont="1" applyBorder="1" applyProtection="1">
      <protection hidden="1"/>
    </xf>
    <xf numFmtId="0" fontId="2" fillId="2" borderId="0" xfId="6" applyFont="1" applyFill="1" applyAlignment="1">
      <alignment vertical="center"/>
    </xf>
    <xf numFmtId="0" fontId="2" fillId="11" borderId="0" xfId="6" applyFont="1" applyFill="1" applyAlignment="1">
      <alignment vertical="center"/>
    </xf>
    <xf numFmtId="0" fontId="48" fillId="11" borderId="0" xfId="6" applyFont="1" applyFill="1" applyAlignment="1">
      <alignment vertical="center" wrapText="1"/>
    </xf>
    <xf numFmtId="0" fontId="50" fillId="11" borderId="0" xfId="6" applyFont="1" applyFill="1" applyAlignment="1">
      <alignment horizontal="center" vertical="center"/>
    </xf>
    <xf numFmtId="0" fontId="50" fillId="2" borderId="0" xfId="6" applyFont="1" applyFill="1" applyAlignment="1">
      <alignment horizontal="center" vertical="center"/>
    </xf>
    <xf numFmtId="0" fontId="8" fillId="2" borderId="0" xfId="6" applyFont="1" applyFill="1" applyAlignment="1">
      <alignment horizontal="center" vertical="center"/>
    </xf>
    <xf numFmtId="0" fontId="2" fillId="2" borderId="0" xfId="6" applyFont="1" applyFill="1" applyAlignment="1">
      <alignment horizontal="left" vertical="center" indent="1"/>
    </xf>
    <xf numFmtId="2" fontId="52" fillId="2" borderId="0" xfId="6" applyNumberFormat="1" applyFont="1" applyFill="1" applyAlignment="1">
      <alignment horizontal="left" vertical="center"/>
    </xf>
    <xf numFmtId="0" fontId="2" fillId="2" borderId="0" xfId="6" applyFont="1" applyFill="1" applyAlignment="1">
      <alignment horizontal="left" vertical="center"/>
    </xf>
    <xf numFmtId="0" fontId="47" fillId="0" borderId="0" xfId="6" applyAlignment="1">
      <alignment horizontal="left" vertical="center"/>
    </xf>
    <xf numFmtId="2" fontId="52" fillId="2" borderId="0" xfId="6" applyNumberFormat="1" applyFont="1" applyFill="1" applyAlignment="1" applyProtection="1">
      <alignment horizontal="left" vertical="center"/>
      <protection locked="0"/>
    </xf>
    <xf numFmtId="2" fontId="2" fillId="2" borderId="0" xfId="6" applyNumberFormat="1" applyFont="1" applyFill="1" applyAlignment="1" applyProtection="1">
      <alignment horizontal="left" vertical="center"/>
      <protection locked="0"/>
    </xf>
    <xf numFmtId="0" fontId="28" fillId="2" borderId="0" xfId="6" applyFont="1" applyFill="1" applyAlignment="1">
      <alignment horizontal="left" vertical="center"/>
    </xf>
    <xf numFmtId="0" fontId="53" fillId="2" borderId="0" xfId="6" applyFont="1" applyFill="1" applyAlignment="1">
      <alignment horizontal="left" vertical="center"/>
    </xf>
    <xf numFmtId="2" fontId="28" fillId="2" borderId="0" xfId="6" applyNumberFormat="1" applyFont="1" applyFill="1" applyAlignment="1" applyProtection="1">
      <alignment horizontal="left" vertical="center"/>
      <protection locked="0"/>
    </xf>
    <xf numFmtId="0" fontId="47" fillId="0" borderId="0" xfId="6" applyAlignment="1">
      <alignment horizontal="left" vertical="center" indent="1"/>
    </xf>
    <xf numFmtId="0" fontId="53" fillId="2" borderId="0" xfId="6" applyFont="1" applyFill="1" applyAlignment="1" applyProtection="1">
      <alignment horizontal="left" vertical="center"/>
      <protection locked="0"/>
    </xf>
    <xf numFmtId="0" fontId="47" fillId="11" borderId="0" xfId="6" applyFill="1" applyAlignment="1">
      <alignment horizontal="left" vertical="center"/>
    </xf>
    <xf numFmtId="165" fontId="2" fillId="2" borderId="0" xfId="6" applyNumberFormat="1" applyFont="1" applyFill="1" applyAlignment="1" applyProtection="1">
      <alignment horizontal="right" vertical="center"/>
      <protection locked="0"/>
    </xf>
    <xf numFmtId="165" fontId="2" fillId="2" borderId="0" xfId="6" applyNumberFormat="1" applyFont="1" applyFill="1" applyAlignment="1" applyProtection="1">
      <alignment horizontal="right" vertical="center"/>
      <protection hidden="1"/>
    </xf>
    <xf numFmtId="2" fontId="2" fillId="2" borderId="0" xfId="6" applyNumberFormat="1" applyFont="1" applyFill="1" applyAlignment="1" applyProtection="1">
      <alignment horizontal="right" vertical="center"/>
      <protection hidden="1"/>
    </xf>
    <xf numFmtId="0" fontId="2" fillId="2" borderId="0" xfId="6" applyFont="1" applyFill="1" applyAlignment="1">
      <alignment horizontal="right" vertical="center"/>
    </xf>
    <xf numFmtId="0" fontId="2" fillId="11" borderId="0" xfId="6" applyFont="1" applyFill="1" applyAlignment="1">
      <alignment horizontal="right" vertical="center"/>
    </xf>
    <xf numFmtId="0" fontId="2" fillId="2" borderId="0" xfId="6" applyFont="1" applyFill="1" applyAlignment="1">
      <alignment horizontal="center" vertical="center"/>
    </xf>
    <xf numFmtId="165" fontId="56" fillId="2" borderId="0" xfId="6" applyNumberFormat="1" applyFont="1" applyFill="1" applyAlignment="1">
      <alignment horizontal="right" vertical="center"/>
    </xf>
    <xf numFmtId="164" fontId="52" fillId="2" borderId="0" xfId="6" applyNumberFormat="1" applyFont="1" applyFill="1" applyAlignment="1">
      <alignment horizontal="right" vertical="center"/>
    </xf>
    <xf numFmtId="165" fontId="2" fillId="2" borderId="0" xfId="6" applyNumberFormat="1" applyFont="1" applyFill="1" applyAlignment="1">
      <alignment horizontal="right" vertical="center"/>
    </xf>
    <xf numFmtId="165" fontId="45" fillId="10" borderId="0" xfId="5" applyNumberFormat="1" applyBorder="1" applyAlignment="1" applyProtection="1">
      <alignment horizontal="right" vertical="center"/>
      <protection hidden="1"/>
    </xf>
    <xf numFmtId="0" fontId="2" fillId="11" borderId="0" xfId="6" applyFont="1" applyFill="1" applyAlignment="1">
      <alignment horizontal="left" vertical="center"/>
    </xf>
    <xf numFmtId="0" fontId="57" fillId="11" borderId="0" xfId="6" applyFont="1" applyFill="1" applyAlignment="1">
      <alignment vertical="center"/>
    </xf>
    <xf numFmtId="164" fontId="2" fillId="2" borderId="0" xfId="6" applyNumberFormat="1" applyFont="1" applyFill="1" applyAlignment="1">
      <alignment vertical="center"/>
    </xf>
    <xf numFmtId="0" fontId="58" fillId="0" borderId="1" xfId="7" applyFont="1" applyBorder="1" applyAlignment="1">
      <alignment horizontal="center" vertical="center"/>
    </xf>
    <xf numFmtId="0" fontId="62" fillId="0" borderId="1" xfId="7" applyFont="1" applyBorder="1" applyAlignment="1">
      <alignment horizontal="center" vertical="center"/>
    </xf>
    <xf numFmtId="0" fontId="65" fillId="0" borderId="1" xfId="7" applyFont="1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61" fillId="0" borderId="1" xfId="7" applyFont="1" applyBorder="1" applyAlignment="1">
      <alignment horizontal="center" vertical="center"/>
    </xf>
    <xf numFmtId="0" fontId="61" fillId="0" borderId="1" xfId="7" applyFont="1" applyBorder="1" applyAlignment="1">
      <alignment horizontal="left" vertical="center"/>
    </xf>
    <xf numFmtId="2" fontId="61" fillId="0" borderId="1" xfId="7" applyNumberFormat="1" applyFont="1" applyBorder="1" applyAlignment="1">
      <alignment horizontal="center" vertical="center"/>
    </xf>
    <xf numFmtId="0" fontId="47" fillId="0" borderId="0" xfId="6" applyAlignment="1">
      <alignment horizontal="center" vertical="center"/>
    </xf>
    <xf numFmtId="0" fontId="46" fillId="0" borderId="0" xfId="8"/>
    <xf numFmtId="0" fontId="1" fillId="6" borderId="1" xfId="1" applyFont="1" applyFill="1" applyBorder="1" applyAlignment="1">
      <alignment vertical="center"/>
    </xf>
    <xf numFmtId="0" fontId="0" fillId="6" borderId="1" xfId="1" applyFont="1" applyFill="1" applyBorder="1" applyAlignment="1">
      <alignment horizontal="right" vertical="center"/>
    </xf>
    <xf numFmtId="2" fontId="2" fillId="0" borderId="1" xfId="1" applyNumberFormat="1" applyBorder="1" applyAlignment="1">
      <alignment horizontal="center" vertical="center"/>
    </xf>
    <xf numFmtId="0" fontId="1" fillId="6" borderId="1" xfId="1" applyFont="1" applyFill="1" applyBorder="1" applyAlignment="1">
      <alignment horizontal="right" vertical="center"/>
    </xf>
    <xf numFmtId="164" fontId="66" fillId="3" borderId="15" xfId="1" applyNumberFormat="1" applyFont="1" applyFill="1" applyBorder="1" applyAlignment="1">
      <alignment horizontal="center" vertical="center" shrinkToFit="1"/>
    </xf>
    <xf numFmtId="0" fontId="2" fillId="0" borderId="5" xfId="1" applyBorder="1" applyProtection="1">
      <protection hidden="1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1" fillId="2" borderId="23" xfId="1" applyFont="1" applyFill="1" applyBorder="1" applyAlignment="1">
      <alignment vertical="center"/>
    </xf>
    <xf numFmtId="0" fontId="0" fillId="2" borderId="24" xfId="1" applyFont="1" applyFill="1" applyBorder="1" applyAlignment="1">
      <alignment horizontal="right" vertical="center"/>
    </xf>
    <xf numFmtId="0" fontId="1" fillId="2" borderId="16" xfId="1" applyFont="1" applyFill="1" applyBorder="1" applyAlignment="1">
      <alignment vertical="center"/>
    </xf>
    <xf numFmtId="0" fontId="0" fillId="2" borderId="17" xfId="1" applyFont="1" applyFill="1" applyBorder="1" applyAlignment="1">
      <alignment horizontal="right" vertical="center"/>
    </xf>
    <xf numFmtId="0" fontId="2" fillId="2" borderId="8" xfId="1" applyFill="1" applyBorder="1" applyProtection="1">
      <protection hidden="1"/>
    </xf>
    <xf numFmtId="0" fontId="2" fillId="0" borderId="17" xfId="1" applyBorder="1" applyProtection="1">
      <protection hidden="1"/>
    </xf>
    <xf numFmtId="0" fontId="2" fillId="0" borderId="18" xfId="1" applyBorder="1" applyProtection="1">
      <protection hidden="1"/>
    </xf>
    <xf numFmtId="0" fontId="12" fillId="2" borderId="0" xfId="1" applyFont="1" applyFill="1" applyAlignment="1" applyProtection="1">
      <alignment vertical="center"/>
      <protection hidden="1"/>
    </xf>
    <xf numFmtId="0" fontId="15" fillId="0" borderId="0" xfId="1" applyFont="1" applyAlignment="1" applyProtection="1">
      <alignment horizontal="right" vertical="center"/>
      <protection hidden="1"/>
    </xf>
    <xf numFmtId="0" fontId="12" fillId="0" borderId="0" xfId="1" applyFont="1" applyAlignment="1" applyProtection="1">
      <alignment horizontal="right" vertical="center"/>
      <protection hidden="1"/>
    </xf>
    <xf numFmtId="0" fontId="12" fillId="0" borderId="0" xfId="1" applyFont="1" applyAlignment="1" applyProtection="1">
      <alignment horizontal="left" vertical="center" indent="1"/>
      <protection hidden="1"/>
    </xf>
    <xf numFmtId="0" fontId="12" fillId="2" borderId="0" xfId="1" applyFont="1" applyFill="1" applyAlignment="1" applyProtection="1">
      <alignment horizontal="right" vertical="center"/>
      <protection hidden="1"/>
    </xf>
    <xf numFmtId="0" fontId="12" fillId="2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right" vertical="center"/>
      <protection hidden="1"/>
    </xf>
    <xf numFmtId="2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hidden="1"/>
    </xf>
    <xf numFmtId="2" fontId="12" fillId="0" borderId="0" xfId="0" applyNumberFormat="1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right"/>
      <protection hidden="1"/>
    </xf>
    <xf numFmtId="0" fontId="12" fillId="0" borderId="0" xfId="0" applyFont="1" applyAlignment="1">
      <alignment horizontal="center" vertical="center"/>
    </xf>
    <xf numFmtId="0" fontId="42" fillId="0" borderId="0" xfId="1" applyFont="1" applyProtection="1">
      <protection hidden="1"/>
    </xf>
    <xf numFmtId="0" fontId="2" fillId="2" borderId="0" xfId="1" applyFill="1" applyProtection="1">
      <protection hidden="1"/>
    </xf>
    <xf numFmtId="0" fontId="12" fillId="0" borderId="12" xfId="1" applyFont="1" applyBorder="1" applyAlignment="1" applyProtection="1">
      <alignment vertical="center"/>
      <protection hidden="1"/>
    </xf>
    <xf numFmtId="0" fontId="12" fillId="2" borderId="12" xfId="0" applyFont="1" applyFill="1" applyBorder="1" applyProtection="1">
      <protection hidden="1"/>
    </xf>
    <xf numFmtId="0" fontId="12" fillId="0" borderId="12" xfId="0" applyFont="1" applyBorder="1" applyAlignment="1">
      <alignment horizontal="center" vertical="center"/>
    </xf>
    <xf numFmtId="0" fontId="12" fillId="0" borderId="7" xfId="1" applyFont="1" applyBorder="1" applyAlignment="1" applyProtection="1">
      <alignment vertical="center"/>
      <protection hidden="1"/>
    </xf>
    <xf numFmtId="0" fontId="42" fillId="0" borderId="12" xfId="1" applyFont="1" applyBorder="1" applyProtection="1">
      <protection hidden="1"/>
    </xf>
    <xf numFmtId="0" fontId="2" fillId="2" borderId="17" xfId="1" applyFill="1" applyBorder="1" applyProtection="1">
      <protection hidden="1"/>
    </xf>
    <xf numFmtId="0" fontId="12" fillId="15" borderId="6" xfId="1" applyFont="1" applyFill="1" applyBorder="1" applyAlignment="1" applyProtection="1">
      <alignment vertical="center"/>
      <protection locked="0"/>
    </xf>
    <xf numFmtId="0" fontId="18" fillId="15" borderId="6" xfId="1" applyFont="1" applyFill="1" applyBorder="1" applyAlignment="1" applyProtection="1">
      <alignment vertical="center"/>
      <protection locked="0"/>
    </xf>
    <xf numFmtId="0" fontId="1" fillId="15" borderId="8" xfId="1" applyFont="1" applyFill="1" applyBorder="1" applyAlignment="1">
      <alignment vertical="center"/>
    </xf>
    <xf numFmtId="0" fontId="1" fillId="15" borderId="16" xfId="1" applyFont="1" applyFill="1" applyBorder="1" applyAlignment="1">
      <alignment vertical="center"/>
    </xf>
    <xf numFmtId="0" fontId="1" fillId="15" borderId="17" xfId="1" applyFont="1" applyFill="1" applyBorder="1" applyAlignment="1">
      <alignment vertical="center"/>
    </xf>
    <xf numFmtId="0" fontId="1" fillId="15" borderId="17" xfId="1" applyFont="1" applyFill="1" applyBorder="1" applyAlignment="1">
      <alignment horizontal="right" vertical="center"/>
    </xf>
    <xf numFmtId="0" fontId="12" fillId="15" borderId="6" xfId="1" applyFont="1" applyFill="1" applyBorder="1" applyAlignment="1">
      <alignment horizontal="right" vertical="center"/>
    </xf>
    <xf numFmtId="0" fontId="12" fillId="15" borderId="6" xfId="1" applyFont="1" applyFill="1" applyBorder="1" applyAlignment="1">
      <alignment vertical="center"/>
    </xf>
    <xf numFmtId="0" fontId="12" fillId="15" borderId="8" xfId="1" applyFont="1" applyFill="1" applyBorder="1" applyAlignment="1">
      <alignment vertical="center" shrinkToFit="1"/>
    </xf>
    <xf numFmtId="0" fontId="12" fillId="15" borderId="0" xfId="1" applyFont="1" applyFill="1" applyAlignment="1">
      <alignment horizontal="right" vertical="center"/>
    </xf>
    <xf numFmtId="0" fontId="12" fillId="15" borderId="0" xfId="1" applyFont="1" applyFill="1" applyAlignment="1">
      <alignment horizontal="right" vertical="center" shrinkToFit="1"/>
    </xf>
    <xf numFmtId="2" fontId="12" fillId="15" borderId="12" xfId="1" applyNumberFormat="1" applyFont="1" applyFill="1" applyBorder="1" applyAlignment="1" applyProtection="1">
      <alignment vertical="center"/>
      <protection hidden="1"/>
    </xf>
    <xf numFmtId="0" fontId="12" fillId="15" borderId="16" xfId="1" applyFont="1" applyFill="1" applyBorder="1" applyAlignment="1">
      <alignment vertical="center" shrinkToFit="1"/>
    </xf>
    <xf numFmtId="0" fontId="12" fillId="15" borderId="16" xfId="1" applyFont="1" applyFill="1" applyBorder="1" applyAlignment="1">
      <alignment horizontal="right" vertical="center"/>
    </xf>
    <xf numFmtId="0" fontId="12" fillId="15" borderId="17" xfId="1" applyFont="1" applyFill="1" applyBorder="1" applyAlignment="1">
      <alignment vertical="center" shrinkToFit="1"/>
    </xf>
    <xf numFmtId="2" fontId="12" fillId="15" borderId="18" xfId="1" applyNumberFormat="1" applyFont="1" applyFill="1" applyBorder="1" applyAlignment="1" applyProtection="1">
      <alignment vertical="center"/>
      <protection hidden="1"/>
    </xf>
    <xf numFmtId="0" fontId="12" fillId="15" borderId="5" xfId="0" applyFont="1" applyFill="1" applyBorder="1" applyAlignment="1">
      <alignment horizontal="left" vertical="center"/>
    </xf>
    <xf numFmtId="0" fontId="12" fillId="15" borderId="6" xfId="0" applyFont="1" applyFill="1" applyBorder="1" applyAlignment="1">
      <alignment wrapText="1"/>
    </xf>
    <xf numFmtId="0" fontId="12" fillId="15" borderId="48" xfId="0" applyFont="1" applyFill="1" applyBorder="1" applyAlignment="1">
      <alignment horizontal="right" vertical="center"/>
    </xf>
    <xf numFmtId="0" fontId="12" fillId="15" borderId="8" xfId="0" applyFont="1" applyFill="1" applyBorder="1"/>
    <xf numFmtId="0" fontId="12" fillId="15" borderId="0" xfId="0" applyFont="1" applyFill="1" applyAlignment="1">
      <alignment wrapText="1"/>
    </xf>
    <xf numFmtId="0" fontId="1" fillId="15" borderId="23" xfId="0" applyFont="1" applyFill="1" applyBorder="1" applyAlignment="1">
      <alignment vertical="center"/>
    </xf>
    <xf numFmtId="0" fontId="1" fillId="15" borderId="24" xfId="0" applyFont="1" applyFill="1" applyBorder="1" applyAlignment="1">
      <alignment vertical="center"/>
    </xf>
    <xf numFmtId="2" fontId="12" fillId="15" borderId="1" xfId="0" applyNumberFormat="1" applyFont="1" applyFill="1" applyBorder="1" applyAlignment="1" applyProtection="1">
      <alignment horizontal="center" vertical="center"/>
      <protection hidden="1"/>
    </xf>
    <xf numFmtId="0" fontId="0" fillId="15" borderId="0" xfId="1" applyFont="1" applyFill="1" applyAlignment="1">
      <alignment horizontal="right" vertical="center"/>
    </xf>
    <xf numFmtId="0" fontId="1" fillId="15" borderId="26" xfId="1" applyFont="1" applyFill="1" applyBorder="1" applyAlignment="1">
      <alignment vertical="center"/>
    </xf>
    <xf numFmtId="0" fontId="0" fillId="15" borderId="22" xfId="1" applyFont="1" applyFill="1" applyBorder="1" applyAlignment="1">
      <alignment horizontal="right" vertical="center"/>
    </xf>
    <xf numFmtId="0" fontId="1" fillId="15" borderId="23" xfId="1" applyFont="1" applyFill="1" applyBorder="1" applyAlignment="1">
      <alignment vertical="center"/>
    </xf>
    <xf numFmtId="0" fontId="1" fillId="15" borderId="24" xfId="1" applyFont="1" applyFill="1" applyBorder="1" applyAlignment="1">
      <alignment horizontal="right" vertical="center"/>
    </xf>
    <xf numFmtId="0" fontId="1" fillId="15" borderId="22" xfId="1" applyFont="1" applyFill="1" applyBorder="1" applyAlignment="1">
      <alignment horizontal="right" vertical="center"/>
    </xf>
    <xf numFmtId="0" fontId="0" fillId="15" borderId="24" xfId="1" applyFont="1" applyFill="1" applyBorder="1" applyAlignment="1">
      <alignment horizontal="right" vertical="center"/>
    </xf>
    <xf numFmtId="0" fontId="12" fillId="15" borderId="30" xfId="1" applyFont="1" applyFill="1" applyBorder="1" applyAlignment="1" applyProtection="1">
      <alignment vertical="center"/>
      <protection hidden="1"/>
    </xf>
    <xf numFmtId="0" fontId="12" fillId="15" borderId="31" xfId="1" applyFont="1" applyFill="1" applyBorder="1" applyAlignment="1" applyProtection="1">
      <alignment vertical="center"/>
      <protection hidden="1"/>
    </xf>
    <xf numFmtId="0" fontId="12" fillId="15" borderId="51" xfId="1" applyFont="1" applyFill="1" applyBorder="1" applyAlignment="1" applyProtection="1">
      <alignment vertical="center"/>
      <protection hidden="1"/>
    </xf>
    <xf numFmtId="0" fontId="12" fillId="15" borderId="61" xfId="1" applyFont="1" applyFill="1" applyBorder="1" applyAlignment="1" applyProtection="1">
      <alignment vertical="center"/>
      <protection hidden="1"/>
    </xf>
    <xf numFmtId="0" fontId="12" fillId="15" borderId="52" xfId="1" applyFont="1" applyFill="1" applyBorder="1" applyAlignment="1" applyProtection="1">
      <alignment vertical="center"/>
      <protection hidden="1"/>
    </xf>
    <xf numFmtId="0" fontId="12" fillId="15" borderId="32" xfId="1" applyFont="1" applyFill="1" applyBorder="1" applyAlignment="1" applyProtection="1">
      <alignment vertical="center"/>
      <protection hidden="1"/>
    </xf>
    <xf numFmtId="0" fontId="12" fillId="15" borderId="8" xfId="1" applyFont="1" applyFill="1" applyBorder="1" applyAlignment="1" applyProtection="1">
      <alignment vertical="center"/>
      <protection hidden="1"/>
    </xf>
    <xf numFmtId="0" fontId="12" fillId="15" borderId="0" xfId="1" applyFont="1" applyFill="1" applyAlignment="1" applyProtection="1">
      <alignment vertical="center"/>
      <protection hidden="1"/>
    </xf>
    <xf numFmtId="0" fontId="12" fillId="15" borderId="62" xfId="1" applyFont="1" applyFill="1" applyBorder="1" applyAlignment="1" applyProtection="1">
      <alignment vertical="center"/>
      <protection hidden="1"/>
    </xf>
    <xf numFmtId="0" fontId="12" fillId="15" borderId="12" xfId="1" applyFont="1" applyFill="1" applyBorder="1" applyAlignment="1" applyProtection="1">
      <alignment vertical="center"/>
      <protection hidden="1"/>
    </xf>
    <xf numFmtId="0" fontId="12" fillId="15" borderId="29" xfId="1" applyFont="1" applyFill="1" applyBorder="1" applyAlignment="1" applyProtection="1">
      <alignment vertical="center"/>
      <protection hidden="1"/>
    </xf>
    <xf numFmtId="0" fontId="12" fillId="15" borderId="57" xfId="1" applyFont="1" applyFill="1" applyBorder="1" applyAlignment="1" applyProtection="1">
      <alignment vertical="center"/>
      <protection hidden="1"/>
    </xf>
    <xf numFmtId="0" fontId="12" fillId="15" borderId="17" xfId="1" applyFont="1" applyFill="1" applyBorder="1" applyAlignment="1" applyProtection="1">
      <alignment vertical="center"/>
      <protection hidden="1"/>
    </xf>
    <xf numFmtId="0" fontId="12" fillId="15" borderId="33" xfId="1" applyFont="1" applyFill="1" applyBorder="1" applyAlignment="1" applyProtection="1">
      <alignment vertical="center"/>
      <protection hidden="1"/>
    </xf>
    <xf numFmtId="0" fontId="16" fillId="15" borderId="33" xfId="1" applyFont="1" applyFill="1" applyBorder="1" applyAlignment="1" applyProtection="1">
      <alignment vertical="center"/>
      <protection hidden="1"/>
    </xf>
    <xf numFmtId="0" fontId="12" fillId="15" borderId="34" xfId="1" applyFont="1" applyFill="1" applyBorder="1" applyAlignment="1" applyProtection="1">
      <alignment vertical="center"/>
      <protection hidden="1"/>
    </xf>
    <xf numFmtId="0" fontId="12" fillId="15" borderId="28" xfId="1" applyFont="1" applyFill="1" applyBorder="1" applyAlignment="1" applyProtection="1">
      <alignment vertical="center"/>
      <protection hidden="1"/>
    </xf>
    <xf numFmtId="0" fontId="12" fillId="15" borderId="53" xfId="1" applyFont="1" applyFill="1" applyBorder="1" applyAlignment="1" applyProtection="1">
      <alignment vertical="center"/>
      <protection hidden="1"/>
    </xf>
    <xf numFmtId="0" fontId="12" fillId="15" borderId="63" xfId="1" applyFont="1" applyFill="1" applyBorder="1" applyAlignment="1" applyProtection="1">
      <alignment vertical="center"/>
      <protection hidden="1"/>
    </xf>
    <xf numFmtId="0" fontId="12" fillId="15" borderId="54" xfId="1" applyFont="1" applyFill="1" applyBorder="1" applyAlignment="1" applyProtection="1">
      <alignment vertical="center"/>
      <protection hidden="1"/>
    </xf>
    <xf numFmtId="0" fontId="12" fillId="15" borderId="35" xfId="1" applyFont="1" applyFill="1" applyBorder="1" applyAlignment="1" applyProtection="1">
      <alignment vertical="center"/>
      <protection hidden="1"/>
    </xf>
    <xf numFmtId="0" fontId="12" fillId="15" borderId="58" xfId="1" applyFont="1" applyFill="1" applyBorder="1" applyAlignment="1" applyProtection="1">
      <alignment vertical="center"/>
      <protection hidden="1"/>
    </xf>
    <xf numFmtId="0" fontId="12" fillId="15" borderId="5" xfId="1" applyFont="1" applyFill="1" applyBorder="1" applyAlignment="1" applyProtection="1">
      <alignment vertical="center"/>
      <protection hidden="1"/>
    </xf>
    <xf numFmtId="0" fontId="12" fillId="15" borderId="59" xfId="1" applyFont="1" applyFill="1" applyBorder="1" applyAlignment="1" applyProtection="1">
      <alignment vertical="center"/>
      <protection hidden="1"/>
    </xf>
    <xf numFmtId="0" fontId="16" fillId="15" borderId="8" xfId="1" applyFont="1" applyFill="1" applyBorder="1" applyAlignment="1" applyProtection="1">
      <alignment vertical="center"/>
      <protection hidden="1"/>
    </xf>
    <xf numFmtId="0" fontId="12" fillId="15" borderId="16" xfId="1" applyFont="1" applyFill="1" applyBorder="1" applyAlignment="1" applyProtection="1">
      <alignment vertical="center"/>
      <protection hidden="1"/>
    </xf>
    <xf numFmtId="0" fontId="12" fillId="15" borderId="64" xfId="1" applyFont="1" applyFill="1" applyBorder="1" applyAlignment="1" applyProtection="1">
      <alignment vertical="center"/>
      <protection hidden="1"/>
    </xf>
    <xf numFmtId="0" fontId="12" fillId="15" borderId="60" xfId="1" applyFont="1" applyFill="1" applyBorder="1" applyAlignment="1" applyProtection="1">
      <alignment vertical="center"/>
      <protection hidden="1"/>
    </xf>
    <xf numFmtId="0" fontId="12" fillId="15" borderId="6" xfId="1" applyFont="1" applyFill="1" applyBorder="1" applyAlignment="1" applyProtection="1">
      <alignment vertical="center"/>
      <protection hidden="1"/>
    </xf>
    <xf numFmtId="0" fontId="12" fillId="15" borderId="65" xfId="1" applyFont="1" applyFill="1" applyBorder="1" applyAlignment="1" applyProtection="1">
      <alignment vertical="center"/>
      <protection hidden="1"/>
    </xf>
    <xf numFmtId="0" fontId="12" fillId="15" borderId="7" xfId="1" applyFont="1" applyFill="1" applyBorder="1" applyAlignment="1" applyProtection="1">
      <alignment vertical="center"/>
      <protection hidden="1"/>
    </xf>
    <xf numFmtId="0" fontId="2" fillId="0" borderId="1" xfId="1" applyBorder="1"/>
    <xf numFmtId="0" fontId="1" fillId="15" borderId="0" xfId="1" applyFont="1" applyFill="1" applyAlignment="1">
      <alignment vertical="center"/>
    </xf>
    <xf numFmtId="0" fontId="1" fillId="15" borderId="0" xfId="1" applyFont="1" applyFill="1" applyAlignment="1">
      <alignment horizontal="right" vertical="center"/>
    </xf>
    <xf numFmtId="0" fontId="0" fillId="0" borderId="1" xfId="0" applyBorder="1"/>
    <xf numFmtId="0" fontId="24" fillId="0" borderId="0" xfId="1" applyFont="1" applyAlignment="1">
      <alignment textRotation="90"/>
    </xf>
    <xf numFmtId="0" fontId="2" fillId="0" borderId="2" xfId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0" fontId="2" fillId="0" borderId="4" xfId="1" applyBorder="1" applyAlignment="1">
      <alignment horizontal="center" vertical="center"/>
    </xf>
    <xf numFmtId="0" fontId="12" fillId="0" borderId="31" xfId="1" applyFont="1" applyBorder="1" applyAlignment="1" applyProtection="1">
      <alignment horizontal="center" vertical="center"/>
      <protection hidden="1"/>
    </xf>
    <xf numFmtId="0" fontId="12" fillId="0" borderId="67" xfId="1" applyFont="1" applyBorder="1" applyAlignment="1" applyProtection="1">
      <alignment horizontal="center" vertical="center" textRotation="90"/>
      <protection hidden="1"/>
    </xf>
    <xf numFmtId="0" fontId="42" fillId="0" borderId="68" xfId="1" applyFont="1" applyBorder="1" applyAlignment="1" applyProtection="1">
      <alignment horizontal="center" vertical="center" textRotation="90"/>
      <protection hidden="1"/>
    </xf>
    <xf numFmtId="0" fontId="12" fillId="15" borderId="6" xfId="1" applyFont="1" applyFill="1" applyBorder="1" applyAlignment="1" applyProtection="1">
      <alignment horizontal="left" vertical="center"/>
      <protection locked="0"/>
    </xf>
    <xf numFmtId="0" fontId="12" fillId="15" borderId="7" xfId="1" applyFont="1" applyFill="1" applyBorder="1" applyAlignment="1" applyProtection="1">
      <alignment horizontal="left" vertical="center"/>
      <protection locked="0"/>
    </xf>
    <xf numFmtId="0" fontId="12" fillId="15" borderId="8" xfId="1" applyFont="1" applyFill="1" applyBorder="1" applyAlignment="1">
      <alignment horizontal="right" vertical="center" indent="1"/>
    </xf>
    <xf numFmtId="0" fontId="12" fillId="15" borderId="0" xfId="1" applyFont="1" applyFill="1" applyAlignment="1">
      <alignment horizontal="right" vertical="center" indent="1"/>
    </xf>
    <xf numFmtId="0" fontId="17" fillId="15" borderId="0" xfId="1" applyFont="1" applyFill="1" applyAlignment="1" applyProtection="1">
      <alignment horizontal="left" vertical="center"/>
      <protection locked="0"/>
    </xf>
    <xf numFmtId="0" fontId="31" fillId="15" borderId="0" xfId="1" applyFont="1" applyFill="1" applyAlignment="1" applyProtection="1">
      <alignment horizontal="left" vertical="center"/>
      <protection locked="0"/>
    </xf>
    <xf numFmtId="0" fontId="12" fillId="15" borderId="0" xfId="1" applyFont="1" applyFill="1" applyAlignment="1" applyProtection="1">
      <alignment horizontal="left" vertical="center"/>
      <protection locked="0"/>
    </xf>
    <xf numFmtId="0" fontId="12" fillId="15" borderId="12" xfId="1" applyFont="1" applyFill="1" applyBorder="1" applyAlignment="1" applyProtection="1">
      <alignment horizontal="left" vertical="center"/>
      <protection locked="0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right"/>
    </xf>
    <xf numFmtId="0" fontId="41" fillId="3" borderId="0" xfId="1" applyFont="1" applyFill="1" applyAlignment="1">
      <alignment horizontal="center" vertical="center"/>
    </xf>
    <xf numFmtId="0" fontId="69" fillId="13" borderId="5" xfId="2" applyNumberFormat="1" applyFont="1" applyFill="1" applyBorder="1" applyAlignment="1">
      <alignment horizontal="center" vertical="center" wrapText="1"/>
    </xf>
    <xf numFmtId="0" fontId="69" fillId="13" borderId="6" xfId="2" applyNumberFormat="1" applyFont="1" applyFill="1" applyBorder="1" applyAlignment="1">
      <alignment horizontal="center" vertical="center" wrapText="1"/>
    </xf>
    <xf numFmtId="0" fontId="69" fillId="13" borderId="8" xfId="2" applyNumberFormat="1" applyFont="1" applyFill="1" applyBorder="1" applyAlignment="1">
      <alignment horizontal="center" vertical="center" wrapText="1"/>
    </xf>
    <xf numFmtId="0" fontId="69" fillId="13" borderId="0" xfId="2" applyNumberFormat="1" applyFont="1" applyFill="1" applyAlignment="1">
      <alignment horizontal="center" vertical="center" wrapText="1"/>
    </xf>
    <xf numFmtId="0" fontId="69" fillId="13" borderId="16" xfId="2" applyNumberFormat="1" applyFont="1" applyFill="1" applyBorder="1" applyAlignment="1">
      <alignment horizontal="center" vertical="center" wrapText="1"/>
    </xf>
    <xf numFmtId="0" fontId="69" fillId="13" borderId="17" xfId="2" applyNumberFormat="1" applyFont="1" applyFill="1" applyBorder="1" applyAlignment="1">
      <alignment horizontal="center" vertical="center" wrapText="1"/>
    </xf>
    <xf numFmtId="0" fontId="70" fillId="14" borderId="6" xfId="2" applyNumberFormat="1" applyFont="1" applyFill="1" applyBorder="1" applyAlignment="1">
      <alignment horizontal="center" vertical="center" wrapText="1"/>
    </xf>
    <xf numFmtId="0" fontId="70" fillId="14" borderId="0" xfId="2" applyNumberFormat="1" applyFont="1" applyFill="1" applyAlignment="1">
      <alignment horizontal="center" vertical="center" wrapText="1"/>
    </xf>
    <xf numFmtId="0" fontId="70" fillId="14" borderId="17" xfId="2" applyNumberFormat="1" applyFont="1" applyFill="1" applyBorder="1" applyAlignment="1">
      <alignment horizontal="center" vertical="center" wrapText="1"/>
    </xf>
    <xf numFmtId="0" fontId="70" fillId="14" borderId="7" xfId="2" applyNumberFormat="1" applyFont="1" applyFill="1" applyBorder="1" applyAlignment="1">
      <alignment horizontal="center" vertical="center" wrapText="1"/>
    </xf>
    <xf numFmtId="0" fontId="70" fillId="14" borderId="12" xfId="2" applyNumberFormat="1" applyFont="1" applyFill="1" applyBorder="1" applyAlignment="1">
      <alignment horizontal="center" vertical="center" wrapText="1"/>
    </xf>
    <xf numFmtId="0" fontId="70" fillId="14" borderId="18" xfId="2" applyNumberFormat="1" applyFont="1" applyFill="1" applyBorder="1" applyAlignment="1">
      <alignment horizontal="center" vertical="center" wrapText="1"/>
    </xf>
    <xf numFmtId="0" fontId="41" fillId="0" borderId="0" xfId="1" applyFont="1" applyAlignment="1">
      <alignment horizontal="center" vertical="center" wrapText="1"/>
    </xf>
    <xf numFmtId="0" fontId="22" fillId="15" borderId="17" xfId="1" applyFont="1" applyFill="1" applyBorder="1" applyAlignment="1">
      <alignment horizontal="right" vertical="center"/>
    </xf>
    <xf numFmtId="0" fontId="1" fillId="15" borderId="17" xfId="1" applyFont="1" applyFill="1" applyBorder="1" applyAlignment="1">
      <alignment horizontal="right" vertical="center"/>
    </xf>
    <xf numFmtId="2" fontId="12" fillId="15" borderId="17" xfId="1" applyNumberFormat="1" applyFont="1" applyFill="1" applyBorder="1" applyAlignment="1" applyProtection="1">
      <alignment horizontal="center" vertical="center"/>
      <protection locked="0"/>
    </xf>
    <xf numFmtId="2" fontId="12" fillId="15" borderId="18" xfId="1" applyNumberFormat="1" applyFont="1" applyFill="1" applyBorder="1" applyAlignment="1" applyProtection="1">
      <alignment horizontal="center" vertical="center"/>
      <protection locked="0"/>
    </xf>
    <xf numFmtId="0" fontId="16" fillId="15" borderId="2" xfId="1" applyFont="1" applyFill="1" applyBorder="1" applyAlignment="1">
      <alignment horizontal="center" vertical="center"/>
    </xf>
    <xf numFmtId="0" fontId="16" fillId="15" borderId="3" xfId="1" applyFont="1" applyFill="1" applyBorder="1" applyAlignment="1">
      <alignment horizontal="center" vertical="center"/>
    </xf>
    <xf numFmtId="0" fontId="16" fillId="15" borderId="4" xfId="1" applyFont="1" applyFill="1" applyBorder="1" applyAlignment="1">
      <alignment horizontal="center" vertical="center"/>
    </xf>
    <xf numFmtId="0" fontId="16" fillId="15" borderId="2" xfId="1" applyFont="1" applyFill="1" applyBorder="1" applyAlignment="1" applyProtection="1">
      <alignment horizontal="center" vertical="center" wrapText="1"/>
      <protection hidden="1"/>
    </xf>
    <xf numFmtId="0" fontId="16" fillId="15" borderId="3" xfId="1" applyFont="1" applyFill="1" applyBorder="1" applyAlignment="1" applyProtection="1">
      <alignment horizontal="center" vertical="center" wrapText="1"/>
      <protection hidden="1"/>
    </xf>
    <xf numFmtId="0" fontId="16" fillId="15" borderId="4" xfId="1" applyFont="1" applyFill="1" applyBorder="1" applyAlignment="1" applyProtection="1">
      <alignment horizontal="center" vertical="center" wrapText="1"/>
      <protection hidden="1"/>
    </xf>
    <xf numFmtId="0" fontId="12" fillId="15" borderId="5" xfId="1" applyFont="1" applyFill="1" applyBorder="1" applyAlignment="1">
      <alignment horizontal="right" vertical="center"/>
    </xf>
    <xf numFmtId="0" fontId="12" fillId="15" borderId="6" xfId="1" applyFont="1" applyFill="1" applyBorder="1" applyAlignment="1">
      <alignment horizontal="right" vertical="center"/>
    </xf>
    <xf numFmtId="2" fontId="17" fillId="15" borderId="6" xfId="1" applyNumberFormat="1" applyFont="1" applyFill="1" applyBorder="1" applyAlignment="1">
      <alignment horizontal="center" vertical="center"/>
    </xf>
    <xf numFmtId="2" fontId="31" fillId="15" borderId="6" xfId="1" applyNumberFormat="1" applyFont="1" applyFill="1" applyBorder="1" applyAlignment="1">
      <alignment horizontal="center" vertical="center"/>
    </xf>
    <xf numFmtId="0" fontId="17" fillId="15" borderId="6" xfId="1" applyFont="1" applyFill="1" applyBorder="1" applyAlignment="1">
      <alignment horizontal="center" vertical="center"/>
    </xf>
    <xf numFmtId="0" fontId="31" fillId="15" borderId="7" xfId="1" applyFont="1" applyFill="1" applyBorder="1" applyAlignment="1">
      <alignment horizontal="center" vertical="center"/>
    </xf>
    <xf numFmtId="0" fontId="12" fillId="15" borderId="8" xfId="1" applyFont="1" applyFill="1" applyBorder="1" applyAlignment="1" applyProtection="1">
      <alignment horizontal="center"/>
      <protection hidden="1"/>
    </xf>
    <xf numFmtId="0" fontId="12" fillId="15" borderId="0" xfId="1" applyFont="1" applyFill="1" applyAlignment="1" applyProtection="1">
      <alignment horizontal="center"/>
      <protection hidden="1"/>
    </xf>
    <xf numFmtId="0" fontId="12" fillId="15" borderId="12" xfId="1" applyFont="1" applyFill="1" applyBorder="1" applyAlignment="1" applyProtection="1">
      <alignment horizontal="center"/>
      <protection hidden="1"/>
    </xf>
    <xf numFmtId="0" fontId="1" fillId="15" borderId="0" xfId="1" applyFont="1" applyFill="1" applyAlignment="1">
      <alignment horizontal="right" vertical="center"/>
    </xf>
    <xf numFmtId="2" fontId="17" fillId="15" borderId="0" xfId="1" applyNumberFormat="1" applyFont="1" applyFill="1" applyAlignment="1">
      <alignment horizontal="center" vertical="center"/>
    </xf>
    <xf numFmtId="2" fontId="31" fillId="15" borderId="12" xfId="1" applyNumberFormat="1" applyFont="1" applyFill="1" applyBorder="1" applyAlignment="1">
      <alignment horizontal="center" vertical="center"/>
    </xf>
    <xf numFmtId="9" fontId="17" fillId="15" borderId="0" xfId="3" applyFont="1" applyFill="1" applyBorder="1" applyAlignment="1" applyProtection="1">
      <alignment horizontal="center" vertical="center"/>
      <protection locked="0"/>
    </xf>
    <xf numFmtId="9" fontId="31" fillId="15" borderId="12" xfId="3" applyFont="1" applyFill="1" applyBorder="1" applyAlignment="1" applyProtection="1">
      <alignment horizontal="center" vertical="center"/>
      <protection locked="0"/>
    </xf>
    <xf numFmtId="0" fontId="12" fillId="0" borderId="29" xfId="1" applyFont="1" applyBorder="1" applyAlignment="1" applyProtection="1">
      <alignment horizontal="center" vertical="center" textRotation="90"/>
      <protection hidden="1"/>
    </xf>
    <xf numFmtId="2" fontId="17" fillId="15" borderId="0" xfId="1" applyNumberFormat="1" applyFont="1" applyFill="1" applyAlignment="1" applyProtection="1">
      <alignment horizontal="center" vertical="center"/>
      <protection locked="0"/>
    </xf>
    <xf numFmtId="2" fontId="31" fillId="15" borderId="12" xfId="1" applyNumberFormat="1" applyFont="1" applyFill="1" applyBorder="1" applyAlignment="1" applyProtection="1">
      <alignment horizontal="center" vertical="center"/>
      <protection locked="0"/>
    </xf>
    <xf numFmtId="0" fontId="14" fillId="0" borderId="0" xfId="1" applyFont="1" applyAlignment="1">
      <alignment horizontal="center"/>
    </xf>
    <xf numFmtId="0" fontId="12" fillId="15" borderId="5" xfId="1" applyFont="1" applyFill="1" applyBorder="1" applyAlignment="1">
      <alignment horizontal="right" vertical="center" indent="1"/>
    </xf>
    <xf numFmtId="0" fontId="12" fillId="15" borderId="6" xfId="1" applyFont="1" applyFill="1" applyBorder="1" applyAlignment="1">
      <alignment horizontal="right" vertical="center" indent="1"/>
    </xf>
    <xf numFmtId="2" fontId="12" fillId="2" borderId="0" xfId="1" applyNumberFormat="1" applyFont="1" applyFill="1" applyAlignment="1" applyProtection="1">
      <alignment horizontal="center"/>
      <protection hidden="1"/>
    </xf>
    <xf numFmtId="0" fontId="12" fillId="2" borderId="0" xfId="1" applyFont="1" applyFill="1" applyAlignment="1" applyProtection="1">
      <alignment horizontal="center"/>
      <protection hidden="1"/>
    </xf>
    <xf numFmtId="0" fontId="12" fillId="15" borderId="45" xfId="0" applyFont="1" applyFill="1" applyBorder="1" applyAlignment="1">
      <alignment horizontal="center" vertical="center"/>
    </xf>
    <xf numFmtId="0" fontId="12" fillId="15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35" fillId="0" borderId="4" xfId="1" applyFont="1" applyBorder="1" applyAlignment="1">
      <alignment horizontal="center" vertical="center"/>
    </xf>
    <xf numFmtId="0" fontId="35" fillId="0" borderId="1" xfId="1" applyFont="1" applyBorder="1" applyAlignment="1">
      <alignment horizontal="center" vertical="center"/>
    </xf>
    <xf numFmtId="0" fontId="12" fillId="15" borderId="0" xfId="1" applyFont="1" applyFill="1" applyAlignment="1">
      <alignment horizontal="center" vertical="center" shrinkToFit="1"/>
    </xf>
    <xf numFmtId="0" fontId="12" fillId="15" borderId="0" xfId="1" applyFont="1" applyFill="1" applyAlignment="1">
      <alignment horizontal="left" vertical="center" shrinkToFit="1"/>
    </xf>
    <xf numFmtId="0" fontId="26" fillId="15" borderId="0" xfId="1" applyFont="1" applyFill="1" applyAlignment="1">
      <alignment horizontal="right" vertical="center" shrinkToFit="1"/>
    </xf>
    <xf numFmtId="0" fontId="12" fillId="15" borderId="0" xfId="1" applyFont="1" applyFill="1" applyAlignment="1">
      <alignment horizontal="right" vertical="center" shrinkToFit="1"/>
    </xf>
    <xf numFmtId="2" fontId="12" fillId="15" borderId="17" xfId="1" applyNumberFormat="1" applyFont="1" applyFill="1" applyBorder="1" applyAlignment="1">
      <alignment horizontal="center" vertical="center" shrinkToFit="1"/>
    </xf>
    <xf numFmtId="0" fontId="12" fillId="15" borderId="17" xfId="1" applyFont="1" applyFill="1" applyBorder="1" applyAlignment="1">
      <alignment horizontal="left" vertical="center" shrinkToFit="1"/>
    </xf>
    <xf numFmtId="0" fontId="12" fillId="15" borderId="17" xfId="1" applyFont="1" applyFill="1" applyBorder="1" applyAlignment="1">
      <alignment horizontal="center" vertical="center" shrinkToFit="1"/>
    </xf>
    <xf numFmtId="0" fontId="12" fillId="15" borderId="16" xfId="1" applyFont="1" applyFill="1" applyBorder="1" applyAlignment="1" applyProtection="1">
      <alignment horizontal="center"/>
      <protection hidden="1"/>
    </xf>
    <xf numFmtId="0" fontId="12" fillId="15" borderId="17" xfId="1" applyFont="1" applyFill="1" applyBorder="1" applyAlignment="1" applyProtection="1">
      <alignment horizontal="center"/>
      <protection hidden="1"/>
    </xf>
    <xf numFmtId="0" fontId="12" fillId="15" borderId="18" xfId="1" applyFont="1" applyFill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hidden="1"/>
    </xf>
    <xf numFmtId="0" fontId="2" fillId="0" borderId="12" xfId="1" applyBorder="1" applyAlignment="1" applyProtection="1">
      <alignment horizontal="center"/>
      <protection hidden="1"/>
    </xf>
    <xf numFmtId="2" fontId="12" fillId="15" borderId="24" xfId="0" applyNumberFormat="1" applyFont="1" applyFill="1" applyBorder="1" applyAlignment="1" applyProtection="1">
      <alignment horizontal="center" vertical="center"/>
      <protection locked="0"/>
    </xf>
    <xf numFmtId="2" fontId="12" fillId="2" borderId="25" xfId="0" applyNumberFormat="1" applyFont="1" applyFill="1" applyBorder="1" applyAlignment="1" applyProtection="1">
      <alignment horizontal="center" vertical="center"/>
      <protection locked="0"/>
    </xf>
    <xf numFmtId="0" fontId="1" fillId="15" borderId="16" xfId="0" applyFont="1" applyFill="1" applyBorder="1" applyAlignment="1">
      <alignment horizontal="left" vertical="center"/>
    </xf>
    <xf numFmtId="0" fontId="1" fillId="15" borderId="17" xfId="0" applyFont="1" applyFill="1" applyBorder="1" applyAlignment="1">
      <alignment horizontal="left" vertical="center"/>
    </xf>
    <xf numFmtId="0" fontId="0" fillId="15" borderId="17" xfId="0" applyFill="1" applyBorder="1" applyAlignment="1">
      <alignment horizontal="right" vertical="center"/>
    </xf>
    <xf numFmtId="0" fontId="1" fillId="15" borderId="17" xfId="0" applyFont="1" applyFill="1" applyBorder="1" applyAlignment="1">
      <alignment horizontal="right" vertical="center"/>
    </xf>
    <xf numFmtId="0" fontId="1" fillId="15" borderId="17" xfId="0" applyFont="1" applyFill="1" applyBorder="1" applyAlignment="1">
      <alignment horizontal="center" vertical="center"/>
    </xf>
    <xf numFmtId="2" fontId="12" fillId="15" borderId="47" xfId="0" applyNumberFormat="1" applyFont="1" applyFill="1" applyBorder="1" applyAlignment="1" applyProtection="1">
      <alignment horizontal="center" vertical="center"/>
      <protection locked="0"/>
    </xf>
    <xf numFmtId="2" fontId="12" fillId="15" borderId="17" xfId="0" applyNumberFormat="1" applyFont="1" applyFill="1" applyBorder="1" applyAlignment="1" applyProtection="1">
      <alignment horizontal="center" vertical="center"/>
      <protection locked="0"/>
    </xf>
    <xf numFmtId="2" fontId="12" fillId="2" borderId="18" xfId="0" applyNumberFormat="1" applyFont="1" applyFill="1" applyBorder="1" applyAlignment="1" applyProtection="1">
      <alignment horizontal="center" vertical="center"/>
      <protection locked="0"/>
    </xf>
    <xf numFmtId="0" fontId="27" fillId="15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166" fontId="17" fillId="15" borderId="46" xfId="1" applyNumberFormat="1" applyFont="1" applyFill="1" applyBorder="1" applyAlignment="1">
      <alignment horizontal="center" vertical="center"/>
    </xf>
    <xf numFmtId="166" fontId="31" fillId="15" borderId="0" xfId="1" applyNumberFormat="1" applyFont="1" applyFill="1" applyAlignment="1">
      <alignment horizontal="center" vertical="center"/>
    </xf>
    <xf numFmtId="166" fontId="17" fillId="15" borderId="0" xfId="1" applyNumberFormat="1" applyFont="1" applyFill="1" applyAlignment="1">
      <alignment horizontal="center" vertical="center"/>
    </xf>
    <xf numFmtId="166" fontId="31" fillId="2" borderId="12" xfId="1" applyNumberFormat="1" applyFont="1" applyFill="1" applyBorder="1" applyAlignment="1">
      <alignment horizontal="center" vertical="center"/>
    </xf>
    <xf numFmtId="0" fontId="0" fillId="15" borderId="24" xfId="0" applyFill="1" applyBorder="1" applyAlignment="1">
      <alignment horizontal="right" vertical="center"/>
    </xf>
    <xf numFmtId="0" fontId="1" fillId="15" borderId="24" xfId="0" applyFont="1" applyFill="1" applyBorder="1" applyAlignment="1">
      <alignment horizontal="right" vertical="center"/>
    </xf>
    <xf numFmtId="0" fontId="1" fillId="15" borderId="24" xfId="0" applyFont="1" applyFill="1" applyBorder="1" applyAlignment="1">
      <alignment horizontal="center" vertical="center"/>
    </xf>
    <xf numFmtId="2" fontId="12" fillId="15" borderId="50" xfId="0" applyNumberFormat="1" applyFont="1" applyFill="1" applyBorder="1" applyAlignment="1" applyProtection="1">
      <alignment horizontal="center" vertical="center"/>
      <protection locked="0"/>
    </xf>
    <xf numFmtId="0" fontId="16" fillId="15" borderId="1" xfId="0" applyFont="1" applyFill="1" applyBorder="1" applyAlignment="1" applyProtection="1">
      <alignment horizontal="center" vertical="center" wrapText="1"/>
      <protection hidden="1"/>
    </xf>
    <xf numFmtId="0" fontId="12" fillId="15" borderId="1" xfId="0" applyFont="1" applyFill="1" applyBorder="1" applyAlignment="1" applyProtection="1">
      <alignment horizontal="center" vertical="center"/>
      <protection hidden="1"/>
    </xf>
    <xf numFmtId="0" fontId="33" fillId="14" borderId="2" xfId="0" applyFont="1" applyFill="1" applyBorder="1" applyAlignment="1" applyProtection="1">
      <alignment horizontal="center"/>
      <protection hidden="1"/>
    </xf>
    <xf numFmtId="0" fontId="33" fillId="14" borderId="3" xfId="0" applyFont="1" applyFill="1" applyBorder="1" applyAlignment="1" applyProtection="1">
      <alignment horizontal="center"/>
      <protection hidden="1"/>
    </xf>
    <xf numFmtId="0" fontId="33" fillId="14" borderId="4" xfId="0" applyFont="1" applyFill="1" applyBorder="1" applyAlignment="1" applyProtection="1">
      <alignment horizontal="center"/>
      <protection hidden="1"/>
    </xf>
    <xf numFmtId="0" fontId="16" fillId="15" borderId="8" xfId="0" applyFont="1" applyFill="1" applyBorder="1" applyAlignment="1" applyProtection="1">
      <alignment horizontal="center" vertical="center" wrapText="1"/>
      <protection hidden="1"/>
    </xf>
    <xf numFmtId="0" fontId="16" fillId="15" borderId="0" xfId="0" applyFont="1" applyFill="1" applyAlignment="1" applyProtection="1">
      <alignment horizontal="center" vertical="center" wrapText="1"/>
      <protection hidden="1"/>
    </xf>
    <xf numFmtId="0" fontId="16" fillId="15" borderId="12" xfId="0" applyFont="1" applyFill="1" applyBorder="1" applyAlignment="1" applyProtection="1">
      <alignment horizontal="center" vertical="center" wrapText="1"/>
      <protection hidden="1"/>
    </xf>
    <xf numFmtId="0" fontId="16" fillId="15" borderId="16" xfId="0" applyFont="1" applyFill="1" applyBorder="1" applyAlignment="1" applyProtection="1">
      <alignment horizontal="center" vertical="center" wrapText="1"/>
      <protection hidden="1"/>
    </xf>
    <xf numFmtId="0" fontId="16" fillId="15" borderId="17" xfId="0" applyFont="1" applyFill="1" applyBorder="1" applyAlignment="1" applyProtection="1">
      <alignment horizontal="center" vertical="center" wrapText="1"/>
      <protection hidden="1"/>
    </xf>
    <xf numFmtId="0" fontId="16" fillId="15" borderId="18" xfId="0" applyFont="1" applyFill="1" applyBorder="1" applyAlignment="1" applyProtection="1">
      <alignment horizontal="center" vertical="center" wrapText="1"/>
      <protection hidden="1"/>
    </xf>
    <xf numFmtId="0" fontId="12" fillId="15" borderId="49" xfId="0" applyFont="1" applyFill="1" applyBorder="1" applyAlignment="1" applyProtection="1">
      <alignment horizontal="center" vertical="center"/>
      <protection hidden="1"/>
    </xf>
    <xf numFmtId="0" fontId="12" fillId="15" borderId="16" xfId="0" applyFont="1" applyFill="1" applyBorder="1" applyAlignment="1" applyProtection="1">
      <alignment horizontal="center" vertical="center"/>
      <protection hidden="1"/>
    </xf>
    <xf numFmtId="0" fontId="12" fillId="15" borderId="18" xfId="0" applyFont="1" applyFill="1" applyBorder="1" applyAlignment="1" applyProtection="1">
      <alignment horizontal="center" vertical="center"/>
      <protection hidden="1"/>
    </xf>
    <xf numFmtId="0" fontId="12" fillId="2" borderId="18" xfId="0" applyFont="1" applyFill="1" applyBorder="1" applyAlignment="1" applyProtection="1">
      <alignment horizontal="center" vertical="center"/>
      <protection hidden="1"/>
    </xf>
    <xf numFmtId="2" fontId="17" fillId="15" borderId="1" xfId="0" applyNumberFormat="1" applyFont="1" applyFill="1" applyBorder="1" applyAlignment="1" applyProtection="1">
      <alignment horizontal="center" vertical="center"/>
      <protection hidden="1"/>
    </xf>
    <xf numFmtId="0" fontId="17" fillId="15" borderId="1" xfId="0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2" fontId="12" fillId="15" borderId="2" xfId="0" applyNumberFormat="1" applyFont="1" applyFill="1" applyBorder="1" applyAlignment="1" applyProtection="1">
      <alignment horizontal="center" vertical="center"/>
      <protection hidden="1"/>
    </xf>
    <xf numFmtId="2" fontId="12" fillId="15" borderId="4" xfId="0" applyNumberFormat="1" applyFont="1" applyFill="1" applyBorder="1" applyAlignment="1" applyProtection="1">
      <alignment horizontal="center" vertical="center"/>
      <protection hidden="1"/>
    </xf>
    <xf numFmtId="2" fontId="12" fillId="15" borderId="1" xfId="0" applyNumberFormat="1" applyFont="1" applyFill="1" applyBorder="1" applyAlignment="1" applyProtection="1">
      <alignment horizontal="center" vertical="center"/>
      <protection hidden="1"/>
    </xf>
    <xf numFmtId="2" fontId="12" fillId="2" borderId="4" xfId="0" applyNumberFormat="1" applyFont="1" applyFill="1" applyBorder="1" applyAlignment="1" applyProtection="1">
      <alignment horizontal="center" vertical="center"/>
      <protection hidden="1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1" fillId="15" borderId="1" xfId="1" applyFont="1" applyFill="1" applyBorder="1" applyAlignment="1">
      <alignment horizontal="center" vertical="center" wrapText="1"/>
    </xf>
    <xf numFmtId="0" fontId="16" fillId="15" borderId="39" xfId="0" applyFont="1" applyFill="1" applyBorder="1" applyAlignment="1">
      <alignment horizontal="center" vertical="center" wrapText="1"/>
    </xf>
    <xf numFmtId="0" fontId="16" fillId="15" borderId="40" xfId="0" applyFont="1" applyFill="1" applyBorder="1" applyAlignment="1">
      <alignment horizontal="center" vertical="center" wrapText="1"/>
    </xf>
    <xf numFmtId="0" fontId="16" fillId="15" borderId="41" xfId="0" applyFont="1" applyFill="1" applyBorder="1" applyAlignment="1">
      <alignment horizontal="center" vertical="center" wrapText="1"/>
    </xf>
    <xf numFmtId="0" fontId="16" fillId="2" borderId="41" xfId="0" applyFont="1" applyFill="1" applyBorder="1" applyAlignment="1">
      <alignment horizontal="center" vertical="center" wrapText="1"/>
    </xf>
    <xf numFmtId="0" fontId="2" fillId="0" borderId="55" xfId="1" applyBorder="1" applyAlignment="1">
      <alignment horizontal="left" vertical="center" wrapText="1" indent="1"/>
    </xf>
    <xf numFmtId="0" fontId="8" fillId="0" borderId="9" xfId="1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top" wrapText="1"/>
    </xf>
    <xf numFmtId="0" fontId="8" fillId="0" borderId="11" xfId="1" applyFont="1" applyBorder="1" applyAlignment="1">
      <alignment horizontal="center" vertical="top" wrapText="1"/>
    </xf>
    <xf numFmtId="0" fontId="1" fillId="15" borderId="42" xfId="1" applyFont="1" applyFill="1" applyBorder="1" applyAlignment="1">
      <alignment horizontal="center" vertical="center"/>
    </xf>
    <xf numFmtId="0" fontId="1" fillId="15" borderId="43" xfId="1" applyFont="1" applyFill="1" applyBorder="1" applyAlignment="1">
      <alignment horizontal="center" vertical="center"/>
    </xf>
    <xf numFmtId="0" fontId="1" fillId="15" borderId="44" xfId="1" applyFont="1" applyFill="1" applyBorder="1" applyAlignment="1">
      <alignment horizontal="center" vertical="center"/>
    </xf>
    <xf numFmtId="0" fontId="1" fillId="2" borderId="44" xfId="1" applyFont="1" applyFill="1" applyBorder="1" applyAlignment="1">
      <alignment horizontal="center" vertical="center"/>
    </xf>
    <xf numFmtId="0" fontId="16" fillId="15" borderId="2" xfId="0" applyFont="1" applyFill="1" applyBorder="1" applyAlignment="1">
      <alignment horizontal="center" vertical="center" wrapText="1"/>
    </xf>
    <xf numFmtId="0" fontId="16" fillId="15" borderId="3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0" fontId="2" fillId="0" borderId="4" xfId="1" applyBorder="1" applyAlignment="1">
      <alignment horizontal="center"/>
    </xf>
    <xf numFmtId="0" fontId="2" fillId="0" borderId="1" xfId="1" applyBorder="1" applyAlignment="1">
      <alignment horizontal="center"/>
    </xf>
    <xf numFmtId="2" fontId="12" fillId="15" borderId="8" xfId="1" applyNumberFormat="1" applyFont="1" applyFill="1" applyBorder="1" applyAlignment="1">
      <alignment horizontal="center" vertical="center" shrinkToFit="1"/>
    </xf>
    <xf numFmtId="2" fontId="12" fillId="15" borderId="0" xfId="1" applyNumberFormat="1" applyFont="1" applyFill="1" applyAlignment="1">
      <alignment horizontal="center" vertical="center" shrinkToFit="1"/>
    </xf>
    <xf numFmtId="2" fontId="12" fillId="15" borderId="12" xfId="1" applyNumberFormat="1" applyFont="1" applyFill="1" applyBorder="1" applyAlignment="1">
      <alignment horizontal="center" vertical="center" shrinkToFit="1"/>
    </xf>
    <xf numFmtId="2" fontId="12" fillId="2" borderId="12" xfId="1" applyNumberFormat="1" applyFont="1" applyFill="1" applyBorder="1" applyAlignment="1">
      <alignment horizontal="center" vertical="center" shrinkToFit="1"/>
    </xf>
    <xf numFmtId="2" fontId="12" fillId="15" borderId="26" xfId="1" applyNumberFormat="1" applyFont="1" applyFill="1" applyBorder="1" applyAlignment="1">
      <alignment horizontal="center" vertical="center" shrinkToFit="1"/>
    </xf>
    <xf numFmtId="2" fontId="12" fillId="15" borderId="22" xfId="1" applyNumberFormat="1" applyFont="1" applyFill="1" applyBorder="1" applyAlignment="1">
      <alignment horizontal="center" vertical="center" shrinkToFit="1"/>
    </xf>
    <xf numFmtId="2" fontId="12" fillId="15" borderId="27" xfId="1" applyNumberFormat="1" applyFont="1" applyFill="1" applyBorder="1" applyAlignment="1">
      <alignment horizontal="center" vertical="center" shrinkToFit="1"/>
    </xf>
    <xf numFmtId="2" fontId="12" fillId="2" borderId="27" xfId="1" applyNumberFormat="1" applyFont="1" applyFill="1" applyBorder="1" applyAlignment="1">
      <alignment horizontal="center" vertical="center" shrinkToFit="1"/>
    </xf>
    <xf numFmtId="2" fontId="12" fillId="15" borderId="23" xfId="1" applyNumberFormat="1" applyFont="1" applyFill="1" applyBorder="1" applyAlignment="1">
      <alignment horizontal="center" vertical="center" shrinkToFit="1"/>
    </xf>
    <xf numFmtId="2" fontId="12" fillId="15" borderId="24" xfId="1" applyNumberFormat="1" applyFont="1" applyFill="1" applyBorder="1" applyAlignment="1">
      <alignment horizontal="center" vertical="center" shrinkToFit="1"/>
    </xf>
    <xf numFmtId="2" fontId="12" fillId="15" borderId="25" xfId="1" applyNumberFormat="1" applyFont="1" applyFill="1" applyBorder="1" applyAlignment="1">
      <alignment horizontal="center" vertical="center" shrinkToFit="1"/>
    </xf>
    <xf numFmtId="2" fontId="12" fillId="2" borderId="25" xfId="1" applyNumberFormat="1" applyFont="1" applyFill="1" applyBorder="1" applyAlignment="1">
      <alignment horizontal="center" vertical="center" shrinkToFit="1"/>
    </xf>
    <xf numFmtId="0" fontId="1" fillId="15" borderId="5" xfId="1" applyFont="1" applyFill="1" applyBorder="1" applyAlignment="1">
      <alignment horizontal="center" vertical="center" wrapText="1"/>
    </xf>
    <xf numFmtId="0" fontId="1" fillId="15" borderId="7" xfId="1" applyFont="1" applyFill="1" applyBorder="1" applyAlignment="1">
      <alignment horizontal="center" vertical="center" wrapText="1"/>
    </xf>
    <xf numFmtId="0" fontId="1" fillId="15" borderId="16" xfId="1" applyFont="1" applyFill="1" applyBorder="1" applyAlignment="1">
      <alignment horizontal="center" vertical="center" wrapText="1"/>
    </xf>
    <xf numFmtId="0" fontId="1" fillId="15" borderId="18" xfId="1" applyFont="1" applyFill="1" applyBorder="1" applyAlignment="1">
      <alignment horizontal="center" vertical="center" wrapText="1"/>
    </xf>
    <xf numFmtId="0" fontId="2" fillId="0" borderId="55" xfId="1" applyBorder="1" applyAlignment="1">
      <alignment horizontal="left" vertical="center" wrapText="1"/>
    </xf>
    <xf numFmtId="0" fontId="2" fillId="0" borderId="11" xfId="1" applyBorder="1" applyAlignment="1">
      <alignment horizontal="left" vertical="center" wrapText="1"/>
    </xf>
    <xf numFmtId="0" fontId="8" fillId="0" borderId="36" xfId="1" applyFont="1" applyBorder="1" applyAlignment="1">
      <alignment horizontal="center" vertical="top" wrapText="1"/>
    </xf>
    <xf numFmtId="2" fontId="17" fillId="15" borderId="16" xfId="1" applyNumberFormat="1" applyFont="1" applyFill="1" applyBorder="1" applyAlignment="1" applyProtection="1">
      <alignment horizontal="center"/>
      <protection hidden="1"/>
    </xf>
    <xf numFmtId="2" fontId="30" fillId="15" borderId="17" xfId="1" applyNumberFormat="1" applyFont="1" applyFill="1" applyBorder="1" applyAlignment="1" applyProtection="1">
      <alignment horizontal="center"/>
      <protection hidden="1"/>
    </xf>
    <xf numFmtId="2" fontId="17" fillId="15" borderId="17" xfId="1" applyNumberFormat="1" applyFont="1" applyFill="1" applyBorder="1" applyAlignment="1" applyProtection="1">
      <alignment horizontal="center"/>
      <protection hidden="1"/>
    </xf>
    <xf numFmtId="2" fontId="30" fillId="15" borderId="18" xfId="1" applyNumberFormat="1" applyFont="1" applyFill="1" applyBorder="1" applyAlignment="1" applyProtection="1">
      <alignment horizontal="center"/>
      <protection hidden="1"/>
    </xf>
    <xf numFmtId="2" fontId="34" fillId="15" borderId="23" xfId="1" applyNumberFormat="1" applyFont="1" applyFill="1" applyBorder="1" applyAlignment="1" applyProtection="1">
      <alignment horizontal="center"/>
      <protection hidden="1"/>
    </xf>
    <xf numFmtId="2" fontId="34" fillId="15" borderId="24" xfId="1" applyNumberFormat="1" applyFont="1" applyFill="1" applyBorder="1" applyAlignment="1" applyProtection="1">
      <alignment horizontal="center"/>
      <protection hidden="1"/>
    </xf>
    <xf numFmtId="2" fontId="34" fillId="15" borderId="25" xfId="1" applyNumberFormat="1" applyFont="1" applyFill="1" applyBorder="1" applyAlignment="1" applyProtection="1">
      <alignment horizontal="center"/>
      <protection hidden="1"/>
    </xf>
    <xf numFmtId="2" fontId="34" fillId="2" borderId="25" xfId="1" applyNumberFormat="1" applyFont="1" applyFill="1" applyBorder="1" applyAlignment="1" applyProtection="1">
      <alignment horizontal="center"/>
      <protection hidden="1"/>
    </xf>
    <xf numFmtId="0" fontId="2" fillId="0" borderId="15" xfId="1" applyBorder="1" applyAlignment="1">
      <alignment horizontal="left" vertical="center" wrapText="1"/>
    </xf>
    <xf numFmtId="0" fontId="2" fillId="0" borderId="13" xfId="1" applyBorder="1" applyAlignment="1">
      <alignment horizontal="left" vertical="center" wrapText="1"/>
    </xf>
    <xf numFmtId="0" fontId="8" fillId="0" borderId="19" xfId="1" applyFont="1" applyBorder="1" applyAlignment="1">
      <alignment horizontal="center" vertical="top" wrapText="1"/>
    </xf>
    <xf numFmtId="0" fontId="8" fillId="0" borderId="20" xfId="1" applyFont="1" applyBorder="1" applyAlignment="1">
      <alignment horizontal="center" vertical="top" wrapText="1"/>
    </xf>
    <xf numFmtId="0" fontId="8" fillId="0" borderId="21" xfId="1" applyFont="1" applyBorder="1" applyAlignment="1">
      <alignment horizontal="center" vertical="top" wrapText="1"/>
    </xf>
    <xf numFmtId="2" fontId="34" fillId="15" borderId="23" xfId="1" applyNumberFormat="1" applyFont="1" applyFill="1" applyBorder="1" applyAlignment="1">
      <alignment horizontal="center" vertical="center" shrinkToFit="1"/>
    </xf>
    <xf numFmtId="2" fontId="71" fillId="15" borderId="24" xfId="1" applyNumberFormat="1" applyFont="1" applyFill="1" applyBorder="1" applyAlignment="1">
      <alignment horizontal="center" vertical="center" shrinkToFit="1"/>
    </xf>
    <xf numFmtId="2" fontId="34" fillId="15" borderId="24" xfId="1" applyNumberFormat="1" applyFont="1" applyFill="1" applyBorder="1" applyAlignment="1">
      <alignment horizontal="center" vertical="center" shrinkToFit="1"/>
    </xf>
    <xf numFmtId="2" fontId="34" fillId="15" borderId="25" xfId="1" applyNumberFormat="1" applyFont="1" applyFill="1" applyBorder="1" applyAlignment="1">
      <alignment horizontal="center" vertical="center" shrinkToFit="1"/>
    </xf>
    <xf numFmtId="2" fontId="34" fillId="2" borderId="25" xfId="1" applyNumberFormat="1" applyFont="1" applyFill="1" applyBorder="1" applyAlignment="1">
      <alignment horizontal="center" vertical="center" shrinkToFit="1"/>
    </xf>
    <xf numFmtId="2" fontId="17" fillId="15" borderId="16" xfId="1" applyNumberFormat="1" applyFont="1" applyFill="1" applyBorder="1" applyAlignment="1">
      <alignment horizontal="center" vertical="center" shrinkToFit="1"/>
    </xf>
    <xf numFmtId="2" fontId="30" fillId="15" borderId="17" xfId="1" applyNumberFormat="1" applyFont="1" applyFill="1" applyBorder="1" applyAlignment="1">
      <alignment horizontal="center" vertical="center" shrinkToFit="1"/>
    </xf>
    <xf numFmtId="2" fontId="17" fillId="15" borderId="17" xfId="1" applyNumberFormat="1" applyFont="1" applyFill="1" applyBorder="1" applyAlignment="1">
      <alignment horizontal="center" vertical="center" shrinkToFit="1"/>
    </xf>
    <xf numFmtId="2" fontId="30" fillId="15" borderId="18" xfId="1" applyNumberFormat="1" applyFont="1" applyFill="1" applyBorder="1" applyAlignment="1">
      <alignment horizontal="center" vertical="center" shrinkToFit="1"/>
    </xf>
    <xf numFmtId="2" fontId="30" fillId="2" borderId="18" xfId="1" applyNumberFormat="1" applyFont="1" applyFill="1" applyBorder="1" applyAlignment="1">
      <alignment horizontal="center" vertical="center" shrinkToFit="1"/>
    </xf>
    <xf numFmtId="0" fontId="24" fillId="0" borderId="0" xfId="1" applyFont="1" applyAlignment="1">
      <alignment horizontal="right" textRotation="90"/>
    </xf>
    <xf numFmtId="0" fontId="12" fillId="15" borderId="33" xfId="1" applyFont="1" applyFill="1" applyBorder="1" applyAlignment="1" applyProtection="1">
      <alignment horizontal="center" vertical="center"/>
      <protection hidden="1"/>
    </xf>
    <xf numFmtId="0" fontId="12" fillId="15" borderId="0" xfId="1" applyFont="1" applyFill="1" applyAlignment="1" applyProtection="1">
      <alignment horizontal="center" vertical="center"/>
      <protection hidden="1"/>
    </xf>
    <xf numFmtId="0" fontId="12" fillId="15" borderId="29" xfId="1" applyFont="1" applyFill="1" applyBorder="1" applyAlignment="1" applyProtection="1">
      <alignment horizontal="center" vertical="center"/>
      <protection hidden="1"/>
    </xf>
    <xf numFmtId="0" fontId="44" fillId="15" borderId="0" xfId="1" applyFont="1" applyFill="1" applyAlignment="1" applyProtection="1">
      <alignment horizontal="center" vertical="center"/>
      <protection hidden="1"/>
    </xf>
    <xf numFmtId="0" fontId="44" fillId="15" borderId="29" xfId="1" applyFont="1" applyFill="1" applyBorder="1" applyAlignment="1" applyProtection="1">
      <alignment horizontal="center" vertical="center"/>
      <protection hidden="1"/>
    </xf>
    <xf numFmtId="0" fontId="72" fillId="15" borderId="0" xfId="1" applyFont="1" applyFill="1" applyAlignment="1" applyProtection="1">
      <alignment horizontal="center" vertical="center"/>
      <protection hidden="1"/>
    </xf>
    <xf numFmtId="0" fontId="43" fillId="15" borderId="29" xfId="1" applyFont="1" applyFill="1" applyBorder="1" applyAlignment="1" applyProtection="1">
      <alignment horizontal="center" vertical="center"/>
      <protection hidden="1"/>
    </xf>
    <xf numFmtId="0" fontId="12" fillId="15" borderId="62" xfId="1" applyFont="1" applyFill="1" applyBorder="1" applyAlignment="1" applyProtection="1">
      <alignment horizontal="center" vertical="center"/>
      <protection hidden="1"/>
    </xf>
    <xf numFmtId="0" fontId="12" fillId="15" borderId="12" xfId="1" applyFont="1" applyFill="1" applyBorder="1" applyAlignment="1" applyProtection="1">
      <alignment horizontal="center" vertical="center"/>
      <protection hidden="1"/>
    </xf>
    <xf numFmtId="0" fontId="44" fillId="15" borderId="62" xfId="1" applyFont="1" applyFill="1" applyBorder="1" applyAlignment="1" applyProtection="1">
      <alignment horizontal="center" vertical="center"/>
      <protection hidden="1"/>
    </xf>
    <xf numFmtId="0" fontId="44" fillId="15" borderId="12" xfId="1" applyFont="1" applyFill="1" applyBorder="1" applyAlignment="1" applyProtection="1">
      <alignment horizontal="center" vertical="center"/>
      <protection hidden="1"/>
    </xf>
    <xf numFmtId="0" fontId="72" fillId="15" borderId="62" xfId="1" applyFont="1" applyFill="1" applyBorder="1" applyAlignment="1" applyProtection="1">
      <alignment horizontal="center" vertical="center"/>
      <protection hidden="1"/>
    </xf>
    <xf numFmtId="0" fontId="43" fillId="15" borderId="0" xfId="1" applyFont="1" applyFill="1" applyAlignment="1" applyProtection="1">
      <alignment horizontal="center" vertical="center"/>
      <protection hidden="1"/>
    </xf>
    <xf numFmtId="0" fontId="43" fillId="15" borderId="12" xfId="1" applyFont="1" applyFill="1" applyBorder="1" applyAlignment="1" applyProtection="1">
      <alignment horizontal="center" vertical="center"/>
      <protection hidden="1"/>
    </xf>
    <xf numFmtId="0" fontId="72" fillId="15" borderId="33" xfId="1" applyFont="1" applyFill="1" applyBorder="1" applyAlignment="1" applyProtection="1">
      <alignment horizontal="center" vertical="center"/>
      <protection hidden="1"/>
    </xf>
    <xf numFmtId="0" fontId="44" fillId="15" borderId="33" xfId="1" applyFont="1" applyFill="1" applyBorder="1" applyAlignment="1" applyProtection="1">
      <alignment horizontal="center" vertical="center"/>
      <protection hidden="1"/>
    </xf>
    <xf numFmtId="0" fontId="72" fillId="15" borderId="8" xfId="1" applyFont="1" applyFill="1" applyBorder="1" applyAlignment="1" applyProtection="1">
      <alignment horizontal="center" vertical="center"/>
      <protection hidden="1"/>
    </xf>
    <xf numFmtId="0" fontId="44" fillId="15" borderId="8" xfId="1" applyFont="1" applyFill="1" applyBorder="1" applyAlignment="1" applyProtection="1">
      <alignment horizontal="center" vertical="center"/>
      <protection hidden="1"/>
    </xf>
    <xf numFmtId="0" fontId="12" fillId="15" borderId="8" xfId="1" applyFont="1" applyFill="1" applyBorder="1" applyAlignment="1" applyProtection="1">
      <alignment horizontal="center" vertical="center"/>
      <protection hidden="1"/>
    </xf>
    <xf numFmtId="0" fontId="40" fillId="14" borderId="2" xfId="0" applyFont="1" applyFill="1" applyBorder="1" applyAlignment="1">
      <alignment horizontal="center" vertical="center"/>
    </xf>
    <xf numFmtId="0" fontId="40" fillId="14" borderId="3" xfId="0" applyFont="1" applyFill="1" applyBorder="1" applyAlignment="1">
      <alignment horizontal="center" vertical="center"/>
    </xf>
    <xf numFmtId="0" fontId="40" fillId="14" borderId="4" xfId="0" applyFont="1" applyFill="1" applyBorder="1" applyAlignment="1">
      <alignment horizontal="center" vertical="center"/>
    </xf>
    <xf numFmtId="0" fontId="24" fillId="0" borderId="0" xfId="1" applyFont="1" applyAlignment="1">
      <alignment horizontal="right" vertical="center" textRotation="90"/>
    </xf>
    <xf numFmtId="2" fontId="17" fillId="2" borderId="0" xfId="0" applyNumberFormat="1" applyFont="1" applyFill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center" vertical="center"/>
      <protection hidden="1"/>
    </xf>
    <xf numFmtId="2" fontId="12" fillId="2" borderId="0" xfId="0" applyNumberFormat="1" applyFont="1" applyFill="1" applyAlignment="1" applyProtection="1">
      <alignment horizontal="center" vertical="center"/>
      <protection hidden="1"/>
    </xf>
    <xf numFmtId="0" fontId="12" fillId="2" borderId="0" xfId="1" applyFont="1" applyFill="1" applyAlignment="1" applyProtection="1">
      <alignment horizontal="center" vertical="center"/>
      <protection hidden="1"/>
    </xf>
    <xf numFmtId="165" fontId="12" fillId="2" borderId="0" xfId="1" applyNumberFormat="1" applyFont="1" applyFill="1" applyAlignment="1" applyProtection="1">
      <alignment horizontal="center" vertical="center"/>
      <protection hidden="1"/>
    </xf>
    <xf numFmtId="2" fontId="30" fillId="2" borderId="18" xfId="1" applyNumberFormat="1" applyFont="1" applyFill="1" applyBorder="1" applyAlignment="1" applyProtection="1">
      <alignment horizontal="center"/>
      <protection hidden="1"/>
    </xf>
    <xf numFmtId="0" fontId="12" fillId="6" borderId="1" xfId="0" applyFont="1" applyFill="1" applyBorder="1" applyAlignment="1" applyProtection="1">
      <alignment horizontal="center" vertical="center"/>
      <protection hidden="1"/>
    </xf>
    <xf numFmtId="0" fontId="12" fillId="6" borderId="1" xfId="1" applyFont="1" applyFill="1" applyBorder="1" applyAlignment="1" applyProtection="1">
      <alignment horizontal="center" vertical="center" wrapText="1"/>
      <protection hidden="1"/>
    </xf>
    <xf numFmtId="0" fontId="12" fillId="6" borderId="2" xfId="1" applyFont="1" applyFill="1" applyBorder="1" applyAlignment="1" applyProtection="1">
      <alignment horizontal="center" vertical="center"/>
      <protection hidden="1"/>
    </xf>
    <xf numFmtId="0" fontId="12" fillId="6" borderId="3" xfId="1" applyFont="1" applyFill="1" applyBorder="1" applyAlignment="1" applyProtection="1">
      <alignment horizontal="center" vertical="center"/>
      <protection hidden="1"/>
    </xf>
    <xf numFmtId="0" fontId="12" fillId="6" borderId="4" xfId="1" applyFont="1" applyFill="1" applyBorder="1" applyAlignment="1" applyProtection="1">
      <alignment horizontal="center" vertical="center"/>
      <protection hidden="1"/>
    </xf>
    <xf numFmtId="0" fontId="31" fillId="6" borderId="2" xfId="1" applyFont="1" applyFill="1" applyBorder="1" applyAlignment="1" applyProtection="1">
      <alignment horizontal="center" vertical="center"/>
      <protection hidden="1"/>
    </xf>
    <xf numFmtId="0" fontId="31" fillId="6" borderId="4" xfId="1" applyFont="1" applyFill="1" applyBorder="1" applyAlignment="1" applyProtection="1">
      <alignment horizontal="center" vertical="center"/>
      <protection hidden="1"/>
    </xf>
    <xf numFmtId="2" fontId="17" fillId="6" borderId="1" xfId="0" applyNumberFormat="1" applyFont="1" applyFill="1" applyBorder="1" applyAlignment="1" applyProtection="1">
      <alignment horizontal="center" vertical="center"/>
      <protection hidden="1"/>
    </xf>
    <xf numFmtId="2" fontId="12" fillId="6" borderId="1" xfId="0" applyNumberFormat="1" applyFont="1" applyFill="1" applyBorder="1" applyAlignment="1" applyProtection="1">
      <alignment horizontal="center" vertical="center"/>
      <protection hidden="1"/>
    </xf>
    <xf numFmtId="0" fontId="12" fillId="6" borderId="1" xfId="1" applyFont="1" applyFill="1" applyBorder="1" applyAlignment="1" applyProtection="1">
      <alignment horizontal="center" vertical="center"/>
      <protection hidden="1"/>
    </xf>
    <xf numFmtId="2" fontId="12" fillId="6" borderId="1" xfId="1" applyNumberFormat="1" applyFont="1" applyFill="1" applyBorder="1" applyAlignment="1" applyProtection="1">
      <alignment horizontal="center" vertical="center"/>
      <protection hidden="1"/>
    </xf>
    <xf numFmtId="165" fontId="29" fillId="2" borderId="6" xfId="1" applyNumberFormat="1" applyFont="1" applyFill="1" applyBorder="1" applyAlignment="1" applyProtection="1">
      <alignment horizontal="center"/>
      <protection hidden="1"/>
    </xf>
    <xf numFmtId="0" fontId="16" fillId="2" borderId="0" xfId="1" applyFont="1" applyFill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hidden="1"/>
    </xf>
    <xf numFmtId="0" fontId="16" fillId="6" borderId="2" xfId="1" applyFont="1" applyFill="1" applyBorder="1" applyAlignment="1">
      <alignment horizontal="center" vertical="center"/>
    </xf>
    <xf numFmtId="0" fontId="16" fillId="6" borderId="3" xfId="1" applyFont="1" applyFill="1" applyBorder="1" applyAlignment="1">
      <alignment horizontal="center" vertical="center"/>
    </xf>
    <xf numFmtId="0" fontId="16" fillId="6" borderId="4" xfId="1" applyFont="1" applyFill="1" applyBorder="1" applyAlignment="1">
      <alignment horizontal="center" vertical="center"/>
    </xf>
    <xf numFmtId="0" fontId="68" fillId="9" borderId="0" xfId="1" applyFont="1" applyFill="1" applyAlignment="1" applyProtection="1">
      <alignment horizontal="left" vertical="center"/>
      <protection hidden="1"/>
    </xf>
    <xf numFmtId="0" fontId="2" fillId="0" borderId="8" xfId="1" applyBorder="1" applyAlignment="1">
      <alignment horizontal="center" vertical="top" wrapText="1"/>
    </xf>
    <xf numFmtId="0" fontId="2" fillId="0" borderId="0" xfId="1" applyAlignment="1">
      <alignment horizontal="center" vertical="top" wrapText="1"/>
    </xf>
    <xf numFmtId="2" fontId="12" fillId="6" borderId="1" xfId="1" applyNumberFormat="1" applyFont="1" applyFill="1" applyBorder="1" applyAlignment="1">
      <alignment horizontal="center" vertical="center" shrinkToFit="1"/>
    </xf>
    <xf numFmtId="2" fontId="12" fillId="6" borderId="2" xfId="1" applyNumberFormat="1" applyFont="1" applyFill="1" applyBorder="1" applyAlignment="1" applyProtection="1">
      <alignment horizontal="center" vertical="center"/>
      <protection hidden="1"/>
    </xf>
    <xf numFmtId="2" fontId="12" fillId="6" borderId="4" xfId="1" applyNumberFormat="1" applyFont="1" applyFill="1" applyBorder="1" applyAlignment="1" applyProtection="1">
      <alignment horizontal="center" vertical="center"/>
      <protection hidden="1"/>
    </xf>
    <xf numFmtId="2" fontId="12" fillId="6" borderId="2" xfId="0" applyNumberFormat="1" applyFont="1" applyFill="1" applyBorder="1" applyAlignment="1" applyProtection="1">
      <alignment horizontal="center" vertical="center"/>
      <protection hidden="1"/>
    </xf>
    <xf numFmtId="2" fontId="12" fillId="6" borderId="4" xfId="0" applyNumberFormat="1" applyFont="1" applyFill="1" applyBorder="1" applyAlignment="1" applyProtection="1">
      <alignment horizontal="center" vertical="center"/>
      <protection hidden="1"/>
    </xf>
    <xf numFmtId="2" fontId="12" fillId="6" borderId="2" xfId="1" applyNumberFormat="1" applyFont="1" applyFill="1" applyBorder="1" applyAlignment="1">
      <alignment horizontal="center" vertical="center" shrinkToFit="1"/>
    </xf>
    <xf numFmtId="2" fontId="12" fillId="6" borderId="4" xfId="1" applyNumberFormat="1" applyFont="1" applyFill="1" applyBorder="1" applyAlignment="1">
      <alignment horizontal="center" vertical="center" shrinkToFit="1"/>
    </xf>
    <xf numFmtId="0" fontId="2" fillId="0" borderId="5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2" borderId="0" xfId="1" applyFill="1" applyAlignment="1" applyProtection="1">
      <alignment horizontal="center"/>
      <protection hidden="1"/>
    </xf>
    <xf numFmtId="0" fontId="42" fillId="2" borderId="0" xfId="1" applyFont="1" applyFill="1" applyAlignment="1" applyProtection="1">
      <alignment horizontal="center"/>
      <protection hidden="1"/>
    </xf>
    <xf numFmtId="2" fontId="34" fillId="2" borderId="0" xfId="1" applyNumberFormat="1" applyFont="1" applyFill="1" applyAlignment="1">
      <alignment horizontal="center" vertical="center" shrinkToFit="1"/>
    </xf>
    <xf numFmtId="2" fontId="30" fillId="2" borderId="0" xfId="1" applyNumberFormat="1" applyFont="1" applyFill="1" applyAlignment="1">
      <alignment horizontal="center" vertical="center" shrinkToFit="1"/>
    </xf>
    <xf numFmtId="0" fontId="2" fillId="0" borderId="0" xfId="1" applyAlignment="1" applyProtection="1">
      <alignment horizontal="right" vertical="center"/>
      <protection hidden="1"/>
    </xf>
    <xf numFmtId="0" fontId="67" fillId="12" borderId="66" xfId="9" applyAlignment="1">
      <alignment horizontal="center" vertical="center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16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 wrapText="1"/>
    </xf>
    <xf numFmtId="0" fontId="1" fillId="2" borderId="42" xfId="1" applyFont="1" applyFill="1" applyBorder="1" applyAlignment="1">
      <alignment horizontal="center" vertical="center"/>
    </xf>
    <xf numFmtId="0" fontId="1" fillId="2" borderId="43" xfId="1" applyFont="1" applyFill="1" applyBorder="1" applyAlignment="1">
      <alignment horizontal="center" vertical="center"/>
    </xf>
    <xf numFmtId="164" fontId="30" fillId="2" borderId="17" xfId="1" applyNumberFormat="1" applyFont="1" applyFill="1" applyBorder="1" applyAlignment="1">
      <alignment horizontal="center" vertical="center" shrinkToFit="1"/>
    </xf>
    <xf numFmtId="164" fontId="30" fillId="2" borderId="18" xfId="1" applyNumberFormat="1" applyFont="1" applyFill="1" applyBorder="1" applyAlignment="1">
      <alignment horizontal="center" vertical="center" shrinkToFit="1"/>
    </xf>
    <xf numFmtId="164" fontId="34" fillId="2" borderId="23" xfId="1" applyNumberFormat="1" applyFont="1" applyFill="1" applyBorder="1" applyAlignment="1">
      <alignment horizontal="center" vertical="center" shrinkToFit="1"/>
    </xf>
    <xf numFmtId="164" fontId="34" fillId="2" borderId="24" xfId="1" applyNumberFormat="1" applyFont="1" applyFill="1" applyBorder="1" applyAlignment="1">
      <alignment horizontal="center" vertical="center" shrinkToFit="1"/>
    </xf>
    <xf numFmtId="164" fontId="34" fillId="2" borderId="25" xfId="1" applyNumberFormat="1" applyFont="1" applyFill="1" applyBorder="1" applyAlignment="1">
      <alignment horizontal="center" vertical="center" shrinkToFit="1"/>
    </xf>
    <xf numFmtId="2" fontId="30" fillId="2" borderId="16" xfId="1" applyNumberFormat="1" applyFont="1" applyFill="1" applyBorder="1" applyAlignment="1" applyProtection="1">
      <alignment horizontal="center"/>
      <protection hidden="1"/>
    </xf>
    <xf numFmtId="2" fontId="30" fillId="2" borderId="17" xfId="1" applyNumberFormat="1" applyFont="1" applyFill="1" applyBorder="1" applyAlignment="1" applyProtection="1">
      <alignment horizontal="center"/>
      <protection hidden="1"/>
    </xf>
    <xf numFmtId="0" fontId="1" fillId="2" borderId="1" xfId="1" applyFont="1" applyFill="1" applyBorder="1" applyAlignment="1">
      <alignment horizontal="center" vertical="center" wrapText="1"/>
    </xf>
    <xf numFmtId="0" fontId="17" fillId="15" borderId="12" xfId="1" applyFont="1" applyFill="1" applyBorder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2" fontId="34" fillId="2" borderId="23" xfId="1" applyNumberFormat="1" applyFont="1" applyFill="1" applyBorder="1" applyAlignment="1" applyProtection="1">
      <alignment horizontal="center"/>
      <protection hidden="1"/>
    </xf>
    <xf numFmtId="2" fontId="34" fillId="2" borderId="24" xfId="1" applyNumberFormat="1" applyFont="1" applyFill="1" applyBorder="1" applyAlignment="1" applyProtection="1">
      <alignment horizontal="center"/>
      <protection hidden="1"/>
    </xf>
    <xf numFmtId="164" fontId="30" fillId="2" borderId="16" xfId="1" applyNumberFormat="1" applyFont="1" applyFill="1" applyBorder="1" applyAlignment="1">
      <alignment horizontal="center" vertical="center" shrinkToFit="1"/>
    </xf>
    <xf numFmtId="0" fontId="2" fillId="2" borderId="0" xfId="6" applyFont="1" applyFill="1" applyAlignment="1">
      <alignment horizontal="left" vertical="center"/>
    </xf>
    <xf numFmtId="0" fontId="47" fillId="0" borderId="0" xfId="6" applyAlignment="1">
      <alignment horizontal="left" vertical="center"/>
    </xf>
    <xf numFmtId="0" fontId="2" fillId="0" borderId="17" xfId="6" applyFont="1" applyBorder="1" applyAlignment="1">
      <alignment horizontal="center" vertical="center"/>
    </xf>
    <xf numFmtId="0" fontId="47" fillId="0" borderId="17" xfId="6" applyBorder="1" applyAlignment="1">
      <alignment horizontal="center" vertical="center"/>
    </xf>
    <xf numFmtId="0" fontId="2" fillId="2" borderId="0" xfId="6" applyFont="1" applyFill="1" applyAlignment="1">
      <alignment horizontal="left" vertical="center" indent="1"/>
    </xf>
    <xf numFmtId="0" fontId="51" fillId="2" borderId="0" xfId="6" applyFont="1" applyFill="1" applyAlignment="1">
      <alignment horizontal="left" vertical="center" indent="1"/>
    </xf>
    <xf numFmtId="0" fontId="47" fillId="0" borderId="0" xfId="6" applyAlignment="1">
      <alignment horizontal="left" vertical="center" indent="1"/>
    </xf>
    <xf numFmtId="0" fontId="2" fillId="2" borderId="0" xfId="6" applyFont="1" applyFill="1" applyAlignment="1">
      <alignment horizontal="center" vertical="center"/>
    </xf>
    <xf numFmtId="0" fontId="52" fillId="2" borderId="0" xfId="6" applyFont="1" applyFill="1" applyAlignment="1" applyProtection="1">
      <alignment horizontal="left" vertical="center"/>
      <protection locked="0"/>
    </xf>
    <xf numFmtId="0" fontId="35" fillId="0" borderId="0" xfId="6" applyFont="1" applyAlignment="1">
      <alignment horizontal="left" vertical="center"/>
    </xf>
    <xf numFmtId="0" fontId="54" fillId="11" borderId="0" xfId="6" applyFont="1" applyFill="1" applyAlignment="1">
      <alignment horizontal="center" vertical="center"/>
    </xf>
    <xf numFmtId="0" fontId="49" fillId="7" borderId="0" xfId="6" applyFont="1" applyFill="1" applyAlignment="1">
      <alignment horizontal="center" vertical="center"/>
    </xf>
    <xf numFmtId="0" fontId="12" fillId="0" borderId="17" xfId="1" applyFont="1" applyBorder="1" applyAlignment="1" applyProtection="1">
      <alignment horizontal="center" vertical="center"/>
      <protection hidden="1"/>
    </xf>
    <xf numFmtId="0" fontId="12" fillId="0" borderId="68" xfId="1" applyFont="1" applyBorder="1" applyAlignment="1" applyProtection="1">
      <alignment horizontal="center" vertical="center" textRotation="90"/>
      <protection hidden="1"/>
    </xf>
  </cellXfs>
  <cellStyles count="10">
    <cellStyle name="Calculation" xfId="9" builtinId="22"/>
    <cellStyle name="Good" xfId="5" builtinId="26"/>
    <cellStyle name="Normal" xfId="0" builtinId="0"/>
    <cellStyle name="Normal 2" xfId="1" xr:uid="{00000000-0005-0000-0000-000002000000}"/>
    <cellStyle name="Normal 2 2" xfId="4" xr:uid="{00000000-0005-0000-0000-000003000000}"/>
    <cellStyle name="Normal 3" xfId="6" xr:uid="{E573777B-FAE0-4244-BCEE-85E952C41991}"/>
    <cellStyle name="Normal 7" xfId="7" xr:uid="{7A973067-BD82-4422-98FC-E0D244857C04}"/>
    <cellStyle name="Normal 8" xfId="8" xr:uid="{2F2D8259-F99E-4CAF-A1FA-0510D675164C}"/>
    <cellStyle name="Percent 2" xfId="3" xr:uid="{00000000-0005-0000-0000-000004000000}"/>
    <cellStyle name="Tieu de phu" xfId="2" xr:uid="{00000000-0005-0000-0000-000005000000}"/>
  </cellStyles>
  <dxfs count="0"/>
  <tableStyles count="0" defaultTableStyle="TableStyleMedium2" defaultPivotStyle="PivotStyleLight16"/>
  <colors>
    <mruColors>
      <color rgb="FF0000CC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2D12160A-F74F-4AAB-B9FD-F56686D7C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591144E9-658F-4344-84EB-CCABC971B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B03A71D8-C504-4D05-8F8A-2405E76C9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534120</xdr:colOff>
      <xdr:row>106</xdr:row>
      <xdr:rowOff>0</xdr:rowOff>
    </xdr:from>
    <xdr:ext cx="248851" cy="220317"/>
    <xdr:sp macro="" textlink="#REF!">
      <xdr:nvSpPr>
        <xdr:cNvPr id="3" name="TextBox 2">
          <a:extLst>
            <a:ext uri="{FF2B5EF4-FFF2-40B4-BE49-F238E27FC236}">
              <a16:creationId xmlns:a16="http://schemas.microsoft.com/office/drawing/2014/main" id="{99AF70AE-E2F0-441E-8CBE-CFF579E580E8}"/>
            </a:ext>
          </a:extLst>
        </xdr:cNvPr>
        <xdr:cNvSpPr txBox="1"/>
      </xdr:nvSpPr>
      <xdr:spPr>
        <a:xfrm rot="16200000">
          <a:off x="12064112" y="1988653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33</xdr:col>
      <xdr:colOff>505242</xdr:colOff>
      <xdr:row>92</xdr:row>
      <xdr:rowOff>83318</xdr:rowOff>
    </xdr:from>
    <xdr:ext cx="248851" cy="220317"/>
    <xdr:sp macro="" textlink="#REF!">
      <xdr:nvSpPr>
        <xdr:cNvPr id="4" name="TextBox 3">
          <a:extLst>
            <a:ext uri="{FF2B5EF4-FFF2-40B4-BE49-F238E27FC236}">
              <a16:creationId xmlns:a16="http://schemas.microsoft.com/office/drawing/2014/main" id="{2FDFCEC9-85EC-4B35-B66D-066B3201062F}"/>
            </a:ext>
          </a:extLst>
        </xdr:cNvPr>
        <xdr:cNvSpPr txBox="1"/>
      </xdr:nvSpPr>
      <xdr:spPr>
        <a:xfrm rot="16200000">
          <a:off x="12035234" y="1626155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48</xdr:col>
      <xdr:colOff>534120</xdr:colOff>
      <xdr:row>106</xdr:row>
      <xdr:rowOff>0</xdr:rowOff>
    </xdr:from>
    <xdr:ext cx="248851" cy="220317"/>
    <xdr:sp macro="" textlink="#REF!">
      <xdr:nvSpPr>
        <xdr:cNvPr id="5" name="TextBox 4">
          <a:extLst>
            <a:ext uri="{FF2B5EF4-FFF2-40B4-BE49-F238E27FC236}">
              <a16:creationId xmlns:a16="http://schemas.microsoft.com/office/drawing/2014/main" id="{23279416-1E91-4356-B846-462BDA91D861}"/>
            </a:ext>
          </a:extLst>
        </xdr:cNvPr>
        <xdr:cNvSpPr txBox="1"/>
      </xdr:nvSpPr>
      <xdr:spPr>
        <a:xfrm rot="16200000">
          <a:off x="20474687" y="1988653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48</xdr:col>
      <xdr:colOff>505242</xdr:colOff>
      <xdr:row>92</xdr:row>
      <xdr:rowOff>83318</xdr:rowOff>
    </xdr:from>
    <xdr:ext cx="248851" cy="220317"/>
    <xdr:sp macro="" textlink="#REF!">
      <xdr:nvSpPr>
        <xdr:cNvPr id="6" name="TextBox 5">
          <a:extLst>
            <a:ext uri="{FF2B5EF4-FFF2-40B4-BE49-F238E27FC236}">
              <a16:creationId xmlns:a16="http://schemas.microsoft.com/office/drawing/2014/main" id="{6B25C6CE-92B4-44EA-8BF5-1152C24BFBA9}"/>
            </a:ext>
          </a:extLst>
        </xdr:cNvPr>
        <xdr:cNvSpPr txBox="1"/>
      </xdr:nvSpPr>
      <xdr:spPr>
        <a:xfrm rot="16200000">
          <a:off x="20445809" y="1626155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36</xdr:col>
      <xdr:colOff>509744</xdr:colOff>
      <xdr:row>61</xdr:row>
      <xdr:rowOff>131152</xdr:rowOff>
    </xdr:from>
    <xdr:to>
      <xdr:col>45</xdr:col>
      <xdr:colOff>598856</xdr:colOff>
      <xdr:row>84</xdr:row>
      <xdr:rowOff>62866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C30ED66-9A67-412A-AFFB-321847C1A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58969" y="11789752"/>
          <a:ext cx="5070687" cy="1808139"/>
        </a:xfrm>
        <a:prstGeom prst="rect">
          <a:avLst/>
        </a:prstGeom>
      </xdr:spPr>
    </xdr:pic>
    <xdr:clientData/>
  </xdr:twoCellAnchor>
  <xdr:twoCellAnchor editAs="oneCell">
    <xdr:from>
      <xdr:col>31</xdr:col>
      <xdr:colOff>420459</xdr:colOff>
      <xdr:row>93</xdr:row>
      <xdr:rowOff>176893</xdr:rowOff>
    </xdr:from>
    <xdr:to>
      <xdr:col>41</xdr:col>
      <xdr:colOff>264119</xdr:colOff>
      <xdr:row>112</xdr:row>
      <xdr:rowOff>71520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13F49E2-7838-4B0F-8ABB-50FD201D2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69384" y="16559893"/>
          <a:ext cx="5053834" cy="3358286"/>
        </a:xfrm>
        <a:prstGeom prst="rect">
          <a:avLst/>
        </a:prstGeom>
      </xdr:spPr>
    </xdr:pic>
    <xdr:clientData/>
  </xdr:twoCellAnchor>
  <xdr:twoCellAnchor editAs="oneCell">
    <xdr:from>
      <xdr:col>41</xdr:col>
      <xdr:colOff>136071</xdr:colOff>
      <xdr:row>83</xdr:row>
      <xdr:rowOff>79995</xdr:rowOff>
    </xdr:from>
    <xdr:to>
      <xdr:col>51</xdr:col>
      <xdr:colOff>170758</xdr:colOff>
      <xdr:row>111</xdr:row>
      <xdr:rowOff>130163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C0F3401-A5A4-45A2-B33C-1381CCE25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95171" y="14548470"/>
          <a:ext cx="6130688" cy="5218802"/>
        </a:xfrm>
        <a:prstGeom prst="rect">
          <a:avLst/>
        </a:prstGeom>
      </xdr:spPr>
    </xdr:pic>
    <xdr:clientData/>
  </xdr:twoCellAnchor>
  <xdr:twoCellAnchor>
    <xdr:from>
      <xdr:col>16</xdr:col>
      <xdr:colOff>236483</xdr:colOff>
      <xdr:row>15</xdr:row>
      <xdr:rowOff>177362</xdr:rowOff>
    </xdr:from>
    <xdr:to>
      <xdr:col>18</xdr:col>
      <xdr:colOff>24003</xdr:colOff>
      <xdr:row>17</xdr:row>
      <xdr:rowOff>30263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B9A560F9-2D45-471F-A654-6AE60F7B80C0}"/>
            </a:ext>
          </a:extLst>
        </xdr:cNvPr>
        <xdr:cNvSpPr/>
      </xdr:nvSpPr>
      <xdr:spPr bwMode="auto">
        <a:xfrm>
          <a:off x="5077811" y="1793328"/>
          <a:ext cx="418140" cy="233901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177366</xdr:colOff>
      <xdr:row>21</xdr:row>
      <xdr:rowOff>13139</xdr:rowOff>
    </xdr:from>
    <xdr:to>
      <xdr:col>21</xdr:col>
      <xdr:colOff>106426</xdr:colOff>
      <xdr:row>22</xdr:row>
      <xdr:rowOff>164224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6D12C65D-3690-4AFA-AACD-09DFABD4D7A2}"/>
            </a:ext>
          </a:extLst>
        </xdr:cNvPr>
        <xdr:cNvSpPr/>
      </xdr:nvSpPr>
      <xdr:spPr bwMode="auto">
        <a:xfrm rot="16200000">
          <a:off x="6231327" y="2866695"/>
          <a:ext cx="341585" cy="2443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47625</xdr:colOff>
      <xdr:row>102</xdr:row>
      <xdr:rowOff>90693</xdr:rowOff>
    </xdr:from>
    <xdr:to>
      <xdr:col>8</xdr:col>
      <xdr:colOff>228600</xdr:colOff>
      <xdr:row>103</xdr:row>
      <xdr:rowOff>128793</xdr:rowOff>
    </xdr:to>
    <xdr:sp macro="" textlink="">
      <xdr:nvSpPr>
        <xdr:cNvPr id="23" name="Arrow: Right 22">
          <a:extLst>
            <a:ext uri="{FF2B5EF4-FFF2-40B4-BE49-F238E27FC236}">
              <a16:creationId xmlns:a16="http://schemas.microsoft.com/office/drawing/2014/main" id="{D977B06B-B0C7-043B-3577-D0E569F50096}"/>
            </a:ext>
          </a:extLst>
        </xdr:cNvPr>
        <xdr:cNvSpPr/>
      </xdr:nvSpPr>
      <xdr:spPr>
        <a:xfrm>
          <a:off x="1914525" y="17073768"/>
          <a:ext cx="495300" cy="228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47625</xdr:colOff>
      <xdr:row>102</xdr:row>
      <xdr:rowOff>93177</xdr:rowOff>
    </xdr:from>
    <xdr:to>
      <xdr:col>20</xdr:col>
      <xdr:colOff>228600</xdr:colOff>
      <xdr:row>103</xdr:row>
      <xdr:rowOff>131277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BCD15B52-A4C5-436C-8806-0AA7265EEE9A}"/>
            </a:ext>
          </a:extLst>
        </xdr:cNvPr>
        <xdr:cNvSpPr/>
      </xdr:nvSpPr>
      <xdr:spPr>
        <a:xfrm rot="10800000">
          <a:off x="5686425" y="17076252"/>
          <a:ext cx="495300" cy="228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181342</xdr:colOff>
      <xdr:row>127</xdr:row>
      <xdr:rowOff>124557</xdr:rowOff>
    </xdr:from>
    <xdr:to>
      <xdr:col>8</xdr:col>
      <xdr:colOff>94884</xdr:colOff>
      <xdr:row>129</xdr:row>
      <xdr:rowOff>133716</xdr:rowOff>
    </xdr:to>
    <xdr:sp macro="" textlink="">
      <xdr:nvSpPr>
        <xdr:cNvPr id="25" name="Arrow: Right 24">
          <a:extLst>
            <a:ext uri="{FF2B5EF4-FFF2-40B4-BE49-F238E27FC236}">
              <a16:creationId xmlns:a16="http://schemas.microsoft.com/office/drawing/2014/main" id="{48C2FF5D-473F-47BB-B0AF-04B7134A6D52}"/>
            </a:ext>
          </a:extLst>
        </xdr:cNvPr>
        <xdr:cNvSpPr/>
      </xdr:nvSpPr>
      <xdr:spPr>
        <a:xfrm rot="16200000">
          <a:off x="2100812" y="23021375"/>
          <a:ext cx="390159" cy="228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197828</xdr:colOff>
      <xdr:row>127</xdr:row>
      <xdr:rowOff>73270</xdr:rowOff>
    </xdr:from>
    <xdr:to>
      <xdr:col>20</xdr:col>
      <xdr:colOff>111370</xdr:colOff>
      <xdr:row>129</xdr:row>
      <xdr:rowOff>82429</xdr:rowOff>
    </xdr:to>
    <xdr:sp macro="" textlink="">
      <xdr:nvSpPr>
        <xdr:cNvPr id="27" name="Arrow: Right 26">
          <a:extLst>
            <a:ext uri="{FF2B5EF4-FFF2-40B4-BE49-F238E27FC236}">
              <a16:creationId xmlns:a16="http://schemas.microsoft.com/office/drawing/2014/main" id="{1D3EDE60-E1E1-4B24-A0E4-8654F3F03A8D}"/>
            </a:ext>
          </a:extLst>
        </xdr:cNvPr>
        <xdr:cNvSpPr/>
      </xdr:nvSpPr>
      <xdr:spPr>
        <a:xfrm rot="5400000">
          <a:off x="5897990" y="22970088"/>
          <a:ext cx="390159" cy="228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173934</xdr:colOff>
      <xdr:row>19</xdr:row>
      <xdr:rowOff>124239</xdr:rowOff>
    </xdr:from>
    <xdr:to>
      <xdr:col>18</xdr:col>
      <xdr:colOff>58806</xdr:colOff>
      <xdr:row>22</xdr:row>
      <xdr:rowOff>31421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E8F29F-6DE2-41BD-B4AB-E68FAC280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10977" y="2509630"/>
          <a:ext cx="514350" cy="528378"/>
        </a:xfrm>
        <a:prstGeom prst="rect">
          <a:avLst/>
        </a:prstGeom>
      </xdr:spPr>
    </xdr:pic>
    <xdr:clientData/>
  </xdr:twoCellAnchor>
  <xdr:twoCellAnchor>
    <xdr:from>
      <xdr:col>28</xdr:col>
      <xdr:colOff>8282</xdr:colOff>
      <xdr:row>18</xdr:row>
      <xdr:rowOff>124239</xdr:rowOff>
    </xdr:from>
    <xdr:to>
      <xdr:col>30</xdr:col>
      <xdr:colOff>91108</xdr:colOff>
      <xdr:row>20</xdr:row>
      <xdr:rowOff>99391</xdr:rowOff>
    </xdr:to>
    <xdr:sp macro="[0]!InTMRaPDF" textlink="">
      <xdr:nvSpPr>
        <xdr:cNvPr id="10" name="Rectangle 9">
          <a:extLst>
            <a:ext uri="{FF2B5EF4-FFF2-40B4-BE49-F238E27FC236}">
              <a16:creationId xmlns:a16="http://schemas.microsoft.com/office/drawing/2014/main" id="{DECC8C9D-A699-CD13-2CA6-BB4398F835FC}"/>
            </a:ext>
          </a:extLst>
        </xdr:cNvPr>
        <xdr:cNvSpPr/>
      </xdr:nvSpPr>
      <xdr:spPr>
        <a:xfrm>
          <a:off x="8605630" y="2791239"/>
          <a:ext cx="1143000" cy="40584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C00000"/>
              </a:solidFill>
            </a:rPr>
            <a:t>IN PDF</a:t>
          </a:r>
        </a:p>
      </xdr:txBody>
    </xdr:sp>
    <xdr:clientData/>
  </xdr:twoCellAnchor>
  <xdr:twoCellAnchor editAs="oneCell">
    <xdr:from>
      <xdr:col>34</xdr:col>
      <xdr:colOff>139754</xdr:colOff>
      <xdr:row>20</xdr:row>
      <xdr:rowOff>16366</xdr:rowOff>
    </xdr:from>
    <xdr:to>
      <xdr:col>46</xdr:col>
      <xdr:colOff>481480</xdr:colOff>
      <xdr:row>36</xdr:row>
      <xdr:rowOff>59971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F12071D-7E96-6ECC-EB21-582794CFE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82718" y="3077973"/>
          <a:ext cx="6995619" cy="3377355"/>
        </a:xfrm>
        <a:prstGeom prst="rect">
          <a:avLst/>
        </a:prstGeom>
      </xdr:spPr>
    </xdr:pic>
    <xdr:clientData/>
  </xdr:twoCellAnchor>
  <xdr:twoCellAnchor editAs="oneCell">
    <xdr:from>
      <xdr:col>34</xdr:col>
      <xdr:colOff>121227</xdr:colOff>
      <xdr:row>9</xdr:row>
      <xdr:rowOff>51954</xdr:rowOff>
    </xdr:from>
    <xdr:to>
      <xdr:col>43</xdr:col>
      <xdr:colOff>415638</xdr:colOff>
      <xdr:row>19</xdr:row>
      <xdr:rowOff>69273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B8B0261-6AAC-2640-BEEC-03276CE87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62954" y="1004454"/>
          <a:ext cx="5143502" cy="1905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F0CC-71DB-46D6-B6C3-250D4EA2DF86}">
  <sheetPr codeName="Sheet1">
    <tabColor rgb="FFFF0000"/>
  </sheetPr>
  <dimension ref="A1:AA61"/>
  <sheetViews>
    <sheetView showGridLines="0" view="pageBreakPreview" topLeftCell="A9" zoomScaleNormal="100" zoomScaleSheetLayoutView="100" workbookViewId="0">
      <selection activeCell="S11" sqref="S11"/>
    </sheetView>
  </sheetViews>
  <sheetFormatPr defaultRowHeight="12.75"/>
  <cols>
    <col min="1" max="1" width="3" style="65" customWidth="1"/>
    <col min="2" max="2" width="11.85546875" style="64" customWidth="1"/>
    <col min="3" max="3" width="7.5703125" style="64" customWidth="1"/>
    <col min="4" max="4" width="7.7109375" style="64" customWidth="1"/>
    <col min="5" max="5" width="7.5703125" style="64" bestFit="1" customWidth="1"/>
    <col min="6" max="6" width="5.28515625" style="64" customWidth="1"/>
    <col min="7" max="7" width="7.28515625" style="64" bestFit="1" customWidth="1"/>
    <col min="8" max="8" width="8.5703125" style="64" bestFit="1" customWidth="1"/>
    <col min="9" max="9" width="8.28515625" style="64" customWidth="1"/>
    <col min="10" max="10" width="6.5703125" style="64" bestFit="1" customWidth="1"/>
    <col min="11" max="11" width="7.5703125" style="64" bestFit="1" customWidth="1"/>
    <col min="12" max="12" width="7.28515625" style="64" bestFit="1" customWidth="1"/>
    <col min="13" max="13" width="6.85546875" style="64" customWidth="1"/>
    <col min="14" max="14" width="8.85546875" style="64" customWidth="1"/>
    <col min="15" max="15" width="8.85546875" style="65" customWidth="1"/>
    <col min="16" max="16" width="12.85546875" style="65" bestFit="1" customWidth="1"/>
    <col min="17" max="16384" width="9.140625" style="65"/>
  </cols>
  <sheetData>
    <row r="1" spans="1:27" ht="14.25" customHeight="1">
      <c r="A1" s="64"/>
      <c r="P1" s="66"/>
      <c r="Q1" s="66"/>
      <c r="R1" s="66"/>
    </row>
    <row r="2" spans="1:27" ht="24" customHeight="1">
      <c r="A2" s="64"/>
      <c r="B2" s="497" t="s">
        <v>238</v>
      </c>
      <c r="C2" s="497"/>
      <c r="D2" s="497"/>
      <c r="E2" s="497"/>
      <c r="F2" s="497"/>
      <c r="G2" s="497"/>
      <c r="H2" s="497"/>
      <c r="I2" s="497"/>
      <c r="J2" s="497"/>
      <c r="K2" s="497"/>
      <c r="L2" s="497"/>
      <c r="M2" s="497"/>
      <c r="N2" s="497"/>
      <c r="O2" s="67"/>
      <c r="P2" s="66"/>
      <c r="Q2" s="66"/>
      <c r="R2" s="66"/>
    </row>
    <row r="3" spans="1:27" ht="12.75" customHeight="1">
      <c r="A3" s="64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7"/>
      <c r="P3" s="66"/>
      <c r="Q3" s="66"/>
      <c r="R3" s="66"/>
    </row>
    <row r="4" spans="1:27" ht="12.75" customHeight="1">
      <c r="A4" s="64"/>
      <c r="B4" s="491" t="s">
        <v>239</v>
      </c>
      <c r="C4" s="491"/>
      <c r="D4" s="69"/>
      <c r="E4" s="68"/>
      <c r="F4" s="68"/>
      <c r="G4" s="68"/>
      <c r="H4" s="68"/>
      <c r="I4" s="68"/>
      <c r="J4" s="68"/>
      <c r="K4" s="68"/>
      <c r="L4" s="68"/>
      <c r="M4" s="68"/>
      <c r="N4" s="68"/>
      <c r="O4" s="67"/>
      <c r="P4" s="66"/>
      <c r="Q4" s="66"/>
      <c r="R4" s="66"/>
    </row>
    <row r="5" spans="1:27">
      <c r="A5" s="64"/>
      <c r="B5" s="490" t="s">
        <v>240</v>
      </c>
      <c r="C5" s="490"/>
      <c r="D5" s="490"/>
      <c r="E5" s="71">
        <v>13.5</v>
      </c>
      <c r="F5" s="486" t="s">
        <v>241</v>
      </c>
      <c r="G5" s="487"/>
      <c r="H5" s="487"/>
      <c r="I5" s="487"/>
      <c r="J5" s="74">
        <v>0</v>
      </c>
      <c r="K5" s="75" t="s">
        <v>211</v>
      </c>
      <c r="M5" s="76"/>
    </row>
    <row r="6" spans="1:27">
      <c r="A6" s="64"/>
      <c r="B6" s="490" t="s">
        <v>242</v>
      </c>
      <c r="C6" s="490"/>
      <c r="D6" s="77" t="s">
        <v>28</v>
      </c>
      <c r="H6" s="72"/>
      <c r="I6" s="76"/>
      <c r="J6" s="76"/>
      <c r="K6" s="78"/>
      <c r="L6" s="72"/>
      <c r="M6" s="76"/>
    </row>
    <row r="7" spans="1:27">
      <c r="A7" s="64"/>
      <c r="B7" s="490" t="s">
        <v>243</v>
      </c>
      <c r="C7" s="492"/>
      <c r="D7" s="80" t="s">
        <v>52</v>
      </c>
      <c r="E7" s="486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487"/>
      <c r="G7" s="487"/>
      <c r="H7" s="487"/>
      <c r="I7" s="487"/>
      <c r="J7" s="487"/>
      <c r="K7" s="487"/>
      <c r="L7" s="487"/>
      <c r="M7" s="487"/>
      <c r="N7" s="487"/>
      <c r="O7" s="81"/>
    </row>
    <row r="8" spans="1:27">
      <c r="A8" s="64"/>
      <c r="B8" s="490" t="s">
        <v>74</v>
      </c>
      <c r="C8" s="490"/>
      <c r="D8" s="490"/>
      <c r="E8" s="492"/>
      <c r="F8" s="492"/>
      <c r="G8" s="492"/>
      <c r="H8" s="494" t="s">
        <v>244</v>
      </c>
      <c r="I8" s="495"/>
      <c r="J8" s="495"/>
    </row>
    <row r="9" spans="1:27">
      <c r="A9" s="64"/>
      <c r="B9" s="490" t="s">
        <v>245</v>
      </c>
      <c r="C9" s="492"/>
      <c r="D9" s="492"/>
      <c r="E9" s="492"/>
      <c r="F9" s="492"/>
      <c r="G9" s="492"/>
      <c r="H9" s="82">
        <v>1</v>
      </c>
      <c r="J9" s="486" t="s">
        <v>246</v>
      </c>
      <c r="K9" s="487"/>
      <c r="L9" s="487"/>
      <c r="M9" s="487"/>
      <c r="N9" s="487"/>
      <c r="O9" s="81"/>
      <c r="R9" s="496"/>
      <c r="S9" s="496"/>
      <c r="T9" s="496"/>
      <c r="U9" s="496"/>
      <c r="V9" s="496"/>
      <c r="W9" s="496"/>
      <c r="X9" s="496"/>
      <c r="Y9" s="496"/>
      <c r="Z9" s="496"/>
      <c r="AA9" s="496"/>
    </row>
    <row r="10" spans="1:27" ht="15.75">
      <c r="A10" s="64"/>
      <c r="B10" s="490" t="s">
        <v>247</v>
      </c>
      <c r="C10" s="492"/>
      <c r="D10" s="492"/>
      <c r="E10" s="492"/>
      <c r="F10" s="492"/>
      <c r="G10" s="492"/>
      <c r="H10" s="83">
        <f>VLOOKUP(D6,GustFactor!$F$57:$H$61,2,FALSE)</f>
        <v>0.95</v>
      </c>
      <c r="J10" s="486" t="s">
        <v>248</v>
      </c>
      <c r="K10" s="487"/>
      <c r="L10" s="487"/>
      <c r="M10" s="487"/>
      <c r="N10" s="487"/>
      <c r="O10" s="81"/>
      <c r="R10" s="496"/>
      <c r="S10" s="496"/>
      <c r="T10" s="496"/>
      <c r="U10" s="496"/>
      <c r="V10" s="496"/>
      <c r="W10" s="496"/>
      <c r="X10" s="496"/>
      <c r="Y10" s="496"/>
      <c r="Z10" s="496"/>
      <c r="AA10" s="496"/>
    </row>
    <row r="11" spans="1:27" ht="15.75">
      <c r="A11" s="64"/>
      <c r="B11" s="490" t="s">
        <v>249</v>
      </c>
      <c r="C11" s="492"/>
      <c r="D11" s="492"/>
      <c r="E11" s="492"/>
      <c r="F11" s="492"/>
      <c r="G11" s="492"/>
      <c r="H11" s="83">
        <f>H10*0.852</f>
        <v>0.8093999999999999</v>
      </c>
      <c r="J11" s="486" t="s">
        <v>250</v>
      </c>
      <c r="K11" s="487"/>
      <c r="L11" s="487"/>
      <c r="M11" s="487"/>
      <c r="N11" s="487"/>
      <c r="O11" s="81"/>
    </row>
    <row r="12" spans="1:27">
      <c r="A12" s="64"/>
      <c r="B12" s="490" t="s">
        <v>251</v>
      </c>
      <c r="C12" s="492"/>
      <c r="D12" s="492"/>
      <c r="E12" s="492"/>
      <c r="F12" s="492"/>
      <c r="G12" s="492"/>
      <c r="H12" s="84">
        <f>VLOOKUP(D6,GustFactor!$F$57:$H$61,3,FALSE)</f>
        <v>44</v>
      </c>
      <c r="J12" s="486" t="s">
        <v>248</v>
      </c>
      <c r="K12" s="487"/>
      <c r="L12" s="487"/>
      <c r="M12" s="487"/>
      <c r="N12" s="487"/>
      <c r="O12" s="81"/>
    </row>
    <row r="13" spans="1:27" ht="15.75">
      <c r="A13" s="64"/>
      <c r="B13" s="490" t="s">
        <v>252</v>
      </c>
      <c r="C13" s="492"/>
      <c r="D13" s="492"/>
      <c r="E13" s="492"/>
      <c r="F13" s="492"/>
      <c r="G13" s="492"/>
      <c r="H13" s="83">
        <f>VLOOKUP($D$7,Bang8_10,4)</f>
        <v>4.57</v>
      </c>
      <c r="J13" s="486" t="s">
        <v>253</v>
      </c>
      <c r="K13" s="487"/>
      <c r="L13" s="487"/>
      <c r="M13" s="487"/>
      <c r="N13" s="487"/>
      <c r="O13" s="81"/>
    </row>
    <row r="14" spans="1:27" ht="15.75">
      <c r="A14" s="64"/>
      <c r="B14" s="490" t="s">
        <v>254</v>
      </c>
      <c r="C14" s="492"/>
      <c r="D14" s="492"/>
      <c r="E14" s="492"/>
      <c r="F14" s="492"/>
      <c r="G14" s="492"/>
      <c r="H14" s="83">
        <f>VLOOKUP($D$7,Bang8_10,3)</f>
        <v>274.32</v>
      </c>
      <c r="J14" s="486" t="s">
        <v>253</v>
      </c>
      <c r="K14" s="487"/>
      <c r="L14" s="487"/>
      <c r="M14" s="487"/>
      <c r="N14" s="487"/>
      <c r="O14" s="81"/>
    </row>
    <row r="15" spans="1:27">
      <c r="A15" s="64"/>
      <c r="B15" s="490" t="s">
        <v>255</v>
      </c>
      <c r="C15" s="492"/>
      <c r="D15" s="492"/>
      <c r="E15" s="492"/>
      <c r="F15" s="492"/>
      <c r="G15" s="492"/>
      <c r="H15" s="83">
        <f>VLOOKUP($D$7,Bang8_10,5)</f>
        <v>9.5</v>
      </c>
      <c r="J15" s="486" t="s">
        <v>253</v>
      </c>
      <c r="K15" s="487"/>
      <c r="L15" s="487"/>
      <c r="M15" s="487"/>
      <c r="N15" s="487"/>
      <c r="O15" s="81"/>
    </row>
    <row r="16" spans="1:27" ht="15.75">
      <c r="A16" s="64"/>
      <c r="B16" s="490" t="s">
        <v>256</v>
      </c>
      <c r="C16" s="492"/>
      <c r="D16" s="492"/>
      <c r="E16" s="492"/>
      <c r="F16" s="492"/>
      <c r="G16" s="492"/>
      <c r="H16" s="83">
        <f>VLOOKUP(D7,Bang8_10,6)</f>
        <v>1.97</v>
      </c>
      <c r="J16" s="486" t="s">
        <v>253</v>
      </c>
      <c r="K16" s="487"/>
      <c r="L16" s="487"/>
      <c r="M16" s="487"/>
      <c r="N16" s="487"/>
      <c r="O16" s="81"/>
    </row>
    <row r="17" spans="1:15" ht="15.75">
      <c r="A17" s="64"/>
      <c r="B17" s="490" t="s">
        <v>257</v>
      </c>
      <c r="C17" s="492"/>
      <c r="D17" s="492"/>
      <c r="E17" s="492"/>
      <c r="F17" s="492"/>
      <c r="G17" s="492"/>
      <c r="H17" s="83">
        <f>VLOOKUP(D7,Bang8_10,7)</f>
        <v>0.2</v>
      </c>
      <c r="J17" s="486" t="s">
        <v>258</v>
      </c>
      <c r="K17" s="487"/>
      <c r="L17" s="487"/>
      <c r="M17" s="487"/>
      <c r="N17" s="487"/>
      <c r="O17" s="81"/>
    </row>
    <row r="18" spans="1:15">
      <c r="A18" s="64"/>
      <c r="B18" s="490" t="s">
        <v>259</v>
      </c>
      <c r="C18" s="492"/>
      <c r="D18" s="492"/>
      <c r="E18" s="492"/>
      <c r="F18" s="492"/>
      <c r="G18" s="492"/>
      <c r="H18" s="83">
        <f>VLOOKUP(D7,Bang8_10,8)</f>
        <v>152.4</v>
      </c>
      <c r="J18" s="486" t="s">
        <v>258</v>
      </c>
      <c r="K18" s="487"/>
      <c r="L18" s="487"/>
      <c r="M18" s="487"/>
      <c r="N18" s="487"/>
      <c r="O18" s="81"/>
    </row>
    <row r="19" spans="1:15">
      <c r="A19" s="64"/>
      <c r="B19" s="490" t="s">
        <v>260</v>
      </c>
      <c r="C19" s="492"/>
      <c r="D19" s="492"/>
      <c r="E19" s="492"/>
      <c r="F19" s="492"/>
      <c r="G19" s="492"/>
      <c r="H19" s="83">
        <f>VLOOKUP(D7,Bang8_10,9)</f>
        <v>0.2</v>
      </c>
      <c r="J19" s="486" t="s">
        <v>258</v>
      </c>
      <c r="K19" s="487"/>
      <c r="L19" s="487"/>
      <c r="M19" s="487"/>
      <c r="N19" s="487"/>
      <c r="O19" s="81"/>
    </row>
    <row r="20" spans="1:15">
      <c r="A20" s="64"/>
      <c r="B20" s="490" t="s">
        <v>261</v>
      </c>
      <c r="C20" s="492"/>
      <c r="D20" s="492"/>
      <c r="E20" s="492"/>
      <c r="F20" s="492"/>
      <c r="G20" s="492"/>
      <c r="H20" s="83">
        <f>VLOOKUP(D7,Bang8_10,10)</f>
        <v>0.65</v>
      </c>
      <c r="J20" s="486" t="s">
        <v>258</v>
      </c>
      <c r="K20" s="487"/>
      <c r="L20" s="487"/>
      <c r="M20" s="487"/>
      <c r="N20" s="487"/>
      <c r="O20" s="81"/>
    </row>
    <row r="21" spans="1:15">
      <c r="A21" s="64"/>
      <c r="B21" s="490" t="s">
        <v>262</v>
      </c>
      <c r="C21" s="492"/>
      <c r="D21" s="492"/>
      <c r="E21" s="492"/>
      <c r="F21" s="492"/>
      <c r="G21" s="492"/>
      <c r="H21" s="83">
        <f>VLOOKUP(D7,Bang8_10,11)</f>
        <v>0.15384615384615385</v>
      </c>
      <c r="J21" s="486" t="s">
        <v>258</v>
      </c>
      <c r="K21" s="487"/>
      <c r="L21" s="487"/>
      <c r="M21" s="487"/>
      <c r="N21" s="487"/>
      <c r="O21" s="81"/>
    </row>
    <row r="22" spans="1:15" ht="15.75">
      <c r="A22" s="64"/>
      <c r="B22" s="490" t="s">
        <v>263</v>
      </c>
      <c r="C22" s="492"/>
      <c r="D22" s="492"/>
      <c r="E22" s="492"/>
      <c r="F22" s="492"/>
      <c r="G22" s="492"/>
      <c r="H22" s="83">
        <f>$H$17*(10/(0.6*$E$5))^(1/6)</f>
        <v>0.20714883373025728</v>
      </c>
      <c r="J22" s="486" t="s">
        <v>264</v>
      </c>
      <c r="K22" s="487"/>
      <c r="L22" s="487"/>
      <c r="M22" s="487"/>
      <c r="N22" s="487"/>
      <c r="O22" s="81"/>
    </row>
    <row r="23" spans="1:15" ht="15.75">
      <c r="A23" s="64"/>
      <c r="B23" s="490" t="s">
        <v>265</v>
      </c>
      <c r="C23" s="492"/>
      <c r="D23" s="492"/>
      <c r="E23" s="492"/>
      <c r="F23" s="492"/>
      <c r="G23" s="492"/>
      <c r="H23" s="83">
        <f>H18*(0.6*E5/10)^H19</f>
        <v>146.11068296436144</v>
      </c>
      <c r="J23" s="486" t="s">
        <v>266</v>
      </c>
      <c r="K23" s="487"/>
      <c r="L23" s="487"/>
      <c r="M23" s="487"/>
      <c r="N23" s="487"/>
      <c r="O23" s="81"/>
    </row>
    <row r="24" spans="1:15">
      <c r="A24" s="64"/>
      <c r="B24" s="490" t="s">
        <v>267</v>
      </c>
      <c r="C24" s="492"/>
      <c r="D24" s="492"/>
      <c r="E24" s="492"/>
      <c r="F24" s="492"/>
      <c r="G24" s="492"/>
      <c r="H24" s="83">
        <f>IF(H8="Kết cấu BT và BTCT",0.02,IF(H8="Kết cấu thép",0.01,0.015))</f>
        <v>0.01</v>
      </c>
      <c r="J24" s="486" t="s">
        <v>268</v>
      </c>
      <c r="K24" s="487"/>
      <c r="L24" s="487"/>
      <c r="M24" s="487"/>
      <c r="N24" s="487"/>
      <c r="O24" s="81"/>
    </row>
    <row r="25" spans="1:15" ht="15.75">
      <c r="A25" s="64"/>
      <c r="B25" s="490" t="s">
        <v>269</v>
      </c>
      <c r="C25" s="492"/>
      <c r="D25" s="492"/>
      <c r="E25" s="492"/>
      <c r="F25" s="492"/>
      <c r="G25" s="492"/>
      <c r="H25" s="83">
        <f>H12*H20*(0.6*E5/10)^H21</f>
        <v>27.68769519252514</v>
      </c>
      <c r="J25" s="486" t="s">
        <v>270</v>
      </c>
      <c r="K25" s="487"/>
      <c r="L25" s="487"/>
      <c r="M25" s="487"/>
      <c r="N25" s="487"/>
      <c r="O25" s="81"/>
    </row>
    <row r="26" spans="1:15">
      <c r="A26" s="64"/>
      <c r="M26" s="72"/>
      <c r="N26" s="85"/>
      <c r="O26" s="86"/>
    </row>
    <row r="27" spans="1:15">
      <c r="A27" s="64"/>
      <c r="B27" s="493" t="s">
        <v>271</v>
      </c>
      <c r="C27" s="493"/>
      <c r="D27" s="493"/>
      <c r="E27" s="493"/>
      <c r="F27" s="493"/>
      <c r="G27" s="493" t="s">
        <v>272</v>
      </c>
      <c r="H27" s="493"/>
      <c r="I27" s="493"/>
      <c r="J27" s="493"/>
      <c r="K27" s="493"/>
      <c r="L27" s="493"/>
      <c r="M27" s="486" t="s">
        <v>273</v>
      </c>
      <c r="N27" s="487"/>
      <c r="O27" s="81"/>
    </row>
    <row r="28" spans="1:15">
      <c r="A28" s="64"/>
      <c r="B28" s="490" t="str">
        <f>"Chu kỳ dao động (s)"</f>
        <v>Chu kỳ dao động (s)</v>
      </c>
      <c r="C28" s="490"/>
      <c r="D28" s="490"/>
      <c r="E28" s="88">
        <v>1.45</v>
      </c>
      <c r="F28" s="87"/>
      <c r="G28" s="486" t="s">
        <v>274</v>
      </c>
      <c r="H28" s="486"/>
      <c r="I28" s="486"/>
      <c r="J28" s="486"/>
      <c r="K28" s="88">
        <v>1.5</v>
      </c>
      <c r="L28" s="87"/>
      <c r="M28" s="72"/>
      <c r="N28" s="73"/>
      <c r="O28" s="81"/>
    </row>
    <row r="29" spans="1:15">
      <c r="A29" s="64"/>
      <c r="B29" s="490" t="s">
        <v>275</v>
      </c>
      <c r="C29" s="490"/>
      <c r="D29" s="490"/>
      <c r="E29" s="89">
        <v>50</v>
      </c>
      <c r="F29" s="87"/>
      <c r="G29" s="486" t="s">
        <v>275</v>
      </c>
      <c r="H29" s="486"/>
      <c r="I29" s="486"/>
      <c r="J29" s="486"/>
      <c r="K29" s="90">
        <f>E30</f>
        <v>100</v>
      </c>
      <c r="L29" s="87"/>
      <c r="M29" s="72"/>
      <c r="N29" s="73"/>
      <c r="O29" s="81"/>
    </row>
    <row r="30" spans="1:15">
      <c r="A30" s="64"/>
      <c r="B30" s="490" t="s">
        <v>276</v>
      </c>
      <c r="C30" s="492"/>
      <c r="D30" s="492"/>
      <c r="E30" s="89">
        <v>100</v>
      </c>
      <c r="F30" s="87"/>
      <c r="G30" s="486" t="s">
        <v>276</v>
      </c>
      <c r="H30" s="487"/>
      <c r="I30" s="487"/>
      <c r="J30" s="487"/>
      <c r="K30" s="90">
        <f>E29</f>
        <v>50</v>
      </c>
      <c r="L30" s="87"/>
      <c r="M30" s="72"/>
      <c r="N30" s="73"/>
      <c r="O30" s="81"/>
    </row>
    <row r="31" spans="1:15">
      <c r="A31" s="64"/>
      <c r="B31" s="70"/>
      <c r="C31" s="79"/>
      <c r="D31" s="79"/>
      <c r="E31" s="89"/>
      <c r="F31" s="87"/>
      <c r="G31" s="72"/>
      <c r="H31" s="73"/>
      <c r="I31" s="73"/>
      <c r="J31" s="73"/>
      <c r="K31" s="90"/>
      <c r="L31" s="87"/>
      <c r="M31" s="72"/>
      <c r="N31" s="73"/>
      <c r="O31" s="81"/>
    </row>
    <row r="32" spans="1:15">
      <c r="A32" s="64"/>
      <c r="B32" s="491" t="s">
        <v>277</v>
      </c>
      <c r="C32" s="491"/>
      <c r="D32" s="73"/>
      <c r="E32" s="89"/>
      <c r="F32" s="87"/>
      <c r="G32" s="72"/>
      <c r="H32" s="73"/>
      <c r="I32" s="73"/>
      <c r="J32" s="73"/>
      <c r="K32" s="90"/>
      <c r="L32" s="87"/>
      <c r="M32" s="72"/>
      <c r="N32" s="73"/>
      <c r="O32" s="81"/>
    </row>
    <row r="33" spans="1:22" ht="15.75">
      <c r="A33" s="87"/>
      <c r="B33" s="490" t="s">
        <v>278</v>
      </c>
      <c r="C33" s="492"/>
      <c r="D33" s="492"/>
      <c r="E33" s="91">
        <f>IF($E$28&lt;=1,0.85,0.925*((1+1.7*H22*SQRT(3.4^2*E37^2+E36^2*E38^2))/(1+1.7*H22*3.4)))</f>
        <v>0.9438934308721264</v>
      </c>
      <c r="G33" s="486" t="s">
        <v>278</v>
      </c>
      <c r="H33" s="487"/>
      <c r="I33" s="487"/>
      <c r="J33" s="487"/>
      <c r="K33" s="91">
        <f>IF($K$28&lt;=1,0.85,0.925*((1+1.7*H22*SQRT(3.4^2*K37^2+K36^2*K38^2))/(1+1.7*H22*3.4)))</f>
        <v>0.88580526599160792</v>
      </c>
      <c r="M33" s="486" t="s">
        <v>279</v>
      </c>
      <c r="N33" s="487"/>
      <c r="O33" s="81"/>
    </row>
    <row r="34" spans="1:22">
      <c r="A34" s="87"/>
      <c r="B34" s="70"/>
      <c r="C34" s="79"/>
      <c r="D34" s="79"/>
      <c r="E34" s="79"/>
      <c r="G34" s="72"/>
      <c r="H34" s="73"/>
      <c r="I34" s="73"/>
      <c r="J34" s="73"/>
      <c r="K34" s="79"/>
      <c r="M34" s="72"/>
      <c r="N34" s="73"/>
      <c r="O34" s="81"/>
    </row>
    <row r="35" spans="1:22">
      <c r="A35" s="87"/>
      <c r="B35" s="491" t="s">
        <v>280</v>
      </c>
      <c r="C35" s="491"/>
      <c r="D35" s="73"/>
      <c r="E35" s="72"/>
      <c r="G35" s="72"/>
      <c r="H35" s="73"/>
      <c r="I35" s="73"/>
      <c r="J35" s="73"/>
      <c r="K35" s="72"/>
      <c r="M35" s="72"/>
      <c r="N35" s="73"/>
      <c r="O35" s="81"/>
    </row>
    <row r="36" spans="1:22">
      <c r="A36" s="87"/>
      <c r="B36" s="490" t="s">
        <v>281</v>
      </c>
      <c r="C36" s="490"/>
      <c r="D36" s="490"/>
      <c r="E36" s="83">
        <f>SQRT(2*LN(3600/$E$28))+0.577/SQRT(2*LN(3600/$E$28))</f>
        <v>4.0999446318121446</v>
      </c>
      <c r="F36" s="87"/>
      <c r="G36" s="486" t="s">
        <v>281</v>
      </c>
      <c r="H36" s="486"/>
      <c r="I36" s="486"/>
      <c r="J36" s="486"/>
      <c r="K36" s="90">
        <f>SQRT(2*LN(3600/$K$28))+0.577/SQRT(2*LN(3600/$K$28))</f>
        <v>4.0916788284258532</v>
      </c>
      <c r="L36" s="87"/>
      <c r="M36" s="486" t="s">
        <v>282</v>
      </c>
      <c r="N36" s="486"/>
      <c r="O36" s="92"/>
    </row>
    <row r="37" spans="1:22">
      <c r="A37" s="87"/>
      <c r="B37" s="490" t="s">
        <v>283</v>
      </c>
      <c r="C37" s="492"/>
      <c r="D37" s="492"/>
      <c r="E37" s="83">
        <f>SQRT(1/(1+0.63*((E5+E29)/H23)^0.63))</f>
        <v>0.85352262757816644</v>
      </c>
      <c r="G37" s="486" t="s">
        <v>284</v>
      </c>
      <c r="H37" s="487"/>
      <c r="I37" s="487"/>
      <c r="J37" s="487"/>
      <c r="K37" s="83">
        <f>SQRT(1/(1+0.63*((E5+K29)/H23)^0.63))</f>
        <v>0.8065233328361785</v>
      </c>
      <c r="M37" s="486" t="s">
        <v>285</v>
      </c>
      <c r="N37" s="487"/>
      <c r="O37" s="81"/>
    </row>
    <row r="38" spans="1:22">
      <c r="A38" s="87"/>
      <c r="B38" s="490" t="s">
        <v>286</v>
      </c>
      <c r="C38" s="490"/>
      <c r="D38" s="490"/>
      <c r="E38" s="83">
        <f>SQRT(E39*E44*E45*(0.53+0.47*E46)/H24)</f>
        <v>0.48911554289282133</v>
      </c>
      <c r="F38" s="87"/>
      <c r="G38" s="486" t="s">
        <v>286</v>
      </c>
      <c r="H38" s="486"/>
      <c r="I38" s="486"/>
      <c r="J38" s="487"/>
      <c r="K38" s="90">
        <f>SQRT(K39*K44*K45*(0.53+0.47*K46)/H24)</f>
        <v>0.37165376209058926</v>
      </c>
      <c r="L38" s="87"/>
      <c r="M38" s="486" t="s">
        <v>287</v>
      </c>
      <c r="N38" s="486"/>
      <c r="O38" s="92"/>
    </row>
    <row r="39" spans="1:22" ht="16.5">
      <c r="A39" s="87"/>
      <c r="B39" s="490" t="s">
        <v>288</v>
      </c>
      <c r="C39" s="490"/>
      <c r="D39" s="490"/>
      <c r="E39" s="83">
        <f>7.47*E40/(1+10.3*E40)^(5/3)</f>
        <v>6.1970374863139013E-2</v>
      </c>
      <c r="F39" s="87"/>
      <c r="G39" s="486" t="s">
        <v>288</v>
      </c>
      <c r="H39" s="486"/>
      <c r="I39" s="486"/>
      <c r="J39" s="487"/>
      <c r="K39" s="90">
        <f>7.47*K40/(1+10.3*K40)^(5/3)</f>
        <v>6.3292372875814254E-2</v>
      </c>
      <c r="L39" s="87"/>
      <c r="M39" s="486" t="s">
        <v>289</v>
      </c>
      <c r="N39" s="486"/>
      <c r="O39" s="92"/>
      <c r="T39" s="93"/>
      <c r="U39" s="93"/>
      <c r="V39" s="93"/>
    </row>
    <row r="40" spans="1:22" ht="16.5">
      <c r="A40" s="87"/>
      <c r="B40" s="70" t="s">
        <v>290</v>
      </c>
      <c r="C40" s="72"/>
      <c r="D40" s="72"/>
      <c r="E40" s="83">
        <f>H23/E28/H25</f>
        <v>3.6393779818295457</v>
      </c>
      <c r="F40" s="87"/>
      <c r="G40" s="486" t="s">
        <v>290</v>
      </c>
      <c r="H40" s="487"/>
      <c r="I40" s="487"/>
      <c r="J40" s="487"/>
      <c r="K40" s="90">
        <f>H23/K28/H25</f>
        <v>3.518065382435227</v>
      </c>
      <c r="L40" s="87"/>
      <c r="M40" s="486" t="s">
        <v>291</v>
      </c>
      <c r="N40" s="486"/>
      <c r="O40" s="92"/>
      <c r="T40" s="93"/>
      <c r="U40" s="93"/>
      <c r="V40" s="93"/>
    </row>
    <row r="41" spans="1:22" ht="16.5">
      <c r="A41" s="87"/>
      <c r="B41" s="70" t="s">
        <v>292</v>
      </c>
      <c r="C41" s="72"/>
      <c r="D41" s="72"/>
      <c r="E41" s="83">
        <f>4.6*E5/E28/H25</f>
        <v>1.5468093645605696</v>
      </c>
      <c r="F41" s="87"/>
      <c r="G41" s="486" t="s">
        <v>292</v>
      </c>
      <c r="H41" s="487"/>
      <c r="I41" s="487"/>
      <c r="J41" s="487"/>
      <c r="K41" s="90">
        <f>4.6*E5/K28/H25</f>
        <v>1.4952490524085507</v>
      </c>
      <c r="L41" s="87"/>
      <c r="M41" s="486" t="s">
        <v>293</v>
      </c>
      <c r="N41" s="486"/>
      <c r="O41" s="92"/>
      <c r="T41" s="93"/>
      <c r="U41" s="93"/>
      <c r="V41" s="93"/>
    </row>
    <row r="42" spans="1:22" ht="16.5">
      <c r="A42" s="87"/>
      <c r="B42" s="70" t="s">
        <v>294</v>
      </c>
      <c r="C42" s="72"/>
      <c r="D42" s="72"/>
      <c r="E42" s="83">
        <f>4.6*E29/E28/H25</f>
        <v>5.7289235724465541</v>
      </c>
      <c r="F42" s="87"/>
      <c r="G42" s="486" t="s">
        <v>294</v>
      </c>
      <c r="H42" s="487"/>
      <c r="I42" s="487"/>
      <c r="J42" s="487"/>
      <c r="K42" s="90">
        <f>4.6*K29/K28/H25</f>
        <v>11.075918906730003</v>
      </c>
      <c r="L42" s="87"/>
      <c r="M42" s="486" t="s">
        <v>293</v>
      </c>
      <c r="N42" s="486"/>
      <c r="O42" s="92"/>
      <c r="T42" s="93"/>
      <c r="U42" s="93"/>
      <c r="V42" s="93"/>
    </row>
    <row r="43" spans="1:22" ht="15.75">
      <c r="A43" s="87"/>
      <c r="B43" s="70" t="s">
        <v>295</v>
      </c>
      <c r="C43" s="72"/>
      <c r="D43" s="72"/>
      <c r="E43" s="83">
        <f>15.4*E30/E28/H25</f>
        <v>38.358879572033452</v>
      </c>
      <c r="F43" s="87"/>
      <c r="G43" s="486" t="s">
        <v>295</v>
      </c>
      <c r="H43" s="487"/>
      <c r="I43" s="487"/>
      <c r="J43" s="487"/>
      <c r="K43" s="90">
        <f>15.4*K30/K28/H25</f>
        <v>18.540125126482835</v>
      </c>
      <c r="L43" s="87"/>
      <c r="M43" s="486" t="s">
        <v>293</v>
      </c>
      <c r="N43" s="486"/>
      <c r="O43" s="92"/>
    </row>
    <row r="44" spans="1:22">
      <c r="A44" s="87"/>
      <c r="B44" s="70" t="s">
        <v>296</v>
      </c>
      <c r="C44" s="72"/>
      <c r="D44" s="72"/>
      <c r="E44" s="83">
        <f>IF(E41=0,1,(1/E41-(1-EXP(-2*E41))/(2*E41^2)))</f>
        <v>0.44699054338583177</v>
      </c>
      <c r="F44" s="87"/>
      <c r="G44" s="486" t="s">
        <v>296</v>
      </c>
      <c r="H44" s="487"/>
      <c r="I44" s="487"/>
      <c r="J44" s="487"/>
      <c r="K44" s="90">
        <f>IF(K41=0,1,(1/K41-(1-EXP(-2*K41))/(2*K41^2)))</f>
        <v>0.45638879378781028</v>
      </c>
      <c r="L44" s="87"/>
      <c r="M44" s="486" t="s">
        <v>293</v>
      </c>
      <c r="N44" s="486"/>
      <c r="O44" s="92"/>
    </row>
    <row r="45" spans="1:22">
      <c r="A45" s="87"/>
      <c r="B45" s="70" t="s">
        <v>297</v>
      </c>
      <c r="C45" s="72"/>
      <c r="D45" s="72"/>
      <c r="E45" s="83">
        <f>IF(E42=0,1,(1/E42-(1-EXP(-2*E42))/(2*E42^2)))</f>
        <v>0.15931867132505645</v>
      </c>
      <c r="F45" s="87"/>
      <c r="G45" s="486" t="s">
        <v>297</v>
      </c>
      <c r="H45" s="487"/>
      <c r="I45" s="487"/>
      <c r="J45" s="487"/>
      <c r="K45" s="90">
        <f>IF(K42=0,1,(1/K42-(1-EXP(-2*K42))/(2*K42^2)))</f>
        <v>8.6210185065409173E-2</v>
      </c>
      <c r="L45" s="87"/>
      <c r="M45" s="486" t="s">
        <v>293</v>
      </c>
      <c r="N45" s="486"/>
      <c r="O45" s="92"/>
    </row>
    <row r="46" spans="1:22">
      <c r="A46" s="87"/>
      <c r="B46" s="70" t="s">
        <v>298</v>
      </c>
      <c r="C46" s="72"/>
      <c r="D46" s="72"/>
      <c r="E46" s="83">
        <f>IF(E43=0,1,(1/E43-(1-EXP(-2*E43))/(2*E43^2)))</f>
        <v>2.5729771553381429E-2</v>
      </c>
      <c r="F46" s="87"/>
      <c r="G46" s="486" t="s">
        <v>298</v>
      </c>
      <c r="H46" s="487"/>
      <c r="I46" s="487"/>
      <c r="J46" s="487"/>
      <c r="K46" s="90">
        <f>IF(K43=0,1,(1/K43-(1-EXP(-2*K43))/(2*K43^2)))</f>
        <v>5.2482464874613062E-2</v>
      </c>
      <c r="L46" s="87"/>
      <c r="M46" s="486" t="s">
        <v>293</v>
      </c>
      <c r="N46" s="486"/>
      <c r="O46" s="92"/>
    </row>
    <row r="47" spans="1:22">
      <c r="A47" s="64"/>
      <c r="M47" s="94"/>
    </row>
    <row r="48" spans="1:22">
      <c r="M48" s="94"/>
    </row>
    <row r="49" spans="2:13">
      <c r="M49" s="94"/>
    </row>
    <row r="50" spans="2:13">
      <c r="B50" s="488" t="s">
        <v>299</v>
      </c>
      <c r="C50" s="488"/>
      <c r="D50" s="488"/>
      <c r="E50" s="488"/>
      <c r="F50" s="488"/>
      <c r="G50" s="488"/>
      <c r="H50" s="488" t="s">
        <v>300</v>
      </c>
      <c r="I50" s="489"/>
      <c r="J50" s="489"/>
      <c r="K50" s="489"/>
      <c r="L50" s="489"/>
      <c r="M50" s="94"/>
    </row>
    <row r="51" spans="2:13" ht="18.75">
      <c r="B51" s="95" t="s">
        <v>301</v>
      </c>
      <c r="C51" s="95" t="s">
        <v>302</v>
      </c>
      <c r="D51" s="95" t="s">
        <v>303</v>
      </c>
      <c r="E51" s="96" t="s">
        <v>304</v>
      </c>
      <c r="F51" s="95" t="s">
        <v>305</v>
      </c>
      <c r="G51" s="95" t="s">
        <v>306</v>
      </c>
      <c r="H51" s="97" t="s">
        <v>307</v>
      </c>
      <c r="I51" s="95" t="s">
        <v>308</v>
      </c>
      <c r="J51" s="98"/>
      <c r="K51" s="98"/>
      <c r="L51" s="98"/>
      <c r="M51" s="94"/>
    </row>
    <row r="52" spans="2:13" ht="14.25">
      <c r="B52" s="99" t="s">
        <v>48</v>
      </c>
      <c r="C52" s="100" t="s">
        <v>309</v>
      </c>
      <c r="D52" s="99">
        <v>213.36</v>
      </c>
      <c r="E52" s="99">
        <v>2.13</v>
      </c>
      <c r="F52" s="99">
        <v>11.5</v>
      </c>
      <c r="G52" s="99">
        <v>1.99</v>
      </c>
      <c r="H52" s="99">
        <v>0.15</v>
      </c>
      <c r="I52" s="99">
        <v>198.12</v>
      </c>
      <c r="J52" s="101">
        <f>1/8</f>
        <v>0.125</v>
      </c>
      <c r="K52" s="99">
        <v>0.8</v>
      </c>
      <c r="L52" s="101">
        <f>1/9</f>
        <v>0.1111111111111111</v>
      </c>
      <c r="M52" s="94"/>
    </row>
    <row r="53" spans="2:13" ht="14.25">
      <c r="B53" s="99" t="s">
        <v>52</v>
      </c>
      <c r="C53" s="100" t="s">
        <v>310</v>
      </c>
      <c r="D53" s="99">
        <v>274.32</v>
      </c>
      <c r="E53" s="99">
        <v>4.57</v>
      </c>
      <c r="F53" s="99">
        <v>9.5</v>
      </c>
      <c r="G53" s="99">
        <v>1.97</v>
      </c>
      <c r="H53" s="99">
        <v>0.2</v>
      </c>
      <c r="I53" s="99">
        <v>152.4</v>
      </c>
      <c r="J53" s="101">
        <f>1/5</f>
        <v>0.2</v>
      </c>
      <c r="K53" s="99">
        <v>0.65</v>
      </c>
      <c r="L53" s="101">
        <f>1/6.5</f>
        <v>0.15384615384615385</v>
      </c>
    </row>
    <row r="54" spans="2:13" ht="14.25">
      <c r="B54" s="99" t="s">
        <v>56</v>
      </c>
      <c r="C54" s="100" t="s">
        <v>311</v>
      </c>
      <c r="D54" s="99">
        <v>365.76</v>
      </c>
      <c r="E54" s="99">
        <v>9.14</v>
      </c>
      <c r="F54" s="99">
        <v>7</v>
      </c>
      <c r="G54" s="99">
        <v>1.98</v>
      </c>
      <c r="H54" s="99">
        <v>0.3</v>
      </c>
      <c r="I54" s="99">
        <v>97.54</v>
      </c>
      <c r="J54" s="101">
        <f>1/3</f>
        <v>0.33333333333333331</v>
      </c>
      <c r="K54" s="99">
        <v>0.45</v>
      </c>
      <c r="L54" s="101">
        <f>1/4</f>
        <v>0.25</v>
      </c>
    </row>
    <row r="55" spans="2:13"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</row>
    <row r="56" spans="2:13"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</row>
    <row r="57" spans="2:13" ht="15">
      <c r="B57" s="102"/>
      <c r="C57" s="102"/>
      <c r="D57" s="102"/>
      <c r="E57" s="102"/>
      <c r="F57" s="103" t="s">
        <v>27</v>
      </c>
      <c r="G57" s="103">
        <v>0.65</v>
      </c>
      <c r="H57" s="103">
        <v>36</v>
      </c>
      <c r="I57" s="102"/>
      <c r="J57" s="102"/>
      <c r="K57" s="102"/>
      <c r="L57" s="102"/>
    </row>
    <row r="58" spans="2:13" ht="15">
      <c r="B58" s="102"/>
      <c r="C58" s="102"/>
      <c r="D58" s="102"/>
      <c r="E58" s="102"/>
      <c r="F58" s="103" t="s">
        <v>28</v>
      </c>
      <c r="G58" s="103">
        <v>0.95</v>
      </c>
      <c r="H58" s="103">
        <v>44</v>
      </c>
      <c r="I58" s="102"/>
      <c r="J58" s="102"/>
      <c r="K58" s="102"/>
      <c r="L58" s="102"/>
    </row>
    <row r="59" spans="2:13" ht="15">
      <c r="B59" s="102"/>
      <c r="C59" s="102"/>
      <c r="D59" s="102"/>
      <c r="E59" s="102"/>
      <c r="F59" s="103" t="s">
        <v>29</v>
      </c>
      <c r="G59" s="103">
        <v>1.25</v>
      </c>
      <c r="H59" s="103">
        <v>50</v>
      </c>
      <c r="I59" s="102"/>
      <c r="J59" s="102"/>
      <c r="K59" s="102"/>
      <c r="L59" s="102"/>
    </row>
    <row r="60" spans="2:13" ht="15">
      <c r="B60" s="102"/>
      <c r="C60" s="102"/>
      <c r="D60" s="102"/>
      <c r="E60" s="102"/>
      <c r="F60" s="103" t="s">
        <v>30</v>
      </c>
      <c r="G60" s="103">
        <v>1.55</v>
      </c>
      <c r="H60" s="103">
        <v>56</v>
      </c>
      <c r="I60" s="102"/>
      <c r="J60" s="102"/>
      <c r="K60" s="102"/>
      <c r="L60" s="102"/>
    </row>
    <row r="61" spans="2:13" ht="15">
      <c r="B61" s="102"/>
      <c r="C61" s="102"/>
      <c r="D61" s="102"/>
      <c r="E61" s="102"/>
      <c r="F61" s="103" t="s">
        <v>31</v>
      </c>
      <c r="G61" s="103">
        <v>1.85</v>
      </c>
      <c r="H61" s="103">
        <v>61</v>
      </c>
      <c r="I61" s="102"/>
      <c r="J61" s="102"/>
      <c r="K61" s="102"/>
      <c r="L61" s="102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01EA9EE0-3306-4B13-AE65-7ACB4478791A}">
      <formula1>"I,II,III,IV,V"</formula1>
    </dataValidation>
    <dataValidation type="list" allowBlank="1" showInputMessage="1" showErrorMessage="1" sqref="D7" xr:uid="{1DFF0945-E667-4399-8488-A17AB3C3F41E}">
      <formula1>"A,B,C"</formula1>
    </dataValidation>
    <dataValidation type="list" allowBlank="1" showInputMessage="1" showErrorMessage="1" sqref="H8" xr:uid="{FD58E4DE-C9D1-4B2E-861E-64B3F83E7414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81C8-9073-4CEE-A170-59C84E055767}">
  <sheetPr codeName="Sheet3">
    <tabColor rgb="FF0070C0"/>
    <pageSetUpPr fitToPage="1"/>
  </sheetPr>
  <dimension ref="A1:BG144"/>
  <sheetViews>
    <sheetView showGridLines="0" tabSelected="1" view="pageBreakPreview" topLeftCell="A101" zoomScaleNormal="130" zoomScaleSheetLayoutView="100" workbookViewId="0">
      <selection activeCell="AF123" sqref="AF123"/>
    </sheetView>
  </sheetViews>
  <sheetFormatPr defaultRowHeight="12.75" outlineLevelRow="1"/>
  <cols>
    <col min="1" max="1" width="2.5703125" style="2" customWidth="1"/>
    <col min="2" max="2" width="2" style="2" hidden="1" customWidth="1"/>
    <col min="3" max="3" width="6.5703125" style="2" customWidth="1"/>
    <col min="4" max="25" width="4.7109375" style="2" customWidth="1"/>
    <col min="26" max="26" width="5.28515625" style="2" customWidth="1"/>
    <col min="27" max="27" width="2.5703125" style="2" customWidth="1"/>
    <col min="28" max="40" width="8" style="3" customWidth="1"/>
    <col min="41" max="41" width="6.140625" style="3" customWidth="1"/>
    <col min="42" max="52" width="9.140625" style="3" customWidth="1"/>
    <col min="53" max="54" width="9.140625" style="3"/>
    <col min="55" max="56" width="9.140625" style="3" customWidth="1"/>
    <col min="57" max="59" width="32" style="3" customWidth="1"/>
    <col min="60" max="65" width="9.140625" style="3" customWidth="1"/>
    <col min="66" max="16384" width="9.140625" style="3"/>
  </cols>
  <sheetData>
    <row r="1" spans="1:59" hidden="1"/>
    <row r="2" spans="1:59" hidden="1"/>
    <row r="3" spans="1:59" hidden="1"/>
    <row r="4" spans="1:59" hidden="1"/>
    <row r="5" spans="1:59" ht="25.5">
      <c r="B5" s="438" t="s">
        <v>237</v>
      </c>
      <c r="C5" s="438"/>
      <c r="D5" s="438"/>
      <c r="E5" s="438"/>
      <c r="F5" s="438"/>
      <c r="G5" s="438"/>
      <c r="H5" s="438"/>
      <c r="I5" s="438"/>
      <c r="J5" s="438"/>
      <c r="K5" s="438"/>
      <c r="L5" s="438"/>
      <c r="M5" s="438"/>
      <c r="N5" s="438"/>
      <c r="O5" s="438"/>
      <c r="P5" s="438"/>
      <c r="Q5" s="438"/>
      <c r="R5" s="438"/>
      <c r="S5" s="438"/>
      <c r="T5" s="438"/>
      <c r="U5" s="438"/>
      <c r="V5" s="438"/>
      <c r="W5" s="438"/>
      <c r="X5" s="438"/>
      <c r="Y5" s="438"/>
      <c r="Z5" s="438"/>
      <c r="AA5" s="438"/>
      <c r="AI5" s="237" t="s">
        <v>318</v>
      </c>
      <c r="AJ5" s="237"/>
      <c r="AK5" s="237"/>
      <c r="AL5" s="237"/>
      <c r="AM5" s="237"/>
      <c r="AN5" s="237"/>
    </row>
    <row r="6" spans="1:59" ht="12" customHeight="1">
      <c r="A6" s="1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3"/>
      <c r="T6" s="223"/>
      <c r="U6" s="223"/>
      <c r="V6" s="223"/>
      <c r="W6" s="223"/>
      <c r="X6" s="223"/>
      <c r="Y6" s="223"/>
      <c r="Z6" s="223"/>
      <c r="AI6" s="237"/>
      <c r="AJ6" s="237"/>
      <c r="AK6" s="237"/>
      <c r="AL6" s="237"/>
      <c r="AM6" s="237"/>
      <c r="AN6" s="237"/>
    </row>
    <row r="7" spans="1:59" ht="12.75" customHeight="1">
      <c r="A7" s="1"/>
      <c r="C7" s="225" t="s">
        <v>157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31" t="s">
        <v>158</v>
      </c>
      <c r="V7" s="231"/>
      <c r="W7" s="231"/>
      <c r="X7" s="231" t="s">
        <v>159</v>
      </c>
      <c r="Y7" s="231"/>
      <c r="Z7" s="234"/>
      <c r="AB7" s="224" t="s">
        <v>1</v>
      </c>
      <c r="AC7" s="4" t="s">
        <v>2</v>
      </c>
      <c r="AD7" s="4" t="s">
        <v>3</v>
      </c>
      <c r="AE7" s="5" t="s">
        <v>4</v>
      </c>
      <c r="AF7" s="4" t="s">
        <v>5</v>
      </c>
      <c r="AI7" s="237"/>
      <c r="AJ7" s="237"/>
      <c r="AK7" s="237"/>
      <c r="AL7" s="237"/>
      <c r="AM7" s="237"/>
      <c r="AN7" s="237"/>
      <c r="BD7" s="6"/>
      <c r="BE7" s="6" t="s">
        <v>8</v>
      </c>
      <c r="BF7" s="6" t="s">
        <v>1</v>
      </c>
      <c r="BG7" s="6" t="s">
        <v>9</v>
      </c>
    </row>
    <row r="8" spans="1:59" ht="12.75" customHeight="1">
      <c r="A8" s="1"/>
      <c r="B8" s="52"/>
      <c r="C8" s="227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8"/>
      <c r="U8" s="232"/>
      <c r="V8" s="232"/>
      <c r="W8" s="232"/>
      <c r="X8" s="232"/>
      <c r="Y8" s="232"/>
      <c r="Z8" s="235"/>
      <c r="AA8" s="45"/>
      <c r="AB8" s="224"/>
      <c r="AC8" s="4" t="s">
        <v>10</v>
      </c>
      <c r="AD8" s="4" t="s">
        <v>11</v>
      </c>
      <c r="AE8" s="4" t="s">
        <v>12</v>
      </c>
      <c r="AF8" s="4" t="s">
        <v>13</v>
      </c>
      <c r="AI8" s="237"/>
      <c r="AJ8" s="237"/>
      <c r="AK8" s="237"/>
      <c r="AL8" s="237"/>
      <c r="AM8" s="237"/>
      <c r="AN8" s="237"/>
      <c r="BD8" s="6">
        <v>1</v>
      </c>
      <c r="BE8" s="9" t="s">
        <v>19</v>
      </c>
      <c r="BF8" s="9" t="s">
        <v>20</v>
      </c>
      <c r="BG8" s="9" t="s">
        <v>19</v>
      </c>
    </row>
    <row r="9" spans="1:59" ht="12.75" customHeight="1">
      <c r="A9" s="1"/>
      <c r="B9" s="52"/>
      <c r="C9" s="227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32"/>
      <c r="V9" s="232"/>
      <c r="W9" s="232"/>
      <c r="X9" s="232"/>
      <c r="Y9" s="232"/>
      <c r="Z9" s="235"/>
      <c r="AA9" s="45"/>
      <c r="AB9" s="224"/>
      <c r="AC9" s="10"/>
      <c r="AD9" s="10"/>
      <c r="AE9" s="20"/>
      <c r="AF9" s="20"/>
      <c r="AI9" s="237"/>
      <c r="AJ9" s="237"/>
      <c r="AK9" s="237"/>
      <c r="AL9" s="237"/>
      <c r="AM9" s="237"/>
      <c r="AN9" s="237"/>
      <c r="BD9" s="6">
        <f>BD8+1</f>
        <v>2</v>
      </c>
      <c r="BE9" s="9" t="s">
        <v>21</v>
      </c>
      <c r="BF9" s="9" t="s">
        <v>22</v>
      </c>
      <c r="BG9" s="9" t="s">
        <v>21</v>
      </c>
    </row>
    <row r="10" spans="1:59" ht="12.75" customHeight="1">
      <c r="A10" s="1"/>
      <c r="B10" s="52"/>
      <c r="C10" s="229"/>
      <c r="D10" s="230"/>
      <c r="E10" s="230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3"/>
      <c r="V10" s="233"/>
      <c r="W10" s="233"/>
      <c r="X10" s="233"/>
      <c r="Y10" s="233"/>
      <c r="Z10" s="236"/>
      <c r="AA10" s="45"/>
      <c r="AB10" s="224"/>
      <c r="AC10" s="10"/>
      <c r="AD10" s="10"/>
      <c r="AE10" s="20"/>
      <c r="AF10" s="20"/>
      <c r="BD10" s="6">
        <f t="shared" ref="BD10:BD46" si="0">BD9+1</f>
        <v>3</v>
      </c>
      <c r="BE10" s="9" t="s">
        <v>23</v>
      </c>
      <c r="BF10" s="9" t="s">
        <v>24</v>
      </c>
      <c r="BG10" s="9" t="s">
        <v>23</v>
      </c>
    </row>
    <row r="11" spans="1:59" ht="15">
      <c r="A11" s="1"/>
      <c r="B11" s="53"/>
      <c r="C11" s="32"/>
      <c r="D11" s="13"/>
      <c r="E11" s="13"/>
      <c r="F11" s="13"/>
      <c r="G11" s="13"/>
      <c r="H11" s="13"/>
      <c r="I11" s="14" t="str">
        <f>VLOOKUP(9,$BD$8:$BG$106,1+MATCH($AB$7,$BE$7:$BG$7,0))</f>
        <v>Tiêu chuẩn thiết kế:</v>
      </c>
      <c r="J11" s="119" t="str">
        <f>VLOOKUP(10,$BD$8:$BG$106,1+MATCH($AB$7,$BE$7:$BG$7,0))</f>
        <v>TCVN 2737:2023 Tải trọng và tác động - Tiêu chuẩn thiết kế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5"/>
      <c r="AB11" s="10"/>
      <c r="AC11" s="265"/>
      <c r="AD11" s="265"/>
      <c r="AE11" s="265"/>
      <c r="AF11" s="265"/>
      <c r="AG11" s="265"/>
      <c r="BD11" s="6">
        <f t="shared" si="0"/>
        <v>4</v>
      </c>
      <c r="BE11" s="9" t="s">
        <v>25</v>
      </c>
      <c r="BF11" s="9" t="s">
        <v>26</v>
      </c>
      <c r="BG11" s="9" t="s">
        <v>25</v>
      </c>
    </row>
    <row r="12" spans="1:59" ht="15.75" thickBot="1">
      <c r="B12" s="53"/>
      <c r="C12" s="32"/>
      <c r="D12" s="13"/>
      <c r="E12" s="13"/>
      <c r="F12" s="13"/>
      <c r="G12" s="13"/>
      <c r="H12" s="13"/>
      <c r="I12" s="120" t="str">
        <f>IF(AB7=BG7,BF16,"")</f>
        <v/>
      </c>
      <c r="J12" s="13" t="str">
        <f>IF(AB7=BG7,BF17,"")</f>
        <v/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5"/>
      <c r="AB12" s="10"/>
      <c r="AC12" s="18" t="s">
        <v>34</v>
      </c>
      <c r="AD12" s="18" t="s">
        <v>27</v>
      </c>
      <c r="AE12" s="18" t="s">
        <v>28</v>
      </c>
      <c r="AF12" s="18" t="s">
        <v>29</v>
      </c>
      <c r="AG12" s="18" t="s">
        <v>30</v>
      </c>
      <c r="AH12" s="18" t="s">
        <v>31</v>
      </c>
      <c r="BD12" s="6">
        <f t="shared" si="0"/>
        <v>5</v>
      </c>
      <c r="BE12" s="9" t="s">
        <v>32</v>
      </c>
      <c r="BF12" s="9" t="s">
        <v>33</v>
      </c>
      <c r="BG12" s="9" t="s">
        <v>32</v>
      </c>
    </row>
    <row r="13" spans="1:59" ht="15" customHeight="1">
      <c r="B13" s="53"/>
      <c r="C13" s="242" t="str">
        <f>VLOOKUP(12,$BD$8:$BG$106,1+MATCH($AB$7,$BE$7:$BG$7,0))</f>
        <v>DỮ LIỆU CÔNG TRÌNH</v>
      </c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4"/>
      <c r="O13" s="13"/>
      <c r="P13" s="13"/>
      <c r="Q13" s="13"/>
      <c r="R13" s="13"/>
      <c r="S13" s="262" t="str">
        <f>"L = "&amp;M18&amp;" m"</f>
        <v>L = 200 m</v>
      </c>
      <c r="T13" s="55"/>
      <c r="U13" s="57"/>
      <c r="V13" s="56"/>
      <c r="W13" s="57"/>
      <c r="X13" s="13"/>
      <c r="Y13" s="13"/>
      <c r="Z13" s="135"/>
      <c r="AC13" s="18" t="s">
        <v>35</v>
      </c>
      <c r="AD13" s="18">
        <v>0.65</v>
      </c>
      <c r="AE13" s="18">
        <v>0.95</v>
      </c>
      <c r="AF13" s="18">
        <v>1.25</v>
      </c>
      <c r="AG13" s="18">
        <v>1.55</v>
      </c>
      <c r="AH13" s="18">
        <v>1.85</v>
      </c>
      <c r="BD13" s="6">
        <f t="shared" si="0"/>
        <v>6</v>
      </c>
      <c r="BE13" s="9" t="s">
        <v>36</v>
      </c>
      <c r="BF13" s="9" t="s">
        <v>37</v>
      </c>
      <c r="BG13" s="9" t="s">
        <v>36</v>
      </c>
    </row>
    <row r="14" spans="1:59" ht="15">
      <c r="B14" s="53"/>
      <c r="C14" s="266" t="str">
        <f>VLOOKUP(13,$BD$8:$BG$106,1+MATCH($AB$7,$BE$7:$BG$7,0))</f>
        <v>Kết cấu:</v>
      </c>
      <c r="D14" s="267"/>
      <c r="E14" s="267"/>
      <c r="F14" s="267"/>
      <c r="G14" s="141" t="str">
        <f>IF(AB7="VN","Mái dốc 2 phía","Duopitch roofs")</f>
        <v>Mái dốc 2 phía</v>
      </c>
      <c r="H14" s="142"/>
      <c r="I14" s="142"/>
      <c r="J14" s="214" t="str">
        <f>IF(AB7="ENVN"," / Mái dốc 2 phía","")</f>
        <v/>
      </c>
      <c r="K14" s="214"/>
      <c r="L14" s="214"/>
      <c r="M14" s="214"/>
      <c r="N14" s="215"/>
      <c r="O14" s="13"/>
      <c r="P14" s="13"/>
      <c r="Q14" s="13"/>
      <c r="R14" s="13"/>
      <c r="S14" s="262"/>
      <c r="T14" s="58"/>
      <c r="U14" s="59"/>
      <c r="V14" s="13"/>
      <c r="W14" s="59"/>
      <c r="X14" s="13"/>
      <c r="Y14" s="13"/>
      <c r="Z14" s="135"/>
      <c r="BD14" s="6">
        <f t="shared" si="0"/>
        <v>7</v>
      </c>
      <c r="BE14" s="9" t="s">
        <v>38</v>
      </c>
      <c r="BF14" s="9" t="s">
        <v>39</v>
      </c>
      <c r="BG14" s="9" t="s">
        <v>38</v>
      </c>
    </row>
    <row r="15" spans="1:59" ht="15">
      <c r="B15" s="53"/>
      <c r="C15" s="216" t="str">
        <f>VLOOKUP(15,$BD$8:$BG$106,1+MATCH($AB$7,$BE$7:$BG$7,0))</f>
        <v>Loại kết cấu:</v>
      </c>
      <c r="D15" s="217"/>
      <c r="E15" s="217"/>
      <c r="F15" s="217"/>
      <c r="G15" s="218" t="s">
        <v>10</v>
      </c>
      <c r="H15" s="219"/>
      <c r="I15" s="219"/>
      <c r="J15" s="220" t="str">
        <f>IF(AB7&lt;&gt;"EN",VLOOKUP(G15,$AC$7:$AD$8,2,FALSE),"")</f>
        <v>/ Nhà thép</v>
      </c>
      <c r="K15" s="220"/>
      <c r="L15" s="220"/>
      <c r="M15" s="220"/>
      <c r="N15" s="221"/>
      <c r="O15" s="13"/>
      <c r="P15" s="13"/>
      <c r="Q15" s="13"/>
      <c r="R15" s="13"/>
      <c r="S15" s="262"/>
      <c r="T15" s="58"/>
      <c r="U15" s="59"/>
      <c r="V15" s="13"/>
      <c r="W15" s="59"/>
      <c r="X15" s="13"/>
      <c r="Y15" s="13"/>
      <c r="Z15" s="135"/>
      <c r="AC15" s="18" t="s">
        <v>41</v>
      </c>
      <c r="AD15" s="18" t="s">
        <v>42</v>
      </c>
      <c r="AE15" s="18" t="s">
        <v>43</v>
      </c>
      <c r="AF15" s="19" t="s">
        <v>44</v>
      </c>
      <c r="AG15" s="18" t="s">
        <v>45</v>
      </c>
      <c r="BD15" s="6">
        <f t="shared" si="0"/>
        <v>8</v>
      </c>
      <c r="BE15" s="9" t="s">
        <v>46</v>
      </c>
      <c r="BF15" s="9" t="s">
        <v>47</v>
      </c>
      <c r="BG15" s="9" t="s">
        <v>46</v>
      </c>
    </row>
    <row r="16" spans="1:59" ht="15">
      <c r="B16" s="53"/>
      <c r="C16" s="216" t="str">
        <f>VLOOKUP(16,$BD$8:$BG$106,1+MATCH($AB$7,$BE$7:$BG$7,0))</f>
        <v>Loại mái:</v>
      </c>
      <c r="D16" s="217"/>
      <c r="E16" s="217"/>
      <c r="F16" s="217"/>
      <c r="G16" s="218" t="s">
        <v>4</v>
      </c>
      <c r="H16" s="219"/>
      <c r="I16" s="219"/>
      <c r="J16" s="220" t="str">
        <f>IF(AB7&lt;&gt;"EN",VLOOKUP(G16,$AE$7:$AF$10,2,FALSE),"")</f>
        <v>/ Có cạnh sắc</v>
      </c>
      <c r="K16" s="220"/>
      <c r="L16" s="220"/>
      <c r="M16" s="220"/>
      <c r="N16" s="221"/>
      <c r="O16" s="13"/>
      <c r="P16" s="13"/>
      <c r="Q16" s="13"/>
      <c r="R16" s="121" t="str">
        <f>VLOOKUP(46,$BD$8:$BG$106,1+MATCH($AB$7,$BE$7:$BG$7,0))</f>
        <v>Gió X</v>
      </c>
      <c r="S16" s="262"/>
      <c r="T16" s="58"/>
      <c r="U16" s="59"/>
      <c r="V16" s="13"/>
      <c r="W16" s="59"/>
      <c r="X16" s="13"/>
      <c r="Y16" s="13"/>
      <c r="Z16" s="135"/>
      <c r="AC16" s="18" t="s">
        <v>48</v>
      </c>
      <c r="AD16" s="18">
        <v>213.36</v>
      </c>
      <c r="AE16" s="18">
        <v>2.13</v>
      </c>
      <c r="AF16" s="18">
        <v>11.5</v>
      </c>
      <c r="AG16" s="18">
        <v>1.99</v>
      </c>
      <c r="BD16" s="6">
        <f t="shared" si="0"/>
        <v>9</v>
      </c>
      <c r="BE16" s="9" t="s">
        <v>49</v>
      </c>
      <c r="BF16" s="9" t="s">
        <v>50</v>
      </c>
      <c r="BG16" s="9" t="s">
        <v>49</v>
      </c>
    </row>
    <row r="17" spans="2:59" ht="15">
      <c r="B17" s="53"/>
      <c r="C17" s="37"/>
      <c r="G17" s="218" t="s">
        <v>319</v>
      </c>
      <c r="H17" s="218"/>
      <c r="I17" s="218"/>
      <c r="J17" s="218"/>
      <c r="K17" s="218"/>
      <c r="L17" s="218"/>
      <c r="M17" s="218"/>
      <c r="N17" s="476"/>
      <c r="O17" s="13"/>
      <c r="P17" s="13"/>
      <c r="Q17" s="13"/>
      <c r="R17" s="13"/>
      <c r="S17" s="262"/>
      <c r="T17" s="58"/>
      <c r="U17" s="59"/>
      <c r="V17" s="13"/>
      <c r="W17" s="59"/>
      <c r="X17" s="13"/>
      <c r="Y17" s="13"/>
      <c r="Z17" s="135"/>
      <c r="AC17" s="18" t="s">
        <v>52</v>
      </c>
      <c r="AD17" s="18">
        <v>274.32</v>
      </c>
      <c r="AE17" s="18">
        <v>4.57</v>
      </c>
      <c r="AF17" s="18">
        <v>9.5</v>
      </c>
      <c r="AG17" s="18">
        <v>1.97</v>
      </c>
      <c r="BD17" s="6">
        <f t="shared" si="0"/>
        <v>10</v>
      </c>
      <c r="BE17" s="9" t="s">
        <v>53</v>
      </c>
      <c r="BF17" s="9" t="s">
        <v>54</v>
      </c>
      <c r="BG17" s="9" t="s">
        <v>53</v>
      </c>
    </row>
    <row r="18" spans="2:59" ht="15">
      <c r="B18" s="53"/>
      <c r="C18" s="143"/>
      <c r="D18" s="204"/>
      <c r="E18" s="204"/>
      <c r="F18" s="204"/>
      <c r="G18" s="204"/>
      <c r="H18" s="204"/>
      <c r="I18" s="204"/>
      <c r="J18" s="205" t="str">
        <f>VLOOKUP(18,$BD$8:$BG$106,1+MATCH($AB$7,$BE$7:$BG$7,0))</f>
        <v>Chiều dài nhà / mái</v>
      </c>
      <c r="K18" s="257" t="s">
        <v>55</v>
      </c>
      <c r="L18" s="257"/>
      <c r="M18" s="263">
        <v>200</v>
      </c>
      <c r="N18" s="264"/>
      <c r="O18" s="13"/>
      <c r="P18" s="13"/>
      <c r="Q18" s="13"/>
      <c r="R18" s="13"/>
      <c r="S18" s="262"/>
      <c r="T18" s="58"/>
      <c r="U18" s="59"/>
      <c r="V18" s="13"/>
      <c r="W18" s="59"/>
      <c r="X18" s="13"/>
      <c r="Y18" s="13"/>
      <c r="Z18" s="135"/>
      <c r="AC18" s="18" t="s">
        <v>56</v>
      </c>
      <c r="AD18" s="18">
        <v>365.76</v>
      </c>
      <c r="AE18" s="18">
        <v>9.14</v>
      </c>
      <c r="AF18" s="18">
        <v>7</v>
      </c>
      <c r="AG18" s="18">
        <v>1.98</v>
      </c>
      <c r="BD18" s="6">
        <f t="shared" si="0"/>
        <v>11</v>
      </c>
      <c r="BE18" s="9" t="s">
        <v>57</v>
      </c>
      <c r="BF18" s="9" t="s">
        <v>58</v>
      </c>
      <c r="BG18" s="9" t="s">
        <v>57</v>
      </c>
    </row>
    <row r="19" spans="2:59" ht="15">
      <c r="B19" s="53"/>
      <c r="C19" s="143"/>
      <c r="D19" s="204"/>
      <c r="E19" s="204"/>
      <c r="F19" s="204"/>
      <c r="G19" s="204"/>
      <c r="H19" s="204"/>
      <c r="I19" s="204"/>
      <c r="J19" s="205" t="str">
        <f>VLOOKUP(17,$BD$8:$BG$106,1+MATCH($AB$7,$BE$7:$BG$7,0))</f>
        <v>Chiều rộng nhà / mái</v>
      </c>
      <c r="K19" s="257" t="s">
        <v>51</v>
      </c>
      <c r="L19" s="257"/>
      <c r="M19" s="263">
        <v>20</v>
      </c>
      <c r="N19" s="264"/>
      <c r="O19" s="13"/>
      <c r="P19" s="13"/>
      <c r="Q19" s="13"/>
      <c r="R19" s="13"/>
      <c r="S19" s="262"/>
      <c r="T19" s="58"/>
      <c r="U19" s="59"/>
      <c r="V19" s="13"/>
      <c r="W19" s="59"/>
      <c r="X19" s="13"/>
      <c r="Y19" s="13"/>
      <c r="Z19" s="135"/>
      <c r="AB19" s="20"/>
      <c r="AC19" s="20"/>
      <c r="AD19" s="20"/>
      <c r="AE19" s="20"/>
      <c r="AF19" s="20"/>
      <c r="AG19" s="20"/>
      <c r="BD19" s="6">
        <f t="shared" si="0"/>
        <v>12</v>
      </c>
      <c r="BE19" s="9" t="s">
        <v>60</v>
      </c>
      <c r="BF19" s="9" t="s">
        <v>61</v>
      </c>
      <c r="BG19" s="9" t="s">
        <v>62</v>
      </c>
    </row>
    <row r="20" spans="2:59" ht="15.75" thickBot="1">
      <c r="B20" s="53"/>
      <c r="C20" s="143"/>
      <c r="D20" s="204"/>
      <c r="E20" s="204"/>
      <c r="F20" s="204"/>
      <c r="G20" s="204"/>
      <c r="H20" s="204"/>
      <c r="I20" s="204"/>
      <c r="J20" s="205" t="str">
        <f>VLOOKUP(19,$BD$8:$BG$106,1+MATCH($AB$7,$BE$7:$BG$7,0))</f>
        <v>Chiều cao nhà</v>
      </c>
      <c r="K20" s="257" t="s">
        <v>59</v>
      </c>
      <c r="L20" s="257"/>
      <c r="M20" s="258">
        <v>10</v>
      </c>
      <c r="N20" s="259"/>
      <c r="O20" s="13"/>
      <c r="P20" s="13"/>
      <c r="Q20" s="13"/>
      <c r="R20" s="13"/>
      <c r="S20" s="262"/>
      <c r="T20" s="60"/>
      <c r="U20" s="62"/>
      <c r="V20" s="61"/>
      <c r="W20" s="62"/>
      <c r="X20" s="13"/>
      <c r="Y20" s="13"/>
      <c r="Z20" s="135"/>
      <c r="AB20" s="20"/>
      <c r="AH20" s="10"/>
      <c r="BD20" s="6">
        <f t="shared" si="0"/>
        <v>13</v>
      </c>
      <c r="BE20" s="9" t="s">
        <v>63</v>
      </c>
      <c r="BF20" s="9" t="s">
        <v>64</v>
      </c>
      <c r="BG20" s="9" t="s">
        <v>65</v>
      </c>
    </row>
    <row r="21" spans="2:59" ht="18">
      <c r="B21" s="53"/>
      <c r="C21" s="143"/>
      <c r="D21" s="204"/>
      <c r="E21" s="204"/>
      <c r="F21" s="204"/>
      <c r="G21" s="204"/>
      <c r="H21" s="204"/>
      <c r="I21" s="204"/>
      <c r="J21" s="205" t="str">
        <f>VLOOKUP(20,$BD$8:$BG$106,1+MATCH($AB$7,$BE$7:$BG$7,0))</f>
        <v>Chiều cao tường chắn</v>
      </c>
      <c r="K21" s="257" t="s">
        <v>181</v>
      </c>
      <c r="L21" s="257"/>
      <c r="M21" s="258">
        <v>0</v>
      </c>
      <c r="N21" s="259"/>
      <c r="O21" s="13"/>
      <c r="P21" s="13"/>
      <c r="Q21" s="13"/>
      <c r="R21" s="13"/>
      <c r="S21" s="13"/>
      <c r="T21" s="211" t="str">
        <f>"B = "&amp;M19&amp;" m"</f>
        <v>B = 20 m</v>
      </c>
      <c r="U21" s="211"/>
      <c r="V21" s="211"/>
      <c r="W21" s="211"/>
      <c r="X21" s="13"/>
      <c r="Y21" s="13"/>
      <c r="Z21" s="135"/>
      <c r="BD21" s="6">
        <f t="shared" si="0"/>
        <v>14</v>
      </c>
      <c r="BE21" s="9" t="s">
        <v>70</v>
      </c>
      <c r="BF21" s="9" t="s">
        <v>71</v>
      </c>
      <c r="BG21" s="9" t="s">
        <v>70</v>
      </c>
    </row>
    <row r="22" spans="2:59" ht="15">
      <c r="B22" s="53"/>
      <c r="C22" s="143"/>
      <c r="D22" s="204"/>
      <c r="E22" s="204"/>
      <c r="F22" s="204"/>
      <c r="G22" s="204"/>
      <c r="H22" s="204"/>
      <c r="I22" s="204"/>
      <c r="J22" s="205" t="str">
        <f>VLOOKUP(39,$BD$8:$BG$106,1+MATCH($AB$7,$BE$7:$BG$7,0))</f>
        <v>Độ dốc mái</v>
      </c>
      <c r="K22" s="257" t="s">
        <v>72</v>
      </c>
      <c r="L22" s="257"/>
      <c r="M22" s="260">
        <v>0.15</v>
      </c>
      <c r="N22" s="261"/>
      <c r="O22" s="13"/>
      <c r="P22" s="13"/>
      <c r="Q22" s="13"/>
      <c r="R22" s="13"/>
      <c r="S22" s="13"/>
      <c r="T22" s="13"/>
      <c r="U22" s="13"/>
      <c r="W22" s="13"/>
      <c r="X22" s="13"/>
      <c r="Y22" s="13"/>
      <c r="Z22" s="135"/>
      <c r="BD22" s="6">
        <f t="shared" si="0"/>
        <v>15</v>
      </c>
      <c r="BE22" s="9" t="s">
        <v>73</v>
      </c>
      <c r="BF22" s="9" t="s">
        <v>74</v>
      </c>
      <c r="BG22" s="9" t="s">
        <v>75</v>
      </c>
    </row>
    <row r="23" spans="2:59" ht="15">
      <c r="B23" s="53"/>
      <c r="C23" s="144"/>
      <c r="D23" s="145"/>
      <c r="E23" s="145"/>
      <c r="F23" s="145"/>
      <c r="G23" s="145"/>
      <c r="H23" s="145"/>
      <c r="I23" s="145"/>
      <c r="J23" s="146" t="str">
        <f>VLOOKUP(38,$BD$8:$BG$106,1+MATCH($AB$7,$BE$7:$BG$7,0))</f>
        <v>Góc nghiêng mái</v>
      </c>
      <c r="K23" s="238" t="s">
        <v>182</v>
      </c>
      <c r="L23" s="239"/>
      <c r="M23" s="240">
        <f>DEGREES(ATAN(M22))</f>
        <v>8.5307656099481335</v>
      </c>
      <c r="N23" s="241"/>
      <c r="O23" s="13"/>
      <c r="P23" s="13"/>
      <c r="Q23" s="13"/>
      <c r="R23" s="13"/>
      <c r="S23" s="13"/>
      <c r="T23" s="13"/>
      <c r="U23" s="13"/>
      <c r="V23" s="122" t="str">
        <f>VLOOKUP(47,$BD$8:$BG$106,1+MATCH($AB$7,$BE$7:$BG$7,0))</f>
        <v>Gió Y</v>
      </c>
      <c r="W23" s="13"/>
      <c r="X23" s="13"/>
      <c r="Y23" s="13"/>
      <c r="Z23" s="135"/>
      <c r="BD23" s="6">
        <f t="shared" si="0"/>
        <v>16</v>
      </c>
      <c r="BE23" s="22" t="s">
        <v>76</v>
      </c>
      <c r="BF23" s="22" t="s">
        <v>77</v>
      </c>
      <c r="BG23" s="22" t="s">
        <v>78</v>
      </c>
    </row>
    <row r="24" spans="2:59" ht="15">
      <c r="B24" s="53"/>
      <c r="C24" s="242" t="str">
        <f>VLOOKUP(24,$BD$8:$BG$106,1+MATCH($AB$7,$BE$7:$BG$7,0))</f>
        <v>DỮ LIỆU ĐỊA ĐIỂM</v>
      </c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244"/>
      <c r="O24" s="13"/>
      <c r="P24" s="245" t="str">
        <f>VLOOKUP(37,$BD$8:$BG$106,1+MATCH($AB$7,$BE$7:$BG$7,0))</f>
        <v>ÁP LỰC GIÓ TÁC DỤNG LÊN BỀ MẶT:</v>
      </c>
      <c r="Q24" s="246"/>
      <c r="R24" s="246"/>
      <c r="S24" s="246"/>
      <c r="T24" s="246"/>
      <c r="U24" s="246"/>
      <c r="V24" s="246"/>
      <c r="W24" s="246"/>
      <c r="X24" s="246"/>
      <c r="Y24" s="246"/>
      <c r="Z24" s="247"/>
      <c r="AB24" s="203" t="s">
        <v>319</v>
      </c>
      <c r="BD24" s="6">
        <f t="shared" si="0"/>
        <v>17</v>
      </c>
      <c r="BE24" s="9" t="s">
        <v>79</v>
      </c>
      <c r="BF24" s="9" t="s">
        <v>80</v>
      </c>
      <c r="BG24" s="9" t="s">
        <v>81</v>
      </c>
    </row>
    <row r="25" spans="2:59" ht="18">
      <c r="B25" s="53"/>
      <c r="C25" s="248" t="str">
        <f>VLOOKUP(25,$BD$8:$BG$106,1+MATCH($AB$7,$BE$7:$BG$7,0))</f>
        <v>Vùng</v>
      </c>
      <c r="D25" s="249"/>
      <c r="E25" s="250" t="s">
        <v>28</v>
      </c>
      <c r="F25" s="251"/>
      <c r="G25" s="148"/>
      <c r="H25" s="148"/>
      <c r="I25" s="148"/>
      <c r="J25" s="148"/>
      <c r="K25" s="148"/>
      <c r="L25" s="147" t="str">
        <f>VLOOKUP(26,$BD$8:$BG$106,1+MATCH($AB$7,$BE$7:$BG$7,0))</f>
        <v>Dạng địa hình</v>
      </c>
      <c r="M25" s="252" t="s">
        <v>52</v>
      </c>
      <c r="N25" s="253"/>
      <c r="O25" s="13"/>
      <c r="P25" s="254" t="s">
        <v>212</v>
      </c>
      <c r="Q25" s="255"/>
      <c r="R25" s="255"/>
      <c r="S25" s="255"/>
      <c r="T25" s="255"/>
      <c r="U25" s="255"/>
      <c r="V25" s="255"/>
      <c r="W25" s="255"/>
      <c r="X25" s="255"/>
      <c r="Y25" s="255"/>
      <c r="Z25" s="256"/>
      <c r="AB25" s="203" t="s">
        <v>320</v>
      </c>
      <c r="BD25" s="6">
        <f t="shared" si="0"/>
        <v>18</v>
      </c>
      <c r="BE25" s="9" t="s">
        <v>82</v>
      </c>
      <c r="BF25" s="9" t="s">
        <v>83</v>
      </c>
      <c r="BG25" s="9" t="s">
        <v>84</v>
      </c>
    </row>
    <row r="26" spans="2:59" ht="18">
      <c r="B26" s="53"/>
      <c r="C26" s="149"/>
      <c r="D26" s="150" t="s">
        <v>88</v>
      </c>
      <c r="E26" s="275">
        <f>HLOOKUP(E25,$AD$12:$AH$13,2,FALSE)</f>
        <v>0.95</v>
      </c>
      <c r="F26" s="275"/>
      <c r="G26" s="276" t="s">
        <v>177</v>
      </c>
      <c r="H26" s="276"/>
      <c r="I26" s="151" t="s">
        <v>89</v>
      </c>
      <c r="J26" s="275">
        <f>VLOOKUP(M25,$AC$16:$AG$18,2,FALSE)</f>
        <v>274.32</v>
      </c>
      <c r="K26" s="275"/>
      <c r="L26" s="277" t="s">
        <v>90</v>
      </c>
      <c r="M26" s="278"/>
      <c r="N26" s="152">
        <f>VLOOKUP(M25,$AC$16:$AG$18,4,FALSE)</f>
        <v>9.5</v>
      </c>
      <c r="O26" s="13"/>
      <c r="P26" s="254" t="s">
        <v>213</v>
      </c>
      <c r="Q26" s="255"/>
      <c r="R26" s="255"/>
      <c r="S26" s="255"/>
      <c r="T26" s="255"/>
      <c r="U26" s="255"/>
      <c r="V26" s="255"/>
      <c r="W26" s="255"/>
      <c r="X26" s="255"/>
      <c r="Y26" s="255"/>
      <c r="Z26" s="256"/>
      <c r="AB26" s="203" t="s">
        <v>321</v>
      </c>
      <c r="BD26" s="6">
        <f t="shared" si="0"/>
        <v>19</v>
      </c>
      <c r="BE26" s="9" t="s">
        <v>85</v>
      </c>
      <c r="BF26" s="9" t="s">
        <v>86</v>
      </c>
      <c r="BG26" s="9" t="s">
        <v>87</v>
      </c>
    </row>
    <row r="27" spans="2:59" ht="18">
      <c r="B27" s="53"/>
      <c r="C27" s="153"/>
      <c r="D27" s="154" t="s">
        <v>95</v>
      </c>
      <c r="E27" s="279">
        <f>0.852*E26</f>
        <v>0.8093999999999999</v>
      </c>
      <c r="F27" s="279"/>
      <c r="G27" s="280" t="s">
        <v>177</v>
      </c>
      <c r="H27" s="280"/>
      <c r="I27" s="155" t="s">
        <v>96</v>
      </c>
      <c r="J27" s="281">
        <f>VLOOKUP(M25,$AC$16:$AG$18,3,FALSE)</f>
        <v>4.57</v>
      </c>
      <c r="K27" s="281"/>
      <c r="L27" s="281" t="s">
        <v>97</v>
      </c>
      <c r="M27" s="281"/>
      <c r="N27" s="156">
        <f>VLOOKUP(M25,$AC$16:$AG$18,5,FALSE)</f>
        <v>1.97</v>
      </c>
      <c r="O27" s="13"/>
      <c r="P27" s="282" t="s">
        <v>214</v>
      </c>
      <c r="Q27" s="283"/>
      <c r="R27" s="283"/>
      <c r="S27" s="283"/>
      <c r="T27" s="283"/>
      <c r="U27" s="283"/>
      <c r="V27" s="283"/>
      <c r="W27" s="283"/>
      <c r="X27" s="283"/>
      <c r="Y27" s="283"/>
      <c r="Z27" s="284"/>
      <c r="AB27" s="203" t="s">
        <v>322</v>
      </c>
      <c r="BD27" s="6">
        <f t="shared" si="0"/>
        <v>20</v>
      </c>
      <c r="BE27" s="9" t="s">
        <v>92</v>
      </c>
      <c r="BF27" s="22" t="s">
        <v>93</v>
      </c>
      <c r="BG27" s="9" t="s">
        <v>94</v>
      </c>
    </row>
    <row r="28" spans="2:59" ht="15">
      <c r="B28" s="53"/>
      <c r="C28" s="46"/>
      <c r="D28" s="119"/>
      <c r="E28" s="119"/>
      <c r="F28" s="119"/>
      <c r="G28" s="119"/>
      <c r="H28" s="119"/>
      <c r="I28" s="119"/>
      <c r="J28" s="123"/>
      <c r="K28" s="119"/>
      <c r="L28" s="123"/>
      <c r="M28" s="268"/>
      <c r="N28" s="269"/>
      <c r="O28" s="13"/>
      <c r="Z28" s="38"/>
      <c r="BD28" s="6">
        <f t="shared" si="0"/>
        <v>21</v>
      </c>
      <c r="BE28" s="22" t="s">
        <v>98</v>
      </c>
      <c r="BF28" s="9" t="s">
        <v>99</v>
      </c>
      <c r="BG28" s="22" t="s">
        <v>98</v>
      </c>
    </row>
    <row r="29" spans="2:59" ht="15" customHeight="1">
      <c r="B29" s="53"/>
      <c r="C29" s="157" t="str">
        <f>VLOOKUP(54,$BD$8:$BG$106,1+MATCH($AB$7,$BE$7:$BG$7,0))</f>
        <v>Độ hở của tường chắn</v>
      </c>
      <c r="D29" s="158"/>
      <c r="E29" s="158"/>
      <c r="F29" s="158"/>
      <c r="G29" s="158"/>
      <c r="H29" s="158"/>
      <c r="I29" s="158"/>
      <c r="J29" s="158"/>
      <c r="K29" s="158"/>
      <c r="L29" s="159" t="str">
        <f>VLOOKUP(58,$BD$8:$BG$106,1+MATCH($AB$7,$BE$7:$BG$7,0))</f>
        <v>Tải trọng</v>
      </c>
      <c r="M29" s="270" t="s">
        <v>207</v>
      </c>
      <c r="N29" s="271"/>
      <c r="O29" s="271" t="s">
        <v>208</v>
      </c>
      <c r="P29" s="271"/>
      <c r="Q29" s="271" t="s">
        <v>209</v>
      </c>
      <c r="R29" s="271"/>
      <c r="S29" s="271" t="s">
        <v>210</v>
      </c>
      <c r="T29" s="272"/>
      <c r="V29" s="285"/>
      <c r="W29" s="285"/>
      <c r="X29" s="285"/>
      <c r="Y29" s="285"/>
      <c r="Z29" s="286"/>
      <c r="AB29" s="273" t="s">
        <v>178</v>
      </c>
      <c r="AC29" s="274"/>
      <c r="AD29" s="274"/>
      <c r="BD29" s="6">
        <f t="shared" si="0"/>
        <v>22</v>
      </c>
      <c r="BE29" s="9" t="s">
        <v>100</v>
      </c>
      <c r="BF29" s="9" t="s">
        <v>101</v>
      </c>
      <c r="BG29" s="9" t="s">
        <v>100</v>
      </c>
    </row>
    <row r="30" spans="2:59" ht="15">
      <c r="B30" s="53"/>
      <c r="C30" s="160" t="str">
        <f>IF(AB7=BG7,BF61,"")</f>
        <v/>
      </c>
      <c r="D30" s="161"/>
      <c r="E30" s="161"/>
      <c r="F30" s="161"/>
      <c r="G30" s="161"/>
      <c r="H30" s="161"/>
      <c r="I30" s="161"/>
      <c r="J30" s="161"/>
      <c r="K30" s="297" t="s">
        <v>211</v>
      </c>
      <c r="L30" s="298"/>
      <c r="M30" s="299">
        <v>0.05</v>
      </c>
      <c r="N30" s="300"/>
      <c r="O30" s="301">
        <v>0.05</v>
      </c>
      <c r="P30" s="300"/>
      <c r="Q30" s="301">
        <v>0.05</v>
      </c>
      <c r="R30" s="300"/>
      <c r="S30" s="301">
        <v>0.05</v>
      </c>
      <c r="T30" s="302"/>
      <c r="Z30" s="38"/>
      <c r="AB30" s="47">
        <v>0.05</v>
      </c>
      <c r="AC30" s="17">
        <v>0.2</v>
      </c>
      <c r="AD30" s="17">
        <v>-0.2</v>
      </c>
      <c r="AX30" s="28"/>
      <c r="AY30" s="28"/>
      <c r="AZ30" s="28"/>
      <c r="BA30" s="28"/>
      <c r="BB30" s="28"/>
      <c r="BD30" s="6">
        <f t="shared" si="0"/>
        <v>23</v>
      </c>
      <c r="BE30" s="9" t="s">
        <v>102</v>
      </c>
      <c r="BF30" s="9" t="s">
        <v>103</v>
      </c>
      <c r="BG30" s="9" t="s">
        <v>104</v>
      </c>
    </row>
    <row r="31" spans="2:59" ht="18">
      <c r="B31" s="53"/>
      <c r="C31" s="162" t="str">
        <f>VLOOKUP(28,$BD$8:$BG$106,1+MATCH($AB$7,$BE$7:$BG$7,0))</f>
        <v>Hệ số khí động áp lực bên trong</v>
      </c>
      <c r="D31" s="163"/>
      <c r="E31" s="163"/>
      <c r="F31" s="163"/>
      <c r="G31" s="163"/>
      <c r="H31" s="163"/>
      <c r="I31" s="303" t="s">
        <v>225</v>
      </c>
      <c r="J31" s="304"/>
      <c r="K31" s="305" t="str">
        <f>C60</f>
        <v>TH1</v>
      </c>
      <c r="L31" s="305"/>
      <c r="M31" s="306">
        <f>MIN(MAX(2.4*M30+0.08,$AC$30),$AC$31)</f>
        <v>0.2</v>
      </c>
      <c r="N31" s="287"/>
      <c r="O31" s="287">
        <f>MIN(MAX(2.4*O30+0.08,$AC$30),$AC$31)</f>
        <v>0.2</v>
      </c>
      <c r="P31" s="287"/>
      <c r="Q31" s="287">
        <f>MIN(MAX(2.4*Q30+0.08,$AC$30),$AC$31)</f>
        <v>0.2</v>
      </c>
      <c r="R31" s="287"/>
      <c r="S31" s="287">
        <f>MIN(MAX(2.4*S30+0.08,$AC$30),$AC$31)</f>
        <v>0.2</v>
      </c>
      <c r="T31" s="288"/>
      <c r="Z31" s="38"/>
      <c r="AB31" s="47">
        <v>0.3</v>
      </c>
      <c r="AC31" s="17">
        <v>0.8</v>
      </c>
      <c r="AD31" s="17">
        <v>-0.5</v>
      </c>
      <c r="AX31" s="28"/>
      <c r="AY31" s="28"/>
      <c r="AZ31" s="28"/>
      <c r="BA31" s="28"/>
      <c r="BB31" s="28"/>
      <c r="BD31" s="6">
        <f t="shared" si="0"/>
        <v>24</v>
      </c>
      <c r="BE31" s="9" t="s">
        <v>105</v>
      </c>
      <c r="BF31" s="9" t="s">
        <v>106</v>
      </c>
      <c r="BG31" s="9" t="s">
        <v>107</v>
      </c>
    </row>
    <row r="32" spans="2:59" ht="18">
      <c r="B32" s="53"/>
      <c r="C32" s="289" t="str">
        <f>IF(AB7=BG7,BF35,"")</f>
        <v/>
      </c>
      <c r="D32" s="290"/>
      <c r="E32" s="290"/>
      <c r="F32" s="290"/>
      <c r="G32" s="290"/>
      <c r="H32" s="290"/>
      <c r="I32" s="291" t="s">
        <v>225</v>
      </c>
      <c r="J32" s="292"/>
      <c r="K32" s="293" t="str">
        <f>C61</f>
        <v>TH2</v>
      </c>
      <c r="L32" s="293"/>
      <c r="M32" s="294">
        <f>MIN(MAX(-1.2*M30-0.14,$AD$31),$AD$30)</f>
        <v>-0.2</v>
      </c>
      <c r="N32" s="295"/>
      <c r="O32" s="295">
        <f>MIN(MAX(-1.2*O30-0.14,$AD$31),$AD$30)</f>
        <v>-0.2</v>
      </c>
      <c r="P32" s="295"/>
      <c r="Q32" s="295">
        <f>MIN(MAX(-1.2*Q30-0.14,$AD$31),$AD$30)</f>
        <v>-0.2</v>
      </c>
      <c r="R32" s="295"/>
      <c r="S32" s="295">
        <f>MIN(MAX(-1.2*S30-0.14,$AD$31),$AD$30)</f>
        <v>-0.2</v>
      </c>
      <c r="T32" s="296"/>
      <c r="Z32" s="38"/>
      <c r="AX32" s="28"/>
      <c r="AY32" s="28"/>
      <c r="AZ32" s="28"/>
      <c r="BA32" s="28"/>
      <c r="BB32" s="28"/>
      <c r="BD32" s="6">
        <f t="shared" si="0"/>
        <v>25</v>
      </c>
      <c r="BE32" s="9" t="s">
        <v>34</v>
      </c>
      <c r="BF32" s="9" t="s">
        <v>108</v>
      </c>
      <c r="BG32" s="9" t="s">
        <v>109</v>
      </c>
    </row>
    <row r="33" spans="2:59" ht="15">
      <c r="B33" s="53"/>
      <c r="C33" s="3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5"/>
      <c r="BD33" s="6">
        <f t="shared" si="0"/>
        <v>26</v>
      </c>
      <c r="BE33" s="9" t="s">
        <v>110</v>
      </c>
      <c r="BF33" s="9" t="s">
        <v>111</v>
      </c>
      <c r="BG33" s="9" t="s">
        <v>112</v>
      </c>
    </row>
    <row r="34" spans="2:59" ht="15">
      <c r="B34" s="53"/>
      <c r="C34" s="309" t="str">
        <f>VLOOKUP(55,$BD$8:$BG$106,1+MATCH($AB$7,$BE$7:$BG$7,0))</f>
        <v>TÍNH TOÁN ÁP LỰC GIÓ</v>
      </c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1"/>
      <c r="AB34" s="477" t="s">
        <v>324</v>
      </c>
      <c r="AC34" s="477"/>
      <c r="AD34" s="477"/>
      <c r="AE34" s="478" t="s">
        <v>325</v>
      </c>
      <c r="AF34" s="478"/>
      <c r="AG34" s="478"/>
      <c r="AH34" s="478"/>
      <c r="BD34" s="6">
        <f t="shared" si="0"/>
        <v>27</v>
      </c>
      <c r="BE34" s="9" t="s">
        <v>113</v>
      </c>
      <c r="BF34" s="9" t="s">
        <v>114</v>
      </c>
      <c r="BG34" s="9" t="s">
        <v>115</v>
      </c>
    </row>
    <row r="35" spans="2:59" ht="18">
      <c r="B35" s="53"/>
      <c r="C35" s="312" t="str">
        <f>VLOOKUP(56,$BD$8:$BG$106,1+MATCH($AB$7,$BE$7:$BG$7,0))</f>
        <v>PHƯƠNG X</v>
      </c>
      <c r="D35" s="313"/>
      <c r="E35" s="313"/>
      <c r="F35" s="314"/>
      <c r="G35" s="318" t="s">
        <v>188</v>
      </c>
      <c r="H35" s="318"/>
      <c r="I35" s="318" t="s">
        <v>189</v>
      </c>
      <c r="J35" s="318"/>
      <c r="K35" s="319" t="s">
        <v>190</v>
      </c>
      <c r="L35" s="320"/>
      <c r="M35" s="319" t="s">
        <v>192</v>
      </c>
      <c r="N35" s="320"/>
      <c r="O35" s="319" t="s">
        <v>193</v>
      </c>
      <c r="P35" s="320"/>
      <c r="Q35" s="319" t="s">
        <v>191</v>
      </c>
      <c r="R35" s="321"/>
      <c r="U35" s="124"/>
      <c r="V35" s="124"/>
      <c r="W35" s="124"/>
      <c r="X35" s="124"/>
      <c r="Y35" s="124"/>
      <c r="Z35" s="136"/>
      <c r="AB35" s="479" t="s">
        <v>326</v>
      </c>
      <c r="AC35" s="206" t="s">
        <v>327</v>
      </c>
      <c r="AD35" s="164">
        <f>IF(G15="RC building",0.85+M20/2840,0.85+M20/1010)</f>
        <v>0.85990099009900989</v>
      </c>
      <c r="AE35" s="44" t="s">
        <v>325</v>
      </c>
      <c r="AF35" s="206"/>
      <c r="AG35" s="206"/>
      <c r="AH35" s="206"/>
      <c r="BD35" s="6">
        <f t="shared" si="0"/>
        <v>28</v>
      </c>
      <c r="BE35" s="29" t="s">
        <v>116</v>
      </c>
      <c r="BF35" s="9" t="s">
        <v>117</v>
      </c>
      <c r="BG35" s="29" t="s">
        <v>116</v>
      </c>
    </row>
    <row r="36" spans="2:59" ht="15">
      <c r="B36" s="53"/>
      <c r="C36" s="315"/>
      <c r="D36" s="316"/>
      <c r="E36" s="316"/>
      <c r="F36" s="317"/>
      <c r="G36" s="322">
        <f>IF(AE34=AE35,AD35,AD36)</f>
        <v>0.85990099009900989</v>
      </c>
      <c r="H36" s="323"/>
      <c r="I36" s="322">
        <f>M20+IF(G16="With parapets",M21,0)</f>
        <v>10</v>
      </c>
      <c r="J36" s="323"/>
      <c r="K36" s="325" cm="1">
        <f t="array" ref="K36">ze(I36, M36, M20, M25)</f>
        <v>10</v>
      </c>
      <c r="L36" s="326"/>
      <c r="M36" s="325">
        <f>M18</f>
        <v>200</v>
      </c>
      <c r="N36" s="326"/>
      <c r="O36" s="325">
        <f>M19</f>
        <v>20</v>
      </c>
      <c r="P36" s="326"/>
      <c r="Q36" s="325">
        <f>MIN(2.01*(K36/J26)^(2/N26),N27)</f>
        <v>1.0009330064908715</v>
      </c>
      <c r="R36" s="328"/>
      <c r="U36" s="124"/>
      <c r="V36" s="124"/>
      <c r="W36" s="124"/>
      <c r="X36" s="124"/>
      <c r="Y36" s="124"/>
      <c r="Z36" s="136"/>
      <c r="AB36" s="480"/>
      <c r="AC36" s="206" t="s">
        <v>328</v>
      </c>
      <c r="AD36" s="164">
        <f>GustFactor!E33</f>
        <v>0.9438934308721264</v>
      </c>
      <c r="AE36" s="44" t="s">
        <v>329</v>
      </c>
      <c r="AF36" s="206"/>
      <c r="AG36" s="206"/>
      <c r="AH36" s="206"/>
      <c r="BD36" s="6">
        <f t="shared" si="0"/>
        <v>29</v>
      </c>
      <c r="BE36" s="9" t="s">
        <v>118</v>
      </c>
      <c r="BF36" s="9" t="s">
        <v>119</v>
      </c>
      <c r="BG36" s="9" t="s">
        <v>120</v>
      </c>
    </row>
    <row r="37" spans="2:59" ht="15">
      <c r="B37" s="53"/>
      <c r="C37" s="42"/>
      <c r="D37" s="125"/>
      <c r="E37" s="126"/>
      <c r="F37" s="127"/>
      <c r="G37" s="128"/>
      <c r="H37" s="126"/>
      <c r="I37" s="129"/>
      <c r="J37" s="130"/>
      <c r="K37" s="129"/>
      <c r="L37" s="131"/>
      <c r="M37" s="125"/>
      <c r="N37" s="125"/>
      <c r="O37" s="125"/>
      <c r="P37" s="125"/>
      <c r="Q37" s="125"/>
      <c r="R37" s="125"/>
      <c r="U37" s="125"/>
      <c r="V37" s="132"/>
      <c r="W37" s="132"/>
      <c r="X37" s="132"/>
      <c r="Y37" s="132"/>
      <c r="Z37" s="137"/>
      <c r="AB37"/>
      <c r="AC37"/>
      <c r="AD37"/>
      <c r="AE37"/>
      <c r="AF37"/>
      <c r="AG37"/>
      <c r="AH37"/>
      <c r="BD37" s="6">
        <f t="shared" si="0"/>
        <v>30</v>
      </c>
      <c r="BE37" s="9" t="s">
        <v>121</v>
      </c>
      <c r="BF37" s="9" t="s">
        <v>122</v>
      </c>
      <c r="BG37" s="9" t="s">
        <v>123</v>
      </c>
    </row>
    <row r="38" spans="2:59" ht="18">
      <c r="B38" s="53"/>
      <c r="C38" s="307" t="str">
        <f>VLOOKUP(57,$BD$8:$BG$106,1+MATCH($AB$7,$BE$7:$BG$7,0))</f>
        <v>PHƯƠNG Y</v>
      </c>
      <c r="D38" s="307"/>
      <c r="E38" s="307"/>
      <c r="F38" s="307"/>
      <c r="G38" s="308" t="s">
        <v>188</v>
      </c>
      <c r="H38" s="308"/>
      <c r="I38" s="308" t="s">
        <v>189</v>
      </c>
      <c r="J38" s="308"/>
      <c r="K38" s="308" t="s">
        <v>190</v>
      </c>
      <c r="L38" s="308"/>
      <c r="M38" s="308" t="s">
        <v>192</v>
      </c>
      <c r="N38" s="308"/>
      <c r="O38" s="308" t="s">
        <v>193</v>
      </c>
      <c r="P38" s="308"/>
      <c r="Q38" s="308" t="s">
        <v>191</v>
      </c>
      <c r="R38" s="324"/>
      <c r="U38" s="124"/>
      <c r="V38" s="124"/>
      <c r="W38" s="124"/>
      <c r="X38" s="124"/>
      <c r="Y38" s="124"/>
      <c r="Z38" s="136"/>
      <c r="AB38" s="479" t="s">
        <v>330</v>
      </c>
      <c r="AC38" s="206" t="s">
        <v>327</v>
      </c>
      <c r="AD38" s="164">
        <f>IF(G15="RC building",0.85+M20/2840,0.85+M20/1010)</f>
        <v>0.85990099009900989</v>
      </c>
      <c r="AE38" s="481" t="str">
        <f>AE35</f>
        <v>Công thức tính toán sơ bộ theo phụ lục</v>
      </c>
      <c r="AF38" s="482"/>
      <c r="AG38" s="482"/>
      <c r="AH38" s="482"/>
      <c r="BD38" s="6">
        <f t="shared" si="0"/>
        <v>31</v>
      </c>
      <c r="BE38" s="9" t="s">
        <v>124</v>
      </c>
      <c r="BF38" s="9" t="s">
        <v>125</v>
      </c>
      <c r="BG38" s="9" t="s">
        <v>124</v>
      </c>
    </row>
    <row r="39" spans="2:59" ht="15">
      <c r="B39" s="53"/>
      <c r="C39" s="307"/>
      <c r="D39" s="307"/>
      <c r="E39" s="307"/>
      <c r="F39" s="307"/>
      <c r="G39" s="322">
        <f>IF(AE34=AE35,AD38,AD39)</f>
        <v>0.85990099009900989</v>
      </c>
      <c r="H39" s="323"/>
      <c r="I39" s="322">
        <f>M20+IF(G16="With parapets",M21,0)</f>
        <v>10</v>
      </c>
      <c r="J39" s="323"/>
      <c r="K39" s="325" cm="1">
        <f t="array" ref="K39">ze(I39, M39, M20, M25)</f>
        <v>10</v>
      </c>
      <c r="L39" s="326"/>
      <c r="M39" s="327">
        <f>M19</f>
        <v>20</v>
      </c>
      <c r="N39" s="308"/>
      <c r="O39" s="327">
        <f>M18</f>
        <v>200</v>
      </c>
      <c r="P39" s="308"/>
      <c r="Q39" s="325">
        <f>MIN(2.01*(K39/J26)^(2/N26),N27)</f>
        <v>1.0009330064908715</v>
      </c>
      <c r="R39" s="328"/>
      <c r="U39" s="124"/>
      <c r="V39" s="124"/>
      <c r="W39" s="124"/>
      <c r="X39" s="124"/>
      <c r="Y39" s="124"/>
      <c r="Z39" s="136"/>
      <c r="AB39" s="480"/>
      <c r="AC39" s="206" t="s">
        <v>328</v>
      </c>
      <c r="AD39" s="164">
        <f>GustFactor!K33</f>
        <v>0.88580526599160792</v>
      </c>
      <c r="AE39" s="481" t="str">
        <f>AE36</f>
        <v>Công thức tính toán theo sheet bên cạnh</v>
      </c>
      <c r="AF39" s="482"/>
      <c r="AG39" s="482"/>
      <c r="AH39" s="482"/>
      <c r="BD39" s="6">
        <f t="shared" si="0"/>
        <v>32</v>
      </c>
      <c r="BE39" s="9" t="s">
        <v>126</v>
      </c>
      <c r="BF39" s="9" t="s">
        <v>127</v>
      </c>
      <c r="BG39" s="9" t="s">
        <v>128</v>
      </c>
    </row>
    <row r="40" spans="2:59" ht="15">
      <c r="B40" s="53"/>
      <c r="C40" s="3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5"/>
      <c r="BD40" s="6">
        <f t="shared" si="0"/>
        <v>33</v>
      </c>
      <c r="BE40" s="9" t="s">
        <v>129</v>
      </c>
      <c r="BF40" s="9" t="s">
        <v>130</v>
      </c>
      <c r="BG40" s="9" t="s">
        <v>131</v>
      </c>
    </row>
    <row r="41" spans="2:59" ht="15" customHeight="1">
      <c r="B41" s="53"/>
      <c r="C41" s="344" t="str">
        <f>VLOOKUP(40,$BD$8:$BG$106,1+MATCH($AB$7,$BE$7:$BG$7,0))</f>
        <v>TÍNH TOÁN ÁP LỰC GIÓ LÊN MÁI (PHƯƠNG X)</v>
      </c>
      <c r="D41" s="345"/>
      <c r="E41" s="345"/>
      <c r="F41" s="345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5"/>
      <c r="V41" s="345"/>
      <c r="W41" s="345"/>
      <c r="X41" s="346"/>
      <c r="Y41" s="13"/>
      <c r="Z41" s="135"/>
      <c r="AB41" s="347" t="s">
        <v>186</v>
      </c>
      <c r="AC41" s="348"/>
      <c r="AD41" s="348"/>
      <c r="AE41" s="348"/>
      <c r="AF41" s="348"/>
      <c r="AG41" s="348"/>
      <c r="AI41" s="348" t="s">
        <v>187</v>
      </c>
      <c r="AJ41" s="348"/>
      <c r="AK41" s="348"/>
      <c r="AL41" s="348"/>
      <c r="AM41" s="348"/>
      <c r="AN41" s="348"/>
      <c r="BD41" s="6">
        <f t="shared" si="0"/>
        <v>34</v>
      </c>
      <c r="BE41" s="9" t="s">
        <v>132</v>
      </c>
      <c r="BF41" s="9" t="s">
        <v>133</v>
      </c>
      <c r="BG41" s="9" t="s">
        <v>132</v>
      </c>
    </row>
    <row r="42" spans="2:59" ht="15">
      <c r="B42" s="53"/>
      <c r="C42" s="361" t="str">
        <f>VLOOKUP(25,$BD$8:$BG$106,1+MATCH($AB$7,$BE$7:$BG$7,0))</f>
        <v>Vùng</v>
      </c>
      <c r="D42" s="362"/>
      <c r="E42" s="332" t="s">
        <v>204</v>
      </c>
      <c r="F42" s="333"/>
      <c r="G42" s="333"/>
      <c r="H42" s="333"/>
      <c r="I42" s="333"/>
      <c r="J42" s="333"/>
      <c r="K42" s="333"/>
      <c r="L42" s="333"/>
      <c r="M42" s="333"/>
      <c r="N42" s="334"/>
      <c r="O42" s="332" t="s">
        <v>205</v>
      </c>
      <c r="P42" s="333"/>
      <c r="Q42" s="333"/>
      <c r="R42" s="333"/>
      <c r="S42" s="333"/>
      <c r="T42" s="333"/>
      <c r="U42" s="333"/>
      <c r="V42" s="333"/>
      <c r="W42" s="333"/>
      <c r="X42" s="335"/>
      <c r="Y42" s="13"/>
      <c r="Z42" s="135"/>
      <c r="AB42" s="365" t="s">
        <v>6</v>
      </c>
      <c r="AC42" s="337" t="s">
        <v>7</v>
      </c>
      <c r="AD42" s="338"/>
      <c r="AE42" s="338"/>
      <c r="AF42" s="338"/>
      <c r="AG42" s="367"/>
      <c r="AI42" s="376" t="s">
        <v>6</v>
      </c>
      <c r="AJ42" s="378" t="s">
        <v>7</v>
      </c>
      <c r="AK42" s="379"/>
      <c r="AL42" s="379"/>
      <c r="AM42" s="379"/>
      <c r="AN42" s="380"/>
      <c r="BD42" s="6">
        <f t="shared" si="0"/>
        <v>35</v>
      </c>
      <c r="BE42" s="9" t="s">
        <v>118</v>
      </c>
      <c r="BF42" s="9" t="s">
        <v>134</v>
      </c>
      <c r="BG42" s="9" t="s">
        <v>118</v>
      </c>
    </row>
    <row r="43" spans="2:59" ht="15">
      <c r="B43" s="53"/>
      <c r="C43" s="363"/>
      <c r="D43" s="364"/>
      <c r="E43" s="340" t="s">
        <v>67</v>
      </c>
      <c r="F43" s="341"/>
      <c r="G43" s="341" t="s">
        <v>68</v>
      </c>
      <c r="H43" s="341"/>
      <c r="I43" s="341" t="s">
        <v>69</v>
      </c>
      <c r="J43" s="341"/>
      <c r="K43" s="341" t="s">
        <v>27</v>
      </c>
      <c r="L43" s="341"/>
      <c r="M43" s="341" t="s">
        <v>91</v>
      </c>
      <c r="N43" s="342"/>
      <c r="O43" s="340" t="s">
        <v>67</v>
      </c>
      <c r="P43" s="341"/>
      <c r="Q43" s="341" t="s">
        <v>68</v>
      </c>
      <c r="R43" s="341"/>
      <c r="S43" s="341" t="s">
        <v>69</v>
      </c>
      <c r="T43" s="341"/>
      <c r="U43" s="341" t="s">
        <v>27</v>
      </c>
      <c r="V43" s="341"/>
      <c r="W43" s="341" t="s">
        <v>91</v>
      </c>
      <c r="X43" s="343"/>
      <c r="Y43" s="13"/>
      <c r="Z43" s="135"/>
      <c r="AB43" s="366"/>
      <c r="AC43" s="7" t="s">
        <v>14</v>
      </c>
      <c r="AD43" s="7" t="s">
        <v>15</v>
      </c>
      <c r="AE43" s="7" t="s">
        <v>16</v>
      </c>
      <c r="AF43" s="7" t="s">
        <v>17</v>
      </c>
      <c r="AG43" s="39" t="s">
        <v>18</v>
      </c>
      <c r="AI43" s="377"/>
      <c r="AJ43" s="7" t="s">
        <v>14</v>
      </c>
      <c r="AK43" s="7" t="s">
        <v>15</v>
      </c>
      <c r="AL43" s="7" t="s">
        <v>16</v>
      </c>
      <c r="AM43" s="7" t="s">
        <v>17</v>
      </c>
      <c r="AN43" s="7" t="s">
        <v>18</v>
      </c>
      <c r="BD43" s="6">
        <f t="shared" si="0"/>
        <v>36</v>
      </c>
      <c r="BE43" s="9" t="s">
        <v>121</v>
      </c>
      <c r="BF43" s="9" t="s">
        <v>135</v>
      </c>
      <c r="BG43" s="9" t="s">
        <v>121</v>
      </c>
    </row>
    <row r="44" spans="2:59" ht="18">
      <c r="B44" s="53"/>
      <c r="C44" s="143" t="str">
        <f>VLOOKUP(43,$BD$8:$BG$106,1+MATCH($AB$7,$BE$7:$BG$7,0))</f>
        <v>TH1</v>
      </c>
      <c r="D44" s="165" t="s">
        <v>223</v>
      </c>
      <c r="E44" s="349">
        <f>IF(OR($G$17=$AB$27,$G$17=$AB$26),-0.5,AC51)</f>
        <v>-1.4175387620925903</v>
      </c>
      <c r="F44" s="350"/>
      <c r="G44" s="350">
        <f>IF(OR($G$17=$AB$27,$G$17=$AB$26),-0.5,AD51)</f>
        <v>-1.0587694644927979</v>
      </c>
      <c r="H44" s="350"/>
      <c r="I44" s="350">
        <f>IF(OR($G$17=$AB$27,$G$17=$AB$26),-0.5,AE51)</f>
        <v>-0.49407705664634705</v>
      </c>
      <c r="J44" s="350"/>
      <c r="K44" s="350">
        <f>IF(OR($G$17=$AB$27,$G$17=$AB$26),-0.5,AF51)</f>
        <v>-0.52938473224639893</v>
      </c>
      <c r="L44" s="350"/>
      <c r="M44" s="350">
        <f>IF(OR($G$17=$AB$27,$G$17=$AB$26),-0.5,AG51)</f>
        <v>-0.74123060703277588</v>
      </c>
      <c r="N44" s="351"/>
      <c r="O44" s="349">
        <f>IF(OR($G$17=$AB$25,$G$17=$AB$26),-0.5,AC51)</f>
        <v>-1.4175387620925903</v>
      </c>
      <c r="P44" s="350"/>
      <c r="Q44" s="350">
        <f>IF(OR($G$17=$AB$25,$G$17=$AB$26),-0.5,AD51)</f>
        <v>-1.0587694644927979</v>
      </c>
      <c r="R44" s="350"/>
      <c r="S44" s="350">
        <f>IF(OR($G$17=$AB$25,$G$17=$AB$26),-0.5,AE51)</f>
        <v>-0.49407705664634705</v>
      </c>
      <c r="T44" s="350"/>
      <c r="U44" s="350">
        <f>IF(OR($G$17=$AB$25,$G$17=$AB$26),-0.5,AF51)</f>
        <v>-0.52938473224639893</v>
      </c>
      <c r="V44" s="350"/>
      <c r="W44" s="350">
        <f>IF(OR($G$17=$AB$25,$G$17=$AB$26),-0.5,AG51)</f>
        <v>-0.74123060703277588</v>
      </c>
      <c r="X44" s="352"/>
      <c r="Y44" s="13"/>
      <c r="Z44" s="135"/>
      <c r="AB44" s="50">
        <v>-5</v>
      </c>
      <c r="AC44" s="16">
        <v>-2.2999999999999998</v>
      </c>
      <c r="AD44" s="16">
        <v>-1.2</v>
      </c>
      <c r="AE44" s="16">
        <v>-0.8</v>
      </c>
      <c r="AF44" s="11">
        <v>-0.6</v>
      </c>
      <c r="AG44" s="40">
        <v>-0.6</v>
      </c>
      <c r="AI44" s="15">
        <v>-5</v>
      </c>
      <c r="AJ44" s="16">
        <v>-2.2999999999999998</v>
      </c>
      <c r="AK44" s="16">
        <v>-1.2</v>
      </c>
      <c r="AL44" s="16">
        <v>-0.8</v>
      </c>
      <c r="AM44" s="23">
        <v>0.2</v>
      </c>
      <c r="AN44" s="23">
        <v>0.2</v>
      </c>
      <c r="BD44" s="6">
        <f t="shared" si="0"/>
        <v>37</v>
      </c>
      <c r="BE44" s="22" t="s">
        <v>215</v>
      </c>
      <c r="BF44" s="22" t="s">
        <v>216</v>
      </c>
      <c r="BG44" s="22" t="s">
        <v>217</v>
      </c>
    </row>
    <row r="45" spans="2:59" ht="18">
      <c r="B45" s="53"/>
      <c r="C45" s="166" t="str">
        <f>VLOOKUP(44,$BD$8:$BG$106,1+MATCH($AB$7,$BE$7:$BG$7,0))</f>
        <v>TH2</v>
      </c>
      <c r="D45" s="167" t="s">
        <v>223</v>
      </c>
      <c r="E45" s="353">
        <f>IF(OR($G$17=$AB$27,$G$17=$AB$26),-0.5,AJ51)</f>
        <v>7.0615313947200775E-2</v>
      </c>
      <c r="F45" s="354"/>
      <c r="G45" s="354">
        <f>IF(OR($G$17=$AB$27,$G$17=$AB$26),-0.5,AK51)</f>
        <v>7.0615313947200775E-2</v>
      </c>
      <c r="H45" s="354"/>
      <c r="I45" s="354">
        <f>IF(OR($G$17=$AB$27,$G$17=$AB$26),-0.5,AL51)</f>
        <v>7.0615313947200775E-2</v>
      </c>
      <c r="J45" s="354"/>
      <c r="K45" s="354">
        <f>IF(OR($G$17=$AB$27,$G$17=$AB$26),-0.5,AM51)</f>
        <v>-0.38815408945083618</v>
      </c>
      <c r="L45" s="354"/>
      <c r="M45" s="354">
        <f>IF(OR($G$17=$AB$27,$G$17=$AB$26),-0.5,AN51)</f>
        <v>0.12938469648361206</v>
      </c>
      <c r="N45" s="355"/>
      <c r="O45" s="353">
        <f>IF(OR($G$17=$AB$25,$G$17=$AB$26),-0.5,AJ51)</f>
        <v>7.0615313947200775E-2</v>
      </c>
      <c r="P45" s="354"/>
      <c r="Q45" s="354">
        <f>IF(OR($G$17=$AB$25,$G$17=$AB$26),-0.5,AK51)</f>
        <v>7.0615313947200775E-2</v>
      </c>
      <c r="R45" s="354"/>
      <c r="S45" s="354">
        <f>IF(OR($G$17=$AB$25,$G$17=$AB$26),-0.5,AL51)</f>
        <v>7.0615313947200775E-2</v>
      </c>
      <c r="T45" s="354"/>
      <c r="U45" s="354">
        <f>IF(OR($G$17=$AB$25,$G$17=$AB$26),-0.5,AM51)</f>
        <v>-0.38815408945083618</v>
      </c>
      <c r="V45" s="354"/>
      <c r="W45" s="354">
        <f>IF(OR($G$17=$AB$25,$G$17=$AB$26),-0.5,AN51)</f>
        <v>0.12938469648361206</v>
      </c>
      <c r="X45" s="356"/>
      <c r="Y45" s="13"/>
      <c r="Z45" s="135"/>
      <c r="AB45" s="50">
        <v>5</v>
      </c>
      <c r="AC45" s="11">
        <v>-1.7</v>
      </c>
      <c r="AD45" s="11">
        <v>-1.2</v>
      </c>
      <c r="AE45" s="11">
        <v>-0.6</v>
      </c>
      <c r="AF45" s="16">
        <v>-0.6</v>
      </c>
      <c r="AG45" s="40">
        <v>-0.6</v>
      </c>
      <c r="AI45" s="15">
        <v>5</v>
      </c>
      <c r="AJ45" s="23">
        <v>0</v>
      </c>
      <c r="AK45" s="16">
        <v>0</v>
      </c>
      <c r="AL45" s="16">
        <v>0</v>
      </c>
      <c r="AM45" s="108">
        <v>-0.6</v>
      </c>
      <c r="AN45" s="23">
        <v>0.2</v>
      </c>
      <c r="BD45" s="6">
        <f t="shared" si="0"/>
        <v>38</v>
      </c>
      <c r="BE45" s="9" t="s">
        <v>136</v>
      </c>
      <c r="BF45" s="9" t="s">
        <v>137</v>
      </c>
      <c r="BG45" s="9" t="s">
        <v>138</v>
      </c>
    </row>
    <row r="46" spans="2:59" ht="18">
      <c r="B46" s="53"/>
      <c r="C46" s="168" t="str">
        <f>VLOOKUP(43,$BD$8:$BG$106,1+MATCH($AB$7,$BE$7:$BG$7,0))</f>
        <v>TH1</v>
      </c>
      <c r="D46" s="169" t="s">
        <v>183</v>
      </c>
      <c r="E46" s="357">
        <f>$E$27*$Q$36*E44*$G$36</f>
        <v>-0.98753296790273581</v>
      </c>
      <c r="F46" s="358"/>
      <c r="G46" s="358">
        <f t="shared" ref="G46" si="1">$E$27*$Q$36*G44*$G$36</f>
        <v>-0.73759517521191331</v>
      </c>
      <c r="H46" s="358"/>
      <c r="I46" s="358">
        <f t="shared" ref="I46" si="2">$E$27*$Q$36*I44*$G$36</f>
        <v>-0.34420038109035189</v>
      </c>
      <c r="J46" s="358"/>
      <c r="K46" s="358">
        <f t="shared" ref="K46" si="3">$E$27*$Q$36*K44*$G$36</f>
        <v>-0.36879758760595666</v>
      </c>
      <c r="L46" s="358"/>
      <c r="M46" s="358">
        <f t="shared" ref="M46" si="4">$E$27*$Q$36*M44*$G$36</f>
        <v>-0.51638070212827925</v>
      </c>
      <c r="N46" s="359"/>
      <c r="O46" s="357">
        <f t="shared" ref="O46" si="5">$E$27*$Q$36*O44*$G$36</f>
        <v>-0.98753296790273581</v>
      </c>
      <c r="P46" s="358"/>
      <c r="Q46" s="358">
        <f t="shared" ref="Q46" si="6">$E$27*$Q$36*Q44*$G$36</f>
        <v>-0.73759517521191331</v>
      </c>
      <c r="R46" s="358"/>
      <c r="S46" s="358">
        <f t="shared" ref="S46" si="7">$E$27*$Q$36*S44*$G$36</f>
        <v>-0.34420038109035189</v>
      </c>
      <c r="T46" s="358"/>
      <c r="U46" s="358">
        <f t="shared" ref="U46" si="8">$E$27*$Q$36*U44*$G$36</f>
        <v>-0.36879758760595666</v>
      </c>
      <c r="V46" s="358"/>
      <c r="W46" s="358">
        <f t="shared" ref="W46" si="9">$E$27*$Q$36*W44*$G$36</f>
        <v>-0.51638070212827925</v>
      </c>
      <c r="X46" s="360"/>
      <c r="Y46" s="13"/>
      <c r="Z46" s="135"/>
      <c r="AB46" s="50">
        <v>15</v>
      </c>
      <c r="AC46" s="11">
        <v>-0.9</v>
      </c>
      <c r="AD46" s="11">
        <v>-0.8</v>
      </c>
      <c r="AE46" s="11">
        <v>-0.3</v>
      </c>
      <c r="AF46" s="16">
        <v>-0.4</v>
      </c>
      <c r="AG46" s="41">
        <v>-1</v>
      </c>
      <c r="AI46" s="15">
        <v>15</v>
      </c>
      <c r="AJ46" s="23">
        <v>0.2</v>
      </c>
      <c r="AK46" s="23">
        <v>0.2</v>
      </c>
      <c r="AL46" s="23">
        <v>0.2</v>
      </c>
      <c r="AM46" s="16">
        <v>0</v>
      </c>
      <c r="AN46" s="16">
        <v>0</v>
      </c>
      <c r="BD46" s="6">
        <f t="shared" si="0"/>
        <v>39</v>
      </c>
      <c r="BE46" s="9" t="s">
        <v>139</v>
      </c>
      <c r="BF46" s="9" t="s">
        <v>140</v>
      </c>
      <c r="BG46" s="9" t="s">
        <v>141</v>
      </c>
    </row>
    <row r="47" spans="2:59" ht="18">
      <c r="B47" s="53"/>
      <c r="C47" s="166" t="str">
        <f>VLOOKUP(44,$BD$8:$BG$106,1+MATCH($AB$7,$BE$7:$BG$7,0))</f>
        <v>TH2</v>
      </c>
      <c r="D47" s="170" t="s">
        <v>183</v>
      </c>
      <c r="E47" s="353">
        <f>$E$27*$Q$36*E45*$G$36</f>
        <v>4.9194387078854152E-2</v>
      </c>
      <c r="F47" s="354"/>
      <c r="G47" s="354">
        <f t="shared" ref="G47" si="10">$E$27*$Q$36*G45*$G$36</f>
        <v>4.9194387078854152E-2</v>
      </c>
      <c r="H47" s="354"/>
      <c r="I47" s="354">
        <f t="shared" ref="I47" si="11">$E$27*$Q$36*I45*$G$36</f>
        <v>4.9194387078854152E-2</v>
      </c>
      <c r="J47" s="354"/>
      <c r="K47" s="354">
        <f t="shared" ref="K47" si="12">$E$27*$Q$36*K45*$G$36</f>
        <v>-0.27040880306730619</v>
      </c>
      <c r="L47" s="354"/>
      <c r="M47" s="354">
        <f t="shared" ref="M47" si="13">$E$27*$Q$36*M45*$G$36</f>
        <v>9.0136267689102059E-2</v>
      </c>
      <c r="N47" s="355"/>
      <c r="O47" s="353">
        <f t="shared" ref="O47" si="14">$E$27*$Q$36*O45*$G$36</f>
        <v>4.9194387078854152E-2</v>
      </c>
      <c r="P47" s="354"/>
      <c r="Q47" s="354">
        <f t="shared" ref="Q47" si="15">$E$27*$Q$36*Q45*$G$36</f>
        <v>4.9194387078854152E-2</v>
      </c>
      <c r="R47" s="354"/>
      <c r="S47" s="354">
        <f t="shared" ref="S47" si="16">$E$27*$Q$36*S45*$G$36</f>
        <v>4.9194387078854152E-2</v>
      </c>
      <c r="T47" s="354"/>
      <c r="U47" s="354">
        <f t="shared" ref="U47" si="17">$E$27*$Q$36*U45*$G$36</f>
        <v>-0.27040880306730619</v>
      </c>
      <c r="V47" s="354"/>
      <c r="W47" s="354">
        <f t="shared" ref="W47" si="18">$E$27*$Q$36*W45*$G$36</f>
        <v>9.0136267689102059E-2</v>
      </c>
      <c r="X47" s="356"/>
      <c r="Y47" s="13"/>
      <c r="Z47" s="135"/>
      <c r="AB47" s="50">
        <v>30</v>
      </c>
      <c r="AC47" s="11">
        <v>-0.5</v>
      </c>
      <c r="AD47" s="11">
        <v>-0.5</v>
      </c>
      <c r="AE47" s="11">
        <v>-0.2</v>
      </c>
      <c r="AF47" s="16">
        <v>-0.4</v>
      </c>
      <c r="AG47" s="41">
        <v>-0.5</v>
      </c>
      <c r="AI47" s="24">
        <v>30</v>
      </c>
      <c r="AJ47" s="25">
        <v>0.7</v>
      </c>
      <c r="AK47" s="23">
        <v>0.7</v>
      </c>
      <c r="AL47" s="23">
        <v>0.4</v>
      </c>
      <c r="AM47" s="16">
        <v>0</v>
      </c>
      <c r="AN47" s="16">
        <v>0</v>
      </c>
      <c r="BD47" s="6">
        <v>40</v>
      </c>
      <c r="BE47" s="9" t="s">
        <v>142</v>
      </c>
      <c r="BF47" s="9" t="s">
        <v>143</v>
      </c>
      <c r="BG47" s="9" t="s">
        <v>144</v>
      </c>
    </row>
    <row r="48" spans="2:59" ht="18">
      <c r="B48" s="53"/>
      <c r="C48" s="168" t="str">
        <f>VLOOKUP(43,$BD$8:$BG$106,1+MATCH($AB$7,$BE$7:$BG$7,0))</f>
        <v>TH1</v>
      </c>
      <c r="D48" s="171" t="s">
        <v>224</v>
      </c>
      <c r="E48" s="357">
        <f>$M$31</f>
        <v>0.2</v>
      </c>
      <c r="F48" s="358"/>
      <c r="G48" s="358">
        <f t="shared" ref="G48" si="19">$M$31</f>
        <v>0.2</v>
      </c>
      <c r="H48" s="358"/>
      <c r="I48" s="358">
        <f t="shared" ref="I48" si="20">$M$31</f>
        <v>0.2</v>
      </c>
      <c r="J48" s="358"/>
      <c r="K48" s="358">
        <f t="shared" ref="K48" si="21">$M$31</f>
        <v>0.2</v>
      </c>
      <c r="L48" s="358"/>
      <c r="M48" s="358">
        <f t="shared" ref="M48" si="22">$M$31</f>
        <v>0.2</v>
      </c>
      <c r="N48" s="359"/>
      <c r="O48" s="357">
        <f>$O$31</f>
        <v>0.2</v>
      </c>
      <c r="P48" s="358"/>
      <c r="Q48" s="358">
        <f t="shared" ref="Q48" si="23">$O$31</f>
        <v>0.2</v>
      </c>
      <c r="R48" s="358"/>
      <c r="S48" s="358">
        <f t="shared" ref="S48" si="24">$O$31</f>
        <v>0.2</v>
      </c>
      <c r="T48" s="358"/>
      <c r="U48" s="358">
        <f t="shared" ref="U48" si="25">$O$31</f>
        <v>0.2</v>
      </c>
      <c r="V48" s="358"/>
      <c r="W48" s="358">
        <f t="shared" ref="W48" si="26">$O$31</f>
        <v>0.2</v>
      </c>
      <c r="X48" s="360"/>
      <c r="Y48" s="13"/>
      <c r="Z48" s="135"/>
      <c r="AB48" s="50">
        <v>45</v>
      </c>
      <c r="AC48" s="11">
        <v>0</v>
      </c>
      <c r="AD48" s="11">
        <v>0</v>
      </c>
      <c r="AE48" s="11">
        <v>0</v>
      </c>
      <c r="AF48" s="11">
        <v>-0.2</v>
      </c>
      <c r="AG48" s="40">
        <v>-0.3</v>
      </c>
      <c r="AI48" s="24">
        <v>45</v>
      </c>
      <c r="AJ48" s="25">
        <v>0.7</v>
      </c>
      <c r="AK48" s="23">
        <v>0.7</v>
      </c>
      <c r="AL48" s="23">
        <v>0.6</v>
      </c>
      <c r="AM48" s="23">
        <v>0</v>
      </c>
      <c r="AN48" s="23">
        <v>0</v>
      </c>
      <c r="BD48" s="6">
        <v>41</v>
      </c>
      <c r="BE48" s="9" t="s">
        <v>146</v>
      </c>
      <c r="BF48" s="9" t="s">
        <v>147</v>
      </c>
      <c r="BG48" s="9" t="s">
        <v>148</v>
      </c>
    </row>
    <row r="49" spans="2:59" ht="18">
      <c r="B49" s="53"/>
      <c r="C49" s="166" t="str">
        <f>VLOOKUP(44,$BD$8:$BG$106,1+MATCH($AB$7,$BE$7:$BG$7,0))</f>
        <v>TH2</v>
      </c>
      <c r="D49" s="167" t="s">
        <v>224</v>
      </c>
      <c r="E49" s="353">
        <f>$M$32</f>
        <v>-0.2</v>
      </c>
      <c r="F49" s="354"/>
      <c r="G49" s="354">
        <f t="shared" ref="G49" si="27">$M$32</f>
        <v>-0.2</v>
      </c>
      <c r="H49" s="354"/>
      <c r="I49" s="354">
        <f t="shared" ref="I49" si="28">$M$32</f>
        <v>-0.2</v>
      </c>
      <c r="J49" s="354"/>
      <c r="K49" s="354">
        <f t="shared" ref="K49" si="29">$M$32</f>
        <v>-0.2</v>
      </c>
      <c r="L49" s="354"/>
      <c r="M49" s="354">
        <f t="shared" ref="M49" si="30">$M$32</f>
        <v>-0.2</v>
      </c>
      <c r="N49" s="355"/>
      <c r="O49" s="353">
        <f>$O$32</f>
        <v>-0.2</v>
      </c>
      <c r="P49" s="354"/>
      <c r="Q49" s="354">
        <f t="shared" ref="Q49" si="31">$O$32</f>
        <v>-0.2</v>
      </c>
      <c r="R49" s="354"/>
      <c r="S49" s="354">
        <f t="shared" ref="S49" si="32">$O$32</f>
        <v>-0.2</v>
      </c>
      <c r="T49" s="354"/>
      <c r="U49" s="354">
        <f t="shared" ref="U49" si="33">$O$32</f>
        <v>-0.2</v>
      </c>
      <c r="V49" s="354"/>
      <c r="W49" s="354">
        <f t="shared" ref="W49" si="34">$O$32</f>
        <v>-0.2</v>
      </c>
      <c r="X49" s="356"/>
      <c r="Y49" s="13"/>
      <c r="Z49" s="135"/>
      <c r="AB49" s="51">
        <v>60</v>
      </c>
      <c r="AC49" s="11">
        <v>0.7</v>
      </c>
      <c r="AD49" s="11">
        <v>0.7</v>
      </c>
      <c r="AE49" s="11">
        <v>0.7</v>
      </c>
      <c r="AF49" s="11">
        <v>-0.2</v>
      </c>
      <c r="AG49" s="40">
        <v>-0.3</v>
      </c>
      <c r="AI49" s="26">
        <v>60</v>
      </c>
      <c r="AJ49" s="23">
        <v>0.7</v>
      </c>
      <c r="AK49" s="23">
        <v>0.7</v>
      </c>
      <c r="AL49" s="23">
        <v>0.7</v>
      </c>
      <c r="AM49" s="23">
        <v>-0.2</v>
      </c>
      <c r="AN49" s="23">
        <v>-0.3</v>
      </c>
      <c r="BD49" s="6">
        <v>42</v>
      </c>
      <c r="BE49" s="9" t="s">
        <v>149</v>
      </c>
      <c r="BF49" s="9" t="s">
        <v>150</v>
      </c>
      <c r="BG49" s="9" t="s">
        <v>151</v>
      </c>
    </row>
    <row r="50" spans="2:59" ht="18">
      <c r="B50" s="53"/>
      <c r="C50" s="168" t="str">
        <f>VLOOKUP(43,$BD$8:$BG$106,1+MATCH($AB$7,$BE$7:$BG$7,0))</f>
        <v>TH1</v>
      </c>
      <c r="D50" s="169" t="s">
        <v>184</v>
      </c>
      <c r="E50" s="357">
        <f>$E$27*$Q$36*E48*$G$36</f>
        <v>0.1393306475012967</v>
      </c>
      <c r="F50" s="358"/>
      <c r="G50" s="358">
        <f t="shared" ref="G50" si="35">$E$27*$Q$36*G48*$G$36</f>
        <v>0.1393306475012967</v>
      </c>
      <c r="H50" s="358"/>
      <c r="I50" s="358">
        <f t="shared" ref="I50" si="36">$E$27*$Q$36*I48*$G$36</f>
        <v>0.1393306475012967</v>
      </c>
      <c r="J50" s="358"/>
      <c r="K50" s="358">
        <f t="shared" ref="K50" si="37">$E$27*$Q$36*K48*$G$36</f>
        <v>0.1393306475012967</v>
      </c>
      <c r="L50" s="358"/>
      <c r="M50" s="358">
        <f t="shared" ref="M50" si="38">$E$27*$Q$36*M48*$G$36</f>
        <v>0.1393306475012967</v>
      </c>
      <c r="N50" s="359"/>
      <c r="O50" s="357">
        <f t="shared" ref="O50" si="39">$E$27*$Q$36*O48*$G$36</f>
        <v>0.1393306475012967</v>
      </c>
      <c r="P50" s="358"/>
      <c r="Q50" s="358">
        <f t="shared" ref="Q50" si="40">$E$27*$Q$36*Q48*$G$36</f>
        <v>0.1393306475012967</v>
      </c>
      <c r="R50" s="358"/>
      <c r="S50" s="358">
        <f t="shared" ref="S50" si="41">$E$27*$Q$36*S48*$G$36</f>
        <v>0.1393306475012967</v>
      </c>
      <c r="T50" s="358"/>
      <c r="U50" s="358">
        <f t="shared" ref="U50" si="42">$E$27*$Q$36*U48*$G$36</f>
        <v>0.1393306475012967</v>
      </c>
      <c r="V50" s="358"/>
      <c r="W50" s="358">
        <f t="shared" ref="W50" si="43">$E$27*$Q$36*W48*$G$36</f>
        <v>0.1393306475012967</v>
      </c>
      <c r="X50" s="360"/>
      <c r="Y50" s="13"/>
      <c r="Z50" s="135"/>
      <c r="AB50" s="50">
        <v>75</v>
      </c>
      <c r="AC50" s="16">
        <v>0.8</v>
      </c>
      <c r="AD50" s="16">
        <v>0.8</v>
      </c>
      <c r="AE50" s="16">
        <v>0.8</v>
      </c>
      <c r="AF50" s="16">
        <v>-0.2</v>
      </c>
      <c r="AG50" s="41">
        <v>-0.3</v>
      </c>
      <c r="AI50" s="27">
        <v>75</v>
      </c>
      <c r="AJ50" s="23">
        <v>0.8</v>
      </c>
      <c r="AK50" s="23">
        <v>0.8</v>
      </c>
      <c r="AL50" s="23">
        <v>0.8</v>
      </c>
      <c r="AM50" s="23">
        <v>-0.2</v>
      </c>
      <c r="AN50" s="23">
        <v>-0.3</v>
      </c>
      <c r="BD50" s="6">
        <v>43</v>
      </c>
      <c r="BE50" s="9" t="s">
        <v>118</v>
      </c>
      <c r="BF50" s="9" t="s">
        <v>134</v>
      </c>
      <c r="BG50" s="9" t="s">
        <v>118</v>
      </c>
    </row>
    <row r="51" spans="2:59" ht="18">
      <c r="B51" s="53"/>
      <c r="C51" s="166" t="str">
        <f>VLOOKUP(44,$BD$8:$BG$106,1+MATCH($AB$7,$BE$7:$BG$7,0))</f>
        <v>TH2</v>
      </c>
      <c r="D51" s="170" t="s">
        <v>184</v>
      </c>
      <c r="E51" s="353">
        <f t="shared" ref="E51" si="44">$E$27*$Q$36*E49*$G$36</f>
        <v>-0.1393306475012967</v>
      </c>
      <c r="F51" s="354"/>
      <c r="G51" s="354">
        <f t="shared" ref="G51" si="45">$E$27*$Q$36*G49*$G$36</f>
        <v>-0.1393306475012967</v>
      </c>
      <c r="H51" s="354"/>
      <c r="I51" s="354">
        <f t="shared" ref="I51" si="46">$E$27*$Q$36*I49*$G$36</f>
        <v>-0.1393306475012967</v>
      </c>
      <c r="J51" s="354"/>
      <c r="K51" s="354">
        <f t="shared" ref="K51" si="47">$E$27*$Q$36*K49*$G$36</f>
        <v>-0.1393306475012967</v>
      </c>
      <c r="L51" s="354"/>
      <c r="M51" s="354">
        <f t="shared" ref="M51" si="48">$E$27*$Q$36*M49*$G$36</f>
        <v>-0.1393306475012967</v>
      </c>
      <c r="N51" s="355"/>
      <c r="O51" s="353">
        <f t="shared" ref="O51" si="49">$E$27*$Q$36*O49*$G$36</f>
        <v>-0.1393306475012967</v>
      </c>
      <c r="P51" s="354"/>
      <c r="Q51" s="354">
        <f t="shared" ref="Q51" si="50">$E$27*$Q$36*Q49*$G$36</f>
        <v>-0.1393306475012967</v>
      </c>
      <c r="R51" s="354"/>
      <c r="S51" s="354">
        <f t="shared" ref="S51" si="51">$E$27*$Q$36*S49*$G$36</f>
        <v>-0.1393306475012967</v>
      </c>
      <c r="T51" s="354"/>
      <c r="U51" s="354">
        <f t="shared" ref="U51" si="52">$E$27*$Q$36*U49*$G$36</f>
        <v>-0.1393306475012967</v>
      </c>
      <c r="V51" s="354"/>
      <c r="W51" s="354">
        <f t="shared" ref="W51" si="53">$E$27*$Q$36*W49*$G$36</f>
        <v>-0.1393306475012967</v>
      </c>
      <c r="X51" s="356"/>
      <c r="Y51" s="13"/>
      <c r="Z51" s="135"/>
      <c r="AB51" s="49">
        <f>M23</f>
        <v>8.5307656099481335</v>
      </c>
      <c r="AC51" s="21">
        <f>noisuy1chieu($AB$51,$AB$44:$AB$50,AC44:AC50)</f>
        <v>-1.4175387620925903</v>
      </c>
      <c r="AD51" s="21">
        <f>noisuy1chieu($AB$51,$AB$44:$AB$50,AD44:AD50)</f>
        <v>-1.0587694644927979</v>
      </c>
      <c r="AE51" s="21">
        <f>noisuy1chieu($AB$51,$AB$44:$AB$50,AE44:AE50)</f>
        <v>-0.49407705664634705</v>
      </c>
      <c r="AF51" s="21">
        <f>noisuy1chieu($AB$51,$AB$44:$AB$50,AF44:AF50)</f>
        <v>-0.52938473224639893</v>
      </c>
      <c r="AG51" s="21">
        <f>noisuy1chieu($AB$51,$AB$44:$AB$50,AG44:AG50)</f>
        <v>-0.74123060703277588</v>
      </c>
      <c r="AI51" s="21">
        <f>M23</f>
        <v>8.5307656099481335</v>
      </c>
      <c r="AJ51" s="21">
        <f>noisuy1chieu($AI$51,$AI$44:$AI$50,AJ44:AJ50)</f>
        <v>7.0615313947200775E-2</v>
      </c>
      <c r="AK51" s="21">
        <f>noisuy1chieu($AI$51,$AI$44:$AI$50,AK44:AK50)</f>
        <v>7.0615313947200775E-2</v>
      </c>
      <c r="AL51" s="21">
        <f>noisuy1chieu($AI$51,$AI$44:$AI$50,AL44:AL50)</f>
        <v>7.0615313947200775E-2</v>
      </c>
      <c r="AM51" s="21">
        <f>noisuy1chieu($AI$51,$AI$44:$AI$50,AM44:AM50)</f>
        <v>-0.38815408945083618</v>
      </c>
      <c r="AN51" s="21">
        <f>noisuy1chieu($AI$51,$AI$44:$AI$50,AN44:AN50)</f>
        <v>0.12938469648361206</v>
      </c>
      <c r="BD51" s="6">
        <v>44</v>
      </c>
      <c r="BE51" s="9" t="s">
        <v>121</v>
      </c>
      <c r="BF51" s="9" t="s">
        <v>135</v>
      </c>
      <c r="BG51" s="9" t="s">
        <v>121</v>
      </c>
    </row>
    <row r="52" spans="2:59" ht="18">
      <c r="B52" s="53"/>
      <c r="C52" s="168" t="str">
        <f>VLOOKUP(43,$BD$8:$BG$106,1+MATCH($AB$7,$BE$7:$BG$7,0))</f>
        <v>TH1</v>
      </c>
      <c r="D52" s="169" t="s">
        <v>185</v>
      </c>
      <c r="E52" s="381">
        <f>MIN(E46-E50,E46-E51)</f>
        <v>-1.1268636154040326</v>
      </c>
      <c r="F52" s="382"/>
      <c r="G52" s="383">
        <f t="shared" ref="G52" si="54">MIN(G46-G50,G46-G51)</f>
        <v>-0.87692582271320996</v>
      </c>
      <c r="H52" s="383"/>
      <c r="I52" s="383">
        <f t="shared" ref="I52" si="55">MIN(I46-I50,I46-I51)</f>
        <v>-0.48353102859164859</v>
      </c>
      <c r="J52" s="383"/>
      <c r="K52" s="383">
        <f t="shared" ref="K52" si="56">MIN(K46-K50,K46-K51)</f>
        <v>-0.50812823510725336</v>
      </c>
      <c r="L52" s="383"/>
      <c r="M52" s="383">
        <f t="shared" ref="M52" si="57">MIN(M46-M50,M46-M51)</f>
        <v>-0.65571134962957589</v>
      </c>
      <c r="N52" s="384"/>
      <c r="O52" s="381">
        <f>MIN(O46-O50,O46-O51)</f>
        <v>-1.1268636154040326</v>
      </c>
      <c r="P52" s="383"/>
      <c r="Q52" s="383">
        <f t="shared" ref="Q52" si="58">MIN(Q46-Q50,Q46-Q51)</f>
        <v>-0.87692582271320996</v>
      </c>
      <c r="R52" s="383"/>
      <c r="S52" s="383">
        <f t="shared" ref="S52" si="59">MIN(S46-S50,S46-S51)</f>
        <v>-0.48353102859164859</v>
      </c>
      <c r="T52" s="383"/>
      <c r="U52" s="383">
        <f t="shared" ref="U52" si="60">MIN(U46-U50,U46-U51)</f>
        <v>-0.50812823510725336</v>
      </c>
      <c r="V52" s="383"/>
      <c r="W52" s="383">
        <f t="shared" ref="W52" si="61">MIN(W46-W50,W46-W51)</f>
        <v>-0.65571134962957589</v>
      </c>
      <c r="X52" s="385"/>
      <c r="Y52" s="13"/>
      <c r="Z52" s="135"/>
      <c r="AB52" s="3" t="s">
        <v>323</v>
      </c>
      <c r="BD52" s="6">
        <v>45</v>
      </c>
      <c r="BE52" s="29" t="s">
        <v>161</v>
      </c>
      <c r="BF52" s="29" t="s">
        <v>162</v>
      </c>
      <c r="BG52" s="29" t="s">
        <v>160</v>
      </c>
    </row>
    <row r="53" spans="2:59" ht="15" customHeight="1">
      <c r="B53" s="53"/>
      <c r="C53" s="144" t="str">
        <f>VLOOKUP(44,$BD$8:$BG$106,1+MATCH($AB$7,$BE$7:$BG$7,0))</f>
        <v>TH2</v>
      </c>
      <c r="D53" s="146" t="s">
        <v>185</v>
      </c>
      <c r="E53" s="386">
        <f>MAX(E47-E50,E47-E51)</f>
        <v>0.18852503458015085</v>
      </c>
      <c r="F53" s="387"/>
      <c r="G53" s="388">
        <f t="shared" ref="G53" si="62">MAX(G47-G50,G47-G51)</f>
        <v>0.18852503458015085</v>
      </c>
      <c r="H53" s="387"/>
      <c r="I53" s="388">
        <f t="shared" ref="I53" si="63">MAX(I47-I50,I47-I51)</f>
        <v>0.18852503458015085</v>
      </c>
      <c r="J53" s="387"/>
      <c r="K53" s="388">
        <f>IF(OR($G$17=$AB$27,$G$17=$AB$26),I53,MAX(K47-K50,K47-K51,0))</f>
        <v>0</v>
      </c>
      <c r="L53" s="387"/>
      <c r="M53" s="388">
        <f>MAX(M47-M50,M47-M51)</f>
        <v>0.22946691519039875</v>
      </c>
      <c r="N53" s="389"/>
      <c r="O53" s="386">
        <f>MAX(O47-O50,O47-O51)</f>
        <v>0.18852503458015085</v>
      </c>
      <c r="P53" s="387"/>
      <c r="Q53" s="388">
        <f t="shared" ref="Q53" si="64">MAX(Q47-Q50,Q47-Q51)</f>
        <v>0.18852503458015085</v>
      </c>
      <c r="R53" s="387"/>
      <c r="S53" s="388">
        <f t="shared" ref="S53" si="65">MAX(S47-S50,S47-S51)</f>
        <v>0.18852503458015085</v>
      </c>
      <c r="T53" s="387"/>
      <c r="U53" s="388">
        <f>IF(OR($G$17=$AB$25,$G$17=$AB$26),S53,MAX(U47-U50,U47-U51,0))</f>
        <v>0</v>
      </c>
      <c r="V53" s="387"/>
      <c r="W53" s="388">
        <f>MAX(W47-W50,W47-W51)</f>
        <v>0.22946691519039875</v>
      </c>
      <c r="X53" s="390"/>
      <c r="Y53" s="13"/>
      <c r="Z53" s="135"/>
      <c r="BD53" s="6">
        <v>46</v>
      </c>
      <c r="BE53" s="29" t="s">
        <v>40</v>
      </c>
      <c r="BF53" s="29" t="s">
        <v>163</v>
      </c>
      <c r="BG53" s="29" t="s">
        <v>164</v>
      </c>
    </row>
    <row r="54" spans="2:59" ht="15">
      <c r="B54" s="53"/>
      <c r="C54" s="37"/>
      <c r="Y54" s="13"/>
      <c r="Z54" s="135"/>
      <c r="AB54" s="329" t="s">
        <v>0</v>
      </c>
      <c r="AC54" s="329"/>
      <c r="AD54" s="329"/>
      <c r="AE54" s="329"/>
      <c r="AF54" s="330"/>
      <c r="BD54" s="6">
        <v>47</v>
      </c>
      <c r="BE54" s="29" t="s">
        <v>66</v>
      </c>
      <c r="BF54" s="29" t="s">
        <v>165</v>
      </c>
      <c r="BG54" s="29" t="s">
        <v>166</v>
      </c>
    </row>
    <row r="55" spans="2:59" ht="15">
      <c r="B55" s="53"/>
      <c r="C55" s="344" t="str">
        <f>VLOOKUP(41,$BD$8:$BG$106,1+MATCH($AB$7,$BE$7:$BG$7,0))</f>
        <v>TÍNH TOÁN ÁP LỰC GIÓ LÊN MÁI (PHƯƠNG Y)</v>
      </c>
      <c r="D55" s="345"/>
      <c r="E55" s="345"/>
      <c r="F55" s="345"/>
      <c r="G55" s="345"/>
      <c r="H55" s="345"/>
      <c r="I55" s="345"/>
      <c r="J55" s="345"/>
      <c r="K55" s="345"/>
      <c r="L55" s="345"/>
      <c r="M55" s="345"/>
      <c r="N55" s="345"/>
      <c r="O55" s="345"/>
      <c r="P55" s="345"/>
      <c r="Q55" s="345"/>
      <c r="R55" s="345"/>
      <c r="S55" s="345"/>
      <c r="T55" s="346"/>
      <c r="Y55" s="13"/>
      <c r="Z55" s="135"/>
      <c r="AB55" s="336" t="s">
        <v>6</v>
      </c>
      <c r="AC55" s="337" t="s">
        <v>7</v>
      </c>
      <c r="AD55" s="338"/>
      <c r="AE55" s="338"/>
      <c r="AF55" s="339"/>
      <c r="BD55" s="6">
        <v>48</v>
      </c>
      <c r="BE55" s="9" t="s">
        <v>152</v>
      </c>
      <c r="BF55" s="9" t="s">
        <v>167</v>
      </c>
      <c r="BG55" s="9" t="s">
        <v>168</v>
      </c>
    </row>
    <row r="56" spans="2:59" ht="15">
      <c r="B56" s="53"/>
      <c r="C56" s="331" t="str">
        <f>VLOOKUP(25,$BD$8:$BG$106,1+MATCH($AB$7,$BE$7:$BG$7,0))</f>
        <v>Vùng</v>
      </c>
      <c r="D56" s="331"/>
      <c r="E56" s="332" t="s">
        <v>202</v>
      </c>
      <c r="F56" s="333"/>
      <c r="G56" s="333"/>
      <c r="H56" s="333"/>
      <c r="I56" s="333"/>
      <c r="J56" s="333"/>
      <c r="K56" s="333"/>
      <c r="L56" s="334"/>
      <c r="M56" s="332" t="s">
        <v>203</v>
      </c>
      <c r="N56" s="333"/>
      <c r="O56" s="333"/>
      <c r="P56" s="333"/>
      <c r="Q56" s="333"/>
      <c r="R56" s="333"/>
      <c r="S56" s="333"/>
      <c r="T56" s="335"/>
      <c r="Y56" s="13"/>
      <c r="Z56" s="135"/>
      <c r="AB56" s="336"/>
      <c r="AC56" s="8" t="s">
        <v>14</v>
      </c>
      <c r="AD56" s="8" t="s">
        <v>15</v>
      </c>
      <c r="AE56" s="8" t="s">
        <v>16</v>
      </c>
      <c r="AF56" s="8" t="s">
        <v>17</v>
      </c>
      <c r="BD56" s="6">
        <v>49</v>
      </c>
      <c r="BE56" s="9" t="s">
        <v>155</v>
      </c>
      <c r="BF56" s="9" t="s">
        <v>169</v>
      </c>
      <c r="BG56" s="9" t="s">
        <v>170</v>
      </c>
    </row>
    <row r="57" spans="2:59" ht="15" customHeight="1">
      <c r="B57" s="53"/>
      <c r="C57" s="331"/>
      <c r="D57" s="331"/>
      <c r="E57" s="340" t="s">
        <v>67</v>
      </c>
      <c r="F57" s="341"/>
      <c r="G57" s="341" t="s">
        <v>68</v>
      </c>
      <c r="H57" s="341"/>
      <c r="I57" s="341" t="s">
        <v>69</v>
      </c>
      <c r="J57" s="341"/>
      <c r="K57" s="341" t="s">
        <v>27</v>
      </c>
      <c r="L57" s="342"/>
      <c r="M57" s="340" t="s">
        <v>67</v>
      </c>
      <c r="N57" s="341"/>
      <c r="O57" s="341" t="s">
        <v>68</v>
      </c>
      <c r="P57" s="341"/>
      <c r="Q57" s="341" t="s">
        <v>69</v>
      </c>
      <c r="R57" s="341"/>
      <c r="S57" s="341" t="s">
        <v>27</v>
      </c>
      <c r="T57" s="343"/>
      <c r="Z57" s="38"/>
      <c r="AB57" s="48">
        <v>-5</v>
      </c>
      <c r="AC57" s="12">
        <v>-1.8</v>
      </c>
      <c r="AD57" s="12">
        <v>-1.2</v>
      </c>
      <c r="AE57" s="12">
        <v>-0.7</v>
      </c>
      <c r="AF57" s="12">
        <v>-0.6</v>
      </c>
      <c r="BD57" s="6">
        <v>50</v>
      </c>
      <c r="BE57" s="9" t="s">
        <v>153</v>
      </c>
      <c r="BF57" s="9" t="s">
        <v>171</v>
      </c>
      <c r="BG57" s="9" t="s">
        <v>172</v>
      </c>
    </row>
    <row r="58" spans="2:59" ht="18">
      <c r="B58" s="53"/>
      <c r="C58" s="143"/>
      <c r="D58" s="165" t="s">
        <v>223</v>
      </c>
      <c r="E58" s="349">
        <f>AC64</f>
        <v>-1.4940770864486694</v>
      </c>
      <c r="F58" s="350"/>
      <c r="G58" s="350">
        <f>AD64</f>
        <v>-1.2999999523162842</v>
      </c>
      <c r="H58" s="350"/>
      <c r="I58" s="350">
        <f>AE64</f>
        <v>-0.66469234228134155</v>
      </c>
      <c r="J58" s="350"/>
      <c r="K58" s="350">
        <f>AF64</f>
        <v>-0.56469237804412842</v>
      </c>
      <c r="L58" s="351"/>
      <c r="M58" s="349">
        <f>AC64</f>
        <v>-1.4940770864486694</v>
      </c>
      <c r="N58" s="350"/>
      <c r="O58" s="350">
        <f>AD64</f>
        <v>-1.2999999523162842</v>
      </c>
      <c r="P58" s="350"/>
      <c r="Q58" s="350">
        <f>AE64</f>
        <v>-0.66469234228134155</v>
      </c>
      <c r="R58" s="350"/>
      <c r="S58" s="350">
        <f>AF64</f>
        <v>-0.56469237804412842</v>
      </c>
      <c r="T58" s="352"/>
      <c r="Z58" s="38"/>
      <c r="AB58" s="48">
        <v>5</v>
      </c>
      <c r="AC58" s="12">
        <v>-1.6</v>
      </c>
      <c r="AD58" s="12">
        <v>-1.3</v>
      </c>
      <c r="AE58" s="12">
        <v>-0.7</v>
      </c>
      <c r="AF58" s="12">
        <v>-0.6</v>
      </c>
      <c r="BD58" s="6">
        <v>51</v>
      </c>
      <c r="BE58" s="9" t="s">
        <v>154</v>
      </c>
      <c r="BF58" s="9" t="s">
        <v>173</v>
      </c>
      <c r="BG58" s="9" t="s">
        <v>174</v>
      </c>
    </row>
    <row r="59" spans="2:59" ht="18">
      <c r="B59" s="53"/>
      <c r="C59" s="166"/>
      <c r="D59" s="170" t="s">
        <v>183</v>
      </c>
      <c r="E59" s="353">
        <f>$E$27*$Q$39*E58*$G$39</f>
        <v>-1.0408536393587198</v>
      </c>
      <c r="F59" s="354"/>
      <c r="G59" s="354">
        <f t="shared" ref="G59" si="66">$E$27*$Q$39*G58*$G$39</f>
        <v>-0.90564917553941349</v>
      </c>
      <c r="H59" s="354"/>
      <c r="I59" s="354">
        <f t="shared" ref="I59" si="67">$E$27*$Q$39*I58*$G$39</f>
        <v>-0.46306007219606421</v>
      </c>
      <c r="J59" s="354"/>
      <c r="K59" s="354">
        <f t="shared" ref="K59" si="68">$E$27*$Q$39*K58*$G$39</f>
        <v>-0.3933947733596771</v>
      </c>
      <c r="L59" s="355"/>
      <c r="M59" s="353">
        <f t="shared" ref="M59" si="69">$E$27*$Q$39*M58*$G$39</f>
        <v>-1.0408536393587198</v>
      </c>
      <c r="N59" s="354"/>
      <c r="O59" s="354">
        <f t="shared" ref="O59" si="70">$E$27*$Q$39*O58*$G$39</f>
        <v>-0.90564917553941349</v>
      </c>
      <c r="P59" s="354"/>
      <c r="Q59" s="354">
        <f t="shared" ref="Q59" si="71">$E$27*$Q$39*Q58*$G$39</f>
        <v>-0.46306007219606421</v>
      </c>
      <c r="R59" s="354"/>
      <c r="S59" s="354">
        <f>$E$27*$Q$39*S58*$G$39</f>
        <v>-0.3933947733596771</v>
      </c>
      <c r="T59" s="356"/>
      <c r="Z59" s="38"/>
      <c r="AB59" s="48">
        <v>15</v>
      </c>
      <c r="AC59" s="12">
        <v>-1.3</v>
      </c>
      <c r="AD59" s="12">
        <v>-1.3</v>
      </c>
      <c r="AE59" s="12">
        <v>-0.6</v>
      </c>
      <c r="AF59" s="12">
        <v>-0.5</v>
      </c>
      <c r="BD59" s="6">
        <v>52</v>
      </c>
      <c r="BE59" s="9" t="s">
        <v>156</v>
      </c>
      <c r="BF59" s="9" t="s">
        <v>175</v>
      </c>
      <c r="BG59" s="9" t="s">
        <v>176</v>
      </c>
    </row>
    <row r="60" spans="2:59" ht="18">
      <c r="B60" s="53"/>
      <c r="C60" s="168" t="str">
        <f>VLOOKUP(43,$BD$8:$BG$106,1+MATCH($AB$7,$BE$7:$BG$7,0))</f>
        <v>TH1</v>
      </c>
      <c r="D60" s="171" t="s">
        <v>224</v>
      </c>
      <c r="E60" s="357">
        <f>$Q$31</f>
        <v>0.2</v>
      </c>
      <c r="F60" s="358"/>
      <c r="G60" s="358">
        <f t="shared" ref="G60" si="72">$Q$31</f>
        <v>0.2</v>
      </c>
      <c r="H60" s="358"/>
      <c r="I60" s="358">
        <f t="shared" ref="I60" si="73">$Q$31</f>
        <v>0.2</v>
      </c>
      <c r="J60" s="358"/>
      <c r="K60" s="358">
        <f t="shared" ref="K60" si="74">$Q$31</f>
        <v>0.2</v>
      </c>
      <c r="L60" s="359"/>
      <c r="M60" s="357">
        <f>$S$31</f>
        <v>0.2</v>
      </c>
      <c r="N60" s="358"/>
      <c r="O60" s="358">
        <f t="shared" ref="O60" si="75">$S$31</f>
        <v>0.2</v>
      </c>
      <c r="P60" s="358"/>
      <c r="Q60" s="358">
        <f t="shared" ref="Q60" si="76">$S$31</f>
        <v>0.2</v>
      </c>
      <c r="R60" s="358"/>
      <c r="S60" s="358">
        <f t="shared" ref="S60" si="77">$S$31</f>
        <v>0.2</v>
      </c>
      <c r="T60" s="360"/>
      <c r="Z60" s="38"/>
      <c r="AB60" s="48">
        <v>30</v>
      </c>
      <c r="AC60" s="12">
        <v>-1.1000000000000001</v>
      </c>
      <c r="AD60" s="12">
        <v>-1.4</v>
      </c>
      <c r="AE60" s="12">
        <v>-0.8</v>
      </c>
      <c r="AF60" s="12">
        <v>-0.5</v>
      </c>
      <c r="BD60" s="6">
        <v>53</v>
      </c>
      <c r="BE60" s="9" t="s">
        <v>149</v>
      </c>
      <c r="BF60" s="9" t="s">
        <v>150</v>
      </c>
      <c r="BG60" s="9" t="s">
        <v>151</v>
      </c>
    </row>
    <row r="61" spans="2:59" ht="18">
      <c r="B61" s="53"/>
      <c r="C61" s="166" t="str">
        <f>VLOOKUP(44,$BD$8:$BG$106,1+MATCH($AB$7,$BE$7:$BG$7,0))</f>
        <v>TH2</v>
      </c>
      <c r="D61" s="167" t="s">
        <v>224</v>
      </c>
      <c r="E61" s="353">
        <f>$Q$32</f>
        <v>-0.2</v>
      </c>
      <c r="F61" s="354"/>
      <c r="G61" s="354">
        <f t="shared" ref="G61" si="78">$Q$32</f>
        <v>-0.2</v>
      </c>
      <c r="H61" s="354"/>
      <c r="I61" s="354">
        <f t="shared" ref="I61" si="79">$Q$32</f>
        <v>-0.2</v>
      </c>
      <c r="J61" s="354"/>
      <c r="K61" s="354">
        <f t="shared" ref="K61" si="80">$Q$32</f>
        <v>-0.2</v>
      </c>
      <c r="L61" s="355"/>
      <c r="M61" s="353">
        <f>$S$32</f>
        <v>-0.2</v>
      </c>
      <c r="N61" s="354"/>
      <c r="O61" s="354">
        <f t="shared" ref="O61" si="81">$S$32</f>
        <v>-0.2</v>
      </c>
      <c r="P61" s="354"/>
      <c r="Q61" s="354">
        <f t="shared" ref="Q61" si="82">$S$32</f>
        <v>-0.2</v>
      </c>
      <c r="R61" s="354"/>
      <c r="S61" s="354">
        <f t="shared" ref="S61" si="83">$S$32</f>
        <v>-0.2</v>
      </c>
      <c r="T61" s="356"/>
      <c r="Z61" s="38"/>
      <c r="AB61" s="48">
        <v>45</v>
      </c>
      <c r="AC61" s="12">
        <v>-1.1000000000000001</v>
      </c>
      <c r="AD61" s="12">
        <v>-1.4</v>
      </c>
      <c r="AE61" s="12">
        <v>-0.9</v>
      </c>
      <c r="AF61" s="12">
        <v>-0.5</v>
      </c>
      <c r="BD61" s="6">
        <v>54</v>
      </c>
      <c r="BE61" s="29" t="s">
        <v>180</v>
      </c>
      <c r="BF61" s="29" t="s">
        <v>179</v>
      </c>
      <c r="BG61" s="29" t="s">
        <v>180</v>
      </c>
    </row>
    <row r="62" spans="2:59" ht="18">
      <c r="B62" s="53"/>
      <c r="C62" s="168" t="str">
        <f>VLOOKUP(43,$BD$8:$BG$106,1+MATCH($AB$7,$BE$7:$BG$7,0))</f>
        <v>TH1</v>
      </c>
      <c r="D62" s="169" t="s">
        <v>184</v>
      </c>
      <c r="E62" s="357">
        <f>$E$27*$Q$39*E60*$G$39</f>
        <v>0.1393306475012967</v>
      </c>
      <c r="F62" s="358"/>
      <c r="G62" s="358">
        <f t="shared" ref="G62" si="84">$E$27*$Q$39*G60*$G$39</f>
        <v>0.1393306475012967</v>
      </c>
      <c r="H62" s="358"/>
      <c r="I62" s="358">
        <f t="shared" ref="I62" si="85">$E$27*$Q$39*I60*$G$39</f>
        <v>0.1393306475012967</v>
      </c>
      <c r="J62" s="358"/>
      <c r="K62" s="358">
        <f t="shared" ref="K62" si="86">$E$27*$Q$39*K60*$G$39</f>
        <v>0.1393306475012967</v>
      </c>
      <c r="L62" s="359"/>
      <c r="M62" s="357">
        <f t="shared" ref="M62" si="87">$E$27*$Q$39*M60*$G$39</f>
        <v>0.1393306475012967</v>
      </c>
      <c r="N62" s="358"/>
      <c r="O62" s="358">
        <f t="shared" ref="O62" si="88">$E$27*$Q$39*O60*$G$39</f>
        <v>0.1393306475012967</v>
      </c>
      <c r="P62" s="358"/>
      <c r="Q62" s="358">
        <f t="shared" ref="Q62" si="89">$E$27*$Q$39*Q60*$G$39</f>
        <v>0.1393306475012967</v>
      </c>
      <c r="R62" s="358"/>
      <c r="S62" s="358">
        <f t="shared" ref="S62" si="90">$E$27*$Q$39*S60*$G$39</f>
        <v>0.1393306475012967</v>
      </c>
      <c r="T62" s="360"/>
      <c r="Z62" s="38"/>
      <c r="AB62" s="48">
        <v>60</v>
      </c>
      <c r="AC62" s="12">
        <v>-1.1000000000000001</v>
      </c>
      <c r="AD62" s="12">
        <v>-1.2</v>
      </c>
      <c r="AE62" s="12">
        <v>-0.8</v>
      </c>
      <c r="AF62" s="12">
        <v>-0.5</v>
      </c>
      <c r="BD62" s="6">
        <v>55</v>
      </c>
      <c r="BE62" s="43" t="s">
        <v>195</v>
      </c>
      <c r="BF62" s="43" t="s">
        <v>125</v>
      </c>
      <c r="BG62" s="43" t="s">
        <v>194</v>
      </c>
    </row>
    <row r="63" spans="2:59" ht="18">
      <c r="B63" s="53"/>
      <c r="C63" s="166" t="str">
        <f>VLOOKUP(44,$BD$8:$BG$106,1+MATCH($AB$7,$BE$7:$BG$7,0))</f>
        <v>TH2</v>
      </c>
      <c r="D63" s="170" t="s">
        <v>184</v>
      </c>
      <c r="E63" s="353">
        <f>$E$27*$Q$39*E61*$G$39</f>
        <v>-0.1393306475012967</v>
      </c>
      <c r="F63" s="354"/>
      <c r="G63" s="354">
        <f t="shared" ref="G63" si="91">$E$27*$Q$39*G61*$G$39</f>
        <v>-0.1393306475012967</v>
      </c>
      <c r="H63" s="354"/>
      <c r="I63" s="354">
        <f t="shared" ref="I63" si="92">$E$27*$Q$39*I61*$G$39</f>
        <v>-0.1393306475012967</v>
      </c>
      <c r="J63" s="354"/>
      <c r="K63" s="354">
        <f t="shared" ref="K63" si="93">$E$27*$Q$39*K61*$G$39</f>
        <v>-0.1393306475012967</v>
      </c>
      <c r="L63" s="355"/>
      <c r="M63" s="353">
        <f t="shared" ref="M63" si="94">$E$27*$Q$39*M61*$G$39</f>
        <v>-0.1393306475012967</v>
      </c>
      <c r="N63" s="354"/>
      <c r="O63" s="354">
        <f t="shared" ref="O63" si="95">$E$27*$Q$39*O61*$G$39</f>
        <v>-0.1393306475012967</v>
      </c>
      <c r="P63" s="354"/>
      <c r="Q63" s="354">
        <f t="shared" ref="Q63" si="96">$E$27*$Q$39*Q61*$G$39</f>
        <v>-0.1393306475012967</v>
      </c>
      <c r="R63" s="354"/>
      <c r="S63" s="354">
        <f t="shared" ref="S63" si="97">$E$27*$Q$39*S61*$G$39</f>
        <v>-0.1393306475012967</v>
      </c>
      <c r="T63" s="356"/>
      <c r="Z63" s="38"/>
      <c r="AB63" s="48">
        <v>75</v>
      </c>
      <c r="AC63" s="12">
        <v>-1.1000000000000001</v>
      </c>
      <c r="AD63" s="12">
        <v>-1.2</v>
      </c>
      <c r="AE63" s="12">
        <v>-0.8</v>
      </c>
      <c r="AF63" s="12">
        <v>-0.5</v>
      </c>
      <c r="BD63" s="6">
        <v>56</v>
      </c>
      <c r="BE63" s="43" t="s">
        <v>196</v>
      </c>
      <c r="BF63" s="43" t="s">
        <v>198</v>
      </c>
      <c r="BG63" s="43" t="s">
        <v>200</v>
      </c>
    </row>
    <row r="64" spans="2:59" ht="18">
      <c r="B64" s="53"/>
      <c r="C64" s="168" t="str">
        <f>VLOOKUP(43,$BD$8:$BG$106,1+MATCH($AB$7,$BE$7:$BG$7,0))</f>
        <v>TH1</v>
      </c>
      <c r="D64" s="169" t="s">
        <v>185</v>
      </c>
      <c r="E64" s="372">
        <f>E59-E62</f>
        <v>-1.1801842868600165</v>
      </c>
      <c r="F64" s="373"/>
      <c r="G64" s="373">
        <f>G59-G62</f>
        <v>-1.0449798230407101</v>
      </c>
      <c r="H64" s="373"/>
      <c r="I64" s="373">
        <f t="shared" ref="I64" si="98">I59-I62</f>
        <v>-0.60239071969736091</v>
      </c>
      <c r="J64" s="373"/>
      <c r="K64" s="373">
        <f t="shared" ref="K64" si="99">K59-K62</f>
        <v>-0.53272542086097374</v>
      </c>
      <c r="L64" s="374"/>
      <c r="M64" s="372">
        <f>M59-M62</f>
        <v>-1.1801842868600165</v>
      </c>
      <c r="N64" s="373"/>
      <c r="O64" s="373">
        <f>O59-O62</f>
        <v>-1.0449798230407101</v>
      </c>
      <c r="P64" s="373"/>
      <c r="Q64" s="373">
        <f t="shared" ref="Q64" si="100">Q59-Q62</f>
        <v>-0.60239071969736091</v>
      </c>
      <c r="R64" s="373"/>
      <c r="S64" s="373">
        <f t="shared" ref="S64" si="101">S59-S62</f>
        <v>-0.53272542086097374</v>
      </c>
      <c r="T64" s="375"/>
      <c r="Z64" s="38"/>
      <c r="AB64" s="49">
        <f>M23</f>
        <v>8.5307656099481335</v>
      </c>
      <c r="AC64" s="21">
        <f>noisuy1chieu($AB$64,$AB$57:$AB$63,AC57:AC63)</f>
        <v>-1.4940770864486694</v>
      </c>
      <c r="AD64" s="21">
        <f>noisuy1chieu($AB$64,$AB$57:$AB$63,AD57:AD63)</f>
        <v>-1.2999999523162842</v>
      </c>
      <c r="AE64" s="21">
        <f>noisuy1chieu($AB$64,$AB$57:$AB$63,AE57:AE63)</f>
        <v>-0.66469234228134155</v>
      </c>
      <c r="AF64" s="21">
        <f>noisuy1chieu($AB$64,$AB$57:$AB$63,AF57:AF63)</f>
        <v>-0.56469237804412842</v>
      </c>
      <c r="BD64" s="6">
        <v>57</v>
      </c>
      <c r="BE64" s="43" t="s">
        <v>197</v>
      </c>
      <c r="BF64" s="43" t="s">
        <v>199</v>
      </c>
      <c r="BG64" s="43" t="s">
        <v>201</v>
      </c>
    </row>
    <row r="65" spans="2:59" ht="18">
      <c r="B65" s="53"/>
      <c r="C65" s="144" t="str">
        <f>VLOOKUP(44,$BD$8:$BG$106,1+MATCH($AB$7,$BE$7:$BG$7,0))</f>
        <v>TH2</v>
      </c>
      <c r="D65" s="146" t="s">
        <v>185</v>
      </c>
      <c r="E65" s="368">
        <f>E59-E63</f>
        <v>-0.90152299185742302</v>
      </c>
      <c r="F65" s="369"/>
      <c r="G65" s="370">
        <f t="shared" ref="G65" si="102">G59-G63</f>
        <v>-0.76631852803811684</v>
      </c>
      <c r="H65" s="369"/>
      <c r="I65" s="370">
        <f t="shared" ref="I65" si="103">I59-I63</f>
        <v>-0.32372942469476751</v>
      </c>
      <c r="J65" s="369"/>
      <c r="K65" s="370">
        <f t="shared" ref="K65" si="104">K59-K63</f>
        <v>-0.2540641258583804</v>
      </c>
      <c r="L65" s="371"/>
      <c r="M65" s="368">
        <f>M59-M63</f>
        <v>-0.90152299185742302</v>
      </c>
      <c r="N65" s="369"/>
      <c r="O65" s="370">
        <f t="shared" ref="O65" si="105">O59-O63</f>
        <v>-0.76631852803811684</v>
      </c>
      <c r="P65" s="369"/>
      <c r="Q65" s="370">
        <f t="shared" ref="Q65" si="106">Q59-Q63</f>
        <v>-0.32372942469476751</v>
      </c>
      <c r="R65" s="369"/>
      <c r="S65" s="370">
        <f t="shared" ref="S65" si="107">S59-S63</f>
        <v>-0.2540641258583804</v>
      </c>
      <c r="T65" s="420"/>
      <c r="U65" s="117"/>
      <c r="V65" s="117"/>
      <c r="W65" s="117"/>
      <c r="X65" s="117"/>
      <c r="Y65" s="117"/>
      <c r="Z65" s="118"/>
      <c r="BD65" s="6">
        <v>58</v>
      </c>
      <c r="BE65" s="43" t="s">
        <v>206</v>
      </c>
      <c r="BF65" s="43" t="s">
        <v>218</v>
      </c>
      <c r="BG65" s="43" t="s">
        <v>219</v>
      </c>
    </row>
    <row r="66" spans="2:59" ht="15" hidden="1" outlineLevel="1">
      <c r="B66" s="53"/>
      <c r="C66" s="30"/>
      <c r="D66" s="31"/>
      <c r="E66" s="31"/>
      <c r="F66" s="31"/>
      <c r="G66" s="31"/>
      <c r="H66" s="31"/>
      <c r="I66" s="31"/>
      <c r="J66" s="31"/>
      <c r="K66" s="31"/>
      <c r="L66" s="31"/>
      <c r="M66" s="432"/>
      <c r="N66" s="432"/>
      <c r="O66" s="31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1"/>
      <c r="AB66" s="448"/>
      <c r="AC66" s="449"/>
      <c r="AD66" s="348" t="str">
        <f>K74</f>
        <v>GIÓ X+</v>
      </c>
      <c r="AE66" s="348"/>
      <c r="AF66" s="348" t="str">
        <f>O42</f>
        <v>GIÓ X-</v>
      </c>
      <c r="AG66" s="348"/>
      <c r="AH66" s="439" t="s">
        <v>313</v>
      </c>
      <c r="AI66" s="440"/>
      <c r="AJ66" s="440"/>
      <c r="BD66" s="6">
        <v>59</v>
      </c>
      <c r="BE66" s="44" t="s">
        <v>220</v>
      </c>
      <c r="BF66" s="44" t="s">
        <v>221</v>
      </c>
      <c r="BG66" s="44" t="s">
        <v>222</v>
      </c>
    </row>
    <row r="67" spans="2:59" ht="15" hidden="1" customHeight="1" outlineLevel="1">
      <c r="B67" s="53"/>
      <c r="C67" s="433"/>
      <c r="D67" s="433"/>
      <c r="E67" s="433"/>
      <c r="F67" s="433"/>
      <c r="G67" s="433"/>
      <c r="H67" s="433"/>
      <c r="I67" s="433"/>
      <c r="J67" s="433"/>
      <c r="K67" s="433"/>
      <c r="L67" s="433"/>
      <c r="M67" s="433"/>
      <c r="N67" s="433"/>
      <c r="O67" s="433"/>
      <c r="P67" s="433"/>
      <c r="Q67" s="433"/>
      <c r="R67" s="433"/>
      <c r="S67" s="433"/>
      <c r="T67" s="433"/>
      <c r="U67" s="433"/>
      <c r="V67" s="433"/>
      <c r="W67" s="433"/>
      <c r="X67" s="433"/>
      <c r="Z67" s="38"/>
      <c r="AB67" s="450"/>
      <c r="AC67" s="451"/>
      <c r="AD67" s="17" t="str">
        <f>K75</f>
        <v>H</v>
      </c>
      <c r="AE67" s="17" t="str">
        <f>M75</f>
        <v>I</v>
      </c>
      <c r="AF67" s="17" t="str">
        <f>O75</f>
        <v>H</v>
      </c>
      <c r="AG67" s="17" t="str">
        <f>Q75</f>
        <v>I</v>
      </c>
      <c r="AH67" s="439"/>
      <c r="AI67" s="440"/>
      <c r="AJ67" s="440"/>
      <c r="BD67" s="6">
        <v>60</v>
      </c>
      <c r="BE67" s="44" t="s">
        <v>226</v>
      </c>
      <c r="BF67" s="44" t="s">
        <v>229</v>
      </c>
      <c r="BG67" s="44" t="s">
        <v>232</v>
      </c>
    </row>
    <row r="68" spans="2:59" ht="18" hidden="1" outlineLevel="1">
      <c r="B68" s="53"/>
      <c r="C68" s="418"/>
      <c r="D68" s="418"/>
      <c r="E68" s="418"/>
      <c r="F68" s="418"/>
      <c r="G68" s="418"/>
      <c r="H68" s="418"/>
      <c r="I68" s="418"/>
      <c r="J68" s="418"/>
      <c r="K68" s="418"/>
      <c r="L68" s="418"/>
      <c r="M68" s="418"/>
      <c r="N68" s="418"/>
      <c r="O68" s="418"/>
      <c r="P68" s="418"/>
      <c r="Q68" s="418"/>
      <c r="R68" s="418"/>
      <c r="S68" s="418"/>
      <c r="T68" s="418"/>
      <c r="U68" s="418"/>
      <c r="V68" s="418"/>
      <c r="W68" s="418"/>
      <c r="X68" s="418"/>
      <c r="Z68" s="38"/>
      <c r="AB68" s="104" t="str">
        <f>VLOOKUP(43,$BD$8:$BG$136,1+MATCH($AB$7,$BE$7:$BG$7,0))</f>
        <v>TH1</v>
      </c>
      <c r="AC68" s="105" t="s">
        <v>223</v>
      </c>
      <c r="AD68" s="106">
        <f>HLOOKUP(AD67,$E$43:$N$53,2,FALSE)</f>
        <v>-0.49407705664634705</v>
      </c>
      <c r="AE68" s="106">
        <f>HLOOKUP(AE67,$E$43:$N$53,2,FALSE)</f>
        <v>-0.52938473224639893</v>
      </c>
      <c r="AF68" s="106">
        <f>HLOOKUP(AF67,$O$43:$X$53,2,FALSE)</f>
        <v>-0.49407705664634705</v>
      </c>
      <c r="AG68" s="106">
        <f>HLOOKUP(AG67,$O$43:$X$53,2,FALSE)</f>
        <v>-0.52938473224639893</v>
      </c>
      <c r="AH68" s="439"/>
      <c r="AI68" s="440"/>
      <c r="AJ68" s="440"/>
      <c r="BD68" s="6">
        <v>61</v>
      </c>
      <c r="BE68" s="44" t="s">
        <v>227</v>
      </c>
      <c r="BF68" s="44" t="s">
        <v>230</v>
      </c>
      <c r="BG68" s="44" t="s">
        <v>233</v>
      </c>
    </row>
    <row r="69" spans="2:59" ht="18" hidden="1" customHeight="1" outlineLevel="1">
      <c r="B69" s="53"/>
      <c r="C69" s="434"/>
      <c r="D69" s="434"/>
      <c r="E69" s="434"/>
      <c r="F69" s="434"/>
      <c r="G69" s="434"/>
      <c r="H69" s="434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18"/>
      <c r="Z69" s="38"/>
      <c r="AB69" s="104" t="str">
        <f>VLOOKUP(44,$BD$8:$BG$136,1+MATCH($AB$7,$BE$7:$BG$7,0))</f>
        <v>TH2</v>
      </c>
      <c r="AC69" s="105" t="s">
        <v>223</v>
      </c>
      <c r="AD69" s="106">
        <f>HLOOKUP(AD67,$E$43:$N$53,3,FALSE)</f>
        <v>7.0615313947200775E-2</v>
      </c>
      <c r="AE69" s="106">
        <f>HLOOKUP(AE67,$E$43:$N$53,3,FALSE)</f>
        <v>-0.38815408945083618</v>
      </c>
      <c r="AF69" s="106">
        <f>HLOOKUP(AF67,$O$43:$X$53,3,FALSE)</f>
        <v>7.0615313947200775E-2</v>
      </c>
      <c r="AG69" s="106">
        <f>HLOOKUP(AG67,$O$43:$X$53,3,FALSE)</f>
        <v>-0.38815408945083618</v>
      </c>
      <c r="AH69" s="439"/>
      <c r="AI69" s="440"/>
      <c r="AJ69" s="440"/>
      <c r="BD69" s="6">
        <v>62</v>
      </c>
      <c r="BE69" s="44" t="s">
        <v>228</v>
      </c>
      <c r="BF69" s="44" t="s">
        <v>231</v>
      </c>
      <c r="BG69" s="44" t="s">
        <v>234</v>
      </c>
    </row>
    <row r="70" spans="2:59" ht="18" hidden="1" outlineLevel="1">
      <c r="B70" s="53"/>
      <c r="C70" s="434"/>
      <c r="D70" s="434"/>
      <c r="E70" s="434"/>
      <c r="F70" s="434"/>
      <c r="G70" s="434"/>
      <c r="H70" s="434"/>
      <c r="I70" s="418"/>
      <c r="J70" s="418"/>
      <c r="K70" s="418"/>
      <c r="L70" s="418"/>
      <c r="M70" s="452"/>
      <c r="N70" s="452"/>
      <c r="O70" s="453"/>
      <c r="P70" s="453"/>
      <c r="Q70" s="453"/>
      <c r="R70" s="453"/>
      <c r="S70" s="452"/>
      <c r="T70" s="452"/>
      <c r="U70" s="453"/>
      <c r="V70" s="453"/>
      <c r="W70" s="453"/>
      <c r="X70" s="453"/>
      <c r="Z70" s="38"/>
      <c r="AB70" s="104" t="str">
        <f>VLOOKUP(43,$BD$8:$BG$136,1+MATCH($AB$7,$BE$7:$BG$7,0))</f>
        <v>TH1</v>
      </c>
      <c r="AC70" s="107" t="s">
        <v>183</v>
      </c>
      <c r="AD70" s="106">
        <f>$E$27*$G$76*AD68*$G$39</f>
        <v>-0.34420038109035189</v>
      </c>
      <c r="AE70" s="106">
        <f>$E$27*$G$76*AE68*$G$39</f>
        <v>-0.36879758760595666</v>
      </c>
      <c r="AF70" s="106">
        <f>$E$27*$G$76*AF68*$G$39</f>
        <v>-0.34420038109035189</v>
      </c>
      <c r="AG70" s="106">
        <f>$E$27*$G$76*AG68*$G$39</f>
        <v>-0.36879758760595666</v>
      </c>
      <c r="AH70" s="439"/>
      <c r="AI70" s="440"/>
      <c r="AJ70" s="440"/>
    </row>
    <row r="71" spans="2:59" ht="18" hidden="1" outlineLevel="1">
      <c r="B71" s="53"/>
      <c r="C71" s="415"/>
      <c r="D71" s="416"/>
      <c r="E71" s="417"/>
      <c r="F71" s="417"/>
      <c r="G71" s="417"/>
      <c r="H71" s="417"/>
      <c r="I71" s="418"/>
      <c r="J71" s="418"/>
      <c r="K71" s="419"/>
      <c r="L71" s="419"/>
      <c r="M71" s="415"/>
      <c r="N71" s="416"/>
      <c r="O71" s="419"/>
      <c r="P71" s="419"/>
      <c r="Q71" s="454"/>
      <c r="R71" s="454"/>
      <c r="S71" s="415"/>
      <c r="T71" s="416"/>
      <c r="U71" s="419"/>
      <c r="V71" s="419"/>
      <c r="W71" s="455"/>
      <c r="X71" s="455"/>
      <c r="Z71" s="38"/>
      <c r="AB71" s="104" t="str">
        <f>VLOOKUP(44,$BD$8:$BG$136,1+MATCH($AB$7,$BE$7:$BG$7,0))</f>
        <v>TH2</v>
      </c>
      <c r="AC71" s="107" t="s">
        <v>183</v>
      </c>
      <c r="AD71" s="106">
        <f>$E$27*$G$76*AD69*$G$39</f>
        <v>4.9194387078854152E-2</v>
      </c>
      <c r="AE71" s="106">
        <f t="shared" ref="AE71:AG71" si="108">$E$27*$G$76*AE69*$G$39</f>
        <v>-0.27040880306730619</v>
      </c>
      <c r="AF71" s="106">
        <f t="shared" si="108"/>
        <v>4.9194387078854152E-2</v>
      </c>
      <c r="AG71" s="106">
        <f t="shared" si="108"/>
        <v>-0.27040880306730619</v>
      </c>
      <c r="AH71" s="439"/>
      <c r="AI71" s="440"/>
      <c r="AJ71" s="440"/>
    </row>
    <row r="72" spans="2:59" ht="18" hidden="1" outlineLevel="1">
      <c r="B72" s="53"/>
      <c r="C72" s="3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5"/>
      <c r="AB72" s="104" t="str">
        <f>VLOOKUP(43,$BD$8:$BG$136,1+MATCH($AB$7,$BE$7:$BG$7,0))</f>
        <v>TH1</v>
      </c>
      <c r="AC72" s="105" t="s">
        <v>224</v>
      </c>
      <c r="AD72" s="106">
        <f>HLOOKUP(AD67,$E$43:$N$53,6,FALSE)</f>
        <v>0.2</v>
      </c>
      <c r="AE72" s="106">
        <f>HLOOKUP(AE67,$E$43:$N$53,6,FALSE)</f>
        <v>0.2</v>
      </c>
      <c r="AF72" s="106">
        <f>HLOOKUP(AF67,$O$43:$X$53,6,FALSE)</f>
        <v>0.2</v>
      </c>
      <c r="AG72" s="106">
        <f>HLOOKUP(AG67,$O$43:$X$53,6,FALSE)</f>
        <v>0.2</v>
      </c>
      <c r="AH72" s="439"/>
      <c r="AI72" s="440"/>
      <c r="AJ72" s="440"/>
    </row>
    <row r="73" spans="2:59" ht="18" hidden="1" outlineLevel="1">
      <c r="B73" s="53"/>
      <c r="C73" s="435" t="s">
        <v>312</v>
      </c>
      <c r="D73" s="436"/>
      <c r="E73" s="436"/>
      <c r="F73" s="436"/>
      <c r="G73" s="436"/>
      <c r="H73" s="436"/>
      <c r="I73" s="436"/>
      <c r="J73" s="436"/>
      <c r="K73" s="436"/>
      <c r="L73" s="436"/>
      <c r="M73" s="436"/>
      <c r="N73" s="436"/>
      <c r="O73" s="436"/>
      <c r="P73" s="436"/>
      <c r="Q73" s="436"/>
      <c r="R73" s="437"/>
      <c r="S73" s="13"/>
      <c r="T73" s="13"/>
      <c r="U73" s="13"/>
      <c r="V73" s="13"/>
      <c r="W73" s="13"/>
      <c r="X73" s="13"/>
      <c r="Y73" s="13"/>
      <c r="Z73" s="135"/>
      <c r="AB73" s="104" t="str">
        <f>VLOOKUP(44,$BD$8:$BG$136,1+MATCH($AB$7,$BE$7:$BG$7,0))</f>
        <v>TH2</v>
      </c>
      <c r="AC73" s="105" t="s">
        <v>224</v>
      </c>
      <c r="AD73" s="106">
        <f>HLOOKUP(AD67,$E$43:$N$53,7,FALSE)</f>
        <v>-0.2</v>
      </c>
      <c r="AE73" s="106">
        <f>HLOOKUP(AE67,$E$43:$N$53,7,FALSE)</f>
        <v>-0.2</v>
      </c>
      <c r="AF73" s="106">
        <f>HLOOKUP(AF67,$O$43:$X$53,7,FALSE)</f>
        <v>-0.2</v>
      </c>
      <c r="AG73" s="106">
        <f>HLOOKUP(AG67,$O$43:$X$53,7,FALSE)</f>
        <v>-0.2</v>
      </c>
      <c r="AH73" s="439"/>
      <c r="AI73" s="440"/>
      <c r="AJ73" s="440"/>
    </row>
    <row r="74" spans="2:59" ht="18" hidden="1" outlineLevel="1">
      <c r="B74" s="53"/>
      <c r="C74" s="421" t="s">
        <v>189</v>
      </c>
      <c r="D74" s="421"/>
      <c r="E74" s="421" t="s">
        <v>190</v>
      </c>
      <c r="F74" s="421"/>
      <c r="G74" s="421" t="s">
        <v>191</v>
      </c>
      <c r="H74" s="421"/>
      <c r="I74" s="422" t="str">
        <f>C42</f>
        <v>Vùng</v>
      </c>
      <c r="J74" s="422"/>
      <c r="K74" s="423" t="str">
        <f>E42</f>
        <v>GIÓ X+</v>
      </c>
      <c r="L74" s="424"/>
      <c r="M74" s="424"/>
      <c r="N74" s="425"/>
      <c r="O74" s="423" t="str">
        <f>O42</f>
        <v>GIÓ X-</v>
      </c>
      <c r="P74" s="424"/>
      <c r="Q74" s="424"/>
      <c r="R74" s="425"/>
      <c r="S74" s="13"/>
      <c r="T74" s="13"/>
      <c r="U74" s="13"/>
      <c r="V74" s="13"/>
      <c r="W74" s="13"/>
      <c r="X74" s="13"/>
      <c r="Y74" s="13"/>
      <c r="Z74" s="135"/>
      <c r="AB74" s="104" t="str">
        <f>VLOOKUP(43,$BD$8:$BG$136,1+MATCH($AB$7,$BE$7:$BG$7,0))</f>
        <v>TH1</v>
      </c>
      <c r="AC74" s="107" t="s">
        <v>184</v>
      </c>
      <c r="AD74" s="106">
        <f>$E$27*$G$76*AD72*$G$39</f>
        <v>0.1393306475012967</v>
      </c>
      <c r="AE74" s="106">
        <f t="shared" ref="AE74:AG75" si="109">$E$27*$G$76*AE72*$G$39</f>
        <v>0.1393306475012967</v>
      </c>
      <c r="AF74" s="106">
        <f t="shared" si="109"/>
        <v>0.1393306475012967</v>
      </c>
      <c r="AG74" s="106">
        <f t="shared" si="109"/>
        <v>0.1393306475012967</v>
      </c>
      <c r="AH74" s="439"/>
      <c r="AI74" s="440"/>
      <c r="AJ74" s="440"/>
    </row>
    <row r="75" spans="2:59" ht="18" hidden="1" outlineLevel="1">
      <c r="B75" s="53"/>
      <c r="C75" s="421"/>
      <c r="D75" s="421"/>
      <c r="E75" s="421"/>
      <c r="F75" s="421"/>
      <c r="G75" s="421"/>
      <c r="H75" s="421"/>
      <c r="I75" s="422"/>
      <c r="J75" s="422"/>
      <c r="K75" s="426" t="s">
        <v>69</v>
      </c>
      <c r="L75" s="427"/>
      <c r="M75" s="426" t="s">
        <v>27</v>
      </c>
      <c r="N75" s="427"/>
      <c r="O75" s="426" t="s">
        <v>69</v>
      </c>
      <c r="P75" s="427"/>
      <c r="Q75" s="426" t="s">
        <v>27</v>
      </c>
      <c r="R75" s="427"/>
      <c r="S75" s="13"/>
      <c r="T75" s="13"/>
      <c r="U75" s="13"/>
      <c r="V75" s="13"/>
      <c r="W75" s="13"/>
      <c r="X75" s="13"/>
      <c r="Y75" s="13"/>
      <c r="Z75" s="135"/>
      <c r="AB75" s="104" t="str">
        <f>VLOOKUP(44,$BD$8:$BG$136,1+MATCH($AB$7,$BE$7:$BG$7,0))</f>
        <v>TH2</v>
      </c>
      <c r="AC75" s="107" t="s">
        <v>184</v>
      </c>
      <c r="AD75" s="106">
        <f>$E$27*$G$76*AD73*$G$39</f>
        <v>-0.1393306475012967</v>
      </c>
      <c r="AE75" s="106">
        <f t="shared" si="109"/>
        <v>-0.1393306475012967</v>
      </c>
      <c r="AF75" s="106">
        <f t="shared" si="109"/>
        <v>-0.1393306475012967</v>
      </c>
      <c r="AG75" s="106">
        <f t="shared" si="109"/>
        <v>-0.1393306475012967</v>
      </c>
      <c r="AH75" s="439"/>
      <c r="AI75" s="440"/>
      <c r="AJ75" s="440"/>
    </row>
    <row r="76" spans="2:59" ht="18" hidden="1" outlineLevel="1">
      <c r="B76" s="53"/>
      <c r="C76" s="428">
        <f>M20</f>
        <v>10</v>
      </c>
      <c r="D76" s="428"/>
      <c r="E76" s="429" cm="1">
        <f t="array" ref="E76">ze(C76, M18, M20, M25)</f>
        <v>10</v>
      </c>
      <c r="F76" s="429"/>
      <c r="G76" s="429">
        <f>MIN(2.01*(E76/J26)^(2/N26),N27)</f>
        <v>1.0009330064908715</v>
      </c>
      <c r="H76" s="429"/>
      <c r="I76" s="430" t="str">
        <f>C64</f>
        <v>TH1</v>
      </c>
      <c r="J76" s="430"/>
      <c r="K76" s="431">
        <f>AD76</f>
        <v>-0.48353102859164859</v>
      </c>
      <c r="L76" s="431"/>
      <c r="M76" s="429">
        <f>AE76</f>
        <v>-0.50812823510725336</v>
      </c>
      <c r="N76" s="429"/>
      <c r="O76" s="431">
        <f>AF76</f>
        <v>-0.48353102859164859</v>
      </c>
      <c r="P76" s="431"/>
      <c r="Q76" s="441">
        <f>AG76</f>
        <v>-0.50812823510725336</v>
      </c>
      <c r="R76" s="441"/>
      <c r="S76" s="13"/>
      <c r="T76" s="13"/>
      <c r="U76" s="13"/>
      <c r="V76" s="13"/>
      <c r="W76" s="13"/>
      <c r="X76" s="13"/>
      <c r="Y76" s="13"/>
      <c r="Z76" s="135"/>
      <c r="AB76" s="104" t="str">
        <f>VLOOKUP(43,$BD$8:$BG$136,1+MATCH($AB$7,$BE$7:$BG$7,0))</f>
        <v>TH1</v>
      </c>
      <c r="AC76" s="107" t="s">
        <v>185</v>
      </c>
      <c r="AD76" s="106">
        <f>MIN(AD70-AD74,AD70-AD75)</f>
        <v>-0.48353102859164859</v>
      </c>
      <c r="AE76" s="106">
        <f t="shared" ref="AE76:AG76" si="110">MIN(AE70-AE74,AE70-AE75)</f>
        <v>-0.50812823510725336</v>
      </c>
      <c r="AF76" s="106">
        <f t="shared" si="110"/>
        <v>-0.48353102859164859</v>
      </c>
      <c r="AG76" s="106">
        <f t="shared" si="110"/>
        <v>-0.50812823510725336</v>
      </c>
      <c r="AH76" s="439"/>
      <c r="AI76" s="440"/>
      <c r="AJ76" s="440"/>
    </row>
    <row r="77" spans="2:59" ht="18" hidden="1" outlineLevel="1">
      <c r="B77" s="53"/>
      <c r="C77" s="428"/>
      <c r="D77" s="428"/>
      <c r="E77" s="429"/>
      <c r="F77" s="429"/>
      <c r="G77" s="429"/>
      <c r="H77" s="429"/>
      <c r="I77" s="430" t="str">
        <f>C65</f>
        <v>TH2</v>
      </c>
      <c r="J77" s="430"/>
      <c r="K77" s="442">
        <f>AD77</f>
        <v>0.18852503458015085</v>
      </c>
      <c r="L77" s="443"/>
      <c r="M77" s="444">
        <f>AE77</f>
        <v>0</v>
      </c>
      <c r="N77" s="445"/>
      <c r="O77" s="442">
        <f>AF77</f>
        <v>0.18852503458015085</v>
      </c>
      <c r="P77" s="443"/>
      <c r="Q77" s="446">
        <f>AG77</f>
        <v>0</v>
      </c>
      <c r="R77" s="447"/>
      <c r="S77" s="13"/>
      <c r="T77" s="13"/>
      <c r="U77" s="13"/>
      <c r="V77" s="13"/>
      <c r="W77" s="13"/>
      <c r="X77" s="13"/>
      <c r="Y77" s="13"/>
      <c r="Z77" s="135"/>
      <c r="AB77" s="104" t="str">
        <f>VLOOKUP(44,$BD$8:$BG$136,1+MATCH($AB$7,$BE$7:$BG$7,0))</f>
        <v>TH2</v>
      </c>
      <c r="AC77" s="107" t="s">
        <v>185</v>
      </c>
      <c r="AD77" s="106">
        <f>MAX(AD71-AD74,AD71-AD75,0)</f>
        <v>0.18852503458015085</v>
      </c>
      <c r="AE77" s="106">
        <f t="shared" ref="AE77:AG77" si="111">MAX(AE71-AE74,AE71-AE75,0)</f>
        <v>0</v>
      </c>
      <c r="AF77" s="106">
        <f t="shared" si="111"/>
        <v>0.18852503458015085</v>
      </c>
      <c r="AG77" s="106">
        <f t="shared" si="111"/>
        <v>0</v>
      </c>
      <c r="AH77" s="439"/>
      <c r="AI77" s="440"/>
      <c r="AJ77" s="440"/>
    </row>
    <row r="78" spans="2:59" ht="15" hidden="1" outlineLevel="1">
      <c r="B78" s="53"/>
      <c r="C78" s="3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5"/>
    </row>
    <row r="79" spans="2:59" ht="15" collapsed="1">
      <c r="B79" s="53"/>
      <c r="C79" s="411" t="s">
        <v>235</v>
      </c>
      <c r="D79" s="412"/>
      <c r="E79" s="412"/>
      <c r="F79" s="412"/>
      <c r="G79" s="412"/>
      <c r="H79" s="412"/>
      <c r="I79" s="412"/>
      <c r="J79" s="412"/>
      <c r="K79" s="412"/>
      <c r="L79" s="412"/>
      <c r="M79" s="412"/>
      <c r="N79" s="412"/>
      <c r="O79" s="412"/>
      <c r="P79" s="412"/>
      <c r="Q79" s="412"/>
      <c r="R79" s="412"/>
      <c r="S79" s="412"/>
      <c r="T79" s="412"/>
      <c r="U79" s="412"/>
      <c r="V79" s="412"/>
      <c r="W79" s="412"/>
      <c r="X79" s="412"/>
      <c r="Y79" s="412"/>
      <c r="Z79" s="413"/>
    </row>
    <row r="80" spans="2:59" ht="15" hidden="1">
      <c r="B80" s="53"/>
      <c r="C80" s="30"/>
      <c r="D80" s="31"/>
      <c r="E80" s="31"/>
      <c r="F80" s="133"/>
      <c r="G80" s="133"/>
      <c r="H80" s="133"/>
      <c r="I80" s="133"/>
      <c r="J80" s="133"/>
      <c r="K80" s="133"/>
      <c r="L80" s="133"/>
      <c r="M80" s="133"/>
      <c r="N80" s="133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138"/>
    </row>
    <row r="81" spans="2:42" ht="15.75" thickBot="1">
      <c r="B81" s="53"/>
      <c r="C81" s="3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5"/>
      <c r="AB81" s="208" t="s">
        <v>163</v>
      </c>
      <c r="AC81" s="209"/>
      <c r="AD81" s="210"/>
    </row>
    <row r="82" spans="2:42" ht="15">
      <c r="B82" s="53"/>
      <c r="C82" s="212" t="str">
        <f>C97</f>
        <v>d1 = 5m</v>
      </c>
      <c r="D82" s="172"/>
      <c r="E82" s="173"/>
      <c r="F82" s="174"/>
      <c r="G82" s="173"/>
      <c r="H82" s="173"/>
      <c r="I82" s="175"/>
      <c r="J82" s="176"/>
      <c r="K82" s="173"/>
      <c r="L82" s="173"/>
      <c r="M82" s="177"/>
      <c r="N82" s="13"/>
      <c r="O82" s="13"/>
      <c r="P82" s="172"/>
      <c r="Q82" s="173"/>
      <c r="R82" s="173"/>
      <c r="S82" s="174"/>
      <c r="T82" s="173"/>
      <c r="U82" s="175"/>
      <c r="V82" s="173"/>
      <c r="W82" s="176"/>
      <c r="X82" s="173"/>
      <c r="Y82" s="177"/>
      <c r="Z82" s="213" t="str">
        <f>C97</f>
        <v>d1 = 5m</v>
      </c>
      <c r="AB82" s="17" t="s">
        <v>331</v>
      </c>
      <c r="AC82" s="17" t="s">
        <v>332</v>
      </c>
      <c r="AD82" s="17" t="s">
        <v>333</v>
      </c>
    </row>
    <row r="83" spans="2:42" ht="15">
      <c r="B83" s="53"/>
      <c r="C83" s="212"/>
      <c r="D83" s="392" t="s">
        <v>167</v>
      </c>
      <c r="E83" s="393"/>
      <c r="F83" s="178"/>
      <c r="G83" s="179"/>
      <c r="H83" s="179"/>
      <c r="I83" s="180"/>
      <c r="J83" s="181"/>
      <c r="K83" s="179"/>
      <c r="L83" s="179"/>
      <c r="M83" s="182"/>
      <c r="N83" s="13"/>
      <c r="O83" s="13"/>
      <c r="P83" s="185"/>
      <c r="Q83" s="179"/>
      <c r="R83" s="179"/>
      <c r="S83" s="178"/>
      <c r="T83" s="179"/>
      <c r="U83" s="180"/>
      <c r="V83" s="179"/>
      <c r="W83" s="181"/>
      <c r="X83" s="393" t="s">
        <v>167</v>
      </c>
      <c r="Y83" s="394"/>
      <c r="Z83" s="213"/>
      <c r="AB83" s="106">
        <f>M36</f>
        <v>200</v>
      </c>
      <c r="AC83" s="106">
        <f>M20</f>
        <v>10</v>
      </c>
      <c r="AD83" s="17">
        <f>MIN(AB83,2*AC83)</f>
        <v>20</v>
      </c>
    </row>
    <row r="84" spans="2:42" ht="15">
      <c r="B84" s="53"/>
      <c r="C84" s="212"/>
      <c r="D84" s="407" t="str">
        <f>ROUND(E52,1)&amp;" kN/m2"</f>
        <v>-1.1 kN/m2</v>
      </c>
      <c r="E84" s="395"/>
      <c r="F84" s="178"/>
      <c r="G84" s="179"/>
      <c r="H84" s="179"/>
      <c r="I84" s="180"/>
      <c r="J84" s="181"/>
      <c r="K84" s="179"/>
      <c r="L84" s="179"/>
      <c r="M84" s="182"/>
      <c r="N84" s="13"/>
      <c r="O84" s="13"/>
      <c r="P84" s="185"/>
      <c r="Q84" s="179"/>
      <c r="R84" s="179"/>
      <c r="S84" s="178"/>
      <c r="T84" s="179"/>
      <c r="U84" s="180"/>
      <c r="V84" s="179"/>
      <c r="W84" s="181"/>
      <c r="X84" s="395" t="str">
        <f>ROUND(O52,1)&amp;" kN/m2"</f>
        <v>-1.1 kN/m2</v>
      </c>
      <c r="Y84" s="396"/>
      <c r="Z84" s="213"/>
    </row>
    <row r="85" spans="2:42" ht="15">
      <c r="B85" s="53"/>
      <c r="C85" s="212"/>
      <c r="D85" s="406" t="str">
        <f>ROUND(E53,1)&amp;" kN/m2"</f>
        <v>0.2 kN/m2</v>
      </c>
      <c r="E85" s="404"/>
      <c r="F85" s="178"/>
      <c r="G85" s="179"/>
      <c r="H85" s="179"/>
      <c r="I85" s="180"/>
      <c r="J85" s="181"/>
      <c r="K85" s="179"/>
      <c r="L85" s="179"/>
      <c r="M85" s="182"/>
      <c r="N85" s="13"/>
      <c r="O85" s="13"/>
      <c r="P85" s="185"/>
      <c r="Q85" s="179"/>
      <c r="R85" s="179"/>
      <c r="S85" s="178"/>
      <c r="T85" s="179"/>
      <c r="U85" s="180"/>
      <c r="V85" s="179"/>
      <c r="W85" s="181"/>
      <c r="X85" s="397" t="str">
        <f>ROUND(O53,1)&amp;" kN/m2"</f>
        <v>0.2 kN/m2</v>
      </c>
      <c r="Y85" s="398"/>
      <c r="Z85" s="213"/>
      <c r="AD85" s="33"/>
      <c r="AE85" s="33"/>
      <c r="AF85" s="33"/>
    </row>
    <row r="86" spans="2:42" ht="15">
      <c r="B86" s="53"/>
      <c r="C86" s="212"/>
      <c r="D86" s="183"/>
      <c r="E86" s="184"/>
      <c r="F86" s="178"/>
      <c r="G86" s="179"/>
      <c r="H86" s="179"/>
      <c r="I86" s="180"/>
      <c r="J86" s="181"/>
      <c r="K86" s="179"/>
      <c r="L86" s="179"/>
      <c r="M86" s="182"/>
      <c r="N86" s="13"/>
      <c r="O86" s="13"/>
      <c r="P86" s="185"/>
      <c r="Q86" s="179"/>
      <c r="R86" s="179"/>
      <c r="S86" s="178"/>
      <c r="T86" s="179"/>
      <c r="U86" s="180"/>
      <c r="V86" s="179"/>
      <c r="W86" s="181"/>
      <c r="X86" s="184"/>
      <c r="Y86" s="193"/>
      <c r="Z86" s="213"/>
      <c r="AD86" s="33"/>
      <c r="AE86" s="33"/>
      <c r="AF86" s="33"/>
      <c r="AG86" s="20"/>
    </row>
    <row r="87" spans="2:42" ht="15">
      <c r="B87" s="53"/>
      <c r="C87" s="32"/>
      <c r="D87" s="185"/>
      <c r="E87" s="179"/>
      <c r="F87" s="178"/>
      <c r="G87" s="179"/>
      <c r="H87" s="179"/>
      <c r="I87" s="180"/>
      <c r="J87" s="181"/>
      <c r="K87" s="179"/>
      <c r="L87" s="179"/>
      <c r="M87" s="182"/>
      <c r="N87" s="13"/>
      <c r="O87" s="13"/>
      <c r="P87" s="185"/>
      <c r="Q87" s="179"/>
      <c r="R87" s="179"/>
      <c r="S87" s="178"/>
      <c r="T87" s="179"/>
      <c r="U87" s="180"/>
      <c r="V87" s="179"/>
      <c r="W87" s="181"/>
      <c r="X87" s="194"/>
      <c r="Y87" s="195"/>
      <c r="Z87" s="139"/>
      <c r="AD87" s="33"/>
      <c r="AE87" s="33"/>
      <c r="AF87" s="33"/>
      <c r="AG87" s="20"/>
      <c r="AI87" s="34"/>
      <c r="AJ87" s="34"/>
      <c r="AK87" s="34"/>
      <c r="AL87" s="34"/>
    </row>
    <row r="88" spans="2:42" ht="15">
      <c r="B88" s="53"/>
      <c r="C88" s="32"/>
      <c r="D88" s="185"/>
      <c r="E88" s="179"/>
      <c r="F88" s="178"/>
      <c r="G88" s="179"/>
      <c r="H88" s="179"/>
      <c r="I88" s="180"/>
      <c r="J88" s="181"/>
      <c r="K88" s="179"/>
      <c r="L88" s="179"/>
      <c r="M88" s="182"/>
      <c r="N88" s="13"/>
      <c r="O88" s="13"/>
      <c r="P88" s="185"/>
      <c r="Q88" s="179"/>
      <c r="R88" s="179"/>
      <c r="S88" s="178"/>
      <c r="T88" s="179"/>
      <c r="U88" s="180"/>
      <c r="V88" s="179"/>
      <c r="W88" s="181"/>
      <c r="X88" s="178"/>
      <c r="Y88" s="182"/>
      <c r="Z88" s="139"/>
      <c r="AB88" s="207"/>
      <c r="AC88" s="207"/>
      <c r="AD88" s="33"/>
      <c r="AE88" s="33"/>
      <c r="AF88" s="33"/>
      <c r="AG88" s="33"/>
      <c r="AH88" s="33"/>
      <c r="AI88" s="391"/>
      <c r="AJ88" s="391"/>
      <c r="AK88" s="391"/>
      <c r="AL88" s="34"/>
    </row>
    <row r="89" spans="2:42" ht="15">
      <c r="B89" s="53"/>
      <c r="C89" s="35"/>
      <c r="D89" s="186"/>
      <c r="E89" s="179"/>
      <c r="F89" s="178"/>
      <c r="G89" s="179"/>
      <c r="H89" s="179"/>
      <c r="I89" s="180"/>
      <c r="J89" s="181"/>
      <c r="K89" s="179"/>
      <c r="L89" s="179"/>
      <c r="M89" s="182"/>
      <c r="N89" s="13"/>
      <c r="O89" s="13"/>
      <c r="P89" s="185"/>
      <c r="Q89" s="179"/>
      <c r="R89" s="179"/>
      <c r="S89" s="178"/>
      <c r="T89" s="179"/>
      <c r="U89" s="180"/>
      <c r="V89" s="179"/>
      <c r="W89" s="181"/>
      <c r="X89" s="196"/>
      <c r="Y89" s="182"/>
      <c r="Z89" s="139"/>
      <c r="AB89" s="207"/>
      <c r="AC89" s="207"/>
      <c r="AD89" s="33"/>
      <c r="AE89" s="33"/>
      <c r="AF89" s="33"/>
      <c r="AG89" s="33"/>
      <c r="AH89" s="33"/>
      <c r="AI89" s="391"/>
      <c r="AJ89" s="391"/>
      <c r="AK89" s="391"/>
      <c r="AL89" s="34"/>
    </row>
    <row r="90" spans="2:42" ht="15">
      <c r="B90" s="53"/>
      <c r="C90" s="32"/>
      <c r="D90" s="392" t="s">
        <v>169</v>
      </c>
      <c r="E90" s="393"/>
      <c r="F90" s="410" t="s">
        <v>171</v>
      </c>
      <c r="G90" s="393"/>
      <c r="H90" s="393"/>
      <c r="I90" s="399" t="s">
        <v>175</v>
      </c>
      <c r="J90" s="400"/>
      <c r="K90" s="410" t="s">
        <v>173</v>
      </c>
      <c r="L90" s="393"/>
      <c r="M90" s="394"/>
      <c r="N90" s="13"/>
      <c r="O90" s="13"/>
      <c r="P90" s="392" t="s">
        <v>173</v>
      </c>
      <c r="Q90" s="393"/>
      <c r="R90" s="393"/>
      <c r="S90" s="410" t="s">
        <v>175</v>
      </c>
      <c r="T90" s="393"/>
      <c r="U90" s="399" t="s">
        <v>171</v>
      </c>
      <c r="V90" s="393"/>
      <c r="W90" s="400"/>
      <c r="X90" s="410" t="s">
        <v>169</v>
      </c>
      <c r="Y90" s="394"/>
      <c r="Z90" s="139"/>
      <c r="AB90" s="207"/>
      <c r="AC90" s="207"/>
      <c r="AD90" s="33"/>
      <c r="AE90" s="33"/>
      <c r="AF90" s="33"/>
      <c r="AG90" s="33"/>
      <c r="AH90" s="33"/>
      <c r="AI90" s="391"/>
      <c r="AJ90" s="391"/>
      <c r="AK90" s="391"/>
    </row>
    <row r="91" spans="2:42" ht="15">
      <c r="B91" s="53"/>
      <c r="C91" s="32"/>
      <c r="D91" s="407" t="str">
        <f>ROUND(G52,1)&amp;" kN/m2"</f>
        <v>-0.9 kN/m2</v>
      </c>
      <c r="E91" s="395"/>
      <c r="F91" s="409" t="str">
        <f>ROUND(I52,1)&amp;" kN/m2"</f>
        <v>-0.5 kN/m2</v>
      </c>
      <c r="G91" s="395"/>
      <c r="H91" s="395"/>
      <c r="I91" s="401" t="str">
        <f>ROUND(M52,1)&amp;" kN/m2"</f>
        <v>-0.7 kN/m2</v>
      </c>
      <c r="J91" s="402"/>
      <c r="K91" s="409" t="str">
        <f>ROUND(K52,1)&amp;" kN/m2"</f>
        <v>-0.5 kN/m2</v>
      </c>
      <c r="L91" s="395"/>
      <c r="M91" s="396"/>
      <c r="N91" s="13"/>
      <c r="O91" s="13"/>
      <c r="P91" s="407" t="str">
        <f>ROUND(U52,1)&amp;" kN/m2"</f>
        <v>-0.5 kN/m2</v>
      </c>
      <c r="Q91" s="395"/>
      <c r="R91" s="395"/>
      <c r="S91" s="409" t="str">
        <f>ROUND(W52,1)&amp;" kN/m2"</f>
        <v>-0.7 kN/m2</v>
      </c>
      <c r="T91" s="395"/>
      <c r="U91" s="401" t="str">
        <f>ROUND(S52,1)&amp;" kN/m2"</f>
        <v>-0.5 kN/m2</v>
      </c>
      <c r="V91" s="395"/>
      <c r="W91" s="402"/>
      <c r="X91" s="409" t="str">
        <f>ROUND(Q52,1)&amp;" kN/m2"</f>
        <v>-0.9 kN/m2</v>
      </c>
      <c r="Y91" s="396"/>
      <c r="Z91" s="139"/>
      <c r="AB91" s="207"/>
      <c r="AC91" s="207"/>
      <c r="AD91" s="33"/>
      <c r="AE91" s="33"/>
      <c r="AF91" s="33"/>
      <c r="AG91" s="33"/>
      <c r="AH91" s="33"/>
      <c r="AI91" s="391"/>
      <c r="AJ91" s="391"/>
      <c r="AK91" s="391"/>
    </row>
    <row r="92" spans="2:42" ht="15">
      <c r="B92" s="53"/>
      <c r="C92" s="32"/>
      <c r="D92" s="406" t="str">
        <f>ROUND(G53,1)&amp;" kN/m2"</f>
        <v>0.2 kN/m2</v>
      </c>
      <c r="E92" s="404"/>
      <c r="F92" s="408" t="str">
        <f>ROUND(I53,1)&amp;" kN/m2"</f>
        <v>0.2 kN/m2</v>
      </c>
      <c r="G92" s="404"/>
      <c r="H92" s="404"/>
      <c r="I92" s="403" t="str">
        <f>ROUND(M53,1)&amp;" kN/m2"</f>
        <v>0.2 kN/m2</v>
      </c>
      <c r="J92" s="405"/>
      <c r="K92" s="408" t="str">
        <f>ROUND(K53,1)&amp;" kN/m2"</f>
        <v>0 kN/m2</v>
      </c>
      <c r="L92" s="404"/>
      <c r="M92" s="398"/>
      <c r="N92" s="13"/>
      <c r="O92" s="13"/>
      <c r="P92" s="406" t="str">
        <f>ROUND(U53,1)&amp;" kN/m2"</f>
        <v>0 kN/m2</v>
      </c>
      <c r="Q92" s="404"/>
      <c r="R92" s="404"/>
      <c r="S92" s="408" t="str">
        <f>ROUND(W53,1)&amp;" kN/m2"</f>
        <v>0.2 kN/m2</v>
      </c>
      <c r="T92" s="404"/>
      <c r="U92" s="403" t="str">
        <f>ROUND(S53,1)&amp;" kN/m2"</f>
        <v>0.2 kN/m2</v>
      </c>
      <c r="V92" s="404"/>
      <c r="W92" s="405"/>
      <c r="X92" s="408" t="str">
        <f>ROUND(Q53,1)&amp;" kN/m2"</f>
        <v>0.2 kN/m2</v>
      </c>
      <c r="Y92" s="398"/>
      <c r="Z92" s="139"/>
      <c r="AB92" s="207"/>
      <c r="AC92" s="207"/>
      <c r="AD92" s="33"/>
      <c r="AE92" s="33"/>
      <c r="AF92" s="33"/>
      <c r="AG92" s="33"/>
      <c r="AH92" s="33"/>
      <c r="AI92" s="391"/>
      <c r="AJ92" s="391"/>
      <c r="AK92" s="391"/>
    </row>
    <row r="93" spans="2:42" ht="15">
      <c r="B93" s="53"/>
      <c r="C93" s="32"/>
      <c r="D93" s="185"/>
      <c r="E93" s="179"/>
      <c r="F93" s="178"/>
      <c r="G93" s="179"/>
      <c r="H93" s="179"/>
      <c r="I93" s="180"/>
      <c r="J93" s="181"/>
      <c r="K93" s="179"/>
      <c r="L93" s="179"/>
      <c r="M93" s="182"/>
      <c r="N93" s="13"/>
      <c r="O93" s="13"/>
      <c r="P93" s="185"/>
      <c r="Q93" s="179"/>
      <c r="R93" s="179"/>
      <c r="S93" s="178"/>
      <c r="T93" s="179"/>
      <c r="U93" s="180"/>
      <c r="V93" s="179"/>
      <c r="W93" s="181"/>
      <c r="X93" s="178"/>
      <c r="Y93" s="182"/>
      <c r="Z93" s="139"/>
      <c r="AB93" s="414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</row>
    <row r="94" spans="2:42" ht="15">
      <c r="B94" s="53"/>
      <c r="C94" s="32"/>
      <c r="D94" s="185"/>
      <c r="E94" s="179"/>
      <c r="F94" s="178"/>
      <c r="G94" s="179"/>
      <c r="H94" s="179"/>
      <c r="I94" s="180"/>
      <c r="J94" s="181"/>
      <c r="K94" s="179"/>
      <c r="L94" s="179"/>
      <c r="M94" s="182"/>
      <c r="N94" s="13"/>
      <c r="O94" s="13"/>
      <c r="P94" s="185"/>
      <c r="Q94" s="179"/>
      <c r="R94" s="179"/>
      <c r="S94" s="178"/>
      <c r="T94" s="179"/>
      <c r="U94" s="180"/>
      <c r="V94" s="179"/>
      <c r="W94" s="181"/>
      <c r="X94" s="178"/>
      <c r="Y94" s="182"/>
      <c r="Z94" s="139"/>
      <c r="AB94" s="414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</row>
    <row r="95" spans="2:42" ht="15">
      <c r="B95" s="53"/>
      <c r="C95" s="32"/>
      <c r="D95" s="185"/>
      <c r="E95" s="179"/>
      <c r="F95" s="178"/>
      <c r="G95" s="179"/>
      <c r="H95" s="179"/>
      <c r="I95" s="180"/>
      <c r="J95" s="181"/>
      <c r="K95" s="179"/>
      <c r="L95" s="179"/>
      <c r="M95" s="182"/>
      <c r="N95" s="13"/>
      <c r="O95" s="13"/>
      <c r="P95" s="185"/>
      <c r="Q95" s="179"/>
      <c r="R95" s="179"/>
      <c r="S95" s="178"/>
      <c r="T95" s="179"/>
      <c r="U95" s="180"/>
      <c r="V95" s="179"/>
      <c r="W95" s="181"/>
      <c r="X95" s="178"/>
      <c r="Y95" s="182"/>
      <c r="Z95" s="139"/>
      <c r="AB95" s="414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</row>
    <row r="96" spans="2:42" ht="15.75" thickBot="1">
      <c r="B96" s="53"/>
      <c r="C96" s="32"/>
      <c r="D96" s="185"/>
      <c r="E96" s="179"/>
      <c r="F96" s="178"/>
      <c r="G96" s="179"/>
      <c r="H96" s="179"/>
      <c r="I96" s="180"/>
      <c r="J96" s="181"/>
      <c r="K96" s="179"/>
      <c r="L96" s="179"/>
      <c r="M96" s="182"/>
      <c r="N96" s="13"/>
      <c r="O96" s="13"/>
      <c r="P96" s="185"/>
      <c r="Q96" s="179"/>
      <c r="R96" s="179"/>
      <c r="S96" s="178"/>
      <c r="T96" s="179"/>
      <c r="U96" s="180"/>
      <c r="V96" s="179"/>
      <c r="W96" s="181"/>
      <c r="X96" s="197"/>
      <c r="Y96" s="193"/>
      <c r="Z96" s="139"/>
      <c r="AB96" s="54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</row>
    <row r="97" spans="2:42" ht="15">
      <c r="B97" s="53"/>
      <c r="C97" s="212" t="str">
        <f>"d1 = "&amp; ROUND(AD83/4,1)&amp;"m"</f>
        <v>d1 = 5m</v>
      </c>
      <c r="D97" s="172"/>
      <c r="E97" s="173"/>
      <c r="F97" s="178"/>
      <c r="G97" s="179"/>
      <c r="H97" s="179"/>
      <c r="I97" s="180"/>
      <c r="J97" s="181"/>
      <c r="K97" s="179"/>
      <c r="L97" s="179"/>
      <c r="M97" s="182"/>
      <c r="N97" s="13"/>
      <c r="O97" s="13"/>
      <c r="P97" s="185"/>
      <c r="Q97" s="179"/>
      <c r="R97" s="179"/>
      <c r="S97" s="178"/>
      <c r="T97" s="179"/>
      <c r="U97" s="180"/>
      <c r="V97" s="179"/>
      <c r="W97" s="181"/>
      <c r="X97" s="179"/>
      <c r="Y97" s="182"/>
      <c r="Z97" s="213" t="str">
        <f>C97</f>
        <v>d1 = 5m</v>
      </c>
      <c r="AB97" s="54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</row>
    <row r="98" spans="2:42" ht="15">
      <c r="B98" s="53"/>
      <c r="C98" s="212"/>
      <c r="D98" s="392" t="s">
        <v>167</v>
      </c>
      <c r="E98" s="393"/>
      <c r="F98" s="178"/>
      <c r="G98" s="179"/>
      <c r="H98" s="179"/>
      <c r="I98" s="180"/>
      <c r="J98" s="181"/>
      <c r="K98" s="179"/>
      <c r="L98" s="179"/>
      <c r="M98" s="182"/>
      <c r="N98" s="13"/>
      <c r="O98" s="13"/>
      <c r="P98" s="185"/>
      <c r="Q98" s="179"/>
      <c r="R98" s="179"/>
      <c r="S98" s="178"/>
      <c r="T98" s="179"/>
      <c r="U98" s="180"/>
      <c r="V98" s="179"/>
      <c r="W98" s="181"/>
      <c r="X98" s="393" t="s">
        <v>167</v>
      </c>
      <c r="Y98" s="394"/>
      <c r="Z98" s="213"/>
      <c r="AB98" s="54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</row>
    <row r="99" spans="2:42" ht="15">
      <c r="B99" s="53"/>
      <c r="C99" s="212"/>
      <c r="D99" s="407" t="str">
        <f>D84</f>
        <v>-1.1 kN/m2</v>
      </c>
      <c r="E99" s="395"/>
      <c r="F99" s="178"/>
      <c r="G99" s="179"/>
      <c r="H99" s="179"/>
      <c r="I99" s="180"/>
      <c r="J99" s="181"/>
      <c r="K99" s="179"/>
      <c r="L99" s="179"/>
      <c r="M99" s="182"/>
      <c r="N99" s="13"/>
      <c r="O99" s="13"/>
      <c r="P99" s="185"/>
      <c r="Q99" s="179"/>
      <c r="R99" s="179"/>
      <c r="S99" s="178"/>
      <c r="T99" s="179"/>
      <c r="U99" s="180"/>
      <c r="V99" s="179"/>
      <c r="W99" s="181"/>
      <c r="X99" s="395" t="str">
        <f>X84</f>
        <v>-1.1 kN/m2</v>
      </c>
      <c r="Y99" s="396"/>
      <c r="Z99" s="213"/>
      <c r="AB99" s="54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</row>
    <row r="100" spans="2:42" ht="15">
      <c r="B100" s="53"/>
      <c r="C100" s="212"/>
      <c r="D100" s="406" t="str">
        <f>D85</f>
        <v>0.2 kN/m2</v>
      </c>
      <c r="E100" s="404"/>
      <c r="F100" s="178"/>
      <c r="G100" s="179"/>
      <c r="H100" s="179"/>
      <c r="I100" s="180"/>
      <c r="J100" s="181"/>
      <c r="K100" s="179"/>
      <c r="L100" s="179"/>
      <c r="M100" s="182"/>
      <c r="N100" s="13"/>
      <c r="O100" s="13"/>
      <c r="P100" s="185"/>
      <c r="Q100" s="179"/>
      <c r="R100" s="179"/>
      <c r="S100" s="178"/>
      <c r="T100" s="179"/>
      <c r="U100" s="180"/>
      <c r="V100" s="179"/>
      <c r="W100" s="181"/>
      <c r="X100" s="397" t="str">
        <f>X85</f>
        <v>0.2 kN/m2</v>
      </c>
      <c r="Y100" s="398"/>
      <c r="Z100" s="213"/>
      <c r="AB100" s="54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</row>
    <row r="101" spans="2:42" ht="15.75" thickBot="1">
      <c r="B101" s="53"/>
      <c r="C101" s="212"/>
      <c r="D101" s="187"/>
      <c r="E101" s="188"/>
      <c r="F101" s="189"/>
      <c r="G101" s="188"/>
      <c r="H101" s="188"/>
      <c r="I101" s="190"/>
      <c r="J101" s="191"/>
      <c r="K101" s="188"/>
      <c r="L101" s="188"/>
      <c r="M101" s="192"/>
      <c r="N101" s="13"/>
      <c r="O101" s="13"/>
      <c r="P101" s="187"/>
      <c r="Q101" s="188"/>
      <c r="R101" s="188"/>
      <c r="S101" s="189"/>
      <c r="T101" s="188"/>
      <c r="U101" s="190"/>
      <c r="V101" s="188"/>
      <c r="W101" s="191"/>
      <c r="X101" s="188"/>
      <c r="Y101" s="192"/>
      <c r="Z101" s="213"/>
      <c r="AB101" s="54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</row>
    <row r="102" spans="2:42" ht="15">
      <c r="B102" s="53"/>
      <c r="C102" s="32"/>
      <c r="D102" s="211" t="str">
        <f>"d1 = "&amp; ROUND(AD83/10,1)&amp;"m"</f>
        <v>d1 = 2m</v>
      </c>
      <c r="E102" s="211"/>
      <c r="F102" s="13"/>
      <c r="G102" s="13"/>
      <c r="H102" s="13"/>
      <c r="I102" s="211" t="str">
        <f>"d1 = "&amp; ROUND(AD83/10,1)&amp;"m"</f>
        <v>d1 = 2m</v>
      </c>
      <c r="J102" s="211"/>
      <c r="K102" s="13"/>
      <c r="L102" s="13"/>
      <c r="M102" s="13"/>
      <c r="N102" s="13"/>
      <c r="O102" s="13"/>
      <c r="P102" s="13"/>
      <c r="Q102" s="13"/>
      <c r="R102" s="13"/>
      <c r="S102" s="211" t="str">
        <f>D102</f>
        <v>d1 = 2m</v>
      </c>
      <c r="T102" s="211"/>
      <c r="U102" s="13"/>
      <c r="V102" s="13"/>
      <c r="W102" s="13"/>
      <c r="X102" s="211" t="str">
        <f>D102</f>
        <v>d1 = 2m</v>
      </c>
      <c r="Y102" s="211"/>
      <c r="Z102" s="139"/>
      <c r="AB102" s="54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</row>
    <row r="103" spans="2:42" ht="15">
      <c r="B103" s="53"/>
      <c r="C103" s="32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9"/>
      <c r="AB103" s="54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</row>
    <row r="104" spans="2:42" ht="15">
      <c r="B104" s="53"/>
      <c r="C104" s="32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3"/>
      <c r="Z104" s="139"/>
      <c r="AB104" s="33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</row>
    <row r="105" spans="2:42" ht="15">
      <c r="B105" s="53"/>
      <c r="C105" s="411" t="s">
        <v>236</v>
      </c>
      <c r="D105" s="412"/>
      <c r="E105" s="412"/>
      <c r="F105" s="412"/>
      <c r="G105" s="412"/>
      <c r="H105" s="412"/>
      <c r="I105" s="412"/>
      <c r="J105" s="412"/>
      <c r="K105" s="412"/>
      <c r="L105" s="412"/>
      <c r="M105" s="412"/>
      <c r="N105" s="412"/>
      <c r="O105" s="412"/>
      <c r="P105" s="412"/>
      <c r="Q105" s="412"/>
      <c r="R105" s="412"/>
      <c r="S105" s="412"/>
      <c r="T105" s="412"/>
      <c r="U105" s="412"/>
      <c r="V105" s="412"/>
      <c r="W105" s="412"/>
      <c r="X105" s="412"/>
      <c r="Y105" s="412"/>
      <c r="Z105" s="413"/>
      <c r="AB105" s="33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</row>
    <row r="106" spans="2:42" ht="15" hidden="1">
      <c r="B106" s="53"/>
      <c r="C106" s="30"/>
      <c r="D106" s="31"/>
      <c r="E106" s="31"/>
      <c r="F106" s="63"/>
      <c r="G106" s="63"/>
      <c r="H106" s="63"/>
      <c r="I106" s="63"/>
      <c r="J106" s="63"/>
      <c r="K106" s="63"/>
      <c r="L106" s="63"/>
      <c r="M106" s="63"/>
      <c r="N106" s="63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138"/>
      <c r="AB106" s="33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</row>
    <row r="107" spans="2:42" ht="15.75" thickBot="1">
      <c r="C107" s="32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498" t="str">
        <f>L128</f>
        <v>b1 = 5m</v>
      </c>
      <c r="Q107" s="498"/>
      <c r="R107" s="13"/>
      <c r="S107" s="13"/>
      <c r="T107" s="13"/>
      <c r="U107" s="13"/>
      <c r="V107" s="13"/>
      <c r="W107" s="13"/>
      <c r="X107" s="498" t="str">
        <f>L128</f>
        <v>b1 = 5m</v>
      </c>
      <c r="Y107" s="498"/>
      <c r="Z107" s="135"/>
      <c r="AB107" s="208" t="s">
        <v>165</v>
      </c>
      <c r="AC107" s="209"/>
      <c r="AD107" s="210"/>
    </row>
    <row r="108" spans="2:42" ht="15">
      <c r="C108" s="32"/>
      <c r="D108" s="172"/>
      <c r="E108" s="173"/>
      <c r="F108" s="173"/>
      <c r="G108" s="173"/>
      <c r="H108" s="173"/>
      <c r="I108" s="175"/>
      <c r="J108" s="173"/>
      <c r="K108" s="173"/>
      <c r="L108" s="173"/>
      <c r="M108" s="177"/>
      <c r="N108" s="13"/>
      <c r="O108" s="13"/>
      <c r="P108" s="199"/>
      <c r="Q108" s="202"/>
      <c r="R108" s="194"/>
      <c r="S108" s="200"/>
      <c r="T108" s="200"/>
      <c r="U108" s="201"/>
      <c r="V108" s="200"/>
      <c r="W108" s="202"/>
      <c r="X108" s="194"/>
      <c r="Y108" s="195"/>
      <c r="Z108" s="499" t="str">
        <f>C123</f>
        <v>d1 = 2m</v>
      </c>
      <c r="AB108" s="17" t="s">
        <v>331</v>
      </c>
      <c r="AC108" s="17" t="s">
        <v>332</v>
      </c>
      <c r="AD108" s="17" t="s">
        <v>333</v>
      </c>
    </row>
    <row r="109" spans="2:42" ht="15">
      <c r="C109" s="32"/>
      <c r="D109" s="185"/>
      <c r="E109" s="179"/>
      <c r="F109" s="179"/>
      <c r="G109" s="179"/>
      <c r="H109" s="179"/>
      <c r="I109" s="180"/>
      <c r="J109" s="179"/>
      <c r="K109" s="179"/>
      <c r="L109" s="179"/>
      <c r="M109" s="182"/>
      <c r="N109" s="13"/>
      <c r="O109" s="13"/>
      <c r="P109" s="392" t="s">
        <v>167</v>
      </c>
      <c r="Q109" s="400"/>
      <c r="R109" s="410" t="s">
        <v>169</v>
      </c>
      <c r="S109" s="393"/>
      <c r="T109" s="393"/>
      <c r="U109" s="399" t="s">
        <v>169</v>
      </c>
      <c r="V109" s="393"/>
      <c r="W109" s="400"/>
      <c r="X109" s="410" t="s">
        <v>167</v>
      </c>
      <c r="Y109" s="394"/>
      <c r="Z109" s="499"/>
      <c r="AB109" s="106">
        <f>M39</f>
        <v>20</v>
      </c>
      <c r="AC109" s="106">
        <f>M20</f>
        <v>10</v>
      </c>
      <c r="AD109" s="17">
        <f>MIN(AB109,2*AC109)</f>
        <v>20</v>
      </c>
    </row>
    <row r="110" spans="2:42" ht="15">
      <c r="C110" s="32"/>
      <c r="D110" s="185"/>
      <c r="E110" s="179"/>
      <c r="F110" s="179"/>
      <c r="G110" s="179"/>
      <c r="H110" s="179"/>
      <c r="I110" s="180"/>
      <c r="J110" s="179"/>
      <c r="K110" s="179"/>
      <c r="L110" s="179"/>
      <c r="M110" s="182"/>
      <c r="N110" s="13"/>
      <c r="O110" s="13"/>
      <c r="P110" s="407" t="str">
        <f>ROUND(M64,1)&amp;" kN/m2"</f>
        <v>-1.2 kN/m2</v>
      </c>
      <c r="Q110" s="402"/>
      <c r="R110" s="409" t="str">
        <f>ROUND(O64,1)&amp;" kN/m2"</f>
        <v>-1 kN/m2</v>
      </c>
      <c r="S110" s="395"/>
      <c r="T110" s="395"/>
      <c r="U110" s="401" t="str">
        <f>R110</f>
        <v>-1 kN/m2</v>
      </c>
      <c r="V110" s="395"/>
      <c r="W110" s="402"/>
      <c r="X110" s="409" t="str">
        <f>P110</f>
        <v>-1.2 kN/m2</v>
      </c>
      <c r="Y110" s="396"/>
      <c r="Z110" s="499"/>
    </row>
    <row r="111" spans="2:42" ht="15">
      <c r="C111" s="32"/>
      <c r="D111" s="185"/>
      <c r="E111" s="179"/>
      <c r="F111" s="179"/>
      <c r="G111" s="179"/>
      <c r="H111" s="179"/>
      <c r="I111" s="180"/>
      <c r="J111" s="179"/>
      <c r="K111" s="179"/>
      <c r="L111" s="179"/>
      <c r="M111" s="182"/>
      <c r="N111" s="13"/>
      <c r="O111" s="13"/>
      <c r="P111" s="406" t="str">
        <f>ROUND(M65,1)&amp;" kN/m2"</f>
        <v>-0.9 kN/m2</v>
      </c>
      <c r="Q111" s="405"/>
      <c r="R111" s="408" t="str">
        <f>ROUND(O65,1)&amp;" kN/m2"</f>
        <v>-0.8 kN/m2</v>
      </c>
      <c r="S111" s="404"/>
      <c r="T111" s="404"/>
      <c r="U111" s="403" t="str">
        <f>R111</f>
        <v>-0.8 kN/m2</v>
      </c>
      <c r="V111" s="404"/>
      <c r="W111" s="405"/>
      <c r="X111" s="408" t="str">
        <f>P111</f>
        <v>-0.9 kN/m2</v>
      </c>
      <c r="Y111" s="398"/>
      <c r="Z111" s="499"/>
    </row>
    <row r="112" spans="2:42" ht="15.75" thickBot="1">
      <c r="C112" s="32"/>
      <c r="D112" s="392" t="s">
        <v>173</v>
      </c>
      <c r="E112" s="393"/>
      <c r="F112" s="393"/>
      <c r="G112" s="393"/>
      <c r="H112" s="393"/>
      <c r="I112" s="399" t="s">
        <v>173</v>
      </c>
      <c r="J112" s="393"/>
      <c r="K112" s="393"/>
      <c r="L112" s="393"/>
      <c r="M112" s="394"/>
      <c r="N112" s="13"/>
      <c r="O112" s="13"/>
      <c r="P112" s="187"/>
      <c r="Q112" s="191"/>
      <c r="R112" s="189"/>
      <c r="S112" s="188"/>
      <c r="T112" s="188"/>
      <c r="U112" s="190"/>
      <c r="V112" s="188"/>
      <c r="W112" s="191"/>
      <c r="X112" s="189"/>
      <c r="Y112" s="192"/>
      <c r="Z112" s="499"/>
    </row>
    <row r="113" spans="3:26" ht="15">
      <c r="C113" s="32"/>
      <c r="D113" s="407" t="str">
        <f>ROUND(K64,1)&amp;" kN/m2"</f>
        <v>-0.5 kN/m2</v>
      </c>
      <c r="E113" s="395"/>
      <c r="F113" s="395"/>
      <c r="G113" s="395"/>
      <c r="H113" s="395"/>
      <c r="I113" s="401" t="str">
        <f>D113</f>
        <v>-0.5 kN/m2</v>
      </c>
      <c r="J113" s="395"/>
      <c r="K113" s="395"/>
      <c r="L113" s="395"/>
      <c r="M113" s="396"/>
      <c r="N113" s="13"/>
      <c r="O113" s="13"/>
      <c r="P113" s="199"/>
      <c r="Q113" s="200"/>
      <c r="R113" s="200"/>
      <c r="S113" s="200"/>
      <c r="T113" s="200"/>
      <c r="U113" s="201"/>
      <c r="V113" s="200"/>
      <c r="W113" s="200"/>
      <c r="X113" s="200"/>
      <c r="Y113" s="195"/>
      <c r="Z113" s="213" t="str">
        <f>C118</f>
        <v>d2 = 8m</v>
      </c>
    </row>
    <row r="114" spans="3:26" ht="15">
      <c r="C114" s="32"/>
      <c r="D114" s="406" t="str">
        <f>ROUND(K65,1)&amp;" kN/m2"</f>
        <v>-0.3 kN/m2</v>
      </c>
      <c r="E114" s="404"/>
      <c r="F114" s="404"/>
      <c r="G114" s="404"/>
      <c r="H114" s="404"/>
      <c r="I114" s="403" t="str">
        <f>D114</f>
        <v>-0.3 kN/m2</v>
      </c>
      <c r="J114" s="404"/>
      <c r="K114" s="404"/>
      <c r="L114" s="404"/>
      <c r="M114" s="398"/>
      <c r="N114" s="13"/>
      <c r="O114" s="13"/>
      <c r="P114" s="392" t="s">
        <v>171</v>
      </c>
      <c r="Q114" s="393"/>
      <c r="R114" s="393"/>
      <c r="S114" s="393"/>
      <c r="T114" s="393"/>
      <c r="U114" s="399" t="s">
        <v>171</v>
      </c>
      <c r="V114" s="393"/>
      <c r="W114" s="393"/>
      <c r="X114" s="393"/>
      <c r="Y114" s="394"/>
      <c r="Z114" s="213"/>
    </row>
    <row r="115" spans="3:26" ht="15">
      <c r="C115" s="35"/>
      <c r="D115" s="185"/>
      <c r="E115" s="179"/>
      <c r="F115" s="179"/>
      <c r="G115" s="179"/>
      <c r="H115" s="179"/>
      <c r="I115" s="180"/>
      <c r="J115" s="179"/>
      <c r="K115" s="179"/>
      <c r="L115" s="179"/>
      <c r="M115" s="182"/>
      <c r="N115" s="13"/>
      <c r="O115" s="13"/>
      <c r="P115" s="407" t="str">
        <f>ROUND(Q64,1)&amp;" kN/m2"</f>
        <v>-0.6 kN/m2</v>
      </c>
      <c r="Q115" s="395"/>
      <c r="R115" s="395"/>
      <c r="S115" s="395"/>
      <c r="T115" s="395"/>
      <c r="U115" s="401" t="str">
        <f>P115</f>
        <v>-0.6 kN/m2</v>
      </c>
      <c r="V115" s="395"/>
      <c r="W115" s="395"/>
      <c r="X115" s="395"/>
      <c r="Y115" s="396"/>
      <c r="Z115" s="213"/>
    </row>
    <row r="116" spans="3:26" ht="15">
      <c r="C116" s="32"/>
      <c r="D116" s="185"/>
      <c r="E116" s="179"/>
      <c r="F116" s="179"/>
      <c r="G116" s="179"/>
      <c r="H116" s="179"/>
      <c r="I116" s="180"/>
      <c r="J116" s="179"/>
      <c r="K116" s="179"/>
      <c r="L116" s="179"/>
      <c r="M116" s="182"/>
      <c r="N116" s="13"/>
      <c r="O116" s="13"/>
      <c r="P116" s="406" t="str">
        <f>ROUND(Q65,1)&amp;" kN/m2"</f>
        <v>-0.3 kN/m2</v>
      </c>
      <c r="Q116" s="404"/>
      <c r="R116" s="404"/>
      <c r="S116" s="404"/>
      <c r="T116" s="404"/>
      <c r="U116" s="403" t="str">
        <f>P116</f>
        <v>-0.3 kN/m2</v>
      </c>
      <c r="V116" s="404"/>
      <c r="W116" s="404"/>
      <c r="X116" s="404"/>
      <c r="Y116" s="398"/>
      <c r="Z116" s="213"/>
    </row>
    <row r="117" spans="3:26" ht="15.75" thickBot="1">
      <c r="C117" s="32"/>
      <c r="D117" s="183"/>
      <c r="E117" s="184"/>
      <c r="F117" s="184"/>
      <c r="G117" s="184"/>
      <c r="H117" s="184"/>
      <c r="I117" s="198"/>
      <c r="J117" s="184"/>
      <c r="K117" s="184"/>
      <c r="L117" s="184"/>
      <c r="M117" s="193"/>
      <c r="N117" s="13"/>
      <c r="O117" s="13"/>
      <c r="P117" s="183"/>
      <c r="Q117" s="184"/>
      <c r="R117" s="184"/>
      <c r="S117" s="184"/>
      <c r="T117" s="184"/>
      <c r="U117" s="198"/>
      <c r="V117" s="184"/>
      <c r="W117" s="184"/>
      <c r="X117" s="184"/>
      <c r="Y117" s="193"/>
      <c r="Z117" s="213"/>
    </row>
    <row r="118" spans="3:26" ht="15">
      <c r="C118" s="212" t="str">
        <f>"d2 = "&amp; ROUND(AD109/2-AD109/10,1)&amp;"m"</f>
        <v>d2 = 8m</v>
      </c>
      <c r="D118" s="199"/>
      <c r="E118" s="200"/>
      <c r="F118" s="200"/>
      <c r="G118" s="200"/>
      <c r="H118" s="200"/>
      <c r="I118" s="201"/>
      <c r="J118" s="200"/>
      <c r="K118" s="200"/>
      <c r="L118" s="200"/>
      <c r="M118" s="195"/>
      <c r="N118" s="13"/>
      <c r="O118" s="13"/>
      <c r="P118" s="172"/>
      <c r="Q118" s="173"/>
      <c r="R118" s="173"/>
      <c r="S118" s="173"/>
      <c r="T118" s="173"/>
      <c r="U118" s="175"/>
      <c r="V118" s="173"/>
      <c r="W118" s="173"/>
      <c r="X118" s="173"/>
      <c r="Y118" s="177"/>
      <c r="Z118" s="139"/>
    </row>
    <row r="119" spans="3:26" ht="15">
      <c r="C119" s="212"/>
      <c r="D119" s="392" t="s">
        <v>171</v>
      </c>
      <c r="E119" s="393"/>
      <c r="F119" s="393"/>
      <c r="G119" s="393"/>
      <c r="H119" s="393"/>
      <c r="I119" s="399" t="s">
        <v>171</v>
      </c>
      <c r="J119" s="393"/>
      <c r="K119" s="393"/>
      <c r="L119" s="393"/>
      <c r="M119" s="394"/>
      <c r="N119" s="13"/>
      <c r="O119" s="13"/>
      <c r="P119" s="185"/>
      <c r="Q119" s="179"/>
      <c r="R119" s="179"/>
      <c r="S119" s="179"/>
      <c r="T119" s="179"/>
      <c r="U119" s="180"/>
      <c r="V119" s="179"/>
      <c r="W119" s="179"/>
      <c r="X119" s="179"/>
      <c r="Y119" s="182"/>
      <c r="Z119" s="139"/>
    </row>
    <row r="120" spans="3:26" ht="15">
      <c r="C120" s="212"/>
      <c r="D120" s="407" t="str">
        <f>ROUND(I64,1)&amp;" kN/m2"</f>
        <v>-0.6 kN/m2</v>
      </c>
      <c r="E120" s="395"/>
      <c r="F120" s="395"/>
      <c r="G120" s="395"/>
      <c r="H120" s="395"/>
      <c r="I120" s="401" t="str">
        <f>D120</f>
        <v>-0.6 kN/m2</v>
      </c>
      <c r="J120" s="395"/>
      <c r="K120" s="395"/>
      <c r="L120" s="395"/>
      <c r="M120" s="396"/>
      <c r="N120" s="13"/>
      <c r="O120" s="13"/>
      <c r="P120" s="185"/>
      <c r="Q120" s="179"/>
      <c r="R120" s="179"/>
      <c r="S120" s="179"/>
      <c r="T120" s="179"/>
      <c r="U120" s="180"/>
      <c r="V120" s="179"/>
      <c r="W120" s="179"/>
      <c r="X120" s="179"/>
      <c r="Y120" s="182"/>
      <c r="Z120" s="139"/>
    </row>
    <row r="121" spans="3:26" ht="15">
      <c r="C121" s="212"/>
      <c r="D121" s="406" t="str">
        <f>ROUND(I65,1)&amp;" kN/m2"</f>
        <v>-0.3 kN/m2</v>
      </c>
      <c r="E121" s="404"/>
      <c r="F121" s="404"/>
      <c r="G121" s="404"/>
      <c r="H121" s="404"/>
      <c r="I121" s="403" t="str">
        <f>D121</f>
        <v>-0.3 kN/m2</v>
      </c>
      <c r="J121" s="404"/>
      <c r="K121" s="404"/>
      <c r="L121" s="404"/>
      <c r="M121" s="398"/>
      <c r="N121" s="13"/>
      <c r="O121" s="13"/>
      <c r="P121" s="185"/>
      <c r="Q121" s="179"/>
      <c r="R121" s="179"/>
      <c r="S121" s="179"/>
      <c r="T121" s="179"/>
      <c r="U121" s="180"/>
      <c r="V121" s="179"/>
      <c r="W121" s="179"/>
      <c r="X121" s="179"/>
      <c r="Y121" s="182"/>
      <c r="Z121" s="139"/>
    </row>
    <row r="122" spans="3:26" ht="15">
      <c r="C122" s="212"/>
      <c r="D122" s="183"/>
      <c r="E122" s="184"/>
      <c r="F122" s="184"/>
      <c r="G122" s="184"/>
      <c r="H122" s="184"/>
      <c r="I122" s="198"/>
      <c r="J122" s="184"/>
      <c r="K122" s="184"/>
      <c r="L122" s="184"/>
      <c r="M122" s="193"/>
      <c r="N122" s="13"/>
      <c r="O122" s="13"/>
      <c r="P122" s="392" t="s">
        <v>173</v>
      </c>
      <c r="Q122" s="393"/>
      <c r="R122" s="393"/>
      <c r="S122" s="393"/>
      <c r="T122" s="393"/>
      <c r="U122" s="399" t="s">
        <v>173</v>
      </c>
      <c r="V122" s="393"/>
      <c r="W122" s="393"/>
      <c r="X122" s="393"/>
      <c r="Y122" s="394"/>
      <c r="Z122" s="139"/>
    </row>
    <row r="123" spans="3:26" ht="15">
      <c r="C123" s="212" t="str">
        <f>"d1 = "&amp; ROUND(AD109/10,1)&amp;"m"</f>
        <v>d1 = 2m</v>
      </c>
      <c r="D123" s="199"/>
      <c r="E123" s="202"/>
      <c r="F123" s="194"/>
      <c r="G123" s="200"/>
      <c r="H123" s="200"/>
      <c r="I123" s="201"/>
      <c r="J123" s="200"/>
      <c r="K123" s="202"/>
      <c r="L123" s="194"/>
      <c r="M123" s="195"/>
      <c r="N123" s="13"/>
      <c r="O123" s="13"/>
      <c r="P123" s="407" t="str">
        <f>ROUND(S64,1)&amp;" kN/m2"</f>
        <v>-0.5 kN/m2</v>
      </c>
      <c r="Q123" s="395"/>
      <c r="R123" s="395"/>
      <c r="S123" s="395"/>
      <c r="T123" s="395"/>
      <c r="U123" s="401" t="str">
        <f>P123</f>
        <v>-0.5 kN/m2</v>
      </c>
      <c r="V123" s="395"/>
      <c r="W123" s="395"/>
      <c r="X123" s="395"/>
      <c r="Y123" s="396"/>
      <c r="Z123" s="139"/>
    </row>
    <row r="124" spans="3:26" ht="15">
      <c r="C124" s="212"/>
      <c r="D124" s="392" t="s">
        <v>167</v>
      </c>
      <c r="E124" s="400"/>
      <c r="F124" s="410" t="s">
        <v>169</v>
      </c>
      <c r="G124" s="393"/>
      <c r="H124" s="393"/>
      <c r="I124" s="399" t="s">
        <v>169</v>
      </c>
      <c r="J124" s="393"/>
      <c r="K124" s="400"/>
      <c r="L124" s="410" t="s">
        <v>167</v>
      </c>
      <c r="M124" s="394"/>
      <c r="N124" s="13"/>
      <c r="O124" s="13"/>
      <c r="P124" s="406" t="str">
        <f>ROUND(S65,1)&amp;" kN/m2"</f>
        <v>-0.3 kN/m2</v>
      </c>
      <c r="Q124" s="404"/>
      <c r="R124" s="404"/>
      <c r="S124" s="404"/>
      <c r="T124" s="404"/>
      <c r="U124" s="403" t="str">
        <f>P124</f>
        <v>-0.3 kN/m2</v>
      </c>
      <c r="V124" s="404"/>
      <c r="W124" s="404"/>
      <c r="X124" s="404"/>
      <c r="Y124" s="398"/>
      <c r="Z124" s="139"/>
    </row>
    <row r="125" spans="3:26" ht="15">
      <c r="C125" s="212"/>
      <c r="D125" s="407" t="str">
        <f>ROUND(E64,1)&amp;" kN/m2"</f>
        <v>-1.2 kN/m2</v>
      </c>
      <c r="E125" s="402"/>
      <c r="F125" s="409" t="str">
        <f>ROUND(G64,1)&amp;" kN/m2"</f>
        <v>-1 kN/m2</v>
      </c>
      <c r="G125" s="395"/>
      <c r="H125" s="395"/>
      <c r="I125" s="401" t="str">
        <f>F125</f>
        <v>-1 kN/m2</v>
      </c>
      <c r="J125" s="395"/>
      <c r="K125" s="402"/>
      <c r="L125" s="409" t="str">
        <f>D125</f>
        <v>-1.2 kN/m2</v>
      </c>
      <c r="M125" s="396"/>
      <c r="N125" s="13"/>
      <c r="O125" s="13"/>
      <c r="P125" s="185"/>
      <c r="Q125" s="179"/>
      <c r="R125" s="179"/>
      <c r="S125" s="179"/>
      <c r="T125" s="179"/>
      <c r="U125" s="180"/>
      <c r="V125" s="179"/>
      <c r="W125" s="179"/>
      <c r="X125" s="179"/>
      <c r="Y125" s="182"/>
      <c r="Z125" s="139"/>
    </row>
    <row r="126" spans="3:26" ht="15">
      <c r="C126" s="212"/>
      <c r="D126" s="406" t="str">
        <f>ROUND(E65,1)&amp;" kN/m2"</f>
        <v>-0.9 kN/m2</v>
      </c>
      <c r="E126" s="405"/>
      <c r="F126" s="408" t="str">
        <f>ROUND(G65,1)&amp;" kN/m2"</f>
        <v>-0.8 kN/m2</v>
      </c>
      <c r="G126" s="404"/>
      <c r="H126" s="404"/>
      <c r="I126" s="403" t="str">
        <f>F126</f>
        <v>-0.8 kN/m2</v>
      </c>
      <c r="J126" s="404"/>
      <c r="K126" s="405"/>
      <c r="L126" s="408" t="str">
        <f>D126</f>
        <v>-0.9 kN/m2</v>
      </c>
      <c r="M126" s="398"/>
      <c r="N126" s="13"/>
      <c r="O126" s="13"/>
      <c r="P126" s="185"/>
      <c r="Q126" s="179"/>
      <c r="R126" s="179"/>
      <c r="S126" s="179"/>
      <c r="T126" s="179"/>
      <c r="U126" s="180"/>
      <c r="V126" s="179"/>
      <c r="W126" s="179"/>
      <c r="X126" s="179"/>
      <c r="Y126" s="182"/>
      <c r="Z126" s="139"/>
    </row>
    <row r="127" spans="3:26" ht="15.75" thickBot="1">
      <c r="C127" s="212"/>
      <c r="D127" s="187"/>
      <c r="E127" s="191"/>
      <c r="F127" s="189"/>
      <c r="G127" s="188"/>
      <c r="H127" s="188"/>
      <c r="I127" s="190"/>
      <c r="J127" s="188"/>
      <c r="K127" s="191"/>
      <c r="L127" s="189"/>
      <c r="M127" s="192"/>
      <c r="N127" s="13"/>
      <c r="O127" s="13"/>
      <c r="P127" s="183"/>
      <c r="Q127" s="184"/>
      <c r="R127" s="184"/>
      <c r="S127" s="184"/>
      <c r="T127" s="184"/>
      <c r="U127" s="198"/>
      <c r="V127" s="184"/>
      <c r="W127" s="184"/>
      <c r="X127" s="184"/>
      <c r="Y127" s="193"/>
      <c r="Z127" s="139"/>
    </row>
    <row r="128" spans="3:26" ht="15">
      <c r="C128" s="32"/>
      <c r="D128" s="211" t="str">
        <f>"b1 = "&amp; ROUND(AD109/4,1)&amp;"m"</f>
        <v>b1 = 5m</v>
      </c>
      <c r="E128" s="211"/>
      <c r="F128" s="13"/>
      <c r="G128" s="13"/>
      <c r="H128" s="13"/>
      <c r="I128" s="13"/>
      <c r="J128" s="13"/>
      <c r="K128" s="13"/>
      <c r="L128" s="211" t="str">
        <f>D128</f>
        <v>b1 = 5m</v>
      </c>
      <c r="M128" s="211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9"/>
    </row>
    <row r="129" spans="3:26" ht="15">
      <c r="C129" s="32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9"/>
    </row>
    <row r="130" spans="3:26" ht="15">
      <c r="C130" s="32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3"/>
      <c r="Z130" s="139"/>
    </row>
    <row r="131" spans="3:26">
      <c r="C131" s="109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1"/>
    </row>
    <row r="132" spans="3:26" ht="15">
      <c r="C132" s="37" t="s">
        <v>314</v>
      </c>
      <c r="I132" s="456" t="s">
        <v>315</v>
      </c>
      <c r="J132" s="456"/>
      <c r="K132" s="457">
        <v>7</v>
      </c>
      <c r="L132" s="457"/>
      <c r="M132" s="285" t="s">
        <v>145</v>
      </c>
      <c r="N132" s="285"/>
      <c r="Z132" s="38"/>
    </row>
    <row r="133" spans="3:26">
      <c r="C133" s="37"/>
      <c r="Z133" s="38"/>
    </row>
    <row r="134" spans="3:26" ht="15">
      <c r="C134" s="458" t="s">
        <v>317</v>
      </c>
      <c r="D134" s="459"/>
      <c r="E134" s="459"/>
      <c r="F134" s="459"/>
      <c r="G134" s="459"/>
      <c r="H134" s="459"/>
      <c r="I134" s="459"/>
      <c r="J134" s="459"/>
      <c r="K134" s="459"/>
      <c r="L134" s="459"/>
      <c r="M134" s="459"/>
      <c r="N134" s="459"/>
      <c r="O134" s="459"/>
      <c r="P134" s="459"/>
      <c r="Q134" s="459"/>
      <c r="R134" s="459"/>
      <c r="S134" s="459"/>
      <c r="T134" s="459"/>
      <c r="U134" s="459"/>
      <c r="V134" s="459"/>
      <c r="W134" s="459"/>
      <c r="X134" s="346"/>
      <c r="Z134" s="38"/>
    </row>
    <row r="135" spans="3:26" ht="15">
      <c r="C135" s="460" t="str">
        <f>VLOOKUP(25,$BD$8:$BG$106,1+MATCH($AB$7,$BE$7:$BG$7,0))</f>
        <v>Vùng</v>
      </c>
      <c r="D135" s="461"/>
      <c r="E135" s="464" t="s">
        <v>204</v>
      </c>
      <c r="F135" s="465"/>
      <c r="G135" s="465"/>
      <c r="H135" s="465"/>
      <c r="I135" s="465"/>
      <c r="J135" s="465"/>
      <c r="K135" s="465"/>
      <c r="L135" s="465"/>
      <c r="M135" s="465"/>
      <c r="N135" s="335"/>
      <c r="O135" s="464" t="s">
        <v>205</v>
      </c>
      <c r="P135" s="465"/>
      <c r="Q135" s="465"/>
      <c r="R135" s="465"/>
      <c r="S135" s="465"/>
      <c r="T135" s="465"/>
      <c r="U135" s="465"/>
      <c r="V135" s="465"/>
      <c r="W135" s="465"/>
      <c r="X135" s="335"/>
      <c r="Z135" s="38"/>
    </row>
    <row r="136" spans="3:26" ht="15">
      <c r="C136" s="462"/>
      <c r="D136" s="463"/>
      <c r="E136" s="466" t="s">
        <v>67</v>
      </c>
      <c r="F136" s="467"/>
      <c r="G136" s="467" t="s">
        <v>68</v>
      </c>
      <c r="H136" s="467"/>
      <c r="I136" s="467" t="s">
        <v>69</v>
      </c>
      <c r="J136" s="467"/>
      <c r="K136" s="467" t="s">
        <v>27</v>
      </c>
      <c r="L136" s="467"/>
      <c r="M136" s="467" t="s">
        <v>91</v>
      </c>
      <c r="N136" s="343"/>
      <c r="O136" s="466" t="s">
        <v>67</v>
      </c>
      <c r="P136" s="467"/>
      <c r="Q136" s="467" t="s">
        <v>68</v>
      </c>
      <c r="R136" s="467"/>
      <c r="S136" s="467" t="s">
        <v>69</v>
      </c>
      <c r="T136" s="467"/>
      <c r="U136" s="467" t="s">
        <v>27</v>
      </c>
      <c r="V136" s="467"/>
      <c r="W136" s="467" t="s">
        <v>91</v>
      </c>
      <c r="X136" s="343"/>
      <c r="Z136" s="38"/>
    </row>
    <row r="137" spans="3:26" ht="18">
      <c r="C137" s="112" t="str">
        <f>VLOOKUP(43,$BD$8:$BG$106,1+MATCH($AB$7,$BE$7:$BG$7,0))</f>
        <v>TH1</v>
      </c>
      <c r="D137" s="113" t="s">
        <v>316</v>
      </c>
      <c r="E137" s="470">
        <f>E52*$K$132</f>
        <v>-7.8880453078282278</v>
      </c>
      <c r="F137" s="471"/>
      <c r="G137" s="471">
        <f t="shared" ref="G137" si="112">G52*$K$132</f>
        <v>-6.1384807589924701</v>
      </c>
      <c r="H137" s="471"/>
      <c r="I137" s="471">
        <f t="shared" ref="I137" si="113">I52*$K$132</f>
        <v>-3.38471720014154</v>
      </c>
      <c r="J137" s="471"/>
      <c r="K137" s="471">
        <f t="shared" ref="K137" si="114">K52*$K$132</f>
        <v>-3.5568976457507735</v>
      </c>
      <c r="L137" s="471"/>
      <c r="M137" s="471">
        <f t="shared" ref="M137" si="115">M52*$K$132</f>
        <v>-4.589979447407031</v>
      </c>
      <c r="N137" s="472"/>
      <c r="O137" s="470">
        <f t="shared" ref="O137" si="116">O52*$K$132</f>
        <v>-7.8880453078282278</v>
      </c>
      <c r="P137" s="471"/>
      <c r="Q137" s="471">
        <f t="shared" ref="Q137" si="117">Q52*$K$132</f>
        <v>-6.1384807589924701</v>
      </c>
      <c r="R137" s="471"/>
      <c r="S137" s="471">
        <f t="shared" ref="S137" si="118">S52*$K$132</f>
        <v>-3.38471720014154</v>
      </c>
      <c r="T137" s="471"/>
      <c r="U137" s="471">
        <f t="shared" ref="U137" si="119">U52*$K$132</f>
        <v>-3.5568976457507735</v>
      </c>
      <c r="V137" s="471"/>
      <c r="W137" s="471">
        <f t="shared" ref="W137" si="120">W52*$K$132</f>
        <v>-4.589979447407031</v>
      </c>
      <c r="X137" s="472"/>
      <c r="Z137" s="38"/>
    </row>
    <row r="138" spans="3:26" ht="18">
      <c r="C138" s="114" t="str">
        <f>VLOOKUP(44,$BD$8:$BG$106,1+MATCH($AB$7,$BE$7:$BG$7,0))</f>
        <v>TH2</v>
      </c>
      <c r="D138" s="115" t="s">
        <v>316</v>
      </c>
      <c r="E138" s="485">
        <f t="shared" ref="E138" si="121">E53*$K$132</f>
        <v>1.319675242061056</v>
      </c>
      <c r="F138" s="468"/>
      <c r="G138" s="468">
        <f t="shared" ref="G138" si="122">G53*$K$132</f>
        <v>1.319675242061056</v>
      </c>
      <c r="H138" s="468"/>
      <c r="I138" s="468">
        <f t="shared" ref="I138" si="123">I53*$K$132</f>
        <v>1.319675242061056</v>
      </c>
      <c r="J138" s="468"/>
      <c r="K138" s="468">
        <f t="shared" ref="K138" si="124">K53*$K$132</f>
        <v>0</v>
      </c>
      <c r="L138" s="468"/>
      <c r="M138" s="468">
        <f t="shared" ref="M138" si="125">M53*$K$132</f>
        <v>1.6062684063327912</v>
      </c>
      <c r="N138" s="469"/>
      <c r="O138" s="485">
        <f t="shared" ref="O138" si="126">O53*$K$132</f>
        <v>1.319675242061056</v>
      </c>
      <c r="P138" s="468"/>
      <c r="Q138" s="468">
        <f t="shared" ref="Q138" si="127">Q53*$K$132</f>
        <v>1.319675242061056</v>
      </c>
      <c r="R138" s="468"/>
      <c r="S138" s="468">
        <f t="shared" ref="S138" si="128">S53*$K$132</f>
        <v>1.319675242061056</v>
      </c>
      <c r="T138" s="468"/>
      <c r="U138" s="468">
        <f t="shared" ref="U138" si="129">U53*$K$132</f>
        <v>0</v>
      </c>
      <c r="V138" s="468"/>
      <c r="W138" s="468">
        <f t="shared" ref="W138" si="130">W53*$K$132</f>
        <v>1.6062684063327912</v>
      </c>
      <c r="X138" s="469"/>
      <c r="Z138" s="38"/>
    </row>
    <row r="139" spans="3:26">
      <c r="C139" s="116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Z139" s="38"/>
    </row>
    <row r="140" spans="3:26" ht="15">
      <c r="C140" s="458" t="str">
        <f>VLOOKUP(41,$BD$8:$BG$106,1+MATCH($AB$7,$BE$7:$BG$7,0))</f>
        <v>TÍNH TOÁN ÁP LỰC GIÓ LÊN MÁI (PHƯƠNG Y)</v>
      </c>
      <c r="D140" s="459"/>
      <c r="E140" s="459"/>
      <c r="F140" s="459"/>
      <c r="G140" s="459"/>
      <c r="H140" s="459"/>
      <c r="I140" s="459"/>
      <c r="J140" s="459"/>
      <c r="K140" s="459"/>
      <c r="L140" s="459"/>
      <c r="M140" s="459"/>
      <c r="N140" s="459"/>
      <c r="O140" s="459"/>
      <c r="P140" s="459"/>
      <c r="Q140" s="459"/>
      <c r="R140" s="459"/>
      <c r="S140" s="459"/>
      <c r="T140" s="346"/>
      <c r="U140" s="134"/>
      <c r="V140" s="134"/>
      <c r="W140" s="134"/>
      <c r="X140" s="134"/>
      <c r="Z140" s="38"/>
    </row>
    <row r="141" spans="3:26" ht="15">
      <c r="C141" s="475" t="str">
        <f>VLOOKUP(25,$BD$8:$BG$106,1+MATCH($AB$7,$BE$7:$BG$7,0))</f>
        <v>Vùng</v>
      </c>
      <c r="D141" s="475"/>
      <c r="E141" s="464" t="s">
        <v>202</v>
      </c>
      <c r="F141" s="465"/>
      <c r="G141" s="465"/>
      <c r="H141" s="465"/>
      <c r="I141" s="465"/>
      <c r="J141" s="465"/>
      <c r="K141" s="465"/>
      <c r="L141" s="335"/>
      <c r="M141" s="464" t="s">
        <v>203</v>
      </c>
      <c r="N141" s="465"/>
      <c r="O141" s="465"/>
      <c r="P141" s="465"/>
      <c r="Q141" s="465"/>
      <c r="R141" s="465"/>
      <c r="S141" s="465"/>
      <c r="T141" s="335"/>
      <c r="U141" s="134"/>
      <c r="V141" s="134"/>
      <c r="W141" s="134"/>
      <c r="X141" s="134"/>
      <c r="Z141" s="38"/>
    </row>
    <row r="142" spans="3:26" ht="15">
      <c r="C142" s="475"/>
      <c r="D142" s="475"/>
      <c r="E142" s="466" t="s">
        <v>67</v>
      </c>
      <c r="F142" s="467"/>
      <c r="G142" s="467" t="s">
        <v>68</v>
      </c>
      <c r="H142" s="467"/>
      <c r="I142" s="467" t="s">
        <v>69</v>
      </c>
      <c r="J142" s="467"/>
      <c r="K142" s="467" t="s">
        <v>27</v>
      </c>
      <c r="L142" s="343"/>
      <c r="M142" s="466" t="s">
        <v>67</v>
      </c>
      <c r="N142" s="467"/>
      <c r="O142" s="467" t="s">
        <v>68</v>
      </c>
      <c r="P142" s="467"/>
      <c r="Q142" s="467" t="s">
        <v>69</v>
      </c>
      <c r="R142" s="467"/>
      <c r="S142" s="467" t="s">
        <v>27</v>
      </c>
      <c r="T142" s="343"/>
      <c r="U142" s="134"/>
      <c r="V142" s="134"/>
      <c r="W142" s="134"/>
      <c r="X142" s="134"/>
      <c r="Z142" s="38"/>
    </row>
    <row r="143" spans="3:26" ht="18">
      <c r="C143" s="112" t="str">
        <f>VLOOKUP(43,$BD$8:$BG$106,1+MATCH($AB$7,$BE$7:$BG$7,0))</f>
        <v>TH1</v>
      </c>
      <c r="D143" s="113" t="s">
        <v>316</v>
      </c>
      <c r="E143" s="483">
        <f>E64*$K$132</f>
        <v>-8.261290008020115</v>
      </c>
      <c r="F143" s="484"/>
      <c r="G143" s="484">
        <f t="shared" ref="G143" si="131">G64*$K$132</f>
        <v>-7.3148587612849711</v>
      </c>
      <c r="H143" s="484"/>
      <c r="I143" s="484">
        <f t="shared" ref="I143" si="132">I64*$K$132</f>
        <v>-4.2167350378815263</v>
      </c>
      <c r="J143" s="484"/>
      <c r="K143" s="484">
        <f t="shared" ref="K143" si="133">K64*$K$132</f>
        <v>-3.7290779460268162</v>
      </c>
      <c r="L143" s="375"/>
      <c r="M143" s="483">
        <f t="shared" ref="M143" si="134">M64*$K$132</f>
        <v>-8.261290008020115</v>
      </c>
      <c r="N143" s="484"/>
      <c r="O143" s="484">
        <f t="shared" ref="O143" si="135">O64*$K$132</f>
        <v>-7.3148587612849711</v>
      </c>
      <c r="P143" s="484"/>
      <c r="Q143" s="484">
        <f t="shared" ref="Q143" si="136">Q64*$K$132</f>
        <v>-4.2167350378815263</v>
      </c>
      <c r="R143" s="484"/>
      <c r="S143" s="484">
        <f t="shared" ref="S143" si="137">S64*$K$132</f>
        <v>-3.7290779460268162</v>
      </c>
      <c r="T143" s="375"/>
      <c r="U143" s="134"/>
      <c r="V143" s="134"/>
      <c r="W143" s="134"/>
      <c r="X143" s="134"/>
      <c r="Z143" s="38"/>
    </row>
    <row r="144" spans="3:26" ht="18">
      <c r="C144" s="114" t="str">
        <f>VLOOKUP(44,$BD$8:$BG$106,1+MATCH($AB$7,$BE$7:$BG$7,0))</f>
        <v>TH2</v>
      </c>
      <c r="D144" s="115" t="s">
        <v>316</v>
      </c>
      <c r="E144" s="473">
        <f t="shared" ref="E144" si="138">E65*$K$132</f>
        <v>-6.3106609430019613</v>
      </c>
      <c r="F144" s="474"/>
      <c r="G144" s="474">
        <f t="shared" ref="G144" si="139">G65*$K$132</f>
        <v>-5.3642296962668183</v>
      </c>
      <c r="H144" s="474"/>
      <c r="I144" s="474">
        <f t="shared" ref="I144" si="140">I65*$K$132</f>
        <v>-2.2661059728633726</v>
      </c>
      <c r="J144" s="474"/>
      <c r="K144" s="474">
        <f t="shared" ref="K144" si="141">K65*$K$132</f>
        <v>-1.7784488810086627</v>
      </c>
      <c r="L144" s="420"/>
      <c r="M144" s="473">
        <f t="shared" ref="M144" si="142">M65*$K$132</f>
        <v>-6.3106609430019613</v>
      </c>
      <c r="N144" s="474"/>
      <c r="O144" s="474">
        <f t="shared" ref="O144" si="143">O65*$K$132</f>
        <v>-5.3642296962668183</v>
      </c>
      <c r="P144" s="474"/>
      <c r="Q144" s="474">
        <f t="shared" ref="Q144" si="144">Q65*$K$132</f>
        <v>-2.2661059728633726</v>
      </c>
      <c r="R144" s="474"/>
      <c r="S144" s="474">
        <f t="shared" ref="S144" si="145">S65*$K$132</f>
        <v>-1.7784488810086627</v>
      </c>
      <c r="T144" s="420"/>
      <c r="U144" s="140"/>
      <c r="V144" s="140"/>
      <c r="W144" s="140"/>
      <c r="X144" s="140"/>
      <c r="Y144" s="117"/>
      <c r="Z144" s="118"/>
    </row>
  </sheetData>
  <mergeCells count="534">
    <mergeCell ref="D128:E128"/>
    <mergeCell ref="L128:M128"/>
    <mergeCell ref="P107:Q107"/>
    <mergeCell ref="X107:Y107"/>
    <mergeCell ref="C123:C127"/>
    <mergeCell ref="Z108:Z112"/>
    <mergeCell ref="C118:C122"/>
    <mergeCell ref="Z113:Z117"/>
    <mergeCell ref="G17:N17"/>
    <mergeCell ref="AB34:AD34"/>
    <mergeCell ref="AE34:AH34"/>
    <mergeCell ref="AB35:AB36"/>
    <mergeCell ref="AB38:AB39"/>
    <mergeCell ref="AE38:AH38"/>
    <mergeCell ref="AE39:AH39"/>
    <mergeCell ref="E143:F143"/>
    <mergeCell ref="G143:H143"/>
    <mergeCell ref="I143:J143"/>
    <mergeCell ref="K143:L143"/>
    <mergeCell ref="M143:N143"/>
    <mergeCell ref="O143:P143"/>
    <mergeCell ref="Q143:R143"/>
    <mergeCell ref="S143:T143"/>
    <mergeCell ref="W137:X137"/>
    <mergeCell ref="E138:F138"/>
    <mergeCell ref="G138:H138"/>
    <mergeCell ref="I138:J138"/>
    <mergeCell ref="K138:L138"/>
    <mergeCell ref="M138:N138"/>
    <mergeCell ref="O138:P138"/>
    <mergeCell ref="Q138:R138"/>
    <mergeCell ref="S138:T138"/>
    <mergeCell ref="E144:F144"/>
    <mergeCell ref="G144:H144"/>
    <mergeCell ref="I144:J144"/>
    <mergeCell ref="K144:L144"/>
    <mergeCell ref="M144:N144"/>
    <mergeCell ref="O144:P144"/>
    <mergeCell ref="Q144:R144"/>
    <mergeCell ref="S144:T144"/>
    <mergeCell ref="C140:T140"/>
    <mergeCell ref="C141:D142"/>
    <mergeCell ref="E141:L141"/>
    <mergeCell ref="M141:T141"/>
    <mergeCell ref="E142:F142"/>
    <mergeCell ref="G142:H142"/>
    <mergeCell ref="I142:J142"/>
    <mergeCell ref="K142:L142"/>
    <mergeCell ref="M142:N142"/>
    <mergeCell ref="O142:P142"/>
    <mergeCell ref="Q142:R142"/>
    <mergeCell ref="S142:T142"/>
    <mergeCell ref="U138:V138"/>
    <mergeCell ref="W138:X138"/>
    <mergeCell ref="E137:F137"/>
    <mergeCell ref="G137:H137"/>
    <mergeCell ref="I137:J137"/>
    <mergeCell ref="K137:L137"/>
    <mergeCell ref="M137:N137"/>
    <mergeCell ref="O137:P137"/>
    <mergeCell ref="Q137:R137"/>
    <mergeCell ref="S137:T137"/>
    <mergeCell ref="U137:V137"/>
    <mergeCell ref="I132:J132"/>
    <mergeCell ref="K132:L132"/>
    <mergeCell ref="M132:N132"/>
    <mergeCell ref="C134:X134"/>
    <mergeCell ref="C135:D136"/>
    <mergeCell ref="E135:N135"/>
    <mergeCell ref="O135:X135"/>
    <mergeCell ref="E136:F136"/>
    <mergeCell ref="G136:H136"/>
    <mergeCell ref="I136:J136"/>
    <mergeCell ref="K136:L136"/>
    <mergeCell ref="M136:N136"/>
    <mergeCell ref="O136:P136"/>
    <mergeCell ref="Q136:R136"/>
    <mergeCell ref="S136:T136"/>
    <mergeCell ref="U136:V136"/>
    <mergeCell ref="W136:X136"/>
    <mergeCell ref="AF66:AG66"/>
    <mergeCell ref="AH66:AJ77"/>
    <mergeCell ref="O76:P76"/>
    <mergeCell ref="Q76:R76"/>
    <mergeCell ref="I77:J77"/>
    <mergeCell ref="K77:L77"/>
    <mergeCell ref="M77:N77"/>
    <mergeCell ref="O77:P77"/>
    <mergeCell ref="Q77:R77"/>
    <mergeCell ref="AB66:AC67"/>
    <mergeCell ref="AD66:AE66"/>
    <mergeCell ref="S69:X69"/>
    <mergeCell ref="M70:N70"/>
    <mergeCell ref="O70:P70"/>
    <mergeCell ref="Q70:R70"/>
    <mergeCell ref="S70:T70"/>
    <mergeCell ref="U70:V70"/>
    <mergeCell ref="W70:X70"/>
    <mergeCell ref="O71:P71"/>
    <mergeCell ref="Q71:R71"/>
    <mergeCell ref="S71:T71"/>
    <mergeCell ref="U71:V71"/>
    <mergeCell ref="W71:X71"/>
    <mergeCell ref="B5:AA5"/>
    <mergeCell ref="P124:T124"/>
    <mergeCell ref="U124:Y124"/>
    <mergeCell ref="P116:T116"/>
    <mergeCell ref="U116:Y116"/>
    <mergeCell ref="P122:T122"/>
    <mergeCell ref="U122:Y122"/>
    <mergeCell ref="P123:T123"/>
    <mergeCell ref="U123:Y123"/>
    <mergeCell ref="P111:Q111"/>
    <mergeCell ref="R111:T111"/>
    <mergeCell ref="U111:W111"/>
    <mergeCell ref="P114:T114"/>
    <mergeCell ref="U114:Y114"/>
    <mergeCell ref="P115:T115"/>
    <mergeCell ref="U115:Y115"/>
    <mergeCell ref="I119:M119"/>
    <mergeCell ref="I120:M120"/>
    <mergeCell ref="I121:M121"/>
    <mergeCell ref="D112:H112"/>
    <mergeCell ref="D113:H113"/>
    <mergeCell ref="D114:H114"/>
    <mergeCell ref="I112:M112"/>
    <mergeCell ref="I113:M113"/>
    <mergeCell ref="D121:H121"/>
    <mergeCell ref="L126:M126"/>
    <mergeCell ref="F124:H124"/>
    <mergeCell ref="F125:H125"/>
    <mergeCell ref="F126:H126"/>
    <mergeCell ref="I124:K124"/>
    <mergeCell ref="I125:K125"/>
    <mergeCell ref="I126:K126"/>
    <mergeCell ref="D124:E124"/>
    <mergeCell ref="D125:E125"/>
    <mergeCell ref="D126:E126"/>
    <mergeCell ref="L124:M124"/>
    <mergeCell ref="L125:M125"/>
    <mergeCell ref="E63:F63"/>
    <mergeCell ref="G63:H63"/>
    <mergeCell ref="I63:J63"/>
    <mergeCell ref="K63:L63"/>
    <mergeCell ref="I114:M114"/>
    <mergeCell ref="D119:H119"/>
    <mergeCell ref="D120:H120"/>
    <mergeCell ref="M66:N66"/>
    <mergeCell ref="C67:X67"/>
    <mergeCell ref="C68:X68"/>
    <mergeCell ref="C69:D70"/>
    <mergeCell ref="E69:F70"/>
    <mergeCell ref="G69:H70"/>
    <mergeCell ref="M69:R69"/>
    <mergeCell ref="I69:J70"/>
    <mergeCell ref="K69:L70"/>
    <mergeCell ref="D98:E98"/>
    <mergeCell ref="D99:E99"/>
    <mergeCell ref="D100:E100"/>
    <mergeCell ref="D90:E90"/>
    <mergeCell ref="D91:E91"/>
    <mergeCell ref="D92:E92"/>
    <mergeCell ref="C73:R73"/>
    <mergeCell ref="C74:D75"/>
    <mergeCell ref="C79:Z79"/>
    <mergeCell ref="C71:D71"/>
    <mergeCell ref="E71:F71"/>
    <mergeCell ref="G71:H71"/>
    <mergeCell ref="I71:J71"/>
    <mergeCell ref="K71:L71"/>
    <mergeCell ref="M71:N71"/>
    <mergeCell ref="Q65:R65"/>
    <mergeCell ref="S65:T65"/>
    <mergeCell ref="E74:F75"/>
    <mergeCell ref="G74:H75"/>
    <mergeCell ref="I74:J75"/>
    <mergeCell ref="K74:N74"/>
    <mergeCell ref="O74:R74"/>
    <mergeCell ref="K75:L75"/>
    <mergeCell ref="M75:N75"/>
    <mergeCell ref="O75:P75"/>
    <mergeCell ref="Q75:R75"/>
    <mergeCell ref="C76:D77"/>
    <mergeCell ref="E76:F77"/>
    <mergeCell ref="G76:H77"/>
    <mergeCell ref="I76:J76"/>
    <mergeCell ref="K76:L76"/>
    <mergeCell ref="M76:N76"/>
    <mergeCell ref="P110:Q110"/>
    <mergeCell ref="R110:T110"/>
    <mergeCell ref="U110:W110"/>
    <mergeCell ref="C105:Z105"/>
    <mergeCell ref="AB93:AB95"/>
    <mergeCell ref="F90:H90"/>
    <mergeCell ref="F91:H91"/>
    <mergeCell ref="X90:Y90"/>
    <mergeCell ref="X91:Y91"/>
    <mergeCell ref="X92:Y92"/>
    <mergeCell ref="S90:T90"/>
    <mergeCell ref="P109:Q109"/>
    <mergeCell ref="R109:T109"/>
    <mergeCell ref="U109:W109"/>
    <mergeCell ref="X110:Y110"/>
    <mergeCell ref="I90:J90"/>
    <mergeCell ref="I91:J91"/>
    <mergeCell ref="I92:J92"/>
    <mergeCell ref="K90:M90"/>
    <mergeCell ref="K91:M91"/>
    <mergeCell ref="K92:M92"/>
    <mergeCell ref="P90:R90"/>
    <mergeCell ref="P91:R91"/>
    <mergeCell ref="X111:Y111"/>
    <mergeCell ref="S91:T91"/>
    <mergeCell ref="S92:T92"/>
    <mergeCell ref="X98:Y98"/>
    <mergeCell ref="X99:Y99"/>
    <mergeCell ref="X100:Y100"/>
    <mergeCell ref="AI88:AI92"/>
    <mergeCell ref="AJ88:AJ92"/>
    <mergeCell ref="X109:Y109"/>
    <mergeCell ref="AB107:AD107"/>
    <mergeCell ref="AK88:AK92"/>
    <mergeCell ref="D83:E83"/>
    <mergeCell ref="X83:Y83"/>
    <mergeCell ref="X84:Y84"/>
    <mergeCell ref="X85:Y85"/>
    <mergeCell ref="U90:W90"/>
    <mergeCell ref="U91:W91"/>
    <mergeCell ref="U92:W92"/>
    <mergeCell ref="P92:R92"/>
    <mergeCell ref="D84:E84"/>
    <mergeCell ref="D85:E85"/>
    <mergeCell ref="F92:H92"/>
    <mergeCell ref="U52:V52"/>
    <mergeCell ref="W52:X52"/>
    <mergeCell ref="E53:F53"/>
    <mergeCell ref="G53:H53"/>
    <mergeCell ref="I53:J53"/>
    <mergeCell ref="K53:L53"/>
    <mergeCell ref="M53:N53"/>
    <mergeCell ref="O53:P53"/>
    <mergeCell ref="Q53:R53"/>
    <mergeCell ref="S53:T53"/>
    <mergeCell ref="U53:V53"/>
    <mergeCell ref="W53:X53"/>
    <mergeCell ref="M63:N63"/>
    <mergeCell ref="O63:P63"/>
    <mergeCell ref="Q61:R61"/>
    <mergeCell ref="S61:T61"/>
    <mergeCell ref="E62:F62"/>
    <mergeCell ref="G62:H62"/>
    <mergeCell ref="W51:X51"/>
    <mergeCell ref="E52:F52"/>
    <mergeCell ref="G52:H52"/>
    <mergeCell ref="I52:J52"/>
    <mergeCell ref="K52:L52"/>
    <mergeCell ref="M52:N52"/>
    <mergeCell ref="O52:P52"/>
    <mergeCell ref="Q52:R52"/>
    <mergeCell ref="S52:T52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49:X49"/>
    <mergeCell ref="E50:F50"/>
    <mergeCell ref="G50:H50"/>
    <mergeCell ref="I50:J50"/>
    <mergeCell ref="K50:L50"/>
    <mergeCell ref="M50:N50"/>
    <mergeCell ref="O50:P50"/>
    <mergeCell ref="Q50:R50"/>
    <mergeCell ref="S50:T50"/>
    <mergeCell ref="U50:V50"/>
    <mergeCell ref="W50:X50"/>
    <mergeCell ref="E49:F49"/>
    <mergeCell ref="G49:H49"/>
    <mergeCell ref="I49:J49"/>
    <mergeCell ref="K49:L49"/>
    <mergeCell ref="M49:N49"/>
    <mergeCell ref="O49:P49"/>
    <mergeCell ref="Q49:R49"/>
    <mergeCell ref="S49:T49"/>
    <mergeCell ref="U49:V49"/>
    <mergeCell ref="W47:X47"/>
    <mergeCell ref="E48:F48"/>
    <mergeCell ref="G48:H48"/>
    <mergeCell ref="I48:J48"/>
    <mergeCell ref="K48:L48"/>
    <mergeCell ref="M48:N48"/>
    <mergeCell ref="O48:P48"/>
    <mergeCell ref="Q48:R48"/>
    <mergeCell ref="S48:T48"/>
    <mergeCell ref="U48:V48"/>
    <mergeCell ref="W48:X48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U45:V45"/>
    <mergeCell ref="W45:X45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W46:X46"/>
    <mergeCell ref="O43:P43"/>
    <mergeCell ref="Q43:R43"/>
    <mergeCell ref="S43:T43"/>
    <mergeCell ref="C55:T55"/>
    <mergeCell ref="U43:V43"/>
    <mergeCell ref="W43:X43"/>
    <mergeCell ref="E44:F44"/>
    <mergeCell ref="G44:H44"/>
    <mergeCell ref="I44:J44"/>
    <mergeCell ref="K44:L44"/>
    <mergeCell ref="M44:N44"/>
    <mergeCell ref="O44:P44"/>
    <mergeCell ref="Q44:R44"/>
    <mergeCell ref="S44:T44"/>
    <mergeCell ref="U44:V44"/>
    <mergeCell ref="W44:X44"/>
    <mergeCell ref="E45:F45"/>
    <mergeCell ref="G45:H45"/>
    <mergeCell ref="I45:J45"/>
    <mergeCell ref="K45:L45"/>
    <mergeCell ref="M45:N45"/>
    <mergeCell ref="O45:P45"/>
    <mergeCell ref="Q45:R45"/>
    <mergeCell ref="S45:T45"/>
    <mergeCell ref="AI41:AN41"/>
    <mergeCell ref="C42:D43"/>
    <mergeCell ref="E42:N42"/>
    <mergeCell ref="O42:X42"/>
    <mergeCell ref="AB42:AB43"/>
    <mergeCell ref="AC42:AG42"/>
    <mergeCell ref="E65:F65"/>
    <mergeCell ref="G65:H65"/>
    <mergeCell ref="I65:J65"/>
    <mergeCell ref="K65:L65"/>
    <mergeCell ref="M65:N65"/>
    <mergeCell ref="O65:P65"/>
    <mergeCell ref="Q63:R63"/>
    <mergeCell ref="S63:T63"/>
    <mergeCell ref="E64:F64"/>
    <mergeCell ref="G64:H64"/>
    <mergeCell ref="I64:J64"/>
    <mergeCell ref="K64:L64"/>
    <mergeCell ref="M64:N64"/>
    <mergeCell ref="O64:P64"/>
    <mergeCell ref="Q64:R64"/>
    <mergeCell ref="S64:T64"/>
    <mergeCell ref="AI42:AI43"/>
    <mergeCell ref="AJ42:AN42"/>
    <mergeCell ref="E60:F60"/>
    <mergeCell ref="G60:H60"/>
    <mergeCell ref="I60:J60"/>
    <mergeCell ref="K60:L60"/>
    <mergeCell ref="M60:N60"/>
    <mergeCell ref="O60:P60"/>
    <mergeCell ref="Q60:R60"/>
    <mergeCell ref="S60:T60"/>
    <mergeCell ref="I62:J62"/>
    <mergeCell ref="K62:L62"/>
    <mergeCell ref="M62:N62"/>
    <mergeCell ref="O62:P62"/>
    <mergeCell ref="Q62:R62"/>
    <mergeCell ref="S62:T62"/>
    <mergeCell ref="E61:F61"/>
    <mergeCell ref="G61:H61"/>
    <mergeCell ref="I61:J61"/>
    <mergeCell ref="K61:L61"/>
    <mergeCell ref="M61:N61"/>
    <mergeCell ref="O61:P61"/>
    <mergeCell ref="E58:F58"/>
    <mergeCell ref="G58:H58"/>
    <mergeCell ref="I58:J58"/>
    <mergeCell ref="K58:L58"/>
    <mergeCell ref="M58:N58"/>
    <mergeCell ref="O58:P58"/>
    <mergeCell ref="Q58:R58"/>
    <mergeCell ref="S58:T58"/>
    <mergeCell ref="E59:F59"/>
    <mergeCell ref="G59:H59"/>
    <mergeCell ref="I59:J59"/>
    <mergeCell ref="K59:L59"/>
    <mergeCell ref="M59:N59"/>
    <mergeCell ref="O59:P59"/>
    <mergeCell ref="Q59:R59"/>
    <mergeCell ref="S59:T59"/>
    <mergeCell ref="M36:N36"/>
    <mergeCell ref="O36:P36"/>
    <mergeCell ref="Q36:R36"/>
    <mergeCell ref="AB54:AF54"/>
    <mergeCell ref="C56:D57"/>
    <mergeCell ref="E56:L56"/>
    <mergeCell ref="M56:T56"/>
    <mergeCell ref="AB55:AB56"/>
    <mergeCell ref="AC55:AF55"/>
    <mergeCell ref="E57:F57"/>
    <mergeCell ref="G57:H57"/>
    <mergeCell ref="I57:J57"/>
    <mergeCell ref="K57:L57"/>
    <mergeCell ref="M57:N57"/>
    <mergeCell ref="O57:P57"/>
    <mergeCell ref="Q57:R57"/>
    <mergeCell ref="S57:T57"/>
    <mergeCell ref="C41:X41"/>
    <mergeCell ref="AB41:AG41"/>
    <mergeCell ref="E43:F43"/>
    <mergeCell ref="G43:H43"/>
    <mergeCell ref="I43:J43"/>
    <mergeCell ref="K43:L43"/>
    <mergeCell ref="M43:N43"/>
    <mergeCell ref="C38:F39"/>
    <mergeCell ref="G38:H38"/>
    <mergeCell ref="I38:J38"/>
    <mergeCell ref="K38:L38"/>
    <mergeCell ref="M38:N38"/>
    <mergeCell ref="O38:P38"/>
    <mergeCell ref="C34:Z34"/>
    <mergeCell ref="C35:F36"/>
    <mergeCell ref="G35:H35"/>
    <mergeCell ref="I35:J35"/>
    <mergeCell ref="K35:L35"/>
    <mergeCell ref="M35:N35"/>
    <mergeCell ref="O35:P35"/>
    <mergeCell ref="Q35:R35"/>
    <mergeCell ref="G36:H36"/>
    <mergeCell ref="I36:J36"/>
    <mergeCell ref="Q38:R38"/>
    <mergeCell ref="G39:H39"/>
    <mergeCell ref="I39:J39"/>
    <mergeCell ref="K39:L39"/>
    <mergeCell ref="M39:N39"/>
    <mergeCell ref="O39:P39"/>
    <mergeCell ref="Q39:R39"/>
    <mergeCell ref="K36:L36"/>
    <mergeCell ref="S31:T31"/>
    <mergeCell ref="C32:H32"/>
    <mergeCell ref="I32:J32"/>
    <mergeCell ref="K32:L32"/>
    <mergeCell ref="M32:N32"/>
    <mergeCell ref="O32:P32"/>
    <mergeCell ref="Q32:R32"/>
    <mergeCell ref="S32:T32"/>
    <mergeCell ref="K30:L30"/>
    <mergeCell ref="M30:N30"/>
    <mergeCell ref="O30:P30"/>
    <mergeCell ref="Q30:R30"/>
    <mergeCell ref="S30:T30"/>
    <mergeCell ref="I31:J31"/>
    <mergeCell ref="K31:L31"/>
    <mergeCell ref="M31:N31"/>
    <mergeCell ref="O31:P31"/>
    <mergeCell ref="Q31:R31"/>
    <mergeCell ref="M28:N28"/>
    <mergeCell ref="M29:N29"/>
    <mergeCell ref="O29:P29"/>
    <mergeCell ref="Q29:R29"/>
    <mergeCell ref="S29:T29"/>
    <mergeCell ref="AB29:AD29"/>
    <mergeCell ref="E26:F26"/>
    <mergeCell ref="G26:H26"/>
    <mergeCell ref="J26:K26"/>
    <mergeCell ref="L26:M26"/>
    <mergeCell ref="P26:Z26"/>
    <mergeCell ref="E27:F27"/>
    <mergeCell ref="G27:H27"/>
    <mergeCell ref="J27:K27"/>
    <mergeCell ref="L27:M27"/>
    <mergeCell ref="P27:Z27"/>
    <mergeCell ref="V29:Z29"/>
    <mergeCell ref="AI5:AN9"/>
    <mergeCell ref="K23:L23"/>
    <mergeCell ref="M23:N23"/>
    <mergeCell ref="C24:N24"/>
    <mergeCell ref="P24:Z24"/>
    <mergeCell ref="C25:D25"/>
    <mergeCell ref="E25:F25"/>
    <mergeCell ref="M25:N25"/>
    <mergeCell ref="P25:Z25"/>
    <mergeCell ref="K20:L20"/>
    <mergeCell ref="M20:N20"/>
    <mergeCell ref="K21:L21"/>
    <mergeCell ref="M21:N21"/>
    <mergeCell ref="K22:L22"/>
    <mergeCell ref="M22:N22"/>
    <mergeCell ref="T21:W21"/>
    <mergeCell ref="S13:S20"/>
    <mergeCell ref="K19:L19"/>
    <mergeCell ref="M19:N19"/>
    <mergeCell ref="K18:L18"/>
    <mergeCell ref="M18:N18"/>
    <mergeCell ref="AC11:AG11"/>
    <mergeCell ref="C13:N13"/>
    <mergeCell ref="C14:F14"/>
    <mergeCell ref="J14:N14"/>
    <mergeCell ref="C15:F15"/>
    <mergeCell ref="G15:I15"/>
    <mergeCell ref="J15:N15"/>
    <mergeCell ref="C16:F16"/>
    <mergeCell ref="B6:R6"/>
    <mergeCell ref="S6:Z6"/>
    <mergeCell ref="AB7:AB10"/>
    <mergeCell ref="G16:I16"/>
    <mergeCell ref="J16:N16"/>
    <mergeCell ref="C7:T10"/>
    <mergeCell ref="U7:W10"/>
    <mergeCell ref="X7:Z10"/>
    <mergeCell ref="AB81:AD81"/>
    <mergeCell ref="D102:E102"/>
    <mergeCell ref="I102:J102"/>
    <mergeCell ref="S102:T102"/>
    <mergeCell ref="X102:Y102"/>
    <mergeCell ref="C97:C101"/>
    <mergeCell ref="C82:C86"/>
    <mergeCell ref="Z82:Z86"/>
    <mergeCell ref="Z97:Z101"/>
  </mergeCells>
  <dataValidations disablePrompts="1" count="8">
    <dataValidation type="list" allowBlank="1" showInputMessage="1" showErrorMessage="1" sqref="AB7 AA8:AA10" xr:uid="{2F541D0C-F0B2-427F-81DF-F50D5F5CF536}">
      <formula1>$BE$7:$BG$7</formula1>
    </dataValidation>
    <dataValidation type="list" allowBlank="1" showInputMessage="1" showErrorMessage="1" sqref="M25:N25" xr:uid="{67BF9DC7-2E51-4D95-8378-2DE2D613C1E7}">
      <formula1>"A,B,C"</formula1>
    </dataValidation>
    <dataValidation type="list" allowBlank="1" showInputMessage="1" showErrorMessage="1" sqref="E25:F25" xr:uid="{5776C1DA-D8A4-4C30-9390-89A492A8BF30}">
      <formula1>"I,II,III,IV,V"</formula1>
    </dataValidation>
    <dataValidation type="list" allowBlank="1" showInputMessage="1" showErrorMessage="1" sqref="G15:I15" xr:uid="{0DA0C4DA-5EB1-41E1-96FA-F26FFABE189A}">
      <formula1>$AC$7:$AC$8</formula1>
    </dataValidation>
    <dataValidation type="list" allowBlank="1" showInputMessage="1" showErrorMessage="1" sqref="G16:I16" xr:uid="{2E294C97-0EC5-49A0-86B4-3AAB98B43656}">
      <formula1>$AE$7:$AE$8</formula1>
    </dataValidation>
    <dataValidation type="list" allowBlank="1" showInputMessage="1" showErrorMessage="1" sqref="K75:R75" xr:uid="{5867EFDC-53DE-4E31-9FFD-E365F071DF7A}">
      <formula1>"F,G,H,I,J"</formula1>
    </dataValidation>
    <dataValidation type="list" allowBlank="1" showInputMessage="1" showErrorMessage="1" sqref="G17" xr:uid="{626400AC-7A66-448F-BC9D-628F46760B3A}">
      <formula1>$AB$24:$AB$27</formula1>
    </dataValidation>
    <dataValidation type="list" allowBlank="1" showInputMessage="1" showErrorMessage="1" sqref="AE34:AH34" xr:uid="{2381F6AB-1339-43B3-AA42-B83CDA22F739}">
      <formula1>$AG$38:$AG$39</formula1>
    </dataValidation>
  </dataValidations>
  <pageMargins left="0.7" right="0.7" top="0.75" bottom="0.75" header="0.3" footer="0.3"/>
  <pageSetup paperSize="194" scale="75" fitToHeight="0" orientation="portrait" r:id="rId1"/>
  <rowBreaks count="1" manualBreakCount="1">
    <brk id="65" max="26" man="1"/>
  </rowBreaks>
  <ignoredErrors>
    <ignoredError sqref="M31 O31:T31 M32:T32 G14 J14:J16" unlockedFormula="1"/>
    <ignoredError sqref="U53 K53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GustFactor</vt:lpstr>
      <vt:lpstr>TCVN</vt:lpstr>
      <vt:lpstr>Bang8_10</vt:lpstr>
      <vt:lpstr>GustFactor!Print_Area</vt:lpstr>
      <vt:lpstr>TCVN!Print_Area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2025-08-23T04:41:58Z</cp:lastPrinted>
  <dcterms:created xsi:type="dcterms:W3CDTF">2015-06-05T18:17:20Z</dcterms:created>
  <dcterms:modified xsi:type="dcterms:W3CDTF">2026-03-31T15:54:31Z</dcterms:modified>
</cp:coreProperties>
</file>