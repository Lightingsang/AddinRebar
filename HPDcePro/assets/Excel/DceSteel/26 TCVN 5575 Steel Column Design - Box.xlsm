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1897e0139b14c7e2/03 Spreadsheet/01 CALCULATION REPORT/00 UPDATED SEND DUY/2025.03.08 Send Duy/"/>
    </mc:Choice>
  </mc:AlternateContent>
  <xr:revisionPtr revIDLastSave="1261" documentId="13_ncr:1_{9DC9A47C-FDB4-4B82-AD0E-3B2E93414B16}" xr6:coauthVersionLast="47" xr6:coauthVersionMax="47" xr10:uidLastSave="{FF370A48-73F0-427B-ACD0-F2C8C78981D9}"/>
  <bookViews>
    <workbookView xWindow="-120" yWindow="-120" windowWidth="29040" windowHeight="15720" activeTab="1" xr2:uid="{E35DEA01-3E4E-45F9-BE9D-2CF156522D87}"/>
  </bookViews>
  <sheets>
    <sheet name="Data" sheetId="1" r:id="rId1"/>
    <sheet name="Cal" sheetId="6" r:id="rId2"/>
  </sheets>
  <functionGroups builtInGroupCount="19"/>
  <definedNames>
    <definedName name="_xlnm._FilterDatabase" localSheetId="1" hidden="1">Cal!#REF!</definedName>
    <definedName name="PHỤ_LỤC_TÍNH_TOÁN_ĐỘ_MẢNH_CỘT__PHƯƠNG_X">Cal!$C$87:$N$87</definedName>
    <definedName name="_xlnm.Print_Area" localSheetId="1">Cal!$B$11:$N$31</definedName>
    <definedName name="_xlnm.Print_Area" localSheetId="0">Data!$B$1:$N$16</definedName>
    <definedName name="SLSLOADCAS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6" l="1"/>
  <c r="C25" i="6"/>
  <c r="D46" i="1"/>
  <c r="D45" i="1"/>
  <c r="D44" i="1"/>
  <c r="D43" i="1"/>
  <c r="D42" i="1"/>
  <c r="D41" i="1"/>
  <c r="D40" i="1"/>
  <c r="D39" i="1"/>
  <c r="D38" i="1"/>
  <c r="D37" i="1"/>
  <c r="D36" i="1"/>
  <c r="D35" i="1"/>
  <c r="D34" i="1"/>
  <c r="D33" i="1"/>
  <c r="D32" i="1"/>
  <c r="D31" i="1"/>
  <c r="D30" i="1"/>
  <c r="D29" i="1"/>
  <c r="D28" i="1"/>
  <c r="D27" i="1"/>
  <c r="D26" i="1"/>
  <c r="D25" i="1"/>
  <c r="D24" i="1"/>
  <c r="D23" i="1"/>
  <c r="D22" i="1"/>
  <c r="D21" i="1"/>
  <c r="D20" i="1"/>
  <c r="M30" i="6"/>
  <c r="L80" i="6" l="1"/>
  <c r="L73" i="6"/>
  <c r="N30" i="6"/>
  <c r="B107" i="6" l="1"/>
  <c r="B106" i="6"/>
  <c r="B105" i="6"/>
  <c r="B104" i="6"/>
  <c r="B103" i="6"/>
  <c r="B102" i="6"/>
  <c r="F20" i="6" l="1"/>
  <c r="L47" i="6" s="1"/>
  <c r="F19" i="6"/>
  <c r="I47" i="6" s="1"/>
  <c r="G39" i="6" a="1"/>
  <c r="E39" i="6" a="1"/>
  <c r="G39" i="6" l="1"/>
  <c r="E39" i="6"/>
  <c r="J25" i="6" l="1"/>
  <c r="I25" i="6"/>
  <c r="K25" i="6" s="1"/>
  <c r="H25" i="6"/>
  <c r="K11" i="6"/>
  <c r="B91" i="6" l="1"/>
  <c r="N25" i="6"/>
  <c r="L48" i="6" s="1"/>
  <c r="C95" i="6" s="1"/>
  <c r="L25" i="6"/>
  <c r="M25" i="6"/>
  <c r="I48" i="6" s="1"/>
  <c r="C99" i="6" s="1"/>
  <c r="L82" i="6" l="1"/>
  <c r="L75" i="6"/>
  <c r="B95" i="6"/>
  <c r="G95" i="6" s="1"/>
  <c r="H91" i="6"/>
  <c r="B99" i="6" s="1"/>
  <c r="G99" i="6" l="1"/>
  <c r="K99" i="6"/>
  <c r="J99" i="6"/>
  <c r="B66" i="1"/>
  <c r="B67" i="1" s="1"/>
  <c r="B68" i="1" s="1"/>
  <c r="B69" i="1" s="1"/>
  <c r="B70" i="1" s="1"/>
  <c r="B71" i="1" s="1"/>
  <c r="B72" i="1" s="1"/>
  <c r="B73" i="1" s="1"/>
  <c r="B74" i="1" s="1"/>
  <c r="B75" i="1" s="1"/>
  <c r="B76" i="1" s="1"/>
  <c r="B77" i="1" s="1"/>
  <c r="B78" i="1" s="1"/>
  <c r="B79" i="1" s="1"/>
  <c r="B80" i="1" s="1"/>
  <c r="B81" i="1" s="1"/>
  <c r="B82" i="1" s="1"/>
  <c r="B83" i="1" s="1"/>
  <c r="B84" i="1" s="1"/>
  <c r="B85" i="1" s="1"/>
  <c r="E64" i="1"/>
  <c r="F64" i="1" s="1"/>
  <c r="G64" i="1" s="1"/>
  <c r="H64" i="1" s="1"/>
  <c r="I64" i="1" s="1"/>
  <c r="J64" i="1" s="1"/>
  <c r="K64" i="1" s="1"/>
  <c r="L64" i="1" s="1"/>
  <c r="M64" i="1" s="1"/>
  <c r="N64" i="1" s="1"/>
  <c r="O64" i="1" s="1"/>
  <c r="P64" i="1" s="1"/>
  <c r="Q64" i="1" s="1"/>
  <c r="R64" i="1" s="1"/>
  <c r="S64" i="1" s="1"/>
  <c r="T64" i="1" s="1"/>
  <c r="U64" i="1" s="1"/>
  <c r="V64" i="1" s="1"/>
  <c r="W64" i="1" s="1"/>
  <c r="X64" i="1" s="1"/>
  <c r="Y64" i="1" s="1"/>
  <c r="Z64" i="1" s="1"/>
  <c r="D25" i="6" l="1"/>
  <c r="D99" i="6" a="1"/>
  <c r="D95" i="6" a="1"/>
  <c r="C91" i="6" l="1"/>
  <c r="L81" i="6" s="1"/>
  <c r="L68" i="6"/>
  <c r="D99" i="6"/>
  <c r="L60" i="6" s="1"/>
  <c r="D95" i="6"/>
  <c r="E95" i="6"/>
  <c r="L62" i="6"/>
  <c r="E99" i="6"/>
  <c r="I62" i="6"/>
  <c r="I91" i="6"/>
  <c r="L40" i="6"/>
  <c r="L34" i="6"/>
  <c r="L83" i="6" a="1"/>
  <c r="F95" i="6" a="1"/>
  <c r="F99" i="6" a="1"/>
  <c r="L83" i="6" l="1"/>
  <c r="L84" i="6" s="1"/>
  <c r="M84" i="6" s="1"/>
  <c r="D91" i="6"/>
  <c r="E91" i="6" s="1"/>
  <c r="L74" i="6"/>
  <c r="J91" i="6"/>
  <c r="K91" i="6" s="1"/>
  <c r="I60" i="6"/>
  <c r="K95" i="6"/>
  <c r="F99" i="6"/>
  <c r="F95" i="6"/>
  <c r="H99" i="6"/>
  <c r="I99" i="6" s="1"/>
  <c r="L99" i="6" s="1"/>
  <c r="L59" i="6" s="1"/>
  <c r="L61" i="6" s="1"/>
  <c r="L63" i="6" s="1"/>
  <c r="M63" i="6" s="1"/>
  <c r="H95" i="6"/>
  <c r="L41" i="6"/>
  <c r="L42" i="6"/>
  <c r="L43" i="6"/>
  <c r="M34" i="6"/>
  <c r="F91" i="6" a="1"/>
  <c r="L76" i="6" a="1"/>
  <c r="L91" i="6" a="1"/>
  <c r="L76" i="6" l="1"/>
  <c r="L77" i="6" s="1"/>
  <c r="M77" i="6" s="1"/>
  <c r="F91" i="6"/>
  <c r="I53" i="6" s="1"/>
  <c r="I55" i="6" s="1"/>
  <c r="J95" i="6"/>
  <c r="L95" i="6" s="1"/>
  <c r="I59" i="6" s="1"/>
  <c r="I61" i="6" s="1"/>
  <c r="I63" i="6" s="1"/>
  <c r="J63" i="6" s="1"/>
  <c r="I95" i="6"/>
  <c r="L91" i="6"/>
  <c r="I54" i="6"/>
  <c r="M91" i="6"/>
  <c r="L49" i="6" s="1"/>
  <c r="L50" i="6" s="1"/>
  <c r="G91" i="6"/>
  <c r="I49" i="6" s="1"/>
  <c r="L44" i="6"/>
  <c r="M44" i="6" s="1"/>
  <c r="E25" i="6"/>
  <c r="I56" i="6" l="1"/>
  <c r="J56" i="6" s="1"/>
  <c r="I66" i="6"/>
  <c r="L66" i="6" s="1"/>
  <c r="L67" i="6" s="1"/>
  <c r="L69" i="6" s="1"/>
  <c r="M69" i="6" s="1"/>
  <c r="L53" i="6"/>
  <c r="L54" i="6" s="1"/>
  <c r="Z11" i="6"/>
  <c r="M50" i="6"/>
  <c r="I50" i="6"/>
  <c r="L55" i="6" l="1"/>
  <c r="L56" i="6" s="1"/>
  <c r="M56" i="6" s="1"/>
  <c r="J5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Z11" authorId="0" shapeId="0" xr:uid="{42DA36C2-B24C-4428-8179-2F3A0F5D8EAB}">
      <text>
        <r>
          <rPr>
            <b/>
            <sz val="9"/>
            <color indexed="81"/>
            <rFont val="Tahoma"/>
            <family val="2"/>
          </rPr>
          <t>HVMT:
Cấm xóa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<sst xmlns="http://schemas.openxmlformats.org/spreadsheetml/2006/main" count="278" uniqueCount="213">
  <si>
    <t>(Theo TCVN 5575-20xx)</t>
  </si>
  <si>
    <t>YÊU CẦU CHUNG - TÍNH TOÁN CẤU KIỆN CHỊU UỐN</t>
  </si>
  <si>
    <r>
      <t>Tùy thuộc vào công năng sử dụng và điều kiện sử dụng của kết cấu, việc tính toán cấu kiện chịu uốn (dầm) cần được thực hiện không kể đến hoặc có thể kể đến biến dạng dẻo phù hợp với phân chia cấu kiện thành ba cấp theo mục 4.2.7 TCVN 5575-20xx.
 - Dầm cấp 1: Được sử dụng đối với tất cả các loại tải trọng và được tính toán trong giới hạn biến dạng đàn hồi.
 - Dầm cấp 2 và 3: Được sử dụng đối với tải trọng tĩnh và được tính toán có kể đến sự phát triển biến dạng dẻo.
 - Dầm đỡ cầu trục thuộc các nhóm chế độ làm việc từ A1 đến A8 theo TCVN 8590-1:2010 Khi tính toán độ bền cần được xếp vào cấp 1.
 - Dầm hai loại thép cần được xếp vào cấp 2 và được tính toán có kể đến biến dạng dẻo hạn chế trong ban bụng. Giá trị biến dạng dẻo hạn chế cần được xác định tại thời điểm khi ứng suất đạt tới cường độ tính toán f</t>
    </r>
    <r>
      <rPr>
        <vertAlign val="subscript"/>
        <sz val="10"/>
        <color theme="1"/>
        <rFont val="Calibri"/>
        <family val="2"/>
        <scheme val="minor"/>
      </rPr>
      <t>yf</t>
    </r>
    <r>
      <rPr>
        <sz val="10"/>
        <color theme="1"/>
        <rFont val="Calibri"/>
        <family val="2"/>
        <scheme val="minor"/>
      </rPr>
      <t xml:space="preserve"> trong các bản cánh làm bằng thép có cường độ cao hơn cường độ của thép làm bản bụng. </t>
    </r>
  </si>
  <si>
    <t>A. THÔNG TIN THIẾT KẾ</t>
  </si>
  <si>
    <t>mm</t>
  </si>
  <si>
    <t>Mac Thép</t>
  </si>
  <si>
    <r>
      <t xml:space="preserve">S235 </t>
    </r>
    <r>
      <rPr>
        <sz val="10"/>
        <color theme="1"/>
        <rFont val="Calibri"/>
        <family val="2"/>
      </rPr>
      <t>≤ 40</t>
    </r>
  </si>
  <si>
    <r>
      <t xml:space="preserve">S235 </t>
    </r>
    <r>
      <rPr>
        <sz val="10"/>
        <color theme="1"/>
        <rFont val="Calibri"/>
        <family val="2"/>
      </rPr>
      <t>≤ 16</t>
    </r>
  </si>
  <si>
    <r>
      <t xml:space="preserve">S235 </t>
    </r>
    <r>
      <rPr>
        <sz val="10"/>
        <color theme="1"/>
        <rFont val="Calibri"/>
        <family val="2"/>
      </rPr>
      <t>≤ 63</t>
    </r>
  </si>
  <si>
    <r>
      <t xml:space="preserve">S235 </t>
    </r>
    <r>
      <rPr>
        <sz val="10"/>
        <color theme="1"/>
        <rFont val="Calibri"/>
        <family val="2"/>
      </rPr>
      <t xml:space="preserve">≤ </t>
    </r>
    <r>
      <rPr>
        <sz val="10"/>
        <color theme="1"/>
        <rFont val="Calibri"/>
        <family val="2"/>
        <scheme val="minor"/>
      </rPr>
      <t>80</t>
    </r>
  </si>
  <si>
    <r>
      <t xml:space="preserve">S235 </t>
    </r>
    <r>
      <rPr>
        <sz val="10"/>
        <color theme="1"/>
        <rFont val="Calibri"/>
        <family val="2"/>
      </rPr>
      <t>≤ 100</t>
    </r>
  </si>
  <si>
    <t>S275 ≤ 16</t>
  </si>
  <si>
    <t>S275 ≤ 40</t>
  </si>
  <si>
    <t>S275 ≤ 63</t>
  </si>
  <si>
    <t>S275 ≤ 80</t>
  </si>
  <si>
    <t>S275 ≤ 100</t>
  </si>
  <si>
    <t>S355 ≤ 16</t>
  </si>
  <si>
    <t>S355 ≤ 40</t>
  </si>
  <si>
    <t>S355 ≤ 63</t>
  </si>
  <si>
    <t>S355 ≤ 80</t>
  </si>
  <si>
    <t>S355 ≤ 100</t>
  </si>
  <si>
    <t>E</t>
  </si>
  <si>
    <t>Mpa</t>
  </si>
  <si>
    <r>
      <t>f</t>
    </r>
    <r>
      <rPr>
        <vertAlign val="subscript"/>
        <sz val="10"/>
        <color theme="1"/>
        <rFont val="Calibri"/>
        <family val="2"/>
        <scheme val="minor"/>
      </rPr>
      <t>y</t>
    </r>
  </si>
  <si>
    <t>Mác Thép</t>
  </si>
  <si>
    <r>
      <rPr>
        <sz val="10"/>
        <color theme="1"/>
        <rFont val="Symbol"/>
        <family val="1"/>
        <charset val="2"/>
      </rPr>
      <t xml:space="preserve"> g</t>
    </r>
    <r>
      <rPr>
        <vertAlign val="subscript"/>
        <sz val="10"/>
        <color theme="1"/>
        <rFont val="Calibri"/>
        <family val="2"/>
      </rPr>
      <t>m</t>
    </r>
  </si>
  <si>
    <r>
      <t>f</t>
    </r>
    <r>
      <rPr>
        <vertAlign val="subscript"/>
        <sz val="10"/>
        <color theme="1"/>
        <rFont val="Calibri"/>
        <family val="2"/>
        <scheme val="minor"/>
      </rPr>
      <t>v</t>
    </r>
  </si>
  <si>
    <t>1. Kích Thước</t>
  </si>
  <si>
    <t>A</t>
  </si>
  <si>
    <t>Đặc Trưng Hình Học</t>
  </si>
  <si>
    <r>
      <t>cm</t>
    </r>
    <r>
      <rPr>
        <vertAlign val="superscript"/>
        <sz val="10"/>
        <color theme="1"/>
        <rFont val="Calibri"/>
        <family val="2"/>
        <scheme val="minor"/>
      </rPr>
      <t>4</t>
    </r>
  </si>
  <si>
    <r>
      <t>cm</t>
    </r>
    <r>
      <rPr>
        <vertAlign val="superscript"/>
        <sz val="10"/>
        <color theme="1"/>
        <rFont val="Calibri"/>
        <family val="2"/>
        <scheme val="minor"/>
      </rPr>
      <t>3</t>
    </r>
  </si>
  <si>
    <t>B. QUY TRÌNH TÍNH TOÁN</t>
  </si>
  <si>
    <t>Ứng suất pháp giới hạn</t>
  </si>
  <si>
    <t>Hệ số</t>
  </si>
  <si>
    <r>
      <rPr>
        <sz val="10"/>
        <color theme="1"/>
        <rFont val="Symbol"/>
        <family val="1"/>
        <charset val="2"/>
      </rPr>
      <t>g</t>
    </r>
    <r>
      <rPr>
        <vertAlign val="subscript"/>
        <sz val="10"/>
        <color theme="1"/>
        <rFont val="Calibri"/>
        <family val="2"/>
      </rPr>
      <t>c</t>
    </r>
  </si>
  <si>
    <t>Vị trí</t>
  </si>
  <si>
    <t>(kNm)</t>
  </si>
  <si>
    <t>(kN)</t>
  </si>
  <si>
    <t>N</t>
  </si>
  <si>
    <t>T</t>
  </si>
  <si>
    <t>2. Vật Liệu - Đặc Trưng Hình Học</t>
  </si>
  <si>
    <t>3. Nội Lực</t>
  </si>
  <si>
    <t>MPa</t>
  </si>
  <si>
    <r>
      <t>cm</t>
    </r>
    <r>
      <rPr>
        <vertAlign val="superscript"/>
        <sz val="10"/>
        <color theme="1"/>
        <rFont val="Calibri"/>
        <family val="2"/>
        <scheme val="minor"/>
      </rPr>
      <t>2</t>
    </r>
  </si>
  <si>
    <t>h</t>
  </si>
  <si>
    <r>
      <t>f</t>
    </r>
    <r>
      <rPr>
        <b/>
        <vertAlign val="subscript"/>
        <sz val="10"/>
        <color theme="0"/>
        <rFont val="Calibri"/>
        <family val="2"/>
        <scheme val="minor"/>
      </rPr>
      <t>y</t>
    </r>
  </si>
  <si>
    <r>
      <t>f</t>
    </r>
    <r>
      <rPr>
        <b/>
        <vertAlign val="subscript"/>
        <sz val="10"/>
        <color theme="0"/>
        <rFont val="Calibri"/>
        <family val="2"/>
        <scheme val="minor"/>
      </rPr>
      <t>u</t>
    </r>
  </si>
  <si>
    <r>
      <t>t</t>
    </r>
    <r>
      <rPr>
        <vertAlign val="subscript"/>
        <sz val="10"/>
        <color theme="1"/>
        <rFont val="Calibri"/>
        <family val="2"/>
        <scheme val="minor"/>
      </rPr>
      <t xml:space="preserve">w </t>
    </r>
    <r>
      <rPr>
        <sz val="10"/>
        <color theme="1"/>
        <rFont val="Calibri"/>
        <family val="2"/>
        <scheme val="minor"/>
      </rPr>
      <t>=</t>
    </r>
  </si>
  <si>
    <t>(m)</t>
  </si>
  <si>
    <t>Phần tử</t>
  </si>
  <si>
    <t>Tổ hợp</t>
  </si>
  <si>
    <t>f</t>
  </si>
  <si>
    <t>Q235</t>
  </si>
  <si>
    <t>Q345</t>
  </si>
  <si>
    <t>A572 gr.50</t>
  </si>
  <si>
    <t>A36</t>
  </si>
  <si>
    <t>1_ULS2</t>
  </si>
  <si>
    <r>
      <t>[</t>
    </r>
    <r>
      <rPr>
        <sz val="10"/>
        <color theme="1"/>
        <rFont val="Symbol"/>
        <family val="1"/>
        <charset val="2"/>
      </rPr>
      <t>s</t>
    </r>
    <r>
      <rPr>
        <sz val="10"/>
        <color theme="1"/>
        <rFont val="Calibri"/>
        <family val="2"/>
      </rPr>
      <t>] = f</t>
    </r>
    <r>
      <rPr>
        <sz val="10"/>
        <color theme="1"/>
        <rFont val="Symbol"/>
        <family val="1"/>
        <charset val="2"/>
      </rPr>
      <t>g</t>
    </r>
    <r>
      <rPr>
        <vertAlign val="subscript"/>
        <sz val="10"/>
        <color theme="1"/>
        <rFont val="Calibri"/>
        <family val="2"/>
      </rPr>
      <t xml:space="preserve">c </t>
    </r>
    <r>
      <rPr>
        <sz val="10"/>
        <color theme="1"/>
        <rFont val="Calibri"/>
        <family val="2"/>
      </rPr>
      <t>=</t>
    </r>
  </si>
  <si>
    <t>V2</t>
  </si>
  <si>
    <t>V3</t>
  </si>
  <si>
    <t>M2</t>
  </si>
  <si>
    <t>M3</t>
  </si>
  <si>
    <r>
      <rPr>
        <sz val="10"/>
        <color theme="1"/>
        <rFont val="Tahoma"/>
        <family val="2"/>
      </rPr>
      <t>I</t>
    </r>
    <r>
      <rPr>
        <vertAlign val="subscript"/>
        <sz val="10"/>
        <color theme="1"/>
        <rFont val="Calibri"/>
        <family val="2"/>
        <scheme val="minor"/>
      </rPr>
      <t>3</t>
    </r>
  </si>
  <si>
    <r>
      <rPr>
        <sz val="10"/>
        <color theme="1"/>
        <rFont val="Tahoma"/>
        <family val="2"/>
      </rPr>
      <t>I</t>
    </r>
    <r>
      <rPr>
        <vertAlign val="subscript"/>
        <sz val="10"/>
        <color theme="1"/>
        <rFont val="Calibri"/>
        <family val="2"/>
        <scheme val="minor"/>
      </rPr>
      <t>2</t>
    </r>
  </si>
  <si>
    <r>
      <t>W</t>
    </r>
    <r>
      <rPr>
        <vertAlign val="subscript"/>
        <sz val="10"/>
        <color theme="1"/>
        <rFont val="Calibri"/>
        <family val="2"/>
        <scheme val="minor"/>
      </rPr>
      <t>3</t>
    </r>
  </si>
  <si>
    <r>
      <t>W</t>
    </r>
    <r>
      <rPr>
        <vertAlign val="subscript"/>
        <sz val="10"/>
        <color theme="1"/>
        <rFont val="Calibri"/>
        <family val="2"/>
        <scheme val="minor"/>
      </rPr>
      <t>2</t>
    </r>
  </si>
  <si>
    <t>cm</t>
  </si>
  <si>
    <r>
      <t>i</t>
    </r>
    <r>
      <rPr>
        <vertAlign val="subscript"/>
        <sz val="10"/>
        <color theme="1"/>
        <rFont val="Calibri"/>
        <family val="2"/>
        <scheme val="minor"/>
      </rPr>
      <t>3</t>
    </r>
  </si>
  <si>
    <r>
      <rPr>
        <sz val="10"/>
        <color theme="1"/>
        <rFont val="Calibri"/>
        <family val="2"/>
        <scheme val="minor"/>
      </rPr>
      <t>i</t>
    </r>
    <r>
      <rPr>
        <vertAlign val="subscript"/>
        <sz val="10"/>
        <color theme="1"/>
        <rFont val="Calibri"/>
        <family val="2"/>
        <scheme val="minor"/>
      </rPr>
      <t>2</t>
    </r>
  </si>
  <si>
    <t>Bảng D10</t>
  </si>
  <si>
    <r>
      <t xml:space="preserve">Hệ số </t>
    </r>
    <r>
      <rPr>
        <b/>
        <sz val="11"/>
        <color theme="1"/>
        <rFont val="Arial"/>
        <family val="2"/>
      </rPr>
      <t>φ</t>
    </r>
    <r>
      <rPr>
        <b/>
        <sz val="11"/>
        <color theme="1"/>
        <rFont val="Calibri"/>
        <family val="2"/>
      </rPr>
      <t>e để kiểm tra ổn định của cấu kiện tiết diện đặc, chịu nén lệch tâm (nén uốn), mặt phẳng tác dụng của moment trùng với mặt phẳng đối xứng</t>
    </r>
  </si>
  <si>
    <t>a</t>
  </si>
  <si>
    <t>c =</t>
  </si>
  <si>
    <r>
      <rPr>
        <sz val="10"/>
        <color theme="1"/>
        <rFont val="Symbol"/>
        <family val="1"/>
        <charset val="2"/>
      </rPr>
      <t>l</t>
    </r>
    <r>
      <rPr>
        <vertAlign val="subscript"/>
        <sz val="10"/>
        <color theme="1"/>
        <rFont val="Calibri"/>
        <family val="2"/>
        <scheme val="minor"/>
      </rPr>
      <t>c</t>
    </r>
  </si>
  <si>
    <r>
      <rPr>
        <sz val="10"/>
        <color theme="1"/>
        <rFont val="Symbol"/>
        <family val="1"/>
        <charset val="2"/>
      </rPr>
      <t>j</t>
    </r>
    <r>
      <rPr>
        <vertAlign val="subscript"/>
        <sz val="10"/>
        <color theme="1"/>
        <rFont val="Calibri"/>
        <family val="2"/>
        <scheme val="minor"/>
      </rPr>
      <t>c</t>
    </r>
  </si>
  <si>
    <t>b</t>
  </si>
  <si>
    <r>
      <t>m</t>
    </r>
    <r>
      <rPr>
        <vertAlign val="subscript"/>
        <sz val="10"/>
        <color theme="1"/>
        <rFont val="Calibri"/>
        <family val="2"/>
        <scheme val="minor"/>
      </rPr>
      <t>x</t>
    </r>
  </si>
  <si>
    <t>c</t>
  </si>
  <si>
    <r>
      <t xml:space="preserve">mx </t>
    </r>
    <r>
      <rPr>
        <sz val="10"/>
        <color theme="1"/>
        <rFont val="Symbol"/>
        <family val="1"/>
        <charset val="2"/>
      </rPr>
      <t>£</t>
    </r>
    <r>
      <rPr>
        <sz val="10"/>
        <color theme="1"/>
        <rFont val="Calibri"/>
        <family val="2"/>
        <scheme val="minor"/>
      </rPr>
      <t xml:space="preserve"> 5</t>
    </r>
  </si>
  <si>
    <t>mx &lt; 10</t>
  </si>
  <si>
    <r>
      <t xml:space="preserve">mx </t>
    </r>
    <r>
      <rPr>
        <sz val="10"/>
        <color theme="1"/>
        <rFont val="Symbol"/>
        <family val="1"/>
        <charset val="2"/>
      </rPr>
      <t xml:space="preserve"> ³</t>
    </r>
    <r>
      <rPr>
        <sz val="10"/>
        <color theme="1"/>
        <rFont val="Calibri"/>
        <family val="2"/>
        <scheme val="minor"/>
      </rPr>
      <t xml:space="preserve"> 10</t>
    </r>
  </si>
  <si>
    <r>
      <t>m</t>
    </r>
    <r>
      <rPr>
        <vertAlign val="subscript"/>
        <sz val="10"/>
        <color theme="1"/>
        <rFont val="Calibri"/>
        <family val="2"/>
        <scheme val="minor"/>
      </rPr>
      <t>e</t>
    </r>
  </si>
  <si>
    <t>Chiều cao cột</t>
  </si>
  <si>
    <t>Bề rộng cột</t>
  </si>
  <si>
    <t>Chiều dày</t>
  </si>
  <si>
    <t>H =</t>
  </si>
  <si>
    <t>B =</t>
  </si>
  <si>
    <t>THIẾT KẾ CỘT THÉP HỘP THEO TCVN 5575 - 2012</t>
  </si>
  <si>
    <t>1. Tính toán về bền (Mục 7.4.1)</t>
  </si>
  <si>
    <r>
      <t>Hệ số N/(A</t>
    </r>
    <r>
      <rPr>
        <vertAlign val="subscript"/>
        <sz val="10"/>
        <color theme="1"/>
        <rFont val="Calibri"/>
        <family val="2"/>
        <scheme val="minor"/>
      </rPr>
      <t>n</t>
    </r>
    <r>
      <rPr>
        <sz val="10"/>
        <color theme="1"/>
        <rFont val="Calibri"/>
        <family val="2"/>
        <scheme val="minor"/>
      </rPr>
      <t>f)</t>
    </r>
  </si>
  <si>
    <r>
      <t>N/(A</t>
    </r>
    <r>
      <rPr>
        <vertAlign val="subscript"/>
        <sz val="10"/>
        <color theme="1"/>
        <rFont val="Calibri"/>
        <family val="2"/>
        <scheme val="minor"/>
      </rPr>
      <t>n</t>
    </r>
    <r>
      <rPr>
        <sz val="10"/>
        <color theme="1"/>
        <rFont val="Calibri"/>
        <family val="2"/>
        <scheme val="minor"/>
      </rPr>
      <t>f)=</t>
    </r>
  </si>
  <si>
    <r>
      <t>n</t>
    </r>
    <r>
      <rPr>
        <vertAlign val="subscript"/>
        <sz val="10"/>
        <color theme="1"/>
        <rFont val="Calibri"/>
        <family val="2"/>
        <scheme val="minor"/>
      </rPr>
      <t>c</t>
    </r>
    <r>
      <rPr>
        <sz val="10"/>
        <color theme="1"/>
        <rFont val="Calibri"/>
        <family val="2"/>
        <scheme val="minor"/>
      </rPr>
      <t>=</t>
    </r>
  </si>
  <si>
    <r>
      <t>c</t>
    </r>
    <r>
      <rPr>
        <vertAlign val="subscript"/>
        <sz val="10"/>
        <color theme="1"/>
        <rFont val="Calibri"/>
        <family val="2"/>
        <scheme val="minor"/>
      </rPr>
      <t>x</t>
    </r>
    <r>
      <rPr>
        <sz val="10"/>
        <color theme="1"/>
        <rFont val="Calibri"/>
        <family val="2"/>
        <scheme val="minor"/>
      </rPr>
      <t>=</t>
    </r>
  </si>
  <si>
    <r>
      <t>c</t>
    </r>
    <r>
      <rPr>
        <vertAlign val="subscript"/>
        <sz val="10"/>
        <color theme="1"/>
        <rFont val="Calibri"/>
        <family val="2"/>
        <scheme val="minor"/>
      </rPr>
      <t>y</t>
    </r>
    <r>
      <rPr>
        <sz val="10"/>
        <color theme="1"/>
        <rFont val="Calibri"/>
        <family val="2"/>
        <scheme val="minor"/>
      </rPr>
      <t>=</t>
    </r>
  </si>
  <si>
    <t>Ứng suất giới hạn của cấu kiện</t>
  </si>
  <si>
    <r>
      <t>Xét trường hợp N/(A</t>
    </r>
    <r>
      <rPr>
        <i/>
        <u/>
        <vertAlign val="subscript"/>
        <sz val="10"/>
        <color theme="1"/>
        <rFont val="Calibri"/>
        <family val="2"/>
        <scheme val="minor"/>
      </rPr>
      <t>n</t>
    </r>
    <r>
      <rPr>
        <i/>
        <u/>
        <sz val="10"/>
        <color theme="1"/>
        <rFont val="Calibri"/>
        <family val="2"/>
        <scheme val="minor"/>
      </rPr>
      <t>f) &gt; 0.1</t>
    </r>
  </si>
  <si>
    <r>
      <t>Xét trường hợp N/(A</t>
    </r>
    <r>
      <rPr>
        <i/>
        <vertAlign val="subscript"/>
        <sz val="10"/>
        <color theme="1"/>
        <rFont val="Calibri"/>
        <family val="2"/>
        <scheme val="minor"/>
      </rPr>
      <t>n</t>
    </r>
    <r>
      <rPr>
        <i/>
        <sz val="10"/>
        <color theme="1"/>
        <rFont val="Calibri"/>
        <family val="2"/>
        <scheme val="minor"/>
      </rPr>
      <t>f) ≤ 0.1</t>
    </r>
  </si>
  <si>
    <t>Bảng C</t>
  </si>
  <si>
    <t>Hệ số tính độ bền của các cấu kiện khi kể đến sự phát triển của biến dạng dẻo</t>
  </si>
  <si>
    <r>
      <t>A</t>
    </r>
    <r>
      <rPr>
        <vertAlign val="subscript"/>
        <sz val="11"/>
        <color theme="1"/>
        <rFont val="Calibri"/>
        <family val="2"/>
        <scheme val="minor"/>
      </rPr>
      <t>f</t>
    </r>
    <r>
      <rPr>
        <sz val="11"/>
        <color theme="1"/>
        <rFont val="Calibri"/>
        <family val="2"/>
        <scheme val="minor"/>
      </rPr>
      <t>/A</t>
    </r>
    <r>
      <rPr>
        <vertAlign val="subscript"/>
        <sz val="11"/>
        <color theme="1"/>
        <rFont val="Calibri"/>
        <family val="2"/>
        <scheme val="minor"/>
      </rPr>
      <t>w</t>
    </r>
  </si>
  <si>
    <r>
      <t>C</t>
    </r>
    <r>
      <rPr>
        <vertAlign val="subscript"/>
        <sz val="11"/>
        <color theme="1"/>
        <rFont val="Calibri"/>
        <family val="2"/>
        <scheme val="minor"/>
      </rPr>
      <t>x</t>
    </r>
  </si>
  <si>
    <t>THÉP HỘP</t>
  </si>
  <si>
    <r>
      <t>C</t>
    </r>
    <r>
      <rPr>
        <vertAlign val="subscript"/>
        <sz val="11"/>
        <color theme="1"/>
        <rFont val="Calibri"/>
        <family val="2"/>
        <scheme val="minor"/>
      </rPr>
      <t>y</t>
    </r>
  </si>
  <si>
    <t>Tỉ số ứng suất pháp của cấu kiện khi có tác dụng của N</t>
  </si>
  <si>
    <r>
      <t xml:space="preserve"> </t>
    </r>
    <r>
      <rPr>
        <sz val="10"/>
        <color theme="1"/>
        <rFont val="Calibri"/>
        <family val="2"/>
      </rPr>
      <t>[</t>
    </r>
    <r>
      <rPr>
        <sz val="10"/>
        <color theme="1"/>
        <rFont val="Symbol"/>
        <family val="1"/>
        <charset val="2"/>
      </rPr>
      <t>s</t>
    </r>
    <r>
      <rPr>
        <vertAlign val="subscript"/>
        <sz val="10"/>
        <color theme="1"/>
        <rFont val="Symbol"/>
        <family val="1"/>
        <charset val="2"/>
      </rPr>
      <t>N</t>
    </r>
    <r>
      <rPr>
        <sz val="10"/>
        <color theme="1"/>
        <rFont val="Calibri"/>
        <family val="2"/>
      </rPr>
      <t>] =</t>
    </r>
  </si>
  <si>
    <r>
      <t xml:space="preserve"> </t>
    </r>
    <r>
      <rPr>
        <sz val="10"/>
        <color theme="1"/>
        <rFont val="Calibri"/>
        <family val="2"/>
      </rPr>
      <t>[</t>
    </r>
    <r>
      <rPr>
        <sz val="10"/>
        <color theme="1"/>
        <rFont val="Symbol"/>
        <family val="1"/>
        <charset val="2"/>
      </rPr>
      <t>s</t>
    </r>
    <r>
      <rPr>
        <vertAlign val="subscript"/>
        <sz val="10"/>
        <color theme="1"/>
        <rFont val="Calibri"/>
        <family val="2"/>
        <scheme val="minor"/>
      </rPr>
      <t>x</t>
    </r>
    <r>
      <rPr>
        <sz val="10"/>
        <color theme="1"/>
        <rFont val="Calibri"/>
        <family val="2"/>
      </rPr>
      <t>] =</t>
    </r>
  </si>
  <si>
    <r>
      <t xml:space="preserve"> </t>
    </r>
    <r>
      <rPr>
        <sz val="10"/>
        <color theme="1"/>
        <rFont val="Calibri"/>
        <family val="2"/>
      </rPr>
      <t>[</t>
    </r>
    <r>
      <rPr>
        <sz val="10"/>
        <color theme="1"/>
        <rFont val="Symbol"/>
        <family val="1"/>
        <charset val="2"/>
      </rPr>
      <t>s</t>
    </r>
    <r>
      <rPr>
        <vertAlign val="subscript"/>
        <sz val="10"/>
        <color theme="1"/>
        <rFont val="Calibri"/>
        <family val="2"/>
        <scheme val="minor"/>
      </rPr>
      <t>y</t>
    </r>
    <r>
      <rPr>
        <sz val="10"/>
        <color theme="1"/>
        <rFont val="Calibri"/>
        <family val="2"/>
      </rPr>
      <t>] =</t>
    </r>
  </si>
  <si>
    <t>Tổng tỉ số ứng suất</t>
  </si>
  <si>
    <r>
      <t xml:space="preserve"> </t>
    </r>
    <r>
      <rPr>
        <sz val="10"/>
        <color theme="1"/>
        <rFont val="Calibri"/>
        <family val="2"/>
      </rPr>
      <t>[</t>
    </r>
    <r>
      <rPr>
        <sz val="10"/>
        <color theme="1"/>
        <rFont val="Symbol"/>
        <family val="1"/>
        <charset val="2"/>
      </rPr>
      <t>s</t>
    </r>
    <r>
      <rPr>
        <vertAlign val="subscript"/>
        <sz val="10"/>
        <color theme="1"/>
        <rFont val="Symbol"/>
        <family val="1"/>
        <charset val="2"/>
      </rPr>
      <t>N</t>
    </r>
    <r>
      <rPr>
        <sz val="10"/>
        <color theme="1"/>
        <rFont val="Calibri"/>
        <family val="2"/>
      </rPr>
      <t>]+ [</t>
    </r>
    <r>
      <rPr>
        <sz val="10"/>
        <color theme="1"/>
        <rFont val="Symbol"/>
        <family val="1"/>
        <charset val="2"/>
      </rPr>
      <t>s</t>
    </r>
    <r>
      <rPr>
        <vertAlign val="subscript"/>
        <sz val="10"/>
        <color theme="1"/>
        <rFont val="Calibri"/>
        <family val="2"/>
        <scheme val="minor"/>
      </rPr>
      <t>x</t>
    </r>
    <r>
      <rPr>
        <sz val="10"/>
        <color theme="1"/>
        <rFont val="Calibri"/>
        <family val="2"/>
      </rPr>
      <t>]+ [</t>
    </r>
    <r>
      <rPr>
        <sz val="10"/>
        <color theme="1"/>
        <rFont val="Symbol"/>
        <family val="1"/>
        <charset val="2"/>
      </rPr>
      <t>s</t>
    </r>
    <r>
      <rPr>
        <vertAlign val="subscript"/>
        <sz val="10"/>
        <color theme="1"/>
        <rFont val="Calibri"/>
        <family val="2"/>
      </rPr>
      <t>y</t>
    </r>
    <r>
      <rPr>
        <sz val="10"/>
        <color theme="1"/>
        <rFont val="Calibri"/>
        <family val="2"/>
      </rPr>
      <t>] =</t>
    </r>
  </si>
  <si>
    <t>Phương X</t>
  </si>
  <si>
    <t>Phương Y</t>
  </si>
  <si>
    <t>Chiều dài tính toán</t>
  </si>
  <si>
    <r>
      <t>L</t>
    </r>
    <r>
      <rPr>
        <vertAlign val="subscript"/>
        <sz val="10"/>
        <color theme="1"/>
        <rFont val="Calibri"/>
        <family val="2"/>
        <scheme val="minor"/>
      </rPr>
      <t>x</t>
    </r>
    <r>
      <rPr>
        <sz val="10"/>
        <color theme="1"/>
        <rFont val="Calibri"/>
        <family val="2"/>
        <scheme val="minor"/>
      </rPr>
      <t>=</t>
    </r>
  </si>
  <si>
    <r>
      <t>L</t>
    </r>
    <r>
      <rPr>
        <vertAlign val="subscript"/>
        <sz val="10"/>
        <color theme="1"/>
        <rFont val="Calibri"/>
        <family val="2"/>
        <scheme val="minor"/>
      </rPr>
      <t>y</t>
    </r>
    <r>
      <rPr>
        <sz val="10"/>
        <color theme="1"/>
        <rFont val="Calibri"/>
        <family val="2"/>
        <scheme val="minor"/>
      </rPr>
      <t>=</t>
    </r>
  </si>
  <si>
    <t>Độ mảnh của cột</t>
  </si>
  <si>
    <r>
      <rPr>
        <sz val="10"/>
        <color theme="1"/>
        <rFont val="Symbol"/>
        <family val="1"/>
        <charset val="2"/>
      </rPr>
      <t xml:space="preserve"> l</t>
    </r>
    <r>
      <rPr>
        <vertAlign val="subscript"/>
        <sz val="10"/>
        <color theme="1"/>
        <rFont val="Calibri"/>
        <family val="2"/>
      </rPr>
      <t>x</t>
    </r>
    <r>
      <rPr>
        <sz val="10"/>
        <color theme="1"/>
        <rFont val="Calibri"/>
        <family val="2"/>
      </rPr>
      <t>=</t>
    </r>
  </si>
  <si>
    <r>
      <rPr>
        <sz val="10"/>
        <color theme="1"/>
        <rFont val="Symbol"/>
        <family val="1"/>
        <charset val="2"/>
      </rPr>
      <t>l</t>
    </r>
    <r>
      <rPr>
        <vertAlign val="subscript"/>
        <sz val="10"/>
        <color theme="1"/>
        <rFont val="Calibri"/>
        <family val="2"/>
      </rPr>
      <t>y</t>
    </r>
    <r>
      <rPr>
        <sz val="10"/>
        <color theme="1"/>
        <rFont val="Calibri"/>
        <family val="2"/>
      </rPr>
      <t>=</t>
    </r>
  </si>
  <si>
    <t>Độ mảnh giới hạn</t>
  </si>
  <si>
    <r>
      <t>[</t>
    </r>
    <r>
      <rPr>
        <sz val="10"/>
        <color theme="1"/>
        <rFont val="Symbol"/>
        <family val="1"/>
        <charset val="2"/>
      </rPr>
      <t>l</t>
    </r>
    <r>
      <rPr>
        <vertAlign val="subscript"/>
        <sz val="10"/>
        <color theme="1"/>
        <rFont val="Calibri"/>
        <family val="2"/>
        <scheme val="minor"/>
      </rPr>
      <t>x</t>
    </r>
    <r>
      <rPr>
        <sz val="10"/>
        <color theme="1"/>
        <rFont val="Calibri"/>
        <family val="2"/>
      </rPr>
      <t>]=</t>
    </r>
  </si>
  <si>
    <r>
      <t>[</t>
    </r>
    <r>
      <rPr>
        <sz val="10"/>
        <color theme="1"/>
        <rFont val="Symbol"/>
        <family val="1"/>
        <charset val="2"/>
      </rPr>
      <t>l</t>
    </r>
    <r>
      <rPr>
        <vertAlign val="subscript"/>
        <sz val="10"/>
        <color theme="1"/>
        <rFont val="Calibri"/>
        <family val="2"/>
        <scheme val="minor"/>
      </rPr>
      <t>y</t>
    </r>
    <r>
      <rPr>
        <sz val="10"/>
        <color theme="1"/>
        <rFont val="Calibri"/>
        <family val="2"/>
      </rPr>
      <t>]=</t>
    </r>
  </si>
  <si>
    <t>Chiều dài cột</t>
  </si>
  <si>
    <t>L =</t>
  </si>
  <si>
    <t>Loại Liên Kết</t>
  </si>
  <si>
    <t>Liên kết 2 đầu khớp</t>
  </si>
  <si>
    <t>Liên kết 1 đầu ngàm 1 đầu khớp</t>
  </si>
  <si>
    <t>Liên kết 2 đầu ngàm</t>
  </si>
  <si>
    <t>Liên kết 1 đầu ngàm 1 đầu tự do</t>
  </si>
  <si>
    <t>Khung Nhiều tầng nhiều nhịp</t>
  </si>
  <si>
    <t>Khung 1 nhịp nhiều tầng</t>
  </si>
  <si>
    <t>Liên kết phương X</t>
  </si>
  <si>
    <t>Liên kết phương Y</t>
  </si>
  <si>
    <r>
      <rPr>
        <sz val="10"/>
        <color theme="1"/>
        <rFont val="Symbol"/>
        <family val="1"/>
        <charset val="2"/>
      </rPr>
      <t>m</t>
    </r>
    <r>
      <rPr>
        <vertAlign val="subscript"/>
        <sz val="10"/>
        <color theme="1"/>
        <rFont val="Calibri"/>
        <family val="2"/>
        <scheme val="minor"/>
      </rPr>
      <t>x</t>
    </r>
    <r>
      <rPr>
        <sz val="10"/>
        <color theme="1"/>
        <rFont val="Calibri"/>
        <family val="2"/>
        <scheme val="minor"/>
      </rPr>
      <t xml:space="preserve"> =</t>
    </r>
  </si>
  <si>
    <r>
      <rPr>
        <sz val="10"/>
        <color theme="1"/>
        <rFont val="Symbol"/>
        <family val="1"/>
        <charset val="2"/>
      </rPr>
      <t>m</t>
    </r>
    <r>
      <rPr>
        <vertAlign val="subscript"/>
        <sz val="10"/>
        <color theme="1"/>
        <rFont val="Calibri"/>
        <family val="2"/>
        <scheme val="minor"/>
      </rPr>
      <t>y</t>
    </r>
    <r>
      <rPr>
        <sz val="10"/>
        <color theme="1"/>
        <rFont val="Calibri"/>
        <family val="2"/>
        <scheme val="minor"/>
      </rPr>
      <t xml:space="preserve"> =</t>
    </r>
  </si>
  <si>
    <t>Tỉ số độ mảnh</t>
  </si>
  <si>
    <r>
      <rPr>
        <sz val="10"/>
        <color theme="1"/>
        <rFont val="Symbol"/>
        <family val="1"/>
        <charset val="2"/>
      </rPr>
      <t xml:space="preserve"> l</t>
    </r>
    <r>
      <rPr>
        <vertAlign val="subscript"/>
        <sz val="10"/>
        <color theme="1"/>
        <rFont val="Calibri"/>
        <family val="2"/>
      </rPr>
      <t>x</t>
    </r>
    <r>
      <rPr>
        <sz val="10"/>
        <color theme="1"/>
        <rFont val="Calibri"/>
        <family val="2"/>
      </rPr>
      <t>/[</t>
    </r>
    <r>
      <rPr>
        <sz val="10"/>
        <color theme="1"/>
        <rFont val="Symbol"/>
        <family val="1"/>
        <charset val="2"/>
      </rPr>
      <t>l</t>
    </r>
    <r>
      <rPr>
        <vertAlign val="subscript"/>
        <sz val="10"/>
        <color theme="1"/>
        <rFont val="Calibri"/>
        <family val="2"/>
      </rPr>
      <t>x</t>
    </r>
    <r>
      <rPr>
        <sz val="10"/>
        <color theme="1"/>
        <rFont val="Calibri"/>
        <family val="2"/>
      </rPr>
      <t>]=</t>
    </r>
  </si>
  <si>
    <r>
      <rPr>
        <sz val="10"/>
        <color theme="1"/>
        <rFont val="Symbol"/>
        <family val="1"/>
        <charset val="2"/>
      </rPr>
      <t xml:space="preserve"> l</t>
    </r>
    <r>
      <rPr>
        <vertAlign val="subscript"/>
        <sz val="10"/>
        <color theme="1"/>
        <rFont val="Calibri"/>
        <family val="2"/>
      </rPr>
      <t>y</t>
    </r>
    <r>
      <rPr>
        <sz val="10"/>
        <color theme="1"/>
        <rFont val="Calibri"/>
        <family val="2"/>
      </rPr>
      <t>/[</t>
    </r>
    <r>
      <rPr>
        <sz val="10"/>
        <color theme="1"/>
        <rFont val="Symbol"/>
        <family val="1"/>
        <charset val="2"/>
      </rPr>
      <t>l</t>
    </r>
    <r>
      <rPr>
        <vertAlign val="subscript"/>
        <sz val="10"/>
        <color theme="1"/>
        <rFont val="Calibri"/>
        <family val="2"/>
      </rPr>
      <t>y</t>
    </r>
    <r>
      <rPr>
        <sz val="10"/>
        <color theme="1"/>
        <rFont val="Calibri"/>
        <family val="2"/>
      </rPr>
      <t>]=</t>
    </r>
  </si>
  <si>
    <r>
      <t>[f</t>
    </r>
    <r>
      <rPr>
        <sz val="10"/>
        <color theme="1"/>
        <rFont val="Symbol"/>
        <family val="1"/>
        <charset val="2"/>
      </rPr>
      <t>g</t>
    </r>
    <r>
      <rPr>
        <vertAlign val="subscript"/>
        <sz val="10"/>
        <color theme="1"/>
        <rFont val="Calibri"/>
        <family val="2"/>
      </rPr>
      <t>c</t>
    </r>
    <r>
      <rPr>
        <sz val="10"/>
        <color theme="1"/>
        <rFont val="Calibri"/>
        <family val="2"/>
      </rPr>
      <t>]=</t>
    </r>
  </si>
  <si>
    <t>Hệ số c khi kiểm tra ổn định ngoài mặt phẳng</t>
  </si>
  <si>
    <t>c=</t>
  </si>
  <si>
    <r>
      <t xml:space="preserve">Hệ số uốn dọc </t>
    </r>
    <r>
      <rPr>
        <sz val="10"/>
        <color theme="1"/>
        <rFont val="Symbol"/>
        <family val="1"/>
        <charset val="2"/>
      </rPr>
      <t>j</t>
    </r>
    <r>
      <rPr>
        <vertAlign val="subscript"/>
        <sz val="10"/>
        <color theme="1"/>
        <rFont val="Calibri"/>
        <family val="2"/>
      </rPr>
      <t>y</t>
    </r>
  </si>
  <si>
    <r>
      <rPr>
        <sz val="10"/>
        <color theme="1"/>
        <rFont val="Symbol"/>
        <family val="1"/>
        <charset val="2"/>
      </rPr>
      <t>j</t>
    </r>
    <r>
      <rPr>
        <vertAlign val="subscript"/>
        <sz val="10"/>
        <color theme="1"/>
        <rFont val="Calibri"/>
        <family val="2"/>
      </rPr>
      <t>y</t>
    </r>
    <r>
      <rPr>
        <sz val="10"/>
        <color theme="1"/>
        <rFont val="Calibri"/>
        <family val="2"/>
      </rPr>
      <t>=</t>
    </r>
  </si>
  <si>
    <r>
      <t>Trị số N/(c</t>
    </r>
    <r>
      <rPr>
        <sz val="10"/>
        <color theme="1"/>
        <rFont val="Symbol"/>
        <family val="1"/>
        <charset val="2"/>
      </rPr>
      <t>j</t>
    </r>
    <r>
      <rPr>
        <vertAlign val="subscript"/>
        <sz val="10"/>
        <color theme="1"/>
        <rFont val="Calibri"/>
        <family val="2"/>
        <scheme val="minor"/>
      </rPr>
      <t>y</t>
    </r>
    <r>
      <rPr>
        <sz val="10"/>
        <color theme="1"/>
        <rFont val="Calibri"/>
        <family val="2"/>
        <scheme val="minor"/>
      </rPr>
      <t>A)</t>
    </r>
  </si>
  <si>
    <r>
      <rPr>
        <sz val="10"/>
        <color theme="1"/>
        <rFont val="Symbol"/>
        <family val="1"/>
        <charset val="2"/>
      </rPr>
      <t>l</t>
    </r>
    <r>
      <rPr>
        <vertAlign val="subscript"/>
        <sz val="10"/>
        <color theme="1"/>
        <rFont val="Calibri"/>
        <family val="2"/>
        <scheme val="minor"/>
      </rPr>
      <t>y</t>
    </r>
  </si>
  <si>
    <r>
      <rPr>
        <sz val="10"/>
        <color theme="1"/>
        <rFont val="Symbol"/>
        <family val="1"/>
        <charset val="2"/>
      </rPr>
      <t>j</t>
    </r>
    <r>
      <rPr>
        <vertAlign val="subscript"/>
        <sz val="10"/>
        <color theme="1"/>
        <rFont val="Calibri"/>
        <family val="2"/>
        <scheme val="minor"/>
      </rPr>
      <t>y</t>
    </r>
  </si>
  <si>
    <t>2. Độ mảnh giới hạn (Mục 7.5.5)</t>
  </si>
  <si>
    <t>λ̅</t>
  </si>
  <si>
    <t>Độ lệch tâm tương đối_Công thức (40)</t>
  </si>
  <si>
    <t>Độ mảnh quy ước_Công thức (20)</t>
  </si>
  <si>
    <t>Hệ số ảnh hưởng hình dạng tiết diện_Bảng D.9, Phụ lục D</t>
  </si>
  <si>
    <t>Độ lệch tâm tương đối tính đổi_Công thức 40</t>
  </si>
  <si>
    <t>Hệ số phi, phụ lục D10</t>
  </si>
  <si>
    <r>
      <t xml:space="preserve">Hệ số </t>
    </r>
    <r>
      <rPr>
        <sz val="10"/>
        <color theme="1"/>
        <rFont val="Symbol"/>
        <family val="1"/>
        <charset val="2"/>
      </rPr>
      <t>a</t>
    </r>
    <r>
      <rPr>
        <sz val="10"/>
        <color theme="1"/>
        <rFont val="Calibri"/>
        <family val="2"/>
        <scheme val="minor"/>
      </rPr>
      <t>, Bảng 25</t>
    </r>
  </si>
  <si>
    <t xml:space="preserve">Hệ số </t>
  </si>
  <si>
    <t>3. Ổn định tổng thể trong mặt phẳng uốn (Mục 7.4.2.2)</t>
  </si>
  <si>
    <r>
      <t>Tỉ số ứng suất của cấu kiện khi có tác dụng của M</t>
    </r>
    <r>
      <rPr>
        <vertAlign val="subscript"/>
        <sz val="10"/>
        <color theme="1"/>
        <rFont val="Calibri"/>
        <family val="2"/>
        <scheme val="minor"/>
      </rPr>
      <t>x</t>
    </r>
  </si>
  <si>
    <r>
      <t>Tỉ số ứng suất của cấu kiện khi có tác dụng của M</t>
    </r>
    <r>
      <rPr>
        <vertAlign val="subscript"/>
        <sz val="10"/>
        <color theme="1"/>
        <rFont val="Calibri"/>
        <family val="2"/>
        <scheme val="minor"/>
      </rPr>
      <t>y</t>
    </r>
  </si>
  <si>
    <r>
      <t>e</t>
    </r>
    <r>
      <rPr>
        <vertAlign val="subscript"/>
        <sz val="10"/>
        <color theme="1"/>
        <rFont val="Calibri"/>
        <family val="2"/>
        <scheme val="minor"/>
      </rPr>
      <t>x</t>
    </r>
  </si>
  <si>
    <r>
      <t>e</t>
    </r>
    <r>
      <rPr>
        <vertAlign val="subscript"/>
        <sz val="10"/>
        <color theme="1"/>
        <rFont val="Calibri"/>
        <family val="2"/>
        <scheme val="minor"/>
      </rPr>
      <t>y</t>
    </r>
  </si>
  <si>
    <r>
      <t>m</t>
    </r>
    <r>
      <rPr>
        <vertAlign val="subscript"/>
        <sz val="10"/>
        <color theme="1"/>
        <rFont val="Calibri"/>
        <family val="2"/>
        <scheme val="minor"/>
      </rPr>
      <t>ex</t>
    </r>
  </si>
  <si>
    <r>
      <rPr>
        <sz val="10"/>
        <color theme="1"/>
        <rFont val="Symbol"/>
        <family val="1"/>
        <charset val="2"/>
      </rPr>
      <t>j</t>
    </r>
    <r>
      <rPr>
        <vertAlign val="subscript"/>
        <sz val="10"/>
        <color theme="1"/>
        <rFont val="Calibri"/>
        <family val="2"/>
      </rPr>
      <t>ex</t>
    </r>
  </si>
  <si>
    <r>
      <t>m</t>
    </r>
    <r>
      <rPr>
        <vertAlign val="subscript"/>
        <sz val="10"/>
        <color theme="1"/>
        <rFont val="Calibri"/>
        <family val="2"/>
        <scheme val="minor"/>
      </rPr>
      <t>y</t>
    </r>
  </si>
  <si>
    <r>
      <rPr>
        <sz val="10"/>
        <color theme="1"/>
        <rFont val="Symbol"/>
        <family val="1"/>
        <charset val="2"/>
      </rPr>
      <t>j</t>
    </r>
    <r>
      <rPr>
        <vertAlign val="subscript"/>
        <sz val="10"/>
        <color theme="1"/>
        <rFont val="Calibri"/>
        <family val="2"/>
      </rPr>
      <t>ey</t>
    </r>
  </si>
  <si>
    <t>PHỤ LỤC TÍNH TOÁN ĐỘ MẢNH CỘT, ỔN ĐỊNH TỔNG THỂ TRONG MẶT PHẲNG</t>
  </si>
  <si>
    <r>
      <t>Trị số N/(</t>
    </r>
    <r>
      <rPr>
        <sz val="10"/>
        <color theme="1"/>
        <rFont val="Symbol"/>
        <family val="1"/>
        <charset val="2"/>
      </rPr>
      <t>j</t>
    </r>
    <r>
      <rPr>
        <vertAlign val="subscript"/>
        <sz val="10"/>
        <color theme="1"/>
        <rFont val="Calibri"/>
        <family val="2"/>
        <scheme val="minor"/>
      </rPr>
      <t>e</t>
    </r>
    <r>
      <rPr>
        <sz val="10"/>
        <color theme="1"/>
        <rFont val="Calibri"/>
        <family val="2"/>
        <scheme val="minor"/>
      </rPr>
      <t>A)</t>
    </r>
  </si>
  <si>
    <t>4. Ổn định tổng thể ngoài mặt phẳng uốn (Mục 7.4.2.4)</t>
  </si>
  <si>
    <r>
      <rPr>
        <sz val="10"/>
        <color theme="1"/>
        <rFont val="Symbol"/>
        <family val="1"/>
        <charset val="2"/>
      </rPr>
      <t>j</t>
    </r>
    <r>
      <rPr>
        <vertAlign val="subscript"/>
        <sz val="10"/>
        <color theme="1"/>
        <rFont val="Calibri"/>
        <family val="2"/>
      </rPr>
      <t>eX</t>
    </r>
    <r>
      <rPr>
        <sz val="10"/>
        <color theme="1"/>
        <rFont val="Calibri"/>
        <family val="2"/>
        <scheme val="minor"/>
      </rPr>
      <t>=</t>
    </r>
  </si>
  <si>
    <r>
      <t>N/(</t>
    </r>
    <r>
      <rPr>
        <sz val="10"/>
        <color theme="1"/>
        <rFont val="Symbol"/>
        <family val="1"/>
        <charset val="2"/>
      </rPr>
      <t>j</t>
    </r>
    <r>
      <rPr>
        <vertAlign val="subscript"/>
        <sz val="10"/>
        <color theme="1"/>
        <rFont val="Calibri"/>
        <family val="2"/>
      </rPr>
      <t>eX</t>
    </r>
    <r>
      <rPr>
        <sz val="10"/>
        <color theme="1"/>
        <rFont val="Calibri"/>
        <family val="2"/>
      </rPr>
      <t>A)</t>
    </r>
    <r>
      <rPr>
        <sz val="10"/>
        <color theme="1"/>
        <rFont val="Calibri"/>
        <family val="2"/>
        <scheme val="minor"/>
      </rPr>
      <t>=</t>
    </r>
  </si>
  <si>
    <r>
      <rPr>
        <sz val="10"/>
        <color theme="1"/>
        <rFont val="Symbol"/>
        <family val="1"/>
        <charset val="2"/>
      </rPr>
      <t>j</t>
    </r>
    <r>
      <rPr>
        <vertAlign val="subscript"/>
        <sz val="10"/>
        <color theme="1"/>
        <rFont val="Calibri"/>
        <family val="2"/>
      </rPr>
      <t>eY</t>
    </r>
    <r>
      <rPr>
        <sz val="10"/>
        <color theme="1"/>
        <rFont val="Calibri"/>
        <family val="2"/>
        <scheme val="minor"/>
      </rPr>
      <t>=</t>
    </r>
  </si>
  <si>
    <r>
      <t>N/(</t>
    </r>
    <r>
      <rPr>
        <sz val="10"/>
        <color theme="1"/>
        <rFont val="Symbol"/>
        <family val="1"/>
        <charset val="2"/>
      </rPr>
      <t>j</t>
    </r>
    <r>
      <rPr>
        <vertAlign val="subscript"/>
        <sz val="10"/>
        <color theme="1"/>
        <rFont val="Calibri"/>
        <family val="2"/>
      </rPr>
      <t>eY</t>
    </r>
    <r>
      <rPr>
        <sz val="10"/>
        <color theme="1"/>
        <rFont val="Calibri"/>
        <family val="2"/>
      </rPr>
      <t>A)</t>
    </r>
    <r>
      <rPr>
        <sz val="10"/>
        <color theme="1"/>
        <rFont val="Calibri"/>
        <family val="2"/>
        <scheme val="minor"/>
      </rPr>
      <t>=</t>
    </r>
  </si>
  <si>
    <t>ĐỐI VỚI MOMENT M3</t>
  </si>
  <si>
    <t>ĐỐI VỚI MOMENT M2</t>
  </si>
  <si>
    <t>PHỤ LỤC TÍNH TOÁN ỔN ĐỊNH TỔNG THỂ NGOÀI MẶT PHẲNG ĐỐI VỚI MOMENT M3</t>
  </si>
  <si>
    <t>PHỤ LỤC TÍNH TOÁN ỔN ĐỊNH TỔNG THỂ NGOÀI MẶT PHẲNG ĐỐI VỚI MOMENT M2</t>
  </si>
  <si>
    <r>
      <rPr>
        <sz val="10"/>
        <color theme="1"/>
        <rFont val="Symbol"/>
        <family val="1"/>
        <charset val="2"/>
      </rPr>
      <t>l</t>
    </r>
    <r>
      <rPr>
        <vertAlign val="subscript"/>
        <sz val="10"/>
        <color theme="1"/>
        <rFont val="Calibri"/>
        <family val="2"/>
        <scheme val="minor"/>
      </rPr>
      <t>x</t>
    </r>
  </si>
  <si>
    <r>
      <rPr>
        <sz val="10"/>
        <color theme="1"/>
        <rFont val="Symbol"/>
        <family val="1"/>
        <charset val="2"/>
      </rPr>
      <t>j</t>
    </r>
    <r>
      <rPr>
        <vertAlign val="subscript"/>
        <sz val="10"/>
        <color theme="1"/>
        <rFont val="Calibri"/>
        <family val="2"/>
        <scheme val="minor"/>
      </rPr>
      <t>x</t>
    </r>
  </si>
  <si>
    <r>
      <t xml:space="preserve">my </t>
    </r>
    <r>
      <rPr>
        <sz val="10"/>
        <color theme="1"/>
        <rFont val="Symbol"/>
        <family val="1"/>
        <charset val="2"/>
      </rPr>
      <t>£</t>
    </r>
    <r>
      <rPr>
        <sz val="10"/>
        <color theme="1"/>
        <rFont val="Calibri"/>
        <family val="2"/>
        <scheme val="minor"/>
      </rPr>
      <t xml:space="preserve"> 5</t>
    </r>
  </si>
  <si>
    <t>my &lt; 10</t>
  </si>
  <si>
    <r>
      <t xml:space="preserve">my </t>
    </r>
    <r>
      <rPr>
        <sz val="10"/>
        <color theme="1"/>
        <rFont val="Symbol"/>
        <family val="1"/>
        <charset val="2"/>
      </rPr>
      <t xml:space="preserve"> ³</t>
    </r>
    <r>
      <rPr>
        <sz val="10"/>
        <color theme="1"/>
        <rFont val="Calibri"/>
        <family val="2"/>
        <scheme val="minor"/>
      </rPr>
      <t xml:space="preserve"> 10</t>
    </r>
  </si>
  <si>
    <t>Moment M3</t>
  </si>
  <si>
    <t>Moment M2</t>
  </si>
  <si>
    <r>
      <rPr>
        <sz val="10"/>
        <color theme="1"/>
        <rFont val="Symbol"/>
        <family val="1"/>
        <charset val="2"/>
      </rPr>
      <t>j</t>
    </r>
    <r>
      <rPr>
        <vertAlign val="subscript"/>
        <sz val="10"/>
        <color theme="1"/>
        <rFont val="Calibri"/>
        <family val="2"/>
      </rPr>
      <t>x</t>
    </r>
    <r>
      <rPr>
        <sz val="10"/>
        <color theme="1"/>
        <rFont val="Calibri"/>
        <family val="2"/>
      </rPr>
      <t>=</t>
    </r>
  </si>
  <si>
    <t>5. Ổn định tổng thể (Mục 7.4.2.8)</t>
  </si>
  <si>
    <t>Các hệ số</t>
  </si>
  <si>
    <r>
      <rPr>
        <sz val="10"/>
        <color theme="1"/>
        <rFont val="Symbol"/>
        <family val="1"/>
        <charset val="2"/>
      </rPr>
      <t>j</t>
    </r>
    <r>
      <rPr>
        <vertAlign val="subscript"/>
        <sz val="10"/>
        <color theme="1"/>
        <rFont val="Calibri"/>
        <family val="2"/>
      </rPr>
      <t>exy</t>
    </r>
    <r>
      <rPr>
        <sz val="10"/>
        <color theme="1"/>
        <rFont val="Calibri"/>
        <family val="2"/>
        <scheme val="minor"/>
      </rPr>
      <t>=</t>
    </r>
  </si>
  <si>
    <r>
      <rPr>
        <sz val="10"/>
        <color theme="1"/>
        <rFont val="Symbol"/>
        <family val="1"/>
        <charset val="2"/>
      </rPr>
      <t>j</t>
    </r>
    <r>
      <rPr>
        <vertAlign val="subscript"/>
        <sz val="10"/>
        <color theme="1"/>
        <rFont val="Calibri"/>
        <family val="2"/>
      </rPr>
      <t>ey</t>
    </r>
    <r>
      <rPr>
        <sz val="10"/>
        <color theme="1"/>
        <rFont val="Calibri"/>
        <family val="2"/>
        <scheme val="minor"/>
      </rPr>
      <t>=</t>
    </r>
  </si>
  <si>
    <r>
      <t>Trị số N/(</t>
    </r>
    <r>
      <rPr>
        <sz val="10"/>
        <color theme="1"/>
        <rFont val="Symbol"/>
        <family val="1"/>
        <charset val="2"/>
      </rPr>
      <t>j</t>
    </r>
    <r>
      <rPr>
        <vertAlign val="subscript"/>
        <sz val="10"/>
        <color theme="1"/>
        <rFont val="Calibri"/>
        <family val="2"/>
        <scheme val="minor"/>
      </rPr>
      <t>exy</t>
    </r>
    <r>
      <rPr>
        <sz val="10"/>
        <color theme="1"/>
        <rFont val="Calibri"/>
        <family val="2"/>
        <scheme val="minor"/>
      </rPr>
      <t>A)</t>
    </r>
  </si>
  <si>
    <t>6. Ổn Định Cục Bộ</t>
  </si>
  <si>
    <t>Tỉ số giữa chiều rộng tính toán và chiều dày của bản cánh</t>
  </si>
  <si>
    <r>
      <t>b</t>
    </r>
    <r>
      <rPr>
        <vertAlign val="subscript"/>
        <sz val="10"/>
        <color theme="1"/>
        <rFont val="Calibri"/>
        <family val="2"/>
        <scheme val="minor"/>
      </rPr>
      <t>0</t>
    </r>
    <r>
      <rPr>
        <sz val="10"/>
        <color theme="1"/>
        <rFont val="Calibri"/>
        <family val="2"/>
        <scheme val="minor"/>
      </rPr>
      <t>/t</t>
    </r>
    <r>
      <rPr>
        <vertAlign val="subscript"/>
        <sz val="10"/>
        <color theme="1"/>
        <rFont val="Calibri"/>
        <family val="2"/>
        <scheme val="minor"/>
      </rPr>
      <t>f</t>
    </r>
    <r>
      <rPr>
        <sz val="10"/>
        <color theme="1"/>
        <rFont val="Calibri"/>
        <family val="2"/>
        <scheme val="minor"/>
      </rPr>
      <t>=</t>
    </r>
  </si>
  <si>
    <t>Độ mảnh quy ước khi tính toán ổn định của cột chịu nén đúng tâm</t>
  </si>
  <si>
    <r>
      <t>λ̅</t>
    </r>
    <r>
      <rPr>
        <vertAlign val="subscript"/>
        <sz val="10"/>
        <color theme="1"/>
        <rFont val="Calibri"/>
        <family val="2"/>
        <scheme val="minor"/>
      </rPr>
      <t>x</t>
    </r>
    <r>
      <rPr>
        <sz val="10"/>
        <color theme="1"/>
        <rFont val="Calibri"/>
        <family val="2"/>
        <scheme val="minor"/>
      </rPr>
      <t>=</t>
    </r>
  </si>
  <si>
    <t>Độ lệch tâm tương đối m</t>
  </si>
  <si>
    <r>
      <t>m</t>
    </r>
    <r>
      <rPr>
        <vertAlign val="subscript"/>
        <sz val="10"/>
        <color theme="1"/>
        <rFont val="Calibri"/>
        <family val="2"/>
        <scheme val="minor"/>
      </rPr>
      <t>x</t>
    </r>
    <r>
      <rPr>
        <sz val="10"/>
        <color theme="1"/>
        <rFont val="Calibri"/>
        <family val="2"/>
        <scheme val="minor"/>
      </rPr>
      <t>=</t>
    </r>
  </si>
  <si>
    <r>
      <t>Giá trị giới hạn [b</t>
    </r>
    <r>
      <rPr>
        <vertAlign val="subscript"/>
        <sz val="10"/>
        <color theme="1"/>
        <rFont val="Calibri"/>
        <family val="2"/>
        <scheme val="minor"/>
      </rPr>
      <t>0</t>
    </r>
    <r>
      <rPr>
        <sz val="10"/>
        <color theme="1"/>
        <rFont val="Calibri"/>
        <family val="2"/>
        <scheme val="minor"/>
      </rPr>
      <t>/t</t>
    </r>
    <r>
      <rPr>
        <vertAlign val="subscript"/>
        <sz val="10"/>
        <color theme="1"/>
        <rFont val="Calibri"/>
        <family val="2"/>
        <scheme val="minor"/>
      </rPr>
      <t>f</t>
    </r>
    <r>
      <rPr>
        <sz val="10"/>
        <color theme="1"/>
        <rFont val="Calibri"/>
        <family val="2"/>
        <scheme val="minor"/>
      </rPr>
      <t>]</t>
    </r>
  </si>
  <si>
    <r>
      <t>[b</t>
    </r>
    <r>
      <rPr>
        <vertAlign val="subscript"/>
        <sz val="10"/>
        <color theme="1"/>
        <rFont val="Calibri"/>
        <family val="2"/>
        <scheme val="minor"/>
      </rPr>
      <t>0</t>
    </r>
    <r>
      <rPr>
        <sz val="10"/>
        <color theme="1"/>
        <rFont val="Calibri"/>
        <family val="2"/>
        <scheme val="minor"/>
      </rPr>
      <t>/t</t>
    </r>
    <r>
      <rPr>
        <vertAlign val="subscript"/>
        <sz val="10"/>
        <color theme="1"/>
        <rFont val="Calibri"/>
        <family val="2"/>
        <scheme val="minor"/>
      </rPr>
      <t>f</t>
    </r>
    <r>
      <rPr>
        <sz val="10"/>
        <color theme="1"/>
        <rFont val="Calibri"/>
        <family val="2"/>
        <scheme val="minor"/>
      </rPr>
      <t>]=</t>
    </r>
  </si>
  <si>
    <t>Tỉ số giữa chiều cao tính toán và chiều dày của bản cánh</t>
  </si>
  <si>
    <r>
      <t>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t>
    </r>
  </si>
  <si>
    <r>
      <t>[h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t>
    </r>
  </si>
  <si>
    <t>Ổn định cục bộ bản cánh (Mục 7.6.3.4)</t>
  </si>
  <si>
    <r>
      <t>(b</t>
    </r>
    <r>
      <rPr>
        <vertAlign val="subscript"/>
        <sz val="10"/>
        <color theme="1"/>
        <rFont val="Calibri"/>
        <family val="2"/>
        <scheme val="minor"/>
      </rPr>
      <t>0</t>
    </r>
    <r>
      <rPr>
        <sz val="10"/>
        <color theme="1"/>
        <rFont val="Calibri"/>
        <family val="2"/>
        <scheme val="minor"/>
      </rPr>
      <t>/t</t>
    </r>
    <r>
      <rPr>
        <vertAlign val="subscript"/>
        <sz val="10"/>
        <color theme="1"/>
        <rFont val="Calibri"/>
        <family val="2"/>
        <scheme val="minor"/>
      </rPr>
      <t>f</t>
    </r>
    <r>
      <rPr>
        <sz val="10"/>
        <color theme="1"/>
        <rFont val="Calibri"/>
        <family val="2"/>
        <scheme val="minor"/>
      </rPr>
      <t>) / [b</t>
    </r>
    <r>
      <rPr>
        <vertAlign val="subscript"/>
        <sz val="10"/>
        <color theme="1"/>
        <rFont val="Calibri"/>
        <family val="2"/>
        <scheme val="minor"/>
      </rPr>
      <t>0</t>
    </r>
    <r>
      <rPr>
        <sz val="10"/>
        <color theme="1"/>
        <rFont val="Calibri"/>
        <family val="2"/>
        <scheme val="minor"/>
      </rPr>
      <t>/t</t>
    </r>
    <r>
      <rPr>
        <vertAlign val="subscript"/>
        <sz val="10"/>
        <color theme="1"/>
        <rFont val="Calibri"/>
        <family val="2"/>
        <scheme val="minor"/>
      </rPr>
      <t>f</t>
    </r>
    <r>
      <rPr>
        <sz val="10"/>
        <color theme="1"/>
        <rFont val="Calibri"/>
        <family val="2"/>
        <scheme val="minor"/>
      </rPr>
      <t>]=</t>
    </r>
  </si>
  <si>
    <t>Tỉ số huy động</t>
  </si>
  <si>
    <t>Ổn định cục bộ bản bụng (Mục 7.6.2)</t>
  </si>
  <si>
    <r>
      <t>(h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 / [h</t>
    </r>
    <r>
      <rPr>
        <vertAlign val="subscript"/>
        <sz val="10"/>
        <color theme="1"/>
        <rFont val="Calibri"/>
        <family val="2"/>
        <scheme val="minor"/>
      </rPr>
      <t>w</t>
    </r>
    <r>
      <rPr>
        <sz val="10"/>
        <color theme="1"/>
        <rFont val="Calibri"/>
        <family val="2"/>
        <scheme val="minor"/>
      </rPr>
      <t>/t</t>
    </r>
    <r>
      <rPr>
        <vertAlign val="subscript"/>
        <sz val="10"/>
        <color theme="1"/>
        <rFont val="Calibri"/>
        <family val="2"/>
        <scheme val="minor"/>
      </rPr>
      <t>w</t>
    </r>
    <r>
      <rPr>
        <sz val="10"/>
        <color theme="1"/>
        <rFont val="Calibri"/>
        <family val="2"/>
        <scheme val="minor"/>
      </rPr>
      <t>]=</t>
    </r>
  </si>
  <si>
    <t>Tỉ số ứng suất huy động</t>
  </si>
  <si>
    <t>SS330 ≤ 16</t>
  </si>
  <si>
    <t>SS330 ≤ 40</t>
  </si>
  <si>
    <t>SS400 ≤ 16</t>
  </si>
  <si>
    <t>SS400 ≤ 40</t>
  </si>
  <si>
    <t>SS490 ≤ 16</t>
  </si>
  <si>
    <t>SS490 ≤ 40</t>
  </si>
  <si>
    <t>SS540 ≤ 16</t>
  </si>
  <si>
    <t>SS540 ≤ 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</si>
</sst>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quot;(&quot;0&quot;)&quot;"/>
  </numFmts>
  <fonts count="46">
    <font>
      <sz val="11"/>
      <color theme="1"/>
      <name val="Calibri"/>
      <family val="2"/>
      <scheme val="minor"/>
    </font>
    <font>
      <sz val="10"/>
      <color theme="1"/>
      <name val="Calibri"/>
      <family val="2"/>
      <scheme val="minor"/>
    </font>
    <font>
      <b/>
      <sz val="10"/>
      <color theme="1"/>
      <name val="Calibri"/>
      <family val="2"/>
      <scheme val="minor"/>
    </font>
    <font>
      <vertAlign val="subscript"/>
      <sz val="10"/>
      <color theme="1"/>
      <name val="Calibri"/>
      <family val="2"/>
      <scheme val="minor"/>
    </font>
    <font>
      <b/>
      <i/>
      <sz val="10"/>
      <color theme="1"/>
      <name val="Calibri"/>
      <family val="2"/>
      <scheme val="minor"/>
    </font>
    <font>
      <sz val="10"/>
      <color rgb="FF0070C0"/>
      <name val="Calibri"/>
      <family val="2"/>
      <scheme val="minor"/>
    </font>
    <font>
      <sz val="10"/>
      <color theme="1"/>
      <name val="Symbol"/>
      <family val="1"/>
      <charset val="2"/>
    </font>
    <font>
      <sz val="10"/>
      <color theme="1"/>
      <name val="Calibri"/>
      <family val="2"/>
    </font>
    <font>
      <sz val="10"/>
      <color theme="1"/>
      <name val="Calibri"/>
      <family val="1"/>
      <charset val="2"/>
    </font>
    <font>
      <vertAlign val="subscript"/>
      <sz val="10"/>
      <color theme="1"/>
      <name val="Calibri"/>
      <family val="2"/>
    </font>
    <font>
      <sz val="10"/>
      <name val="Calibri"/>
      <family val="2"/>
      <scheme val="minor"/>
    </font>
    <font>
      <vertAlign val="superscript"/>
      <sz val="10"/>
      <color theme="1"/>
      <name val="Calibri"/>
      <family val="2"/>
      <scheme val="minor"/>
    </font>
    <font>
      <b/>
      <u/>
      <sz val="10"/>
      <color rgb="FFFF0000"/>
      <name val="Calibri"/>
      <family val="2"/>
      <scheme val="minor"/>
    </font>
    <font>
      <sz val="10"/>
      <color theme="1"/>
      <name val="Calibri"/>
      <family val="1"/>
      <charset val="2"/>
      <scheme val="minor"/>
    </font>
    <font>
      <i/>
      <sz val="10"/>
      <color rgb="FF7030A0"/>
      <name val="Calibri"/>
      <family val="2"/>
      <scheme val="minor"/>
    </font>
    <font>
      <sz val="10"/>
      <color rgb="FF0000CC"/>
      <name val="Calibri"/>
      <family val="2"/>
      <scheme val="minor"/>
    </font>
    <font>
      <b/>
      <sz val="14"/>
      <color theme="0"/>
      <name val="Calibri"/>
      <family val="2"/>
      <scheme val="minor"/>
    </font>
    <font>
      <b/>
      <sz val="14"/>
      <color rgb="FF0070C0"/>
      <name val="Calibri"/>
      <family val="2"/>
      <scheme val="minor"/>
    </font>
    <font>
      <b/>
      <sz val="10"/>
      <color theme="0"/>
      <name val="Calibri"/>
      <family val="2"/>
      <scheme val="minor"/>
    </font>
    <font>
      <b/>
      <vertAlign val="subscript"/>
      <sz val="10"/>
      <color theme="0"/>
      <name val="Calibri"/>
      <family val="2"/>
      <scheme val="minor"/>
    </font>
    <font>
      <b/>
      <sz val="13"/>
      <color theme="0"/>
      <name val="Calibri"/>
      <family val="2"/>
      <scheme val="minor"/>
    </font>
    <font>
      <sz val="11"/>
      <color theme="1"/>
      <name val="Calibri"/>
      <family val="2"/>
      <scheme val="minor"/>
    </font>
    <font>
      <sz val="10"/>
      <color theme="1"/>
      <name val="Tahoma"/>
      <family val="2"/>
    </font>
    <font>
      <b/>
      <sz val="10"/>
      <color rgb="FF0000CC"/>
      <name val="Calibri"/>
      <family val="2"/>
      <scheme val="minor"/>
    </font>
    <font>
      <b/>
      <sz val="10"/>
      <color rgb="FF0070C0"/>
      <name val="Calibri"/>
      <family val="2"/>
      <scheme val="minor"/>
    </font>
    <font>
      <u/>
      <sz val="10"/>
      <color theme="1"/>
      <name val="Calibri"/>
      <family val="2"/>
      <scheme val="minor"/>
    </font>
    <font>
      <sz val="10"/>
      <color theme="0"/>
      <name val="Calibri"/>
      <family val="2"/>
      <scheme val="minor"/>
    </font>
    <font>
      <sz val="10"/>
      <color theme="5"/>
      <name val="Calibri"/>
      <family val="2"/>
      <scheme val="minor"/>
    </font>
    <font>
      <b/>
      <sz val="9"/>
      <color indexed="81"/>
      <name val="Tahoma"/>
      <family val="2"/>
    </font>
    <font>
      <b/>
      <sz val="11"/>
      <color rgb="FF0000FF"/>
      <name val="Calibri"/>
      <family val="2"/>
    </font>
    <font>
      <b/>
      <sz val="11"/>
      <color rgb="FFFA7D00"/>
      <name val="Calibri"/>
      <family val="2"/>
      <scheme val="minor"/>
    </font>
    <font>
      <vertAlign val="subscript"/>
      <sz val="10"/>
      <color theme="1"/>
      <name val="Symbol"/>
      <family val="1"/>
      <charset val="2"/>
    </font>
    <font>
      <b/>
      <sz val="10"/>
      <color rgb="FFFA7D00"/>
      <name val="Calibri"/>
      <family val="2"/>
      <scheme val="minor"/>
    </font>
    <font>
      <b/>
      <sz val="11"/>
      <color theme="1"/>
      <name val="Calibri"/>
      <family val="2"/>
      <scheme val="minor"/>
    </font>
    <font>
      <b/>
      <u/>
      <sz val="11"/>
      <color rgb="FFFF0000"/>
      <name val="Calibri"/>
      <family val="2"/>
      <scheme val="minor"/>
    </font>
    <font>
      <b/>
      <sz val="11"/>
      <color theme="1"/>
      <name val="Arial"/>
      <family val="2"/>
    </font>
    <font>
      <b/>
      <sz val="11"/>
      <color theme="1"/>
      <name val="Calibri"/>
      <family val="2"/>
    </font>
    <font>
      <b/>
      <u/>
      <sz val="10"/>
      <color theme="1"/>
      <name val="Calibri"/>
      <family val="2"/>
      <scheme val="minor"/>
    </font>
    <font>
      <sz val="8"/>
      <name val="Calibri"/>
      <family val="2"/>
      <scheme val="minor"/>
    </font>
    <font>
      <sz val="9"/>
      <color theme="1"/>
      <name val="Calibri"/>
      <family val="2"/>
      <scheme val="minor"/>
    </font>
    <font>
      <i/>
      <vertAlign val="subscript"/>
      <sz val="10"/>
      <color theme="1"/>
      <name val="Calibri"/>
      <family val="2"/>
      <scheme val="minor"/>
    </font>
    <font>
      <i/>
      <sz val="10"/>
      <color theme="1"/>
      <name val="Calibri"/>
      <family val="2"/>
      <scheme val="minor"/>
    </font>
    <font>
      <i/>
      <u/>
      <vertAlign val="subscript"/>
      <sz val="10"/>
      <color theme="1"/>
      <name val="Calibri"/>
      <family val="2"/>
      <scheme val="minor"/>
    </font>
    <font>
      <i/>
      <u/>
      <sz val="10"/>
      <color theme="1"/>
      <name val="Calibri"/>
      <family val="2"/>
      <scheme val="minor"/>
    </font>
    <font>
      <b/>
      <sz val="11"/>
      <color rgb="FFFF0000"/>
      <name val="Calibri"/>
      <family val="2"/>
      <scheme val="minor"/>
    </font>
    <font>
      <vertAlign val="subscript"/>
      <sz val="11"/>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theme="4"/>
        <bgColor indexed="64"/>
      </patternFill>
    </fill>
    <fill>
      <patternFill patternType="solid">
        <fgColor theme="5"/>
        <bgColor indexed="64"/>
      </patternFill>
    </fill>
    <fill>
      <patternFill patternType="solid">
        <fgColor rgb="FFF2F2F2"/>
      </patternFill>
    </fill>
  </fills>
  <borders count="31">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indexed="64"/>
      </left>
      <right/>
      <top/>
      <bottom style="thin">
        <color theme="0" tint="-0.499984740745262"/>
      </bottom>
      <diagonal/>
    </border>
    <border>
      <left/>
      <right style="thin">
        <color indexed="64"/>
      </right>
      <top/>
      <bottom style="thin">
        <color theme="0" tint="-0.499984740745262"/>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theme="0" tint="-0.499984740745262"/>
      </top>
      <bottom style="thin">
        <color indexed="64"/>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style="thin">
        <color indexed="64"/>
      </right>
      <top/>
      <bottom/>
      <diagonal/>
    </border>
    <border>
      <left style="thin">
        <color rgb="FF7F7F7F"/>
      </left>
      <right/>
      <top/>
      <bottom/>
      <diagonal/>
    </border>
    <border>
      <left style="thin">
        <color rgb="FF7F7F7F"/>
      </left>
      <right style="thin">
        <color indexed="64"/>
      </right>
      <top/>
      <bottom/>
      <diagonal/>
    </border>
  </borders>
  <cellStyleXfs count="3">
    <xf numFmtId="0" fontId="0" fillId="0" borderId="0"/>
    <xf numFmtId="0" fontId="21" fillId="0" borderId="0"/>
    <xf numFmtId="0" fontId="30" fillId="7" borderId="26" applyNumberFormat="0" applyAlignment="0" applyProtection="0"/>
  </cellStyleXfs>
  <cellXfs count="161">
    <xf numFmtId="0" fontId="0" fillId="0" borderId="0" xfId="0"/>
    <xf numFmtId="0" fontId="1" fillId="0" borderId="0" xfId="0" applyFont="1"/>
    <xf numFmtId="0" fontId="4" fillId="0" borderId="0" xfId="0" applyFont="1"/>
    <xf numFmtId="0" fontId="14" fillId="0" borderId="0" xfId="0" applyFont="1"/>
    <xf numFmtId="0" fontId="1" fillId="2" borderId="0" xfId="0" applyFont="1" applyFill="1"/>
    <xf numFmtId="0" fontId="1" fillId="2" borderId="12" xfId="0" applyFont="1" applyFill="1" applyBorder="1" applyAlignment="1">
      <alignment horizontal="center"/>
    </xf>
    <xf numFmtId="0" fontId="1" fillId="2" borderId="15" xfId="0" applyFont="1" applyFill="1" applyBorder="1" applyAlignment="1">
      <alignment horizontal="center" vertical="center"/>
    </xf>
    <xf numFmtId="0" fontId="15" fillId="2" borderId="15" xfId="0" applyFont="1" applyFill="1" applyBorder="1" applyAlignment="1">
      <alignment horizontal="center" vertical="center"/>
    </xf>
    <xf numFmtId="0" fontId="1" fillId="2" borderId="18" xfId="0" applyFont="1" applyFill="1" applyBorder="1" applyAlignment="1">
      <alignment vertical="top"/>
    </xf>
    <xf numFmtId="0" fontId="2" fillId="2" borderId="19" xfId="0" applyFont="1" applyFill="1" applyBorder="1" applyAlignment="1">
      <alignment horizontal="left" indent="1"/>
    </xf>
    <xf numFmtId="0" fontId="1" fillId="2" borderId="19" xfId="0" applyFont="1" applyFill="1" applyBorder="1" applyAlignment="1">
      <alignment horizontal="left" vertical="top" indent="2"/>
    </xf>
    <xf numFmtId="0" fontId="1" fillId="2" borderId="18" xfId="0" applyFont="1" applyFill="1" applyBorder="1"/>
    <xf numFmtId="0" fontId="1" fillId="2" borderId="19" xfId="0" applyFont="1" applyFill="1" applyBorder="1"/>
    <xf numFmtId="0" fontId="1" fillId="2" borderId="5" xfId="0" applyFont="1" applyFill="1" applyBorder="1"/>
    <xf numFmtId="0" fontId="1" fillId="2" borderId="15" xfId="0" applyFont="1" applyFill="1" applyBorder="1" applyAlignment="1">
      <alignment horizontal="center"/>
    </xf>
    <xf numFmtId="0" fontId="1" fillId="2" borderId="15" xfId="0" applyFont="1" applyFill="1" applyBorder="1" applyAlignment="1">
      <alignment horizontal="center" vertical="top"/>
    </xf>
    <xf numFmtId="1" fontId="1" fillId="2" borderId="15" xfId="0" applyNumberFormat="1" applyFont="1" applyFill="1" applyBorder="1" applyAlignment="1">
      <alignment horizontal="center" vertical="center"/>
    </xf>
    <xf numFmtId="164" fontId="1" fillId="2" borderId="15" xfId="0" applyNumberFormat="1" applyFont="1" applyFill="1" applyBorder="1" applyAlignment="1">
      <alignment horizontal="center" vertical="top"/>
    </xf>
    <xf numFmtId="0" fontId="18" fillId="5" borderId="12" xfId="0" applyFont="1" applyFill="1" applyBorder="1" applyAlignment="1">
      <alignment horizontal="center"/>
    </xf>
    <xf numFmtId="164" fontId="1" fillId="2" borderId="15" xfId="0" applyNumberFormat="1" applyFont="1" applyFill="1" applyBorder="1" applyAlignment="1">
      <alignment horizontal="center"/>
    </xf>
    <xf numFmtId="1" fontId="1" fillId="2" borderId="15" xfId="0" applyNumberFormat="1" applyFont="1" applyFill="1" applyBorder="1" applyAlignment="1">
      <alignment horizontal="center" vertical="top"/>
    </xf>
    <xf numFmtId="0" fontId="12" fillId="2" borderId="18" xfId="0" applyFont="1" applyFill="1" applyBorder="1" applyAlignment="1">
      <alignment horizontal="center" vertical="center"/>
    </xf>
    <xf numFmtId="164"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0" fontId="1" fillId="2" borderId="12" xfId="0" applyFont="1" applyFill="1" applyBorder="1" applyAlignment="1">
      <alignment horizontal="right" vertical="center"/>
    </xf>
    <xf numFmtId="0" fontId="1" fillId="2" borderId="0" xfId="0" applyFont="1" applyFill="1" applyAlignment="1">
      <alignment horizontal="center" vertical="center"/>
    </xf>
    <xf numFmtId="0" fontId="10" fillId="2" borderId="15" xfId="0" applyFont="1" applyFill="1" applyBorder="1" applyAlignment="1">
      <alignment horizontal="center"/>
    </xf>
    <xf numFmtId="164" fontId="1" fillId="2" borderId="0" xfId="0" applyNumberFormat="1" applyFont="1" applyFill="1"/>
    <xf numFmtId="0" fontId="1" fillId="2" borderId="6" xfId="0" applyFont="1" applyFill="1" applyBorder="1"/>
    <xf numFmtId="0" fontId="1" fillId="6" borderId="0" xfId="0" applyFont="1" applyFill="1"/>
    <xf numFmtId="2" fontId="1" fillId="2" borderId="15" xfId="0" applyNumberFormat="1" applyFont="1" applyFill="1" applyBorder="1" applyAlignment="1">
      <alignment horizontal="center" vertical="center"/>
    </xf>
    <xf numFmtId="1" fontId="15" fillId="2" borderId="15" xfId="0" applyNumberFormat="1" applyFont="1" applyFill="1" applyBorder="1" applyAlignment="1">
      <alignment horizontal="center" vertical="center"/>
    </xf>
    <xf numFmtId="2" fontId="15" fillId="2" borderId="15" xfId="0" applyNumberFormat="1" applyFont="1" applyFill="1" applyBorder="1" applyAlignment="1">
      <alignment horizontal="center" vertical="center"/>
    </xf>
    <xf numFmtId="0" fontId="3" fillId="2" borderId="15" xfId="0" applyFont="1" applyFill="1" applyBorder="1" applyAlignment="1">
      <alignment horizontal="center" vertical="center"/>
    </xf>
    <xf numFmtId="0" fontId="34" fillId="0" borderId="0" xfId="0" applyFont="1"/>
    <xf numFmtId="0" fontId="33" fillId="0" borderId="0" xfId="0" applyFont="1"/>
    <xf numFmtId="2" fontId="0" fillId="0" borderId="15" xfId="0" applyNumberFormat="1" applyBorder="1" applyAlignment="1">
      <alignment horizontal="center" vertical="center"/>
    </xf>
    <xf numFmtId="2" fontId="33" fillId="0" borderId="15" xfId="0" applyNumberFormat="1" applyFont="1" applyBorder="1" applyAlignment="1">
      <alignment horizontal="center" vertical="center"/>
    </xf>
    <xf numFmtId="165" fontId="0" fillId="0" borderId="15" xfId="0" applyNumberFormat="1" applyBorder="1" applyAlignment="1">
      <alignment horizontal="center" vertical="center"/>
    </xf>
    <xf numFmtId="0" fontId="6" fillId="2" borderId="15" xfId="0" applyFont="1" applyFill="1" applyBorder="1" applyAlignment="1">
      <alignment horizontal="center" vertical="center"/>
    </xf>
    <xf numFmtId="0" fontId="13" fillId="2" borderId="15" xfId="0" applyFont="1" applyFill="1" applyBorder="1" applyAlignment="1">
      <alignment horizontal="center" vertical="center"/>
    </xf>
    <xf numFmtId="165" fontId="1" fillId="2" borderId="15" xfId="0" applyNumberFormat="1" applyFont="1" applyFill="1" applyBorder="1" applyAlignment="1">
      <alignment horizontal="center" vertical="center"/>
    </xf>
    <xf numFmtId="0" fontId="37" fillId="2" borderId="19" xfId="0" applyFont="1" applyFill="1" applyBorder="1" applyAlignment="1">
      <alignment horizontal="left" indent="1"/>
    </xf>
    <xf numFmtId="0" fontId="25" fillId="2" borderId="4" xfId="0" applyFont="1" applyFill="1" applyBorder="1" applyAlignment="1">
      <alignment horizontal="left" vertical="top" indent="3"/>
    </xf>
    <xf numFmtId="0" fontId="13" fillId="2" borderId="5" xfId="0" applyFont="1" applyFill="1" applyBorder="1" applyAlignment="1">
      <alignment horizontal="right" vertical="center"/>
    </xf>
    <xf numFmtId="0" fontId="1" fillId="2" borderId="5" xfId="0" applyFont="1" applyFill="1" applyBorder="1" applyAlignment="1">
      <alignment horizontal="right" vertical="center"/>
    </xf>
    <xf numFmtId="1" fontId="33" fillId="0" borderId="15" xfId="0" applyNumberFormat="1" applyFont="1" applyBorder="1" applyAlignment="1">
      <alignment horizontal="center" vertical="center"/>
    </xf>
    <xf numFmtId="0" fontId="27" fillId="6" borderId="0" xfId="0" applyFont="1" applyFill="1" applyAlignment="1">
      <alignment horizontal="center" vertical="center"/>
    </xf>
    <xf numFmtId="0" fontId="26" fillId="6" borderId="0" xfId="0" applyFont="1" applyFill="1" applyAlignment="1">
      <alignment vertical="center"/>
    </xf>
    <xf numFmtId="0" fontId="1" fillId="0" borderId="15" xfId="0" applyFont="1" applyBorder="1"/>
    <xf numFmtId="0" fontId="6" fillId="2" borderId="0" xfId="0" applyFont="1" applyFill="1" applyAlignment="1">
      <alignment horizontal="center"/>
    </xf>
    <xf numFmtId="2" fontId="1" fillId="2" borderId="0" xfId="0" applyNumberFormat="1" applyFont="1" applyFill="1" applyAlignment="1">
      <alignment horizontal="center" vertical="center"/>
    </xf>
    <xf numFmtId="0" fontId="12" fillId="2" borderId="0" xfId="0" applyFont="1" applyFill="1" applyAlignment="1">
      <alignment horizontal="left" vertical="center"/>
    </xf>
    <xf numFmtId="0" fontId="39" fillId="2" borderId="15" xfId="0" applyFont="1" applyFill="1" applyBorder="1" applyAlignment="1">
      <alignment horizontal="center" vertical="center"/>
    </xf>
    <xf numFmtId="164" fontId="1" fillId="2" borderId="0" xfId="0" applyNumberFormat="1" applyFont="1" applyFill="1" applyAlignment="1">
      <alignment horizontal="center" vertical="center"/>
    </xf>
    <xf numFmtId="0" fontId="25" fillId="2" borderId="19" xfId="0" applyFont="1" applyFill="1" applyBorder="1" applyAlignment="1">
      <alignment horizontal="left" indent="1"/>
    </xf>
    <xf numFmtId="0" fontId="0" fillId="0" borderId="15" xfId="0" applyBorder="1" applyAlignment="1">
      <alignment horizontal="center" vertical="center"/>
    </xf>
    <xf numFmtId="0" fontId="0" fillId="0" borderId="21" xfId="0" applyBorder="1" applyAlignment="1">
      <alignment horizontal="center" vertical="center"/>
    </xf>
    <xf numFmtId="0" fontId="2" fillId="0" borderId="15" xfId="0" applyFont="1" applyBorder="1" applyAlignment="1">
      <alignment horizontal="center"/>
    </xf>
    <xf numFmtId="0" fontId="1" fillId="0" borderId="20" xfId="0" applyFont="1" applyBorder="1"/>
    <xf numFmtId="0" fontId="1" fillId="0" borderId="27" xfId="0" applyFont="1" applyBorder="1"/>
    <xf numFmtId="0" fontId="1" fillId="0" borderId="21" xfId="0" applyFont="1" applyBorder="1" applyAlignment="1">
      <alignment horizontal="right"/>
    </xf>
    <xf numFmtId="164" fontId="1" fillId="0" borderId="15" xfId="0" applyNumberFormat="1" applyFont="1" applyBorder="1" applyAlignment="1">
      <alignment horizontal="center"/>
    </xf>
    <xf numFmtId="0" fontId="1" fillId="0" borderId="27" xfId="0" applyFont="1" applyBorder="1" applyAlignment="1">
      <alignment horizontal="right"/>
    </xf>
    <xf numFmtId="0" fontId="12" fillId="2" borderId="29" xfId="0" applyFont="1" applyFill="1" applyBorder="1" applyAlignment="1">
      <alignment horizontal="center" vertical="center"/>
    </xf>
    <xf numFmtId="0" fontId="8" fillId="2" borderId="15" xfId="0" applyFont="1" applyFill="1" applyBorder="1" applyAlignment="1">
      <alignment horizontal="center" vertical="center"/>
    </xf>
    <xf numFmtId="0" fontId="6" fillId="2" borderId="15" xfId="0" applyFont="1" applyFill="1" applyBorder="1" applyAlignment="1">
      <alignment horizontal="center"/>
    </xf>
    <xf numFmtId="166" fontId="1" fillId="0" borderId="0" xfId="0" applyNumberFormat="1" applyFont="1" applyAlignment="1">
      <alignment horizontal="center" vertical="center"/>
    </xf>
    <xf numFmtId="2" fontId="1" fillId="2" borderId="15" xfId="0" applyNumberFormat="1" applyFont="1" applyFill="1" applyBorder="1" applyAlignment="1">
      <alignment horizontal="center"/>
    </xf>
    <xf numFmtId="166" fontId="10" fillId="4" borderId="15" xfId="0" applyNumberFormat="1" applyFont="1" applyFill="1" applyBorder="1" applyAlignment="1">
      <alignment horizontal="center"/>
    </xf>
    <xf numFmtId="0" fontId="12" fillId="2" borderId="30" xfId="0" applyFont="1" applyFill="1" applyBorder="1" applyAlignment="1">
      <alignment horizontal="center" vertical="center"/>
    </xf>
    <xf numFmtId="0" fontId="12" fillId="2" borderId="0" xfId="0" applyFont="1" applyFill="1" applyAlignment="1">
      <alignment horizontal="center" vertical="center"/>
    </xf>
    <xf numFmtId="0" fontId="1" fillId="2" borderId="0" xfId="0" applyFont="1" applyFill="1" applyAlignment="1">
      <alignment vertical="top"/>
    </xf>
    <xf numFmtId="0" fontId="1" fillId="2" borderId="0" xfId="0" applyFont="1" applyFill="1" applyAlignment="1">
      <alignment horizontal="right" vertical="top"/>
    </xf>
    <xf numFmtId="0" fontId="5" fillId="2" borderId="0" xfId="0" applyFont="1" applyFill="1" applyAlignment="1">
      <alignment vertical="top"/>
    </xf>
    <xf numFmtId="0" fontId="15" fillId="2" borderId="0" xfId="0" applyFont="1" applyFill="1" applyAlignment="1">
      <alignment horizontal="right" vertical="center"/>
    </xf>
    <xf numFmtId="0" fontId="15" fillId="2" borderId="0" xfId="0" applyFont="1" applyFill="1" applyAlignment="1">
      <alignment vertical="top"/>
    </xf>
    <xf numFmtId="0" fontId="13" fillId="2" borderId="0" xfId="0" applyFont="1" applyFill="1" applyAlignment="1">
      <alignment horizontal="right" vertical="top"/>
    </xf>
    <xf numFmtId="164" fontId="10" fillId="2" borderId="0" xfId="0" applyNumberFormat="1" applyFont="1" applyFill="1" applyAlignment="1">
      <alignment horizontal="right" vertical="center"/>
    </xf>
    <xf numFmtId="0" fontId="5" fillId="2" borderId="0" xfId="0" applyFont="1" applyFill="1" applyAlignment="1">
      <alignment horizontal="right"/>
    </xf>
    <xf numFmtId="0" fontId="1" fillId="2" borderId="0" xfId="0" applyFont="1" applyFill="1" applyAlignment="1">
      <alignment horizontal="left" indent="1"/>
    </xf>
    <xf numFmtId="0" fontId="1" fillId="2" borderId="0" xfId="0" applyFont="1" applyFill="1" applyAlignment="1">
      <alignment horizontal="right"/>
    </xf>
    <xf numFmtId="2" fontId="1" fillId="2" borderId="0" xfId="0" applyNumberFormat="1" applyFont="1" applyFill="1" applyAlignment="1">
      <alignment horizontal="right"/>
    </xf>
    <xf numFmtId="0" fontId="1" fillId="2" borderId="0" xfId="0" applyFont="1" applyFill="1" applyAlignment="1">
      <alignment horizontal="center"/>
    </xf>
    <xf numFmtId="0" fontId="1" fillId="2" borderId="19" xfId="0" applyFont="1" applyFill="1" applyBorder="1" applyAlignment="1">
      <alignment horizontal="left" indent="2"/>
    </xf>
    <xf numFmtId="0" fontId="1" fillId="2" borderId="0" xfId="0" applyFont="1" applyFill="1" applyAlignment="1">
      <alignment horizontal="right" vertical="center"/>
    </xf>
    <xf numFmtId="0" fontId="1" fillId="2" borderId="19" xfId="0" applyFont="1" applyFill="1" applyBorder="1" applyAlignment="1">
      <alignment horizontal="right"/>
    </xf>
    <xf numFmtId="0" fontId="1" fillId="2" borderId="0" xfId="0" applyFont="1" applyFill="1" applyAlignment="1">
      <alignment horizontal="left"/>
    </xf>
    <xf numFmtId="2" fontId="1" fillId="2" borderId="0" xfId="0" applyNumberFormat="1" applyFont="1" applyFill="1" applyAlignment="1">
      <alignment horizontal="left"/>
    </xf>
    <xf numFmtId="2" fontId="32" fillId="7" borderId="26" xfId="2" applyNumberFormat="1" applyFont="1" applyAlignment="1">
      <alignment horizontal="center" vertical="center"/>
    </xf>
    <xf numFmtId="0" fontId="8" fillId="2" borderId="0" xfId="0" applyFont="1" applyFill="1" applyAlignment="1">
      <alignment horizontal="right"/>
    </xf>
    <xf numFmtId="164" fontId="1" fillId="2" borderId="0" xfId="0" applyNumberFormat="1" applyFont="1" applyFill="1" applyAlignment="1">
      <alignment horizontal="center"/>
    </xf>
    <xf numFmtId="165" fontId="1" fillId="2" borderId="0" xfId="0" applyNumberFormat="1" applyFont="1" applyFill="1" applyAlignment="1">
      <alignment horizontal="right"/>
    </xf>
    <xf numFmtId="0" fontId="13" fillId="2" borderId="0" xfId="0" applyFont="1" applyFill="1" applyAlignment="1">
      <alignment horizontal="right" vertical="center"/>
    </xf>
    <xf numFmtId="2" fontId="1" fillId="2" borderId="0" xfId="0" applyNumberFormat="1" applyFont="1" applyFill="1" applyAlignment="1">
      <alignment horizontal="center"/>
    </xf>
    <xf numFmtId="164" fontId="1" fillId="2" borderId="0" xfId="0" applyNumberFormat="1" applyFont="1" applyFill="1" applyAlignment="1">
      <alignment horizontal="right"/>
    </xf>
    <xf numFmtId="0" fontId="13" fillId="2" borderId="0" xfId="0" applyFont="1" applyFill="1" applyAlignment="1">
      <alignment horizontal="center" vertical="center"/>
    </xf>
    <xf numFmtId="164" fontId="1" fillId="2" borderId="0" xfId="0" applyNumberFormat="1" applyFont="1" applyFill="1" applyAlignment="1">
      <alignment horizontal="left" vertical="center"/>
    </xf>
    <xf numFmtId="2" fontId="1" fillId="2" borderId="0" xfId="0" applyNumberFormat="1" applyFont="1" applyFill="1" applyAlignment="1">
      <alignment horizontal="right" vertical="center"/>
    </xf>
    <xf numFmtId="164" fontId="1" fillId="2" borderId="0" xfId="0" applyNumberFormat="1" applyFont="1" applyFill="1" applyAlignment="1">
      <alignment horizontal="right" vertical="center"/>
    </xf>
    <xf numFmtId="0" fontId="4" fillId="2" borderId="19" xfId="0" applyFont="1" applyFill="1" applyBorder="1" applyAlignment="1">
      <alignment horizontal="left" indent="1"/>
    </xf>
    <xf numFmtId="0" fontId="12" fillId="2" borderId="0" xfId="0" applyFont="1" applyFill="1" applyAlignment="1">
      <alignment horizontal="center"/>
    </xf>
    <xf numFmtId="0" fontId="1" fillId="2" borderId="4" xfId="0" applyFont="1" applyFill="1" applyBorder="1"/>
    <xf numFmtId="0" fontId="2" fillId="0" borderId="20" xfId="0" applyFont="1" applyBorder="1" applyAlignment="1">
      <alignment horizontal="center"/>
    </xf>
    <xf numFmtId="0" fontId="2" fillId="0" borderId="27" xfId="0" applyFont="1" applyBorder="1" applyAlignment="1">
      <alignment horizontal="center"/>
    </xf>
    <xf numFmtId="0" fontId="2" fillId="0" borderId="21" xfId="0" applyFont="1" applyBorder="1" applyAlignment="1">
      <alignment horizontal="center"/>
    </xf>
    <xf numFmtId="0" fontId="44" fillId="0" borderId="24" xfId="0" applyFont="1" applyBorder="1" applyAlignment="1">
      <alignment horizontal="center" vertical="center" wrapText="1"/>
    </xf>
    <xf numFmtId="0" fontId="44" fillId="0" borderId="28" xfId="0" applyFont="1" applyBorder="1" applyAlignment="1">
      <alignment horizontal="center" vertical="center" wrapText="1"/>
    </xf>
    <xf numFmtId="0" fontId="44" fillId="0" borderId="25" xfId="0" applyFont="1" applyBorder="1" applyAlignment="1">
      <alignment horizontal="center" vertical="center" wrapText="1"/>
    </xf>
    <xf numFmtId="0" fontId="18" fillId="5" borderId="14" xfId="0" applyFont="1" applyFill="1" applyBorder="1" applyAlignment="1">
      <alignment horizontal="center" vertical="center"/>
    </xf>
    <xf numFmtId="0" fontId="18" fillId="5" borderId="11" xfId="0" applyFont="1" applyFill="1" applyBorder="1" applyAlignment="1">
      <alignment horizontal="center" vertical="center"/>
    </xf>
    <xf numFmtId="0" fontId="20" fillId="5" borderId="1" xfId="0" applyFont="1" applyFill="1" applyBorder="1" applyAlignment="1">
      <alignment horizontal="center"/>
    </xf>
    <xf numFmtId="0" fontId="20" fillId="5" borderId="2" xfId="0" applyFont="1" applyFill="1" applyBorder="1" applyAlignment="1">
      <alignment horizontal="center"/>
    </xf>
    <xf numFmtId="0" fontId="20" fillId="5" borderId="3" xfId="0" applyFont="1" applyFill="1" applyBorder="1" applyAlignment="1">
      <alignment horizontal="center"/>
    </xf>
    <xf numFmtId="0" fontId="18" fillId="5" borderId="4" xfId="0" applyFont="1" applyFill="1" applyBorder="1" applyAlignment="1">
      <alignment horizontal="center"/>
    </xf>
    <xf numFmtId="0" fontId="18" fillId="5" borderId="5" xfId="0" applyFont="1" applyFill="1" applyBorder="1" applyAlignment="1">
      <alignment horizontal="center"/>
    </xf>
    <xf numFmtId="0" fontId="18" fillId="5" borderId="6" xfId="0" applyFont="1" applyFill="1" applyBorder="1" applyAlignment="1">
      <alignment horizontal="center"/>
    </xf>
    <xf numFmtId="0" fontId="1" fillId="2" borderId="7" xfId="0" applyFont="1" applyFill="1" applyBorder="1" applyAlignment="1">
      <alignment horizontal="left" vertical="top" wrapText="1"/>
    </xf>
    <xf numFmtId="0" fontId="1" fillId="2" borderId="0" xfId="0" applyFont="1" applyFill="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5" fillId="2" borderId="20" xfId="0" applyFont="1" applyFill="1" applyBorder="1" applyAlignment="1">
      <alignment horizontal="center" vertical="center"/>
    </xf>
    <xf numFmtId="0" fontId="15" fillId="2" borderId="27" xfId="0" applyFont="1" applyFill="1" applyBorder="1" applyAlignment="1">
      <alignment horizontal="center" vertical="center"/>
    </xf>
    <xf numFmtId="0" fontId="15" fillId="2" borderId="21" xfId="0" applyFont="1" applyFill="1" applyBorder="1" applyAlignment="1">
      <alignment horizontal="center" vertical="center"/>
    </xf>
    <xf numFmtId="0" fontId="2" fillId="2" borderId="0" xfId="0" applyFont="1" applyFill="1" applyAlignment="1">
      <alignment horizontal="center"/>
    </xf>
    <xf numFmtId="0" fontId="2" fillId="2" borderId="18" xfId="0" applyFont="1" applyFill="1" applyBorder="1" applyAlignment="1">
      <alignment horizontal="center"/>
    </xf>
    <xf numFmtId="0" fontId="1" fillId="2" borderId="20" xfId="0" applyFont="1" applyFill="1" applyBorder="1" applyAlignment="1">
      <alignment horizontal="center" vertical="center"/>
    </xf>
    <xf numFmtId="0" fontId="1" fillId="2" borderId="27"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0" xfId="0" applyFont="1" applyFill="1" applyBorder="1" applyAlignment="1">
      <alignment horizontal="center"/>
    </xf>
    <xf numFmtId="0" fontId="1" fillId="2" borderId="21" xfId="0" applyFont="1" applyFill="1" applyBorder="1" applyAlignment="1">
      <alignment horizont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4" borderId="19" xfId="0" applyFont="1" applyFill="1" applyBorder="1" applyAlignment="1">
      <alignment horizontal="center"/>
    </xf>
    <xf numFmtId="0" fontId="1" fillId="4" borderId="0" xfId="0" applyFont="1" applyFill="1" applyAlignment="1">
      <alignment horizontal="center"/>
    </xf>
    <xf numFmtId="0" fontId="23" fillId="4" borderId="15" xfId="0" applyFont="1" applyFill="1" applyBorder="1" applyAlignment="1">
      <alignment horizont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16" xfId="0" applyFont="1" applyFill="1" applyBorder="1" applyAlignment="1">
      <alignment horizontal="center" vertical="center"/>
    </xf>
    <xf numFmtId="0" fontId="16" fillId="3" borderId="10" xfId="0" applyFont="1" applyFill="1" applyBorder="1" applyAlignment="1">
      <alignment horizontal="center" vertical="center"/>
    </xf>
    <xf numFmtId="0" fontId="17" fillId="4" borderId="2" xfId="0" applyFont="1" applyFill="1" applyBorder="1" applyAlignment="1">
      <alignment horizontal="center" vertical="center"/>
    </xf>
    <xf numFmtId="0" fontId="17" fillId="4" borderId="3" xfId="0" applyFont="1" applyFill="1" applyBorder="1" applyAlignment="1">
      <alignment horizontal="center" vertical="center"/>
    </xf>
    <xf numFmtId="0" fontId="17" fillId="4" borderId="10" xfId="0" applyFont="1" applyFill="1" applyBorder="1" applyAlignment="1">
      <alignment horizontal="center" vertical="center"/>
    </xf>
    <xf numFmtId="0" fontId="17" fillId="4" borderId="17" xfId="0" applyFont="1" applyFill="1" applyBorder="1" applyAlignment="1">
      <alignment horizontal="center" vertical="center"/>
    </xf>
    <xf numFmtId="0" fontId="24" fillId="4" borderId="22" xfId="0" applyFont="1" applyFill="1" applyBorder="1" applyAlignment="1">
      <alignment horizontal="left" vertical="center"/>
    </xf>
    <xf numFmtId="0" fontId="24" fillId="4" borderId="23" xfId="0" applyFont="1" applyFill="1" applyBorder="1" applyAlignment="1">
      <alignment horizontal="left"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8" fillId="2" borderId="15" xfId="0" applyFont="1" applyFill="1" applyBorder="1" applyAlignment="1">
      <alignment horizontal="center" vertical="center"/>
    </xf>
    <xf numFmtId="0" fontId="1" fillId="2" borderId="15" xfId="0" applyFont="1" applyFill="1" applyBorder="1" applyAlignment="1">
      <alignment horizontal="center" vertical="center"/>
    </xf>
    <xf numFmtId="0" fontId="10" fillId="2" borderId="24" xfId="0" applyFont="1" applyFill="1" applyBorder="1" applyAlignment="1">
      <alignment horizontal="center" vertical="center" wrapText="1"/>
    </xf>
    <xf numFmtId="0" fontId="10" fillId="2" borderId="25" xfId="0" applyFont="1" applyFill="1" applyBorder="1" applyAlignment="1">
      <alignment horizontal="center" vertical="center" wrapText="1"/>
    </xf>
    <xf numFmtId="0" fontId="10" fillId="2" borderId="15" xfId="0" applyFont="1" applyFill="1" applyBorder="1" applyAlignment="1">
      <alignment horizontal="center" vertical="center"/>
    </xf>
    <xf numFmtId="0" fontId="15" fillId="2" borderId="15" xfId="0" applyFont="1" applyFill="1" applyBorder="1" applyAlignment="1">
      <alignment horizontal="center" vertical="center"/>
    </xf>
    <xf numFmtId="0" fontId="23" fillId="4" borderId="24" xfId="0" applyFont="1" applyFill="1" applyBorder="1" applyAlignment="1">
      <alignment horizontal="center"/>
    </xf>
    <xf numFmtId="0" fontId="23" fillId="4" borderId="28" xfId="0" applyFont="1" applyFill="1" applyBorder="1" applyAlignment="1">
      <alignment horizontal="center"/>
    </xf>
    <xf numFmtId="0" fontId="23" fillId="4" borderId="25" xfId="0" applyFont="1" applyFill="1" applyBorder="1" applyAlignment="1">
      <alignment horizontal="center"/>
    </xf>
  </cellXfs>
  <cellStyles count="3">
    <cellStyle name="Calculation" xfId="2" builtinId="22"/>
    <cellStyle name="Normal" xfId="0" builtinId="0"/>
    <cellStyle name="Normal 6" xfId="1" xr:uid="{E7F3A94F-ADF0-48DC-9068-E343F32EB9D1}"/>
  </cellStyles>
  <dxfs count="23">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CC"/>
      <color rgb="FF00610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0</xdr:rowOff>
        </xdr:from>
        <xdr:to>
          <xdr:col>3</xdr:col>
          <xdr:colOff>247650</xdr:colOff>
          <xdr:row>9</xdr:row>
          <xdr:rowOff>285750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ea typeface="Calibri"/>
                  <a:cs typeface="Calibri"/>
                </a:rPr>
                <a:t>Hide bảng chi tiết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38100</xdr:colOff>
          <xdr:row>0</xdr:row>
          <xdr:rowOff>0</xdr:rowOff>
        </xdr:from>
        <xdr:to>
          <xdr:col>6</xdr:col>
          <xdr:colOff>390525</xdr:colOff>
          <xdr:row>9</xdr:row>
          <xdr:rowOff>285750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ea typeface="Calibri"/>
                  <a:cs typeface="Calibri"/>
                </a:rPr>
                <a:t>Unhide bảng chi tiết</a:t>
              </a:r>
            </a:p>
          </xdr:txBody>
        </xdr:sp>
        <xdr:clientData fPrintsWithSheet="0"/>
      </xdr:twoCellAnchor>
    </mc:Choice>
    <mc:Fallback/>
  </mc:AlternateContent>
  <xdr:twoCellAnchor editAs="oneCell">
    <xdr:from>
      <xdr:col>9</xdr:col>
      <xdr:colOff>199657</xdr:colOff>
      <xdr:row>12</xdr:row>
      <xdr:rowOff>50786</xdr:rowOff>
    </xdr:from>
    <xdr:to>
      <xdr:col>12</xdr:col>
      <xdr:colOff>251405</xdr:colOff>
      <xdr:row>20</xdr:row>
      <xdr:rowOff>126841</xdr:rowOff>
    </xdr:to>
    <xdr:pic>
      <xdr:nvPicPr>
        <xdr:cNvPr id="2" name="Picture 1">
          <a:extLst>
            <a:ext uri="{FF2B5EF4-FFF2-40B4-BE49-F238E27FC236}">
              <a16:creationId xmlns:a16="http://schemas.microsoft.com/office/drawing/2014/main" id="{87D6C50C-D427-BD67-B4DB-95DCA7E669DE}"/>
            </a:ext>
          </a:extLst>
        </xdr:cNvPr>
        <xdr:cNvPicPr>
          <a:picLocks noChangeAspect="1"/>
        </xdr:cNvPicPr>
      </xdr:nvPicPr>
      <xdr:blipFill>
        <a:blip xmlns:r="http://schemas.openxmlformats.org/officeDocument/2006/relationships" r:embed="rId1"/>
        <a:stretch>
          <a:fillRect/>
        </a:stretch>
      </xdr:blipFill>
      <xdr:spPr>
        <a:xfrm>
          <a:off x="4390657" y="836599"/>
          <a:ext cx="1617420" cy="1478703"/>
        </a:xfrm>
        <a:prstGeom prst="rect">
          <a:avLst/>
        </a:prstGeom>
      </xdr:spPr>
    </xdr:pic>
    <xdr:clientData/>
  </xdr:twoCellAnchor>
  <xdr:oneCellAnchor>
    <xdr:from>
      <xdr:col>7</xdr:col>
      <xdr:colOff>522685</xdr:colOff>
      <xdr:row>35</xdr:row>
      <xdr:rowOff>132158</xdr:rowOff>
    </xdr:from>
    <xdr:ext cx="1965282" cy="36894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101C8512-4A02-41FA-B285-A18E20DEF9AA}"/>
                </a:ext>
              </a:extLst>
            </xdr:cNvPr>
            <xdr:cNvSpPr txBox="1"/>
          </xdr:nvSpPr>
          <xdr:spPr>
            <a:xfrm>
              <a:off x="3630216" y="4989908"/>
              <a:ext cx="1965282" cy="36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100" i="1">
                            <a:latin typeface="Cambria Math" panose="02040503050406030204" pitchFamily="18" charset="0"/>
                          </a:rPr>
                        </m:ctrlPr>
                      </m:fPr>
                      <m:num>
                        <m:r>
                          <a:rPr lang="en-US" sz="1100" b="0" i="1">
                            <a:latin typeface="Cambria Math" panose="02040503050406030204" pitchFamily="18" charset="0"/>
                          </a:rPr>
                          <m:t>𝑁</m:t>
                        </m:r>
                      </m:num>
                      <m:den>
                        <m:sSub>
                          <m:sSubPr>
                            <m:ctrlPr>
                              <a:rPr lang="en-US" sz="110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𝑛</m:t>
                            </m:r>
                          </m:sub>
                        </m:sSub>
                        <m:r>
                          <a:rPr lang="en-US" sz="1100" b="0" i="1">
                            <a:solidFill>
                              <a:schemeClr val="tx1"/>
                            </a:solidFill>
                            <a:effectLst/>
                            <a:latin typeface="Cambria Math" panose="02040503050406030204" pitchFamily="18" charset="0"/>
                            <a:ea typeface="+mn-ea"/>
                            <a:cs typeface="+mn-cs"/>
                          </a:rPr>
                          <m:t>𝑓</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m:t>
                            </m:r>
                          </m:e>
                          <m:sub>
                            <m:r>
                              <a:rPr lang="en-US" sz="1100" b="0" i="1">
                                <a:latin typeface="Cambria Math" panose="02040503050406030204" pitchFamily="18" charset="0"/>
                                <a:ea typeface="Cambria Math" panose="02040503050406030204" pitchFamily="18" charset="0"/>
                              </a:rPr>
                              <m:t>𝑥</m:t>
                            </m:r>
                          </m:sub>
                        </m:sSub>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𝐼</m:t>
                            </m:r>
                          </m:e>
                          <m:sub>
                            <m:r>
                              <a:rPr lang="en-US" sz="1100" b="0" i="1">
                                <a:latin typeface="Cambria Math" panose="02040503050406030204" pitchFamily="18" charset="0"/>
                                <a:ea typeface="Cambria Math" panose="02040503050406030204" pitchFamily="18" charset="0"/>
                              </a:rPr>
                              <m:t>𝑛𝑥</m:t>
                            </m:r>
                          </m:sub>
                        </m:sSub>
                        <m:r>
                          <a:rPr lang="en-US" sz="1100" b="0" i="1">
                            <a:solidFill>
                              <a:schemeClr val="tx1"/>
                            </a:solidFill>
                            <a:effectLst/>
                            <a:latin typeface="Cambria Math" panose="02040503050406030204" pitchFamily="18" charset="0"/>
                            <a:ea typeface="+mn-ea"/>
                            <a:cs typeface="+mn-cs"/>
                          </a:rPr>
                          <m:t>𝑓</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b="0" i="1">
                        <a:latin typeface="Cambria Math" panose="02040503050406030204" pitchFamily="18" charset="0"/>
                        <a:ea typeface="Cambria Math" panose="02040503050406030204" pitchFamily="18" charset="0"/>
                      </a:rPr>
                      <m:t>𝑦</m:t>
                    </m:r>
                    <m:r>
                      <a:rPr lang="en-US" sz="1100" i="1">
                        <a:solidFill>
                          <a:schemeClr val="tx1"/>
                        </a:solidFill>
                        <a:effectLst/>
                        <a:latin typeface="Cambria Math" panose="02040503050406030204" pitchFamily="18" charset="0"/>
                        <a:ea typeface="+mn-ea"/>
                        <a:cs typeface="+mn-cs"/>
                      </a:rPr>
                      <m:t>±</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𝑀</m:t>
                            </m:r>
                          </m:e>
                          <m:sub>
                            <m:r>
                              <a:rPr lang="en-US" sz="1100" b="0" i="1">
                                <a:solidFill>
                                  <a:schemeClr val="tx1"/>
                                </a:solidFill>
                                <a:effectLst/>
                                <a:latin typeface="Cambria Math" panose="02040503050406030204" pitchFamily="18" charset="0"/>
                                <a:ea typeface="+mn-ea"/>
                                <a:cs typeface="+mn-cs"/>
                              </a:rPr>
                              <m:t>𝑦</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m:t>
                            </m:r>
                          </m:e>
                          <m:sub>
                            <m:r>
                              <a:rPr lang="en-US" sz="1100" b="0" i="1">
                                <a:solidFill>
                                  <a:schemeClr val="tx1"/>
                                </a:solidFill>
                                <a:effectLst/>
                                <a:latin typeface="Cambria Math" panose="02040503050406030204" pitchFamily="18" charset="0"/>
                                <a:ea typeface="+mn-ea"/>
                                <a:cs typeface="+mn-cs"/>
                              </a:rPr>
                              <m:t>𝑛𝑦</m:t>
                            </m:r>
                          </m:sub>
                        </m:sSub>
                        <m:r>
                          <a:rPr lang="en-US" sz="1100" b="0" i="1">
                            <a:solidFill>
                              <a:schemeClr val="tx1"/>
                            </a:solidFill>
                            <a:effectLst/>
                            <a:latin typeface="Cambria Math" panose="02040503050406030204" pitchFamily="18" charset="0"/>
                            <a:ea typeface="+mn-ea"/>
                            <a:cs typeface="+mn-cs"/>
                          </a:rPr>
                          <m:t>𝑓</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𝛾</m:t>
                            </m:r>
                          </m:e>
                          <m:sub>
                            <m:r>
                              <a:rPr lang="en-US" sz="1100" b="0" i="1">
                                <a:solidFill>
                                  <a:schemeClr val="tx1"/>
                                </a:solidFill>
                                <a:effectLst/>
                                <a:latin typeface="Cambria Math" panose="02040503050406030204" pitchFamily="18" charset="0"/>
                                <a:ea typeface="+mn-ea"/>
                                <a:cs typeface="+mn-cs"/>
                              </a:rPr>
                              <m:t>𝑐</m:t>
                            </m:r>
                          </m:sub>
                        </m:sSub>
                      </m:den>
                    </m:f>
                    <m:r>
                      <a:rPr lang="en-US" sz="1100" b="0" i="1">
                        <a:solidFill>
                          <a:schemeClr val="tx1"/>
                        </a:solidFill>
                        <a:effectLst/>
                        <a:latin typeface="Cambria Math" panose="02040503050406030204" pitchFamily="18" charset="0"/>
                        <a:ea typeface="+mn-ea"/>
                        <a:cs typeface="+mn-cs"/>
                      </a:rPr>
                      <m:t>𝑥</m:t>
                    </m:r>
                    <m:r>
                      <a:rPr lang="en-US" sz="1100" b="0" i="1">
                        <a:solidFill>
                          <a:schemeClr val="tx1"/>
                        </a:solidFill>
                        <a:effectLst/>
                        <a:latin typeface="Cambria Math" panose="02040503050406030204" pitchFamily="18" charset="0"/>
                        <a:ea typeface="Cambria Math" panose="02040503050406030204" pitchFamily="18" charset="0"/>
                        <a:cs typeface="+mn-cs"/>
                      </a:rPr>
                      <m:t>≤1</m:t>
                    </m:r>
                  </m:oMath>
                </m:oMathPara>
              </a14:m>
              <a:endParaRPr lang="en-US" sz="1100"/>
            </a:p>
          </xdr:txBody>
        </xdr:sp>
      </mc:Choice>
      <mc:Fallback xmlns="">
        <xdr:sp macro="" textlink="">
          <xdr:nvSpPr>
            <xdr:cNvPr id="3" name="TextBox 2">
              <a:extLst>
                <a:ext uri="{FF2B5EF4-FFF2-40B4-BE49-F238E27FC236}">
                  <a16:creationId xmlns:a16="http://schemas.microsoft.com/office/drawing/2014/main" id="{101C8512-4A02-41FA-B285-A18E20DEF9AA}"/>
                </a:ext>
              </a:extLst>
            </xdr:cNvPr>
            <xdr:cNvSpPr txBox="1"/>
          </xdr:nvSpPr>
          <xdr:spPr>
            <a:xfrm>
              <a:off x="3630216" y="4989908"/>
              <a:ext cx="1965282" cy="36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𝑁/(𝐴_𝑛</a:t>
              </a:r>
              <a:r>
                <a:rPr lang="en-US" sz="1100" b="0" i="0">
                  <a:solidFill>
                    <a:schemeClr val="tx1"/>
                  </a:solidFill>
                  <a:effectLst/>
                  <a:latin typeface="+mn-lt"/>
                  <a:ea typeface="+mn-ea"/>
                  <a:cs typeface="+mn-cs"/>
                </a:rPr>
                <a:t> 𝑓𝛾_𝑐</a:t>
              </a:r>
              <a:r>
                <a:rPr lang="en-US" sz="1100" b="0" i="0">
                  <a:solidFill>
                    <a:schemeClr val="tx1"/>
                  </a:solidFill>
                  <a:effectLst/>
                  <a:latin typeface="Cambria Math" panose="02040503050406030204" pitchFamily="18" charset="0"/>
                  <a:ea typeface="+mn-ea"/>
                  <a:cs typeface="+mn-cs"/>
                </a:rPr>
                <a:t> )</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𝑀_𝑥/(𝐼_𝑛𝑥</a:t>
              </a:r>
              <a:r>
                <a:rPr lang="en-US" sz="1100" b="0" i="0">
                  <a:solidFill>
                    <a:schemeClr val="tx1"/>
                  </a:solidFill>
                  <a:effectLst/>
                  <a:latin typeface="+mn-lt"/>
                  <a:ea typeface="+mn-ea"/>
                  <a:cs typeface="+mn-cs"/>
                </a:rPr>
                <a:t> 𝑓𝛾_𝑐</a:t>
              </a:r>
              <a:r>
                <a:rPr lang="en-US" sz="1100" b="0" i="0">
                  <a:solidFill>
                    <a:schemeClr val="tx1"/>
                  </a:solidFill>
                  <a:effectLst/>
                  <a:latin typeface="Cambria Math" panose="02040503050406030204" pitchFamily="18" charset="0"/>
                  <a:ea typeface="Cambria Math" panose="02040503050406030204" pitchFamily="18" charset="0"/>
                  <a:cs typeface="+mn-cs"/>
                </a:rPr>
                <a:t> ) </a:t>
              </a:r>
              <a:r>
                <a:rPr lang="en-US" sz="1100" b="0" i="0">
                  <a:latin typeface="Cambria Math" panose="02040503050406030204" pitchFamily="18" charset="0"/>
                  <a:ea typeface="Cambria Math" panose="02040503050406030204" pitchFamily="18" charset="0"/>
                </a:rPr>
                <a:t>𝑦</a:t>
              </a:r>
              <a:r>
                <a:rPr lang="en-US" sz="110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panose="02040503050406030204" pitchFamily="18" charset="0"/>
                  <a:ea typeface="+mn-ea"/>
                  <a:cs typeface="+mn-cs"/>
                </a:rPr>
                <a:t>𝑀_𝑦/(𝐼_𝑛𝑦</a:t>
              </a:r>
              <a:r>
                <a:rPr lang="en-US" sz="1100" b="0" i="0">
                  <a:solidFill>
                    <a:schemeClr val="tx1"/>
                  </a:solidFill>
                  <a:effectLst/>
                  <a:latin typeface="+mn-lt"/>
                  <a:ea typeface="+mn-ea"/>
                  <a:cs typeface="+mn-cs"/>
                </a:rPr>
                <a:t> 𝑓𝛾_𝑐</a:t>
              </a:r>
              <a:r>
                <a:rPr lang="en-US" sz="1100" b="0" i="0">
                  <a:solidFill>
                    <a:schemeClr val="tx1"/>
                  </a:solidFill>
                  <a:effectLst/>
                  <a:latin typeface="Cambria Math" panose="02040503050406030204" pitchFamily="18" charset="0"/>
                  <a:ea typeface="+mn-ea"/>
                  <a:cs typeface="+mn-cs"/>
                </a:rPr>
                <a:t> ) 𝑥</a:t>
              </a:r>
              <a:r>
                <a:rPr lang="en-US" sz="1100" b="0" i="0">
                  <a:solidFill>
                    <a:schemeClr val="tx1"/>
                  </a:solidFill>
                  <a:effectLst/>
                  <a:latin typeface="Cambria Math" panose="02040503050406030204" pitchFamily="18" charset="0"/>
                  <a:ea typeface="Cambria Math" panose="02040503050406030204" pitchFamily="18" charset="0"/>
                  <a:cs typeface="+mn-cs"/>
                </a:rPr>
                <a:t>≤1</a:t>
              </a:r>
              <a:endParaRPr lang="en-US" sz="1100"/>
            </a:p>
          </xdr:txBody>
        </xdr:sp>
      </mc:Fallback>
    </mc:AlternateContent>
    <xdr:clientData/>
  </xdr:oneCellAnchor>
  <xdr:oneCellAnchor>
    <xdr:from>
      <xdr:col>1</xdr:col>
      <xdr:colOff>80963</xdr:colOff>
      <xdr:row>35</xdr:row>
      <xdr:rowOff>55959</xdr:rowOff>
    </xdr:from>
    <xdr:ext cx="2868991" cy="405560"/>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646000-70E3-4721-88D3-F761B4DDCCCF}"/>
                </a:ext>
              </a:extLst>
            </xdr:cNvPr>
            <xdr:cNvSpPr txBox="1"/>
          </xdr:nvSpPr>
          <xdr:spPr>
            <a:xfrm>
              <a:off x="188119" y="4913709"/>
              <a:ext cx="2868991" cy="405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p>
                      <m:sSupPr>
                        <m:ctrlPr>
                          <a:rPr lang="en-US" sz="1100" i="1">
                            <a:latin typeface="Cambria Math" panose="02040503050406030204" pitchFamily="18" charset="0"/>
                          </a:rPr>
                        </m:ctrlPr>
                      </m:sSupPr>
                      <m:e>
                        <m:d>
                          <m:dPr>
                            <m:ctrlPr>
                              <a:rPr lang="en-US" sz="1100" i="1">
                                <a:solidFill>
                                  <a:schemeClr val="tx1"/>
                                </a:solidFill>
                                <a:effectLst/>
                                <a:latin typeface="Cambria Math" panose="02040503050406030204" pitchFamily="18" charset="0"/>
                                <a:ea typeface="+mn-ea"/>
                                <a:cs typeface="+mn-cs"/>
                              </a:rPr>
                            </m:ctrlPr>
                          </m:dPr>
                          <m:e>
                            <m:f>
                              <m:fPr>
                                <m:ctrlPr>
                                  <a:rPr lang="en-US" sz="110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panose="02040503050406030204" pitchFamily="18" charset="0"/>
                                    <a:ea typeface="+mn-ea"/>
                                    <a:cs typeface="+mn-cs"/>
                                  </a:rPr>
                                  <m:t>𝑁</m:t>
                                </m:r>
                              </m:num>
                              <m:den>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𝐴</m:t>
                                    </m:r>
                                  </m:e>
                                  <m:sub>
                                    <m:r>
                                      <a:rPr lang="en-US" sz="1100" b="0" i="1">
                                        <a:solidFill>
                                          <a:schemeClr val="tx1"/>
                                        </a:solidFill>
                                        <a:effectLst/>
                                        <a:latin typeface="Cambria Math" panose="02040503050406030204" pitchFamily="18" charset="0"/>
                                        <a:ea typeface="+mn-ea"/>
                                        <a:cs typeface="+mn-cs"/>
                                      </a:rPr>
                                      <m:t>𝑛</m:t>
                                    </m:r>
                                  </m:sub>
                                </m:sSub>
                                <m:r>
                                  <a:rPr lang="en-US" sz="1100" b="0" i="1">
                                    <a:solidFill>
                                      <a:schemeClr val="tx1"/>
                                    </a:solidFill>
                                    <a:effectLst/>
                                    <a:latin typeface="Cambria Math" panose="02040503050406030204" pitchFamily="18" charset="0"/>
                                    <a:ea typeface="+mn-ea"/>
                                    <a:cs typeface="+mn-cs"/>
                                  </a:rPr>
                                  <m:t>𝑓</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𝑦</m:t>
                                    </m:r>
                                  </m:e>
                                  <m:sub>
                                    <m:r>
                                      <a:rPr lang="en-US" sz="1100" b="0" i="1">
                                        <a:solidFill>
                                          <a:schemeClr val="tx1"/>
                                        </a:solidFill>
                                        <a:effectLst/>
                                        <a:latin typeface="Cambria Math" panose="02040503050406030204" pitchFamily="18" charset="0"/>
                                        <a:ea typeface="+mn-ea"/>
                                        <a:cs typeface="+mn-cs"/>
                                      </a:rPr>
                                      <m:t>𝑐</m:t>
                                    </m:r>
                                  </m:sub>
                                </m:sSub>
                              </m:den>
                            </m:f>
                          </m:e>
                        </m:d>
                      </m:e>
                      <m:sup>
                        <m:sSub>
                          <m:sSubPr>
                            <m:ctrlPr>
                              <a:rPr lang="en-US" sz="1100" i="1">
                                <a:latin typeface="Cambria Math" panose="02040503050406030204" pitchFamily="18" charset="0"/>
                              </a:rPr>
                            </m:ctrlPr>
                          </m:sSubPr>
                          <m:e>
                            <m:r>
                              <a:rPr lang="en-US" sz="1100" b="0" i="1">
                                <a:latin typeface="Cambria Math" panose="02040503050406030204" pitchFamily="18" charset="0"/>
                              </a:rPr>
                              <m:t>𝑛</m:t>
                            </m:r>
                          </m:e>
                          <m:sub>
                            <m:r>
                              <a:rPr lang="en-US" sz="1100" b="0" i="1">
                                <a:latin typeface="Cambria Math" panose="02040503050406030204" pitchFamily="18" charset="0"/>
                              </a:rPr>
                              <m:t>𝑐</m:t>
                            </m:r>
                          </m:sub>
                        </m:sSub>
                      </m:sup>
                    </m:sSup>
                    <m:r>
                      <a:rPr lang="en-US" sz="1100" b="0" i="1">
                        <a:latin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m:t>
                            </m:r>
                          </m:e>
                          <m:sub>
                            <m:r>
                              <a:rPr lang="en-US" sz="1100" b="0" i="1">
                                <a:latin typeface="Cambria Math" panose="02040503050406030204" pitchFamily="18" charset="0"/>
                                <a:ea typeface="Cambria Math" panose="02040503050406030204" pitchFamily="18" charset="0"/>
                              </a:rPr>
                              <m:t>𝑥</m:t>
                            </m:r>
                          </m:sub>
                        </m:sSub>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𝑐</m:t>
                            </m:r>
                          </m:e>
                          <m:sub>
                            <m:r>
                              <a:rPr lang="en-US" sz="1100" b="0" i="1">
                                <a:latin typeface="Cambria Math" panose="02040503050406030204" pitchFamily="18" charset="0"/>
                                <a:ea typeface="Cambria Math" panose="02040503050406030204" pitchFamily="18" charset="0"/>
                              </a:rPr>
                              <m:t>𝑥</m:t>
                            </m:r>
                          </m:sub>
                        </m:s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𝑛𝑥</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𝑚𝑖𝑛</m:t>
                            </m:r>
                          </m:sub>
                        </m:sSub>
                        <m:r>
                          <a:rPr lang="en-US" sz="1100" b="0" i="1">
                            <a:latin typeface="Cambria Math" panose="02040503050406030204" pitchFamily="18" charset="0"/>
                            <a:ea typeface="Cambria Math" panose="02040503050406030204" pitchFamily="18" charset="0"/>
                          </a:rPr>
                          <m:t>𝑓</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b="0" i="1">
                                <a:latin typeface="Cambria Math" panose="02040503050406030204" pitchFamily="18" charset="0"/>
                                <a:ea typeface="Cambria Math" panose="02040503050406030204" pitchFamily="18" charset="0"/>
                              </a:rPr>
                              <m:t>𝑐</m:t>
                            </m:r>
                          </m:sub>
                        </m:sSub>
                      </m:den>
                    </m:f>
                    <m:r>
                      <a:rPr lang="en-US" sz="1100" b="0" i="1">
                        <a:solidFill>
                          <a:schemeClr val="tx1"/>
                        </a:solidFill>
                        <a:effectLst/>
                        <a:latin typeface="Cambria Math" panose="02040503050406030204" pitchFamily="18" charset="0"/>
                        <a:ea typeface="+mn-ea"/>
                        <a:cs typeface="+mn-cs"/>
                      </a:rPr>
                      <m:t>+</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𝑀</m:t>
                            </m:r>
                          </m:e>
                          <m:sub>
                            <m:r>
                              <a:rPr lang="en-US" sz="1100" b="0" i="1">
                                <a:solidFill>
                                  <a:schemeClr val="tx1"/>
                                </a:solidFill>
                                <a:effectLst/>
                                <a:latin typeface="Cambria Math" panose="02040503050406030204" pitchFamily="18" charset="0"/>
                                <a:ea typeface="+mn-ea"/>
                                <a:cs typeface="+mn-cs"/>
                              </a:rPr>
                              <m:t>𝑦</m:t>
                            </m:r>
                          </m:sub>
                        </m:sSub>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𝑐</m:t>
                            </m:r>
                          </m:e>
                          <m:sub>
                            <m:r>
                              <a:rPr lang="en-US" sz="1100" b="0" i="1">
                                <a:solidFill>
                                  <a:schemeClr val="tx1"/>
                                </a:solidFill>
                                <a:effectLst/>
                                <a:latin typeface="Cambria Math" panose="02040503050406030204" pitchFamily="18" charset="0"/>
                                <a:ea typeface="+mn-ea"/>
                                <a:cs typeface="+mn-cs"/>
                              </a:rPr>
                              <m:t>𝑦</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𝑛𝑦</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𝑚𝑖𝑛</m:t>
                            </m:r>
                          </m:sub>
                        </m:sSub>
                        <m:r>
                          <a:rPr lang="en-US" sz="1100" b="0" i="1">
                            <a:solidFill>
                              <a:schemeClr val="tx1"/>
                            </a:solidFill>
                            <a:effectLst/>
                            <a:latin typeface="Cambria Math" panose="02040503050406030204" pitchFamily="18" charset="0"/>
                            <a:ea typeface="+mn-ea"/>
                            <a:cs typeface="+mn-cs"/>
                          </a:rPr>
                          <m:t>𝑓</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𝑦</m:t>
                            </m:r>
                          </m:e>
                          <m:sub>
                            <m:r>
                              <a:rPr lang="en-US" sz="1100" b="0" i="1">
                                <a:solidFill>
                                  <a:schemeClr val="tx1"/>
                                </a:solidFill>
                                <a:effectLst/>
                                <a:latin typeface="Cambria Math" panose="02040503050406030204" pitchFamily="18" charset="0"/>
                                <a:ea typeface="+mn-ea"/>
                                <a:cs typeface="+mn-cs"/>
                              </a:rPr>
                              <m:t>𝑐</m:t>
                            </m:r>
                          </m:sub>
                        </m:sSub>
                      </m:den>
                    </m:f>
                    <m:r>
                      <a:rPr lang="en-US" sz="1100" b="0" i="1">
                        <a:solidFill>
                          <a:schemeClr val="tx1"/>
                        </a:solidFill>
                        <a:effectLst/>
                        <a:latin typeface="Cambria Math" panose="02040503050406030204" pitchFamily="18" charset="0"/>
                        <a:ea typeface="Cambria Math" panose="02040503050406030204" pitchFamily="18" charset="0"/>
                        <a:cs typeface="+mn-cs"/>
                      </a:rPr>
                      <m:t>≤1</m:t>
                    </m:r>
                  </m:oMath>
                </m:oMathPara>
              </a14:m>
              <a:endParaRPr lang="en-US" sz="1100"/>
            </a:p>
          </xdr:txBody>
        </xdr:sp>
      </mc:Choice>
      <mc:Fallback xmlns="">
        <xdr:sp macro="" textlink="">
          <xdr:nvSpPr>
            <xdr:cNvPr id="7" name="TextBox 6">
              <a:extLst>
                <a:ext uri="{FF2B5EF4-FFF2-40B4-BE49-F238E27FC236}">
                  <a16:creationId xmlns:a16="http://schemas.microsoft.com/office/drawing/2014/main" id="{2A646000-70E3-4721-88D3-F761B4DDCCCF}"/>
                </a:ext>
              </a:extLst>
            </xdr:cNvPr>
            <xdr:cNvSpPr txBox="1"/>
          </xdr:nvSpPr>
          <xdr:spPr>
            <a:xfrm>
              <a:off x="188119" y="4913709"/>
              <a:ext cx="2868991" cy="405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panose="02040503050406030204" pitchFamily="18" charset="0"/>
                  <a:ea typeface="+mn-ea"/>
                  <a:cs typeface="+mn-cs"/>
                </a:rPr>
                <a:t>𝑁/(𝐴_𝑛 𝑓𝑦_𝑐 ))^(</a:t>
              </a:r>
              <a:r>
                <a:rPr lang="en-US" sz="1100" b="0" i="0">
                  <a:latin typeface="Cambria Math" panose="02040503050406030204" pitchFamily="18" charset="0"/>
                </a:rPr>
                <a:t>𝑛_𝑐 )+</a:t>
              </a:r>
              <a:r>
                <a:rPr lang="en-US" sz="1100" b="0" i="0">
                  <a:latin typeface="Cambria Math" panose="02040503050406030204" pitchFamily="18" charset="0"/>
                  <a:ea typeface="Cambria Math" panose="02040503050406030204" pitchFamily="18" charset="0"/>
                </a:rPr>
                <a:t>𝑀_𝑥/(𝑐_𝑥 𝑊_(𝑛𝑥,𝑚𝑖𝑛) 𝑓𝑦_𝑐 )</a:t>
              </a:r>
              <a:r>
                <a:rPr lang="en-US" sz="1100" b="0" i="0">
                  <a:solidFill>
                    <a:schemeClr val="tx1"/>
                  </a:solidFill>
                  <a:effectLst/>
                  <a:latin typeface="Cambria Math" panose="02040503050406030204" pitchFamily="18" charset="0"/>
                  <a:ea typeface="+mn-ea"/>
                  <a:cs typeface="+mn-cs"/>
                </a:rPr>
                <a:t>+𝑀_𝑦/(𝑐_𝑦 𝑊_(𝑛𝑦,𝑚𝑖𝑛) 𝑓𝑦_𝑐 )</a:t>
              </a:r>
              <a:r>
                <a:rPr lang="en-US" sz="1100" b="0" i="0">
                  <a:solidFill>
                    <a:schemeClr val="tx1"/>
                  </a:solidFill>
                  <a:effectLst/>
                  <a:latin typeface="Cambria Math" panose="02040503050406030204" pitchFamily="18" charset="0"/>
                  <a:ea typeface="Cambria Math" panose="02040503050406030204" pitchFamily="18" charset="0"/>
                  <a:cs typeface="+mn-cs"/>
                </a:rPr>
                <a:t>≤1</a:t>
              </a:r>
              <a:endParaRPr lang="en-US" sz="1100"/>
            </a:p>
          </xdr:txBody>
        </xdr:sp>
      </mc:Fallback>
    </mc:AlternateContent>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image" Target="../media/image2.p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0D34F-0F5A-401C-9D73-F169D99BE4E3}">
  <sheetPr codeName="Sheet1">
    <tabColor rgb="FF0070C0"/>
  </sheetPr>
  <dimension ref="A1:AC91"/>
  <sheetViews>
    <sheetView showGridLines="0" topLeftCell="A20" zoomScale="130" zoomScaleNormal="130" zoomScaleSheetLayoutView="100" workbookViewId="0">
      <selection activeCell="J43" sqref="J43"/>
    </sheetView>
  </sheetViews>
  <sheetFormatPr defaultColWidth="7.28515625" defaultRowHeight="12.75"/>
  <cols>
    <col min="1" max="1" width="7.28515625" style="1"/>
    <col min="2" max="2" width="6" style="1" customWidth="1"/>
    <col min="3" max="3" width="9.85546875" style="1" customWidth="1"/>
    <col min="4" max="7" width="7.28515625" style="1"/>
    <col min="8" max="8" width="8.140625" style="1" bestFit="1" customWidth="1"/>
    <col min="9" max="15" width="7.28515625" style="1"/>
    <col min="16" max="16" width="13.7109375" style="1" bestFit="1" customWidth="1"/>
    <col min="17" max="18" width="7.28515625" style="1"/>
    <col min="19" max="19" width="10.42578125" style="1" customWidth="1"/>
    <col min="20" max="28" width="7.28515625" style="1"/>
    <col min="29" max="29" width="8.140625" style="1" bestFit="1" customWidth="1"/>
    <col min="30" max="16384" width="7.28515625" style="1"/>
  </cols>
  <sheetData>
    <row r="1" spans="2:14" ht="17.25" customHeight="1">
      <c r="B1" s="111" t="s">
        <v>1</v>
      </c>
      <c r="C1" s="112"/>
      <c r="D1" s="112"/>
      <c r="E1" s="112"/>
      <c r="F1" s="112"/>
      <c r="G1" s="112"/>
      <c r="H1" s="112"/>
      <c r="I1" s="112"/>
      <c r="J1" s="112"/>
      <c r="K1" s="112"/>
      <c r="L1" s="112"/>
      <c r="M1" s="112"/>
      <c r="N1" s="113"/>
    </row>
    <row r="2" spans="2:14" ht="12.75" customHeight="1">
      <c r="B2" s="114" t="s">
        <v>0</v>
      </c>
      <c r="C2" s="115"/>
      <c r="D2" s="115"/>
      <c r="E2" s="115"/>
      <c r="F2" s="115"/>
      <c r="G2" s="115"/>
      <c r="H2" s="115"/>
      <c r="I2" s="115"/>
      <c r="J2" s="115"/>
      <c r="K2" s="115"/>
      <c r="L2" s="115"/>
      <c r="M2" s="115"/>
      <c r="N2" s="116"/>
    </row>
    <row r="3" spans="2:14" ht="12.75" customHeight="1">
      <c r="B3" s="117" t="s">
        <v>2</v>
      </c>
      <c r="C3" s="118"/>
      <c r="D3" s="118"/>
      <c r="E3" s="118"/>
      <c r="F3" s="118"/>
      <c r="G3" s="118"/>
      <c r="H3" s="118"/>
      <c r="I3" s="118"/>
      <c r="J3" s="118"/>
      <c r="K3" s="118"/>
      <c r="L3" s="118"/>
      <c r="M3" s="118"/>
      <c r="N3" s="119"/>
    </row>
    <row r="4" spans="2:14">
      <c r="B4" s="117"/>
      <c r="C4" s="118"/>
      <c r="D4" s="118"/>
      <c r="E4" s="118"/>
      <c r="F4" s="118"/>
      <c r="G4" s="118"/>
      <c r="H4" s="118"/>
      <c r="I4" s="118"/>
      <c r="J4" s="118"/>
      <c r="K4" s="118"/>
      <c r="L4" s="118"/>
      <c r="M4" s="118"/>
      <c r="N4" s="119"/>
    </row>
    <row r="5" spans="2:14">
      <c r="B5" s="117"/>
      <c r="C5" s="118"/>
      <c r="D5" s="118"/>
      <c r="E5" s="118"/>
      <c r="F5" s="118"/>
      <c r="G5" s="118"/>
      <c r="H5" s="118"/>
      <c r="I5" s="118"/>
      <c r="J5" s="118"/>
      <c r="K5" s="118"/>
      <c r="L5" s="118"/>
      <c r="M5" s="118"/>
      <c r="N5" s="119"/>
    </row>
    <row r="6" spans="2:14">
      <c r="B6" s="117"/>
      <c r="C6" s="118"/>
      <c r="D6" s="118"/>
      <c r="E6" s="118"/>
      <c r="F6" s="118"/>
      <c r="G6" s="118"/>
      <c r="H6" s="118"/>
      <c r="I6" s="118"/>
      <c r="J6" s="118"/>
      <c r="K6" s="118"/>
      <c r="L6" s="118"/>
      <c r="M6" s="118"/>
      <c r="N6" s="119"/>
    </row>
    <row r="7" spans="2:14">
      <c r="B7" s="117"/>
      <c r="C7" s="118"/>
      <c r="D7" s="118"/>
      <c r="E7" s="118"/>
      <c r="F7" s="118"/>
      <c r="G7" s="118"/>
      <c r="H7" s="118"/>
      <c r="I7" s="118"/>
      <c r="J7" s="118"/>
      <c r="K7" s="118"/>
      <c r="L7" s="118"/>
      <c r="M7" s="118"/>
      <c r="N7" s="119"/>
    </row>
    <row r="8" spans="2:14">
      <c r="B8" s="117"/>
      <c r="C8" s="118"/>
      <c r="D8" s="118"/>
      <c r="E8" s="118"/>
      <c r="F8" s="118"/>
      <c r="G8" s="118"/>
      <c r="H8" s="118"/>
      <c r="I8" s="118"/>
      <c r="J8" s="118"/>
      <c r="K8" s="118"/>
      <c r="L8" s="118"/>
      <c r="M8" s="118"/>
      <c r="N8" s="119"/>
    </row>
    <row r="9" spans="2:14">
      <c r="B9" s="117"/>
      <c r="C9" s="118"/>
      <c r="D9" s="118"/>
      <c r="E9" s="118"/>
      <c r="F9" s="118"/>
      <c r="G9" s="118"/>
      <c r="H9" s="118"/>
      <c r="I9" s="118"/>
      <c r="J9" s="118"/>
      <c r="K9" s="118"/>
      <c r="L9" s="118"/>
      <c r="M9" s="118"/>
      <c r="N9" s="119"/>
    </row>
    <row r="10" spans="2:14">
      <c r="B10" s="117"/>
      <c r="C10" s="118"/>
      <c r="D10" s="118"/>
      <c r="E10" s="118"/>
      <c r="F10" s="118"/>
      <c r="G10" s="118"/>
      <c r="H10" s="118"/>
      <c r="I10" s="118"/>
      <c r="J10" s="118"/>
      <c r="K10" s="118"/>
      <c r="L10" s="118"/>
      <c r="M10" s="118"/>
      <c r="N10" s="119"/>
    </row>
    <row r="11" spans="2:14">
      <c r="B11" s="117"/>
      <c r="C11" s="118"/>
      <c r="D11" s="118"/>
      <c r="E11" s="118"/>
      <c r="F11" s="118"/>
      <c r="G11" s="118"/>
      <c r="H11" s="118"/>
      <c r="I11" s="118"/>
      <c r="J11" s="118"/>
      <c r="K11" s="118"/>
      <c r="L11" s="118"/>
      <c r="M11" s="118"/>
      <c r="N11" s="119"/>
    </row>
    <row r="12" spans="2:14">
      <c r="B12" s="117"/>
      <c r="C12" s="118"/>
      <c r="D12" s="118"/>
      <c r="E12" s="118"/>
      <c r="F12" s="118"/>
      <c r="G12" s="118"/>
      <c r="H12" s="118"/>
      <c r="I12" s="118"/>
      <c r="J12" s="118"/>
      <c r="K12" s="118"/>
      <c r="L12" s="118"/>
      <c r="M12" s="118"/>
      <c r="N12" s="119"/>
    </row>
    <row r="13" spans="2:14">
      <c r="B13" s="117"/>
      <c r="C13" s="118"/>
      <c r="D13" s="118"/>
      <c r="E13" s="118"/>
      <c r="F13" s="118"/>
      <c r="G13" s="118"/>
      <c r="H13" s="118"/>
      <c r="I13" s="118"/>
      <c r="J13" s="118"/>
      <c r="K13" s="118"/>
      <c r="L13" s="118"/>
      <c r="M13" s="118"/>
      <c r="N13" s="119"/>
    </row>
    <row r="14" spans="2:14">
      <c r="B14" s="117"/>
      <c r="C14" s="118"/>
      <c r="D14" s="118"/>
      <c r="E14" s="118"/>
      <c r="F14" s="118"/>
      <c r="G14" s="118"/>
      <c r="H14" s="118"/>
      <c r="I14" s="118"/>
      <c r="J14" s="118"/>
      <c r="K14" s="118"/>
      <c r="L14" s="118"/>
      <c r="M14" s="118"/>
      <c r="N14" s="119"/>
    </row>
    <row r="15" spans="2:14">
      <c r="B15" s="117"/>
      <c r="C15" s="118"/>
      <c r="D15" s="118"/>
      <c r="E15" s="118"/>
      <c r="F15" s="118"/>
      <c r="G15" s="118"/>
      <c r="H15" s="118"/>
      <c r="I15" s="118"/>
      <c r="J15" s="118"/>
      <c r="K15" s="118"/>
      <c r="L15" s="118"/>
      <c r="M15" s="118"/>
      <c r="N15" s="119"/>
    </row>
    <row r="16" spans="2:14">
      <c r="B16" s="120"/>
      <c r="C16" s="121"/>
      <c r="D16" s="121"/>
      <c r="E16" s="121"/>
      <c r="F16" s="121"/>
      <c r="G16" s="121"/>
      <c r="H16" s="121"/>
      <c r="I16" s="121"/>
      <c r="J16" s="121"/>
      <c r="K16" s="121"/>
      <c r="L16" s="121"/>
      <c r="M16" s="121"/>
      <c r="N16" s="122"/>
    </row>
    <row r="18" spans="3:12" ht="14.25">
      <c r="C18" s="109" t="s">
        <v>5</v>
      </c>
      <c r="D18" s="18" t="s">
        <v>21</v>
      </c>
      <c r="E18" s="18" t="s">
        <v>46</v>
      </c>
      <c r="F18" s="18" t="s">
        <v>47</v>
      </c>
      <c r="H18" s="103" t="s">
        <v>123</v>
      </c>
      <c r="I18" s="104"/>
      <c r="J18" s="104"/>
      <c r="K18" s="105"/>
      <c r="L18" s="58" t="s">
        <v>34</v>
      </c>
    </row>
    <row r="19" spans="3:12">
      <c r="C19" s="110"/>
      <c r="D19" s="18" t="s">
        <v>22</v>
      </c>
      <c r="E19" s="18" t="s">
        <v>22</v>
      </c>
      <c r="F19" s="18" t="s">
        <v>22</v>
      </c>
      <c r="H19" s="59"/>
      <c r="I19" s="60"/>
      <c r="J19" s="60"/>
      <c r="K19" s="61" t="s">
        <v>124</v>
      </c>
      <c r="L19" s="62">
        <v>1</v>
      </c>
    </row>
    <row r="20" spans="3:12">
      <c r="C20" s="24" t="s">
        <v>53</v>
      </c>
      <c r="D20" s="5">
        <f>2.06*10^5</f>
        <v>206000</v>
      </c>
      <c r="E20" s="5">
        <v>235</v>
      </c>
      <c r="F20" s="5">
        <v>370</v>
      </c>
      <c r="H20" s="59"/>
      <c r="I20" s="60"/>
      <c r="J20" s="60"/>
      <c r="K20" s="61" t="s">
        <v>125</v>
      </c>
      <c r="L20" s="62">
        <v>0.7</v>
      </c>
    </row>
    <row r="21" spans="3:12">
      <c r="C21" s="24" t="s">
        <v>54</v>
      </c>
      <c r="D21" s="5">
        <f t="shared" ref="D21:D46" si="0">2.06*10^5</f>
        <v>206000</v>
      </c>
      <c r="E21" s="5">
        <v>345</v>
      </c>
      <c r="F21" s="5">
        <v>510</v>
      </c>
      <c r="H21" s="59"/>
      <c r="I21" s="60"/>
      <c r="J21" s="60"/>
      <c r="K21" s="61" t="s">
        <v>126</v>
      </c>
      <c r="L21" s="62">
        <v>0.5</v>
      </c>
    </row>
    <row r="22" spans="3:12">
      <c r="C22" s="24" t="s">
        <v>56</v>
      </c>
      <c r="D22" s="5">
        <f t="shared" si="0"/>
        <v>206000</v>
      </c>
      <c r="E22" s="5">
        <v>250</v>
      </c>
      <c r="F22" s="5">
        <v>400</v>
      </c>
      <c r="H22" s="59"/>
      <c r="I22" s="60"/>
      <c r="J22" s="60"/>
      <c r="K22" s="63" t="s">
        <v>127</v>
      </c>
      <c r="L22" s="62">
        <v>2</v>
      </c>
    </row>
    <row r="23" spans="3:12">
      <c r="C23" s="24" t="s">
        <v>55</v>
      </c>
      <c r="D23" s="5">
        <f t="shared" si="0"/>
        <v>206000</v>
      </c>
      <c r="E23" s="5">
        <v>345</v>
      </c>
      <c r="F23" s="5">
        <v>450</v>
      </c>
      <c r="H23" s="49"/>
      <c r="I23" s="59"/>
      <c r="J23" s="60"/>
      <c r="K23" s="63" t="s">
        <v>128</v>
      </c>
      <c r="L23" s="62">
        <v>0.7</v>
      </c>
    </row>
    <row r="24" spans="3:12">
      <c r="C24" s="24" t="s">
        <v>7</v>
      </c>
      <c r="D24" s="5">
        <f t="shared" si="0"/>
        <v>206000</v>
      </c>
      <c r="E24" s="5">
        <v>235</v>
      </c>
      <c r="F24" s="5">
        <v>360</v>
      </c>
      <c r="H24" s="59"/>
      <c r="I24" s="60"/>
      <c r="J24" s="60"/>
      <c r="K24" s="61" t="s">
        <v>129</v>
      </c>
      <c r="L24" s="62">
        <v>1</v>
      </c>
    </row>
    <row r="25" spans="3:12">
      <c r="C25" s="24" t="s">
        <v>6</v>
      </c>
      <c r="D25" s="5">
        <f t="shared" si="0"/>
        <v>206000</v>
      </c>
      <c r="E25" s="5">
        <v>225</v>
      </c>
      <c r="F25" s="5">
        <v>360</v>
      </c>
    </row>
    <row r="26" spans="3:12">
      <c r="C26" s="24" t="s">
        <v>8</v>
      </c>
      <c r="D26" s="5">
        <f t="shared" si="0"/>
        <v>206000</v>
      </c>
      <c r="E26" s="5">
        <v>215</v>
      </c>
      <c r="F26" s="5">
        <v>360</v>
      </c>
    </row>
    <row r="27" spans="3:12">
      <c r="C27" s="24" t="s">
        <v>9</v>
      </c>
      <c r="D27" s="5">
        <f t="shared" si="0"/>
        <v>206000</v>
      </c>
      <c r="E27" s="5">
        <v>215</v>
      </c>
      <c r="F27" s="5">
        <v>360</v>
      </c>
    </row>
    <row r="28" spans="3:12">
      <c r="C28" s="24" t="s">
        <v>10</v>
      </c>
      <c r="D28" s="5">
        <f t="shared" si="0"/>
        <v>206000</v>
      </c>
      <c r="E28" s="5">
        <v>215</v>
      </c>
      <c r="F28" s="5">
        <v>360</v>
      </c>
    </row>
    <row r="29" spans="3:12">
      <c r="C29" s="24" t="s">
        <v>11</v>
      </c>
      <c r="D29" s="5">
        <f t="shared" si="0"/>
        <v>206000</v>
      </c>
      <c r="E29" s="5">
        <v>275</v>
      </c>
      <c r="F29" s="5">
        <v>410</v>
      </c>
    </row>
    <row r="30" spans="3:12">
      <c r="C30" s="24" t="s">
        <v>12</v>
      </c>
      <c r="D30" s="5">
        <f t="shared" si="0"/>
        <v>206000</v>
      </c>
      <c r="E30" s="5">
        <v>265</v>
      </c>
      <c r="F30" s="5">
        <v>410</v>
      </c>
    </row>
    <row r="31" spans="3:12">
      <c r="C31" s="24" t="s">
        <v>13</v>
      </c>
      <c r="D31" s="5">
        <f t="shared" si="0"/>
        <v>206000</v>
      </c>
      <c r="E31" s="5">
        <v>255</v>
      </c>
      <c r="F31" s="5">
        <v>410</v>
      </c>
    </row>
    <row r="32" spans="3:12">
      <c r="C32" s="24" t="s">
        <v>14</v>
      </c>
      <c r="D32" s="5">
        <f t="shared" si="0"/>
        <v>206000</v>
      </c>
      <c r="E32" s="5">
        <v>245</v>
      </c>
      <c r="F32" s="5">
        <v>410</v>
      </c>
    </row>
    <row r="33" spans="3:6">
      <c r="C33" s="24" t="s">
        <v>15</v>
      </c>
      <c r="D33" s="5">
        <f t="shared" si="0"/>
        <v>206000</v>
      </c>
      <c r="E33" s="5">
        <v>235</v>
      </c>
      <c r="F33" s="5">
        <v>410</v>
      </c>
    </row>
    <row r="34" spans="3:6">
      <c r="C34" s="24" t="s">
        <v>16</v>
      </c>
      <c r="D34" s="5">
        <f t="shared" si="0"/>
        <v>206000</v>
      </c>
      <c r="E34" s="5">
        <v>355</v>
      </c>
      <c r="F34" s="5">
        <v>470</v>
      </c>
    </row>
    <row r="35" spans="3:6">
      <c r="C35" s="24" t="s">
        <v>17</v>
      </c>
      <c r="D35" s="5">
        <f t="shared" si="0"/>
        <v>206000</v>
      </c>
      <c r="E35" s="5">
        <v>345</v>
      </c>
      <c r="F35" s="5">
        <v>470</v>
      </c>
    </row>
    <row r="36" spans="3:6">
      <c r="C36" s="24" t="s">
        <v>18</v>
      </c>
      <c r="D36" s="5">
        <f t="shared" si="0"/>
        <v>206000</v>
      </c>
      <c r="E36" s="5">
        <v>335</v>
      </c>
      <c r="F36" s="5">
        <v>470</v>
      </c>
    </row>
    <row r="37" spans="3:6">
      <c r="C37" s="24" t="s">
        <v>19</v>
      </c>
      <c r="D37" s="5">
        <f t="shared" si="0"/>
        <v>206000</v>
      </c>
      <c r="E37" s="5">
        <v>325</v>
      </c>
      <c r="F37" s="5">
        <v>470</v>
      </c>
    </row>
    <row r="38" spans="3:6">
      <c r="C38" s="24" t="s">
        <v>20</v>
      </c>
      <c r="D38" s="5">
        <f t="shared" si="0"/>
        <v>206000</v>
      </c>
      <c r="E38" s="5">
        <v>315</v>
      </c>
      <c r="F38" s="5">
        <v>470</v>
      </c>
    </row>
    <row r="39" spans="3:6">
      <c r="C39" s="24" t="s">
        <v>205</v>
      </c>
      <c r="D39" s="5">
        <f t="shared" si="0"/>
        <v>206000</v>
      </c>
      <c r="E39" s="5">
        <v>205</v>
      </c>
      <c r="F39" s="5">
        <v>330</v>
      </c>
    </row>
    <row r="40" spans="3:6">
      <c r="C40" s="24" t="s">
        <v>206</v>
      </c>
      <c r="D40" s="5">
        <f t="shared" si="0"/>
        <v>206000</v>
      </c>
      <c r="E40" s="5">
        <v>195</v>
      </c>
      <c r="F40" s="5">
        <v>330</v>
      </c>
    </row>
    <row r="41" spans="3:6">
      <c r="C41" s="24" t="s">
        <v>207</v>
      </c>
      <c r="D41" s="5">
        <f t="shared" si="0"/>
        <v>206000</v>
      </c>
      <c r="E41" s="5">
        <v>245</v>
      </c>
      <c r="F41" s="5">
        <v>400</v>
      </c>
    </row>
    <row r="42" spans="3:6">
      <c r="C42" s="24" t="s">
        <v>208</v>
      </c>
      <c r="D42" s="5">
        <f t="shared" si="0"/>
        <v>206000</v>
      </c>
      <c r="E42" s="5">
        <v>235</v>
      </c>
      <c r="F42" s="5">
        <v>400</v>
      </c>
    </row>
    <row r="43" spans="3:6">
      <c r="C43" s="24" t="s">
        <v>209</v>
      </c>
      <c r="D43" s="5">
        <f t="shared" si="0"/>
        <v>206000</v>
      </c>
      <c r="E43" s="5">
        <v>285</v>
      </c>
      <c r="F43" s="5">
        <v>490</v>
      </c>
    </row>
    <row r="44" spans="3:6">
      <c r="C44" s="24" t="s">
        <v>210</v>
      </c>
      <c r="D44" s="5">
        <f t="shared" si="0"/>
        <v>206000</v>
      </c>
      <c r="E44" s="5">
        <v>275</v>
      </c>
      <c r="F44" s="5">
        <v>490</v>
      </c>
    </row>
    <row r="45" spans="3:6">
      <c r="C45" s="24" t="s">
        <v>211</v>
      </c>
      <c r="D45" s="5">
        <f t="shared" si="0"/>
        <v>206000</v>
      </c>
      <c r="E45" s="5">
        <v>400</v>
      </c>
      <c r="F45" s="5">
        <v>540</v>
      </c>
    </row>
    <row r="46" spans="3:6">
      <c r="C46" s="24" t="s">
        <v>212</v>
      </c>
      <c r="D46" s="5">
        <f t="shared" si="0"/>
        <v>206000</v>
      </c>
      <c r="E46" s="5">
        <v>390</v>
      </c>
      <c r="F46" s="5">
        <v>540</v>
      </c>
    </row>
    <row r="63" spans="2:29" ht="15">
      <c r="B63" s="34" t="s">
        <v>70</v>
      </c>
      <c r="C63" s="35" t="s">
        <v>71</v>
      </c>
      <c r="D63"/>
      <c r="E63"/>
      <c r="F63"/>
      <c r="G63"/>
      <c r="H63"/>
      <c r="I63"/>
      <c r="J63"/>
      <c r="K63"/>
      <c r="L63"/>
      <c r="M63"/>
      <c r="N63"/>
      <c r="O63"/>
      <c r="P63"/>
      <c r="Q63"/>
      <c r="R63"/>
      <c r="S63"/>
      <c r="T63"/>
      <c r="U63"/>
      <c r="V63"/>
      <c r="W63"/>
      <c r="X63"/>
      <c r="Y63"/>
      <c r="Z63"/>
      <c r="AA63"/>
      <c r="AB63"/>
    </row>
    <row r="64" spans="2:29" ht="15">
      <c r="B64" s="36"/>
      <c r="C64" s="37">
        <v>0.1</v>
      </c>
      <c r="D64" s="37">
        <v>0.25</v>
      </c>
      <c r="E64" s="37">
        <f>D64+0.25</f>
        <v>0.5</v>
      </c>
      <c r="F64" s="37">
        <f t="shared" ref="F64:K64" si="1">E64+0.25</f>
        <v>0.75</v>
      </c>
      <c r="G64" s="37">
        <f t="shared" si="1"/>
        <v>1</v>
      </c>
      <c r="H64" s="37">
        <f t="shared" si="1"/>
        <v>1.25</v>
      </c>
      <c r="I64" s="37">
        <f t="shared" si="1"/>
        <v>1.5</v>
      </c>
      <c r="J64" s="37">
        <f>I64+0.25</f>
        <v>1.75</v>
      </c>
      <c r="K64" s="37">
        <f t="shared" si="1"/>
        <v>2</v>
      </c>
      <c r="L64" s="37">
        <f t="shared" ref="L64:U64" si="2">K64+0.5</f>
        <v>2.5</v>
      </c>
      <c r="M64" s="37">
        <f t="shared" si="2"/>
        <v>3</v>
      </c>
      <c r="N64" s="37">
        <f t="shared" si="2"/>
        <v>3.5</v>
      </c>
      <c r="O64" s="37">
        <f t="shared" si="2"/>
        <v>4</v>
      </c>
      <c r="P64" s="37">
        <f t="shared" si="2"/>
        <v>4.5</v>
      </c>
      <c r="Q64" s="37">
        <f t="shared" si="2"/>
        <v>5</v>
      </c>
      <c r="R64" s="37">
        <f t="shared" si="2"/>
        <v>5.5</v>
      </c>
      <c r="S64" s="37">
        <f t="shared" si="2"/>
        <v>6</v>
      </c>
      <c r="T64" s="37">
        <f t="shared" si="2"/>
        <v>6.5</v>
      </c>
      <c r="U64" s="37">
        <f t="shared" si="2"/>
        <v>7</v>
      </c>
      <c r="V64" s="37">
        <f>U64+1</f>
        <v>8</v>
      </c>
      <c r="W64" s="37">
        <f t="shared" ref="W64:X64" si="3">V64+1</f>
        <v>9</v>
      </c>
      <c r="X64" s="37">
        <f t="shared" si="3"/>
        <v>10</v>
      </c>
      <c r="Y64" s="37">
        <f>X64+2</f>
        <v>12</v>
      </c>
      <c r="Z64" s="37">
        <f t="shared" ref="Z64" si="4">Y64+2</f>
        <v>14</v>
      </c>
      <c r="AA64" s="37">
        <v>17</v>
      </c>
      <c r="AB64" s="37">
        <v>20</v>
      </c>
      <c r="AC64" s="46">
        <v>1000</v>
      </c>
    </row>
    <row r="65" spans="2:29" ht="15">
      <c r="B65" s="37">
        <v>0.5</v>
      </c>
      <c r="C65" s="38">
        <v>0.96699999999999997</v>
      </c>
      <c r="D65" s="38">
        <v>0.92200000000000004</v>
      </c>
      <c r="E65" s="38">
        <v>0.85</v>
      </c>
      <c r="F65" s="38">
        <v>0.78200000000000003</v>
      </c>
      <c r="G65" s="38">
        <v>0.72199999999999998</v>
      </c>
      <c r="H65" s="38">
        <v>0.66900000000000004</v>
      </c>
      <c r="I65" s="38">
        <v>0.62</v>
      </c>
      <c r="J65" s="38">
        <v>0.57699999999999996</v>
      </c>
      <c r="K65" s="38">
        <v>0.53800000000000003</v>
      </c>
      <c r="L65" s="38">
        <v>0.46899999999999997</v>
      </c>
      <c r="M65" s="38">
        <v>0.41699999999999998</v>
      </c>
      <c r="N65" s="38">
        <v>0.37</v>
      </c>
      <c r="O65" s="38">
        <v>0.33700000000000002</v>
      </c>
      <c r="P65" s="38">
        <v>0.307</v>
      </c>
      <c r="Q65" s="38">
        <v>0.28000000000000003</v>
      </c>
      <c r="R65" s="38">
        <v>0.26</v>
      </c>
      <c r="S65" s="38">
        <v>0.23699999999999999</v>
      </c>
      <c r="T65" s="38">
        <v>0.222</v>
      </c>
      <c r="U65" s="38">
        <v>0.21</v>
      </c>
      <c r="V65" s="38">
        <v>0.183</v>
      </c>
      <c r="W65" s="38">
        <v>0.16400000000000001</v>
      </c>
      <c r="X65" s="38">
        <v>0.15</v>
      </c>
      <c r="Y65" s="38">
        <v>0.125</v>
      </c>
      <c r="Z65" s="38">
        <v>0.106</v>
      </c>
      <c r="AA65" s="38">
        <v>0.09</v>
      </c>
      <c r="AB65" s="38">
        <v>7.6999999999999999E-2</v>
      </c>
      <c r="AC65" s="38">
        <v>7.6999999999999999E-2</v>
      </c>
    </row>
    <row r="66" spans="2:29" ht="15">
      <c r="B66" s="37">
        <f>B65+0.5</f>
        <v>1</v>
      </c>
      <c r="C66" s="38">
        <v>0.92500000000000004</v>
      </c>
      <c r="D66" s="38">
        <v>0.85399999999999998</v>
      </c>
      <c r="E66" s="38">
        <v>0.77800000000000002</v>
      </c>
      <c r="F66" s="38">
        <v>0.71099999999999997</v>
      </c>
      <c r="G66" s="38">
        <v>0.65300000000000002</v>
      </c>
      <c r="H66" s="38">
        <v>0.6</v>
      </c>
      <c r="I66" s="38">
        <v>0.56299999999999994</v>
      </c>
      <c r="J66" s="38">
        <v>0.52</v>
      </c>
      <c r="K66" s="38">
        <v>0.48399999999999999</v>
      </c>
      <c r="L66" s="38">
        <v>0.42699999999999999</v>
      </c>
      <c r="M66" s="38">
        <v>0.38200000000000001</v>
      </c>
      <c r="N66" s="38">
        <v>0.34100000000000003</v>
      </c>
      <c r="O66" s="38">
        <v>0.307</v>
      </c>
      <c r="P66" s="38">
        <v>0.28299999999999997</v>
      </c>
      <c r="Q66" s="38">
        <v>0.25900000000000001</v>
      </c>
      <c r="R66" s="38">
        <v>0.24</v>
      </c>
      <c r="S66" s="38">
        <v>0.22500000000000001</v>
      </c>
      <c r="T66" s="38">
        <v>0.20899999999999999</v>
      </c>
      <c r="U66" s="38">
        <v>0.19600000000000001</v>
      </c>
      <c r="V66" s="38">
        <v>0.17499999999999999</v>
      </c>
      <c r="W66" s="38">
        <v>0.157</v>
      </c>
      <c r="X66" s="38">
        <v>0.14199999999999999</v>
      </c>
      <c r="Y66" s="38">
        <v>0.121</v>
      </c>
      <c r="Z66" s="38">
        <v>0.10299999999999999</v>
      </c>
      <c r="AA66" s="38">
        <v>8.5999999999999993E-2</v>
      </c>
      <c r="AB66" s="38">
        <v>7.3999999999999996E-2</v>
      </c>
      <c r="AC66" s="38">
        <v>7.3999999999999996E-2</v>
      </c>
    </row>
    <row r="67" spans="2:29" ht="15">
      <c r="B67" s="37">
        <f t="shared" ref="B67:B78" si="5">B66+0.5</f>
        <v>1.5</v>
      </c>
      <c r="C67" s="38">
        <v>0.875</v>
      </c>
      <c r="D67" s="38">
        <v>0.80400000000000005</v>
      </c>
      <c r="E67" s="38">
        <v>0.71599999999999997</v>
      </c>
      <c r="F67" s="38">
        <v>0.64700000000000002</v>
      </c>
      <c r="G67" s="38">
        <v>0.59299999999999997</v>
      </c>
      <c r="H67" s="38">
        <v>0.54800000000000004</v>
      </c>
      <c r="I67" s="38">
        <v>0.50700000000000001</v>
      </c>
      <c r="J67" s="38">
        <v>0.47</v>
      </c>
      <c r="K67" s="38">
        <v>0.439</v>
      </c>
      <c r="L67" s="38">
        <v>0.38800000000000001</v>
      </c>
      <c r="M67" s="38">
        <v>0.34699999999999998</v>
      </c>
      <c r="N67" s="38">
        <v>0.312</v>
      </c>
      <c r="O67" s="38">
        <v>0.28299999999999997</v>
      </c>
      <c r="P67" s="38">
        <v>0.26200000000000001</v>
      </c>
      <c r="Q67" s="38">
        <v>0.24</v>
      </c>
      <c r="R67" s="38">
        <v>0.223</v>
      </c>
      <c r="S67" s="38">
        <v>0.20699999999999999</v>
      </c>
      <c r="T67" s="38">
        <v>0.19500000000000001</v>
      </c>
      <c r="U67" s="38">
        <v>0.182</v>
      </c>
      <c r="V67" s="38">
        <v>0.16300000000000001</v>
      </c>
      <c r="W67" s="38">
        <v>0.14799999999999999</v>
      </c>
      <c r="X67" s="38">
        <v>0.13400000000000001</v>
      </c>
      <c r="Y67" s="38">
        <v>0.114</v>
      </c>
      <c r="Z67" s="38">
        <v>9.9000000000000005E-2</v>
      </c>
      <c r="AA67" s="38">
        <v>8.2000000000000003E-2</v>
      </c>
      <c r="AB67" s="38">
        <v>7.0000000000000007E-2</v>
      </c>
      <c r="AC67" s="38">
        <v>7.0000000000000007E-2</v>
      </c>
    </row>
    <row r="68" spans="2:29" ht="15">
      <c r="B68" s="37">
        <f t="shared" si="5"/>
        <v>2</v>
      </c>
      <c r="C68" s="38">
        <v>0.81299999999999994</v>
      </c>
      <c r="D68" s="38">
        <v>0.74199999999999999</v>
      </c>
      <c r="E68" s="38">
        <v>0.65300000000000002</v>
      </c>
      <c r="F68" s="38">
        <v>0.58699999999999997</v>
      </c>
      <c r="G68" s="38">
        <v>0.53600000000000003</v>
      </c>
      <c r="H68" s="38">
        <v>0.496</v>
      </c>
      <c r="I68" s="38">
        <v>0.45700000000000002</v>
      </c>
      <c r="J68" s="38">
        <v>0.42499999999999999</v>
      </c>
      <c r="K68" s="38">
        <v>0.39700000000000002</v>
      </c>
      <c r="L68" s="38">
        <v>0.35199999999999998</v>
      </c>
      <c r="M68" s="38">
        <v>0.315</v>
      </c>
      <c r="N68" s="38">
        <v>0.28599999999999998</v>
      </c>
      <c r="O68" s="38">
        <v>0.26</v>
      </c>
      <c r="P68" s="38">
        <v>0.24</v>
      </c>
      <c r="Q68" s="38">
        <v>0.222</v>
      </c>
      <c r="R68" s="38">
        <v>0.20599999999999999</v>
      </c>
      <c r="S68" s="38">
        <v>0.193</v>
      </c>
      <c r="T68" s="38">
        <v>0.182</v>
      </c>
      <c r="U68" s="38">
        <v>0.17</v>
      </c>
      <c r="V68" s="38">
        <v>0.153</v>
      </c>
      <c r="W68" s="38">
        <v>0.13800000000000001</v>
      </c>
      <c r="X68" s="38">
        <v>0.125</v>
      </c>
      <c r="Y68" s="38">
        <v>0.107</v>
      </c>
      <c r="Z68" s="38">
        <v>9.4E-2</v>
      </c>
      <c r="AA68" s="38">
        <v>7.9000000000000001E-2</v>
      </c>
      <c r="AB68" s="38">
        <v>6.7000000000000004E-2</v>
      </c>
      <c r="AC68" s="38">
        <v>6.7000000000000004E-2</v>
      </c>
    </row>
    <row r="69" spans="2:29" ht="15">
      <c r="B69" s="37">
        <f t="shared" si="5"/>
        <v>2.5</v>
      </c>
      <c r="C69" s="38">
        <v>0.74199999999999999</v>
      </c>
      <c r="D69" s="38">
        <v>0.67200000000000004</v>
      </c>
      <c r="E69" s="38">
        <v>0.58699999999999997</v>
      </c>
      <c r="F69" s="38">
        <v>0.52600000000000002</v>
      </c>
      <c r="G69" s="38">
        <v>0.48</v>
      </c>
      <c r="H69" s="38">
        <v>0.442</v>
      </c>
      <c r="I69" s="38">
        <v>0.41</v>
      </c>
      <c r="J69" s="38">
        <v>0.38300000000000001</v>
      </c>
      <c r="K69" s="38">
        <v>0.35699999999999998</v>
      </c>
      <c r="L69" s="38">
        <v>0.317</v>
      </c>
      <c r="M69" s="38">
        <v>0.28699999999999998</v>
      </c>
      <c r="N69" s="38">
        <v>0.26200000000000001</v>
      </c>
      <c r="O69" s="38">
        <v>0.23799999999999999</v>
      </c>
      <c r="P69" s="38">
        <v>0.22</v>
      </c>
      <c r="Q69" s="38">
        <v>0.20399999999999999</v>
      </c>
      <c r="R69" s="38">
        <v>0.19</v>
      </c>
      <c r="S69" s="38">
        <v>0.17799999999999999</v>
      </c>
      <c r="T69" s="38">
        <v>0.16800000000000001</v>
      </c>
      <c r="U69" s="38">
        <v>0.158</v>
      </c>
      <c r="V69" s="38">
        <v>0.14399999999999999</v>
      </c>
      <c r="W69" s="38">
        <v>0.13</v>
      </c>
      <c r="X69" s="38">
        <v>0.11799999999999999</v>
      </c>
      <c r="Y69" s="38">
        <v>0.10100000000000001</v>
      </c>
      <c r="Z69" s="38">
        <v>0.09</v>
      </c>
      <c r="AA69" s="38">
        <v>7.5999999999999998E-2</v>
      </c>
      <c r="AB69" s="38">
        <v>6.5000000000000002E-2</v>
      </c>
      <c r="AC69" s="38">
        <v>6.5000000000000002E-2</v>
      </c>
    </row>
    <row r="70" spans="2:29" ht="15">
      <c r="B70" s="37">
        <f t="shared" si="5"/>
        <v>3</v>
      </c>
      <c r="C70" s="38">
        <v>0.66700000000000004</v>
      </c>
      <c r="D70" s="38">
        <v>0.59699999999999998</v>
      </c>
      <c r="E70" s="38">
        <v>0.52</v>
      </c>
      <c r="F70" s="38">
        <v>0.46500000000000002</v>
      </c>
      <c r="G70" s="38">
        <v>0.42499999999999999</v>
      </c>
      <c r="H70" s="38">
        <v>0.39500000000000002</v>
      </c>
      <c r="I70" s="38">
        <v>0.36499999999999999</v>
      </c>
      <c r="J70" s="38">
        <v>0.34200000000000003</v>
      </c>
      <c r="K70" s="38">
        <v>0.32</v>
      </c>
      <c r="L70" s="38">
        <v>0.28699999999999998</v>
      </c>
      <c r="M70" s="38">
        <v>0.26</v>
      </c>
      <c r="N70" s="38">
        <v>0.23799999999999999</v>
      </c>
      <c r="O70" s="38">
        <v>0.217</v>
      </c>
      <c r="P70" s="38">
        <v>0.20200000000000001</v>
      </c>
      <c r="Q70" s="38">
        <v>0.187</v>
      </c>
      <c r="R70" s="38">
        <v>0.17499999999999999</v>
      </c>
      <c r="S70" s="38">
        <v>0.16600000000000001</v>
      </c>
      <c r="T70" s="38">
        <v>0.156</v>
      </c>
      <c r="U70" s="38">
        <v>0.14699999999999999</v>
      </c>
      <c r="V70" s="38">
        <v>0.13500000000000001</v>
      </c>
      <c r="W70" s="38">
        <v>0.123</v>
      </c>
      <c r="X70" s="38">
        <v>0.112</v>
      </c>
      <c r="Y70" s="38">
        <v>9.7000000000000003E-2</v>
      </c>
      <c r="Z70" s="38">
        <v>8.5999999999999993E-2</v>
      </c>
      <c r="AA70" s="38">
        <v>7.2999999999999995E-2</v>
      </c>
      <c r="AB70" s="38">
        <v>6.3E-2</v>
      </c>
      <c r="AC70" s="38">
        <v>6.3E-2</v>
      </c>
    </row>
    <row r="71" spans="2:29" ht="15">
      <c r="B71" s="37">
        <f t="shared" si="5"/>
        <v>3.5</v>
      </c>
      <c r="C71" s="38">
        <v>0.58699999999999997</v>
      </c>
      <c r="D71" s="38">
        <v>0.52200000000000002</v>
      </c>
      <c r="E71" s="38">
        <v>0.45500000000000002</v>
      </c>
      <c r="F71" s="38">
        <v>0.40799999999999997</v>
      </c>
      <c r="G71" s="38">
        <v>0.375</v>
      </c>
      <c r="H71" s="38">
        <v>0.35</v>
      </c>
      <c r="I71" s="38">
        <v>0.32500000000000001</v>
      </c>
      <c r="J71" s="38">
        <v>0.30299999999999999</v>
      </c>
      <c r="K71" s="38">
        <v>0.28699999999999998</v>
      </c>
      <c r="L71" s="38">
        <v>0.25800000000000001</v>
      </c>
      <c r="M71" s="38">
        <v>0.23300000000000001</v>
      </c>
      <c r="N71" s="38">
        <v>0.216</v>
      </c>
      <c r="O71" s="38">
        <v>0.19800000000000001</v>
      </c>
      <c r="P71" s="38">
        <v>0.183</v>
      </c>
      <c r="Q71" s="38">
        <v>0.17199999999999999</v>
      </c>
      <c r="R71" s="38">
        <v>0.16200000000000001</v>
      </c>
      <c r="S71" s="38">
        <v>0.153</v>
      </c>
      <c r="T71" s="38">
        <v>0.14499999999999999</v>
      </c>
      <c r="U71" s="38">
        <v>0.13700000000000001</v>
      </c>
      <c r="V71" s="38">
        <v>0.125</v>
      </c>
      <c r="W71" s="38">
        <v>0.115</v>
      </c>
      <c r="X71" s="38">
        <v>0.106</v>
      </c>
      <c r="Y71" s="38">
        <v>9.1999999999999998E-2</v>
      </c>
      <c r="Z71" s="38">
        <v>8.2000000000000003E-2</v>
      </c>
      <c r="AA71" s="38">
        <v>6.9000000000000006E-2</v>
      </c>
      <c r="AB71" s="38">
        <v>0.06</v>
      </c>
      <c r="AC71" s="38">
        <v>0.06</v>
      </c>
    </row>
    <row r="72" spans="2:29" ht="15">
      <c r="B72" s="37">
        <f t="shared" si="5"/>
        <v>4</v>
      </c>
      <c r="C72" s="38">
        <v>0.505</v>
      </c>
      <c r="D72" s="38">
        <v>0.44700000000000001</v>
      </c>
      <c r="E72" s="38">
        <v>0.39400000000000002</v>
      </c>
      <c r="F72" s="38">
        <v>0.35599999999999998</v>
      </c>
      <c r="G72" s="38">
        <v>0.33</v>
      </c>
      <c r="H72" s="38">
        <v>0.309</v>
      </c>
      <c r="I72" s="38">
        <v>0.28899999999999998</v>
      </c>
      <c r="J72" s="38">
        <v>0.27</v>
      </c>
      <c r="K72" s="38">
        <v>0.25600000000000001</v>
      </c>
      <c r="L72" s="38">
        <v>0.23200000000000001</v>
      </c>
      <c r="M72" s="38">
        <v>0.21199999999999999</v>
      </c>
      <c r="N72" s="38">
        <v>0.19700000000000001</v>
      </c>
      <c r="O72" s="38">
        <v>0.18099999999999999</v>
      </c>
      <c r="P72" s="38">
        <v>0.16800000000000001</v>
      </c>
      <c r="Q72" s="38">
        <v>0.158</v>
      </c>
      <c r="R72" s="38">
        <v>0.14899999999999999</v>
      </c>
      <c r="S72" s="38">
        <v>0.14000000000000001</v>
      </c>
      <c r="T72" s="38">
        <v>0.13500000000000001</v>
      </c>
      <c r="U72" s="38">
        <v>0.127</v>
      </c>
      <c r="V72" s="38">
        <v>0.11799999999999999</v>
      </c>
      <c r="W72" s="38">
        <v>0.108</v>
      </c>
      <c r="X72" s="38">
        <v>9.8000000000000004E-2</v>
      </c>
      <c r="Y72" s="38">
        <v>8.7999999999999995E-2</v>
      </c>
      <c r="Z72" s="38">
        <v>7.8E-2</v>
      </c>
      <c r="AA72" s="38">
        <v>6.6000000000000003E-2</v>
      </c>
      <c r="AB72" s="38">
        <v>5.7000000000000002E-2</v>
      </c>
      <c r="AC72" s="38">
        <v>5.7000000000000002E-2</v>
      </c>
    </row>
    <row r="73" spans="2:29" ht="15">
      <c r="B73" s="37">
        <f t="shared" si="5"/>
        <v>4.5</v>
      </c>
      <c r="C73" s="38">
        <v>0.41799999999999998</v>
      </c>
      <c r="D73" s="38">
        <v>0.38200000000000001</v>
      </c>
      <c r="E73" s="38">
        <v>0.34200000000000003</v>
      </c>
      <c r="F73" s="38">
        <v>0.31</v>
      </c>
      <c r="G73" s="38">
        <v>0.28799999999999998</v>
      </c>
      <c r="H73" s="38">
        <v>0.27200000000000002</v>
      </c>
      <c r="I73" s="38">
        <v>0.25700000000000001</v>
      </c>
      <c r="J73" s="38">
        <v>0.24199999999999999</v>
      </c>
      <c r="K73" s="38">
        <v>0.22900000000000001</v>
      </c>
      <c r="L73" s="38">
        <v>0.20799999999999999</v>
      </c>
      <c r="M73" s="38">
        <v>0.192</v>
      </c>
      <c r="N73" s="38">
        <v>0.17799999999999999</v>
      </c>
      <c r="O73" s="38">
        <v>0.16500000000000001</v>
      </c>
      <c r="P73" s="38">
        <v>0.155</v>
      </c>
      <c r="Q73" s="38">
        <v>0.14599999999999999</v>
      </c>
      <c r="R73" s="38">
        <v>0.13700000000000001</v>
      </c>
      <c r="S73" s="38">
        <v>0.13</v>
      </c>
      <c r="T73" s="38">
        <v>0.125</v>
      </c>
      <c r="U73" s="38">
        <v>0.11799999999999999</v>
      </c>
      <c r="V73" s="38">
        <v>0.11</v>
      </c>
      <c r="W73" s="38">
        <v>0.10100000000000001</v>
      </c>
      <c r="X73" s="38">
        <v>9.2999999999999999E-2</v>
      </c>
      <c r="Y73" s="38">
        <v>8.3000000000000004E-2</v>
      </c>
      <c r="Z73" s="38">
        <v>7.4999999999999997E-2</v>
      </c>
      <c r="AA73" s="38">
        <v>6.4000000000000001E-2</v>
      </c>
      <c r="AB73" s="38">
        <v>5.5E-2</v>
      </c>
      <c r="AC73" s="38">
        <v>5.5E-2</v>
      </c>
    </row>
    <row r="74" spans="2:29" ht="15">
      <c r="B74" s="37">
        <f t="shared" si="5"/>
        <v>5</v>
      </c>
      <c r="C74" s="38">
        <v>0.35399999999999998</v>
      </c>
      <c r="D74" s="38">
        <v>0.32600000000000001</v>
      </c>
      <c r="E74" s="38">
        <v>0.29499999999999998</v>
      </c>
      <c r="F74" s="38">
        <v>0.27300000000000002</v>
      </c>
      <c r="G74" s="38">
        <v>0.253</v>
      </c>
      <c r="H74" s="38">
        <v>0.23899999999999999</v>
      </c>
      <c r="I74" s="38">
        <v>0.22500000000000001</v>
      </c>
      <c r="J74" s="38">
        <v>0.215</v>
      </c>
      <c r="K74" s="38">
        <v>0.20499999999999999</v>
      </c>
      <c r="L74" s="38">
        <v>0.188</v>
      </c>
      <c r="M74" s="38">
        <v>0.17499999999999999</v>
      </c>
      <c r="N74" s="38">
        <v>0.16200000000000001</v>
      </c>
      <c r="O74" s="38">
        <v>0.15</v>
      </c>
      <c r="P74" s="38">
        <v>0.14299999999999999</v>
      </c>
      <c r="Q74" s="38">
        <v>0.13500000000000001</v>
      </c>
      <c r="R74" s="38">
        <v>0.126</v>
      </c>
      <c r="S74" s="38">
        <v>0.12</v>
      </c>
      <c r="T74" s="38">
        <v>0.11700000000000001</v>
      </c>
      <c r="U74" s="38">
        <v>0.111</v>
      </c>
      <c r="V74" s="38">
        <v>0.10299999999999999</v>
      </c>
      <c r="W74" s="38">
        <v>9.5000000000000001E-2</v>
      </c>
      <c r="X74" s="38">
        <v>8.7999999999999995E-2</v>
      </c>
      <c r="Y74" s="38">
        <v>7.9000000000000001E-2</v>
      </c>
      <c r="Z74" s="38">
        <v>7.1999999999999995E-2</v>
      </c>
      <c r="AA74" s="38">
        <v>6.2E-2</v>
      </c>
      <c r="AB74" s="38">
        <v>5.2999999999999999E-2</v>
      </c>
      <c r="AC74" s="38">
        <v>5.2999999999999999E-2</v>
      </c>
    </row>
    <row r="75" spans="2:29" ht="15">
      <c r="B75" s="37">
        <f t="shared" si="5"/>
        <v>5.5</v>
      </c>
      <c r="C75" s="38">
        <v>0.30199999999999999</v>
      </c>
      <c r="D75" s="38">
        <v>0.28000000000000003</v>
      </c>
      <c r="E75" s="38">
        <v>0.25600000000000001</v>
      </c>
      <c r="F75" s="38">
        <v>0.24</v>
      </c>
      <c r="G75" s="38">
        <v>0.224</v>
      </c>
      <c r="H75" s="38">
        <v>0.21199999999999999</v>
      </c>
      <c r="I75" s="38">
        <v>0.2</v>
      </c>
      <c r="J75" s="38">
        <v>0.192</v>
      </c>
      <c r="K75" s="38">
        <v>0.184</v>
      </c>
      <c r="L75" s="38">
        <v>0.17</v>
      </c>
      <c r="M75" s="38">
        <v>0.158</v>
      </c>
      <c r="N75" s="38">
        <v>0.14799999999999999</v>
      </c>
      <c r="O75" s="38">
        <v>0.13800000000000001</v>
      </c>
      <c r="P75" s="38">
        <v>0.13200000000000001</v>
      </c>
      <c r="Q75" s="38">
        <v>0.124</v>
      </c>
      <c r="R75" s="38">
        <v>0.11700000000000001</v>
      </c>
      <c r="S75" s="38">
        <v>0.112</v>
      </c>
      <c r="T75" s="38">
        <v>0.108</v>
      </c>
      <c r="U75" s="38">
        <v>0.104</v>
      </c>
      <c r="V75" s="38">
        <v>9.5000000000000001E-2</v>
      </c>
      <c r="W75" s="38">
        <v>8.8999999999999996E-2</v>
      </c>
      <c r="X75" s="38">
        <v>8.4000000000000005E-2</v>
      </c>
      <c r="Y75" s="38">
        <v>7.4999999999999997E-2</v>
      </c>
      <c r="Z75" s="38">
        <v>6.9000000000000006E-2</v>
      </c>
      <c r="AA75" s="38">
        <v>0.06</v>
      </c>
      <c r="AB75" s="38">
        <v>5.0999999999999997E-2</v>
      </c>
      <c r="AC75" s="38">
        <v>5.0999999999999997E-2</v>
      </c>
    </row>
    <row r="76" spans="2:29" ht="15">
      <c r="B76" s="37">
        <f t="shared" si="5"/>
        <v>6</v>
      </c>
      <c r="C76" s="38">
        <v>0.25800000000000001</v>
      </c>
      <c r="D76" s="38">
        <v>0.24399999999999999</v>
      </c>
      <c r="E76" s="38">
        <v>0.223</v>
      </c>
      <c r="F76" s="38">
        <v>0.21</v>
      </c>
      <c r="G76" s="38">
        <v>0.19800000000000001</v>
      </c>
      <c r="H76" s="38">
        <v>0.19</v>
      </c>
      <c r="I76" s="38">
        <v>0.17799999999999999</v>
      </c>
      <c r="J76" s="38">
        <v>0.17199999999999999</v>
      </c>
      <c r="K76" s="38">
        <v>0.16600000000000001</v>
      </c>
      <c r="L76" s="38">
        <v>0.153</v>
      </c>
      <c r="M76" s="38">
        <v>0.14499999999999999</v>
      </c>
      <c r="N76" s="38">
        <v>0.13700000000000001</v>
      </c>
      <c r="O76" s="38">
        <v>0.128</v>
      </c>
      <c r="P76" s="38">
        <v>0.12</v>
      </c>
      <c r="Q76" s="38">
        <v>0.115</v>
      </c>
      <c r="R76" s="38">
        <v>0.109</v>
      </c>
      <c r="S76" s="38">
        <v>0.104</v>
      </c>
      <c r="T76" s="38">
        <v>0.1</v>
      </c>
      <c r="U76" s="38">
        <v>9.6000000000000002E-2</v>
      </c>
      <c r="V76" s="38">
        <v>8.8999999999999996E-2</v>
      </c>
      <c r="W76" s="38">
        <v>8.4000000000000005E-2</v>
      </c>
      <c r="X76" s="38">
        <v>7.9000000000000001E-2</v>
      </c>
      <c r="Y76" s="38">
        <v>7.1999999999999995E-2</v>
      </c>
      <c r="Z76" s="38">
        <v>6.6000000000000003E-2</v>
      </c>
      <c r="AA76" s="38">
        <v>5.7000000000000002E-2</v>
      </c>
      <c r="AB76" s="38">
        <v>4.9000000000000002E-2</v>
      </c>
      <c r="AC76" s="38">
        <v>4.9000000000000002E-2</v>
      </c>
    </row>
    <row r="77" spans="2:29" ht="15">
      <c r="B77" s="37">
        <f t="shared" si="5"/>
        <v>6.5</v>
      </c>
      <c r="C77" s="38">
        <v>0.223</v>
      </c>
      <c r="D77" s="38">
        <v>0.21299999999999999</v>
      </c>
      <c r="E77" s="38">
        <v>0.19600000000000001</v>
      </c>
      <c r="F77" s="38">
        <v>0.185</v>
      </c>
      <c r="G77" s="38">
        <v>0.17599999999999999</v>
      </c>
      <c r="H77" s="38">
        <v>0.17</v>
      </c>
      <c r="I77" s="38">
        <v>0.16</v>
      </c>
      <c r="J77" s="38">
        <v>0.155</v>
      </c>
      <c r="K77" s="38">
        <v>0.14899999999999999</v>
      </c>
      <c r="L77" s="38">
        <v>0.14000000000000001</v>
      </c>
      <c r="M77" s="38">
        <v>0.13200000000000001</v>
      </c>
      <c r="N77" s="38">
        <v>0.125</v>
      </c>
      <c r="O77" s="38">
        <v>0.11700000000000001</v>
      </c>
      <c r="P77" s="38">
        <v>0.112</v>
      </c>
      <c r="Q77" s="38">
        <v>0.106</v>
      </c>
      <c r="R77" s="38">
        <v>0.10100000000000001</v>
      </c>
      <c r="S77" s="38">
        <v>9.7000000000000003E-2</v>
      </c>
      <c r="T77" s="38">
        <v>9.4E-2</v>
      </c>
      <c r="U77" s="38">
        <v>8.8999999999999996E-2</v>
      </c>
      <c r="V77" s="38">
        <v>8.3000000000000004E-2</v>
      </c>
      <c r="W77" s="38">
        <v>0.08</v>
      </c>
      <c r="X77" s="38">
        <v>7.3999999999999996E-2</v>
      </c>
      <c r="Y77" s="38">
        <v>6.8000000000000005E-2</v>
      </c>
      <c r="Z77" s="38">
        <v>6.2E-2</v>
      </c>
      <c r="AA77" s="38">
        <v>5.3999999999999999E-2</v>
      </c>
      <c r="AB77" s="38">
        <v>4.7E-2</v>
      </c>
      <c r="AC77" s="38">
        <v>4.7E-2</v>
      </c>
    </row>
    <row r="78" spans="2:29" ht="15">
      <c r="B78" s="37">
        <f t="shared" si="5"/>
        <v>7</v>
      </c>
      <c r="C78" s="38">
        <v>0.19400000000000001</v>
      </c>
      <c r="D78" s="38">
        <v>0.186</v>
      </c>
      <c r="E78" s="38">
        <v>0.17299999999999999</v>
      </c>
      <c r="F78" s="38">
        <v>0.16300000000000001</v>
      </c>
      <c r="G78" s="38">
        <v>0.157</v>
      </c>
      <c r="H78" s="38">
        <v>0.152</v>
      </c>
      <c r="I78" s="38">
        <v>0.14499999999999999</v>
      </c>
      <c r="J78" s="38">
        <v>0.14099999999999999</v>
      </c>
      <c r="K78" s="38">
        <v>0.13600000000000001</v>
      </c>
      <c r="L78" s="38">
        <v>0.127</v>
      </c>
      <c r="M78" s="38">
        <v>0.121</v>
      </c>
      <c r="N78" s="38">
        <v>0.115</v>
      </c>
      <c r="O78" s="38">
        <v>0.108</v>
      </c>
      <c r="P78" s="38">
        <v>0.10199999999999999</v>
      </c>
      <c r="Q78" s="38">
        <v>9.8000000000000004E-2</v>
      </c>
      <c r="R78" s="38">
        <v>9.4E-2</v>
      </c>
      <c r="S78" s="38">
        <v>9.0999999999999998E-2</v>
      </c>
      <c r="T78" s="38">
        <v>8.6999999999999994E-2</v>
      </c>
      <c r="U78" s="38">
        <v>8.3000000000000004E-2</v>
      </c>
      <c r="V78" s="38">
        <v>7.8E-2</v>
      </c>
      <c r="W78" s="38">
        <v>7.3999999999999996E-2</v>
      </c>
      <c r="X78" s="38">
        <v>7.0000000000000007E-2</v>
      </c>
      <c r="Y78" s="38">
        <v>6.4000000000000001E-2</v>
      </c>
      <c r="Z78" s="38">
        <v>5.8999999999999997E-2</v>
      </c>
      <c r="AA78" s="38">
        <v>5.1999999999999998E-2</v>
      </c>
      <c r="AB78" s="38">
        <v>4.4999999999999998E-2</v>
      </c>
      <c r="AC78" s="38">
        <v>4.4999999999999998E-2</v>
      </c>
    </row>
    <row r="79" spans="2:29" ht="15">
      <c r="B79" s="37">
        <f>B78+1</f>
        <v>8</v>
      </c>
      <c r="C79" s="38">
        <v>0.152</v>
      </c>
      <c r="D79" s="38">
        <v>0.14599999999999999</v>
      </c>
      <c r="E79" s="38">
        <v>0.13800000000000001</v>
      </c>
      <c r="F79" s="38">
        <v>0.13300000000000001</v>
      </c>
      <c r="G79" s="38">
        <v>0.128</v>
      </c>
      <c r="H79" s="38">
        <v>0.121</v>
      </c>
      <c r="I79" s="38">
        <v>0.11700000000000001</v>
      </c>
      <c r="J79" s="38">
        <v>0.115</v>
      </c>
      <c r="K79" s="38">
        <v>0.113</v>
      </c>
      <c r="L79" s="38">
        <v>0.106</v>
      </c>
      <c r="M79" s="38">
        <v>0.1</v>
      </c>
      <c r="N79" s="38">
        <v>9.5000000000000001E-2</v>
      </c>
      <c r="O79" s="38">
        <v>9.0999999999999998E-2</v>
      </c>
      <c r="P79" s="38">
        <v>8.6999999999999994E-2</v>
      </c>
      <c r="Q79" s="38">
        <v>8.3000000000000004E-2</v>
      </c>
      <c r="R79" s="38">
        <v>8.1000000000000003E-2</v>
      </c>
      <c r="S79" s="38">
        <v>7.8E-2</v>
      </c>
      <c r="T79" s="38">
        <v>7.5999999999999998E-2</v>
      </c>
      <c r="U79" s="38">
        <v>7.3999999999999996E-2</v>
      </c>
      <c r="V79" s="38">
        <v>6.8000000000000005E-2</v>
      </c>
      <c r="W79" s="38">
        <v>6.5000000000000002E-2</v>
      </c>
      <c r="X79" s="38">
        <v>6.2E-2</v>
      </c>
      <c r="Y79" s="38">
        <v>5.7000000000000002E-2</v>
      </c>
      <c r="Z79" s="38">
        <v>5.2999999999999999E-2</v>
      </c>
      <c r="AA79" s="38">
        <v>4.7E-2</v>
      </c>
      <c r="AB79" s="38">
        <v>4.1000000000000002E-2</v>
      </c>
      <c r="AC79" s="38">
        <v>4.1000000000000002E-2</v>
      </c>
    </row>
    <row r="80" spans="2:29" ht="15">
      <c r="B80" s="37">
        <f t="shared" ref="B80:B84" si="6">B79+1</f>
        <v>9</v>
      </c>
      <c r="C80" s="38">
        <v>0.122</v>
      </c>
      <c r="D80" s="38">
        <v>0.11700000000000001</v>
      </c>
      <c r="E80" s="38">
        <v>0.112</v>
      </c>
      <c r="F80" s="38">
        <v>0.107</v>
      </c>
      <c r="G80" s="38">
        <v>0.10299999999999999</v>
      </c>
      <c r="H80" s="38">
        <v>0.1</v>
      </c>
      <c r="I80" s="38">
        <v>9.8000000000000004E-2</v>
      </c>
      <c r="J80" s="38">
        <v>9.6000000000000002E-2</v>
      </c>
      <c r="K80" s="38">
        <v>9.2999999999999999E-2</v>
      </c>
      <c r="L80" s="38">
        <v>8.7999999999999995E-2</v>
      </c>
      <c r="M80" s="38">
        <v>8.5000000000000006E-2</v>
      </c>
      <c r="N80" s="38">
        <v>8.2000000000000003E-2</v>
      </c>
      <c r="O80" s="38">
        <v>7.9000000000000001E-2</v>
      </c>
      <c r="P80" s="38">
        <v>7.4999999999999997E-2</v>
      </c>
      <c r="Q80" s="38">
        <v>7.1999999999999995E-2</v>
      </c>
      <c r="R80" s="38">
        <v>6.9000000000000006E-2</v>
      </c>
      <c r="S80" s="38">
        <v>6.6000000000000003E-2</v>
      </c>
      <c r="T80" s="38">
        <v>6.5000000000000002E-2</v>
      </c>
      <c r="U80" s="38">
        <v>6.4000000000000001E-2</v>
      </c>
      <c r="V80" s="38">
        <v>6.0999999999999999E-2</v>
      </c>
      <c r="W80" s="38">
        <v>5.8000000000000003E-2</v>
      </c>
      <c r="X80" s="38">
        <v>5.5E-2</v>
      </c>
      <c r="Y80" s="38">
        <v>5.0999999999999997E-2</v>
      </c>
      <c r="Z80" s="38">
        <v>4.8000000000000001E-2</v>
      </c>
      <c r="AA80" s="38">
        <v>4.2999999999999997E-2</v>
      </c>
      <c r="AB80" s="38">
        <v>3.7999999999999999E-2</v>
      </c>
      <c r="AC80" s="38">
        <v>3.7999999999999999E-2</v>
      </c>
    </row>
    <row r="81" spans="1:29" ht="15">
      <c r="B81" s="37">
        <f t="shared" si="6"/>
        <v>10</v>
      </c>
      <c r="C81" s="38">
        <v>0.1</v>
      </c>
      <c r="D81" s="38">
        <v>9.7000000000000003E-2</v>
      </c>
      <c r="E81" s="38">
        <v>9.2999999999999999E-2</v>
      </c>
      <c r="F81" s="38">
        <v>9.0999999999999998E-2</v>
      </c>
      <c r="G81" s="38">
        <v>0.09</v>
      </c>
      <c r="H81" s="38">
        <v>8.5000000000000006E-2</v>
      </c>
      <c r="I81" s="38">
        <v>8.1000000000000003E-2</v>
      </c>
      <c r="J81" s="38">
        <v>0.08</v>
      </c>
      <c r="K81" s="38">
        <v>7.9000000000000001E-2</v>
      </c>
      <c r="L81" s="38">
        <v>7.4999999999999997E-2</v>
      </c>
      <c r="M81" s="38">
        <v>7.1999999999999995E-2</v>
      </c>
      <c r="N81" s="38">
        <v>7.0000000000000007E-2</v>
      </c>
      <c r="O81" s="38">
        <v>6.9000000000000006E-2</v>
      </c>
      <c r="P81" s="38">
        <v>6.5000000000000002E-2</v>
      </c>
      <c r="Q81" s="38">
        <v>6.2E-2</v>
      </c>
      <c r="R81" s="38">
        <v>0.06</v>
      </c>
      <c r="S81" s="38">
        <v>5.8999999999999997E-2</v>
      </c>
      <c r="T81" s="38">
        <v>5.8000000000000003E-2</v>
      </c>
      <c r="U81" s="38">
        <v>5.7000000000000002E-2</v>
      </c>
      <c r="V81" s="38">
        <v>5.5E-2</v>
      </c>
      <c r="W81" s="38">
        <v>5.1999999999999998E-2</v>
      </c>
      <c r="X81" s="38">
        <v>4.9000000000000002E-2</v>
      </c>
      <c r="Y81" s="38">
        <v>4.5999999999999999E-2</v>
      </c>
      <c r="Z81" s="38">
        <v>4.2999999999999997E-2</v>
      </c>
      <c r="AA81" s="38">
        <v>3.9E-2</v>
      </c>
      <c r="AB81" s="38">
        <v>3.5000000000000003E-2</v>
      </c>
      <c r="AC81" s="38">
        <v>3.5000000000000003E-2</v>
      </c>
    </row>
    <row r="82" spans="1:29" ht="15">
      <c r="B82" s="37">
        <f t="shared" si="6"/>
        <v>11</v>
      </c>
      <c r="C82" s="38">
        <v>8.3000000000000004E-2</v>
      </c>
      <c r="D82" s="38">
        <v>7.9000000000000001E-2</v>
      </c>
      <c r="E82" s="38">
        <v>7.6999999999999999E-2</v>
      </c>
      <c r="F82" s="38">
        <v>7.5999999999999998E-2</v>
      </c>
      <c r="G82" s="38">
        <v>7.4999999999999997E-2</v>
      </c>
      <c r="H82" s="38">
        <v>7.2999999999999995E-2</v>
      </c>
      <c r="I82" s="38">
        <v>7.0999999999999994E-2</v>
      </c>
      <c r="J82" s="38">
        <v>6.9000000000000006E-2</v>
      </c>
      <c r="K82" s="38">
        <v>6.8000000000000005E-2</v>
      </c>
      <c r="L82" s="38">
        <v>6.3E-2</v>
      </c>
      <c r="M82" s="38">
        <v>6.2E-2</v>
      </c>
      <c r="N82" s="38">
        <v>6.0999999999999999E-2</v>
      </c>
      <c r="O82" s="38">
        <v>0.06</v>
      </c>
      <c r="P82" s="38">
        <v>5.7000000000000002E-2</v>
      </c>
      <c r="Q82" s="38">
        <v>5.5E-2</v>
      </c>
      <c r="R82" s="38">
        <v>5.2999999999999999E-2</v>
      </c>
      <c r="S82" s="38">
        <v>5.1999999999999998E-2</v>
      </c>
      <c r="T82" s="38">
        <v>5.0999999999999997E-2</v>
      </c>
      <c r="U82" s="38">
        <v>0.05</v>
      </c>
      <c r="V82" s="38">
        <v>4.8000000000000001E-2</v>
      </c>
      <c r="W82" s="38">
        <v>4.5999999999999999E-2</v>
      </c>
      <c r="X82" s="38">
        <v>4.3999999999999997E-2</v>
      </c>
      <c r="Y82" s="38">
        <v>0.04</v>
      </c>
      <c r="Z82" s="38">
        <v>3.7999999999999999E-2</v>
      </c>
      <c r="AA82" s="38">
        <v>3.5000000000000003E-2</v>
      </c>
      <c r="AB82" s="38">
        <v>3.2000000000000001E-2</v>
      </c>
      <c r="AC82" s="38">
        <v>3.2000000000000001E-2</v>
      </c>
    </row>
    <row r="83" spans="1:29" ht="15">
      <c r="B83" s="37">
        <f t="shared" si="6"/>
        <v>12</v>
      </c>
      <c r="C83" s="38">
        <v>6.9000000000000006E-2</v>
      </c>
      <c r="D83" s="38">
        <v>6.7000000000000004E-2</v>
      </c>
      <c r="E83" s="38">
        <v>6.4000000000000001E-2</v>
      </c>
      <c r="F83" s="38">
        <v>6.3E-2</v>
      </c>
      <c r="G83" s="38">
        <v>6.2E-2</v>
      </c>
      <c r="H83" s="38">
        <v>0.06</v>
      </c>
      <c r="I83" s="38">
        <v>5.8999999999999997E-2</v>
      </c>
      <c r="J83" s="38">
        <v>5.8999999999999997E-2</v>
      </c>
      <c r="K83" s="38">
        <v>5.8000000000000003E-2</v>
      </c>
      <c r="L83" s="38">
        <v>5.5E-2</v>
      </c>
      <c r="M83" s="38">
        <v>5.3999999999999999E-2</v>
      </c>
      <c r="N83" s="38">
        <v>5.2999999999999999E-2</v>
      </c>
      <c r="O83" s="38">
        <v>5.1999999999999998E-2</v>
      </c>
      <c r="P83" s="38">
        <v>5.0999999999999997E-2</v>
      </c>
      <c r="Q83" s="38">
        <v>0.05</v>
      </c>
      <c r="R83" s="38">
        <v>4.9000000000000002E-2</v>
      </c>
      <c r="S83" s="38">
        <v>4.8000000000000001E-2</v>
      </c>
      <c r="T83" s="38">
        <v>4.7E-2</v>
      </c>
      <c r="U83" s="38">
        <v>4.5999999999999999E-2</v>
      </c>
      <c r="V83" s="38">
        <v>4.3999999999999997E-2</v>
      </c>
      <c r="W83" s="38">
        <v>4.2000000000000003E-2</v>
      </c>
      <c r="X83" s="38">
        <v>0.04</v>
      </c>
      <c r="Y83" s="38">
        <v>3.6999999999999998E-2</v>
      </c>
      <c r="Z83" s="38">
        <v>3.5000000000000003E-2</v>
      </c>
      <c r="AA83" s="38">
        <v>3.2000000000000001E-2</v>
      </c>
      <c r="AB83" s="38">
        <v>2.9000000000000001E-2</v>
      </c>
      <c r="AC83" s="38">
        <v>2.9000000000000001E-2</v>
      </c>
    </row>
    <row r="84" spans="1:29" ht="15">
      <c r="B84" s="37">
        <f t="shared" si="6"/>
        <v>13</v>
      </c>
      <c r="C84" s="38">
        <v>6.2E-2</v>
      </c>
      <c r="D84" s="38">
        <v>6.0999999999999999E-2</v>
      </c>
      <c r="E84" s="38">
        <v>5.3999999999999999E-2</v>
      </c>
      <c r="F84" s="38">
        <v>5.2999999999999999E-2</v>
      </c>
      <c r="G84" s="38">
        <v>5.1999999999999998E-2</v>
      </c>
      <c r="H84" s="38">
        <v>5.0999999999999997E-2</v>
      </c>
      <c r="I84" s="38">
        <v>5.0999999999999997E-2</v>
      </c>
      <c r="J84" s="38">
        <v>0.05</v>
      </c>
      <c r="K84" s="38">
        <v>4.9000000000000002E-2</v>
      </c>
      <c r="L84" s="38">
        <v>4.9000000000000002E-2</v>
      </c>
      <c r="M84" s="38">
        <v>4.8000000000000001E-2</v>
      </c>
      <c r="N84" s="38">
        <v>4.8000000000000001E-2</v>
      </c>
      <c r="O84" s="38">
        <v>4.7E-2</v>
      </c>
      <c r="P84" s="38">
        <v>4.4999999999999998E-2</v>
      </c>
      <c r="Q84" s="38">
        <v>4.3999999999999997E-2</v>
      </c>
      <c r="R84" s="38">
        <v>4.2999999999999997E-2</v>
      </c>
      <c r="S84" s="38">
        <v>4.2000000000000003E-2</v>
      </c>
      <c r="T84" s="38">
        <v>4.1000000000000002E-2</v>
      </c>
      <c r="U84" s="38">
        <v>4.1000000000000002E-2</v>
      </c>
      <c r="V84" s="38">
        <v>3.9E-2</v>
      </c>
      <c r="W84" s="38">
        <v>3.7999999999999999E-2</v>
      </c>
      <c r="X84" s="38">
        <v>3.6999999999999998E-2</v>
      </c>
      <c r="Y84" s="38">
        <v>3.5000000000000003E-2</v>
      </c>
      <c r="Z84" s="38">
        <v>3.3000000000000002E-2</v>
      </c>
      <c r="AA84" s="38">
        <v>0.03</v>
      </c>
      <c r="AB84" s="38">
        <v>2.7E-2</v>
      </c>
      <c r="AC84" s="38">
        <v>2.7E-2</v>
      </c>
    </row>
    <row r="85" spans="1:29" ht="15">
      <c r="B85" s="37">
        <f>B84+1</f>
        <v>14</v>
      </c>
      <c r="C85" s="38">
        <v>5.1999999999999998E-2</v>
      </c>
      <c r="D85" s="38">
        <v>4.9000000000000002E-2</v>
      </c>
      <c r="E85" s="38">
        <v>4.9000000000000002E-2</v>
      </c>
      <c r="F85" s="38">
        <v>4.8000000000000001E-2</v>
      </c>
      <c r="G85" s="38">
        <v>4.8000000000000001E-2</v>
      </c>
      <c r="H85" s="38">
        <v>4.7E-2</v>
      </c>
      <c r="I85" s="38">
        <v>4.7E-2</v>
      </c>
      <c r="J85" s="38">
        <v>4.5999999999999999E-2</v>
      </c>
      <c r="K85" s="38">
        <v>4.4999999999999998E-2</v>
      </c>
      <c r="L85" s="38">
        <v>4.3999999999999997E-2</v>
      </c>
      <c r="M85" s="38">
        <v>4.2999999999999997E-2</v>
      </c>
      <c r="N85" s="38">
        <v>4.2999999999999997E-2</v>
      </c>
      <c r="O85" s="38">
        <v>4.2000000000000003E-2</v>
      </c>
      <c r="P85" s="38">
        <v>4.1000000000000002E-2</v>
      </c>
      <c r="Q85" s="38">
        <v>0.04</v>
      </c>
      <c r="R85" s="38">
        <v>0.04</v>
      </c>
      <c r="S85" s="38">
        <v>3.9E-2</v>
      </c>
      <c r="T85" s="38">
        <v>3.9E-2</v>
      </c>
      <c r="U85" s="38">
        <v>3.7999999999999999E-2</v>
      </c>
      <c r="V85" s="38">
        <v>3.6999999999999998E-2</v>
      </c>
      <c r="W85" s="38">
        <v>3.5999999999999997E-2</v>
      </c>
      <c r="X85" s="38">
        <v>3.5999999999999997E-2</v>
      </c>
      <c r="Y85" s="38">
        <v>3.4000000000000002E-2</v>
      </c>
      <c r="Z85" s="38">
        <v>3.2000000000000001E-2</v>
      </c>
      <c r="AA85" s="38">
        <v>2.9000000000000001E-2</v>
      </c>
      <c r="AB85" s="38">
        <v>2.5999999999999999E-2</v>
      </c>
      <c r="AC85" s="38">
        <v>2.5999999999999999E-2</v>
      </c>
    </row>
    <row r="86" spans="1:29" ht="15">
      <c r="B86" s="46">
        <v>1000</v>
      </c>
      <c r="C86" s="38">
        <v>5.1999999999999998E-2</v>
      </c>
      <c r="D86" s="38">
        <v>4.9000000000000002E-2</v>
      </c>
      <c r="E86" s="38">
        <v>4.9000000000000002E-2</v>
      </c>
      <c r="F86" s="38">
        <v>4.8000000000000001E-2</v>
      </c>
      <c r="G86" s="38">
        <v>4.8000000000000001E-2</v>
      </c>
      <c r="H86" s="38">
        <v>4.7E-2</v>
      </c>
      <c r="I86" s="38">
        <v>4.7E-2</v>
      </c>
      <c r="J86" s="38">
        <v>4.5999999999999999E-2</v>
      </c>
      <c r="K86" s="38">
        <v>4.4999999999999998E-2</v>
      </c>
      <c r="L86" s="38">
        <v>4.3999999999999997E-2</v>
      </c>
      <c r="M86" s="38">
        <v>4.2999999999999997E-2</v>
      </c>
      <c r="N86" s="38">
        <v>4.2999999999999997E-2</v>
      </c>
      <c r="O86" s="38">
        <v>4.2000000000000003E-2</v>
      </c>
      <c r="P86" s="38">
        <v>4.1000000000000002E-2</v>
      </c>
      <c r="Q86" s="38">
        <v>0.04</v>
      </c>
      <c r="R86" s="38">
        <v>0.04</v>
      </c>
      <c r="S86" s="38">
        <v>3.9E-2</v>
      </c>
      <c r="T86" s="38">
        <v>3.9E-2</v>
      </c>
      <c r="U86" s="38">
        <v>3.7999999999999999E-2</v>
      </c>
      <c r="V86" s="38">
        <v>3.6999999999999998E-2</v>
      </c>
      <c r="W86" s="38">
        <v>3.5999999999999997E-2</v>
      </c>
      <c r="X86" s="38">
        <v>3.5999999999999997E-2</v>
      </c>
      <c r="Y86" s="38">
        <v>3.4000000000000002E-2</v>
      </c>
      <c r="Z86" s="38">
        <v>3.2000000000000001E-2</v>
      </c>
      <c r="AA86" s="38">
        <v>2.9000000000000001E-2</v>
      </c>
      <c r="AB86" s="38">
        <v>2.5999999999999999E-2</v>
      </c>
      <c r="AC86" s="38">
        <v>2.5999999999999999E-2</v>
      </c>
    </row>
    <row r="88" spans="1:29" customFormat="1" ht="15">
      <c r="A88" s="34" t="s">
        <v>98</v>
      </c>
      <c r="B88" s="35" t="s">
        <v>99</v>
      </c>
    </row>
    <row r="89" spans="1:29" customFormat="1" ht="18">
      <c r="A89" s="106" t="s">
        <v>102</v>
      </c>
      <c r="B89" s="57" t="s">
        <v>100</v>
      </c>
      <c r="C89" s="38">
        <v>0</v>
      </c>
      <c r="D89" s="38">
        <v>0.25</v>
      </c>
      <c r="E89" s="38">
        <v>0.5</v>
      </c>
      <c r="F89" s="38">
        <v>1</v>
      </c>
      <c r="G89" s="38">
        <v>2</v>
      </c>
      <c r="H89" s="38">
        <v>100</v>
      </c>
    </row>
    <row r="90" spans="1:29" customFormat="1" ht="18">
      <c r="A90" s="107"/>
      <c r="B90" s="56" t="s">
        <v>101</v>
      </c>
      <c r="C90" s="38">
        <v>1.19</v>
      </c>
      <c r="D90" s="38">
        <v>1.19</v>
      </c>
      <c r="E90" s="38">
        <v>1.1200000000000001</v>
      </c>
      <c r="F90" s="38">
        <v>1.07</v>
      </c>
      <c r="G90" s="38">
        <v>1.04</v>
      </c>
      <c r="H90" s="38">
        <v>1.04</v>
      </c>
    </row>
    <row r="91" spans="1:29" customFormat="1" ht="18">
      <c r="A91" s="108"/>
      <c r="B91" s="56" t="s">
        <v>103</v>
      </c>
      <c r="C91" s="38">
        <v>1.07</v>
      </c>
      <c r="D91" s="38">
        <v>1.07</v>
      </c>
      <c r="E91" s="38">
        <v>1.1200000000000001</v>
      </c>
      <c r="F91" s="38">
        <v>1.19</v>
      </c>
      <c r="G91" s="38">
        <v>1.26</v>
      </c>
      <c r="H91" s="38">
        <v>1.26</v>
      </c>
    </row>
  </sheetData>
  <mergeCells count="6">
    <mergeCell ref="H18:K18"/>
    <mergeCell ref="A89:A91"/>
    <mergeCell ref="C18:C19"/>
    <mergeCell ref="B1:N1"/>
    <mergeCell ref="B2:N2"/>
    <mergeCell ref="B3:N16"/>
  </mergeCells>
  <pageMargins left="0.59055118110236227" right="0.31496062992125984" top="0.59055118110236227" bottom="0.59055118110236227" header="0.31496062992125984" footer="0.31496062992125984"/>
  <pageSetup orientation="portrait" r:id="rId1"/>
  <picture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FB8B5-CBB7-4F46-ADE2-5E4E798FDBA6}">
  <sheetPr codeName="Sheet3">
    <tabColor rgb="FFC00000"/>
  </sheetPr>
  <dimension ref="B1:Z107"/>
  <sheetViews>
    <sheetView showGridLines="0" tabSelected="1" topLeftCell="A10" zoomScale="130" zoomScaleNormal="130" zoomScaleSheetLayoutView="100" workbookViewId="0">
      <selection activeCell="F33" sqref="F33"/>
    </sheetView>
  </sheetViews>
  <sheetFormatPr defaultColWidth="7.28515625" defaultRowHeight="12.75"/>
  <cols>
    <col min="1" max="1" width="1.5703125" style="1" customWidth="1"/>
    <col min="2" max="2" width="9.28515625" style="1" bestFit="1" customWidth="1"/>
    <col min="3" max="3" width="7.28515625" style="1"/>
    <col min="4" max="4" width="8.42578125" style="1" bestFit="1" customWidth="1"/>
    <col min="5" max="5" width="8.28515625" style="1" bestFit="1" customWidth="1"/>
    <col min="6" max="7" width="7.28515625" style="1"/>
    <col min="8" max="8" width="8.5703125" style="1" customWidth="1"/>
    <col min="9" max="11" width="7.7109375" style="1" customWidth="1"/>
    <col min="12" max="12" width="8.140625" style="1" customWidth="1"/>
    <col min="13" max="14" width="7.7109375" style="1" customWidth="1"/>
    <col min="15" max="25" width="7.28515625" style="1" hidden="1" customWidth="1"/>
    <col min="26" max="26" width="2.85546875" style="29" customWidth="1"/>
    <col min="27" max="16384" width="7.28515625" style="1"/>
  </cols>
  <sheetData>
    <row r="1" spans="2:26" hidden="1"/>
    <row r="2" spans="2:26" hidden="1"/>
    <row r="3" spans="2:26" hidden="1"/>
    <row r="4" spans="2:26" hidden="1"/>
    <row r="5" spans="2:26" hidden="1"/>
    <row r="6" spans="2:26" hidden="1"/>
    <row r="7" spans="2:26" hidden="1"/>
    <row r="8" spans="2:26" hidden="1"/>
    <row r="9" spans="2:26" hidden="1"/>
    <row r="10" spans="2:26" ht="29.25" customHeight="1"/>
    <row r="11" spans="2:26" ht="20.25" customHeight="1">
      <c r="B11" s="138" t="s">
        <v>88</v>
      </c>
      <c r="C11" s="139"/>
      <c r="D11" s="139"/>
      <c r="E11" s="139"/>
      <c r="F11" s="139"/>
      <c r="G11" s="139"/>
      <c r="H11" s="139"/>
      <c r="I11" s="139"/>
      <c r="J11" s="139"/>
      <c r="K11" s="142" t="str">
        <f>"Hộp " &amp;F15&amp;"x"&amp;F16&amp;"x"&amp;F17</f>
        <v>Hộp 100x50x3</v>
      </c>
      <c r="L11" s="142"/>
      <c r="M11" s="142"/>
      <c r="N11" s="143"/>
      <c r="O11" s="2"/>
      <c r="Z11" s="47">
        <f>MAX(COUNTA(#REF!)+21,23)</f>
        <v>23</v>
      </c>
    </row>
    <row r="12" spans="2:26" ht="12.75" customHeight="1">
      <c r="B12" s="140"/>
      <c r="C12" s="141"/>
      <c r="D12" s="141"/>
      <c r="E12" s="141"/>
      <c r="F12" s="141"/>
      <c r="G12" s="141"/>
      <c r="H12" s="141"/>
      <c r="I12" s="141"/>
      <c r="J12" s="141"/>
      <c r="K12" s="144"/>
      <c r="L12" s="144"/>
      <c r="M12" s="144"/>
      <c r="N12" s="145"/>
      <c r="Z12" s="48"/>
    </row>
    <row r="13" spans="2:26" ht="15" customHeight="1">
      <c r="B13" s="146" t="s">
        <v>3</v>
      </c>
      <c r="C13" s="147"/>
      <c r="D13" s="147"/>
      <c r="E13" s="72"/>
      <c r="F13" s="72"/>
      <c r="G13" s="72"/>
      <c r="H13" s="72"/>
      <c r="I13" s="72"/>
      <c r="J13" s="72"/>
      <c r="K13" s="72"/>
      <c r="L13" s="72"/>
      <c r="M13" s="72"/>
      <c r="N13" s="8"/>
    </row>
    <row r="14" spans="2:26">
      <c r="B14" s="9" t="s">
        <v>27</v>
      </c>
      <c r="C14" s="72"/>
      <c r="D14" s="72"/>
      <c r="E14" s="72"/>
      <c r="F14" s="72"/>
      <c r="G14" s="72"/>
      <c r="H14" s="73"/>
      <c r="I14" s="74"/>
      <c r="J14" s="72"/>
      <c r="K14" s="4"/>
      <c r="L14" s="4"/>
      <c r="M14" s="4"/>
      <c r="N14" s="8"/>
    </row>
    <row r="15" spans="2:26">
      <c r="B15" s="10" t="s">
        <v>83</v>
      </c>
      <c r="C15" s="72"/>
      <c r="D15" s="72"/>
      <c r="E15" s="73" t="s">
        <v>86</v>
      </c>
      <c r="F15" s="75">
        <v>100</v>
      </c>
      <c r="G15" s="72" t="s">
        <v>4</v>
      </c>
      <c r="H15" s="4"/>
      <c r="I15" s="4"/>
      <c r="J15" s="4"/>
      <c r="K15" s="4"/>
      <c r="L15" s="4"/>
      <c r="M15" s="4"/>
      <c r="N15" s="11"/>
    </row>
    <row r="16" spans="2:26" ht="15" customHeight="1">
      <c r="B16" s="10" t="s">
        <v>84</v>
      </c>
      <c r="C16" s="72"/>
      <c r="D16" s="72"/>
      <c r="E16" s="73" t="s">
        <v>87</v>
      </c>
      <c r="F16" s="75">
        <v>50</v>
      </c>
      <c r="G16" s="72" t="s">
        <v>4</v>
      </c>
      <c r="H16" s="4"/>
      <c r="I16" s="4"/>
      <c r="J16" s="4"/>
      <c r="K16" s="4"/>
      <c r="L16" s="4"/>
      <c r="M16" s="4"/>
      <c r="N16" s="11"/>
    </row>
    <row r="17" spans="2:15" ht="14.25">
      <c r="B17" s="10" t="s">
        <v>85</v>
      </c>
      <c r="C17" s="72"/>
      <c r="D17" s="72"/>
      <c r="E17" s="73" t="s">
        <v>48</v>
      </c>
      <c r="F17" s="76">
        <v>3</v>
      </c>
      <c r="G17" s="72" t="s">
        <v>4</v>
      </c>
      <c r="H17" s="4"/>
      <c r="I17" s="4"/>
      <c r="J17" s="4"/>
      <c r="K17" s="4"/>
      <c r="L17" s="4"/>
      <c r="M17" s="4"/>
      <c r="N17" s="11"/>
    </row>
    <row r="18" spans="2:15">
      <c r="B18" s="10" t="s">
        <v>121</v>
      </c>
      <c r="C18" s="72"/>
      <c r="D18" s="72"/>
      <c r="E18" s="73" t="s">
        <v>122</v>
      </c>
      <c r="F18" s="76">
        <v>3600</v>
      </c>
      <c r="G18" s="72" t="s">
        <v>4</v>
      </c>
      <c r="H18" s="4"/>
      <c r="I18" s="4"/>
      <c r="J18" s="4"/>
      <c r="K18" s="4"/>
      <c r="L18" s="4"/>
      <c r="M18" s="4"/>
      <c r="N18" s="11"/>
      <c r="O18" s="3"/>
    </row>
    <row r="19" spans="2:15" ht="15" customHeight="1">
      <c r="B19" s="10" t="s">
        <v>130</v>
      </c>
      <c r="C19" s="4"/>
      <c r="D19" s="4"/>
      <c r="E19" s="77" t="s">
        <v>132</v>
      </c>
      <c r="F19" s="78">
        <f>VLOOKUP(G19,Data!$K$19:$L$24,2,FALSE)</f>
        <v>0.7</v>
      </c>
      <c r="G19" s="76" t="s">
        <v>125</v>
      </c>
      <c r="H19" s="4"/>
      <c r="I19" s="4"/>
      <c r="J19" s="4"/>
      <c r="K19" s="4"/>
      <c r="L19" s="4"/>
      <c r="M19" s="4"/>
      <c r="N19" s="8"/>
      <c r="O19" s="3"/>
    </row>
    <row r="20" spans="2:15" ht="14.25">
      <c r="B20" s="10" t="s">
        <v>131</v>
      </c>
      <c r="C20" s="4"/>
      <c r="D20" s="4"/>
      <c r="E20" s="77" t="s">
        <v>133</v>
      </c>
      <c r="F20" s="78">
        <f>VLOOKUP(G20,Data!$K$19:$L$24,2,FALSE)</f>
        <v>0.5</v>
      </c>
      <c r="G20" s="76" t="s">
        <v>126</v>
      </c>
      <c r="H20" s="4"/>
      <c r="I20" s="4"/>
      <c r="J20" s="4"/>
      <c r="K20" s="4"/>
      <c r="L20" s="4"/>
      <c r="M20" s="4"/>
      <c r="N20" s="8"/>
    </row>
    <row r="21" spans="2:15" ht="15" customHeight="1">
      <c r="B21" s="9" t="s">
        <v>41</v>
      </c>
      <c r="C21" s="72"/>
      <c r="D21" s="72"/>
      <c r="E21" s="72"/>
      <c r="F21" s="72"/>
      <c r="G21" s="72"/>
      <c r="H21" s="72"/>
      <c r="I21" s="72"/>
      <c r="J21" s="72"/>
      <c r="K21" s="72"/>
      <c r="L21" s="72"/>
      <c r="M21" s="72"/>
      <c r="N21" s="8"/>
    </row>
    <row r="22" spans="2:15" ht="15.75" customHeight="1">
      <c r="B22" s="53" t="s">
        <v>24</v>
      </c>
      <c r="C22" s="123" t="s">
        <v>207</v>
      </c>
      <c r="D22" s="124"/>
      <c r="E22" s="125"/>
      <c r="F22" s="131" t="s">
        <v>34</v>
      </c>
      <c r="G22" s="132"/>
      <c r="H22" s="128" t="s">
        <v>29</v>
      </c>
      <c r="I22" s="129"/>
      <c r="J22" s="129"/>
      <c r="K22" s="129"/>
      <c r="L22" s="129"/>
      <c r="M22" s="129"/>
      <c r="N22" s="130"/>
    </row>
    <row r="23" spans="2:15" ht="14.25">
      <c r="B23" s="6" t="s">
        <v>21</v>
      </c>
      <c r="C23" s="6" t="s">
        <v>23</v>
      </c>
      <c r="D23" s="6" t="s">
        <v>52</v>
      </c>
      <c r="E23" s="6" t="s">
        <v>26</v>
      </c>
      <c r="F23" s="152" t="s">
        <v>25</v>
      </c>
      <c r="G23" s="152" t="s">
        <v>35</v>
      </c>
      <c r="H23" s="6" t="s">
        <v>28</v>
      </c>
      <c r="I23" s="6" t="s">
        <v>63</v>
      </c>
      <c r="J23" s="6" t="s">
        <v>64</v>
      </c>
      <c r="K23" s="6" t="s">
        <v>65</v>
      </c>
      <c r="L23" s="6" t="s">
        <v>66</v>
      </c>
      <c r="M23" s="6" t="s">
        <v>68</v>
      </c>
      <c r="N23" s="33" t="s">
        <v>69</v>
      </c>
    </row>
    <row r="24" spans="2:15" ht="15">
      <c r="B24" s="6" t="s">
        <v>43</v>
      </c>
      <c r="C24" s="6" t="s">
        <v>43</v>
      </c>
      <c r="D24" s="6" t="s">
        <v>43</v>
      </c>
      <c r="E24" s="6" t="s">
        <v>43</v>
      </c>
      <c r="F24" s="153"/>
      <c r="G24" s="153"/>
      <c r="H24" s="14" t="s">
        <v>44</v>
      </c>
      <c r="I24" s="15" t="s">
        <v>30</v>
      </c>
      <c r="J24" s="15" t="s">
        <v>30</v>
      </c>
      <c r="K24" s="15" t="s">
        <v>31</v>
      </c>
      <c r="L24" s="15" t="s">
        <v>31</v>
      </c>
      <c r="M24" s="15" t="s">
        <v>67</v>
      </c>
      <c r="N24" s="15" t="s">
        <v>67</v>
      </c>
    </row>
    <row r="25" spans="2:15" ht="15" customHeight="1">
      <c r="B25" s="23">
        <f>VLOOKUP(C22,Data!$C$20:$F$99,2,FALSE)</f>
        <v>206000</v>
      </c>
      <c r="C25" s="6">
        <f>VLOOKUP(C22,Data!$C$20:$F$99,3,FALSE)</f>
        <v>245</v>
      </c>
      <c r="D25" s="31">
        <f>C25/F25</f>
        <v>233.33333333333331</v>
      </c>
      <c r="E25" s="16">
        <f>0.58*C25/F25</f>
        <v>135.33333333333331</v>
      </c>
      <c r="F25" s="7">
        <v>1.05</v>
      </c>
      <c r="G25" s="7">
        <v>0.95</v>
      </c>
      <c r="H25" s="19">
        <f>(F15*F16-(F15-2*F17)*(F16-2*F17))/100</f>
        <v>8.64</v>
      </c>
      <c r="I25" s="20">
        <f>(F16*F15^3/12-(F16-2*F17)*(F15-2*F17)^3/12)/10000</f>
        <v>112.11920000000001</v>
      </c>
      <c r="J25" s="20">
        <f>(F15*F16^3/12-(F15-2*F17)*(F16-2*F17)^3/12)/10000</f>
        <v>37.4392</v>
      </c>
      <c r="K25" s="17">
        <f>I25/(F15/20)</f>
        <v>22.423840000000002</v>
      </c>
      <c r="L25" s="17">
        <f>J25/(F16/20)</f>
        <v>14.975680000000001</v>
      </c>
      <c r="M25" s="17">
        <f>SQRT(I25/H25)</f>
        <v>3.6023269228735</v>
      </c>
      <c r="N25" s="17">
        <f>SQRT(J25/H25)</f>
        <v>2.0816437593259662</v>
      </c>
    </row>
    <row r="26" spans="2:15" ht="15" customHeight="1">
      <c r="B26" s="12"/>
      <c r="C26" s="4"/>
      <c r="D26" s="4"/>
      <c r="E26" s="4"/>
      <c r="F26" s="4"/>
      <c r="G26" s="4"/>
      <c r="H26" s="4"/>
      <c r="I26" s="4"/>
      <c r="J26" s="4"/>
      <c r="K26" s="4"/>
      <c r="L26" s="4"/>
      <c r="M26" s="4"/>
      <c r="N26" s="11"/>
    </row>
    <row r="27" spans="2:15">
      <c r="B27" s="9" t="s">
        <v>42</v>
      </c>
      <c r="C27" s="4"/>
      <c r="D27" s="4"/>
      <c r="E27" s="4"/>
      <c r="F27" s="4"/>
      <c r="G27" s="4"/>
      <c r="H27" s="4"/>
      <c r="I27" s="4"/>
      <c r="J27" s="4"/>
      <c r="K27" s="4"/>
      <c r="L27" s="79"/>
      <c r="M27" s="4"/>
      <c r="N27" s="11"/>
    </row>
    <row r="28" spans="2:15" ht="15" customHeight="1">
      <c r="B28" s="12"/>
      <c r="C28" s="154" t="s">
        <v>50</v>
      </c>
      <c r="D28" s="26" t="s">
        <v>36</v>
      </c>
      <c r="E28" s="156" t="s">
        <v>51</v>
      </c>
      <c r="F28" s="156"/>
      <c r="G28" s="6" t="s">
        <v>39</v>
      </c>
      <c r="H28" s="6" t="s">
        <v>59</v>
      </c>
      <c r="I28" s="6" t="s">
        <v>60</v>
      </c>
      <c r="J28" s="6" t="s">
        <v>61</v>
      </c>
      <c r="K28" s="6" t="s">
        <v>62</v>
      </c>
      <c r="L28" s="6" t="s">
        <v>40</v>
      </c>
      <c r="M28" s="6" t="s">
        <v>157</v>
      </c>
      <c r="N28" s="6" t="s">
        <v>158</v>
      </c>
    </row>
    <row r="29" spans="2:15">
      <c r="B29" s="12"/>
      <c r="C29" s="155"/>
      <c r="D29" s="23" t="s">
        <v>49</v>
      </c>
      <c r="E29" s="156"/>
      <c r="F29" s="156"/>
      <c r="G29" s="6" t="s">
        <v>38</v>
      </c>
      <c r="H29" s="6" t="s">
        <v>38</v>
      </c>
      <c r="I29" s="6" t="s">
        <v>38</v>
      </c>
      <c r="J29" s="6" t="s">
        <v>37</v>
      </c>
      <c r="K29" s="6" t="s">
        <v>37</v>
      </c>
      <c r="L29" s="6" t="s">
        <v>37</v>
      </c>
      <c r="M29" s="6" t="s">
        <v>4</v>
      </c>
      <c r="N29" s="6" t="s">
        <v>4</v>
      </c>
    </row>
    <row r="30" spans="2:15" ht="15" customHeight="1">
      <c r="B30" s="12"/>
      <c r="C30" s="7">
        <v>408</v>
      </c>
      <c r="D30" s="32">
        <v>10.829833921897823</v>
      </c>
      <c r="E30" s="157" t="s">
        <v>57</v>
      </c>
      <c r="F30" s="157"/>
      <c r="G30" s="32">
        <v>30</v>
      </c>
      <c r="H30" s="32">
        <v>0</v>
      </c>
      <c r="I30" s="32">
        <v>5.7400017074193716E-4</v>
      </c>
      <c r="J30" s="32">
        <v>1</v>
      </c>
      <c r="K30" s="32">
        <v>5</v>
      </c>
      <c r="L30" s="32">
        <v>-3.9689899611419909E-5</v>
      </c>
      <c r="M30" s="22">
        <f>K30*1000/G30</f>
        <v>166.66666666666666</v>
      </c>
      <c r="N30" s="22">
        <f>J30*1000/G30</f>
        <v>33.333333333333336</v>
      </c>
    </row>
    <row r="31" spans="2:15">
      <c r="B31" s="12"/>
      <c r="C31" s="4"/>
      <c r="D31" s="4"/>
      <c r="E31" s="4"/>
      <c r="F31" s="4"/>
      <c r="G31" s="4"/>
      <c r="H31" s="4"/>
      <c r="I31" s="4"/>
      <c r="J31" s="4"/>
      <c r="K31" s="4"/>
      <c r="L31" s="4"/>
      <c r="M31" s="4"/>
      <c r="N31" s="11"/>
    </row>
    <row r="32" spans="2:15">
      <c r="B32" s="146" t="s">
        <v>32</v>
      </c>
      <c r="C32" s="147"/>
      <c r="D32" s="147"/>
      <c r="E32" s="4"/>
      <c r="F32" s="4"/>
      <c r="G32" s="4"/>
      <c r="H32" s="4"/>
      <c r="I32" s="4"/>
      <c r="J32" s="4"/>
      <c r="K32" s="4"/>
      <c r="L32" s="4"/>
      <c r="M32" s="72"/>
      <c r="N32" s="8"/>
    </row>
    <row r="33" spans="2:17">
      <c r="B33" s="42" t="s">
        <v>89</v>
      </c>
      <c r="C33" s="4"/>
      <c r="D33" s="4"/>
      <c r="E33" s="4"/>
      <c r="F33" s="4"/>
      <c r="G33" s="4"/>
      <c r="H33" s="4"/>
      <c r="I33" s="4"/>
      <c r="J33" s="4"/>
      <c r="K33" s="4"/>
      <c r="L33" s="4"/>
      <c r="M33" s="4"/>
      <c r="N33" s="11"/>
    </row>
    <row r="34" spans="2:17" ht="14.25">
      <c r="B34" s="10"/>
      <c r="C34" s="80" t="s">
        <v>90</v>
      </c>
      <c r="D34" s="4"/>
      <c r="E34" s="4"/>
      <c r="F34" s="4"/>
      <c r="G34" s="4"/>
      <c r="H34" s="4"/>
      <c r="I34" s="4"/>
      <c r="J34" s="4"/>
      <c r="K34" s="81" t="s">
        <v>91</v>
      </c>
      <c r="L34" s="82">
        <f>ABS(G30)/(H25*D25)*10</f>
        <v>0.14880952380952381</v>
      </c>
      <c r="M34" s="83" t="str">
        <f>IF(L34&gt;0.1,"&gt; 0.1","≤ 0.1")</f>
        <v>&gt; 0.1</v>
      </c>
      <c r="N34" s="8"/>
    </row>
    <row r="35" spans="2:17" ht="14.25">
      <c r="B35" s="55" t="s">
        <v>96</v>
      </c>
      <c r="C35" s="4"/>
      <c r="D35" s="4"/>
      <c r="E35" s="4"/>
      <c r="F35" s="4"/>
      <c r="G35" s="4"/>
      <c r="H35" s="55" t="s">
        <v>97</v>
      </c>
      <c r="I35" s="4"/>
      <c r="J35" s="4"/>
      <c r="K35" s="4"/>
      <c r="L35" s="4"/>
      <c r="M35" s="4"/>
      <c r="N35" s="11"/>
      <c r="P35" s="148"/>
      <c r="Q35" s="149"/>
    </row>
    <row r="36" spans="2:17">
      <c r="B36" s="84"/>
      <c r="C36" s="4"/>
      <c r="D36" s="4"/>
      <c r="E36" s="4"/>
      <c r="F36" s="85"/>
      <c r="G36" s="51"/>
      <c r="H36" s="12"/>
      <c r="I36" s="4"/>
      <c r="J36" s="4"/>
      <c r="K36" s="4"/>
      <c r="L36" s="4"/>
      <c r="M36" s="4"/>
      <c r="N36" s="11"/>
      <c r="P36" s="150"/>
      <c r="Q36" s="151"/>
    </row>
    <row r="37" spans="2:17">
      <c r="B37" s="12"/>
      <c r="C37" s="4"/>
      <c r="D37" s="4"/>
      <c r="E37" s="4"/>
      <c r="F37" s="4"/>
      <c r="G37" s="4"/>
      <c r="H37" s="12"/>
      <c r="I37" s="4"/>
      <c r="J37" s="4"/>
      <c r="K37" s="4"/>
      <c r="L37" s="4"/>
      <c r="M37" s="4"/>
      <c r="N37" s="11"/>
    </row>
    <row r="38" spans="2:17">
      <c r="B38" s="12"/>
      <c r="C38" s="4"/>
      <c r="D38" s="4"/>
      <c r="E38" s="4"/>
      <c r="F38" s="4"/>
      <c r="G38" s="4"/>
      <c r="H38" s="12"/>
      <c r="I38" s="4"/>
      <c r="J38" s="4"/>
      <c r="K38" s="4"/>
      <c r="L38" s="4"/>
      <c r="M38" s="4"/>
      <c r="N38" s="11"/>
    </row>
    <row r="39" spans="2:17" ht="14.25">
      <c r="B39" s="86" t="s">
        <v>92</v>
      </c>
      <c r="C39" s="87">
        <v>1.5</v>
      </c>
      <c r="D39" s="81" t="s">
        <v>93</v>
      </c>
      <c r="E39" s="88" cm="1">
        <f t="array" ref="E39">noisuy1chieu(F16/(2*(F15-2*F17)),Data!$C$89:$H$89,Data!$C$90:$H$90)</f>
        <v>1.1855319738388062</v>
      </c>
      <c r="F39" s="81" t="s">
        <v>94</v>
      </c>
      <c r="G39" s="88" cm="1">
        <f t="array" ref="G39">noisuy1chieu(F16/(2*(F15-2*F17)),Data!$C$89:$H$89,Data!$C$91:$H$91)</f>
        <v>1.0731915235519409</v>
      </c>
      <c r="H39" s="12"/>
      <c r="I39" s="4"/>
      <c r="J39" s="4"/>
      <c r="K39" s="4"/>
      <c r="L39" s="4"/>
      <c r="M39" s="4"/>
      <c r="N39" s="11"/>
    </row>
    <row r="40" spans="2:17" ht="14.25">
      <c r="B40" s="10" t="s">
        <v>33</v>
      </c>
      <c r="C40" s="4"/>
      <c r="D40" s="4"/>
      <c r="E40" s="4"/>
      <c r="F40" s="4"/>
      <c r="G40" s="4"/>
      <c r="H40" s="4"/>
      <c r="I40" s="4"/>
      <c r="J40" s="4"/>
      <c r="K40" s="73" t="s">
        <v>58</v>
      </c>
      <c r="L40" s="54">
        <f>D25*G25</f>
        <v>221.66666666666663</v>
      </c>
      <c r="M40" s="72" t="s">
        <v>43</v>
      </c>
      <c r="N40" s="8"/>
    </row>
    <row r="41" spans="2:17" ht="14.25">
      <c r="B41" s="10" t="s">
        <v>104</v>
      </c>
      <c r="C41" s="4"/>
      <c r="D41" s="4"/>
      <c r="E41" s="4"/>
      <c r="F41" s="4"/>
      <c r="G41" s="4"/>
      <c r="H41" s="4"/>
      <c r="I41" s="4"/>
      <c r="J41" s="4"/>
      <c r="K41" s="73" t="s">
        <v>105</v>
      </c>
      <c r="L41" s="51">
        <f>(G30/(H25*L40)*10)^IF(L34&gt;0.1,C39,1)</f>
        <v>6.1995573588395164E-2</v>
      </c>
      <c r="M41" s="72"/>
      <c r="N41" s="8"/>
    </row>
    <row r="42" spans="2:17" ht="14.25">
      <c r="B42" s="10" t="s">
        <v>155</v>
      </c>
      <c r="C42" s="4"/>
      <c r="D42" s="4"/>
      <c r="E42" s="4"/>
      <c r="F42" s="4"/>
      <c r="G42" s="4"/>
      <c r="H42" s="4"/>
      <c r="I42" s="4"/>
      <c r="J42" s="4"/>
      <c r="K42" s="73" t="s">
        <v>106</v>
      </c>
      <c r="L42" s="51">
        <f>ABS(K30)/(K25*L40*IF(L34&gt;0.1,E39,1))*1000</f>
        <v>0.84848927349166647</v>
      </c>
      <c r="M42" s="72"/>
      <c r="N42" s="8"/>
    </row>
    <row r="43" spans="2:17" ht="14.25">
      <c r="B43" s="10" t="s">
        <v>156</v>
      </c>
      <c r="C43" s="4"/>
      <c r="D43" s="4"/>
      <c r="E43" s="4"/>
      <c r="F43" s="4"/>
      <c r="G43" s="4"/>
      <c r="H43" s="4"/>
      <c r="I43" s="4"/>
      <c r="J43" s="4"/>
      <c r="K43" s="73" t="s">
        <v>107</v>
      </c>
      <c r="L43" s="51">
        <f>ABS(J30)/(L25*L40*IF(L34&gt;0.1,G39,1))*1000</f>
        <v>0.28069574163870098</v>
      </c>
      <c r="M43" s="72"/>
      <c r="N43" s="8"/>
    </row>
    <row r="44" spans="2:17" ht="14.25">
      <c r="B44" s="10" t="s">
        <v>108</v>
      </c>
      <c r="C44" s="4"/>
      <c r="D44" s="4"/>
      <c r="E44" s="4"/>
      <c r="F44" s="4"/>
      <c r="G44" s="4"/>
      <c r="H44" s="4"/>
      <c r="I44" s="4"/>
      <c r="J44" s="4"/>
      <c r="K44" s="73" t="s">
        <v>109</v>
      </c>
      <c r="L44" s="89">
        <f>SUM(L41:L43)</f>
        <v>1.1911805887187625</v>
      </c>
      <c r="M44" s="71" t="str">
        <f>IF(L44&lt;=1,"OK","Check")</f>
        <v>Check</v>
      </c>
      <c r="N44" s="8"/>
    </row>
    <row r="45" spans="2:17">
      <c r="B45" s="9"/>
      <c r="C45" s="4"/>
      <c r="D45" s="4"/>
      <c r="E45" s="4"/>
      <c r="F45" s="4"/>
      <c r="G45" s="4"/>
      <c r="H45" s="83"/>
      <c r="I45" s="83"/>
      <c r="J45" s="83"/>
      <c r="K45" s="83"/>
      <c r="L45" s="83"/>
      <c r="M45" s="4"/>
      <c r="N45" s="11"/>
    </row>
    <row r="46" spans="2:17">
      <c r="B46" s="42" t="s">
        <v>145</v>
      </c>
      <c r="C46" s="4"/>
      <c r="D46" s="4"/>
      <c r="E46" s="4"/>
      <c r="F46" s="4"/>
      <c r="G46" s="4"/>
      <c r="H46" s="126" t="s">
        <v>110</v>
      </c>
      <c r="I46" s="126"/>
      <c r="J46" s="127"/>
      <c r="K46" s="126" t="s">
        <v>111</v>
      </c>
      <c r="L46" s="126"/>
      <c r="M46" s="126"/>
      <c r="N46" s="11"/>
    </row>
    <row r="47" spans="2:17" ht="14.25">
      <c r="B47" s="10" t="s">
        <v>112</v>
      </c>
      <c r="C47" s="4"/>
      <c r="D47" s="4"/>
      <c r="E47" s="4"/>
      <c r="F47" s="4"/>
      <c r="G47" s="4"/>
      <c r="H47" s="81" t="s">
        <v>113</v>
      </c>
      <c r="I47" s="25">
        <f>F18*F19</f>
        <v>2520</v>
      </c>
      <c r="J47" s="11" t="s">
        <v>4</v>
      </c>
      <c r="K47" s="81" t="s">
        <v>114</v>
      </c>
      <c r="L47" s="25">
        <f>F18*F20</f>
        <v>1800</v>
      </c>
      <c r="M47" s="4" t="s">
        <v>4</v>
      </c>
      <c r="N47" s="11"/>
    </row>
    <row r="48" spans="2:17" ht="14.25">
      <c r="B48" s="10" t="s">
        <v>115</v>
      </c>
      <c r="C48" s="4"/>
      <c r="D48" s="4"/>
      <c r="E48" s="4"/>
      <c r="F48" s="4"/>
      <c r="G48" s="4"/>
      <c r="H48" s="90" t="s">
        <v>116</v>
      </c>
      <c r="I48" s="54">
        <f>I47/(M25*10)</f>
        <v>69.954783503931651</v>
      </c>
      <c r="J48" s="11"/>
      <c r="K48" s="90" t="s">
        <v>117</v>
      </c>
      <c r="L48" s="91">
        <f>L47/(N25*10)</f>
        <v>86.470126885824001</v>
      </c>
      <c r="M48" s="4"/>
      <c r="N48" s="11"/>
    </row>
    <row r="49" spans="2:14" ht="14.25">
      <c r="B49" s="10" t="s">
        <v>118</v>
      </c>
      <c r="C49" s="4"/>
      <c r="D49" s="4"/>
      <c r="E49" s="4"/>
      <c r="F49" s="4"/>
      <c r="G49" s="4"/>
      <c r="H49" s="81" t="s">
        <v>119</v>
      </c>
      <c r="I49" s="54">
        <f>180-60*G91</f>
        <v>161.20300751879699</v>
      </c>
      <c r="J49" s="11"/>
      <c r="K49" s="81" t="s">
        <v>120</v>
      </c>
      <c r="L49" s="91">
        <f>180-60*M91</f>
        <v>161.20300751879699</v>
      </c>
      <c r="M49" s="4"/>
      <c r="N49" s="11"/>
    </row>
    <row r="50" spans="2:14" ht="14.25">
      <c r="B50" s="10" t="s">
        <v>134</v>
      </c>
      <c r="C50" s="4"/>
      <c r="D50" s="4"/>
      <c r="E50" s="4"/>
      <c r="F50" s="4"/>
      <c r="G50" s="4"/>
      <c r="H50" s="90" t="s">
        <v>135</v>
      </c>
      <c r="I50" s="89">
        <f>I48/I49</f>
        <v>0.4339545805047999</v>
      </c>
      <c r="J50" s="70" t="str">
        <f>IF(I50&lt;=1,"OK","Check")</f>
        <v>OK</v>
      </c>
      <c r="K50" s="90" t="s">
        <v>136</v>
      </c>
      <c r="L50" s="89">
        <f>L48/L49</f>
        <v>0.53640517144657607</v>
      </c>
      <c r="M50" s="64" t="str">
        <f>IF(L50&lt;=1,"OK","Check")</f>
        <v>OK</v>
      </c>
      <c r="N50" s="11"/>
    </row>
    <row r="51" spans="2:14">
      <c r="B51" s="84"/>
      <c r="C51" s="4"/>
      <c r="D51" s="4"/>
      <c r="E51" s="4"/>
      <c r="F51" s="4"/>
      <c r="G51" s="4"/>
      <c r="H51" s="4"/>
      <c r="I51" s="4"/>
      <c r="J51" s="4"/>
      <c r="K51" s="90"/>
      <c r="L51" s="92"/>
      <c r="M51" s="4"/>
      <c r="N51" s="11"/>
    </row>
    <row r="52" spans="2:14">
      <c r="B52" s="42" t="s">
        <v>154</v>
      </c>
      <c r="C52" s="4"/>
      <c r="D52" s="4"/>
      <c r="E52" s="4"/>
      <c r="F52" s="4"/>
      <c r="G52" s="4"/>
      <c r="H52" s="126" t="s">
        <v>179</v>
      </c>
      <c r="I52" s="126"/>
      <c r="J52" s="126"/>
      <c r="K52" s="126" t="s">
        <v>180</v>
      </c>
      <c r="L52" s="126"/>
      <c r="M52" s="126"/>
      <c r="N52" s="11"/>
    </row>
    <row r="53" spans="2:14" ht="14.25">
      <c r="B53" s="10" t="s">
        <v>153</v>
      </c>
      <c r="C53" s="4"/>
      <c r="D53" s="4"/>
      <c r="E53" s="4"/>
      <c r="F53" s="4"/>
      <c r="G53" s="4"/>
      <c r="H53" s="93" t="s">
        <v>166</v>
      </c>
      <c r="I53" s="94">
        <f>IF(K30=0,"-",F91)</f>
        <v>0.12824223935604095</v>
      </c>
      <c r="J53" s="11"/>
      <c r="K53" s="93" t="s">
        <v>168</v>
      </c>
      <c r="L53" s="94">
        <f>IF(J30=0,"-",L91)</f>
        <v>0.30765599012374878</v>
      </c>
      <c r="M53" s="4"/>
      <c r="N53" s="11"/>
    </row>
    <row r="54" spans="2:14" ht="14.25">
      <c r="B54" s="10" t="s">
        <v>164</v>
      </c>
      <c r="C54" s="4"/>
      <c r="D54" s="4"/>
      <c r="E54" s="4"/>
      <c r="F54" s="4"/>
      <c r="G54" s="4"/>
      <c r="H54" s="81" t="s">
        <v>167</v>
      </c>
      <c r="I54" s="54">
        <f>IF(I53="-","-",ABS(G30)/(F91*H25)*10)</f>
        <v>270.75495871389427</v>
      </c>
      <c r="J54" s="11" t="s">
        <v>43</v>
      </c>
      <c r="K54" s="4" t="s">
        <v>169</v>
      </c>
      <c r="L54" s="54">
        <f>IF(L53="-","-",ABS(G30)/(L91*H25)*10)</f>
        <v>112.8605433889191</v>
      </c>
      <c r="M54" s="4" t="s">
        <v>43</v>
      </c>
      <c r="N54" s="11"/>
    </row>
    <row r="55" spans="2:14" ht="14.25">
      <c r="B55" s="10" t="s">
        <v>95</v>
      </c>
      <c r="C55" s="4"/>
      <c r="D55" s="4"/>
      <c r="E55" s="4"/>
      <c r="F55" s="4"/>
      <c r="G55" s="4"/>
      <c r="H55" s="81" t="s">
        <v>137</v>
      </c>
      <c r="I55" s="54">
        <f>IF(I53="-","-",D25*G25)</f>
        <v>221.66666666666663</v>
      </c>
      <c r="J55" s="11" t="s">
        <v>43</v>
      </c>
      <c r="K55" s="81" t="s">
        <v>137</v>
      </c>
      <c r="L55" s="54">
        <f>IF(L53="-","-",D25*G25)</f>
        <v>221.66666666666663</v>
      </c>
      <c r="M55" s="4" t="s">
        <v>43</v>
      </c>
      <c r="N55" s="11"/>
    </row>
    <row r="56" spans="2:14">
      <c r="B56" s="10" t="s">
        <v>204</v>
      </c>
      <c r="C56" s="4"/>
      <c r="D56" s="4"/>
      <c r="E56" s="4"/>
      <c r="F56" s="4"/>
      <c r="G56" s="4"/>
      <c r="H56" s="4"/>
      <c r="I56" s="89">
        <f>IF(I53="-","-",I54/I55)</f>
        <v>1.2214509415664405</v>
      </c>
      <c r="J56" s="70" t="str">
        <f>IF(I53="-","",IF(I56&lt;=1,"OK","Check"))</f>
        <v>Check</v>
      </c>
      <c r="K56" s="4"/>
      <c r="L56" s="89">
        <f>IF(L53="-","-",L54/L55)</f>
        <v>0.50914530852143958</v>
      </c>
      <c r="M56" s="64" t="str">
        <f>IF(L56="-","",IF(L56&lt;=1,"OK","Check"))</f>
        <v>OK</v>
      </c>
      <c r="N56" s="11"/>
    </row>
    <row r="57" spans="2:14">
      <c r="B57" s="84"/>
      <c r="C57" s="4"/>
      <c r="D57" s="4"/>
      <c r="E57" s="4"/>
      <c r="F57" s="4"/>
      <c r="G57" s="4"/>
      <c r="H57" s="4"/>
      <c r="I57" s="4"/>
      <c r="J57" s="4"/>
      <c r="K57" s="90"/>
      <c r="L57" s="92"/>
      <c r="M57" s="4"/>
      <c r="N57" s="11"/>
    </row>
    <row r="58" spans="2:14">
      <c r="B58" s="42" t="s">
        <v>165</v>
      </c>
      <c r="C58" s="4"/>
      <c r="D58" s="4"/>
      <c r="E58" s="4"/>
      <c r="F58" s="4"/>
      <c r="G58" s="4"/>
      <c r="H58" s="126" t="s">
        <v>179</v>
      </c>
      <c r="I58" s="126"/>
      <c r="J58" s="126"/>
      <c r="K58" s="126" t="s">
        <v>180</v>
      </c>
      <c r="L58" s="126"/>
      <c r="M58" s="126"/>
      <c r="N58" s="11"/>
    </row>
    <row r="59" spans="2:14">
      <c r="B59" s="10" t="s">
        <v>138</v>
      </c>
      <c r="C59" s="4"/>
      <c r="D59" s="4"/>
      <c r="E59" s="4"/>
      <c r="F59" s="4"/>
      <c r="G59" s="4"/>
      <c r="H59" s="81" t="s">
        <v>73</v>
      </c>
      <c r="I59" s="92">
        <f>L95</f>
        <v>0.14667762460964054</v>
      </c>
      <c r="J59" s="11"/>
      <c r="K59" s="81" t="s">
        <v>139</v>
      </c>
      <c r="L59" s="92">
        <f>L99</f>
        <v>0.44590422518826345</v>
      </c>
      <c r="M59" s="4"/>
      <c r="N59" s="11"/>
    </row>
    <row r="60" spans="2:14" ht="14.25">
      <c r="B60" s="10" t="s">
        <v>140</v>
      </c>
      <c r="C60" s="4"/>
      <c r="D60" s="4"/>
      <c r="E60" s="4"/>
      <c r="F60" s="4"/>
      <c r="G60" s="4"/>
      <c r="H60" s="90" t="s">
        <v>141</v>
      </c>
      <c r="I60" s="92">
        <f>D95</f>
        <v>0.6454392671585083</v>
      </c>
      <c r="J60" s="11"/>
      <c r="K60" s="90" t="s">
        <v>181</v>
      </c>
      <c r="L60" s="92">
        <f>D99</f>
        <v>0.75891506671905518</v>
      </c>
      <c r="M60" s="4"/>
      <c r="N60" s="11"/>
    </row>
    <row r="61" spans="2:14" ht="14.25">
      <c r="B61" s="10" t="s">
        <v>142</v>
      </c>
      <c r="C61" s="4"/>
      <c r="D61" s="4"/>
      <c r="E61" s="4"/>
      <c r="F61" s="4"/>
      <c r="G61" s="4"/>
      <c r="H61" s="73" t="s">
        <v>105</v>
      </c>
      <c r="I61" s="95">
        <f>G30/(I59*I60*H25)*10</f>
        <v>366.76531753429089</v>
      </c>
      <c r="J61" s="11" t="s">
        <v>43</v>
      </c>
      <c r="K61" s="73" t="s">
        <v>105</v>
      </c>
      <c r="L61" s="95">
        <f>G30/(L59*L60*H25)*10</f>
        <v>102.60599819802023</v>
      </c>
      <c r="M61" s="4" t="s">
        <v>43</v>
      </c>
      <c r="N61" s="11"/>
    </row>
    <row r="62" spans="2:14" ht="14.25">
      <c r="B62" s="10" t="s">
        <v>95</v>
      </c>
      <c r="C62" s="4"/>
      <c r="D62" s="4"/>
      <c r="E62" s="4"/>
      <c r="F62" s="4"/>
      <c r="G62" s="4"/>
      <c r="H62" s="81" t="s">
        <v>137</v>
      </c>
      <c r="I62" s="27">
        <f>D25*G25</f>
        <v>221.66666666666663</v>
      </c>
      <c r="J62" s="11" t="s">
        <v>43</v>
      </c>
      <c r="K62" s="81" t="s">
        <v>137</v>
      </c>
      <c r="L62" s="27">
        <f>D25*G25</f>
        <v>221.66666666666663</v>
      </c>
      <c r="M62" s="4" t="s">
        <v>22</v>
      </c>
      <c r="N62" s="11"/>
    </row>
    <row r="63" spans="2:14">
      <c r="B63" s="10" t="s">
        <v>204</v>
      </c>
      <c r="C63" s="4"/>
      <c r="D63" s="4"/>
      <c r="E63" s="4"/>
      <c r="F63" s="4"/>
      <c r="G63" s="4"/>
      <c r="H63" s="4"/>
      <c r="I63" s="89">
        <f>IF(I59="-","-",I61/I62)</f>
        <v>1.6545803798539442</v>
      </c>
      <c r="J63" s="70" t="str">
        <f>IF(I60="-","",IF(I63&lt;=1,"OK","Check"))</f>
        <v>Check</v>
      </c>
      <c r="K63" s="4"/>
      <c r="L63" s="89">
        <f>IF(L60="-","-",L61/L62)</f>
        <v>0.46288420239708383</v>
      </c>
      <c r="M63" s="64" t="str">
        <f>IF(L63="-","",IF(L63&lt;=1,"OK","Check"))</f>
        <v>OK</v>
      </c>
      <c r="N63" s="11"/>
    </row>
    <row r="64" spans="2:14">
      <c r="B64" s="84"/>
      <c r="C64" s="4"/>
      <c r="D64" s="4"/>
      <c r="E64" s="4"/>
      <c r="F64" s="4"/>
      <c r="G64" s="4"/>
      <c r="H64" s="4"/>
      <c r="I64" s="4"/>
      <c r="J64" s="4"/>
      <c r="K64" s="90"/>
      <c r="L64" s="92"/>
      <c r="M64" s="4"/>
      <c r="N64" s="11"/>
    </row>
    <row r="65" spans="2:14">
      <c r="B65" s="42" t="s">
        <v>182</v>
      </c>
      <c r="C65" s="4"/>
      <c r="D65" s="4"/>
      <c r="E65" s="4"/>
      <c r="F65" s="4"/>
      <c r="G65" s="4"/>
      <c r="H65" s="4"/>
      <c r="I65" s="4"/>
      <c r="J65" s="4"/>
      <c r="K65" s="73"/>
      <c r="L65" s="4"/>
      <c r="M65" s="50"/>
      <c r="N65" s="21"/>
    </row>
    <row r="66" spans="2:14" ht="14.25">
      <c r="B66" s="10" t="s">
        <v>183</v>
      </c>
      <c r="C66" s="4"/>
      <c r="D66" s="85"/>
      <c r="E66" s="88"/>
      <c r="F66" s="96"/>
      <c r="G66" s="97"/>
      <c r="H66" s="93" t="s">
        <v>185</v>
      </c>
      <c r="I66" s="51">
        <f>L91</f>
        <v>0.30765599012374878</v>
      </c>
      <c r="J66" s="4"/>
      <c r="K66" s="93" t="s">
        <v>184</v>
      </c>
      <c r="L66" s="98">
        <f>I66*(0.6*I59^(1/3)+0.4*I59^(1/4))</f>
        <v>0.17350858002357875</v>
      </c>
      <c r="M66" s="72"/>
      <c r="N66" s="21"/>
    </row>
    <row r="67" spans="2:14" ht="14.25">
      <c r="B67" s="10" t="s">
        <v>186</v>
      </c>
      <c r="C67" s="4"/>
      <c r="D67" s="4"/>
      <c r="E67" s="4"/>
      <c r="F67" s="4"/>
      <c r="G67" s="4"/>
      <c r="H67" s="4"/>
      <c r="I67" s="4"/>
      <c r="J67" s="4"/>
      <c r="K67" s="73" t="s">
        <v>105</v>
      </c>
      <c r="L67" s="99">
        <f>ABS(G30)/(L66*H25)*10</f>
        <v>200.11818561078471</v>
      </c>
      <c r="M67" s="4" t="s">
        <v>43</v>
      </c>
      <c r="N67" s="21"/>
    </row>
    <row r="68" spans="2:14" ht="14.25">
      <c r="B68" s="10" t="s">
        <v>95</v>
      </c>
      <c r="C68" s="4"/>
      <c r="D68" s="4"/>
      <c r="E68" s="4"/>
      <c r="F68" s="4"/>
      <c r="G68" s="4"/>
      <c r="H68" s="4"/>
      <c r="I68" s="4"/>
      <c r="J68" s="4"/>
      <c r="K68" s="81" t="s">
        <v>137</v>
      </c>
      <c r="L68" s="99">
        <f>D25*G25</f>
        <v>221.66666666666663</v>
      </c>
      <c r="M68" s="4" t="s">
        <v>43</v>
      </c>
      <c r="N68" s="21"/>
    </row>
    <row r="69" spans="2:14">
      <c r="B69" s="10" t="s">
        <v>204</v>
      </c>
      <c r="C69" s="4"/>
      <c r="D69" s="4"/>
      <c r="E69" s="4"/>
      <c r="F69" s="4"/>
      <c r="G69" s="4"/>
      <c r="H69" s="4"/>
      <c r="I69" s="4"/>
      <c r="J69" s="4"/>
      <c r="K69" s="4"/>
      <c r="L69" s="89">
        <f>L67/L68</f>
        <v>0.90278880726669808</v>
      </c>
      <c r="M69" s="64" t="str">
        <f>IF(I66="-","",IF(L69&lt;=1,"OK","Check"))</f>
        <v>OK</v>
      </c>
      <c r="N69" s="21"/>
    </row>
    <row r="70" spans="2:14">
      <c r="B70" s="10"/>
      <c r="C70" s="4"/>
      <c r="D70" s="4"/>
      <c r="E70" s="4"/>
      <c r="F70" s="4"/>
      <c r="G70" s="4"/>
      <c r="H70" s="4"/>
      <c r="I70" s="4"/>
      <c r="J70" s="4"/>
      <c r="K70" s="73"/>
      <c r="L70" s="4"/>
      <c r="M70" s="50"/>
      <c r="N70" s="21"/>
    </row>
    <row r="71" spans="2:14">
      <c r="B71" s="42" t="s">
        <v>187</v>
      </c>
      <c r="C71" s="4"/>
      <c r="D71" s="4"/>
      <c r="E71" s="4"/>
      <c r="F71" s="4"/>
      <c r="G71" s="4"/>
      <c r="H71" s="4"/>
      <c r="I71" s="4"/>
      <c r="J71" s="4"/>
      <c r="K71" s="4"/>
      <c r="L71" s="4"/>
      <c r="M71" s="4"/>
      <c r="N71" s="11"/>
    </row>
    <row r="72" spans="2:14">
      <c r="B72" s="100" t="s">
        <v>199</v>
      </c>
      <c r="C72" s="4"/>
      <c r="D72" s="4"/>
      <c r="E72" s="4"/>
      <c r="F72" s="4"/>
      <c r="G72" s="4"/>
      <c r="H72" s="4"/>
      <c r="I72" s="4"/>
      <c r="J72" s="4"/>
      <c r="K72" s="4"/>
      <c r="L72" s="4"/>
      <c r="M72" s="4"/>
      <c r="N72" s="11"/>
    </row>
    <row r="73" spans="2:14" ht="14.25">
      <c r="B73" s="84" t="s">
        <v>188</v>
      </c>
      <c r="C73" s="4"/>
      <c r="D73" s="4"/>
      <c r="E73" s="4"/>
      <c r="F73" s="4"/>
      <c r="G73" s="4"/>
      <c r="H73" s="4"/>
      <c r="I73" s="4"/>
      <c r="J73" s="4"/>
      <c r="K73" s="81" t="s">
        <v>189</v>
      </c>
      <c r="L73" s="82">
        <f>(F16-2*F17)/F17</f>
        <v>14.666666666666666</v>
      </c>
      <c r="M73" s="4"/>
      <c r="N73" s="11"/>
    </row>
    <row r="74" spans="2:14" ht="14.25">
      <c r="B74" s="84" t="s">
        <v>190</v>
      </c>
      <c r="C74" s="4"/>
      <c r="D74" s="4"/>
      <c r="E74" s="4"/>
      <c r="F74" s="4"/>
      <c r="G74" s="4"/>
      <c r="H74" s="4"/>
      <c r="I74" s="4"/>
      <c r="J74" s="4"/>
      <c r="K74" s="81" t="s">
        <v>191</v>
      </c>
      <c r="L74" s="82">
        <f>C91</f>
        <v>2.3543563610227509</v>
      </c>
      <c r="M74" s="4"/>
      <c r="N74" s="11"/>
    </row>
    <row r="75" spans="2:14" ht="14.25">
      <c r="B75" s="84" t="s">
        <v>192</v>
      </c>
      <c r="C75" s="4"/>
      <c r="D75" s="4"/>
      <c r="E75" s="4"/>
      <c r="F75" s="4"/>
      <c r="G75" s="4"/>
      <c r="H75" s="4"/>
      <c r="I75" s="4"/>
      <c r="J75" s="4"/>
      <c r="K75" s="81" t="s">
        <v>193</v>
      </c>
      <c r="L75" s="82">
        <f>B91</f>
        <v>6.4217368657642933</v>
      </c>
      <c r="M75" s="4"/>
      <c r="N75" s="11"/>
    </row>
    <row r="76" spans="2:14" ht="14.25">
      <c r="B76" s="84" t="s">
        <v>194</v>
      </c>
      <c r="C76" s="4"/>
      <c r="D76" s="4"/>
      <c r="E76" s="4"/>
      <c r="F76" s="4"/>
      <c r="G76" s="4"/>
      <c r="H76" s="4"/>
      <c r="I76" s="4"/>
      <c r="J76" s="4"/>
      <c r="K76" s="4" t="s">
        <v>195</v>
      </c>
      <c r="L76" s="82" cm="1">
        <f t="array" ref="L76">BoxLimBoTf7634(L75, L74, B25, D25)</f>
        <v>30.760672226191481</v>
      </c>
      <c r="M76" s="4"/>
      <c r="N76" s="11"/>
    </row>
    <row r="77" spans="2:14" ht="14.25">
      <c r="B77" s="84" t="s">
        <v>201</v>
      </c>
      <c r="C77" s="4"/>
      <c r="D77" s="4"/>
      <c r="E77" s="4"/>
      <c r="F77" s="4"/>
      <c r="G77" s="4"/>
      <c r="H77" s="4"/>
      <c r="I77" s="4"/>
      <c r="J77" s="4"/>
      <c r="K77" s="81" t="s">
        <v>200</v>
      </c>
      <c r="L77" s="89">
        <f>L73/L76</f>
        <v>0.47679928965201829</v>
      </c>
      <c r="M77" s="64" t="str">
        <f>IF(I74="-","",IF(L77&lt;=1,"OK","Check"))</f>
        <v>OK</v>
      </c>
      <c r="N77" s="11"/>
    </row>
    <row r="78" spans="2:14">
      <c r="B78" s="84"/>
      <c r="C78" s="4"/>
      <c r="D78" s="4"/>
      <c r="E78" s="4"/>
      <c r="F78" s="4"/>
      <c r="G78" s="4"/>
      <c r="H78" s="4"/>
      <c r="I78" s="4"/>
      <c r="J78" s="4"/>
      <c r="K78" s="4"/>
      <c r="L78" s="101"/>
      <c r="M78" s="4"/>
      <c r="N78" s="11"/>
    </row>
    <row r="79" spans="2:14">
      <c r="B79" s="100" t="s">
        <v>202</v>
      </c>
      <c r="C79" s="4"/>
      <c r="D79" s="4"/>
      <c r="E79" s="4"/>
      <c r="F79" s="4"/>
      <c r="G79" s="4"/>
      <c r="H79" s="4"/>
      <c r="I79" s="4"/>
      <c r="J79" s="4"/>
      <c r="K79" s="4"/>
      <c r="L79" s="4"/>
      <c r="M79" s="4"/>
      <c r="N79" s="11"/>
    </row>
    <row r="80" spans="2:14" ht="14.25">
      <c r="B80" s="84" t="s">
        <v>196</v>
      </c>
      <c r="C80" s="4"/>
      <c r="D80" s="4"/>
      <c r="E80" s="4"/>
      <c r="F80" s="4"/>
      <c r="G80" s="4"/>
      <c r="H80" s="4"/>
      <c r="I80" s="4"/>
      <c r="J80" s="4"/>
      <c r="K80" s="4" t="s">
        <v>197</v>
      </c>
      <c r="L80" s="82">
        <f>(F15-2*F17)/F17</f>
        <v>31.333333333333332</v>
      </c>
      <c r="M80" s="4"/>
      <c r="N80" s="11"/>
    </row>
    <row r="81" spans="2:14" ht="14.25">
      <c r="B81" s="84" t="s">
        <v>190</v>
      </c>
      <c r="C81" s="4"/>
      <c r="D81" s="4"/>
      <c r="E81" s="4"/>
      <c r="F81" s="4"/>
      <c r="G81" s="4"/>
      <c r="H81" s="4"/>
      <c r="I81" s="4"/>
      <c r="J81" s="4"/>
      <c r="K81" s="81" t="s">
        <v>191</v>
      </c>
      <c r="L81" s="82">
        <f>C91</f>
        <v>2.3543563610227509</v>
      </c>
      <c r="M81" s="4"/>
      <c r="N81" s="11"/>
    </row>
    <row r="82" spans="2:14" ht="14.25">
      <c r="B82" s="84" t="s">
        <v>192</v>
      </c>
      <c r="C82" s="4"/>
      <c r="D82" s="4"/>
      <c r="E82" s="4"/>
      <c r="F82" s="4"/>
      <c r="G82" s="4"/>
      <c r="H82" s="4"/>
      <c r="I82" s="4"/>
      <c r="J82" s="4"/>
      <c r="K82" s="81" t="s">
        <v>193</v>
      </c>
      <c r="L82" s="82">
        <f>B91</f>
        <v>6.4217368657642933</v>
      </c>
      <c r="M82" s="4"/>
      <c r="N82" s="11"/>
    </row>
    <row r="83" spans="2:14" ht="14.25">
      <c r="B83" s="84" t="s">
        <v>194</v>
      </c>
      <c r="C83" s="4"/>
      <c r="D83" s="4"/>
      <c r="E83" s="4"/>
      <c r="F83" s="4"/>
      <c r="G83" s="4"/>
      <c r="H83" s="4"/>
      <c r="I83" s="4"/>
      <c r="J83" s="4"/>
      <c r="K83" s="4" t="s">
        <v>198</v>
      </c>
      <c r="L83" s="82" cm="1">
        <f t="array" ref="L83">BoxLimHwTw7622(L82, L81,B25, D25)</f>
        <v>60.139668693768982</v>
      </c>
      <c r="M83" s="4"/>
      <c r="N83" s="11"/>
    </row>
    <row r="84" spans="2:14" ht="14.25">
      <c r="B84" s="84" t="s">
        <v>201</v>
      </c>
      <c r="C84" s="4"/>
      <c r="D84" s="4"/>
      <c r="E84" s="4"/>
      <c r="F84" s="4"/>
      <c r="G84" s="4"/>
      <c r="H84" s="4"/>
      <c r="I84" s="4"/>
      <c r="J84" s="4"/>
      <c r="K84" s="81" t="s">
        <v>203</v>
      </c>
      <c r="L84" s="89">
        <f>L80/L83</f>
        <v>0.52100941049214244</v>
      </c>
      <c r="M84" s="64" t="str">
        <f>IF(I81="-","",IF(L84&lt;=1,"OK","Check"))</f>
        <v>OK</v>
      </c>
      <c r="N84" s="11"/>
    </row>
    <row r="85" spans="2:14">
      <c r="B85" s="102"/>
      <c r="C85" s="13"/>
      <c r="D85" s="13"/>
      <c r="E85" s="13"/>
      <c r="F85" s="13"/>
      <c r="G85" s="13"/>
      <c r="H85" s="13"/>
      <c r="I85" s="13"/>
      <c r="J85" s="13"/>
      <c r="K85" s="13"/>
      <c r="L85" s="13"/>
      <c r="M85" s="13"/>
      <c r="N85" s="28"/>
    </row>
    <row r="86" spans="2:14">
      <c r="B86" s="43"/>
      <c r="C86" s="13"/>
      <c r="D86" s="13"/>
      <c r="E86" s="50"/>
      <c r="F86" s="52"/>
      <c r="G86" s="25"/>
      <c r="H86" s="25"/>
      <c r="I86" s="51"/>
      <c r="J86" s="44"/>
      <c r="K86" s="13"/>
      <c r="L86" s="45"/>
      <c r="M86" s="13"/>
      <c r="N86" s="28"/>
    </row>
    <row r="87" spans="2:14">
      <c r="B87" s="137" t="s">
        <v>163</v>
      </c>
      <c r="C87" s="137"/>
      <c r="D87" s="137"/>
      <c r="E87" s="137"/>
      <c r="F87" s="137"/>
      <c r="G87" s="137"/>
      <c r="H87" s="137"/>
      <c r="I87" s="137"/>
      <c r="J87" s="137"/>
      <c r="K87" s="137"/>
      <c r="L87" s="137"/>
      <c r="M87" s="137"/>
      <c r="N87" s="137"/>
    </row>
    <row r="88" spans="2:14">
      <c r="B88" s="137" t="s">
        <v>170</v>
      </c>
      <c r="C88" s="137"/>
      <c r="D88" s="137"/>
      <c r="E88" s="137"/>
      <c r="F88" s="137"/>
      <c r="G88" s="137"/>
      <c r="H88" s="137" t="s">
        <v>171</v>
      </c>
      <c r="I88" s="137"/>
      <c r="J88" s="137"/>
      <c r="K88" s="137"/>
      <c r="L88" s="137"/>
      <c r="M88" s="137"/>
      <c r="N88" s="158"/>
    </row>
    <row r="89" spans="2:14">
      <c r="B89" s="69">
        <v>1</v>
      </c>
      <c r="C89" s="69">
        <v>2</v>
      </c>
      <c r="D89" s="69">
        <v>3</v>
      </c>
      <c r="E89" s="69">
        <v>4</v>
      </c>
      <c r="F89" s="69">
        <v>5</v>
      </c>
      <c r="G89" s="69">
        <v>6</v>
      </c>
      <c r="H89" s="69">
        <v>1</v>
      </c>
      <c r="I89" s="69">
        <v>2</v>
      </c>
      <c r="J89" s="69">
        <v>3</v>
      </c>
      <c r="K89" s="69">
        <v>4</v>
      </c>
      <c r="L89" s="69">
        <v>5</v>
      </c>
      <c r="M89" s="69">
        <v>6</v>
      </c>
      <c r="N89" s="159"/>
    </row>
    <row r="90" spans="2:14" ht="14.25">
      <c r="B90" s="6" t="s">
        <v>77</v>
      </c>
      <c r="C90" s="6" t="s">
        <v>146</v>
      </c>
      <c r="D90" s="66" t="s">
        <v>45</v>
      </c>
      <c r="E90" s="6" t="s">
        <v>159</v>
      </c>
      <c r="F90" s="65" t="s">
        <v>160</v>
      </c>
      <c r="G90" s="39" t="s">
        <v>72</v>
      </c>
      <c r="H90" s="6" t="s">
        <v>161</v>
      </c>
      <c r="I90" s="6" t="s">
        <v>146</v>
      </c>
      <c r="J90" s="66" t="s">
        <v>45</v>
      </c>
      <c r="K90" s="6" t="s">
        <v>82</v>
      </c>
      <c r="L90" s="65" t="s">
        <v>162</v>
      </c>
      <c r="M90" s="39" t="s">
        <v>72</v>
      </c>
      <c r="N90" s="159"/>
    </row>
    <row r="91" spans="2:14">
      <c r="B91" s="30">
        <f>(M30/10)*H25/K25</f>
        <v>6.4217368657642933</v>
      </c>
      <c r="C91" s="30">
        <f>I48*SQRT(D25/B25)</f>
        <v>2.3543563610227509</v>
      </c>
      <c r="D91" s="30">
        <f>IF(AND(C91&lt;=5,B91&lt;=5),(1.35-0.05*B91)-0.01*(5-B91)*C91,1.1)</f>
        <v>1.1000000000000001</v>
      </c>
      <c r="E91" s="30">
        <f>D91*B91</f>
        <v>7.0639105523407233</v>
      </c>
      <c r="F91" s="41" cm="1">
        <f t="array" ref="F91">IF(C12="-","-",noisuy2chieu(C91,E91,Data!$B$64:$AC$86))</f>
        <v>0.12824223935604095</v>
      </c>
      <c r="G91" s="41">
        <f>G30/(MAX(0.5,F91)*H25*D25*G25)*10</f>
        <v>0.31328320802005016</v>
      </c>
      <c r="H91" s="30">
        <f>(N30/10)*H25/L25</f>
        <v>1.9231180153422083</v>
      </c>
      <c r="I91" s="68">
        <f>L48*SQRT(D25/B25)</f>
        <v>2.9101868817969012</v>
      </c>
      <c r="J91" s="30">
        <f>IF(AND(I91&lt;=5,H91&lt;=5),(1.35-0.05*H91)-0.01*(5-H91)*I91,1.1)</f>
        <v>1.1643010833470064</v>
      </c>
      <c r="K91" s="30">
        <f>J91*H91</f>
        <v>2.2390883886670778</v>
      </c>
      <c r="L91" s="41" cm="1">
        <f t="array" ref="L91">IF(C12="-","-",noisuy2chieu(I91,K91,Data!$B$64:$AC$86))</f>
        <v>0.30765599012374878</v>
      </c>
      <c r="M91" s="41">
        <f>G30/(MAX(0.5,L91)*H25*D25*G25)*10</f>
        <v>0.31328320802005016</v>
      </c>
      <c r="N91" s="160"/>
    </row>
    <row r="92" spans="2:14">
      <c r="B92" s="137" t="s">
        <v>172</v>
      </c>
      <c r="C92" s="137"/>
      <c r="D92" s="137"/>
      <c r="E92" s="137"/>
      <c r="F92" s="137"/>
      <c r="G92" s="137"/>
      <c r="H92" s="137"/>
      <c r="I92" s="137"/>
      <c r="J92" s="137"/>
      <c r="K92" s="137"/>
      <c r="L92" s="137"/>
      <c r="M92" s="137"/>
      <c r="N92" s="137"/>
    </row>
    <row r="93" spans="2:14">
      <c r="B93" s="69">
        <v>7</v>
      </c>
      <c r="C93" s="69">
        <v>8</v>
      </c>
      <c r="D93" s="69">
        <v>9</v>
      </c>
      <c r="E93" s="69">
        <v>10</v>
      </c>
      <c r="F93" s="69">
        <v>11</v>
      </c>
      <c r="G93" s="69">
        <v>12</v>
      </c>
      <c r="H93" s="69">
        <v>13</v>
      </c>
      <c r="I93" s="69">
        <v>14</v>
      </c>
      <c r="J93" s="69">
        <v>15</v>
      </c>
      <c r="K93" s="69">
        <v>16</v>
      </c>
      <c r="L93" s="69">
        <v>17</v>
      </c>
      <c r="M93" s="133"/>
      <c r="N93" s="134"/>
    </row>
    <row r="94" spans="2:14" ht="14.25">
      <c r="B94" s="6" t="s">
        <v>77</v>
      </c>
      <c r="C94" s="40" t="s">
        <v>143</v>
      </c>
      <c r="D94" s="40" t="s">
        <v>144</v>
      </c>
      <c r="E94" s="40" t="s">
        <v>74</v>
      </c>
      <c r="F94" s="40" t="s">
        <v>75</v>
      </c>
      <c r="G94" s="39" t="s">
        <v>72</v>
      </c>
      <c r="H94" s="39" t="s">
        <v>76</v>
      </c>
      <c r="I94" s="6" t="s">
        <v>79</v>
      </c>
      <c r="J94" s="6" t="s">
        <v>80</v>
      </c>
      <c r="K94" s="6" t="s">
        <v>81</v>
      </c>
      <c r="L94" s="6" t="s">
        <v>78</v>
      </c>
      <c r="M94" s="135"/>
      <c r="N94" s="136"/>
    </row>
    <row r="95" spans="2:14">
      <c r="B95" s="30">
        <f>B91</f>
        <v>6.4217368657642933</v>
      </c>
      <c r="C95" s="30">
        <f>L48</f>
        <v>86.470126885824001</v>
      </c>
      <c r="D95" s="30" cm="1">
        <f t="array" ref="D95">Factorphi7321(C95, D25, B25)</f>
        <v>0.6454392671585083</v>
      </c>
      <c r="E95" s="30">
        <f>3.14*SQRT(B25/D25)</f>
        <v>93.298543856344764</v>
      </c>
      <c r="F95" s="30" cm="1">
        <f t="array" ref="F95">Factorphi7321(E95, D25, B25)</f>
        <v>0.59681206941604614</v>
      </c>
      <c r="G95" s="30">
        <f>IF(B95&lt;=1,0.6,0.55+0.05*B95)</f>
        <v>0.87108684328821473</v>
      </c>
      <c r="H95" s="30">
        <f>IF(C95&lt;=E95,1,SQRT(F95/D95))</f>
        <v>1</v>
      </c>
      <c r="I95" s="41" t="str">
        <f>IF(B95&lt;=5,H95/(1+G95*B95),"-")</f>
        <v>-</v>
      </c>
      <c r="J95" s="30">
        <f>IF(AND(B95&gt;5,B95&lt;10),(H95/(1+G95*B95))*(2-0.2*B95)+(1/(1+10*D95/1))*(0.2*B95-1),"-")</f>
        <v>0.14667762460964054</v>
      </c>
      <c r="K95" s="41" t="str">
        <f>IF(B95&gt;10,1/(1+B95*D95/1),"-")</f>
        <v>-</v>
      </c>
      <c r="L95" s="41">
        <f>IF(B95&lt;=5,I95,IF(B95&lt;10,J95,K95))</f>
        <v>0.14667762460964054</v>
      </c>
      <c r="M95" s="135"/>
      <c r="N95" s="136"/>
    </row>
    <row r="96" spans="2:14">
      <c r="B96" s="137" t="s">
        <v>173</v>
      </c>
      <c r="C96" s="137"/>
      <c r="D96" s="137"/>
      <c r="E96" s="137"/>
      <c r="F96" s="137"/>
      <c r="G96" s="137"/>
      <c r="H96" s="137"/>
      <c r="I96" s="137"/>
      <c r="J96" s="137"/>
      <c r="K96" s="137"/>
      <c r="L96" s="137"/>
      <c r="M96" s="137"/>
      <c r="N96" s="137"/>
    </row>
    <row r="97" spans="2:14">
      <c r="B97" s="69">
        <v>7</v>
      </c>
      <c r="C97" s="69">
        <v>8</v>
      </c>
      <c r="D97" s="69">
        <v>9</v>
      </c>
      <c r="E97" s="69">
        <v>10</v>
      </c>
      <c r="F97" s="69">
        <v>11</v>
      </c>
      <c r="G97" s="69">
        <v>12</v>
      </c>
      <c r="H97" s="69">
        <v>13</v>
      </c>
      <c r="I97" s="69">
        <v>14</v>
      </c>
      <c r="J97" s="69">
        <v>15</v>
      </c>
      <c r="K97" s="69">
        <v>16</v>
      </c>
      <c r="L97" s="69">
        <v>17</v>
      </c>
      <c r="M97" s="133"/>
      <c r="N97" s="134"/>
    </row>
    <row r="98" spans="2:14" ht="14.25">
      <c r="B98" s="6" t="s">
        <v>161</v>
      </c>
      <c r="C98" s="40" t="s">
        <v>174</v>
      </c>
      <c r="D98" s="40" t="s">
        <v>175</v>
      </c>
      <c r="E98" s="40" t="s">
        <v>74</v>
      </c>
      <c r="F98" s="40" t="s">
        <v>75</v>
      </c>
      <c r="G98" s="39" t="s">
        <v>72</v>
      </c>
      <c r="H98" s="39" t="s">
        <v>76</v>
      </c>
      <c r="I98" s="6" t="s">
        <v>176</v>
      </c>
      <c r="J98" s="6" t="s">
        <v>177</v>
      </c>
      <c r="K98" s="6" t="s">
        <v>178</v>
      </c>
      <c r="L98" s="6" t="s">
        <v>78</v>
      </c>
      <c r="M98" s="135"/>
      <c r="N98" s="136"/>
    </row>
    <row r="99" spans="2:14">
      <c r="B99" s="30">
        <f>H91</f>
        <v>1.9231180153422083</v>
      </c>
      <c r="C99" s="30">
        <f>I48</f>
        <v>69.954783503931651</v>
      </c>
      <c r="D99" s="30" cm="1">
        <f t="array" ref="D99">Factorphi7321(C99, D25, B25)</f>
        <v>0.75891506671905518</v>
      </c>
      <c r="E99" s="30">
        <f>3.14*SQRT(B25/D25)</f>
        <v>93.298543856344764</v>
      </c>
      <c r="F99" s="30" cm="1">
        <f t="array" ref="F99">Factorphi7321(E99, D25, B25)</f>
        <v>0.59681206941604614</v>
      </c>
      <c r="G99" s="30">
        <f>IF(B99&lt;=1,0.6,0.55+0.05*B99)</f>
        <v>0.64615590076711049</v>
      </c>
      <c r="H99" s="30">
        <f>IF(C99&lt;=E99,1,SQRT(F99/D99))</f>
        <v>1</v>
      </c>
      <c r="I99" s="41">
        <f>IF(B99&lt;=5,H99/(1+G99*B99),"-")</f>
        <v>0.44590422518826345</v>
      </c>
      <c r="J99" s="30" t="str">
        <f>IF(AND(B99&gt;5,B99&lt;10),(H99/(1+G99*B99))*(2-0.2*B99)+(1/(1+10*D99/1))*(0.2*B99-1),"-")</f>
        <v>-</v>
      </c>
      <c r="K99" s="41" t="str">
        <f>IF(B99&gt;10,1/(1+B99*D99/1),"-")</f>
        <v>-</v>
      </c>
      <c r="L99" s="41">
        <f>IF(B99&lt;=5,I99,IF(B99&lt;10,J99,K99))</f>
        <v>0.44590422518826345</v>
      </c>
      <c r="M99" s="135"/>
      <c r="N99" s="136"/>
    </row>
    <row r="102" spans="2:14">
      <c r="B102" s="67">
        <f>B89</f>
        <v>1</v>
      </c>
      <c r="C102" s="1" t="s">
        <v>147</v>
      </c>
    </row>
    <row r="103" spans="2:14">
      <c r="B103" s="67">
        <f>C89</f>
        <v>2</v>
      </c>
      <c r="C103" s="1" t="s">
        <v>148</v>
      </c>
    </row>
    <row r="104" spans="2:14">
      <c r="B104" s="67">
        <f>D89</f>
        <v>3</v>
      </c>
      <c r="C104" s="1" t="s">
        <v>149</v>
      </c>
    </row>
    <row r="105" spans="2:14">
      <c r="B105" s="67">
        <f>E89</f>
        <v>4</v>
      </c>
      <c r="C105" s="1" t="s">
        <v>150</v>
      </c>
    </row>
    <row r="106" spans="2:14">
      <c r="B106" s="67">
        <f>F89</f>
        <v>5</v>
      </c>
      <c r="C106" s="1" t="s">
        <v>151</v>
      </c>
    </row>
    <row r="107" spans="2:14">
      <c r="B107" s="67">
        <f>G89</f>
        <v>6</v>
      </c>
      <c r="C107" s="1" t="s">
        <v>152</v>
      </c>
    </row>
  </sheetData>
  <mergeCells count="27">
    <mergeCell ref="P35:Q36"/>
    <mergeCell ref="F23:F24"/>
    <mergeCell ref="B32:D32"/>
    <mergeCell ref="C28:C29"/>
    <mergeCell ref="G23:G24"/>
    <mergeCell ref="E28:F29"/>
    <mergeCell ref="E30:F30"/>
    <mergeCell ref="M97:N99"/>
    <mergeCell ref="M93:N95"/>
    <mergeCell ref="B96:N96"/>
    <mergeCell ref="B11:J12"/>
    <mergeCell ref="K11:N12"/>
    <mergeCell ref="B13:D13"/>
    <mergeCell ref="B87:N87"/>
    <mergeCell ref="B92:N92"/>
    <mergeCell ref="B88:G88"/>
    <mergeCell ref="H88:M88"/>
    <mergeCell ref="N88:N91"/>
    <mergeCell ref="H52:J52"/>
    <mergeCell ref="K52:M52"/>
    <mergeCell ref="H58:J58"/>
    <mergeCell ref="K58:M58"/>
    <mergeCell ref="C22:E22"/>
    <mergeCell ref="H46:J46"/>
    <mergeCell ref="K46:M46"/>
    <mergeCell ref="H22:N22"/>
    <mergeCell ref="F22:G22"/>
  </mergeCells>
  <phoneticPr fontId="38" type="noConversion"/>
  <conditionalFormatting sqref="N65:N84">
    <cfRule type="containsText" dxfId="22" priority="80" operator="containsText" text="Check">
      <formula>NOT(ISERROR(SEARCH("Check",N65)))</formula>
    </cfRule>
    <cfRule type="containsText" dxfId="21" priority="81" operator="containsText" text="OK">
      <formula>NOT(ISERROR(SEARCH("OK",N65)))</formula>
    </cfRule>
  </conditionalFormatting>
  <conditionalFormatting sqref="F86">
    <cfRule type="containsText" dxfId="20" priority="29" operator="containsText" text="OK">
      <formula>NOT(ISERROR(SEARCH("OK",F86)))</formula>
    </cfRule>
  </conditionalFormatting>
  <conditionalFormatting sqref="M44">
    <cfRule type="containsText" dxfId="19" priority="19" operator="containsText" text="Check">
      <formula>NOT(ISERROR(SEARCH("Check",M44)))</formula>
    </cfRule>
    <cfRule type="containsText" dxfId="18" priority="20" operator="containsText" text="OK">
      <formula>NOT(ISERROR(SEARCH("OK",M44)))</formula>
    </cfRule>
  </conditionalFormatting>
  <conditionalFormatting sqref="J50">
    <cfRule type="containsText" dxfId="17" priority="17" operator="containsText" text="Check">
      <formula>NOT(ISERROR(SEARCH("Check",J50)))</formula>
    </cfRule>
    <cfRule type="containsText" dxfId="16" priority="18" operator="containsText" text="OK">
      <formula>NOT(ISERROR(SEARCH("OK",J50)))</formula>
    </cfRule>
  </conditionalFormatting>
  <conditionalFormatting sqref="M50">
    <cfRule type="containsText" dxfId="15" priority="15" operator="containsText" text="Check">
      <formula>NOT(ISERROR(SEARCH("Check",M50)))</formula>
    </cfRule>
    <cfRule type="containsText" dxfId="14" priority="16" operator="containsText" text="OK">
      <formula>NOT(ISERROR(SEARCH("OK",M50)))</formula>
    </cfRule>
  </conditionalFormatting>
  <conditionalFormatting sqref="M56">
    <cfRule type="containsText" dxfId="13" priority="13" operator="containsText" text="Check">
      <formula>NOT(ISERROR(SEARCH("Check",M56)))</formula>
    </cfRule>
    <cfRule type="containsText" dxfId="12" priority="14" operator="containsText" text="OK">
      <formula>NOT(ISERROR(SEARCH("OK",M56)))</formula>
    </cfRule>
  </conditionalFormatting>
  <conditionalFormatting sqref="J56">
    <cfRule type="containsText" dxfId="11" priority="11" operator="containsText" text="Check">
      <formula>NOT(ISERROR(SEARCH("Check",J56)))</formula>
    </cfRule>
    <cfRule type="containsText" dxfId="10" priority="12" operator="containsText" text="OK">
      <formula>NOT(ISERROR(SEARCH("OK",J56)))</formula>
    </cfRule>
  </conditionalFormatting>
  <conditionalFormatting sqref="M63">
    <cfRule type="containsText" dxfId="9" priority="9" operator="containsText" text="Check">
      <formula>NOT(ISERROR(SEARCH("Check",M63)))</formula>
    </cfRule>
    <cfRule type="containsText" dxfId="8" priority="10" operator="containsText" text="OK">
      <formula>NOT(ISERROR(SEARCH("OK",M63)))</formula>
    </cfRule>
  </conditionalFormatting>
  <conditionalFormatting sqref="J63">
    <cfRule type="containsText" dxfId="7" priority="7" operator="containsText" text="Check">
      <formula>NOT(ISERROR(SEARCH("Check",J63)))</formula>
    </cfRule>
    <cfRule type="containsText" dxfId="6" priority="8" operator="containsText" text="OK">
      <formula>NOT(ISERROR(SEARCH("OK",J63)))</formula>
    </cfRule>
  </conditionalFormatting>
  <conditionalFormatting sqref="M69">
    <cfRule type="containsText" dxfId="5" priority="5" operator="containsText" text="Check">
      <formula>NOT(ISERROR(SEARCH("Check",M69)))</formula>
    </cfRule>
    <cfRule type="containsText" dxfId="4" priority="6" operator="containsText" text="OK">
      <formula>NOT(ISERROR(SEARCH("OK",M69)))</formula>
    </cfRule>
  </conditionalFormatting>
  <conditionalFormatting sqref="M77">
    <cfRule type="containsText" dxfId="3" priority="3" operator="containsText" text="Check">
      <formula>NOT(ISERROR(SEARCH("Check",M77)))</formula>
    </cfRule>
    <cfRule type="containsText" dxfId="2" priority="4" operator="containsText" text="OK">
      <formula>NOT(ISERROR(SEARCH("OK",M77)))</formula>
    </cfRule>
  </conditionalFormatting>
  <conditionalFormatting sqref="M84">
    <cfRule type="containsText" dxfId="1" priority="1" operator="containsText" text="Check">
      <formula>NOT(ISERROR(SEARCH("Check",M84)))</formula>
    </cfRule>
    <cfRule type="containsText" dxfId="0" priority="2" operator="containsText" text="OK">
      <formula>NOT(ISERROR(SEARCH("OK",M84)))</formula>
    </cfRule>
  </conditionalFormatting>
  <pageMargins left="0.59055118110236227" right="0.31496062992125984" top="0.59055118110236227" bottom="0.59055118110236227" header="0.31496062992125984" footer="0.31496062992125984"/>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HideTable">
                <anchor moveWithCells="1" sizeWithCells="1">
                  <from>
                    <xdr:col>1</xdr:col>
                    <xdr:colOff>38100</xdr:colOff>
                    <xdr:row>0</xdr:row>
                    <xdr:rowOff>0</xdr:rowOff>
                  </from>
                  <to>
                    <xdr:col>3</xdr:col>
                    <xdr:colOff>247650</xdr:colOff>
                    <xdr:row>9</xdr:row>
                    <xdr:rowOff>285750</xdr:rowOff>
                  </to>
                </anchor>
              </controlPr>
            </control>
          </mc:Choice>
        </mc:AlternateContent>
        <mc:AlternateContent xmlns:mc="http://schemas.openxmlformats.org/markup-compatibility/2006">
          <mc:Choice Requires="x14">
            <control shapeId="2052" r:id="rId6" name="Button 4">
              <controlPr defaultSize="0" print="0" autoFill="0" autoPict="0" macro="[0]!UnHideTable">
                <anchor moveWithCells="1" sizeWithCells="1">
                  <from>
                    <xdr:col>4</xdr:col>
                    <xdr:colOff>38100</xdr:colOff>
                    <xdr:row>0</xdr:row>
                    <xdr:rowOff>0</xdr:rowOff>
                  </from>
                  <to>
                    <xdr:col>6</xdr:col>
                    <xdr:colOff>390525</xdr:colOff>
                    <xdr:row>9</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58F8207-0476-4D3F-B5EC-6B9872345C2A}">
          <x14:formula1>
            <xm:f>Data!$K$19:$K$24</xm:f>
          </x14:formula1>
          <xm:sqref>G19:G20</xm:sqref>
        </x14:dataValidation>
        <x14:dataValidation type="list" allowBlank="1" showInputMessage="1" showErrorMessage="1" xr:uid="{906BCB0C-7E71-40B5-9187-755528E3EECF}">
          <x14:formula1>
            <xm:f>Data!$C$20:$C$50</xm:f>
          </x14:formula1>
          <xm:sqref>C22:E22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Data</vt:lpstr>
      <vt:lpstr>Cal</vt:lpstr>
      <vt:lpstr>PHỤ_LỤC_TÍNH_TOÁN_ĐỘ_MẢNH_CỘT__PHƯƠNG_X</vt:lpstr>
      <vt:lpstr>Cal!Print_Area</vt:lpstr>
      <vt:lpstr>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 Nguyen</dc:creator>
  <cp:lastModifiedBy>toan huynh vu minh</cp:lastModifiedBy>
  <cp:lastPrinted>2024-02-17T11:01:09Z</cp:lastPrinted>
  <dcterms:created xsi:type="dcterms:W3CDTF">2023-12-24T09:13:35Z</dcterms:created>
  <dcterms:modified xsi:type="dcterms:W3CDTF">2025-03-09T03:52:29Z</dcterms:modified>
</cp:coreProperties>
</file>