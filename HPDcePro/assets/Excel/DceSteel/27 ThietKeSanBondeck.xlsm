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https://d.docs.live.net/1897e0139b14c7e2/03 Spreadsheet/01 CALCULATION REPORT/00 UPDATED SEND DUY/2025.03.23 Send Duy/"/>
    </mc:Choice>
  </mc:AlternateContent>
  <xr:revisionPtr revIDLastSave="3222" documentId="13_ncr:1_{3D4A8391-5F0E-4351-80EC-1E7737AD0FD6}" xr6:coauthVersionLast="47" xr6:coauthVersionMax="47" xr10:uidLastSave="{DA1A75A2-9466-4985-801D-07F3545A34C0}"/>
  <bookViews>
    <workbookView xWindow="-120" yWindow="-120" windowWidth="29040" windowHeight="15720" activeTab="1" xr2:uid="{00000000-000D-0000-FFFF-FFFF00000000}"/>
  </bookViews>
  <sheets>
    <sheet name="Data" sheetId="3" r:id="rId1"/>
    <sheet name="Cal" sheetId="2" r:id="rId2"/>
  </sheets>
  <functionGroups builtInGroupCount="19"/>
  <definedNames>
    <definedName name="_xlnm._FilterDatabase" localSheetId="1" hidden="1">Cal!#REF!</definedName>
    <definedName name="_xleta.COT" hidden="1" xlm="1">#NAME?</definedName>
    <definedName name="_xleta.DAY" hidden="1" xlm="1">#NAME?</definedName>
    <definedName name="_xleta.IF" hidden="1" xlm="1">#NAME?</definedName>
    <definedName name="_xleta.LEN" hidden="1" xlm="1">#NAME?</definedName>
    <definedName name="_xleta.N" hidden="1" xlm="1">#NAME?</definedName>
    <definedName name="_xleta.SINGLE" hidden="1" xlm="1">#NAME?</definedName>
    <definedName name="_xleta.T" hidden="1" xlm="1">#NAME?</definedName>
    <definedName name="_xlnm.Print_Area" localSheetId="1">Cal!#REF!</definedName>
    <definedName name="_xlnm.Print_Area" localSheetId="0">Data!#REF!</definedName>
    <definedName name="SLSLOADCAS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2" l="1"/>
  <c r="C24" i="2"/>
  <c r="G23" i="2"/>
  <c r="G22" i="2"/>
  <c r="L22" i="2"/>
  <c r="DA6" i="3"/>
  <c r="DD6" i="3"/>
  <c r="DK6" i="3"/>
  <c r="DL6" i="3"/>
  <c r="DM6" i="3"/>
  <c r="DN6" i="3"/>
  <c r="DO6" i="3"/>
  <c r="DA7" i="3"/>
  <c r="DD7" i="3"/>
  <c r="DK7" i="3"/>
  <c r="DL7" i="3"/>
  <c r="DM7" i="3"/>
  <c r="DN7" i="3"/>
  <c r="DO7" i="3"/>
  <c r="DA8" i="3"/>
  <c r="DD8" i="3"/>
  <c r="DN8" i="3" s="1"/>
  <c r="DK8" i="3"/>
  <c r="DM8" i="3" s="1"/>
  <c r="DL8" i="3"/>
  <c r="DO8" i="3"/>
  <c r="DA9" i="3"/>
  <c r="DD9" i="3"/>
  <c r="DK9" i="3"/>
  <c r="DL9" i="3"/>
  <c r="DM9" i="3"/>
  <c r="DN9" i="3"/>
  <c r="DO9" i="3"/>
  <c r="DA10" i="3"/>
  <c r="DD10" i="3"/>
  <c r="DN10" i="3" s="1"/>
  <c r="DK10" i="3"/>
  <c r="DM10" i="3" s="1"/>
  <c r="DL10" i="3"/>
  <c r="DO10" i="3"/>
  <c r="DA11" i="3"/>
  <c r="DD11" i="3"/>
  <c r="DK11" i="3"/>
  <c r="DL11" i="3"/>
  <c r="DO11" i="3"/>
  <c r="DA12" i="3"/>
  <c r="DD12" i="3"/>
  <c r="DK12" i="3"/>
  <c r="DL12" i="3"/>
  <c r="DA13" i="3"/>
  <c r="DD13" i="3"/>
  <c r="DK13" i="3"/>
  <c r="DL13" i="3"/>
  <c r="DA14" i="3"/>
  <c r="DD14" i="3"/>
  <c r="DK14" i="3"/>
  <c r="DL14" i="3"/>
  <c r="DO14" i="3"/>
  <c r="DA15" i="3"/>
  <c r="DD15" i="3"/>
  <c r="DK15" i="3"/>
  <c r="DL15" i="3"/>
  <c r="DA16" i="3"/>
  <c r="DD16" i="3"/>
  <c r="DK16" i="3"/>
  <c r="DL16" i="3"/>
  <c r="DO16" i="3"/>
  <c r="DO17" i="3" s="1"/>
  <c r="DO18" i="3" s="1"/>
  <c r="DA17" i="3"/>
  <c r="DD17" i="3"/>
  <c r="DK17" i="3"/>
  <c r="DL17" i="3" s="1"/>
  <c r="DA18" i="3"/>
  <c r="DD18" i="3"/>
  <c r="DK18" i="3"/>
  <c r="DL18" i="3" s="1"/>
  <c r="B29" i="3"/>
  <c r="B28" i="3"/>
  <c r="B27" i="3"/>
  <c r="B26" i="3"/>
  <c r="B25" i="3"/>
  <c r="B24" i="3"/>
  <c r="B23" i="3"/>
  <c r="B22" i="3"/>
  <c r="B21" i="3"/>
  <c r="B20" i="3"/>
  <c r="CI19" i="3"/>
  <c r="CF19" i="3"/>
  <c r="CG19" i="3" s="1"/>
  <c r="B19" i="3"/>
  <c r="CI18" i="3"/>
  <c r="CF18" i="3"/>
  <c r="CH18" i="3" s="1"/>
  <c r="B18" i="3"/>
  <c r="CI17" i="3"/>
  <c r="CF17" i="3"/>
  <c r="CH17" i="3" s="1"/>
  <c r="B17" i="3"/>
  <c r="CI16" i="3"/>
  <c r="CF16" i="3"/>
  <c r="CG16" i="3" s="1"/>
  <c r="B16" i="3"/>
  <c r="CI15" i="3"/>
  <c r="CF15" i="3"/>
  <c r="CG15" i="3" s="1"/>
  <c r="BQ15" i="3"/>
  <c r="X15" i="3"/>
  <c r="B15" i="3"/>
  <c r="CF14" i="3"/>
  <c r="CH14" i="3" s="1"/>
  <c r="BQ14" i="3"/>
  <c r="X14" i="3"/>
  <c r="B14" i="3"/>
  <c r="CF13" i="3"/>
  <c r="CH13" i="3" s="1"/>
  <c r="BQ13" i="3"/>
  <c r="X13" i="3"/>
  <c r="B13" i="3"/>
  <c r="CF12" i="3"/>
  <c r="CH12" i="3" s="1"/>
  <c r="BQ12" i="3"/>
  <c r="X12" i="3"/>
  <c r="B12" i="3"/>
  <c r="CF11" i="3"/>
  <c r="CH11" i="3" s="1"/>
  <c r="BQ11" i="3"/>
  <c r="X11" i="3"/>
  <c r="B11" i="3"/>
  <c r="CF10" i="3"/>
  <c r="CH10" i="3" s="1"/>
  <c r="BQ10" i="3"/>
  <c r="X10" i="3"/>
  <c r="B10" i="3"/>
  <c r="CI9" i="3"/>
  <c r="CF9" i="3"/>
  <c r="CG9" i="3" s="1"/>
  <c r="BQ9" i="3"/>
  <c r="X9" i="3"/>
  <c r="B9" i="3"/>
  <c r="CI8" i="3"/>
  <c r="CF8" i="3"/>
  <c r="CG8" i="3" s="1"/>
  <c r="BQ8" i="3"/>
  <c r="X8" i="3"/>
  <c r="B8" i="3"/>
  <c r="CI7" i="3"/>
  <c r="CF7" i="3"/>
  <c r="CG7" i="3" s="1"/>
  <c r="BQ7" i="3"/>
  <c r="X7" i="3"/>
  <c r="B7" i="3"/>
  <c r="CI6" i="3"/>
  <c r="CF6" i="3"/>
  <c r="CH6" i="3" s="1"/>
  <c r="BQ6" i="3"/>
  <c r="X6" i="3"/>
  <c r="B6" i="3"/>
  <c r="CI5" i="3"/>
  <c r="CF5" i="3"/>
  <c r="CH5" i="3" s="1"/>
  <c r="B5" i="3"/>
  <c r="CI4" i="3"/>
  <c r="CF4" i="3"/>
  <c r="CH4" i="3" s="1"/>
  <c r="B4" i="3"/>
  <c r="B3" i="3"/>
  <c r="CG18" i="3" l="1"/>
  <c r="CH9" i="3"/>
  <c r="CH15" i="3"/>
  <c r="CH19" i="3"/>
  <c r="CG17" i="3"/>
  <c r="CH7" i="3"/>
  <c r="CG5" i="3"/>
  <c r="CH16" i="3"/>
  <c r="CH8" i="3"/>
  <c r="CG6" i="3"/>
  <c r="CG4" i="3"/>
  <c r="I178" i="2" l="1"/>
  <c r="F178" i="2"/>
  <c r="L42" i="2"/>
  <c r="L41" i="2"/>
  <c r="L40" i="2"/>
  <c r="L39" i="2"/>
  <c r="L38" i="2"/>
  <c r="L58" i="2"/>
  <c r="G15" i="2"/>
  <c r="G14" i="2"/>
  <c r="G13" i="2"/>
  <c r="C181" i="2"/>
  <c r="L180" i="2"/>
  <c r="C180" i="2"/>
  <c r="C179" i="2"/>
  <c r="C178" i="2"/>
  <c r="C177" i="2"/>
  <c r="C174" i="2"/>
  <c r="C176" i="2"/>
  <c r="C175" i="2"/>
  <c r="C173" i="2"/>
  <c r="C172" i="2"/>
  <c r="C171" i="2"/>
  <c r="C170" i="2"/>
  <c r="C168" i="2"/>
  <c r="D167" i="2"/>
  <c r="D166" i="2"/>
  <c r="D165" i="2"/>
  <c r="L165" i="2"/>
  <c r="C163" i="2"/>
  <c r="C162" i="2"/>
  <c r="C161" i="2"/>
  <c r="C160" i="2"/>
  <c r="C158" i="2"/>
  <c r="C157" i="2"/>
  <c r="C156" i="2"/>
  <c r="C155" i="2"/>
  <c r="C154" i="2"/>
  <c r="C153" i="2"/>
  <c r="L24" i="2"/>
  <c r="L153" i="2" s="1"/>
  <c r="I24" i="2"/>
  <c r="I23" i="2"/>
  <c r="I22" i="2"/>
  <c r="I21" i="2"/>
  <c r="C150" i="2"/>
  <c r="C149" i="2"/>
  <c r="C148" i="2" l="1"/>
  <c r="C147" i="2"/>
  <c r="C146" i="2"/>
  <c r="C145" i="2"/>
  <c r="C144" i="2"/>
  <c r="C143" i="2"/>
  <c r="C142" i="2"/>
  <c r="C139" i="2"/>
  <c r="L162" i="2"/>
  <c r="C23" i="2"/>
  <c r="C134" i="2"/>
  <c r="J136" i="2"/>
  <c r="J137" i="2"/>
  <c r="J135" i="2"/>
  <c r="L129" i="2"/>
  <c r="D137" i="2"/>
  <c r="D136" i="2"/>
  <c r="D135" i="2"/>
  <c r="K34" i="2"/>
  <c r="K30" i="2"/>
  <c r="K31" i="2"/>
  <c r="K32" i="2"/>
  <c r="C60" i="2"/>
  <c r="C59" i="2"/>
  <c r="C58" i="2"/>
  <c r="C132" i="2"/>
  <c r="L131" i="2"/>
  <c r="C131" i="2"/>
  <c r="C130" i="2"/>
  <c r="C129" i="2"/>
  <c r="C128" i="2"/>
  <c r="C127" i="2"/>
  <c r="F118" i="2"/>
  <c r="F124" i="2"/>
  <c r="F122" i="2"/>
  <c r="F123" i="2" s="1"/>
  <c r="C119" i="2"/>
  <c r="C116" i="2"/>
  <c r="F114" i="2"/>
  <c r="F115" i="2" s="1"/>
  <c r="C111" i="2"/>
  <c r="C109" i="2"/>
  <c r="C106" i="2"/>
  <c r="C103" i="2"/>
  <c r="C101" i="2"/>
  <c r="C100" i="2"/>
  <c r="C97" i="2"/>
  <c r="C96" i="2"/>
  <c r="C94" i="2"/>
  <c r="C93" i="2"/>
  <c r="C92" i="2"/>
  <c r="C90" i="2"/>
  <c r="C81" i="2"/>
  <c r="C80" i="2"/>
  <c r="C79" i="2"/>
  <c r="C78" i="2"/>
  <c r="C77" i="2"/>
  <c r="C76" i="2"/>
  <c r="C62" i="2"/>
  <c r="C61" i="2"/>
  <c r="L170" i="2"/>
  <c r="C22" i="2" l="1"/>
  <c r="C21" i="2"/>
  <c r="C48" i="2"/>
  <c r="C47" i="2"/>
  <c r="C46" i="2"/>
  <c r="C45" i="2"/>
  <c r="I2" i="2"/>
  <c r="C42" i="2"/>
  <c r="C41" i="2"/>
  <c r="C40" i="2"/>
  <c r="C39" i="2"/>
  <c r="C38" i="2"/>
  <c r="C19" i="2"/>
  <c r="C20" i="2"/>
  <c r="C18" i="2"/>
  <c r="C16" i="2"/>
  <c r="C15" i="2"/>
  <c r="C14" i="2"/>
  <c r="C13" i="2"/>
  <c r="C12" i="2"/>
  <c r="C8" i="2"/>
  <c r="C7" i="2"/>
  <c r="C6" i="2"/>
  <c r="C5" i="2"/>
  <c r="J29" i="2" l="1"/>
  <c r="K29" i="2" s="1"/>
  <c r="L154" i="2"/>
  <c r="L160" i="2" s="1"/>
  <c r="G19" i="2"/>
  <c r="L59" i="2" s="1"/>
  <c r="J28" i="2" s="1"/>
  <c r="L161" i="2"/>
  <c r="L163" i="2" s="1"/>
  <c r="L175" i="2" l="1"/>
  <c r="L172" i="2"/>
  <c r="L173" i="2" s="1"/>
  <c r="L166" i="2"/>
  <c r="L167" i="2" s="1"/>
  <c r="I165" i="2"/>
  <c r="I166" i="2" s="1"/>
  <c r="I167" i="2" s="1"/>
  <c r="G99" i="2"/>
  <c r="L99" i="2" s="1"/>
  <c r="L100" i="2" s="1"/>
  <c r="L101" i="2" s="1"/>
  <c r="L122" i="2" s="1"/>
  <c r="C104" i="2"/>
  <c r="L127" i="2"/>
  <c r="L45" i="2"/>
  <c r="L46" i="2" s="1"/>
  <c r="L118" i="2" s="1"/>
  <c r="L47" i="2"/>
  <c r="L48" i="2" s="1"/>
  <c r="L124" i="2" s="1"/>
  <c r="L106" i="2"/>
  <c r="L115" i="2" s="1"/>
  <c r="L109" i="2"/>
  <c r="L123" i="2" s="1"/>
  <c r="F140" i="2"/>
  <c r="L155" i="2"/>
  <c r="L156" i="2" s="1"/>
  <c r="L157" i="2" s="1"/>
  <c r="L139" i="2"/>
  <c r="D140" i="2" s="1"/>
  <c r="L176" i="2" l="1"/>
  <c r="L177" i="2" s="1"/>
  <c r="L114" i="2"/>
  <c r="L149" i="2"/>
  <c r="L147" i="2"/>
  <c r="E140" i="2"/>
  <c r="L145" i="2"/>
  <c r="L148" i="2"/>
  <c r="H140" i="2"/>
  <c r="L142" i="2"/>
  <c r="L143" i="2" s="1"/>
  <c r="L146" i="2"/>
  <c r="L60" i="2"/>
  <c r="L79" i="2" l="1"/>
  <c r="L94" i="2"/>
  <c r="L76" i="2"/>
  <c r="L90" i="2"/>
  <c r="L128" i="2"/>
  <c r="L130" i="2" s="1"/>
  <c r="L132" i="2" s="1"/>
  <c r="M132" i="2" s="1"/>
  <c r="J35" i="2"/>
  <c r="L179" i="2" s="1"/>
  <c r="L181" i="2" s="1"/>
  <c r="K28" i="2"/>
  <c r="K35" i="2" s="1"/>
  <c r="L136" i="2" l="1"/>
  <c r="L150" i="2" s="1"/>
  <c r="M150" i="2" s="1"/>
  <c r="L137" i="2"/>
  <c r="L168" i="2" s="1"/>
  <c r="M168" i="2" s="1"/>
  <c r="L135" i="2"/>
  <c r="L158" i="2" s="1"/>
  <c r="M158" i="2" s="1"/>
  <c r="L91" i="2"/>
  <c r="G77" i="2"/>
  <c r="F117" i="2" s="1"/>
  <c r="L117" i="2" s="1"/>
  <c r="M117" i="2" s="1"/>
  <c r="G78" i="2"/>
  <c r="F121" i="2" s="1"/>
  <c r="L121" i="2" s="1"/>
  <c r="L78" i="2"/>
  <c r="F120" i="2" s="1"/>
  <c r="L120" i="2" s="1"/>
  <c r="M120" i="2" s="1"/>
  <c r="L77" i="2"/>
  <c r="F112" i="2" s="1"/>
  <c r="L95" i="2"/>
  <c r="L81" i="2"/>
  <c r="L80" i="2"/>
  <c r="G81" i="2"/>
  <c r="G80" i="2"/>
  <c r="F113" i="2" l="1"/>
  <c r="L113" i="2" s="1"/>
  <c r="L112" i="2"/>
  <c r="M112" i="2" l="1"/>
  <c r="D125" i="2"/>
</calcChain>
</file>

<file path=xl/sharedStrings.xml><?xml version="1.0" encoding="utf-8"?>
<sst xmlns="http://schemas.openxmlformats.org/spreadsheetml/2006/main" count="501" uniqueCount="336">
  <si>
    <t>A. THÔNG TIN THIẾT KẾ</t>
  </si>
  <si>
    <t>MPa</t>
  </si>
  <si>
    <t>mm</t>
  </si>
  <si>
    <t>t =</t>
  </si>
  <si>
    <t>Độ dày sau mạ</t>
  </si>
  <si>
    <t>Độ dày tinh</t>
  </si>
  <si>
    <t>Khổ tôn nguyên liệu</t>
  </si>
  <si>
    <t>Khổ tôn hữu dụng</t>
  </si>
  <si>
    <t>Chiều cao sóng</t>
  </si>
  <si>
    <t>Trọng lượng sau mạ</t>
  </si>
  <si>
    <t>Độ bền kéo</t>
  </si>
  <si>
    <t xml:space="preserve">Giới hạn đàn hồi </t>
  </si>
  <si>
    <t>Moment quán tính</t>
  </si>
  <si>
    <t>Moment chống uốn</t>
  </si>
  <si>
    <t>Khoảng cách từ trọng tâm đến mép dưới tôn</t>
  </si>
  <si>
    <t>Diện tích hữu hiệu</t>
  </si>
  <si>
    <t>Bề rộng trung bình của sóng tôn</t>
  </si>
  <si>
    <t>(mm)</t>
  </si>
  <si>
    <t>(Kg/m)</t>
  </si>
  <si>
    <t>(Mpa)</t>
  </si>
  <si>
    <r>
      <t>(mm</t>
    </r>
    <r>
      <rPr>
        <vertAlign val="superscript"/>
        <sz val="12"/>
        <rFont val="Times New Roman"/>
        <family val="1"/>
      </rPr>
      <t>4</t>
    </r>
    <r>
      <rPr>
        <sz val="12"/>
        <rFont val="Times New Roman"/>
        <family val="1"/>
      </rPr>
      <t>/m)</t>
    </r>
  </si>
  <si>
    <r>
      <t>(mm</t>
    </r>
    <r>
      <rPr>
        <vertAlign val="superscript"/>
        <sz val="12"/>
        <rFont val="Times New Roman"/>
        <family val="1"/>
      </rPr>
      <t>3</t>
    </r>
    <r>
      <rPr>
        <sz val="12"/>
        <rFont val="Times New Roman"/>
        <family val="1"/>
      </rPr>
      <t>/m)</t>
    </r>
  </si>
  <si>
    <r>
      <t>(mm</t>
    </r>
    <r>
      <rPr>
        <vertAlign val="superscript"/>
        <sz val="12"/>
        <rFont val="Times New Roman"/>
        <family val="1"/>
      </rPr>
      <t>2</t>
    </r>
    <r>
      <rPr>
        <sz val="12"/>
        <rFont val="Times New Roman"/>
        <family val="1"/>
      </rPr>
      <t>)</t>
    </r>
  </si>
  <si>
    <t>Loại tôn</t>
  </si>
  <si>
    <t>H50W1000</t>
  </si>
  <si>
    <t>Bondek II</t>
  </si>
  <si>
    <t>Comflor 46</t>
  </si>
  <si>
    <t>Comflor 51</t>
  </si>
  <si>
    <t>THIẾT KẾ SÀN BONDECK</t>
  </si>
  <si>
    <t>TCVN 2737:2023 Tải trọng và tác động</t>
  </si>
  <si>
    <t>TCVN 5574:2018 Thiết kế kết cấu bê tông và bê tông cốt thép</t>
  </si>
  <si>
    <t>Tiêu chuẩn thiết kế:</t>
  </si>
  <si>
    <t>TCVN 5575:2018 Thiết kế kết cấu thép</t>
  </si>
  <si>
    <t>Eurocode 4: Design of composite steel and concrete structures</t>
  </si>
  <si>
    <t>1. Đặc trưng của tôn sóng:</t>
  </si>
  <si>
    <r>
      <t>t</t>
    </r>
    <r>
      <rPr>
        <vertAlign val="subscript"/>
        <sz val="10"/>
        <rFont val="Calibri"/>
        <family val="2"/>
        <scheme val="minor"/>
      </rPr>
      <t>0</t>
    </r>
    <r>
      <rPr>
        <sz val="10"/>
        <rFont val="Calibri"/>
        <family val="2"/>
        <scheme val="minor"/>
      </rPr>
      <t xml:space="preserve"> =</t>
    </r>
  </si>
  <si>
    <r>
      <t>h</t>
    </r>
    <r>
      <rPr>
        <vertAlign val="subscript"/>
        <sz val="10"/>
        <rFont val="Calibri"/>
        <family val="2"/>
        <scheme val="minor"/>
      </rPr>
      <t>p</t>
    </r>
    <r>
      <rPr>
        <sz val="10"/>
        <rFont val="Calibri"/>
        <family val="2"/>
        <scheme val="minor"/>
      </rPr>
      <t xml:space="preserve"> =</t>
    </r>
  </si>
  <si>
    <r>
      <t>S</t>
    </r>
    <r>
      <rPr>
        <vertAlign val="subscript"/>
        <sz val="10"/>
        <rFont val="Calibri"/>
        <family val="2"/>
        <scheme val="minor"/>
      </rPr>
      <t>w</t>
    </r>
    <r>
      <rPr>
        <sz val="10"/>
        <rFont val="Calibri"/>
        <family val="2"/>
        <scheme val="minor"/>
      </rPr>
      <t xml:space="preserve"> =</t>
    </r>
  </si>
  <si>
    <r>
      <t>h</t>
    </r>
    <r>
      <rPr>
        <vertAlign val="subscript"/>
        <sz val="10"/>
        <rFont val="Calibri"/>
        <family val="2"/>
        <scheme val="minor"/>
      </rPr>
      <t>s</t>
    </r>
    <r>
      <rPr>
        <sz val="10"/>
        <rFont val="Calibri"/>
        <family val="2"/>
        <scheme val="minor"/>
      </rPr>
      <t xml:space="preserve"> =</t>
    </r>
  </si>
  <si>
    <t>L =</t>
  </si>
  <si>
    <t>2. Đặc trưng của sàn:</t>
  </si>
  <si>
    <t>3. Đặc trưng của tôn trên 1m chiều rộng:</t>
  </si>
  <si>
    <r>
      <t>A</t>
    </r>
    <r>
      <rPr>
        <vertAlign val="subscript"/>
        <sz val="10"/>
        <rFont val="Calibri"/>
        <family val="2"/>
        <scheme val="minor"/>
      </rPr>
      <t>p</t>
    </r>
    <r>
      <rPr>
        <sz val="10"/>
        <rFont val="Calibri"/>
        <family val="2"/>
        <scheme val="minor"/>
      </rPr>
      <t xml:space="preserve"> =</t>
    </r>
  </si>
  <si>
    <r>
      <t>mm</t>
    </r>
    <r>
      <rPr>
        <vertAlign val="superscript"/>
        <sz val="10"/>
        <rFont val="Calibri"/>
        <family val="2"/>
        <scheme val="minor"/>
      </rPr>
      <t>2</t>
    </r>
    <r>
      <rPr>
        <sz val="10"/>
        <rFont val="Calibri"/>
        <family val="2"/>
        <scheme val="minor"/>
      </rPr>
      <t>/m</t>
    </r>
  </si>
  <si>
    <t>e =</t>
  </si>
  <si>
    <r>
      <t>I</t>
    </r>
    <r>
      <rPr>
        <vertAlign val="subscript"/>
        <sz val="10"/>
        <rFont val="Calibri"/>
        <family val="2"/>
        <scheme val="minor"/>
      </rPr>
      <t>p</t>
    </r>
    <r>
      <rPr>
        <sz val="10"/>
        <rFont val="Calibri"/>
        <family val="2"/>
        <scheme val="minor"/>
      </rPr>
      <t xml:space="preserve"> =</t>
    </r>
  </si>
  <si>
    <r>
      <t>mm</t>
    </r>
    <r>
      <rPr>
        <vertAlign val="superscript"/>
        <sz val="10"/>
        <rFont val="Calibri"/>
        <family val="2"/>
        <scheme val="minor"/>
      </rPr>
      <t>4</t>
    </r>
    <r>
      <rPr>
        <sz val="10"/>
        <rFont val="Calibri"/>
        <family val="2"/>
        <scheme val="minor"/>
      </rPr>
      <t>/m</t>
    </r>
  </si>
  <si>
    <r>
      <t>b</t>
    </r>
    <r>
      <rPr>
        <vertAlign val="subscript"/>
        <sz val="10"/>
        <rFont val="Calibri"/>
        <family val="2"/>
        <scheme val="minor"/>
      </rPr>
      <t>0</t>
    </r>
    <r>
      <rPr>
        <sz val="10"/>
        <rFont val="Calibri"/>
        <family val="2"/>
        <scheme val="minor"/>
      </rPr>
      <t xml:space="preserve"> =</t>
    </r>
  </si>
  <si>
    <r>
      <t>f</t>
    </r>
    <r>
      <rPr>
        <vertAlign val="subscript"/>
        <sz val="10"/>
        <rFont val="Calibri"/>
        <family val="2"/>
        <scheme val="minor"/>
      </rPr>
      <t>yp</t>
    </r>
    <r>
      <rPr>
        <sz val="10"/>
        <rFont val="Calibri"/>
        <family val="2"/>
        <scheme val="minor"/>
      </rPr>
      <t>=</t>
    </r>
  </si>
  <si>
    <t>Xem tiết diện tôn hoàn toàn hiệu quả, các sườn tôn đủ cứng, không kể sự giảm yếu độ cứng của sườn do biến dạng uốn khi làm việc</t>
  </si>
  <si>
    <r>
      <t>mm</t>
    </r>
    <r>
      <rPr>
        <vertAlign val="superscript"/>
        <sz val="10"/>
        <rFont val="Calibri"/>
        <family val="2"/>
        <scheme val="minor"/>
      </rPr>
      <t>3</t>
    </r>
    <r>
      <rPr>
        <sz val="10"/>
        <rFont val="Calibri"/>
        <family val="2"/>
        <scheme val="minor"/>
      </rPr>
      <t>/m</t>
    </r>
  </si>
  <si>
    <r>
      <t>W</t>
    </r>
    <r>
      <rPr>
        <vertAlign val="subscript"/>
        <sz val="10"/>
        <rFont val="Calibri"/>
        <family val="2"/>
        <scheme val="minor"/>
      </rPr>
      <t>pl,Rd</t>
    </r>
    <r>
      <rPr>
        <vertAlign val="superscript"/>
        <sz val="10"/>
        <rFont val="Calibri"/>
        <family val="2"/>
        <scheme val="minor"/>
      </rPr>
      <t>(+)</t>
    </r>
    <r>
      <rPr>
        <sz val="10"/>
        <rFont val="Calibri"/>
        <family val="2"/>
        <scheme val="minor"/>
      </rPr>
      <t>=I</t>
    </r>
    <r>
      <rPr>
        <vertAlign val="subscript"/>
        <sz val="10"/>
        <rFont val="Calibri"/>
        <family val="2"/>
        <scheme val="minor"/>
      </rPr>
      <t>p</t>
    </r>
    <r>
      <rPr>
        <sz val="10"/>
        <rFont val="Calibri"/>
        <family val="2"/>
        <scheme val="minor"/>
      </rPr>
      <t>/e=</t>
    </r>
  </si>
  <si>
    <r>
      <t>M</t>
    </r>
    <r>
      <rPr>
        <vertAlign val="subscript"/>
        <sz val="10"/>
        <rFont val="Calibri"/>
        <family val="2"/>
        <scheme val="minor"/>
      </rPr>
      <t>pl,Rd</t>
    </r>
    <r>
      <rPr>
        <vertAlign val="superscript"/>
        <sz val="10"/>
        <rFont val="Calibri"/>
        <family val="2"/>
        <scheme val="minor"/>
      </rPr>
      <t>(+)</t>
    </r>
    <r>
      <rPr>
        <sz val="10"/>
        <rFont val="Calibri"/>
        <family val="2"/>
        <scheme val="minor"/>
      </rPr>
      <t>=</t>
    </r>
  </si>
  <si>
    <t>kN.m/m</t>
  </si>
  <si>
    <r>
      <t>W</t>
    </r>
    <r>
      <rPr>
        <vertAlign val="subscript"/>
        <sz val="10"/>
        <rFont val="Calibri"/>
        <family val="2"/>
        <scheme val="minor"/>
      </rPr>
      <t>pl,Rd</t>
    </r>
    <r>
      <rPr>
        <vertAlign val="superscript"/>
        <sz val="10"/>
        <rFont val="Calibri"/>
        <family val="2"/>
        <scheme val="minor"/>
      </rPr>
      <t>(-)</t>
    </r>
    <r>
      <rPr>
        <sz val="10"/>
        <rFont val="Calibri"/>
        <family val="2"/>
        <scheme val="minor"/>
      </rPr>
      <t>=I</t>
    </r>
    <r>
      <rPr>
        <vertAlign val="subscript"/>
        <sz val="10"/>
        <rFont val="Calibri"/>
        <family val="2"/>
        <scheme val="minor"/>
      </rPr>
      <t>p</t>
    </r>
    <r>
      <rPr>
        <sz val="10"/>
        <rFont val="Calibri"/>
        <family val="2"/>
        <scheme val="minor"/>
      </rPr>
      <t>/(hp-e)=</t>
    </r>
  </si>
  <si>
    <r>
      <t>E</t>
    </r>
    <r>
      <rPr>
        <vertAlign val="subscript"/>
        <sz val="10"/>
        <rFont val="Calibri"/>
        <family val="2"/>
        <scheme val="minor"/>
      </rPr>
      <t>b</t>
    </r>
    <r>
      <rPr>
        <sz val="10"/>
        <rFont val="Calibri"/>
        <family val="2"/>
        <scheme val="minor"/>
      </rPr>
      <t xml:space="preserve"> =</t>
    </r>
  </si>
  <si>
    <t>Cường độ
Bê tông</t>
  </si>
  <si>
    <t>TCVN 5574 - 2018</t>
  </si>
  <si>
    <t>NÉN</t>
  </si>
  <si>
    <t>KÉO</t>
  </si>
  <si>
    <t>M150</t>
  </si>
  <si>
    <t>B10</t>
  </si>
  <si>
    <t>M200</t>
  </si>
  <si>
    <t>B15</t>
  </si>
  <si>
    <t>M250</t>
  </si>
  <si>
    <t>B20</t>
  </si>
  <si>
    <t>M350</t>
  </si>
  <si>
    <t>B25</t>
  </si>
  <si>
    <t>M400</t>
  </si>
  <si>
    <t>B30</t>
  </si>
  <si>
    <t>M450</t>
  </si>
  <si>
    <t>B35</t>
  </si>
  <si>
    <t>M500</t>
  </si>
  <si>
    <t>B40</t>
  </si>
  <si>
    <t>M600</t>
  </si>
  <si>
    <t>B45</t>
  </si>
  <si>
    <t>M700</t>
  </si>
  <si>
    <t>B50</t>
  </si>
  <si>
    <t>B55</t>
  </si>
  <si>
    <t>M800</t>
  </si>
  <si>
    <t>B60</t>
  </si>
  <si>
    <t>4. Hệ số tin cậy :</t>
  </si>
  <si>
    <t>Bê tông</t>
  </si>
  <si>
    <t>Cốt thép</t>
  </si>
  <si>
    <r>
      <rPr>
        <sz val="10"/>
        <rFont val="Symbol"/>
        <family val="1"/>
        <charset val="2"/>
      </rPr>
      <t>g</t>
    </r>
    <r>
      <rPr>
        <vertAlign val="subscript"/>
        <sz val="10"/>
        <rFont val="Calibri"/>
        <family val="2"/>
        <scheme val="minor"/>
      </rPr>
      <t>c</t>
    </r>
    <r>
      <rPr>
        <sz val="10"/>
        <rFont val="Calibri"/>
        <family val="2"/>
        <scheme val="minor"/>
      </rPr>
      <t xml:space="preserve"> =</t>
    </r>
  </si>
  <si>
    <r>
      <rPr>
        <sz val="10"/>
        <rFont val="Symbol"/>
        <family val="1"/>
        <charset val="2"/>
      </rPr>
      <t>g</t>
    </r>
    <r>
      <rPr>
        <vertAlign val="subscript"/>
        <sz val="10"/>
        <rFont val="Calibri"/>
        <family val="2"/>
        <scheme val="minor"/>
      </rPr>
      <t>s</t>
    </r>
    <r>
      <rPr>
        <sz val="10"/>
        <rFont val="Calibri"/>
        <family val="2"/>
        <scheme val="minor"/>
      </rPr>
      <t xml:space="preserve"> =</t>
    </r>
  </si>
  <si>
    <t>Tôn</t>
  </si>
  <si>
    <t>Liên kết</t>
  </si>
  <si>
    <r>
      <rPr>
        <sz val="10"/>
        <rFont val="Symbol"/>
        <family val="1"/>
        <charset val="2"/>
      </rPr>
      <t>g</t>
    </r>
    <r>
      <rPr>
        <vertAlign val="subscript"/>
        <sz val="10"/>
        <rFont val="Calibri"/>
        <family val="2"/>
        <scheme val="minor"/>
      </rPr>
      <t>ap</t>
    </r>
    <r>
      <rPr>
        <sz val="10"/>
        <rFont val="Calibri"/>
        <family val="2"/>
        <scheme val="minor"/>
      </rPr>
      <t xml:space="preserve"> =</t>
    </r>
  </si>
  <si>
    <r>
      <rPr>
        <sz val="10"/>
        <rFont val="Symbol"/>
        <family val="1"/>
        <charset val="2"/>
      </rPr>
      <t>g</t>
    </r>
    <r>
      <rPr>
        <vertAlign val="subscript"/>
        <sz val="10"/>
        <rFont val="Symbol"/>
        <family val="1"/>
        <charset val="2"/>
      </rPr>
      <t>0</t>
    </r>
    <r>
      <rPr>
        <sz val="10"/>
        <rFont val="Calibri"/>
        <family val="2"/>
        <scheme val="minor"/>
      </rPr>
      <t xml:space="preserve"> =</t>
    </r>
  </si>
  <si>
    <t>b. Tác động:</t>
  </si>
  <si>
    <t>a. Vật liệu:</t>
  </si>
  <si>
    <t>Dài hạn</t>
  </si>
  <si>
    <r>
      <rPr>
        <sz val="10"/>
        <rFont val="Symbol"/>
        <family val="1"/>
        <charset val="2"/>
      </rPr>
      <t>g</t>
    </r>
    <r>
      <rPr>
        <vertAlign val="subscript"/>
        <sz val="10"/>
        <rFont val="Calibri"/>
        <family val="2"/>
        <scheme val="minor"/>
      </rPr>
      <t>G</t>
    </r>
    <r>
      <rPr>
        <sz val="10"/>
        <rFont val="Calibri"/>
        <family val="2"/>
        <scheme val="minor"/>
      </rPr>
      <t xml:space="preserve"> =</t>
    </r>
  </si>
  <si>
    <t>Ngắn hạn</t>
  </si>
  <si>
    <r>
      <rPr>
        <sz val="10"/>
        <rFont val="Symbol"/>
        <family val="1"/>
        <charset val="2"/>
      </rPr>
      <t>g</t>
    </r>
    <r>
      <rPr>
        <vertAlign val="subscript"/>
        <sz val="10"/>
        <rFont val="Calibri"/>
        <family val="2"/>
        <scheme val="minor"/>
      </rPr>
      <t>Q</t>
    </r>
    <r>
      <rPr>
        <sz val="10"/>
        <rFont val="Calibri"/>
        <family val="2"/>
        <scheme val="minor"/>
      </rPr>
      <t xml:space="preserve"> =</t>
    </r>
  </si>
  <si>
    <t>B. QUY TRÌNH THIẾT KẾ</t>
  </si>
  <si>
    <t>1. Tính toán tấm tôn deck như cốp pha trong giai đoạn thi công</t>
  </si>
  <si>
    <t>a. Tải trọng tác dụng lên tấm deck:</t>
  </si>
  <si>
    <t>Cắt 1 dải bản có bề rộng b = 1m và tiến hành tính toán cho dải bản này</t>
  </si>
  <si>
    <r>
      <t>G</t>
    </r>
    <r>
      <rPr>
        <vertAlign val="subscript"/>
        <sz val="10"/>
        <rFont val="Calibri"/>
        <family val="2"/>
        <scheme val="minor"/>
      </rPr>
      <t>ap</t>
    </r>
    <r>
      <rPr>
        <sz val="10"/>
        <rFont val="Calibri"/>
        <family val="2"/>
        <scheme val="minor"/>
      </rPr>
      <t xml:space="preserve"> =</t>
    </r>
  </si>
  <si>
    <r>
      <t>kN/m</t>
    </r>
    <r>
      <rPr>
        <vertAlign val="superscript"/>
        <sz val="10"/>
        <rFont val="Calibri"/>
        <family val="2"/>
        <scheme val="minor"/>
      </rPr>
      <t>2</t>
    </r>
  </si>
  <si>
    <t>G =</t>
  </si>
  <si>
    <r>
      <t>G</t>
    </r>
    <r>
      <rPr>
        <vertAlign val="subscript"/>
        <sz val="10"/>
        <rFont val="Calibri"/>
        <family val="2"/>
        <scheme val="minor"/>
      </rPr>
      <t>c</t>
    </r>
    <r>
      <rPr>
        <sz val="10"/>
        <rFont val="Calibri"/>
        <family val="2"/>
        <scheme val="minor"/>
      </rPr>
      <t xml:space="preserve"> =</t>
    </r>
  </si>
  <si>
    <r>
      <t>S</t>
    </r>
    <r>
      <rPr>
        <vertAlign val="subscript"/>
        <sz val="10"/>
        <rFont val="Calibri"/>
        <family val="2"/>
        <scheme val="minor"/>
      </rPr>
      <t>1</t>
    </r>
    <r>
      <rPr>
        <sz val="10"/>
        <rFont val="Calibri"/>
        <family val="2"/>
        <scheme val="minor"/>
      </rPr>
      <t xml:space="preserve"> =</t>
    </r>
  </si>
  <si>
    <r>
      <t>S</t>
    </r>
    <r>
      <rPr>
        <vertAlign val="subscript"/>
        <sz val="10"/>
        <rFont val="Calibri"/>
        <family val="2"/>
        <scheme val="minor"/>
      </rPr>
      <t>2</t>
    </r>
    <r>
      <rPr>
        <sz val="10"/>
        <rFont val="Calibri"/>
        <family val="2"/>
        <scheme val="minor"/>
      </rPr>
      <t xml:space="preserve"> =</t>
    </r>
  </si>
  <si>
    <t>b. Phân tích tổng thể và tính toán nội lực</t>
  </si>
  <si>
    <t>c. Trường hợp 1: Tải trọng phân bố trên 1 nhịp</t>
  </si>
  <si>
    <r>
      <t>S</t>
    </r>
    <r>
      <rPr>
        <vertAlign val="subscript"/>
        <sz val="10"/>
        <rFont val="Calibri"/>
        <family val="2"/>
        <scheme val="minor"/>
      </rPr>
      <t>P</t>
    </r>
    <r>
      <rPr>
        <sz val="10"/>
        <rFont val="Calibri"/>
        <family val="2"/>
        <scheme val="minor"/>
      </rPr>
      <t xml:space="preserve"> =(S</t>
    </r>
    <r>
      <rPr>
        <vertAlign val="subscript"/>
        <sz val="10"/>
        <rFont val="Calibri"/>
        <family val="2"/>
        <scheme val="minor"/>
      </rPr>
      <t>1</t>
    </r>
    <r>
      <rPr>
        <sz val="10"/>
        <rFont val="Calibri"/>
        <family val="2"/>
        <scheme val="minor"/>
      </rPr>
      <t>+S</t>
    </r>
    <r>
      <rPr>
        <vertAlign val="subscript"/>
        <sz val="10"/>
        <rFont val="Calibri"/>
        <family val="2"/>
        <scheme val="minor"/>
      </rPr>
      <t>2</t>
    </r>
    <r>
      <rPr>
        <sz val="10"/>
        <rFont val="Calibri"/>
        <family val="2"/>
        <scheme val="minor"/>
      </rPr>
      <t>)</t>
    </r>
    <r>
      <rPr>
        <sz val="10"/>
        <rFont val="Symbol"/>
        <family val="1"/>
        <charset val="2"/>
      </rPr>
      <t>g</t>
    </r>
    <r>
      <rPr>
        <vertAlign val="subscript"/>
        <sz val="10"/>
        <rFont val="Calibri"/>
        <family val="2"/>
        <scheme val="minor"/>
      </rPr>
      <t>Q</t>
    </r>
    <r>
      <rPr>
        <sz val="10"/>
        <rFont val="Calibri"/>
        <family val="2"/>
        <scheme val="minor"/>
      </rPr>
      <t>+G</t>
    </r>
    <r>
      <rPr>
        <sz val="10"/>
        <rFont val="Symbol"/>
        <family val="1"/>
        <charset val="2"/>
      </rPr>
      <t>g</t>
    </r>
    <r>
      <rPr>
        <vertAlign val="subscript"/>
        <sz val="10"/>
        <rFont val="Calibri"/>
        <family val="2"/>
        <scheme val="minor"/>
      </rPr>
      <t>G</t>
    </r>
    <r>
      <rPr>
        <sz val="10"/>
        <rFont val="Calibri"/>
        <family val="2"/>
        <scheme val="minor"/>
      </rPr>
      <t>=</t>
    </r>
  </si>
  <si>
    <r>
      <t>M</t>
    </r>
    <r>
      <rPr>
        <vertAlign val="subscript"/>
        <sz val="10"/>
        <rFont val="Calibri"/>
        <family val="2"/>
        <scheme val="minor"/>
      </rPr>
      <t>12</t>
    </r>
    <r>
      <rPr>
        <sz val="10"/>
        <rFont val="Calibri"/>
        <family val="2"/>
        <scheme val="minor"/>
      </rPr>
      <t>=</t>
    </r>
  </si>
  <si>
    <r>
      <t>M</t>
    </r>
    <r>
      <rPr>
        <vertAlign val="subscript"/>
        <sz val="10"/>
        <rFont val="Calibri"/>
        <family val="2"/>
        <scheme val="minor"/>
      </rPr>
      <t>2</t>
    </r>
    <r>
      <rPr>
        <sz val="10"/>
        <rFont val="Calibri"/>
        <family val="2"/>
        <scheme val="minor"/>
      </rPr>
      <t xml:space="preserve"> =</t>
    </r>
  </si>
  <si>
    <t>kNm/m</t>
  </si>
  <si>
    <t>kN</t>
  </si>
  <si>
    <r>
      <t>Lực cắt tại gối biên, V</t>
    </r>
    <r>
      <rPr>
        <vertAlign val="subscript"/>
        <sz val="10"/>
        <rFont val="Calibri"/>
        <family val="2"/>
        <scheme val="minor"/>
      </rPr>
      <t>1</t>
    </r>
    <r>
      <rPr>
        <sz val="10"/>
        <rFont val="Calibri"/>
        <family val="2"/>
        <scheme val="minor"/>
      </rPr>
      <t xml:space="preserve"> =</t>
    </r>
  </si>
  <si>
    <r>
      <t>Lực cắt tại gối giữa, V</t>
    </r>
    <r>
      <rPr>
        <vertAlign val="subscript"/>
        <sz val="10"/>
        <rFont val="Calibri"/>
        <family val="2"/>
        <scheme val="minor"/>
      </rPr>
      <t>2</t>
    </r>
    <r>
      <rPr>
        <sz val="10"/>
        <rFont val="Calibri"/>
        <family val="2"/>
        <scheme val="minor"/>
      </rPr>
      <t xml:space="preserve"> =</t>
    </r>
  </si>
  <si>
    <r>
      <t>S</t>
    </r>
    <r>
      <rPr>
        <vertAlign val="subscript"/>
        <sz val="10"/>
        <rFont val="Calibri"/>
        <family val="2"/>
        <scheme val="minor"/>
      </rPr>
      <t>P</t>
    </r>
    <r>
      <rPr>
        <sz val="10"/>
        <rFont val="Calibri"/>
        <family val="2"/>
        <scheme val="minor"/>
      </rPr>
      <t xml:space="preserve"> =(S</t>
    </r>
    <r>
      <rPr>
        <vertAlign val="subscript"/>
        <sz val="10"/>
        <rFont val="Calibri"/>
        <family val="2"/>
        <scheme val="minor"/>
      </rPr>
      <t>1</t>
    </r>
    <r>
      <rPr>
        <sz val="10"/>
        <rFont val="Calibri"/>
        <family val="2"/>
        <scheme val="minor"/>
      </rPr>
      <t>+S</t>
    </r>
    <r>
      <rPr>
        <vertAlign val="subscript"/>
        <sz val="10"/>
        <rFont val="Calibri"/>
        <family val="2"/>
        <scheme val="minor"/>
      </rPr>
      <t>2</t>
    </r>
    <r>
      <rPr>
        <sz val="10"/>
        <rFont val="Calibri"/>
        <family val="2"/>
        <scheme val="minor"/>
      </rPr>
      <t>)+G=</t>
    </r>
  </si>
  <si>
    <t>c. Trường hợp 2: Tải trọng phân bố trên 2 nhịp</t>
  </si>
  <si>
    <r>
      <t>S</t>
    </r>
    <r>
      <rPr>
        <vertAlign val="subscript"/>
        <sz val="10"/>
        <rFont val="Calibri"/>
        <family val="2"/>
        <scheme val="minor"/>
      </rPr>
      <t>pa</t>
    </r>
    <r>
      <rPr>
        <sz val="10"/>
        <rFont val="Calibri"/>
        <family val="2"/>
        <scheme val="minor"/>
      </rPr>
      <t xml:space="preserve"> =S</t>
    </r>
    <r>
      <rPr>
        <vertAlign val="subscript"/>
        <sz val="10"/>
        <rFont val="Calibri"/>
        <family val="2"/>
        <scheme val="minor"/>
      </rPr>
      <t>1</t>
    </r>
    <r>
      <rPr>
        <sz val="10"/>
        <rFont val="Symbol"/>
        <family val="1"/>
        <charset val="2"/>
      </rPr>
      <t>g</t>
    </r>
    <r>
      <rPr>
        <vertAlign val="subscript"/>
        <sz val="10"/>
        <rFont val="Calibri"/>
        <family val="2"/>
        <scheme val="minor"/>
      </rPr>
      <t>Q</t>
    </r>
    <r>
      <rPr>
        <sz val="10"/>
        <rFont val="Calibri"/>
        <family val="2"/>
        <scheme val="minor"/>
      </rPr>
      <t>+G</t>
    </r>
    <r>
      <rPr>
        <sz val="10"/>
        <rFont val="Symbol"/>
        <family val="1"/>
        <charset val="2"/>
      </rPr>
      <t>g</t>
    </r>
    <r>
      <rPr>
        <vertAlign val="subscript"/>
        <sz val="10"/>
        <rFont val="Calibri"/>
        <family val="2"/>
        <scheme val="minor"/>
      </rPr>
      <t>G</t>
    </r>
    <r>
      <rPr>
        <sz val="10"/>
        <rFont val="Calibri"/>
        <family val="2"/>
        <scheme val="minor"/>
      </rPr>
      <t>=</t>
    </r>
  </si>
  <si>
    <r>
      <t>S</t>
    </r>
    <r>
      <rPr>
        <vertAlign val="subscript"/>
        <sz val="10"/>
        <rFont val="Calibri"/>
        <family val="2"/>
        <scheme val="minor"/>
      </rPr>
      <t>pa +</t>
    </r>
    <r>
      <rPr>
        <sz val="10"/>
        <rFont val="Calibri"/>
        <family val="2"/>
        <scheme val="minor"/>
      </rPr>
      <t>S</t>
    </r>
    <r>
      <rPr>
        <vertAlign val="subscript"/>
        <sz val="10"/>
        <rFont val="Calibri"/>
        <family val="2"/>
        <scheme val="minor"/>
      </rPr>
      <t>pb</t>
    </r>
    <r>
      <rPr>
        <sz val="10"/>
        <rFont val="Calibri"/>
        <family val="2"/>
        <scheme val="minor"/>
      </rPr>
      <t xml:space="preserve"> =S</t>
    </r>
    <r>
      <rPr>
        <vertAlign val="subscript"/>
        <sz val="10"/>
        <rFont val="Calibri"/>
        <family val="2"/>
        <scheme val="minor"/>
      </rPr>
      <t>p</t>
    </r>
    <r>
      <rPr>
        <sz val="10"/>
        <rFont val="Calibri"/>
        <family val="2"/>
        <scheme val="minor"/>
      </rPr>
      <t>=</t>
    </r>
  </si>
  <si>
    <r>
      <t>S</t>
    </r>
    <r>
      <rPr>
        <vertAlign val="subscript"/>
        <sz val="10"/>
        <rFont val="Calibri"/>
        <family val="2"/>
        <scheme val="minor"/>
      </rPr>
      <t>pa</t>
    </r>
    <r>
      <rPr>
        <sz val="10"/>
        <rFont val="Calibri"/>
        <family val="2"/>
        <scheme val="minor"/>
      </rPr>
      <t xml:space="preserve"> =S</t>
    </r>
    <r>
      <rPr>
        <vertAlign val="subscript"/>
        <sz val="10"/>
        <rFont val="Calibri"/>
        <family val="2"/>
        <scheme val="minor"/>
      </rPr>
      <t>1</t>
    </r>
    <r>
      <rPr>
        <sz val="10"/>
        <rFont val="Calibri"/>
        <family val="2"/>
        <scheme val="minor"/>
      </rPr>
      <t>+G=</t>
    </r>
  </si>
  <si>
    <r>
      <t>V</t>
    </r>
    <r>
      <rPr>
        <vertAlign val="subscript"/>
        <sz val="10"/>
        <rFont val="Calibri"/>
        <family val="2"/>
        <scheme val="minor"/>
      </rPr>
      <t>Rd</t>
    </r>
    <r>
      <rPr>
        <sz val="10"/>
        <rFont val="Calibri"/>
        <family val="2"/>
        <scheme val="minor"/>
      </rPr>
      <t xml:space="preserve"> =</t>
    </r>
    <r>
      <rPr>
        <sz val="10"/>
        <rFont val="Symbol"/>
        <family val="1"/>
        <charset val="2"/>
      </rPr>
      <t xml:space="preserve"> t</t>
    </r>
    <r>
      <rPr>
        <vertAlign val="subscript"/>
        <sz val="10"/>
        <rFont val="Calibri"/>
        <family val="2"/>
        <scheme val="minor"/>
      </rPr>
      <t>w.</t>
    </r>
    <r>
      <rPr>
        <sz val="10"/>
        <rFont val="Calibri"/>
        <family val="2"/>
        <scheme val="minor"/>
      </rPr>
      <t>S</t>
    </r>
    <r>
      <rPr>
        <vertAlign val="subscript"/>
        <sz val="10"/>
        <rFont val="Calibri"/>
        <family val="2"/>
        <scheme val="minor"/>
      </rPr>
      <t>w.</t>
    </r>
    <r>
      <rPr>
        <sz val="10"/>
        <rFont val="Calibri"/>
        <family val="2"/>
        <scheme val="minor"/>
      </rPr>
      <t>t/</t>
    </r>
    <r>
      <rPr>
        <sz val="10"/>
        <rFont val="Symbol"/>
        <family val="1"/>
        <charset val="2"/>
      </rPr>
      <t>g</t>
    </r>
    <r>
      <rPr>
        <vertAlign val="subscript"/>
        <sz val="10"/>
        <rFont val="Calibri"/>
        <family val="2"/>
        <scheme val="minor"/>
      </rPr>
      <t>M1</t>
    </r>
    <r>
      <rPr>
        <sz val="10"/>
        <rFont val="Calibri"/>
        <family val="2"/>
        <scheme val="minor"/>
      </rPr>
      <t>=</t>
    </r>
  </si>
  <si>
    <r>
      <rPr>
        <sz val="10"/>
        <rFont val="Symbol"/>
        <family val="1"/>
        <charset val="2"/>
      </rPr>
      <t>d</t>
    </r>
    <r>
      <rPr>
        <vertAlign val="subscript"/>
        <sz val="10"/>
        <rFont val="Calibri"/>
        <family val="2"/>
        <scheme val="minor"/>
      </rPr>
      <t>w</t>
    </r>
    <r>
      <rPr>
        <sz val="10"/>
        <rFont val="Calibri"/>
        <family val="2"/>
        <scheme val="minor"/>
      </rPr>
      <t xml:space="preserve"> =</t>
    </r>
    <r>
      <rPr>
        <sz val="10"/>
        <rFont val="Calibri"/>
        <family val="1"/>
        <charset val="2"/>
        <scheme val="minor"/>
      </rPr>
      <t>0.346 S</t>
    </r>
    <r>
      <rPr>
        <vertAlign val="subscript"/>
        <sz val="10"/>
        <rFont val="Calibri"/>
        <family val="2"/>
        <scheme val="minor"/>
      </rPr>
      <t>w</t>
    </r>
    <r>
      <rPr>
        <sz val="10"/>
        <rFont val="Calibri"/>
        <family val="1"/>
        <charset val="2"/>
        <scheme val="minor"/>
      </rPr>
      <t>/t.(f</t>
    </r>
    <r>
      <rPr>
        <vertAlign val="subscript"/>
        <sz val="10"/>
        <rFont val="Calibri"/>
        <family val="2"/>
        <scheme val="minor"/>
      </rPr>
      <t>y</t>
    </r>
    <r>
      <rPr>
        <sz val="10"/>
        <rFont val="Calibri"/>
        <family val="1"/>
        <charset val="2"/>
        <scheme val="minor"/>
      </rPr>
      <t>/E)</t>
    </r>
    <r>
      <rPr>
        <vertAlign val="superscript"/>
        <sz val="10"/>
        <rFont val="Calibri"/>
        <family val="2"/>
        <scheme val="minor"/>
      </rPr>
      <t>0.5</t>
    </r>
    <r>
      <rPr>
        <sz val="10"/>
        <rFont val="Calibri"/>
        <family val="1"/>
        <charset val="2"/>
        <scheme val="minor"/>
      </rPr>
      <t>=</t>
    </r>
  </si>
  <si>
    <r>
      <rPr>
        <sz val="10"/>
        <rFont val="Symbol"/>
        <family val="1"/>
        <charset val="2"/>
      </rPr>
      <t>t</t>
    </r>
    <r>
      <rPr>
        <vertAlign val="subscript"/>
        <sz val="10"/>
        <rFont val="Calibri"/>
        <family val="2"/>
        <scheme val="minor"/>
      </rPr>
      <t>w</t>
    </r>
    <r>
      <rPr>
        <sz val="10"/>
        <rFont val="Calibri"/>
        <family val="2"/>
        <scheme val="minor"/>
      </rPr>
      <t>=0.48f</t>
    </r>
    <r>
      <rPr>
        <vertAlign val="subscript"/>
        <sz val="10"/>
        <rFont val="Calibri"/>
        <family val="2"/>
        <scheme val="minor"/>
      </rPr>
      <t>y</t>
    </r>
    <r>
      <rPr>
        <sz val="10"/>
        <rFont val="Calibri"/>
        <family val="2"/>
        <scheme val="minor"/>
      </rPr>
      <t>/</t>
    </r>
    <r>
      <rPr>
        <sz val="10"/>
        <rFont val="Symbol"/>
        <family val="1"/>
        <charset val="2"/>
      </rPr>
      <t>d</t>
    </r>
    <r>
      <rPr>
        <vertAlign val="subscript"/>
        <sz val="10"/>
        <rFont val="Calibri"/>
        <family val="2"/>
        <scheme val="minor"/>
      </rPr>
      <t>w</t>
    </r>
    <r>
      <rPr>
        <sz val="10"/>
        <rFont val="Calibri"/>
        <family val="2"/>
        <scheme val="minor"/>
      </rPr>
      <t>=</t>
    </r>
  </si>
  <si>
    <r>
      <rPr>
        <sz val="10"/>
        <rFont val="Symbol"/>
        <family val="1"/>
        <charset val="2"/>
      </rPr>
      <t>g</t>
    </r>
    <r>
      <rPr>
        <vertAlign val="subscript"/>
        <sz val="10"/>
        <rFont val="Calibri"/>
        <family val="2"/>
        <scheme val="minor"/>
      </rPr>
      <t>M,1</t>
    </r>
    <r>
      <rPr>
        <sz val="10"/>
        <rFont val="Calibri"/>
        <family val="2"/>
        <scheme val="minor"/>
      </rPr>
      <t xml:space="preserve"> =</t>
    </r>
  </si>
  <si>
    <r>
      <t>V</t>
    </r>
    <r>
      <rPr>
        <vertAlign val="subscript"/>
        <sz val="10"/>
        <rFont val="Calibri"/>
        <family val="2"/>
        <scheme val="minor"/>
      </rPr>
      <t>Rd</t>
    </r>
    <r>
      <rPr>
        <sz val="10"/>
        <rFont val="Calibri"/>
        <family val="2"/>
        <scheme val="minor"/>
      </rPr>
      <t xml:space="preserve"> =</t>
    </r>
  </si>
  <si>
    <t>kN/m</t>
  </si>
  <si>
    <t>e. Xác định khả năng chịu lực tại vị trí gối tựa:</t>
  </si>
  <si>
    <t>d. Xác định khả năng chịu cắt:</t>
  </si>
  <si>
    <t>®</t>
  </si>
  <si>
    <r>
      <t>R</t>
    </r>
    <r>
      <rPr>
        <vertAlign val="subscript"/>
        <sz val="10"/>
        <rFont val="Calibri"/>
        <family val="2"/>
        <scheme val="minor"/>
      </rPr>
      <t>Rd</t>
    </r>
    <r>
      <rPr>
        <sz val="10"/>
        <rFont val="Calibri"/>
        <family val="2"/>
        <scheme val="minor"/>
      </rPr>
      <t xml:space="preserve"> = </t>
    </r>
    <r>
      <rPr>
        <sz val="10"/>
        <rFont val="Symbol"/>
        <family val="1"/>
        <charset val="2"/>
      </rPr>
      <t>a</t>
    </r>
    <r>
      <rPr>
        <vertAlign val="subscript"/>
        <sz val="10"/>
        <rFont val="Calibri"/>
        <family val="2"/>
        <scheme val="minor"/>
      </rPr>
      <t>i</t>
    </r>
    <r>
      <rPr>
        <sz val="10"/>
        <rFont val="Calibri"/>
        <family val="2"/>
        <scheme val="minor"/>
      </rPr>
      <t xml:space="preserve"> t</t>
    </r>
    <r>
      <rPr>
        <vertAlign val="superscript"/>
        <sz val="10"/>
        <rFont val="Calibri"/>
        <family val="2"/>
        <scheme val="minor"/>
      </rPr>
      <t>2</t>
    </r>
    <r>
      <rPr>
        <sz val="10"/>
        <rFont val="Calibri"/>
        <family val="2"/>
        <scheme val="minor"/>
      </rPr>
      <t>(f</t>
    </r>
    <r>
      <rPr>
        <vertAlign val="subscript"/>
        <sz val="10"/>
        <rFont val="Calibri"/>
        <family val="2"/>
        <scheme val="minor"/>
      </rPr>
      <t>i</t>
    </r>
    <r>
      <rPr>
        <sz val="10"/>
        <rFont val="Calibri"/>
        <family val="2"/>
        <scheme val="minor"/>
      </rPr>
      <t>E)</t>
    </r>
    <r>
      <rPr>
        <vertAlign val="superscript"/>
        <sz val="10"/>
        <rFont val="Calibri"/>
        <family val="2"/>
        <scheme val="minor"/>
      </rPr>
      <t>0.5</t>
    </r>
    <r>
      <rPr>
        <sz val="10"/>
        <rFont val="Calibri"/>
        <family val="2"/>
        <scheme val="minor"/>
      </rPr>
      <t>.[1-0.1(r/t)</t>
    </r>
    <r>
      <rPr>
        <vertAlign val="superscript"/>
        <sz val="10"/>
        <rFont val="Calibri"/>
        <family val="2"/>
        <scheme val="minor"/>
      </rPr>
      <t>0.5</t>
    </r>
    <r>
      <rPr>
        <sz val="10"/>
        <rFont val="Calibri"/>
        <family val="2"/>
        <scheme val="minor"/>
      </rPr>
      <t>].[0.5+(0.02L</t>
    </r>
    <r>
      <rPr>
        <vertAlign val="subscript"/>
        <sz val="10"/>
        <rFont val="Calibri"/>
        <family val="2"/>
        <scheme val="minor"/>
      </rPr>
      <t>a</t>
    </r>
    <r>
      <rPr>
        <sz val="10"/>
        <rFont val="Calibri"/>
        <family val="2"/>
        <scheme val="minor"/>
      </rPr>
      <t>/t)</t>
    </r>
    <r>
      <rPr>
        <vertAlign val="superscript"/>
        <sz val="10"/>
        <rFont val="Calibri"/>
        <family val="2"/>
        <scheme val="minor"/>
      </rPr>
      <t>0.5</t>
    </r>
    <r>
      <rPr>
        <sz val="10"/>
        <rFont val="Calibri"/>
        <family val="2"/>
        <scheme val="minor"/>
      </rPr>
      <t>].(24+</t>
    </r>
    <r>
      <rPr>
        <sz val="10"/>
        <rFont val="Symbol"/>
        <family val="1"/>
        <charset val="2"/>
      </rPr>
      <t>j</t>
    </r>
    <r>
      <rPr>
        <sz val="10"/>
        <rFont val="Calibri"/>
        <family val="2"/>
        <scheme val="minor"/>
      </rPr>
      <t>/90)</t>
    </r>
    <r>
      <rPr>
        <vertAlign val="superscript"/>
        <sz val="10"/>
        <rFont val="Calibri"/>
        <family val="2"/>
        <scheme val="minor"/>
      </rPr>
      <t>2</t>
    </r>
    <r>
      <rPr>
        <sz val="10"/>
        <rFont val="Calibri"/>
        <family val="2"/>
        <scheme val="minor"/>
      </rPr>
      <t>)/</t>
    </r>
    <r>
      <rPr>
        <sz val="10"/>
        <rFont val="Symbol"/>
        <family val="1"/>
        <charset val="2"/>
      </rPr>
      <t>g</t>
    </r>
    <r>
      <rPr>
        <vertAlign val="subscript"/>
        <sz val="10"/>
        <rFont val="Calibri"/>
        <family val="2"/>
        <scheme val="minor"/>
      </rPr>
      <t>m</t>
    </r>
  </si>
  <si>
    <r>
      <t>R</t>
    </r>
    <r>
      <rPr>
        <vertAlign val="subscript"/>
        <sz val="10"/>
        <color theme="1"/>
        <rFont val="Calibri"/>
        <family val="2"/>
        <scheme val="minor"/>
      </rPr>
      <t>Rd</t>
    </r>
    <r>
      <rPr>
        <sz val="10"/>
        <color theme="1"/>
        <rFont val="Calibri"/>
        <family val="2"/>
        <scheme val="minor"/>
      </rPr>
      <t xml:space="preserve"> =</t>
    </r>
  </si>
  <si>
    <r>
      <t>Bề rộng gối tựa, L</t>
    </r>
    <r>
      <rPr>
        <vertAlign val="subscript"/>
        <sz val="10"/>
        <color theme="1"/>
        <rFont val="Calibri"/>
        <family val="2"/>
        <scheme val="minor"/>
      </rPr>
      <t>a</t>
    </r>
    <r>
      <rPr>
        <sz val="10"/>
        <color theme="1"/>
        <rFont val="Calibri"/>
        <family val="2"/>
        <scheme val="minor"/>
      </rPr>
      <t xml:space="preserve"> =</t>
    </r>
  </si>
  <si>
    <t>Sơ đồ 1</t>
  </si>
  <si>
    <t>Sơ đồ 2</t>
  </si>
  <si>
    <r>
      <t>Lực cắt, V</t>
    </r>
    <r>
      <rPr>
        <vertAlign val="subscript"/>
        <sz val="10"/>
        <color theme="1"/>
        <rFont val="Calibri"/>
        <family val="2"/>
        <scheme val="minor"/>
      </rPr>
      <t>1</t>
    </r>
    <r>
      <rPr>
        <sz val="10"/>
        <color theme="1"/>
        <rFont val="Calibri"/>
        <family val="2"/>
        <scheme val="minor"/>
      </rPr>
      <t xml:space="preserve"> =</t>
    </r>
  </si>
  <si>
    <r>
      <t>Moment, M</t>
    </r>
    <r>
      <rPr>
        <vertAlign val="subscript"/>
        <sz val="10"/>
        <color theme="1"/>
        <rFont val="Calibri"/>
        <family val="2"/>
        <scheme val="minor"/>
      </rPr>
      <t>12</t>
    </r>
    <r>
      <rPr>
        <sz val="10"/>
        <color theme="1"/>
        <rFont val="Calibri"/>
        <family val="2"/>
        <scheme val="minor"/>
      </rPr>
      <t xml:space="preserve"> =</t>
    </r>
  </si>
  <si>
    <r>
      <t>Lực cắt, V</t>
    </r>
    <r>
      <rPr>
        <vertAlign val="subscript"/>
        <sz val="10"/>
        <color theme="1"/>
        <rFont val="Calibri"/>
        <family val="2"/>
        <scheme val="minor"/>
      </rPr>
      <t>2</t>
    </r>
    <r>
      <rPr>
        <sz val="10"/>
        <color theme="1"/>
        <rFont val="Calibri"/>
        <family val="2"/>
        <scheme val="minor"/>
      </rPr>
      <t xml:space="preserve"> =</t>
    </r>
  </si>
  <si>
    <r>
      <t>Phản lực, R</t>
    </r>
    <r>
      <rPr>
        <vertAlign val="subscript"/>
        <sz val="10"/>
        <color theme="1"/>
        <rFont val="Calibri"/>
        <family val="2"/>
        <scheme val="minor"/>
      </rPr>
      <t>1</t>
    </r>
    <r>
      <rPr>
        <sz val="10"/>
        <color theme="1"/>
        <rFont val="Calibri"/>
        <family val="2"/>
        <scheme val="minor"/>
      </rPr>
      <t xml:space="preserve"> =</t>
    </r>
  </si>
  <si>
    <r>
      <t>Phản lực, R</t>
    </r>
    <r>
      <rPr>
        <vertAlign val="subscript"/>
        <sz val="10"/>
        <color theme="1"/>
        <rFont val="Calibri"/>
        <family val="2"/>
        <scheme val="minor"/>
      </rPr>
      <t>2</t>
    </r>
    <r>
      <rPr>
        <sz val="10"/>
        <color theme="1"/>
        <rFont val="Calibri"/>
        <family val="2"/>
        <scheme val="minor"/>
      </rPr>
      <t xml:space="preserve"> =</t>
    </r>
  </si>
  <si>
    <r>
      <t>Moment, M</t>
    </r>
    <r>
      <rPr>
        <vertAlign val="subscript"/>
        <sz val="10"/>
        <color theme="1"/>
        <rFont val="Calibri"/>
        <family val="2"/>
        <scheme val="minor"/>
      </rPr>
      <t>2</t>
    </r>
    <r>
      <rPr>
        <sz val="10"/>
        <color theme="1"/>
        <rFont val="Calibri"/>
        <family val="2"/>
        <scheme val="minor"/>
      </rPr>
      <t xml:space="preserve"> =</t>
    </r>
  </si>
  <si>
    <t>kNm</t>
  </si>
  <si>
    <r>
      <t>V</t>
    </r>
    <r>
      <rPr>
        <vertAlign val="subscript"/>
        <sz val="10"/>
        <color theme="1"/>
        <rFont val="Calibri"/>
        <family val="2"/>
        <scheme val="minor"/>
      </rPr>
      <t>1</t>
    </r>
    <r>
      <rPr>
        <sz val="10"/>
        <color theme="1"/>
        <rFont val="Calibri"/>
        <family val="2"/>
        <scheme val="minor"/>
      </rPr>
      <t>/V</t>
    </r>
    <r>
      <rPr>
        <vertAlign val="subscript"/>
        <sz val="10"/>
        <color theme="1"/>
        <rFont val="Calibri"/>
        <family val="2"/>
        <scheme val="minor"/>
      </rPr>
      <t>Rd</t>
    </r>
    <r>
      <rPr>
        <sz val="10"/>
        <color theme="1"/>
        <rFont val="Calibri"/>
        <family val="2"/>
        <scheme val="minor"/>
      </rPr>
      <t xml:space="preserve"> =</t>
    </r>
  </si>
  <si>
    <r>
      <t>R</t>
    </r>
    <r>
      <rPr>
        <vertAlign val="subscript"/>
        <sz val="10"/>
        <color theme="1"/>
        <rFont val="Calibri"/>
        <family val="2"/>
        <scheme val="minor"/>
      </rPr>
      <t>1</t>
    </r>
    <r>
      <rPr>
        <sz val="10"/>
        <color theme="1"/>
        <rFont val="Calibri"/>
        <family val="2"/>
        <scheme val="minor"/>
      </rPr>
      <t>/R</t>
    </r>
    <r>
      <rPr>
        <vertAlign val="subscript"/>
        <sz val="10"/>
        <color theme="1"/>
        <rFont val="Calibri"/>
        <family val="2"/>
        <scheme val="minor"/>
      </rPr>
      <t>Rd</t>
    </r>
    <r>
      <rPr>
        <sz val="10"/>
        <color theme="1"/>
        <rFont val="Calibri"/>
        <family val="2"/>
        <scheme val="minor"/>
      </rPr>
      <t xml:space="preserve"> =</t>
    </r>
  </si>
  <si>
    <r>
      <t>M</t>
    </r>
    <r>
      <rPr>
        <vertAlign val="subscript"/>
        <sz val="10"/>
        <color theme="1"/>
        <rFont val="Calibri"/>
        <family val="2"/>
        <scheme val="minor"/>
      </rPr>
      <t>12</t>
    </r>
    <r>
      <rPr>
        <sz val="10"/>
        <color theme="1"/>
        <rFont val="Calibri"/>
        <family val="2"/>
        <scheme val="minor"/>
      </rPr>
      <t>/M</t>
    </r>
    <r>
      <rPr>
        <vertAlign val="subscript"/>
        <sz val="10"/>
        <color theme="1"/>
        <rFont val="Calibri"/>
        <family val="2"/>
        <scheme val="minor"/>
      </rPr>
      <t>Rd</t>
    </r>
    <r>
      <rPr>
        <vertAlign val="superscript"/>
        <sz val="10"/>
        <color theme="1"/>
        <rFont val="Calibri"/>
        <family val="2"/>
        <scheme val="minor"/>
      </rPr>
      <t>+</t>
    </r>
    <r>
      <rPr>
        <sz val="10"/>
        <color theme="1"/>
        <rFont val="Calibri"/>
        <family val="2"/>
        <scheme val="minor"/>
      </rPr>
      <t xml:space="preserve"> =</t>
    </r>
  </si>
  <si>
    <r>
      <t>V</t>
    </r>
    <r>
      <rPr>
        <vertAlign val="subscript"/>
        <sz val="10"/>
        <color theme="1"/>
        <rFont val="Calibri"/>
        <family val="2"/>
        <scheme val="minor"/>
      </rPr>
      <t>2</t>
    </r>
    <r>
      <rPr>
        <sz val="10"/>
        <color theme="1"/>
        <rFont val="Calibri"/>
        <family val="2"/>
        <scheme val="minor"/>
      </rPr>
      <t>/V</t>
    </r>
    <r>
      <rPr>
        <vertAlign val="subscript"/>
        <sz val="10"/>
        <color theme="1"/>
        <rFont val="Calibri"/>
        <family val="2"/>
        <scheme val="minor"/>
      </rPr>
      <t>Rd</t>
    </r>
    <r>
      <rPr>
        <sz val="10"/>
        <color theme="1"/>
        <rFont val="Calibri"/>
        <family val="2"/>
        <scheme val="minor"/>
      </rPr>
      <t xml:space="preserve"> =</t>
    </r>
  </si>
  <si>
    <r>
      <t>M</t>
    </r>
    <r>
      <rPr>
        <vertAlign val="subscript"/>
        <sz val="10"/>
        <color theme="1"/>
        <rFont val="Calibri"/>
        <family val="2"/>
        <scheme val="minor"/>
      </rPr>
      <t>2</t>
    </r>
    <r>
      <rPr>
        <sz val="10"/>
        <color theme="1"/>
        <rFont val="Calibri"/>
        <family val="2"/>
        <scheme val="minor"/>
      </rPr>
      <t>/M</t>
    </r>
    <r>
      <rPr>
        <vertAlign val="subscript"/>
        <sz val="10"/>
        <color theme="1"/>
        <rFont val="Calibri"/>
        <family val="2"/>
        <scheme val="minor"/>
      </rPr>
      <t>Rd</t>
    </r>
    <r>
      <rPr>
        <vertAlign val="superscript"/>
        <sz val="10"/>
        <color theme="1"/>
        <rFont val="Calibri"/>
        <family val="2"/>
        <scheme val="minor"/>
      </rPr>
      <t>-</t>
    </r>
    <r>
      <rPr>
        <sz val="10"/>
        <color theme="1"/>
        <rFont val="Calibri"/>
        <family val="2"/>
        <scheme val="minor"/>
      </rPr>
      <t xml:space="preserve"> =</t>
    </r>
  </si>
  <si>
    <r>
      <t>M</t>
    </r>
    <r>
      <rPr>
        <vertAlign val="subscript"/>
        <sz val="10"/>
        <rFont val="Calibri"/>
        <family val="2"/>
        <scheme val="minor"/>
      </rPr>
      <t>pl,Rd</t>
    </r>
    <r>
      <rPr>
        <vertAlign val="superscript"/>
        <sz val="10"/>
        <rFont val="Calibri"/>
        <family val="2"/>
        <scheme val="minor"/>
      </rPr>
      <t>(-)</t>
    </r>
    <r>
      <rPr>
        <sz val="10"/>
        <rFont val="Calibri"/>
        <family val="2"/>
        <scheme val="minor"/>
      </rPr>
      <t>=</t>
    </r>
  </si>
  <si>
    <r>
      <t>R</t>
    </r>
    <r>
      <rPr>
        <vertAlign val="subscript"/>
        <sz val="10"/>
        <color theme="1"/>
        <rFont val="Calibri"/>
        <family val="2"/>
        <scheme val="minor"/>
      </rPr>
      <t>2</t>
    </r>
    <r>
      <rPr>
        <sz val="10"/>
        <color theme="1"/>
        <rFont val="Calibri"/>
        <family val="2"/>
        <scheme val="minor"/>
      </rPr>
      <t>/R</t>
    </r>
    <r>
      <rPr>
        <vertAlign val="subscript"/>
        <sz val="10"/>
        <color theme="1"/>
        <rFont val="Calibri"/>
        <family val="2"/>
        <scheme val="minor"/>
      </rPr>
      <t>Rd</t>
    </r>
    <r>
      <rPr>
        <sz val="10"/>
        <color theme="1"/>
        <rFont val="Calibri"/>
        <family val="2"/>
        <scheme val="minor"/>
      </rPr>
      <t xml:space="preserve"> =</t>
    </r>
  </si>
  <si>
    <t>f. Kiểm tra khả năng chịu lực giai đoạn thi công</t>
  </si>
  <si>
    <t>g. Kiểm tra tấm tôn theo trạng thái giới hạn về biến dạng</t>
  </si>
  <si>
    <r>
      <t>I</t>
    </r>
    <r>
      <rPr>
        <vertAlign val="subscript"/>
        <sz val="10"/>
        <color theme="1"/>
        <rFont val="Calibri"/>
        <family val="2"/>
        <scheme val="minor"/>
      </rPr>
      <t>eff</t>
    </r>
    <r>
      <rPr>
        <sz val="10"/>
        <color theme="1"/>
        <rFont val="Calibri"/>
        <family val="2"/>
        <scheme val="minor"/>
      </rPr>
      <t xml:space="preserve"> =</t>
    </r>
  </si>
  <si>
    <t>P =</t>
  </si>
  <si>
    <t>k =</t>
  </si>
  <si>
    <t>Tấm tôn tựa đơn giản trên hai gối</t>
  </si>
  <si>
    <t>Tấm tôn liên tục ba nhịp bằng nhau (3 gối)</t>
  </si>
  <si>
    <t>Tấm tôn liên tục hai nhịp bằng nhau</t>
  </si>
  <si>
    <r>
      <rPr>
        <sz val="10"/>
        <color theme="1"/>
        <rFont val="Symbol"/>
        <family val="1"/>
        <charset val="2"/>
      </rPr>
      <t>d</t>
    </r>
    <r>
      <rPr>
        <sz val="10"/>
        <color theme="1"/>
        <rFont val="Calibri"/>
        <family val="2"/>
        <scheme val="minor"/>
      </rPr>
      <t>=k.(5/384).pL</t>
    </r>
    <r>
      <rPr>
        <vertAlign val="superscript"/>
        <sz val="10"/>
        <color theme="1"/>
        <rFont val="Calibri"/>
        <family val="2"/>
        <scheme val="minor"/>
      </rPr>
      <t>4</t>
    </r>
    <r>
      <rPr>
        <sz val="10"/>
        <color theme="1"/>
        <rFont val="Calibri"/>
        <family val="2"/>
        <scheme val="minor"/>
      </rPr>
      <t>.(1/EI</t>
    </r>
    <r>
      <rPr>
        <vertAlign val="subscript"/>
        <sz val="10"/>
        <color theme="1"/>
        <rFont val="Calibri"/>
        <family val="2"/>
        <scheme val="minor"/>
      </rPr>
      <t>eff</t>
    </r>
    <r>
      <rPr>
        <sz val="10"/>
        <color theme="1"/>
        <rFont val="Calibri"/>
        <family val="2"/>
        <scheme val="minor"/>
      </rPr>
      <t>)=</t>
    </r>
  </si>
  <si>
    <r>
      <rPr>
        <sz val="10"/>
        <color theme="1"/>
        <rFont val="Symbol"/>
        <family val="1"/>
        <charset val="2"/>
      </rPr>
      <t>d</t>
    </r>
    <r>
      <rPr>
        <vertAlign val="subscript"/>
        <sz val="10"/>
        <color theme="1"/>
        <rFont val="Calibri"/>
        <family val="2"/>
        <scheme val="minor"/>
      </rPr>
      <t>max</t>
    </r>
    <r>
      <rPr>
        <sz val="10"/>
        <color theme="1"/>
        <rFont val="Calibri"/>
        <family val="2"/>
        <scheme val="minor"/>
      </rPr>
      <t>=min(L/180;20)=</t>
    </r>
  </si>
  <si>
    <r>
      <rPr>
        <sz val="10"/>
        <color theme="1"/>
        <rFont val="Symbol"/>
        <family val="1"/>
        <charset val="2"/>
      </rPr>
      <t>d/d</t>
    </r>
    <r>
      <rPr>
        <vertAlign val="subscript"/>
        <sz val="10"/>
        <color theme="1"/>
        <rFont val="Calibri"/>
        <family val="2"/>
        <scheme val="minor"/>
      </rPr>
      <t>max</t>
    </r>
    <r>
      <rPr>
        <sz val="10"/>
        <color theme="1"/>
        <rFont val="Calibri"/>
        <family val="2"/>
        <scheme val="minor"/>
      </rPr>
      <t>=</t>
    </r>
  </si>
  <si>
    <t>2. Tính toán sàn liên hợp trong giai đoạn sử dụng</t>
  </si>
  <si>
    <t>3. Tải trọng tác dụng:</t>
  </si>
  <si>
    <t>Tĩnh tải</t>
  </si>
  <si>
    <t>1. Trọng lượng bản BTCT</t>
  </si>
  <si>
    <t>2. Trọng lượng tôn sóng</t>
  </si>
  <si>
    <t>3. Lớp hoàn thiện</t>
  </si>
  <si>
    <t>4. Tải tường quy đổi phân bố đều</t>
  </si>
  <si>
    <t>5. Tải thiết bị</t>
  </si>
  <si>
    <t>Hoạt tải</t>
  </si>
  <si>
    <t>1. Hoạt tải</t>
  </si>
  <si>
    <t>Tổng tải</t>
  </si>
  <si>
    <t>Loại tải</t>
  </si>
  <si>
    <t>SLS</t>
  </si>
  <si>
    <t>ULS</t>
  </si>
  <si>
    <t>g</t>
  </si>
  <si>
    <t>Đơn vị</t>
  </si>
  <si>
    <r>
      <t>M</t>
    </r>
    <r>
      <rPr>
        <vertAlign val="superscript"/>
        <sz val="10"/>
        <color theme="1"/>
        <rFont val="Calibri"/>
        <family val="2"/>
        <scheme val="minor"/>
      </rPr>
      <t>-</t>
    </r>
    <r>
      <rPr>
        <vertAlign val="subscript"/>
        <sz val="10"/>
        <color theme="1"/>
        <rFont val="Calibri"/>
        <family val="2"/>
        <scheme val="minor"/>
      </rPr>
      <t>Ed</t>
    </r>
    <r>
      <rPr>
        <sz val="10"/>
        <color theme="1"/>
        <rFont val="Calibri"/>
        <family val="2"/>
        <scheme val="minor"/>
      </rPr>
      <t xml:space="preserve"> =</t>
    </r>
  </si>
  <si>
    <r>
      <t>M</t>
    </r>
    <r>
      <rPr>
        <vertAlign val="superscript"/>
        <sz val="10"/>
        <color theme="1"/>
        <rFont val="Calibri"/>
        <family val="2"/>
        <scheme val="minor"/>
      </rPr>
      <t>+</t>
    </r>
    <r>
      <rPr>
        <vertAlign val="subscript"/>
        <sz val="10"/>
        <color theme="1"/>
        <rFont val="Calibri"/>
        <family val="2"/>
        <scheme val="minor"/>
      </rPr>
      <t>Ed</t>
    </r>
    <r>
      <rPr>
        <sz val="10"/>
        <color theme="1"/>
        <rFont val="Calibri"/>
        <family val="2"/>
        <scheme val="minor"/>
      </rPr>
      <t xml:space="preserve"> =</t>
    </r>
  </si>
  <si>
    <r>
      <t>V</t>
    </r>
    <r>
      <rPr>
        <vertAlign val="superscript"/>
        <sz val="10"/>
        <color theme="1"/>
        <rFont val="Calibri"/>
        <family val="2"/>
        <scheme val="minor"/>
      </rPr>
      <t>-</t>
    </r>
    <r>
      <rPr>
        <vertAlign val="subscript"/>
        <sz val="10"/>
        <color theme="1"/>
        <rFont val="Calibri"/>
        <family val="2"/>
        <scheme val="minor"/>
      </rPr>
      <t>Ed</t>
    </r>
    <r>
      <rPr>
        <sz val="10"/>
        <color theme="1"/>
        <rFont val="Calibri"/>
        <family val="2"/>
        <scheme val="minor"/>
      </rPr>
      <t xml:space="preserve"> =</t>
    </r>
  </si>
  <si>
    <t>Tấm tôn liên tục</t>
  </si>
  <si>
    <t>k</t>
  </si>
  <si>
    <t>M-</t>
  </si>
  <si>
    <t>M+</t>
  </si>
  <si>
    <t>V</t>
  </si>
  <si>
    <r>
      <t>x qL</t>
    </r>
    <r>
      <rPr>
        <vertAlign val="superscript"/>
        <sz val="10"/>
        <color theme="1"/>
        <rFont val="Calibri"/>
        <family val="2"/>
        <scheme val="minor"/>
      </rPr>
      <t xml:space="preserve">2 </t>
    </r>
    <r>
      <rPr>
        <sz val="10"/>
        <color theme="1"/>
        <rFont val="Calibri"/>
        <family val="2"/>
        <scheme val="minor"/>
      </rPr>
      <t xml:space="preserve"> =</t>
    </r>
  </si>
  <si>
    <r>
      <t>x qL</t>
    </r>
    <r>
      <rPr>
        <vertAlign val="superscript"/>
        <sz val="10"/>
        <color theme="1"/>
        <rFont val="Calibri"/>
        <family val="2"/>
        <scheme val="minor"/>
      </rPr>
      <t xml:space="preserve"> </t>
    </r>
    <r>
      <rPr>
        <sz val="10"/>
        <color theme="1"/>
        <rFont val="Calibri"/>
        <family val="2"/>
        <scheme val="minor"/>
      </rPr>
      <t xml:space="preserve"> =</t>
    </r>
  </si>
  <si>
    <t>fck</t>
  </si>
  <si>
    <r>
      <t>f</t>
    </r>
    <r>
      <rPr>
        <vertAlign val="subscript"/>
        <sz val="10"/>
        <rFont val="Calibri"/>
        <family val="2"/>
        <scheme val="minor"/>
      </rPr>
      <t>ck</t>
    </r>
    <r>
      <rPr>
        <sz val="10"/>
        <rFont val="Calibri"/>
        <family val="2"/>
        <scheme val="minor"/>
      </rPr>
      <t xml:space="preserve"> =</t>
    </r>
  </si>
  <si>
    <r>
      <t>x = (A</t>
    </r>
    <r>
      <rPr>
        <vertAlign val="subscript"/>
        <sz val="10"/>
        <color theme="1"/>
        <rFont val="Calibri"/>
        <family val="2"/>
        <scheme val="minor"/>
      </rPr>
      <t>p</t>
    </r>
    <r>
      <rPr>
        <sz val="10"/>
        <color theme="1"/>
        <rFont val="Calibri"/>
        <family val="2"/>
        <scheme val="minor"/>
      </rPr>
      <t>f</t>
    </r>
    <r>
      <rPr>
        <vertAlign val="subscript"/>
        <sz val="10"/>
        <color theme="1"/>
        <rFont val="Calibri"/>
        <family val="2"/>
        <scheme val="minor"/>
      </rPr>
      <t>yp</t>
    </r>
    <r>
      <rPr>
        <sz val="10"/>
        <color theme="1"/>
        <rFont val="Calibri"/>
        <family val="2"/>
        <scheme val="minor"/>
      </rPr>
      <t>/</t>
    </r>
    <r>
      <rPr>
        <sz val="10"/>
        <color theme="1"/>
        <rFont val="Symbol"/>
        <family val="1"/>
        <charset val="2"/>
      </rPr>
      <t>g</t>
    </r>
    <r>
      <rPr>
        <vertAlign val="subscript"/>
        <sz val="10"/>
        <color theme="1"/>
        <rFont val="Calibri"/>
        <family val="2"/>
        <scheme val="minor"/>
      </rPr>
      <t>ap</t>
    </r>
    <r>
      <rPr>
        <sz val="10"/>
        <color theme="1"/>
        <rFont val="Calibri"/>
        <family val="2"/>
        <scheme val="minor"/>
      </rPr>
      <t>)/(b. 0.85f</t>
    </r>
    <r>
      <rPr>
        <vertAlign val="subscript"/>
        <sz val="10"/>
        <color theme="1"/>
        <rFont val="Calibri"/>
        <family val="2"/>
        <scheme val="minor"/>
      </rPr>
      <t>ck</t>
    </r>
    <r>
      <rPr>
        <sz val="10"/>
        <color theme="1"/>
        <rFont val="Calibri"/>
        <family val="2"/>
        <scheme val="minor"/>
      </rPr>
      <t>/</t>
    </r>
    <r>
      <rPr>
        <sz val="10"/>
        <color theme="1"/>
        <rFont val="Symbol"/>
        <family val="1"/>
        <charset val="2"/>
      </rPr>
      <t>g</t>
    </r>
    <r>
      <rPr>
        <vertAlign val="subscript"/>
        <sz val="10"/>
        <color theme="1"/>
        <rFont val="Calibri"/>
        <family val="2"/>
        <scheme val="minor"/>
      </rPr>
      <t>c</t>
    </r>
    <r>
      <rPr>
        <sz val="10"/>
        <color theme="1"/>
        <rFont val="Calibri"/>
        <family val="2"/>
        <scheme val="minor"/>
      </rPr>
      <t>) =</t>
    </r>
  </si>
  <si>
    <t>x =</t>
  </si>
  <si>
    <t>- Trường hợp 1: Trục trung hòa dẻo nằm trong phần bê tông sàn</t>
  </si>
  <si>
    <r>
      <t>d</t>
    </r>
    <r>
      <rPr>
        <vertAlign val="subscript"/>
        <sz val="10"/>
        <color theme="1"/>
        <rFont val="Calibri"/>
        <family val="2"/>
        <scheme val="minor"/>
      </rPr>
      <t>p</t>
    </r>
    <r>
      <rPr>
        <sz val="10"/>
        <color theme="1"/>
        <rFont val="Calibri"/>
        <family val="2"/>
        <scheme val="minor"/>
      </rPr>
      <t xml:space="preserve"> = h -e =</t>
    </r>
  </si>
  <si>
    <r>
      <t>M</t>
    </r>
    <r>
      <rPr>
        <vertAlign val="superscript"/>
        <sz val="10"/>
        <color theme="1"/>
        <rFont val="Calibri"/>
        <family val="2"/>
        <scheme val="minor"/>
      </rPr>
      <t>+</t>
    </r>
    <r>
      <rPr>
        <vertAlign val="subscript"/>
        <sz val="10"/>
        <color theme="1"/>
        <rFont val="Calibri"/>
        <family val="2"/>
        <scheme val="minor"/>
      </rPr>
      <t>pl,Rd</t>
    </r>
    <r>
      <rPr>
        <sz val="10"/>
        <color theme="1"/>
        <rFont val="Calibri"/>
        <family val="2"/>
        <scheme val="minor"/>
      </rPr>
      <t xml:space="preserve"> = A</t>
    </r>
    <r>
      <rPr>
        <vertAlign val="subscript"/>
        <sz val="10"/>
        <color theme="1"/>
        <rFont val="Calibri"/>
        <family val="2"/>
        <scheme val="minor"/>
      </rPr>
      <t>pe</t>
    </r>
    <r>
      <rPr>
        <sz val="10"/>
        <color theme="1"/>
        <rFont val="Calibri"/>
        <family val="2"/>
        <scheme val="minor"/>
      </rPr>
      <t>f</t>
    </r>
    <r>
      <rPr>
        <vertAlign val="subscript"/>
        <sz val="10"/>
        <color theme="1"/>
        <rFont val="Calibri"/>
        <family val="2"/>
        <scheme val="minor"/>
      </rPr>
      <t>yp</t>
    </r>
    <r>
      <rPr>
        <sz val="10"/>
        <color theme="1"/>
        <rFont val="Calibri"/>
        <family val="2"/>
        <scheme val="minor"/>
      </rPr>
      <t>/</t>
    </r>
    <r>
      <rPr>
        <sz val="10"/>
        <color theme="1"/>
        <rFont val="Symbol"/>
        <family val="1"/>
        <charset val="2"/>
      </rPr>
      <t>g</t>
    </r>
    <r>
      <rPr>
        <vertAlign val="subscript"/>
        <sz val="10"/>
        <color theme="1"/>
        <rFont val="Calibri"/>
        <family val="2"/>
        <scheme val="minor"/>
      </rPr>
      <t>ap</t>
    </r>
    <r>
      <rPr>
        <sz val="10"/>
        <color theme="1"/>
        <rFont val="Calibri"/>
        <family val="2"/>
        <scheme val="minor"/>
      </rPr>
      <t>(d</t>
    </r>
    <r>
      <rPr>
        <vertAlign val="subscript"/>
        <sz val="10"/>
        <color theme="1"/>
        <rFont val="Calibri"/>
        <family val="2"/>
        <scheme val="minor"/>
      </rPr>
      <t>p</t>
    </r>
    <r>
      <rPr>
        <sz val="10"/>
        <color theme="1"/>
        <rFont val="Calibri"/>
        <family val="2"/>
        <scheme val="minor"/>
      </rPr>
      <t>-x</t>
    </r>
    <r>
      <rPr>
        <vertAlign val="superscript"/>
        <sz val="10"/>
        <color theme="1"/>
        <rFont val="Calibri"/>
        <family val="2"/>
        <scheme val="minor"/>
      </rPr>
      <t>+</t>
    </r>
    <r>
      <rPr>
        <vertAlign val="subscript"/>
        <sz val="10"/>
        <color theme="1"/>
        <rFont val="Calibri"/>
        <family val="2"/>
        <scheme val="minor"/>
      </rPr>
      <t>pl</t>
    </r>
    <r>
      <rPr>
        <sz val="10"/>
        <color theme="1"/>
        <rFont val="Calibri"/>
        <family val="2"/>
        <scheme val="minor"/>
      </rPr>
      <t>/2) =</t>
    </r>
  </si>
  <si>
    <r>
      <t>N</t>
    </r>
    <r>
      <rPr>
        <vertAlign val="subscript"/>
        <sz val="10"/>
        <color theme="1"/>
        <rFont val="Calibri"/>
        <family val="2"/>
        <scheme val="minor"/>
      </rPr>
      <t>cf</t>
    </r>
    <r>
      <rPr>
        <sz val="10"/>
        <color theme="1"/>
        <rFont val="Calibri"/>
        <family val="2"/>
        <scheme val="minor"/>
      </rPr>
      <t>=bh</t>
    </r>
    <r>
      <rPr>
        <vertAlign val="subscript"/>
        <sz val="10"/>
        <color theme="1"/>
        <rFont val="Calibri"/>
        <family val="2"/>
        <scheme val="minor"/>
      </rPr>
      <t>c</t>
    </r>
    <r>
      <rPr>
        <sz val="10"/>
        <color theme="1"/>
        <rFont val="Calibri"/>
        <family val="2"/>
        <scheme val="minor"/>
      </rPr>
      <t>.(0.85f</t>
    </r>
    <r>
      <rPr>
        <vertAlign val="subscript"/>
        <sz val="10"/>
        <color theme="1"/>
        <rFont val="Calibri"/>
        <family val="2"/>
        <scheme val="minor"/>
      </rPr>
      <t>ck</t>
    </r>
    <r>
      <rPr>
        <sz val="10"/>
        <color theme="1"/>
        <rFont val="Calibri"/>
        <family val="2"/>
        <scheme val="minor"/>
      </rPr>
      <t>/</t>
    </r>
    <r>
      <rPr>
        <sz val="10"/>
        <color theme="1"/>
        <rFont val="Symbol"/>
        <family val="1"/>
        <charset val="2"/>
      </rPr>
      <t>g</t>
    </r>
    <r>
      <rPr>
        <vertAlign val="subscript"/>
        <sz val="10"/>
        <color theme="1"/>
        <rFont val="Calibri"/>
        <family val="2"/>
        <scheme val="minor"/>
      </rPr>
      <t>c</t>
    </r>
    <r>
      <rPr>
        <sz val="10"/>
        <color theme="1"/>
        <rFont val="Calibri"/>
        <family val="2"/>
        <scheme val="minor"/>
      </rPr>
      <t>)=</t>
    </r>
  </si>
  <si>
    <r>
      <t>h</t>
    </r>
    <r>
      <rPr>
        <vertAlign val="subscript"/>
        <sz val="10"/>
        <rFont val="Calibri"/>
        <family val="2"/>
        <scheme val="minor"/>
      </rPr>
      <t>c</t>
    </r>
    <r>
      <rPr>
        <sz val="10"/>
        <rFont val="Calibri"/>
        <family val="2"/>
        <scheme val="minor"/>
      </rPr>
      <t xml:space="preserve"> =</t>
    </r>
  </si>
  <si>
    <r>
      <t>M</t>
    </r>
    <r>
      <rPr>
        <vertAlign val="subscript"/>
        <sz val="10"/>
        <color theme="1"/>
        <rFont val="Calibri"/>
        <family val="2"/>
        <scheme val="minor"/>
      </rPr>
      <t>pr</t>
    </r>
    <r>
      <rPr>
        <sz val="10"/>
        <color theme="1"/>
        <rFont val="Calibri"/>
        <family val="2"/>
        <scheme val="minor"/>
      </rPr>
      <t xml:space="preserve"> =Min{ 1.25M</t>
    </r>
    <r>
      <rPr>
        <vertAlign val="subscript"/>
        <sz val="10"/>
        <color theme="1"/>
        <rFont val="Calibri"/>
        <family val="2"/>
        <scheme val="minor"/>
      </rPr>
      <t>pa</t>
    </r>
    <r>
      <rPr>
        <sz val="10"/>
        <color theme="1"/>
        <rFont val="Calibri"/>
        <family val="2"/>
        <scheme val="minor"/>
      </rPr>
      <t>[1-(N</t>
    </r>
    <r>
      <rPr>
        <vertAlign val="subscript"/>
        <sz val="10"/>
        <color theme="1"/>
        <rFont val="Calibri"/>
        <family val="2"/>
        <scheme val="minor"/>
      </rPr>
      <t>cf</t>
    </r>
    <r>
      <rPr>
        <sz val="10"/>
        <color theme="1"/>
        <rFont val="Symbol"/>
        <family val="1"/>
        <charset val="2"/>
      </rPr>
      <t>g</t>
    </r>
    <r>
      <rPr>
        <vertAlign val="subscript"/>
        <sz val="10"/>
        <color theme="1"/>
        <rFont val="Calibri"/>
        <family val="2"/>
        <scheme val="minor"/>
      </rPr>
      <t>ap</t>
    </r>
    <r>
      <rPr>
        <sz val="10"/>
        <color theme="1"/>
        <rFont val="Calibri"/>
        <family val="2"/>
        <scheme val="minor"/>
      </rPr>
      <t>)/(A</t>
    </r>
    <r>
      <rPr>
        <vertAlign val="subscript"/>
        <sz val="10"/>
        <color theme="1"/>
        <rFont val="Calibri"/>
        <family val="2"/>
        <scheme val="minor"/>
      </rPr>
      <t>pe</t>
    </r>
    <r>
      <rPr>
        <sz val="10"/>
        <color theme="1"/>
        <rFont val="Calibri"/>
        <family val="2"/>
        <scheme val="minor"/>
      </rPr>
      <t>f</t>
    </r>
    <r>
      <rPr>
        <vertAlign val="subscript"/>
        <sz val="10"/>
        <color theme="1"/>
        <rFont val="Calibri"/>
        <family val="2"/>
        <scheme val="minor"/>
      </rPr>
      <t>yp</t>
    </r>
    <r>
      <rPr>
        <sz val="10"/>
        <color theme="1"/>
        <rFont val="Calibri"/>
        <family val="2"/>
        <scheme val="minor"/>
      </rPr>
      <t>)] ; M</t>
    </r>
    <r>
      <rPr>
        <vertAlign val="subscript"/>
        <sz val="10"/>
        <color theme="1"/>
        <rFont val="Calibri"/>
        <family val="2"/>
        <scheme val="minor"/>
      </rPr>
      <t>pa</t>
    </r>
    <r>
      <rPr>
        <sz val="10"/>
        <color theme="1"/>
        <rFont val="Calibri"/>
        <family val="2"/>
        <scheme val="minor"/>
      </rPr>
      <t>}=</t>
    </r>
  </si>
  <si>
    <r>
      <t>e</t>
    </r>
    <r>
      <rPr>
        <vertAlign val="subscript"/>
        <sz val="10"/>
        <color theme="1"/>
        <rFont val="Calibri"/>
        <family val="2"/>
        <scheme val="minor"/>
      </rPr>
      <t>p</t>
    </r>
    <r>
      <rPr>
        <sz val="10"/>
        <color theme="1"/>
        <rFont val="Calibri"/>
        <family val="2"/>
        <scheme val="minor"/>
      </rPr>
      <t xml:space="preserve"> = h-x</t>
    </r>
    <r>
      <rPr>
        <vertAlign val="subscript"/>
        <sz val="10"/>
        <color theme="1"/>
        <rFont val="Calibri"/>
        <family val="2"/>
        <scheme val="minor"/>
      </rPr>
      <t xml:space="preserve">pl </t>
    </r>
    <r>
      <rPr>
        <sz val="10"/>
        <color theme="1"/>
        <rFont val="Calibri"/>
        <family val="2"/>
        <scheme val="minor"/>
      </rPr>
      <t>=</t>
    </r>
  </si>
  <si>
    <r>
      <t>z</t>
    </r>
    <r>
      <rPr>
        <vertAlign val="superscript"/>
        <sz val="10"/>
        <color theme="1"/>
        <rFont val="Calibri"/>
        <family val="2"/>
        <scheme val="minor"/>
      </rPr>
      <t>+</t>
    </r>
    <r>
      <rPr>
        <sz val="10"/>
        <color theme="1"/>
        <rFont val="Calibri"/>
        <family val="2"/>
        <scheme val="minor"/>
      </rPr>
      <t>=h - h</t>
    </r>
    <r>
      <rPr>
        <vertAlign val="subscript"/>
        <sz val="10"/>
        <color theme="1"/>
        <rFont val="Calibri"/>
        <family val="2"/>
        <scheme val="minor"/>
      </rPr>
      <t>c</t>
    </r>
    <r>
      <rPr>
        <sz val="10"/>
        <color theme="1"/>
        <rFont val="Calibri"/>
        <family val="2"/>
        <scheme val="minor"/>
      </rPr>
      <t>/2-e</t>
    </r>
    <r>
      <rPr>
        <vertAlign val="subscript"/>
        <sz val="10"/>
        <color theme="1"/>
        <rFont val="Calibri"/>
        <family val="2"/>
        <scheme val="minor"/>
      </rPr>
      <t>p</t>
    </r>
    <r>
      <rPr>
        <sz val="10"/>
        <color theme="1"/>
        <rFont val="Calibri"/>
        <family val="2"/>
        <scheme val="minor"/>
      </rPr>
      <t>+(e</t>
    </r>
    <r>
      <rPr>
        <vertAlign val="subscript"/>
        <sz val="10"/>
        <color theme="1"/>
        <rFont val="Calibri"/>
        <family val="2"/>
        <scheme val="minor"/>
      </rPr>
      <t>p</t>
    </r>
    <r>
      <rPr>
        <sz val="10"/>
        <color theme="1"/>
        <rFont val="Calibri"/>
        <family val="2"/>
        <scheme val="minor"/>
      </rPr>
      <t>-e).N</t>
    </r>
    <r>
      <rPr>
        <vertAlign val="subscript"/>
        <sz val="10"/>
        <color theme="1"/>
        <rFont val="Calibri"/>
        <family val="2"/>
        <scheme val="minor"/>
      </rPr>
      <t>cf</t>
    </r>
    <r>
      <rPr>
        <sz val="10"/>
        <color theme="1"/>
        <rFont val="Symbol"/>
        <family val="1"/>
        <charset val="2"/>
      </rPr>
      <t>g</t>
    </r>
    <r>
      <rPr>
        <vertAlign val="subscript"/>
        <sz val="10"/>
        <color theme="1"/>
        <rFont val="Calibri"/>
        <family val="2"/>
        <scheme val="minor"/>
      </rPr>
      <t>ap</t>
    </r>
    <r>
      <rPr>
        <sz val="10"/>
        <color theme="1"/>
        <rFont val="Calibri"/>
        <family val="2"/>
        <scheme val="minor"/>
      </rPr>
      <t>/(A</t>
    </r>
    <r>
      <rPr>
        <vertAlign val="subscript"/>
        <sz val="10"/>
        <color theme="1"/>
        <rFont val="Calibri"/>
        <family val="2"/>
        <scheme val="minor"/>
      </rPr>
      <t>pe</t>
    </r>
    <r>
      <rPr>
        <sz val="10"/>
        <color theme="1"/>
        <rFont val="Calibri"/>
        <family val="2"/>
        <scheme val="minor"/>
      </rPr>
      <t>f</t>
    </r>
    <r>
      <rPr>
        <vertAlign val="subscript"/>
        <sz val="10"/>
        <color theme="1"/>
        <rFont val="Calibri"/>
        <family val="2"/>
        <scheme val="minor"/>
      </rPr>
      <t>yp</t>
    </r>
    <r>
      <rPr>
        <sz val="10"/>
        <color theme="1"/>
        <rFont val="Calibri"/>
        <family val="2"/>
        <scheme val="minor"/>
      </rPr>
      <t>)=</t>
    </r>
  </si>
  <si>
    <r>
      <t>M</t>
    </r>
    <r>
      <rPr>
        <vertAlign val="superscript"/>
        <sz val="10"/>
        <color theme="1"/>
        <rFont val="Calibri"/>
        <family val="2"/>
        <scheme val="minor"/>
      </rPr>
      <t>+</t>
    </r>
    <r>
      <rPr>
        <vertAlign val="subscript"/>
        <sz val="10"/>
        <color theme="1"/>
        <rFont val="Calibri"/>
        <family val="2"/>
        <scheme val="minor"/>
      </rPr>
      <t>pl,Rd</t>
    </r>
    <r>
      <rPr>
        <sz val="10"/>
        <color theme="1"/>
        <rFont val="Calibri"/>
        <family val="2"/>
        <scheme val="minor"/>
      </rPr>
      <t xml:space="preserve"> = N</t>
    </r>
    <r>
      <rPr>
        <vertAlign val="subscript"/>
        <sz val="10"/>
        <color theme="1"/>
        <rFont val="Calibri"/>
        <family val="2"/>
        <scheme val="minor"/>
      </rPr>
      <t>cf</t>
    </r>
    <r>
      <rPr>
        <sz val="10"/>
        <color theme="1"/>
        <rFont val="Calibri"/>
        <family val="2"/>
        <scheme val="minor"/>
      </rPr>
      <t>.z++M</t>
    </r>
    <r>
      <rPr>
        <vertAlign val="subscript"/>
        <sz val="10"/>
        <color theme="1"/>
        <rFont val="Calibri"/>
        <family val="2"/>
        <scheme val="minor"/>
      </rPr>
      <t>pr</t>
    </r>
    <r>
      <rPr>
        <sz val="10"/>
        <color theme="1"/>
        <rFont val="Calibri"/>
        <family val="2"/>
        <scheme val="minor"/>
      </rPr>
      <t xml:space="preserve"> =</t>
    </r>
  </si>
  <si>
    <r>
      <t>M</t>
    </r>
    <r>
      <rPr>
        <vertAlign val="superscript"/>
        <sz val="10"/>
        <color theme="1"/>
        <rFont val="Calibri"/>
        <family val="2"/>
        <scheme val="minor"/>
      </rPr>
      <t>+</t>
    </r>
    <r>
      <rPr>
        <vertAlign val="subscript"/>
        <sz val="10"/>
        <color theme="1"/>
        <rFont val="Calibri"/>
        <family val="2"/>
        <scheme val="minor"/>
      </rPr>
      <t>Ed</t>
    </r>
    <r>
      <rPr>
        <sz val="10"/>
        <color theme="1"/>
        <rFont val="Calibri"/>
        <family val="2"/>
        <scheme val="minor"/>
      </rPr>
      <t xml:space="preserve"> /M</t>
    </r>
    <r>
      <rPr>
        <vertAlign val="superscript"/>
        <sz val="10"/>
        <color theme="1"/>
        <rFont val="Calibri"/>
        <family val="2"/>
        <scheme val="minor"/>
      </rPr>
      <t>+</t>
    </r>
    <r>
      <rPr>
        <vertAlign val="subscript"/>
        <sz val="10"/>
        <color theme="1"/>
        <rFont val="Calibri"/>
        <family val="2"/>
        <scheme val="minor"/>
      </rPr>
      <t>pl,Rd</t>
    </r>
    <r>
      <rPr>
        <sz val="10"/>
        <color theme="1"/>
        <rFont val="Calibri"/>
        <family val="2"/>
        <scheme val="minor"/>
      </rPr>
      <t>=</t>
    </r>
  </si>
  <si>
    <t>a. Độ bền của tiết diện và kiểm tra theo TTGH1 (ULS) - Moment dương ở nhịp:</t>
  </si>
  <si>
    <t>b. Độ bền của tiết diện và kiểm tra theo TTGH1 (ULS) - Moment âm ở gối:</t>
  </si>
  <si>
    <t>Giả thiết: Bỏ qua tác động của phần bê tông chịu kéo, chỉ tính tới sức kháng kéo của phần cốt thép sàn</t>
  </si>
  <si>
    <t>CB300-T</t>
  </si>
  <si>
    <r>
      <t>f</t>
    </r>
    <r>
      <rPr>
        <vertAlign val="subscript"/>
        <sz val="10"/>
        <rFont val="Calibri"/>
        <family val="2"/>
        <scheme val="minor"/>
      </rPr>
      <t>y</t>
    </r>
    <r>
      <rPr>
        <sz val="10"/>
        <rFont val="Calibri"/>
        <family val="2"/>
        <scheme val="minor"/>
      </rPr>
      <t xml:space="preserve"> =</t>
    </r>
  </si>
  <si>
    <r>
      <t>A</t>
    </r>
    <r>
      <rPr>
        <vertAlign val="subscript"/>
        <sz val="10"/>
        <rFont val="Calibri"/>
        <family val="2"/>
        <scheme val="minor"/>
      </rPr>
      <t>s</t>
    </r>
    <r>
      <rPr>
        <sz val="10"/>
        <rFont val="Calibri"/>
        <family val="2"/>
        <scheme val="minor"/>
      </rPr>
      <t xml:space="preserve"> =</t>
    </r>
  </si>
  <si>
    <r>
      <t>mm</t>
    </r>
    <r>
      <rPr>
        <vertAlign val="superscript"/>
        <sz val="10"/>
        <rFont val="Calibri"/>
        <family val="2"/>
        <scheme val="minor"/>
      </rPr>
      <t>2</t>
    </r>
  </si>
  <si>
    <r>
      <t>N</t>
    </r>
    <r>
      <rPr>
        <vertAlign val="subscript"/>
        <sz val="10"/>
        <color theme="1"/>
        <rFont val="Calibri"/>
        <family val="2"/>
        <scheme val="minor"/>
      </rPr>
      <t>s</t>
    </r>
    <r>
      <rPr>
        <sz val="10"/>
        <color theme="1"/>
        <rFont val="Calibri"/>
        <family val="2"/>
        <scheme val="minor"/>
      </rPr>
      <t xml:space="preserve"> = A</t>
    </r>
    <r>
      <rPr>
        <vertAlign val="subscript"/>
        <sz val="10"/>
        <color theme="1"/>
        <rFont val="Calibri"/>
        <family val="2"/>
        <scheme val="minor"/>
      </rPr>
      <t>s</t>
    </r>
    <r>
      <rPr>
        <sz val="10"/>
        <color theme="1"/>
        <rFont val="Calibri"/>
        <family val="2"/>
        <scheme val="minor"/>
      </rPr>
      <t>f</t>
    </r>
    <r>
      <rPr>
        <vertAlign val="subscript"/>
        <sz val="10"/>
        <color theme="1"/>
        <rFont val="Calibri"/>
        <family val="2"/>
        <scheme val="minor"/>
      </rPr>
      <t>sd</t>
    </r>
    <r>
      <rPr>
        <sz val="10"/>
        <color theme="1"/>
        <rFont val="Calibri"/>
        <family val="2"/>
        <scheme val="minor"/>
      </rPr>
      <t xml:space="preserve"> =</t>
    </r>
  </si>
  <si>
    <r>
      <t>b</t>
    </r>
    <r>
      <rPr>
        <vertAlign val="subscript"/>
        <sz val="10"/>
        <color theme="1"/>
        <rFont val="Calibri"/>
        <family val="2"/>
        <scheme val="minor"/>
      </rPr>
      <t>c</t>
    </r>
    <r>
      <rPr>
        <sz val="10"/>
        <color theme="1"/>
        <rFont val="Calibri"/>
        <family val="2"/>
        <scheme val="minor"/>
      </rPr>
      <t xml:space="preserve"> =</t>
    </r>
  </si>
  <si>
    <r>
      <t>x = N</t>
    </r>
    <r>
      <rPr>
        <vertAlign val="subscript"/>
        <sz val="10"/>
        <color theme="1"/>
        <rFont val="Calibri"/>
        <family val="2"/>
        <scheme val="minor"/>
      </rPr>
      <t>s</t>
    </r>
    <r>
      <rPr>
        <sz val="10"/>
        <color theme="1"/>
        <rFont val="Calibri"/>
        <family val="2"/>
        <scheme val="minor"/>
      </rPr>
      <t>/(b</t>
    </r>
    <r>
      <rPr>
        <vertAlign val="subscript"/>
        <sz val="10"/>
        <color theme="1"/>
        <rFont val="Calibri"/>
        <family val="2"/>
        <scheme val="minor"/>
      </rPr>
      <t>c</t>
    </r>
    <r>
      <rPr>
        <sz val="10"/>
        <color theme="1"/>
        <rFont val="Calibri"/>
        <family val="2"/>
        <scheme val="minor"/>
      </rPr>
      <t xml:space="preserve"> 0.85f</t>
    </r>
    <r>
      <rPr>
        <vertAlign val="subscript"/>
        <sz val="10"/>
        <color theme="1"/>
        <rFont val="Calibri"/>
        <family val="2"/>
        <scheme val="minor"/>
      </rPr>
      <t>ck</t>
    </r>
    <r>
      <rPr>
        <sz val="10"/>
        <color theme="1"/>
        <rFont val="Calibri"/>
        <family val="2"/>
        <scheme val="minor"/>
      </rPr>
      <t>/</t>
    </r>
    <r>
      <rPr>
        <sz val="10"/>
        <color theme="1"/>
        <rFont val="Symbol"/>
        <family val="1"/>
        <charset val="2"/>
      </rPr>
      <t>g</t>
    </r>
    <r>
      <rPr>
        <vertAlign val="subscript"/>
        <sz val="10"/>
        <color theme="1"/>
        <rFont val="Calibri"/>
        <family val="2"/>
        <scheme val="minor"/>
      </rPr>
      <t>c</t>
    </r>
    <r>
      <rPr>
        <sz val="10"/>
        <color theme="1"/>
        <rFont val="Calibri"/>
        <family val="2"/>
        <scheme val="minor"/>
      </rPr>
      <t>) =</t>
    </r>
  </si>
  <si>
    <r>
      <t>z = h</t>
    </r>
    <r>
      <rPr>
        <vertAlign val="subscript"/>
        <sz val="10"/>
        <color theme="1"/>
        <rFont val="Calibri"/>
        <family val="2"/>
        <scheme val="minor"/>
      </rPr>
      <t>t</t>
    </r>
    <r>
      <rPr>
        <sz val="10"/>
        <color theme="1"/>
        <rFont val="Calibri"/>
        <family val="2"/>
        <scheme val="minor"/>
      </rPr>
      <t>-25-x/2 =</t>
    </r>
  </si>
  <si>
    <r>
      <t>M</t>
    </r>
    <r>
      <rPr>
        <vertAlign val="superscript"/>
        <sz val="10"/>
        <color theme="1"/>
        <rFont val="Calibri"/>
        <family val="2"/>
        <scheme val="minor"/>
      </rPr>
      <t>-</t>
    </r>
    <r>
      <rPr>
        <vertAlign val="subscript"/>
        <sz val="10"/>
        <color theme="1"/>
        <rFont val="Calibri"/>
        <family val="2"/>
        <scheme val="minor"/>
      </rPr>
      <t>pl,Rd</t>
    </r>
    <r>
      <rPr>
        <sz val="10"/>
        <color theme="1"/>
        <rFont val="Calibri"/>
        <family val="2"/>
        <scheme val="minor"/>
      </rPr>
      <t xml:space="preserve"> = A</t>
    </r>
    <r>
      <rPr>
        <vertAlign val="subscript"/>
        <sz val="10"/>
        <color theme="1"/>
        <rFont val="Calibri"/>
        <family val="2"/>
        <scheme val="minor"/>
      </rPr>
      <t>s</t>
    </r>
    <r>
      <rPr>
        <sz val="10"/>
        <color theme="1"/>
        <rFont val="Calibri"/>
        <family val="2"/>
        <scheme val="minor"/>
      </rPr>
      <t>f</t>
    </r>
    <r>
      <rPr>
        <vertAlign val="subscript"/>
        <sz val="10"/>
        <color theme="1"/>
        <rFont val="Calibri"/>
        <family val="2"/>
        <scheme val="minor"/>
      </rPr>
      <t>sk</t>
    </r>
    <r>
      <rPr>
        <sz val="10"/>
        <color theme="1"/>
        <rFont val="Calibri"/>
        <family val="2"/>
        <scheme val="minor"/>
      </rPr>
      <t>z/</t>
    </r>
    <r>
      <rPr>
        <sz val="10"/>
        <color theme="1"/>
        <rFont val="Symbol"/>
        <family val="1"/>
        <charset val="2"/>
      </rPr>
      <t>g</t>
    </r>
    <r>
      <rPr>
        <vertAlign val="subscript"/>
        <sz val="10"/>
        <color theme="1"/>
        <rFont val="Calibri"/>
        <family val="2"/>
        <scheme val="minor"/>
      </rPr>
      <t>s</t>
    </r>
    <r>
      <rPr>
        <sz val="10"/>
        <color theme="1"/>
        <rFont val="Calibri"/>
        <family val="2"/>
        <scheme val="minor"/>
      </rPr>
      <t xml:space="preserve"> =</t>
    </r>
  </si>
  <si>
    <r>
      <t>M</t>
    </r>
    <r>
      <rPr>
        <vertAlign val="superscript"/>
        <sz val="10"/>
        <color theme="1"/>
        <rFont val="Calibri"/>
        <family val="2"/>
        <scheme val="minor"/>
      </rPr>
      <t>-</t>
    </r>
    <r>
      <rPr>
        <vertAlign val="subscript"/>
        <sz val="10"/>
        <color theme="1"/>
        <rFont val="Calibri"/>
        <family val="2"/>
        <scheme val="minor"/>
      </rPr>
      <t>Ed</t>
    </r>
    <r>
      <rPr>
        <sz val="10"/>
        <color theme="1"/>
        <rFont val="Calibri"/>
        <family val="2"/>
        <scheme val="minor"/>
      </rPr>
      <t xml:space="preserve"> /M</t>
    </r>
    <r>
      <rPr>
        <vertAlign val="superscript"/>
        <sz val="10"/>
        <color theme="1"/>
        <rFont val="Calibri"/>
        <family val="2"/>
        <scheme val="minor"/>
      </rPr>
      <t>-</t>
    </r>
    <r>
      <rPr>
        <vertAlign val="subscript"/>
        <sz val="10"/>
        <color theme="1"/>
        <rFont val="Calibri"/>
        <family val="2"/>
        <scheme val="minor"/>
      </rPr>
      <t>pl,Rd</t>
    </r>
    <r>
      <rPr>
        <sz val="10"/>
        <color theme="1"/>
        <rFont val="Calibri"/>
        <family val="2"/>
        <scheme val="minor"/>
      </rPr>
      <t>=</t>
    </r>
  </si>
  <si>
    <t>c. Tính toán độ bền chịu cắt theo phương đứng</t>
  </si>
  <si>
    <r>
      <t>b</t>
    </r>
    <r>
      <rPr>
        <vertAlign val="subscript"/>
        <sz val="10"/>
        <color theme="1"/>
        <rFont val="Calibri"/>
        <family val="2"/>
        <scheme val="minor"/>
      </rPr>
      <t>0</t>
    </r>
    <r>
      <rPr>
        <sz val="10"/>
        <color theme="1"/>
        <rFont val="Calibri"/>
        <family val="2"/>
        <scheme val="minor"/>
      </rPr>
      <t xml:space="preserve"> =</t>
    </r>
  </si>
  <si>
    <r>
      <rPr>
        <sz val="10"/>
        <color theme="1"/>
        <rFont val="Symbol"/>
        <family val="1"/>
        <charset val="2"/>
      </rPr>
      <t>t</t>
    </r>
    <r>
      <rPr>
        <vertAlign val="subscript"/>
        <sz val="10"/>
        <color theme="1"/>
        <rFont val="Calibri"/>
        <family val="2"/>
        <scheme val="minor"/>
      </rPr>
      <t>Rd</t>
    </r>
    <r>
      <rPr>
        <sz val="10"/>
        <color theme="1"/>
        <rFont val="Calibri"/>
        <family val="2"/>
        <scheme val="minor"/>
      </rPr>
      <t xml:space="preserve"> = 0.25f</t>
    </r>
    <r>
      <rPr>
        <vertAlign val="subscript"/>
        <sz val="10"/>
        <color theme="1"/>
        <rFont val="Calibri"/>
        <family val="2"/>
        <scheme val="minor"/>
      </rPr>
      <t>ctk</t>
    </r>
    <r>
      <rPr>
        <sz val="10"/>
        <color theme="1"/>
        <rFont val="Calibri"/>
        <family val="2"/>
        <scheme val="minor"/>
      </rPr>
      <t>/</t>
    </r>
    <r>
      <rPr>
        <sz val="10"/>
        <color theme="1"/>
        <rFont val="Symbol"/>
        <family val="1"/>
        <charset val="2"/>
      </rPr>
      <t>g</t>
    </r>
    <r>
      <rPr>
        <vertAlign val="subscript"/>
        <sz val="10"/>
        <color theme="1"/>
        <rFont val="Calibri"/>
        <family val="2"/>
        <scheme val="minor"/>
      </rPr>
      <t>c</t>
    </r>
    <r>
      <rPr>
        <sz val="10"/>
        <color theme="1"/>
        <rFont val="Calibri"/>
        <family val="2"/>
        <scheme val="minor"/>
      </rPr>
      <t xml:space="preserve"> =</t>
    </r>
  </si>
  <si>
    <r>
      <t>k</t>
    </r>
    <r>
      <rPr>
        <vertAlign val="subscript"/>
        <sz val="10"/>
        <color theme="1"/>
        <rFont val="Calibri"/>
        <family val="2"/>
        <scheme val="minor"/>
      </rPr>
      <t>v</t>
    </r>
    <r>
      <rPr>
        <sz val="10"/>
        <color theme="1"/>
        <rFont val="Calibri"/>
        <family val="2"/>
        <scheme val="minor"/>
      </rPr>
      <t xml:space="preserve"> =1.6 - d =</t>
    </r>
  </si>
  <si>
    <r>
      <t>mm</t>
    </r>
    <r>
      <rPr>
        <vertAlign val="superscript"/>
        <sz val="10"/>
        <color theme="1"/>
        <rFont val="Calibri"/>
        <family val="2"/>
        <scheme val="minor"/>
      </rPr>
      <t>2</t>
    </r>
  </si>
  <si>
    <t>Vị trí: nhịp</t>
  </si>
  <si>
    <t>Vị trí: Gối</t>
  </si>
  <si>
    <r>
      <t>A</t>
    </r>
    <r>
      <rPr>
        <vertAlign val="subscript"/>
        <sz val="10"/>
        <color theme="1"/>
        <rFont val="Calibri"/>
        <family val="2"/>
        <scheme val="minor"/>
      </rPr>
      <t>p</t>
    </r>
    <r>
      <rPr>
        <sz val="10"/>
        <color theme="1"/>
        <rFont val="Calibri"/>
        <family val="2"/>
        <scheme val="minor"/>
      </rPr>
      <t xml:space="preserve"> =</t>
    </r>
  </si>
  <si>
    <r>
      <rPr>
        <sz val="10"/>
        <color theme="1"/>
        <rFont val="Symbol"/>
        <family val="1"/>
        <charset val="2"/>
      </rPr>
      <t>r</t>
    </r>
    <r>
      <rPr>
        <sz val="10"/>
        <color theme="1"/>
        <rFont val="Calibri"/>
        <family val="2"/>
        <scheme val="minor"/>
      </rPr>
      <t xml:space="preserve"> =</t>
    </r>
  </si>
  <si>
    <r>
      <t>V</t>
    </r>
    <r>
      <rPr>
        <vertAlign val="subscript"/>
        <sz val="10"/>
        <color theme="1"/>
        <rFont val="Calibri"/>
        <family val="2"/>
        <scheme val="minor"/>
      </rPr>
      <t>v,Rd</t>
    </r>
    <r>
      <rPr>
        <sz val="10"/>
        <color theme="1"/>
        <rFont val="Calibri"/>
        <family val="1"/>
        <charset val="2"/>
        <scheme val="minor"/>
      </rPr>
      <t xml:space="preserve"> =</t>
    </r>
  </si>
  <si>
    <r>
      <t>V</t>
    </r>
    <r>
      <rPr>
        <vertAlign val="subscript"/>
        <sz val="10"/>
        <color theme="1"/>
        <rFont val="Calibri"/>
        <family val="2"/>
        <scheme val="minor"/>
      </rPr>
      <t>Ed</t>
    </r>
    <r>
      <rPr>
        <sz val="10"/>
        <color theme="1"/>
        <rFont val="Calibri"/>
        <family val="2"/>
        <scheme val="minor"/>
      </rPr>
      <t xml:space="preserve"> /Vv</t>
    </r>
    <r>
      <rPr>
        <vertAlign val="subscript"/>
        <sz val="10"/>
        <color theme="1"/>
        <rFont val="Calibri"/>
        <family val="2"/>
        <scheme val="minor"/>
      </rPr>
      <t>,Rd</t>
    </r>
    <r>
      <rPr>
        <sz val="10"/>
        <color theme="1"/>
        <rFont val="Calibri"/>
        <family val="2"/>
        <scheme val="minor"/>
      </rPr>
      <t>=</t>
    </r>
  </si>
  <si>
    <t>d. Tính toán độ võng và kiểm tra theo trạng thái giới hạn sử dụng (SLS)</t>
  </si>
  <si>
    <r>
      <t>n = E</t>
    </r>
    <r>
      <rPr>
        <vertAlign val="subscript"/>
        <sz val="10"/>
        <color theme="1"/>
        <rFont val="Calibri"/>
        <family val="2"/>
        <scheme val="minor"/>
      </rPr>
      <t>p</t>
    </r>
    <r>
      <rPr>
        <sz val="10"/>
        <color theme="1"/>
        <rFont val="Calibri"/>
        <family val="2"/>
        <scheme val="minor"/>
      </rPr>
      <t>/[0.5(E</t>
    </r>
    <r>
      <rPr>
        <vertAlign val="subscript"/>
        <sz val="10"/>
        <color theme="1"/>
        <rFont val="Calibri"/>
        <family val="2"/>
        <scheme val="minor"/>
      </rPr>
      <t>b</t>
    </r>
    <r>
      <rPr>
        <sz val="10"/>
        <color theme="1"/>
        <rFont val="Calibri"/>
        <family val="2"/>
        <scheme val="minor"/>
      </rPr>
      <t>+E</t>
    </r>
    <r>
      <rPr>
        <vertAlign val="subscript"/>
        <sz val="10"/>
        <color theme="1"/>
        <rFont val="Calibri"/>
        <family val="2"/>
        <scheme val="minor"/>
      </rPr>
      <t>b</t>
    </r>
    <r>
      <rPr>
        <sz val="10"/>
        <color theme="1"/>
        <rFont val="Calibri"/>
        <family val="2"/>
        <scheme val="minor"/>
      </rPr>
      <t>/3)] =</t>
    </r>
  </si>
  <si>
    <r>
      <t>x</t>
    </r>
    <r>
      <rPr>
        <vertAlign val="subscript"/>
        <sz val="10"/>
        <color theme="1"/>
        <rFont val="Calibri"/>
        <family val="2"/>
        <scheme val="minor"/>
      </rPr>
      <t>c</t>
    </r>
    <r>
      <rPr>
        <sz val="10"/>
        <color theme="1"/>
        <rFont val="Calibri"/>
        <family val="2"/>
        <scheme val="minor"/>
      </rPr>
      <t xml:space="preserve"> =(nA</t>
    </r>
    <r>
      <rPr>
        <vertAlign val="subscript"/>
        <sz val="10"/>
        <color theme="1"/>
        <rFont val="Calibri"/>
        <family val="2"/>
        <scheme val="minor"/>
      </rPr>
      <t>p</t>
    </r>
    <r>
      <rPr>
        <sz val="10"/>
        <color theme="1"/>
        <rFont val="Calibri"/>
        <family val="2"/>
        <scheme val="minor"/>
      </rPr>
      <t>/b)[(1+2bd</t>
    </r>
    <r>
      <rPr>
        <vertAlign val="subscript"/>
        <sz val="10"/>
        <color theme="1"/>
        <rFont val="Calibri"/>
        <family val="2"/>
        <scheme val="minor"/>
      </rPr>
      <t>p</t>
    </r>
    <r>
      <rPr>
        <sz val="10"/>
        <color theme="1"/>
        <rFont val="Calibri"/>
        <family val="2"/>
        <scheme val="minor"/>
      </rPr>
      <t>/nA</t>
    </r>
    <r>
      <rPr>
        <vertAlign val="subscript"/>
        <sz val="10"/>
        <color theme="1"/>
        <rFont val="Calibri"/>
        <family val="2"/>
        <scheme val="minor"/>
      </rPr>
      <t>p</t>
    </r>
    <r>
      <rPr>
        <sz val="10"/>
        <color theme="1"/>
        <rFont val="Calibri"/>
        <family val="2"/>
        <scheme val="minor"/>
      </rPr>
      <t>)</t>
    </r>
    <r>
      <rPr>
        <vertAlign val="superscript"/>
        <sz val="10"/>
        <color theme="1"/>
        <rFont val="Calibri"/>
        <family val="2"/>
        <scheme val="minor"/>
      </rPr>
      <t>0.5</t>
    </r>
    <r>
      <rPr>
        <sz val="10"/>
        <color theme="1"/>
        <rFont val="Calibri"/>
        <family val="2"/>
        <scheme val="minor"/>
      </rPr>
      <t>-1] =</t>
    </r>
  </si>
  <si>
    <r>
      <t>I</t>
    </r>
    <r>
      <rPr>
        <vertAlign val="subscript"/>
        <sz val="10"/>
        <color theme="1"/>
        <rFont val="Calibri"/>
        <family val="2"/>
        <scheme val="minor"/>
      </rPr>
      <t>cc</t>
    </r>
    <r>
      <rPr>
        <sz val="10"/>
        <color theme="1"/>
        <rFont val="Calibri"/>
        <family val="2"/>
        <scheme val="minor"/>
      </rPr>
      <t xml:space="preserve"> =bx</t>
    </r>
    <r>
      <rPr>
        <vertAlign val="superscript"/>
        <sz val="10"/>
        <color theme="1"/>
        <rFont val="Calibri"/>
        <family val="2"/>
        <scheme val="minor"/>
      </rPr>
      <t>3</t>
    </r>
    <r>
      <rPr>
        <vertAlign val="subscript"/>
        <sz val="10"/>
        <color theme="1"/>
        <rFont val="Calibri"/>
        <family val="2"/>
        <scheme val="minor"/>
      </rPr>
      <t>c</t>
    </r>
    <r>
      <rPr>
        <sz val="10"/>
        <color theme="1"/>
        <rFont val="Calibri"/>
        <family val="2"/>
        <scheme val="minor"/>
      </rPr>
      <t>/(3n)+A</t>
    </r>
    <r>
      <rPr>
        <vertAlign val="subscript"/>
        <sz val="10"/>
        <color theme="1"/>
        <rFont val="Calibri"/>
        <family val="2"/>
        <scheme val="minor"/>
      </rPr>
      <t>p</t>
    </r>
    <r>
      <rPr>
        <sz val="10"/>
        <color theme="1"/>
        <rFont val="Calibri"/>
        <family val="2"/>
        <scheme val="minor"/>
      </rPr>
      <t>(d</t>
    </r>
    <r>
      <rPr>
        <vertAlign val="subscript"/>
        <sz val="10"/>
        <color theme="1"/>
        <rFont val="Calibri"/>
        <family val="2"/>
        <scheme val="minor"/>
      </rPr>
      <t>p</t>
    </r>
    <r>
      <rPr>
        <sz val="10"/>
        <color theme="1"/>
        <rFont val="Calibri"/>
        <family val="2"/>
        <scheme val="minor"/>
      </rPr>
      <t>-x</t>
    </r>
    <r>
      <rPr>
        <vertAlign val="subscript"/>
        <sz val="10"/>
        <color theme="1"/>
        <rFont val="Calibri"/>
        <family val="2"/>
        <scheme val="minor"/>
      </rPr>
      <t>c</t>
    </r>
    <r>
      <rPr>
        <sz val="10"/>
        <color theme="1"/>
        <rFont val="Calibri"/>
        <family val="2"/>
        <scheme val="minor"/>
      </rPr>
      <t>)</t>
    </r>
    <r>
      <rPr>
        <vertAlign val="superscript"/>
        <sz val="10"/>
        <color theme="1"/>
        <rFont val="Calibri"/>
        <family val="2"/>
        <scheme val="minor"/>
      </rPr>
      <t>2</t>
    </r>
    <r>
      <rPr>
        <sz val="10"/>
        <color theme="1"/>
        <rFont val="Calibri"/>
        <family val="2"/>
        <scheme val="minor"/>
      </rPr>
      <t>+I</t>
    </r>
    <r>
      <rPr>
        <vertAlign val="subscript"/>
        <sz val="10"/>
        <color theme="1"/>
        <rFont val="Calibri"/>
        <family val="2"/>
        <scheme val="minor"/>
      </rPr>
      <t>p</t>
    </r>
    <r>
      <rPr>
        <sz val="10"/>
        <color theme="1"/>
        <rFont val="Calibri"/>
        <family val="2"/>
        <scheme val="minor"/>
      </rPr>
      <t xml:space="preserve"> =</t>
    </r>
  </si>
  <si>
    <r>
      <t>d</t>
    </r>
    <r>
      <rPr>
        <vertAlign val="subscript"/>
        <sz val="10"/>
        <color theme="1"/>
        <rFont val="Calibri"/>
        <family val="2"/>
        <scheme val="minor"/>
      </rPr>
      <t>p</t>
    </r>
    <r>
      <rPr>
        <sz val="10"/>
        <color theme="1"/>
        <rFont val="Calibri"/>
        <family val="2"/>
        <scheme val="minor"/>
      </rPr>
      <t xml:space="preserve"> =</t>
    </r>
  </si>
  <si>
    <r>
      <t>x</t>
    </r>
    <r>
      <rPr>
        <vertAlign val="subscript"/>
        <sz val="10"/>
        <color theme="1"/>
        <rFont val="Calibri"/>
        <family val="2"/>
        <scheme val="minor"/>
      </rPr>
      <t>u</t>
    </r>
    <r>
      <rPr>
        <sz val="10"/>
        <color theme="1"/>
        <rFont val="Calibri"/>
        <family val="2"/>
        <scheme val="minor"/>
      </rPr>
      <t xml:space="preserve"> =[bh</t>
    </r>
    <r>
      <rPr>
        <vertAlign val="superscript"/>
        <sz val="10"/>
        <color theme="1"/>
        <rFont val="Calibri"/>
        <family val="2"/>
        <scheme val="minor"/>
      </rPr>
      <t>2</t>
    </r>
    <r>
      <rPr>
        <vertAlign val="subscript"/>
        <sz val="10"/>
        <color theme="1"/>
        <rFont val="Calibri"/>
        <family val="2"/>
        <scheme val="minor"/>
      </rPr>
      <t>c</t>
    </r>
    <r>
      <rPr>
        <sz val="10"/>
        <color theme="1"/>
        <rFont val="Calibri"/>
        <family val="2"/>
        <scheme val="minor"/>
      </rPr>
      <t>/2+b</t>
    </r>
    <r>
      <rPr>
        <vertAlign val="subscript"/>
        <sz val="10"/>
        <color theme="1"/>
        <rFont val="Calibri"/>
        <family val="2"/>
        <scheme val="minor"/>
      </rPr>
      <t>m</t>
    </r>
    <r>
      <rPr>
        <sz val="10"/>
        <color theme="1"/>
        <rFont val="Calibri"/>
        <family val="2"/>
        <scheme val="minor"/>
      </rPr>
      <t>h</t>
    </r>
    <r>
      <rPr>
        <vertAlign val="subscript"/>
        <sz val="10"/>
        <color theme="1"/>
        <rFont val="Calibri"/>
        <family val="2"/>
        <scheme val="minor"/>
      </rPr>
      <t>p</t>
    </r>
    <r>
      <rPr>
        <sz val="10"/>
        <color theme="1"/>
        <rFont val="Calibri"/>
        <family val="2"/>
        <scheme val="minor"/>
      </rPr>
      <t>(h-h</t>
    </r>
    <r>
      <rPr>
        <vertAlign val="subscript"/>
        <sz val="10"/>
        <color theme="1"/>
        <rFont val="Calibri"/>
        <family val="2"/>
        <scheme val="minor"/>
      </rPr>
      <t>p</t>
    </r>
    <r>
      <rPr>
        <sz val="10"/>
        <color theme="1"/>
        <rFont val="Calibri"/>
        <family val="2"/>
        <scheme val="minor"/>
      </rPr>
      <t>/2)+nA</t>
    </r>
    <r>
      <rPr>
        <vertAlign val="subscript"/>
        <sz val="10"/>
        <color theme="1"/>
        <rFont val="Calibri"/>
        <family val="2"/>
        <scheme val="minor"/>
      </rPr>
      <t>p</t>
    </r>
    <r>
      <rPr>
        <sz val="10"/>
        <color theme="1"/>
        <rFont val="Calibri"/>
        <family val="2"/>
        <scheme val="minor"/>
      </rPr>
      <t>d</t>
    </r>
    <r>
      <rPr>
        <vertAlign val="subscript"/>
        <sz val="10"/>
        <color theme="1"/>
        <rFont val="Calibri"/>
        <family val="2"/>
        <scheme val="minor"/>
      </rPr>
      <t>p</t>
    </r>
    <r>
      <rPr>
        <sz val="10"/>
        <color theme="1"/>
        <rFont val="Calibri"/>
        <family val="2"/>
        <scheme val="minor"/>
      </rPr>
      <t>]/(bh</t>
    </r>
    <r>
      <rPr>
        <vertAlign val="subscript"/>
        <sz val="10"/>
        <color theme="1"/>
        <rFont val="Calibri"/>
        <family val="2"/>
        <scheme val="minor"/>
      </rPr>
      <t>c</t>
    </r>
    <r>
      <rPr>
        <sz val="10"/>
        <color theme="1"/>
        <rFont val="Calibri"/>
        <family val="2"/>
        <scheme val="minor"/>
      </rPr>
      <t>+b</t>
    </r>
    <r>
      <rPr>
        <vertAlign val="subscript"/>
        <sz val="10"/>
        <color theme="1"/>
        <rFont val="Calibri"/>
        <family val="2"/>
        <scheme val="minor"/>
      </rPr>
      <t>m</t>
    </r>
    <r>
      <rPr>
        <sz val="10"/>
        <color theme="1"/>
        <rFont val="Calibri"/>
        <family val="2"/>
        <scheme val="minor"/>
      </rPr>
      <t>h</t>
    </r>
    <r>
      <rPr>
        <vertAlign val="subscript"/>
        <sz val="10"/>
        <color theme="1"/>
        <rFont val="Calibri"/>
        <family val="2"/>
        <scheme val="minor"/>
      </rPr>
      <t>p</t>
    </r>
    <r>
      <rPr>
        <sz val="10"/>
        <color theme="1"/>
        <rFont val="Calibri"/>
        <family val="2"/>
        <scheme val="minor"/>
      </rPr>
      <t>+nA</t>
    </r>
    <r>
      <rPr>
        <vertAlign val="subscript"/>
        <sz val="10"/>
        <color theme="1"/>
        <rFont val="Calibri"/>
        <family val="2"/>
        <scheme val="minor"/>
      </rPr>
      <t>p</t>
    </r>
    <r>
      <rPr>
        <sz val="10"/>
        <color theme="1"/>
        <rFont val="Calibri"/>
        <family val="2"/>
        <scheme val="minor"/>
      </rPr>
      <t>) =</t>
    </r>
  </si>
  <si>
    <r>
      <t>I</t>
    </r>
    <r>
      <rPr>
        <vertAlign val="subscript"/>
        <sz val="10"/>
        <color theme="1"/>
        <rFont val="Calibri"/>
        <family val="2"/>
        <scheme val="minor"/>
      </rPr>
      <t>cu</t>
    </r>
    <r>
      <rPr>
        <sz val="10"/>
        <color theme="1"/>
        <rFont val="Calibri"/>
        <family val="2"/>
        <scheme val="minor"/>
      </rPr>
      <t xml:space="preserve"> =bx</t>
    </r>
    <r>
      <rPr>
        <vertAlign val="superscript"/>
        <sz val="10"/>
        <color theme="1"/>
        <rFont val="Calibri"/>
        <family val="2"/>
        <scheme val="minor"/>
      </rPr>
      <t>3</t>
    </r>
    <r>
      <rPr>
        <vertAlign val="subscript"/>
        <sz val="10"/>
        <color theme="1"/>
        <rFont val="Calibri"/>
        <family val="2"/>
        <scheme val="minor"/>
      </rPr>
      <t>c</t>
    </r>
    <r>
      <rPr>
        <sz val="10"/>
        <color theme="1"/>
        <rFont val="Calibri"/>
        <family val="2"/>
        <scheme val="minor"/>
      </rPr>
      <t>/(3n)+A</t>
    </r>
    <r>
      <rPr>
        <vertAlign val="subscript"/>
        <sz val="10"/>
        <color theme="1"/>
        <rFont val="Calibri"/>
        <family val="2"/>
        <scheme val="minor"/>
      </rPr>
      <t>p</t>
    </r>
    <r>
      <rPr>
        <sz val="10"/>
        <color theme="1"/>
        <rFont val="Calibri"/>
        <family val="2"/>
        <scheme val="minor"/>
      </rPr>
      <t>(d</t>
    </r>
    <r>
      <rPr>
        <vertAlign val="subscript"/>
        <sz val="10"/>
        <color theme="1"/>
        <rFont val="Calibri"/>
        <family val="2"/>
        <scheme val="minor"/>
      </rPr>
      <t>p</t>
    </r>
    <r>
      <rPr>
        <sz val="10"/>
        <color theme="1"/>
        <rFont val="Calibri"/>
        <family val="2"/>
        <scheme val="minor"/>
      </rPr>
      <t>-x</t>
    </r>
    <r>
      <rPr>
        <vertAlign val="subscript"/>
        <sz val="10"/>
        <color theme="1"/>
        <rFont val="Calibri"/>
        <family val="2"/>
        <scheme val="minor"/>
      </rPr>
      <t>c</t>
    </r>
    <r>
      <rPr>
        <sz val="10"/>
        <color theme="1"/>
        <rFont val="Calibri"/>
        <family val="2"/>
        <scheme val="minor"/>
      </rPr>
      <t>)</t>
    </r>
    <r>
      <rPr>
        <vertAlign val="superscript"/>
        <sz val="10"/>
        <color theme="1"/>
        <rFont val="Calibri"/>
        <family val="2"/>
        <scheme val="minor"/>
      </rPr>
      <t>2</t>
    </r>
    <r>
      <rPr>
        <sz val="10"/>
        <color theme="1"/>
        <rFont val="Calibri"/>
        <family val="2"/>
        <scheme val="minor"/>
      </rPr>
      <t>+I</t>
    </r>
    <r>
      <rPr>
        <vertAlign val="subscript"/>
        <sz val="10"/>
        <color theme="1"/>
        <rFont val="Calibri"/>
        <family val="2"/>
        <scheme val="minor"/>
      </rPr>
      <t>p</t>
    </r>
    <r>
      <rPr>
        <sz val="10"/>
        <color theme="1"/>
        <rFont val="Calibri"/>
        <family val="2"/>
        <scheme val="minor"/>
      </rPr>
      <t xml:space="preserve"> =</t>
    </r>
  </si>
  <si>
    <r>
      <t>I</t>
    </r>
    <r>
      <rPr>
        <vertAlign val="subscript"/>
        <sz val="10"/>
        <color theme="1"/>
        <rFont val="Calibri"/>
        <family val="2"/>
        <scheme val="minor"/>
      </rPr>
      <t>b</t>
    </r>
    <r>
      <rPr>
        <sz val="10"/>
        <color theme="1"/>
        <rFont val="Calibri"/>
        <family val="2"/>
        <scheme val="minor"/>
      </rPr>
      <t xml:space="preserve"> = (I</t>
    </r>
    <r>
      <rPr>
        <vertAlign val="subscript"/>
        <sz val="10"/>
        <color theme="1"/>
        <rFont val="Calibri"/>
        <family val="2"/>
        <scheme val="minor"/>
      </rPr>
      <t>cc</t>
    </r>
    <r>
      <rPr>
        <sz val="10"/>
        <color theme="1"/>
        <rFont val="Calibri"/>
        <family val="2"/>
        <scheme val="minor"/>
      </rPr>
      <t>+I</t>
    </r>
    <r>
      <rPr>
        <vertAlign val="subscript"/>
        <sz val="10"/>
        <color theme="1"/>
        <rFont val="Calibri"/>
        <family val="2"/>
        <scheme val="minor"/>
      </rPr>
      <t>cu</t>
    </r>
    <r>
      <rPr>
        <sz val="10"/>
        <color theme="1"/>
        <rFont val="Calibri"/>
        <family val="2"/>
        <scheme val="minor"/>
      </rPr>
      <t>)/2 =</t>
    </r>
  </si>
  <si>
    <t>k1 =</t>
  </si>
  <si>
    <t>k2=</t>
  </si>
  <si>
    <r>
      <rPr>
        <sz val="10"/>
        <color theme="1"/>
        <rFont val="Symbol"/>
        <family val="1"/>
        <charset val="2"/>
      </rPr>
      <t>y</t>
    </r>
    <r>
      <rPr>
        <sz val="10"/>
        <color theme="1"/>
        <rFont val="Calibri"/>
        <family val="2"/>
        <scheme val="minor"/>
      </rPr>
      <t>=</t>
    </r>
  </si>
  <si>
    <r>
      <t>f = (k</t>
    </r>
    <r>
      <rPr>
        <vertAlign val="subscript"/>
        <sz val="10"/>
        <color theme="1"/>
        <rFont val="Calibri"/>
        <family val="2"/>
        <scheme val="minor"/>
      </rPr>
      <t>1</t>
    </r>
    <r>
      <rPr>
        <sz val="10"/>
        <color theme="1"/>
        <rFont val="Calibri"/>
        <family val="2"/>
        <scheme val="minor"/>
      </rPr>
      <t>g+</t>
    </r>
    <r>
      <rPr>
        <sz val="10"/>
        <color theme="1"/>
        <rFont val="Symbol"/>
        <family val="1"/>
        <charset val="2"/>
      </rPr>
      <t>y</t>
    </r>
    <r>
      <rPr>
        <sz val="10"/>
        <color theme="1"/>
        <rFont val="Calibri"/>
        <family val="2"/>
        <scheme val="minor"/>
      </rPr>
      <t>k</t>
    </r>
    <r>
      <rPr>
        <vertAlign val="subscript"/>
        <sz val="10"/>
        <color theme="1"/>
        <rFont val="Calibri"/>
        <family val="2"/>
        <scheme val="minor"/>
      </rPr>
      <t>2</t>
    </r>
    <r>
      <rPr>
        <sz val="10"/>
        <color theme="1"/>
        <rFont val="Calibri"/>
        <family val="2"/>
        <scheme val="minor"/>
      </rPr>
      <t>q)L</t>
    </r>
    <r>
      <rPr>
        <vertAlign val="superscript"/>
        <sz val="10"/>
        <color theme="1"/>
        <rFont val="Calibri"/>
        <family val="2"/>
        <scheme val="minor"/>
      </rPr>
      <t>4</t>
    </r>
    <r>
      <rPr>
        <sz val="10"/>
        <color theme="1"/>
        <rFont val="Calibri"/>
        <family val="2"/>
        <scheme val="minor"/>
      </rPr>
      <t>/(E</t>
    </r>
    <r>
      <rPr>
        <vertAlign val="subscript"/>
        <sz val="10"/>
        <color theme="1"/>
        <rFont val="Calibri"/>
        <family val="2"/>
        <scheme val="minor"/>
      </rPr>
      <t>p</t>
    </r>
    <r>
      <rPr>
        <sz val="10"/>
        <color theme="1"/>
        <rFont val="Calibri"/>
        <family val="2"/>
        <scheme val="minor"/>
      </rPr>
      <t>I</t>
    </r>
    <r>
      <rPr>
        <vertAlign val="subscript"/>
        <sz val="10"/>
        <color theme="1"/>
        <rFont val="Calibri"/>
        <family val="2"/>
        <scheme val="minor"/>
      </rPr>
      <t>b</t>
    </r>
    <r>
      <rPr>
        <sz val="10"/>
        <color theme="1"/>
        <rFont val="Calibri"/>
        <family val="2"/>
        <scheme val="minor"/>
      </rPr>
      <t>) =</t>
    </r>
  </si>
  <si>
    <t>[f] = L/250 =</t>
  </si>
  <si>
    <t>H50W1000 - 0.75</t>
  </si>
  <si>
    <t>k1</t>
  </si>
  <si>
    <t>k2</t>
  </si>
  <si>
    <t>Mac Thép</t>
  </si>
  <si>
    <t>E</t>
  </si>
  <si>
    <r>
      <t>f</t>
    </r>
    <r>
      <rPr>
        <b/>
        <vertAlign val="subscript"/>
        <sz val="10"/>
        <color theme="0"/>
        <rFont val="Calibri"/>
        <family val="2"/>
        <scheme val="minor"/>
      </rPr>
      <t>y</t>
    </r>
  </si>
  <si>
    <r>
      <t>f</t>
    </r>
    <r>
      <rPr>
        <b/>
        <vertAlign val="subscript"/>
        <sz val="10"/>
        <color theme="0"/>
        <rFont val="Calibri"/>
        <family val="2"/>
        <scheme val="minor"/>
      </rPr>
      <t>u</t>
    </r>
  </si>
  <si>
    <t>Bảng C.4 Cường độ tiêu chuẩn
 của thép làm bu lông</t>
  </si>
  <si>
    <t>Bảng C.6 Diện tích tiết diện bu lông</t>
  </si>
  <si>
    <t>Bảng C5: Cường độ ép mặt</t>
  </si>
  <si>
    <t>Bảng C1: Que hàn</t>
  </si>
  <si>
    <r>
      <t>E</t>
    </r>
    <r>
      <rPr>
        <vertAlign val="subscript"/>
        <sz val="10"/>
        <color theme="0"/>
        <rFont val="Arial"/>
        <family val="2"/>
      </rPr>
      <t>b</t>
    </r>
  </si>
  <si>
    <t>EC</t>
  </si>
  <si>
    <t>Tên</t>
  </si>
  <si>
    <t>Mpa</t>
  </si>
  <si>
    <t>fu</t>
  </si>
  <si>
    <t>A</t>
  </si>
  <si>
    <t>B</t>
  </si>
  <si>
    <t>Loại</t>
  </si>
  <si>
    <r>
      <t>f</t>
    </r>
    <r>
      <rPr>
        <vertAlign val="subscript"/>
        <sz val="10"/>
        <color theme="0"/>
        <rFont val="Calibri"/>
        <family val="2"/>
        <scheme val="minor"/>
      </rPr>
      <t>wun</t>
    </r>
  </si>
  <si>
    <r>
      <t>f</t>
    </r>
    <r>
      <rPr>
        <vertAlign val="subscript"/>
        <sz val="10"/>
        <color theme="0"/>
        <rFont val="Calibri"/>
        <family val="2"/>
        <scheme val="minor"/>
      </rPr>
      <t>wf</t>
    </r>
  </si>
  <si>
    <t>Loại thép</t>
  </si>
  <si>
    <t>fy</t>
  </si>
  <si>
    <r>
      <t>R</t>
    </r>
    <r>
      <rPr>
        <b/>
        <vertAlign val="subscript"/>
        <sz val="10"/>
        <color theme="1"/>
        <rFont val="Arial"/>
        <family val="2"/>
      </rPr>
      <t>sn</t>
    </r>
  </si>
  <si>
    <r>
      <t>R</t>
    </r>
    <r>
      <rPr>
        <b/>
        <vertAlign val="subscript"/>
        <sz val="10"/>
        <color theme="1"/>
        <rFont val="Arial"/>
        <family val="2"/>
      </rPr>
      <t>s</t>
    </r>
  </si>
  <si>
    <r>
      <t>R</t>
    </r>
    <r>
      <rPr>
        <b/>
        <vertAlign val="subscript"/>
        <sz val="10"/>
        <color theme="1"/>
        <rFont val="Arial"/>
        <family val="2"/>
      </rPr>
      <t>sc</t>
    </r>
  </si>
  <si>
    <r>
      <t>R</t>
    </r>
    <r>
      <rPr>
        <b/>
        <vertAlign val="subscript"/>
        <sz val="10"/>
        <color theme="1"/>
        <rFont val="Arial"/>
        <family val="2"/>
      </rPr>
      <t>sw</t>
    </r>
  </si>
  <si>
    <r>
      <t>E</t>
    </r>
    <r>
      <rPr>
        <b/>
        <vertAlign val="subscript"/>
        <sz val="10"/>
        <rFont val="Arial"/>
        <family val="2"/>
      </rPr>
      <t>s</t>
    </r>
  </si>
  <si>
    <t>Q235</t>
  </si>
  <si>
    <t>Cấp</t>
  </si>
  <si>
    <r>
      <t>f</t>
    </r>
    <r>
      <rPr>
        <vertAlign val="subscript"/>
        <sz val="10"/>
        <rFont val="Calibri"/>
        <family val="2"/>
        <scheme val="minor"/>
      </rPr>
      <t>ub</t>
    </r>
  </si>
  <si>
    <r>
      <t>f</t>
    </r>
    <r>
      <rPr>
        <vertAlign val="subscript"/>
        <sz val="10"/>
        <rFont val="Calibri"/>
        <family val="2"/>
        <scheme val="minor"/>
      </rPr>
      <t>yb</t>
    </r>
  </si>
  <si>
    <r>
      <t>f</t>
    </r>
    <r>
      <rPr>
        <vertAlign val="subscript"/>
        <sz val="10"/>
        <rFont val="Calibri"/>
        <family val="2"/>
        <scheme val="minor"/>
      </rPr>
      <t>vb</t>
    </r>
  </si>
  <si>
    <r>
      <t>f</t>
    </r>
    <r>
      <rPr>
        <vertAlign val="subscript"/>
        <sz val="10"/>
        <rFont val="Calibri"/>
        <family val="2"/>
        <scheme val="minor"/>
      </rPr>
      <t>tb</t>
    </r>
  </si>
  <si>
    <t>D</t>
  </si>
  <si>
    <t>p</t>
  </si>
  <si>
    <t>Ab</t>
  </si>
  <si>
    <r>
      <t>A</t>
    </r>
    <r>
      <rPr>
        <b/>
        <vertAlign val="subscript"/>
        <sz val="10"/>
        <color theme="1"/>
        <rFont val="Calibri"/>
        <family val="2"/>
        <scheme val="minor"/>
      </rPr>
      <t>sa</t>
    </r>
  </si>
  <si>
    <t>z</t>
  </si>
  <si>
    <t>E43</t>
  </si>
  <si>
    <r>
      <t>R</t>
    </r>
    <r>
      <rPr>
        <vertAlign val="subscript"/>
        <sz val="10"/>
        <color theme="0"/>
        <rFont val="Arial"/>
        <family val="2"/>
      </rPr>
      <t>b,ser</t>
    </r>
  </si>
  <si>
    <r>
      <t>R</t>
    </r>
    <r>
      <rPr>
        <vertAlign val="subscript"/>
        <sz val="10"/>
        <color theme="0"/>
        <rFont val="Arial"/>
        <family val="2"/>
      </rPr>
      <t>b</t>
    </r>
  </si>
  <si>
    <r>
      <t>R</t>
    </r>
    <r>
      <rPr>
        <vertAlign val="subscript"/>
        <sz val="10"/>
        <color theme="0"/>
        <rFont val="Arial"/>
        <family val="2"/>
      </rPr>
      <t>bt,ser</t>
    </r>
  </si>
  <si>
    <r>
      <t>R</t>
    </r>
    <r>
      <rPr>
        <vertAlign val="subscript"/>
        <sz val="10"/>
        <color theme="0"/>
        <rFont val="Arial"/>
        <family val="2"/>
      </rPr>
      <t>bt</t>
    </r>
  </si>
  <si>
    <t>Q345</t>
  </si>
  <si>
    <t>E51</t>
  </si>
  <si>
    <t>CI</t>
  </si>
  <si>
    <t>A36</t>
  </si>
  <si>
    <t>N42</t>
  </si>
  <si>
    <t>CII</t>
  </si>
  <si>
    <t>A572 gr.50</t>
  </si>
  <si>
    <t>N46</t>
  </si>
  <si>
    <t>C12/15</t>
  </si>
  <si>
    <t>CIII</t>
  </si>
  <si>
    <r>
      <t xml:space="preserve">S235 </t>
    </r>
    <r>
      <rPr>
        <sz val="10"/>
        <color theme="1"/>
        <rFont val="Calibri"/>
        <family val="2"/>
      </rPr>
      <t>≤ 16</t>
    </r>
  </si>
  <si>
    <t>N50</t>
  </si>
  <si>
    <t>C16/20</t>
  </si>
  <si>
    <t>AI</t>
  </si>
  <si>
    <r>
      <t xml:space="preserve">S235 </t>
    </r>
    <r>
      <rPr>
        <sz val="10"/>
        <color theme="1"/>
        <rFont val="Calibri"/>
        <family val="2"/>
      </rPr>
      <t>≤ 40</t>
    </r>
  </si>
  <si>
    <t>C20/25</t>
  </si>
  <si>
    <t>AII</t>
  </si>
  <si>
    <r>
      <t xml:space="preserve">S235 </t>
    </r>
    <r>
      <rPr>
        <sz val="10"/>
        <color theme="1"/>
        <rFont val="Calibri"/>
        <family val="2"/>
      </rPr>
      <t>≤ 63</t>
    </r>
  </si>
  <si>
    <t>C25/30</t>
  </si>
  <si>
    <t>AIII</t>
  </si>
  <si>
    <r>
      <t xml:space="preserve">S235 </t>
    </r>
    <r>
      <rPr>
        <sz val="10"/>
        <color theme="1"/>
        <rFont val="Calibri"/>
        <family val="2"/>
      </rPr>
      <t xml:space="preserve">≤ </t>
    </r>
    <r>
      <rPr>
        <sz val="10"/>
        <color theme="1"/>
        <rFont val="Calibri"/>
        <family val="2"/>
        <scheme val="minor"/>
      </rPr>
      <t>80</t>
    </r>
  </si>
  <si>
    <t>C28/35</t>
  </si>
  <si>
    <t>CB240-T</t>
  </si>
  <si>
    <r>
      <t xml:space="preserve">S235 </t>
    </r>
    <r>
      <rPr>
        <sz val="10"/>
        <color theme="1"/>
        <rFont val="Calibri"/>
        <family val="2"/>
      </rPr>
      <t>≤ 100</t>
    </r>
  </si>
  <si>
    <t>C32/40</t>
  </si>
  <si>
    <t>S275 ≤ 16</t>
  </si>
  <si>
    <t>C35/45</t>
  </si>
  <si>
    <t>CB300-V</t>
  </si>
  <si>
    <t>S275 ≤ 40</t>
  </si>
  <si>
    <t>C40/50</t>
  </si>
  <si>
    <t>CB400-V</t>
  </si>
  <si>
    <t>S275 ≤ 63</t>
  </si>
  <si>
    <t>C45/55</t>
  </si>
  <si>
    <t>CB500-V</t>
  </si>
  <si>
    <t>S275 ≤ 80</t>
  </si>
  <si>
    <t>C50/60</t>
  </si>
  <si>
    <t>SR235</t>
  </si>
  <si>
    <t>S275 ≤ 100</t>
  </si>
  <si>
    <t>SR295</t>
  </si>
  <si>
    <t>S355 ≤ 16</t>
  </si>
  <si>
    <t>SD295</t>
  </si>
  <si>
    <t>S355 ≤ 40</t>
  </si>
  <si>
    <t>SD390</t>
  </si>
  <si>
    <t>S355 ≤ 63</t>
  </si>
  <si>
    <t>SD490</t>
  </si>
  <si>
    <t>S355 ≤ 80</t>
  </si>
  <si>
    <t>S355 ≤ 100</t>
  </si>
  <si>
    <t>SS330 ≤ 16</t>
  </si>
  <si>
    <t>SS330 ≤ 40</t>
  </si>
  <si>
    <t>SS400 ≤ 16</t>
  </si>
  <si>
    <t>SS400 ≤ 40</t>
  </si>
  <si>
    <t>SS490 ≤ 16</t>
  </si>
  <si>
    <t>SS490 ≤ 40</t>
  </si>
  <si>
    <t>SS540 ≤ 16</t>
  </si>
  <si>
    <t>SS540 ≤ 40</t>
  </si>
  <si>
    <r>
      <t>f</t>
    </r>
    <r>
      <rPr>
        <vertAlign val="subscript"/>
        <sz val="10"/>
        <color theme="1"/>
        <rFont val="Calibri"/>
        <family val="2"/>
        <scheme val="minor"/>
      </rPr>
      <t>cd</t>
    </r>
    <r>
      <rPr>
        <sz val="10"/>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</si>
</sst>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_);_(* \(#,##0\);_(* &quot;-&quot;??_);_(@_)"/>
    <numFmt numFmtId="166" formatCode="0.000"/>
    <numFmt numFmtId="167" formatCode="0.0000"/>
    <numFmt numFmtId="168" formatCode="&quot;D&quot;0"/>
    <numFmt numFmtId="169" formatCode="&quot;a&quot;0"/>
  </numFmts>
  <fonts count="48">
    <font>
      <sz val="11"/>
      <color theme="1"/>
      <name val="Calibri"/>
      <family val="2"/>
      <scheme val="minor"/>
    </font>
    <font>
      <sz val="10"/>
      <color theme="1"/>
      <name val="Calibri"/>
      <family val="2"/>
      <scheme val="minor"/>
    </font>
    <font>
      <b/>
      <sz val="14"/>
      <color rgb="FF0070C0"/>
      <name val="Calibri"/>
      <family val="2"/>
      <scheme val="minor"/>
    </font>
    <font>
      <b/>
      <sz val="10"/>
      <color rgb="FF0070C0"/>
      <name val="Calibri"/>
      <family val="2"/>
      <scheme val="minor"/>
    </font>
    <font>
      <b/>
      <sz val="10"/>
      <color theme="1"/>
      <name val="Calibri"/>
      <family val="2"/>
      <scheme val="minor"/>
    </font>
    <font>
      <sz val="10"/>
      <color rgb="FF0000CC"/>
      <name val="Calibri"/>
      <family val="2"/>
      <scheme val="minor"/>
    </font>
    <font>
      <sz val="10"/>
      <name val="Calibri"/>
      <family val="2"/>
      <scheme val="minor"/>
    </font>
    <font>
      <b/>
      <sz val="11"/>
      <color theme="1"/>
      <name val="Calibri"/>
      <family val="2"/>
      <scheme val="minor"/>
    </font>
    <font>
      <b/>
      <sz val="12"/>
      <name val="Times New Roman"/>
      <family val="1"/>
    </font>
    <font>
      <sz val="12"/>
      <name val="Times New Roman"/>
      <family val="1"/>
    </font>
    <font>
      <vertAlign val="superscript"/>
      <sz val="12"/>
      <name val="Times New Roman"/>
      <family val="1"/>
    </font>
    <font>
      <b/>
      <sz val="12"/>
      <name val="Calibri"/>
      <family val="2"/>
      <scheme val="minor"/>
    </font>
    <font>
      <b/>
      <sz val="14"/>
      <name val="Calibri"/>
      <family val="2"/>
      <scheme val="minor"/>
    </font>
    <font>
      <b/>
      <sz val="10"/>
      <name val="Calibri"/>
      <family val="2"/>
      <scheme val="minor"/>
    </font>
    <font>
      <b/>
      <u/>
      <sz val="10"/>
      <name val="Calibri"/>
      <family val="2"/>
      <scheme val="minor"/>
    </font>
    <font>
      <vertAlign val="subscript"/>
      <sz val="10"/>
      <name val="Calibri"/>
      <family val="2"/>
      <scheme val="minor"/>
    </font>
    <font>
      <vertAlign val="superscript"/>
      <sz val="10"/>
      <name val="Calibri"/>
      <family val="2"/>
      <scheme val="minor"/>
    </font>
    <font>
      <b/>
      <sz val="14"/>
      <color theme="0"/>
      <name val="Calibri"/>
      <family val="2"/>
      <scheme val="minor"/>
    </font>
    <font>
      <sz val="10"/>
      <name val="Symbol"/>
      <family val="1"/>
      <charset val="2"/>
    </font>
    <font>
      <sz val="10"/>
      <name val="Calibri"/>
      <family val="1"/>
      <charset val="2"/>
      <scheme val="minor"/>
    </font>
    <font>
      <sz val="11"/>
      <color theme="1"/>
      <name val="Calibri"/>
      <family val="2"/>
      <charset val="163"/>
      <scheme val="minor"/>
    </font>
    <font>
      <b/>
      <sz val="10"/>
      <color rgb="FF0070C0"/>
      <name val="Arial"/>
      <family val="2"/>
    </font>
    <font>
      <sz val="10"/>
      <name val="Arial"/>
      <family val="2"/>
    </font>
    <font>
      <u/>
      <sz val="10"/>
      <color theme="1"/>
      <name val="Calibri"/>
      <family val="2"/>
      <scheme val="minor"/>
    </font>
    <font>
      <vertAlign val="subscript"/>
      <sz val="10"/>
      <name val="Symbol"/>
      <family val="1"/>
      <charset val="2"/>
    </font>
    <font>
      <sz val="10.5"/>
      <color rgb="FF000000"/>
      <name val="Calibri"/>
      <family val="2"/>
      <scheme val="minor"/>
    </font>
    <font>
      <sz val="11"/>
      <color theme="1"/>
      <name val="Calibri"/>
      <family val="2"/>
      <scheme val="minor"/>
    </font>
    <font>
      <sz val="10"/>
      <color theme="1"/>
      <name val="Symbol"/>
      <family val="1"/>
      <charset val="2"/>
    </font>
    <font>
      <vertAlign val="subscript"/>
      <sz val="10"/>
      <color theme="1"/>
      <name val="Calibri"/>
      <family val="2"/>
      <scheme val="minor"/>
    </font>
    <font>
      <vertAlign val="superscript"/>
      <sz val="10"/>
      <color theme="1"/>
      <name val="Calibri"/>
      <family val="2"/>
      <scheme val="minor"/>
    </font>
    <font>
      <i/>
      <sz val="10"/>
      <color theme="1"/>
      <name val="Calibri"/>
      <family val="2"/>
      <scheme val="minor"/>
    </font>
    <font>
      <sz val="10"/>
      <color theme="1"/>
      <name val="Calibri"/>
      <family val="1"/>
      <charset val="2"/>
      <scheme val="minor"/>
    </font>
    <font>
      <b/>
      <sz val="11"/>
      <color rgb="FFFA7D00"/>
      <name val="Calibri"/>
      <family val="2"/>
      <scheme val="minor"/>
    </font>
    <font>
      <b/>
      <sz val="10"/>
      <color theme="0"/>
      <name val="Calibri"/>
      <family val="2"/>
      <scheme val="minor"/>
    </font>
    <font>
      <b/>
      <vertAlign val="subscript"/>
      <sz val="10"/>
      <color theme="0"/>
      <name val="Calibri"/>
      <family val="2"/>
      <scheme val="minor"/>
    </font>
    <font>
      <b/>
      <sz val="10"/>
      <color theme="0"/>
      <name val="Arial"/>
      <family val="2"/>
    </font>
    <font>
      <vertAlign val="subscript"/>
      <sz val="10"/>
      <color theme="0"/>
      <name val="Arial"/>
      <family val="2"/>
    </font>
    <font>
      <vertAlign val="subscript"/>
      <sz val="10"/>
      <color theme="0"/>
      <name val="Calibri"/>
      <family val="2"/>
      <scheme val="minor"/>
    </font>
    <font>
      <sz val="11"/>
      <color indexed="8"/>
      <name val="Calibri"/>
      <family val="2"/>
    </font>
    <font>
      <b/>
      <sz val="10"/>
      <name val="Arial"/>
      <family val="2"/>
    </font>
    <font>
      <b/>
      <sz val="10"/>
      <color theme="1"/>
      <name val="Arial"/>
      <family val="2"/>
    </font>
    <font>
      <b/>
      <vertAlign val="subscript"/>
      <sz val="10"/>
      <color theme="1"/>
      <name val="Arial"/>
      <family val="2"/>
    </font>
    <font>
      <sz val="11"/>
      <name val="Times New Roman"/>
      <family val="1"/>
    </font>
    <font>
      <b/>
      <vertAlign val="subscript"/>
      <sz val="10"/>
      <name val="Arial"/>
      <family val="2"/>
    </font>
    <font>
      <b/>
      <vertAlign val="subscript"/>
      <sz val="10"/>
      <color theme="1"/>
      <name val="Calibri"/>
      <family val="2"/>
      <scheme val="minor"/>
    </font>
    <font>
      <b/>
      <sz val="10"/>
      <color theme="1"/>
      <name val="Symbol"/>
      <family val="1"/>
      <charset val="2"/>
    </font>
    <font>
      <sz val="10"/>
      <color rgb="FF0000FF"/>
      <name val="Arial"/>
      <family val="2"/>
    </font>
    <font>
      <sz val="10"/>
      <color theme="1"/>
      <name val="Calibri"/>
      <family val="2"/>
    </font>
  </fonts>
  <fills count="1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2F2F2"/>
      </patternFill>
    </fill>
    <fill>
      <patternFill patternType="solid">
        <fgColor theme="4"/>
        <bgColor indexed="64"/>
      </patternFill>
    </fill>
    <fill>
      <patternFill patternType="solid">
        <fgColor theme="5"/>
        <bgColor indexed="64"/>
      </patternFill>
    </fill>
    <fill>
      <patternFill patternType="solid">
        <fgColor theme="0" tint="-0.14999847407452621"/>
        <bgColor indexed="64"/>
      </patternFill>
    </fill>
  </fills>
  <borders count="3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indexed="64"/>
      </left>
      <right/>
      <top/>
      <bottom style="thin">
        <color theme="0" tint="-0.499984740745262"/>
      </bottom>
      <diagonal/>
    </border>
    <border>
      <left/>
      <right/>
      <top/>
      <bottom style="thin">
        <color theme="0" tint="-0.499984740745262"/>
      </bottom>
      <diagonal/>
    </border>
    <border>
      <left/>
      <right style="thin">
        <color indexed="64"/>
      </right>
      <top/>
      <bottom style="thin">
        <color theme="0" tint="-0.499984740745262"/>
      </bottom>
      <diagonal/>
    </border>
    <border>
      <left style="thin">
        <color indexed="64"/>
      </left>
      <right/>
      <top style="thin">
        <color theme="0" tint="-0.499984740745262"/>
      </top>
      <bottom style="thin">
        <color indexed="64"/>
      </bottom>
      <diagonal/>
    </border>
    <border>
      <left/>
      <right/>
      <top style="thin">
        <color theme="0" tint="-0.499984740745262"/>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auto="1"/>
      </left>
      <right/>
      <top style="hair">
        <color auto="1"/>
      </top>
      <bottom/>
      <diagonal/>
    </border>
    <border>
      <left/>
      <right/>
      <top style="hair">
        <color auto="1"/>
      </top>
      <bottom/>
      <diagonal/>
    </border>
    <border>
      <left style="thin">
        <color indexed="64"/>
      </left>
      <right style="thin">
        <color indexed="64"/>
      </right>
      <top style="hair">
        <color auto="1"/>
      </top>
      <bottom/>
      <diagonal/>
    </border>
    <border>
      <left style="thin">
        <color rgb="FF7F7F7F"/>
      </left>
      <right style="thin">
        <color rgb="FF7F7F7F"/>
      </right>
      <top style="thin">
        <color rgb="FF7F7F7F"/>
      </top>
      <bottom style="thin">
        <color rgb="FF7F7F7F"/>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s>
  <cellStyleXfs count="8">
    <xf numFmtId="0" fontId="0" fillId="0" borderId="0"/>
    <xf numFmtId="0" fontId="20" fillId="0" borderId="0"/>
    <xf numFmtId="164" fontId="20" fillId="0" borderId="0" applyFont="0" applyFill="0" applyBorder="0" applyAlignment="0" applyProtection="0"/>
    <xf numFmtId="9" fontId="26" fillId="0" borderId="0" applyFont="0" applyFill="0" applyBorder="0" applyAlignment="0" applyProtection="0"/>
    <xf numFmtId="0" fontId="32" fillId="8" borderId="27" applyNumberFormat="0" applyAlignment="0" applyProtection="0"/>
    <xf numFmtId="0" fontId="38" fillId="0" borderId="0"/>
    <xf numFmtId="0" fontId="42" fillId="0" borderId="0"/>
    <xf numFmtId="0" fontId="42" fillId="0" borderId="0"/>
  </cellStyleXfs>
  <cellXfs count="242">
    <xf numFmtId="0" fontId="0" fillId="0" borderId="0" xfId="0"/>
    <xf numFmtId="0" fontId="1" fillId="0" borderId="0" xfId="0" applyFont="1"/>
    <xf numFmtId="0" fontId="1" fillId="4" borderId="9" xfId="0" applyFont="1" applyFill="1" applyBorder="1" applyAlignment="1">
      <alignment vertical="top"/>
    </xf>
    <xf numFmtId="0" fontId="4" fillId="4" borderId="10" xfId="0" applyFont="1" applyFill="1" applyBorder="1" applyAlignment="1">
      <alignment horizontal="left" indent="1"/>
    </xf>
    <xf numFmtId="0" fontId="9" fillId="0" borderId="11" xfId="0" applyFont="1" applyBorder="1" applyAlignment="1">
      <alignment horizontal="center" vertical="center"/>
    </xf>
    <xf numFmtId="0" fontId="9" fillId="0" borderId="11" xfId="0" applyFont="1" applyBorder="1" applyAlignment="1">
      <alignment horizontal="center"/>
    </xf>
    <xf numFmtId="0" fontId="0" fillId="0" borderId="11" xfId="0" applyBorder="1"/>
    <xf numFmtId="0" fontId="0" fillId="6" borderId="11" xfId="0" applyFill="1" applyBorder="1"/>
    <xf numFmtId="0" fontId="8" fillId="6" borderId="11" xfId="0" applyFont="1" applyFill="1" applyBorder="1" applyAlignment="1">
      <alignment horizontal="center"/>
    </xf>
    <xf numFmtId="0" fontId="9" fillId="6" borderId="11" xfId="0" applyFont="1" applyFill="1" applyBorder="1" applyAlignment="1">
      <alignment horizontal="center" vertical="center"/>
    </xf>
    <xf numFmtId="0" fontId="9" fillId="6" borderId="11" xfId="0" applyFont="1" applyFill="1" applyBorder="1" applyAlignment="1">
      <alignment horizontal="center"/>
    </xf>
    <xf numFmtId="2" fontId="9" fillId="6" borderId="11" xfId="0" applyNumberFormat="1" applyFont="1" applyFill="1" applyBorder="1" applyAlignment="1">
      <alignment horizontal="center"/>
    </xf>
    <xf numFmtId="0" fontId="0" fillId="3" borderId="11" xfId="0" applyFill="1" applyBorder="1"/>
    <xf numFmtId="0" fontId="8" fillId="3" borderId="11" xfId="0" applyFont="1" applyFill="1" applyBorder="1" applyAlignment="1">
      <alignment horizontal="center"/>
    </xf>
    <xf numFmtId="0" fontId="9" fillId="3" borderId="11" xfId="0" applyFont="1" applyFill="1" applyBorder="1" applyAlignment="1">
      <alignment horizontal="center" vertical="center"/>
    </xf>
    <xf numFmtId="0" fontId="9" fillId="3" borderId="11" xfId="0" applyFont="1" applyFill="1" applyBorder="1" applyAlignment="1">
      <alignment horizontal="center"/>
    </xf>
    <xf numFmtId="2" fontId="9" fillId="3" borderId="11" xfId="0" applyNumberFormat="1" applyFont="1" applyFill="1" applyBorder="1" applyAlignment="1">
      <alignment horizontal="center"/>
    </xf>
    <xf numFmtId="0" fontId="0" fillId="7" borderId="11" xfId="0" applyFill="1" applyBorder="1"/>
    <xf numFmtId="0" fontId="8" fillId="7" borderId="11" xfId="0" applyFont="1" applyFill="1" applyBorder="1" applyAlignment="1">
      <alignment horizontal="center"/>
    </xf>
    <xf numFmtId="0" fontId="9" fillId="7" borderId="11" xfId="0" applyFont="1" applyFill="1" applyBorder="1" applyAlignment="1">
      <alignment horizontal="center" vertical="center"/>
    </xf>
    <xf numFmtId="0" fontId="9" fillId="7" borderId="11" xfId="0" applyFont="1" applyFill="1" applyBorder="1" applyAlignment="1">
      <alignment horizontal="center"/>
    </xf>
    <xf numFmtId="1" fontId="9" fillId="7" borderId="11" xfId="0" applyNumberFormat="1" applyFont="1" applyFill="1" applyBorder="1" applyAlignment="1">
      <alignment horizontal="center" vertical="center"/>
    </xf>
    <xf numFmtId="2" fontId="9" fillId="7" borderId="11" xfId="0" applyNumberFormat="1" applyFont="1" applyFill="1" applyBorder="1" applyAlignment="1">
      <alignment horizontal="center"/>
    </xf>
    <xf numFmtId="164" fontId="9" fillId="6" borderId="11" xfId="0" applyNumberFormat="1" applyFont="1" applyFill="1" applyBorder="1" applyAlignment="1">
      <alignment horizontal="center" vertical="center"/>
    </xf>
    <xf numFmtId="0" fontId="11" fillId="4" borderId="10" xfId="0" applyFont="1" applyFill="1" applyBorder="1" applyAlignment="1">
      <alignment horizontal="center" vertical="center"/>
    </xf>
    <xf numFmtId="0" fontId="12" fillId="4" borderId="9" xfId="0" applyFont="1" applyFill="1" applyBorder="1" applyAlignment="1">
      <alignment horizontal="center" vertical="center"/>
    </xf>
    <xf numFmtId="0" fontId="14" fillId="4" borderId="10" xfId="0" applyFont="1" applyFill="1" applyBorder="1" applyAlignment="1">
      <alignment horizontal="left" vertical="center" indent="1"/>
    </xf>
    <xf numFmtId="0" fontId="6" fillId="4" borderId="10" xfId="0" applyFont="1" applyFill="1" applyBorder="1" applyAlignment="1">
      <alignment horizontal="center" vertical="center"/>
    </xf>
    <xf numFmtId="0" fontId="6" fillId="4" borderId="9" xfId="0" applyFont="1" applyFill="1" applyBorder="1" applyAlignment="1">
      <alignment horizontal="center" vertical="center"/>
    </xf>
    <xf numFmtId="0" fontId="1" fillId="4" borderId="0" xfId="0" applyFont="1" applyFill="1"/>
    <xf numFmtId="0" fontId="6" fillId="4" borderId="9" xfId="0" applyFont="1" applyFill="1" applyBorder="1" applyAlignment="1">
      <alignment horizontal="left" vertical="center"/>
    </xf>
    <xf numFmtId="0" fontId="21" fillId="0" borderId="17" xfId="1" applyFont="1" applyBorder="1" applyAlignment="1" applyProtection="1">
      <alignment horizontal="center" vertical="center"/>
      <protection hidden="1"/>
    </xf>
    <xf numFmtId="0" fontId="0" fillId="0" borderId="11" xfId="0" applyBorder="1" applyAlignment="1">
      <alignment horizontal="center" vertical="center"/>
    </xf>
    <xf numFmtId="165" fontId="22" fillId="0" borderId="11" xfId="2" applyNumberFormat="1" applyFont="1" applyBorder="1" applyAlignment="1" applyProtection="1">
      <alignment horizontal="center" vertical="center"/>
      <protection hidden="1"/>
    </xf>
    <xf numFmtId="164" fontId="22" fillId="0" borderId="11" xfId="1" applyNumberFormat="1" applyFont="1" applyBorder="1" applyAlignment="1" applyProtection="1">
      <alignment horizontal="center" vertical="center"/>
      <protection hidden="1"/>
    </xf>
    <xf numFmtId="2" fontId="22" fillId="0" borderId="11" xfId="1" applyNumberFormat="1" applyFont="1" applyBorder="1" applyAlignment="1" applyProtection="1">
      <alignment horizontal="center" vertical="center"/>
      <protection hidden="1"/>
    </xf>
    <xf numFmtId="0" fontId="21" fillId="0" borderId="18" xfId="1" applyFont="1" applyBorder="1" applyAlignment="1" applyProtection="1">
      <alignment horizontal="center" vertical="center"/>
      <protection hidden="1"/>
    </xf>
    <xf numFmtId="0" fontId="0" fillId="0" borderId="19" xfId="0" applyBorder="1" applyAlignment="1">
      <alignment horizontal="center" vertical="center"/>
    </xf>
    <xf numFmtId="165" fontId="22" fillId="0" borderId="19" xfId="2" applyNumberFormat="1" applyFont="1" applyBorder="1" applyAlignment="1" applyProtection="1">
      <alignment horizontal="center" vertical="center"/>
      <protection hidden="1"/>
    </xf>
    <xf numFmtId="164" fontId="22" fillId="0" borderId="19" xfId="1" applyNumberFormat="1" applyFont="1" applyBorder="1" applyAlignment="1" applyProtection="1">
      <alignment horizontal="center" vertical="center"/>
      <protection hidden="1"/>
    </xf>
    <xf numFmtId="2" fontId="22" fillId="0" borderId="19" xfId="1" applyNumberFormat="1" applyFont="1" applyBorder="1" applyAlignment="1" applyProtection="1">
      <alignment horizontal="center" vertical="center"/>
      <protection hidden="1"/>
    </xf>
    <xf numFmtId="0" fontId="6" fillId="4" borderId="10" xfId="0" applyFont="1" applyFill="1" applyBorder="1" applyAlignment="1">
      <alignment horizontal="left" vertical="center" indent="1"/>
    </xf>
    <xf numFmtId="0" fontId="23" fillId="4" borderId="10" xfId="0" applyFont="1" applyFill="1" applyBorder="1" applyAlignment="1">
      <alignment horizontal="left" vertical="top" indent="3"/>
    </xf>
    <xf numFmtId="0" fontId="1" fillId="4" borderId="9" xfId="0" applyFont="1" applyFill="1" applyBorder="1" applyAlignment="1">
      <alignment vertical="top" wrapText="1"/>
    </xf>
    <xf numFmtId="9" fontId="1" fillId="4" borderId="0" xfId="3" applyFont="1" applyFill="1" applyBorder="1" applyAlignment="1">
      <alignment horizontal="left" vertical="top" indent="1"/>
    </xf>
    <xf numFmtId="0" fontId="6" fillId="4" borderId="11" xfId="0" applyFont="1" applyFill="1" applyBorder="1" applyAlignment="1">
      <alignment horizontal="center" vertical="center"/>
    </xf>
    <xf numFmtId="0" fontId="27" fillId="4" borderId="11" xfId="0" applyFont="1" applyFill="1" applyBorder="1" applyAlignment="1">
      <alignment horizontal="center" vertical="center"/>
    </xf>
    <xf numFmtId="0" fontId="1" fillId="4" borderId="1" xfId="0" applyFont="1" applyFill="1" applyBorder="1" applyAlignment="1">
      <alignment vertical="top"/>
    </xf>
    <xf numFmtId="0" fontId="13" fillId="4" borderId="2" xfId="0" applyFont="1" applyFill="1" applyBorder="1" applyAlignment="1">
      <alignment horizontal="center" vertical="center"/>
    </xf>
    <xf numFmtId="0" fontId="1" fillId="4" borderId="2" xfId="0" applyFont="1" applyFill="1" applyBorder="1"/>
    <xf numFmtId="0" fontId="6" fillId="4" borderId="2" xfId="0" applyFont="1" applyFill="1" applyBorder="1" applyAlignment="1">
      <alignment horizontal="right" vertical="center"/>
    </xf>
    <xf numFmtId="0" fontId="6" fillId="4" borderId="2" xfId="0" applyFont="1" applyFill="1" applyBorder="1" applyAlignment="1">
      <alignment horizontal="center" vertical="center"/>
    </xf>
    <xf numFmtId="0" fontId="6" fillId="4" borderId="2" xfId="0" applyFont="1" applyFill="1" applyBorder="1" applyAlignment="1">
      <alignment horizontal="left" vertical="center"/>
    </xf>
    <xf numFmtId="0" fontId="1" fillId="4" borderId="10" xfId="0" applyFont="1" applyFill="1" applyBorder="1"/>
    <xf numFmtId="0" fontId="1" fillId="4" borderId="23" xfId="0" applyFont="1" applyFill="1" applyBorder="1" applyAlignment="1">
      <alignment vertical="top"/>
    </xf>
    <xf numFmtId="0" fontId="1" fillId="4" borderId="23" xfId="0" applyFont="1" applyFill="1" applyBorder="1"/>
    <xf numFmtId="0" fontId="6" fillId="4" borderId="23" xfId="0" applyFont="1" applyFill="1" applyBorder="1" applyAlignment="1">
      <alignment horizontal="right" vertical="center"/>
    </xf>
    <xf numFmtId="0" fontId="6" fillId="4" borderId="23" xfId="0" applyFont="1" applyFill="1" applyBorder="1" applyAlignment="1">
      <alignment horizontal="center" vertical="center"/>
    </xf>
    <xf numFmtId="0" fontId="6" fillId="4" borderId="23" xfId="0" applyFont="1" applyFill="1" applyBorder="1" applyAlignment="1">
      <alignment horizontal="left" vertical="center"/>
    </xf>
    <xf numFmtId="0" fontId="1" fillId="4" borderId="12" xfId="0" applyFont="1" applyFill="1" applyBorder="1" applyAlignment="1">
      <alignment vertical="top"/>
    </xf>
    <xf numFmtId="0" fontId="13" fillId="4" borderId="14" xfId="0" applyFont="1" applyFill="1" applyBorder="1" applyAlignment="1">
      <alignment horizontal="center" vertical="center"/>
    </xf>
    <xf numFmtId="0" fontId="6" fillId="4" borderId="14" xfId="0" applyFont="1" applyFill="1" applyBorder="1" applyAlignment="1">
      <alignment horizontal="right" vertical="center"/>
    </xf>
    <xf numFmtId="0" fontId="5" fillId="4" borderId="14" xfId="0" applyFont="1" applyFill="1" applyBorder="1" applyAlignment="1">
      <alignment horizontal="center" vertical="center"/>
    </xf>
    <xf numFmtId="0" fontId="5" fillId="4" borderId="15" xfId="0" applyFont="1" applyFill="1" applyBorder="1" applyAlignment="1">
      <alignment horizontal="center" vertical="center"/>
    </xf>
    <xf numFmtId="0" fontId="1" fillId="4" borderId="10" xfId="0" applyFont="1" applyFill="1" applyBorder="1" applyAlignment="1">
      <alignment horizontal="center" vertical="top"/>
    </xf>
    <xf numFmtId="0" fontId="1" fillId="4" borderId="10" xfId="0" applyFont="1" applyFill="1" applyBorder="1" applyAlignment="1">
      <alignment horizontal="center" vertical="center"/>
    </xf>
    <xf numFmtId="0" fontId="1" fillId="4" borderId="12" xfId="0" applyFont="1" applyFill="1" applyBorder="1" applyAlignment="1">
      <alignment horizontal="center" vertical="center"/>
    </xf>
    <xf numFmtId="2" fontId="6" fillId="4" borderId="15" xfId="0" applyNumberFormat="1" applyFont="1" applyFill="1" applyBorder="1" applyAlignment="1">
      <alignment horizontal="center" vertical="center"/>
    </xf>
    <xf numFmtId="0" fontId="6" fillId="4" borderId="15" xfId="0" applyFont="1" applyFill="1" applyBorder="1" applyAlignment="1">
      <alignment horizontal="center" vertical="center"/>
    </xf>
    <xf numFmtId="0" fontId="6" fillId="4" borderId="16" xfId="0" applyFont="1" applyFill="1" applyBorder="1" applyAlignment="1">
      <alignment horizontal="center" vertical="center"/>
    </xf>
    <xf numFmtId="0" fontId="1" fillId="4" borderId="24" xfId="0" applyFont="1" applyFill="1" applyBorder="1" applyAlignment="1">
      <alignment vertical="top"/>
    </xf>
    <xf numFmtId="0" fontId="13" fillId="4" borderId="25" xfId="0" applyFont="1" applyFill="1" applyBorder="1" applyAlignment="1">
      <alignment horizontal="center" vertical="center"/>
    </xf>
    <xf numFmtId="0" fontId="1" fillId="4" borderId="25" xfId="0" applyFont="1" applyFill="1" applyBorder="1"/>
    <xf numFmtId="0" fontId="6" fillId="4" borderId="25" xfId="0" applyFont="1" applyFill="1" applyBorder="1" applyAlignment="1">
      <alignment horizontal="right" vertical="center"/>
    </xf>
    <xf numFmtId="0" fontId="6" fillId="4" borderId="25" xfId="0" applyFont="1" applyFill="1" applyBorder="1" applyAlignment="1">
      <alignment horizontal="center" vertical="center"/>
    </xf>
    <xf numFmtId="0" fontId="6" fillId="4" borderId="25" xfId="0" applyFont="1" applyFill="1" applyBorder="1" applyAlignment="1">
      <alignment horizontal="left" vertical="center"/>
    </xf>
    <xf numFmtId="0" fontId="6" fillId="4" borderId="26" xfId="0" applyFont="1" applyFill="1" applyBorder="1" applyAlignment="1">
      <alignment horizontal="center" vertical="center"/>
    </xf>
    <xf numFmtId="0" fontId="6" fillId="4" borderId="26" xfId="0" applyFont="1" applyFill="1" applyBorder="1" applyAlignment="1">
      <alignment horizontal="right" vertical="center"/>
    </xf>
    <xf numFmtId="0" fontId="5" fillId="4" borderId="26" xfId="0" applyFont="1" applyFill="1" applyBorder="1" applyAlignment="1">
      <alignment horizontal="center" vertical="center"/>
    </xf>
    <xf numFmtId="2" fontId="6" fillId="4" borderId="11" xfId="0" applyNumberFormat="1" applyFont="1" applyFill="1" applyBorder="1" applyAlignment="1">
      <alignment horizontal="center" vertical="center"/>
    </xf>
    <xf numFmtId="0" fontId="6" fillId="4" borderId="0" xfId="0" applyFont="1" applyFill="1" applyAlignment="1">
      <alignment horizontal="center" vertical="center"/>
    </xf>
    <xf numFmtId="0" fontId="1" fillId="4" borderId="10" xfId="0" applyFont="1" applyFill="1" applyBorder="1" applyAlignment="1">
      <alignment horizontal="left" vertical="top" indent="3"/>
    </xf>
    <xf numFmtId="0" fontId="1" fillId="4" borderId="10" xfId="0" applyFont="1" applyFill="1" applyBorder="1" applyAlignment="1">
      <alignment horizontal="left" vertical="top" indent="1"/>
    </xf>
    <xf numFmtId="0" fontId="1" fillId="4" borderId="9" xfId="0" applyFont="1" applyFill="1" applyBorder="1" applyAlignment="1">
      <alignment horizontal="left" vertical="top" indent="1"/>
    </xf>
    <xf numFmtId="11" fontId="1" fillId="4" borderId="0" xfId="3" applyNumberFormat="1" applyFont="1" applyFill="1" applyBorder="1" applyAlignment="1">
      <alignment horizontal="left" vertical="top" indent="1"/>
    </xf>
    <xf numFmtId="2" fontId="1" fillId="4" borderId="0" xfId="3" applyNumberFormat="1" applyFont="1" applyFill="1" applyBorder="1" applyAlignment="1">
      <alignment horizontal="left" vertical="top" indent="1"/>
    </xf>
    <xf numFmtId="9" fontId="5" fillId="4" borderId="0" xfId="3" applyFont="1" applyFill="1" applyBorder="1" applyAlignment="1">
      <alignment horizontal="right" vertical="top" indent="1"/>
    </xf>
    <xf numFmtId="0" fontId="1" fillId="4" borderId="12" xfId="0" applyFont="1" applyFill="1" applyBorder="1" applyAlignment="1">
      <alignment horizontal="left" vertical="top" indent="1"/>
    </xf>
    <xf numFmtId="0" fontId="1" fillId="4" borderId="23" xfId="0" applyFont="1" applyFill="1" applyBorder="1" applyAlignment="1">
      <alignment horizontal="left" vertical="top" indent="2"/>
    </xf>
    <xf numFmtId="0" fontId="1" fillId="4" borderId="23" xfId="0" applyFont="1" applyFill="1" applyBorder="1" applyAlignment="1">
      <alignment horizontal="left" vertical="top" indent="1"/>
    </xf>
    <xf numFmtId="0" fontId="1" fillId="4" borderId="23" xfId="0" applyFont="1" applyFill="1" applyBorder="1" applyAlignment="1">
      <alignment horizontal="right" vertical="top"/>
    </xf>
    <xf numFmtId="2" fontId="1" fillId="4" borderId="23" xfId="0" applyNumberFormat="1" applyFont="1" applyFill="1" applyBorder="1" applyAlignment="1">
      <alignment horizontal="left" vertical="top" indent="1"/>
    </xf>
    <xf numFmtId="0" fontId="1" fillId="4" borderId="23" xfId="0" applyFont="1" applyFill="1" applyBorder="1" applyAlignment="1">
      <alignment horizontal="right"/>
    </xf>
    <xf numFmtId="9" fontId="1" fillId="4" borderId="23" xfId="3" applyFont="1" applyFill="1" applyBorder="1" applyAlignment="1">
      <alignment horizontal="left" vertical="top" indent="1"/>
    </xf>
    <xf numFmtId="0" fontId="1" fillId="4" borderId="13" xfId="0" applyFont="1" applyFill="1" applyBorder="1" applyAlignment="1">
      <alignment horizontal="left" vertical="top" indent="1"/>
    </xf>
    <xf numFmtId="0" fontId="1" fillId="0" borderId="11" xfId="0" applyFont="1" applyBorder="1" applyAlignment="1">
      <alignment horizontal="center" vertical="center"/>
    </xf>
    <xf numFmtId="0" fontId="1" fillId="4" borderId="9" xfId="0" applyFont="1" applyFill="1" applyBorder="1" applyAlignment="1">
      <alignment horizontal="left" vertical="center"/>
    </xf>
    <xf numFmtId="167" fontId="1" fillId="0" borderId="11" xfId="0" applyNumberFormat="1" applyFont="1" applyBorder="1" applyAlignment="1">
      <alignment horizontal="right" vertical="center"/>
    </xf>
    <xf numFmtId="166" fontId="1" fillId="0" borderId="11" xfId="0" applyNumberFormat="1" applyFont="1" applyBorder="1" applyAlignment="1">
      <alignment horizontal="center" vertical="center"/>
    </xf>
    <xf numFmtId="166" fontId="1" fillId="4" borderId="0" xfId="3" applyNumberFormat="1" applyFont="1" applyFill="1" applyBorder="1" applyAlignment="1">
      <alignment horizontal="right" vertical="top" indent="1"/>
    </xf>
    <xf numFmtId="164" fontId="1" fillId="4" borderId="0" xfId="3" applyNumberFormat="1" applyFont="1" applyFill="1" applyBorder="1" applyAlignment="1">
      <alignment horizontal="left" vertical="top" indent="1"/>
    </xf>
    <xf numFmtId="0" fontId="1" fillId="4" borderId="0" xfId="0" applyFont="1" applyFill="1" applyAlignment="1">
      <alignment horizontal="center" vertical="center"/>
    </xf>
    <xf numFmtId="0" fontId="1" fillId="4" borderId="10" xfId="0" applyFont="1" applyFill="1" applyBorder="1" applyAlignment="1">
      <alignment horizontal="left" vertical="top" indent="4"/>
    </xf>
    <xf numFmtId="164" fontId="1" fillId="4" borderId="0" xfId="3" applyNumberFormat="1" applyFont="1" applyFill="1" applyBorder="1" applyAlignment="1">
      <alignment horizontal="center" vertical="top"/>
    </xf>
    <xf numFmtId="0" fontId="1" fillId="4" borderId="10" xfId="0" applyFont="1" applyFill="1" applyBorder="1" applyAlignment="1">
      <alignment vertical="top"/>
    </xf>
    <xf numFmtId="164" fontId="1" fillId="4" borderId="0" xfId="3" applyNumberFormat="1" applyFont="1" applyFill="1" applyBorder="1" applyAlignment="1">
      <alignment horizontal="center" vertical="center"/>
    </xf>
    <xf numFmtId="1" fontId="1" fillId="4" borderId="0" xfId="3" applyNumberFormat="1" applyFont="1" applyFill="1" applyBorder="1" applyAlignment="1">
      <alignment horizontal="center" vertical="center"/>
    </xf>
    <xf numFmtId="2" fontId="1" fillId="4" borderId="0" xfId="3" applyNumberFormat="1" applyFont="1" applyFill="1" applyBorder="1" applyAlignment="1">
      <alignment horizontal="center" vertical="center"/>
    </xf>
    <xf numFmtId="0" fontId="7" fillId="0" borderId="1" xfId="0" applyFont="1" applyBorder="1" applyAlignment="1">
      <alignment horizontal="center" vertical="center"/>
    </xf>
    <xf numFmtId="0" fontId="7" fillId="0" borderId="3" xfId="0" applyFont="1" applyBorder="1" applyAlignment="1">
      <alignment horizontal="center" vertical="center"/>
    </xf>
    <xf numFmtId="0" fontId="7" fillId="0" borderId="10" xfId="0" applyFont="1" applyBorder="1" applyAlignment="1">
      <alignment horizontal="center" vertical="center"/>
    </xf>
    <xf numFmtId="0" fontId="7" fillId="0" borderId="9"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9" fillId="5" borderId="14" xfId="0" applyFont="1" applyFill="1" applyBorder="1" applyAlignment="1">
      <alignment horizontal="center" vertical="center" wrapText="1"/>
    </xf>
    <xf numFmtId="0" fontId="9" fillId="5" borderId="15" xfId="0" applyFont="1" applyFill="1" applyBorder="1" applyAlignment="1">
      <alignment horizontal="center" vertical="center" wrapText="1"/>
    </xf>
    <xf numFmtId="0" fontId="9" fillId="5" borderId="16" xfId="0" applyFont="1" applyFill="1" applyBorder="1" applyAlignment="1">
      <alignment horizontal="center" vertical="center" wrapText="1"/>
    </xf>
    <xf numFmtId="0" fontId="3" fillId="3" borderId="7" xfId="0" applyFont="1" applyFill="1" applyBorder="1" applyAlignment="1">
      <alignment horizontal="left" vertical="center"/>
    </xf>
    <xf numFmtId="0" fontId="3" fillId="3" borderId="8" xfId="0" applyFont="1" applyFill="1" applyBorder="1" applyAlignment="1">
      <alignment horizontal="left" vertical="center"/>
    </xf>
    <xf numFmtId="0" fontId="17" fillId="2" borderId="1" xfId="0" applyFont="1" applyFill="1" applyBorder="1" applyAlignment="1">
      <alignment horizontal="center" vertical="center"/>
    </xf>
    <xf numFmtId="0" fontId="17" fillId="2" borderId="2" xfId="0" applyFont="1" applyFill="1" applyBorder="1" applyAlignment="1">
      <alignment horizontal="center" vertical="center"/>
    </xf>
    <xf numFmtId="0" fontId="17" fillId="2" borderId="4" xfId="0" applyFont="1" applyFill="1" applyBorder="1" applyAlignment="1">
      <alignment horizontal="center" vertical="center"/>
    </xf>
    <xf numFmtId="0" fontId="17" fillId="2" borderId="5"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6" fillId="4" borderId="10" xfId="0" quotePrefix="1" applyFont="1" applyFill="1" applyBorder="1" applyAlignment="1">
      <alignment horizontal="left" vertical="center" wrapText="1" indent="4"/>
    </xf>
    <xf numFmtId="0" fontId="6" fillId="4" borderId="9" xfId="0" quotePrefix="1" applyFont="1" applyFill="1" applyBorder="1" applyAlignment="1">
      <alignment horizontal="left" vertical="center" wrapText="1" indent="4"/>
    </xf>
    <xf numFmtId="0" fontId="1" fillId="4" borderId="11" xfId="0" applyFont="1" applyFill="1" applyBorder="1" applyAlignment="1">
      <alignment horizontal="center" vertical="top"/>
    </xf>
    <xf numFmtId="0" fontId="4" fillId="4" borderId="20" xfId="0" applyFont="1" applyFill="1" applyBorder="1" applyAlignment="1">
      <alignment horizontal="center" vertical="top"/>
    </xf>
    <xf numFmtId="0" fontId="4" fillId="4" borderId="21" xfId="0" applyFont="1" applyFill="1" applyBorder="1" applyAlignment="1">
      <alignment horizontal="center" vertical="top"/>
    </xf>
    <xf numFmtId="0" fontId="4" fillId="4" borderId="22" xfId="0" applyFont="1" applyFill="1" applyBorder="1" applyAlignment="1">
      <alignment horizontal="center" vertical="top"/>
    </xf>
    <xf numFmtId="0" fontId="6" fillId="4" borderId="0" xfId="0" applyFont="1" applyFill="1" applyBorder="1" applyAlignment="1">
      <alignment horizontal="right" vertical="center"/>
    </xf>
    <xf numFmtId="0" fontId="6" fillId="4" borderId="0" xfId="0" applyFont="1" applyFill="1" applyBorder="1" applyAlignment="1">
      <alignment horizontal="left" vertical="center"/>
    </xf>
    <xf numFmtId="0" fontId="13" fillId="4" borderId="0" xfId="0" applyFont="1" applyFill="1" applyBorder="1" applyAlignment="1">
      <alignment horizontal="center" vertical="center"/>
    </xf>
    <xf numFmtId="0" fontId="11" fillId="4" borderId="0" xfId="0" applyFont="1" applyFill="1" applyBorder="1" applyAlignment="1">
      <alignment horizontal="center" vertical="center"/>
    </xf>
    <xf numFmtId="0" fontId="12" fillId="4" borderId="0" xfId="0" applyFont="1" applyFill="1" applyBorder="1" applyAlignment="1">
      <alignment horizontal="center" vertical="center"/>
    </xf>
    <xf numFmtId="0" fontId="1" fillId="4" borderId="0" xfId="0" applyFont="1" applyFill="1" applyBorder="1" applyAlignment="1">
      <alignment vertical="top"/>
    </xf>
    <xf numFmtId="0" fontId="1" fillId="4" borderId="0" xfId="0" applyFont="1" applyFill="1" applyBorder="1"/>
    <xf numFmtId="0" fontId="5" fillId="4" borderId="0" xfId="0" applyFont="1" applyFill="1" applyBorder="1" applyAlignment="1">
      <alignment horizontal="center" vertical="center"/>
    </xf>
    <xf numFmtId="0" fontId="5" fillId="4" borderId="0" xfId="0" applyFont="1" applyFill="1" applyBorder="1" applyAlignment="1">
      <alignment horizontal="center" vertical="center"/>
    </xf>
    <xf numFmtId="0" fontId="6" fillId="4" borderId="0" xfId="0" applyFont="1" applyFill="1" applyBorder="1" applyAlignment="1">
      <alignment horizontal="center" vertical="center"/>
    </xf>
    <xf numFmtId="168" fontId="5" fillId="4" borderId="0" xfId="0" applyNumberFormat="1" applyFont="1" applyFill="1" applyBorder="1" applyAlignment="1">
      <alignment horizontal="center" vertical="center"/>
    </xf>
    <xf numFmtId="169" fontId="5" fillId="4" borderId="0" xfId="0" applyNumberFormat="1" applyFont="1" applyFill="1" applyBorder="1" applyAlignment="1">
      <alignment horizontal="center" vertical="center"/>
    </xf>
    <xf numFmtId="1" fontId="6" fillId="4" borderId="0" xfId="0" applyNumberFormat="1" applyFont="1" applyFill="1" applyBorder="1" applyAlignment="1">
      <alignment horizontal="center" vertical="center"/>
    </xf>
    <xf numFmtId="164" fontId="6" fillId="4" borderId="0" xfId="0" applyNumberFormat="1" applyFont="1" applyFill="1" applyBorder="1" applyAlignment="1">
      <alignment horizontal="center" vertical="center"/>
    </xf>
    <xf numFmtId="11" fontId="6" fillId="4" borderId="0" xfId="0" applyNumberFormat="1" applyFont="1" applyFill="1" applyBorder="1" applyAlignment="1">
      <alignment horizontal="center" vertical="center"/>
    </xf>
    <xf numFmtId="0" fontId="6" fillId="4" borderId="0" xfId="0" quotePrefix="1" applyFont="1" applyFill="1" applyBorder="1" applyAlignment="1">
      <alignment horizontal="left" vertical="center" wrapText="1" indent="4"/>
    </xf>
    <xf numFmtId="2" fontId="6" fillId="4" borderId="0" xfId="0" applyNumberFormat="1" applyFont="1" applyFill="1" applyBorder="1" applyAlignment="1">
      <alignment horizontal="center" vertical="center"/>
    </xf>
    <xf numFmtId="0" fontId="19" fillId="4" borderId="0" xfId="0" applyFont="1" applyFill="1" applyBorder="1" applyAlignment="1">
      <alignment horizontal="right" vertical="center"/>
    </xf>
    <xf numFmtId="0" fontId="1" fillId="4" borderId="0" xfId="0" applyFont="1" applyFill="1" applyBorder="1" applyAlignment="1">
      <alignment horizontal="left" vertical="top" indent="1"/>
    </xf>
    <xf numFmtId="2" fontId="5" fillId="4" borderId="0" xfId="0" applyNumberFormat="1" applyFont="1" applyFill="1" applyBorder="1" applyAlignment="1">
      <alignment horizontal="left" vertical="center"/>
    </xf>
    <xf numFmtId="2" fontId="5" fillId="4" borderId="0" xfId="0" applyNumberFormat="1" applyFont="1" applyFill="1" applyBorder="1" applyAlignment="1">
      <alignment horizontal="center" vertical="center"/>
    </xf>
    <xf numFmtId="0" fontId="25" fillId="4" borderId="0" xfId="0" applyFont="1" applyFill="1" applyBorder="1"/>
    <xf numFmtId="166" fontId="6" fillId="4" borderId="0" xfId="0" applyNumberFormat="1" applyFont="1" applyFill="1" applyBorder="1" applyAlignment="1">
      <alignment horizontal="left" vertical="center"/>
    </xf>
    <xf numFmtId="0" fontId="27" fillId="4" borderId="0" xfId="0" applyFont="1" applyFill="1" applyBorder="1" applyAlignment="1">
      <alignment horizontal="left" vertical="top" indent="1"/>
    </xf>
    <xf numFmtId="0" fontId="1" fillId="4" borderId="0" xfId="0" applyFont="1" applyFill="1" applyBorder="1" applyAlignment="1">
      <alignment horizontal="left" vertical="top" wrapText="1"/>
    </xf>
    <xf numFmtId="0" fontId="1" fillId="4" borderId="0" xfId="0" applyFont="1" applyFill="1" applyBorder="1" applyAlignment="1">
      <alignment vertical="top" wrapText="1"/>
    </xf>
    <xf numFmtId="0" fontId="1" fillId="4" borderId="0" xfId="0" applyFont="1" applyFill="1" applyBorder="1" applyAlignment="1">
      <alignment horizontal="right" vertical="top" indent="1"/>
    </xf>
    <xf numFmtId="1" fontId="5" fillId="4" borderId="0" xfId="0" applyNumberFormat="1" applyFont="1" applyFill="1" applyBorder="1" applyAlignment="1">
      <alignment horizontal="left" vertical="center"/>
    </xf>
    <xf numFmtId="0" fontId="30" fillId="4" borderId="0" xfId="0" applyFont="1" applyFill="1" applyBorder="1" applyAlignment="1">
      <alignment vertical="top"/>
    </xf>
    <xf numFmtId="0" fontId="1" fillId="4" borderId="0" xfId="0" applyFont="1" applyFill="1" applyBorder="1" applyAlignment="1">
      <alignment horizontal="left" vertical="top" indent="2"/>
    </xf>
    <xf numFmtId="0" fontId="1" fillId="4" borderId="0" xfId="0" applyFont="1" applyFill="1" applyBorder="1" applyAlignment="1">
      <alignment horizontal="right" vertical="top"/>
    </xf>
    <xf numFmtId="2" fontId="1" fillId="4" borderId="0" xfId="0" applyNumberFormat="1" applyFont="1" applyFill="1" applyBorder="1" applyAlignment="1">
      <alignment horizontal="left" vertical="top" indent="1"/>
    </xf>
    <xf numFmtId="0" fontId="1" fillId="4" borderId="0" xfId="0" applyFont="1" applyFill="1" applyBorder="1" applyAlignment="1">
      <alignment horizontal="right"/>
    </xf>
    <xf numFmtId="0" fontId="27" fillId="4" borderId="0" xfId="0" applyFont="1" applyFill="1" applyBorder="1" applyAlignment="1">
      <alignment horizontal="left" vertical="top" indent="2"/>
    </xf>
    <xf numFmtId="0" fontId="4" fillId="4" borderId="0" xfId="0" applyFont="1" applyFill="1" applyBorder="1" applyAlignment="1">
      <alignment horizontal="left" vertical="top" indent="1"/>
    </xf>
    <xf numFmtId="0" fontId="31" fillId="4" borderId="0" xfId="0" applyFont="1" applyFill="1" applyBorder="1" applyAlignment="1">
      <alignment horizontal="right"/>
    </xf>
    <xf numFmtId="9" fontId="32" fillId="8" borderId="27" xfId="4" applyNumberFormat="1" applyBorder="1" applyAlignment="1">
      <alignment horizontal="center" vertical="top"/>
    </xf>
    <xf numFmtId="0" fontId="1" fillId="4" borderId="0" xfId="0" applyFont="1" applyFill="1" applyBorder="1" applyAlignment="1">
      <alignment horizontal="center" vertical="center"/>
    </xf>
    <xf numFmtId="0" fontId="1" fillId="4" borderId="0" xfId="0" applyFont="1" applyFill="1" applyBorder="1" applyAlignment="1">
      <alignment horizontal="left"/>
    </xf>
    <xf numFmtId="0" fontId="27" fillId="4" borderId="0" xfId="0" applyFont="1" applyFill="1" applyBorder="1"/>
    <xf numFmtId="9" fontId="32" fillId="8" borderId="27" xfId="4" applyNumberFormat="1" applyBorder="1" applyAlignment="1">
      <alignment horizontal="center" vertical="center"/>
    </xf>
    <xf numFmtId="0" fontId="1" fillId="4" borderId="0" xfId="0" applyFont="1" applyFill="1" applyBorder="1" applyAlignment="1">
      <alignment horizontal="right" vertical="center"/>
    </xf>
    <xf numFmtId="0" fontId="1" fillId="4" borderId="0" xfId="0" applyFont="1" applyFill="1" applyAlignment="1">
      <alignment horizontal="center"/>
    </xf>
    <xf numFmtId="0" fontId="1" fillId="4" borderId="0" xfId="0" applyFont="1" applyFill="1" applyBorder="1" applyAlignment="1">
      <alignment horizontal="center" vertical="top"/>
    </xf>
    <xf numFmtId="0" fontId="1" fillId="4" borderId="9" xfId="0" applyFont="1" applyFill="1" applyBorder="1" applyAlignment="1">
      <alignment horizontal="center" vertical="top"/>
    </xf>
    <xf numFmtId="10" fontId="1" fillId="4" borderId="0" xfId="3" applyNumberFormat="1" applyFont="1" applyFill="1" applyBorder="1" applyAlignment="1">
      <alignment horizontal="center" vertical="center"/>
    </xf>
    <xf numFmtId="11" fontId="1" fillId="4" borderId="0" xfId="3" applyNumberFormat="1" applyFont="1" applyFill="1" applyBorder="1" applyAlignment="1">
      <alignment horizontal="center" vertical="center"/>
    </xf>
    <xf numFmtId="167" fontId="1" fillId="4" borderId="0" xfId="0" applyNumberFormat="1" applyFont="1" applyFill="1" applyBorder="1" applyAlignment="1">
      <alignment horizontal="left" vertical="top" indent="1"/>
    </xf>
    <xf numFmtId="0" fontId="31" fillId="4" borderId="0" xfId="0" applyFont="1" applyFill="1" applyBorder="1" applyAlignment="1">
      <alignment horizontal="right" vertical="top"/>
    </xf>
    <xf numFmtId="2" fontId="5" fillId="4" borderId="0" xfId="0" applyNumberFormat="1" applyFont="1" applyFill="1" applyBorder="1" applyAlignment="1">
      <alignment horizontal="center" vertical="top"/>
    </xf>
    <xf numFmtId="0" fontId="0" fillId="0" borderId="11" xfId="0" applyFill="1" applyBorder="1" applyAlignment="1">
      <alignment horizontal="center" vertical="center"/>
    </xf>
    <xf numFmtId="0" fontId="33" fillId="9" borderId="28" xfId="0" applyFont="1" applyFill="1" applyBorder="1" applyAlignment="1">
      <alignment horizontal="center" vertical="center"/>
    </xf>
    <xf numFmtId="0" fontId="33" fillId="9" borderId="29" xfId="0" applyFont="1" applyFill="1" applyBorder="1" applyAlignment="1">
      <alignment horizontal="center"/>
    </xf>
    <xf numFmtId="0" fontId="33" fillId="9" borderId="0" xfId="0" applyFont="1" applyFill="1" applyAlignment="1">
      <alignment horizontal="center"/>
    </xf>
    <xf numFmtId="0" fontId="1" fillId="10" borderId="0" xfId="0" applyFont="1" applyFill="1"/>
    <xf numFmtId="0" fontId="33" fillId="9" borderId="30" xfId="0" applyFont="1" applyFill="1" applyBorder="1" applyAlignment="1">
      <alignment horizontal="center" wrapText="1"/>
    </xf>
    <xf numFmtId="0" fontId="33" fillId="9" borderId="31" xfId="0" applyFont="1" applyFill="1" applyBorder="1" applyAlignment="1">
      <alignment horizontal="center" wrapText="1"/>
    </xf>
    <xf numFmtId="0" fontId="33" fillId="9" borderId="0" xfId="0" applyFont="1" applyFill="1" applyAlignment="1">
      <alignment horizontal="center" wrapText="1"/>
    </xf>
    <xf numFmtId="0" fontId="33" fillId="9" borderId="0" xfId="0" applyFont="1" applyFill="1" applyAlignment="1">
      <alignment horizontal="center" vertical="center" wrapText="1"/>
    </xf>
    <xf numFmtId="0" fontId="33" fillId="9" borderId="0" xfId="0" applyFont="1" applyFill="1" applyAlignment="1">
      <alignment horizontal="center" vertical="center" wrapText="1"/>
    </xf>
    <xf numFmtId="0" fontId="33" fillId="9" borderId="32" xfId="0" applyFont="1" applyFill="1" applyBorder="1" applyAlignment="1">
      <alignment horizontal="center"/>
    </xf>
    <xf numFmtId="0" fontId="33" fillId="9" borderId="33" xfId="0" applyFont="1" applyFill="1" applyBorder="1" applyAlignment="1">
      <alignment horizontal="center"/>
    </xf>
    <xf numFmtId="0" fontId="33" fillId="9" borderId="34" xfId="0" applyFont="1" applyFill="1" applyBorder="1" applyAlignment="1">
      <alignment horizontal="center"/>
    </xf>
    <xf numFmtId="0" fontId="35" fillId="9" borderId="11" xfId="1" applyFont="1" applyFill="1" applyBorder="1" applyAlignment="1">
      <alignment horizontal="center" vertical="center" wrapText="1"/>
    </xf>
    <xf numFmtId="0" fontId="35" fillId="9" borderId="11" xfId="1" applyFont="1" applyFill="1" applyBorder="1" applyAlignment="1">
      <alignment horizontal="center" vertical="center"/>
    </xf>
    <xf numFmtId="0" fontId="35" fillId="9" borderId="12" xfId="1" applyFont="1" applyFill="1" applyBorder="1" applyAlignment="1">
      <alignment horizontal="center" vertical="center" wrapText="1"/>
    </xf>
    <xf numFmtId="0" fontId="35" fillId="9" borderId="23" xfId="1" applyFont="1" applyFill="1" applyBorder="1" applyAlignment="1">
      <alignment horizontal="center" vertical="center" wrapText="1"/>
    </xf>
    <xf numFmtId="0" fontId="33" fillId="9" borderId="35" xfId="0" applyFont="1" applyFill="1" applyBorder="1" applyAlignment="1">
      <alignment horizontal="center" vertical="center"/>
    </xf>
    <xf numFmtId="0" fontId="33" fillId="9" borderId="36" xfId="0" applyFont="1" applyFill="1" applyBorder="1" applyAlignment="1">
      <alignment horizontal="center" wrapText="1"/>
    </xf>
    <xf numFmtId="0" fontId="33" fillId="9" borderId="0" xfId="0" applyFont="1" applyFill="1" applyAlignment="1">
      <alignment horizontal="center" wrapText="1"/>
    </xf>
    <xf numFmtId="0" fontId="33" fillId="9" borderId="23" xfId="0" applyFont="1" applyFill="1" applyBorder="1" applyAlignment="1">
      <alignment horizontal="center" vertical="center" wrapText="1"/>
    </xf>
    <xf numFmtId="0" fontId="39" fillId="11" borderId="11" xfId="5" applyFont="1" applyFill="1" applyBorder="1" applyAlignment="1">
      <alignment horizontal="center" vertical="center"/>
    </xf>
    <xf numFmtId="0" fontId="40" fillId="11" borderId="11" xfId="0" applyFont="1" applyFill="1" applyBorder="1" applyAlignment="1">
      <alignment horizontal="center" vertical="center"/>
    </xf>
    <xf numFmtId="0" fontId="40" fillId="11" borderId="11" xfId="0" applyFont="1" applyFill="1" applyBorder="1" applyAlignment="1">
      <alignment vertical="center"/>
    </xf>
    <xf numFmtId="0" fontId="39" fillId="11" borderId="20" xfId="6" applyFont="1" applyFill="1" applyBorder="1" applyAlignment="1">
      <alignment horizontal="center" vertical="center"/>
    </xf>
    <xf numFmtId="0" fontId="1" fillId="4" borderId="29" xfId="0" applyFont="1" applyFill="1" applyBorder="1" applyAlignment="1">
      <alignment horizontal="right" vertical="center"/>
    </xf>
    <xf numFmtId="0" fontId="1" fillId="4" borderId="29" xfId="0" applyFont="1" applyFill="1" applyBorder="1" applyAlignment="1">
      <alignment horizontal="center"/>
    </xf>
    <xf numFmtId="0" fontId="4" fillId="4" borderId="11" xfId="0" applyFont="1" applyFill="1" applyBorder="1" applyAlignment="1">
      <alignment horizontal="center" vertical="center"/>
    </xf>
    <xf numFmtId="0" fontId="45" fillId="4" borderId="11" xfId="0" applyFont="1" applyFill="1" applyBorder="1" applyAlignment="1">
      <alignment horizontal="center" vertical="center"/>
    </xf>
    <xf numFmtId="0" fontId="45" fillId="4" borderId="0" xfId="0" applyFont="1" applyFill="1" applyAlignment="1">
      <alignment horizontal="center" vertical="center"/>
    </xf>
    <xf numFmtId="0" fontId="1" fillId="4" borderId="11" xfId="0" applyFont="1" applyFill="1" applyBorder="1" applyAlignment="1">
      <alignment horizontal="center" vertical="center"/>
    </xf>
    <xf numFmtId="0" fontId="35" fillId="9" borderId="11" xfId="1" applyFont="1" applyFill="1" applyBorder="1" applyAlignment="1">
      <alignment horizontal="center" vertical="center" wrapText="1"/>
    </xf>
    <xf numFmtId="0" fontId="35" fillId="9" borderId="14" xfId="1" applyFont="1" applyFill="1" applyBorder="1" applyAlignment="1">
      <alignment horizontal="center" vertical="center"/>
    </xf>
    <xf numFmtId="0" fontId="35" fillId="9" borderId="11" xfId="1" applyFont="1" applyFill="1" applyBorder="1" applyAlignment="1">
      <alignment vertical="center"/>
    </xf>
    <xf numFmtId="0" fontId="39" fillId="11" borderId="11" xfId="5" applyFont="1" applyFill="1" applyBorder="1" applyAlignment="1">
      <alignment horizontal="center" vertical="center"/>
    </xf>
    <xf numFmtId="0" fontId="39" fillId="11" borderId="20" xfId="5" applyFont="1" applyFill="1" applyBorder="1" applyAlignment="1">
      <alignment horizontal="center" vertical="center"/>
    </xf>
    <xf numFmtId="0" fontId="4" fillId="4" borderId="11" xfId="0" applyFont="1" applyFill="1" applyBorder="1" applyAlignment="1">
      <alignment horizontal="center"/>
    </xf>
    <xf numFmtId="1" fontId="1" fillId="4" borderId="11" xfId="0" applyNumberFormat="1" applyFont="1" applyFill="1" applyBorder="1" applyAlignment="1">
      <alignment horizontal="center" vertical="center"/>
    </xf>
    <xf numFmtId="0" fontId="35" fillId="9" borderId="16" xfId="1" applyFont="1" applyFill="1" applyBorder="1" applyAlignment="1">
      <alignment horizontal="center" vertical="center"/>
    </xf>
    <xf numFmtId="0" fontId="46" fillId="4" borderId="11" xfId="5" applyFont="1" applyFill="1" applyBorder="1" applyAlignment="1">
      <alignment horizontal="left" vertical="center"/>
    </xf>
    <xf numFmtId="0" fontId="46" fillId="4" borderId="11" xfId="5" applyFont="1" applyFill="1" applyBorder="1" applyAlignment="1">
      <alignment horizontal="center" vertical="center"/>
    </xf>
    <xf numFmtId="0" fontId="46" fillId="4" borderId="20" xfId="5" applyFont="1" applyFill="1" applyBorder="1" applyAlignment="1">
      <alignment horizontal="left" vertical="center"/>
    </xf>
    <xf numFmtId="0" fontId="21" fillId="0" borderId="37" xfId="1" applyFont="1" applyBorder="1" applyAlignment="1" applyProtection="1">
      <alignment horizontal="center" vertical="center"/>
      <protection hidden="1"/>
    </xf>
    <xf numFmtId="0" fontId="0" fillId="0" borderId="16" xfId="0" applyBorder="1" applyAlignment="1">
      <alignment horizontal="center" vertical="center"/>
    </xf>
    <xf numFmtId="165" fontId="22" fillId="0" borderId="16" xfId="2" applyNumberFormat="1" applyFont="1" applyBorder="1" applyAlignment="1" applyProtection="1">
      <alignment horizontal="center" vertical="center"/>
      <protection hidden="1"/>
    </xf>
    <xf numFmtId="164" fontId="22" fillId="0" borderId="16" xfId="1" applyNumberFormat="1" applyFont="1" applyBorder="1" applyAlignment="1" applyProtection="1">
      <alignment horizontal="center" vertical="center"/>
      <protection hidden="1"/>
    </xf>
    <xf numFmtId="2" fontId="22" fillId="0" borderId="16" xfId="1" applyNumberFormat="1" applyFont="1" applyBorder="1" applyAlignment="1" applyProtection="1">
      <alignment horizontal="center" vertical="center"/>
      <protection hidden="1"/>
    </xf>
    <xf numFmtId="2" fontId="22" fillId="0" borderId="12" xfId="1" applyNumberFormat="1" applyFont="1" applyBorder="1" applyAlignment="1" applyProtection="1">
      <alignment horizontal="center" vertical="center"/>
      <protection hidden="1"/>
    </xf>
    <xf numFmtId="0" fontId="1" fillId="0" borderId="11" xfId="0" applyFont="1" applyBorder="1"/>
    <xf numFmtId="2" fontId="22" fillId="0" borderId="20" xfId="1" applyNumberFormat="1" applyFont="1" applyBorder="1" applyAlignment="1" applyProtection="1">
      <alignment horizontal="center" vertical="center"/>
      <protection hidden="1"/>
    </xf>
    <xf numFmtId="0" fontId="46" fillId="4" borderId="20" xfId="6" applyFont="1" applyFill="1" applyBorder="1" applyAlignment="1">
      <alignment horizontal="left" vertical="center"/>
    </xf>
    <xf numFmtId="2" fontId="22" fillId="0" borderId="38" xfId="1" applyNumberFormat="1" applyFont="1" applyBorder="1" applyAlignment="1" applyProtection="1">
      <alignment horizontal="center" vertical="center"/>
      <protection hidden="1"/>
    </xf>
    <xf numFmtId="0" fontId="46" fillId="4" borderId="20" xfId="7" applyFont="1" applyFill="1" applyBorder="1" applyAlignment="1">
      <alignment horizontal="left" vertical="center"/>
    </xf>
    <xf numFmtId="1" fontId="22" fillId="4" borderId="11" xfId="6" applyNumberFormat="1" applyFont="1" applyFill="1" applyBorder="1" applyAlignment="1">
      <alignment vertical="center"/>
    </xf>
    <xf numFmtId="1" fontId="22" fillId="4" borderId="11" xfId="6" applyNumberFormat="1" applyFont="1" applyFill="1" applyBorder="1" applyAlignment="1">
      <alignment horizontal="center" vertical="center"/>
    </xf>
    <xf numFmtId="0" fontId="22" fillId="4" borderId="11" xfId="6" applyFont="1" applyFill="1" applyBorder="1" applyAlignment="1">
      <alignment vertical="center"/>
    </xf>
    <xf numFmtId="0" fontId="22" fillId="4" borderId="20" xfId="6" applyFont="1" applyFill="1" applyBorder="1" applyAlignment="1">
      <alignment vertical="center"/>
    </xf>
    <xf numFmtId="0" fontId="22" fillId="4" borderId="11" xfId="6" applyFont="1" applyFill="1" applyBorder="1" applyAlignment="1">
      <alignment horizontal="center" vertical="center"/>
    </xf>
    <xf numFmtId="164" fontId="1" fillId="4" borderId="0" xfId="0" applyNumberFormat="1" applyFont="1" applyFill="1" applyBorder="1" applyAlignment="1">
      <alignment horizontal="center"/>
    </xf>
  </cellXfs>
  <cellStyles count="8">
    <cellStyle name="Calculation" xfId="4" builtinId="22"/>
    <cellStyle name="Comma 2" xfId="2" xr:uid="{CF0F5009-4E0A-4CEC-BBF6-C4DA59D4A7AE}"/>
    <cellStyle name="Normal" xfId="0" builtinId="0"/>
    <cellStyle name="Normal 2" xfId="6" xr:uid="{873BDC09-924D-47B6-B49B-06A04E72C28A}"/>
    <cellStyle name="Normal 2 2" xfId="7" xr:uid="{1201B0B1-E15B-403C-9D06-17EE5134F86E}"/>
    <cellStyle name="Normal 5" xfId="1" xr:uid="{F444AFCE-EAB2-4F53-B80E-FD0A35191DC3}"/>
    <cellStyle name="Normal_Sheet3" xfId="5" xr:uid="{42385552-D1BA-45DD-8860-9EBFA749CDE9}"/>
    <cellStyle name="Percent" xfId="3" builtinId="5"/>
  </cellStyles>
  <dxfs count="1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120</xdr:col>
      <xdr:colOff>65942</xdr:colOff>
      <xdr:row>5</xdr:row>
      <xdr:rowOff>146539</xdr:rowOff>
    </xdr:from>
    <xdr:to>
      <xdr:col>131</xdr:col>
      <xdr:colOff>413970</xdr:colOff>
      <xdr:row>15</xdr:row>
      <xdr:rowOff>134815</xdr:rowOff>
    </xdr:to>
    <xdr:pic>
      <xdr:nvPicPr>
        <xdr:cNvPr id="2" name="Picture 1">
          <a:extLst>
            <a:ext uri="{FF2B5EF4-FFF2-40B4-BE49-F238E27FC236}">
              <a16:creationId xmlns:a16="http://schemas.microsoft.com/office/drawing/2014/main" id="{6ACDE319-9294-432F-A22D-D1FF0229B3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314769" y="1150327"/>
          <a:ext cx="5667375" cy="1981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120</xdr:col>
      <xdr:colOff>124558</xdr:colOff>
      <xdr:row>16</xdr:row>
      <xdr:rowOff>131886</xdr:rowOff>
    </xdr:from>
    <xdr:to>
      <xdr:col>130</xdr:col>
      <xdr:colOff>194163</xdr:colOff>
      <xdr:row>25</xdr:row>
      <xdr:rowOff>55686</xdr:rowOff>
    </xdr:to>
    <xdr:pic>
      <xdr:nvPicPr>
        <xdr:cNvPr id="3" name="Picture 2">
          <a:extLst>
            <a:ext uri="{FF2B5EF4-FFF2-40B4-BE49-F238E27FC236}">
              <a16:creationId xmlns:a16="http://schemas.microsoft.com/office/drawing/2014/main" id="{C658A2FC-4712-4BA6-855C-F887D522680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373385" y="3326424"/>
          <a:ext cx="4905375" cy="1447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532086</xdr:colOff>
      <xdr:row>12</xdr:row>
      <xdr:rowOff>23184</xdr:rowOff>
    </xdr:from>
    <xdr:to>
      <xdr:col>12</xdr:col>
      <xdr:colOff>328563</xdr:colOff>
      <xdr:row>16</xdr:row>
      <xdr:rowOff>13138</xdr:rowOff>
    </xdr:to>
    <xdr:pic>
      <xdr:nvPicPr>
        <xdr:cNvPr id="2" name="Picture 2">
          <a:extLst>
            <a:ext uri="{FF2B5EF4-FFF2-40B4-BE49-F238E27FC236}">
              <a16:creationId xmlns:a16="http://schemas.microsoft.com/office/drawing/2014/main" id="{CAA9A5A4-C5DE-4503-BB2E-C3353C066DE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61086" y="2020150"/>
          <a:ext cx="2575149" cy="64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466397</xdr:colOff>
      <xdr:row>62</xdr:row>
      <xdr:rowOff>137949</xdr:rowOff>
    </xdr:from>
    <xdr:to>
      <xdr:col>9</xdr:col>
      <xdr:colOff>282466</xdr:colOff>
      <xdr:row>67</xdr:row>
      <xdr:rowOff>164223</xdr:rowOff>
    </xdr:to>
    <xdr:grpSp>
      <xdr:nvGrpSpPr>
        <xdr:cNvPr id="5" name="Group 4">
          <a:extLst>
            <a:ext uri="{FF2B5EF4-FFF2-40B4-BE49-F238E27FC236}">
              <a16:creationId xmlns:a16="http://schemas.microsoft.com/office/drawing/2014/main" id="{C16E7FBF-AD0F-F870-2B74-298B82CB0EFB}"/>
            </a:ext>
          </a:extLst>
        </xdr:cNvPr>
        <xdr:cNvGrpSpPr/>
      </xdr:nvGrpSpPr>
      <xdr:grpSpPr>
        <a:xfrm>
          <a:off x="1924707" y="10451225"/>
          <a:ext cx="2916621" cy="847395"/>
          <a:chOff x="2305707" y="8375432"/>
          <a:chExt cx="3041431" cy="1019990"/>
        </a:xfrm>
      </xdr:grpSpPr>
      <xdr:pic>
        <xdr:nvPicPr>
          <xdr:cNvPr id="3" name="Picture 6">
            <a:extLst>
              <a:ext uri="{FF2B5EF4-FFF2-40B4-BE49-F238E27FC236}">
                <a16:creationId xmlns:a16="http://schemas.microsoft.com/office/drawing/2014/main" id="{1646CA4C-B57A-4E4A-9479-40C3CAA612E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05707" y="8375432"/>
            <a:ext cx="3041431" cy="7604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 name="TextBox 3">
            <a:extLst>
              <a:ext uri="{FF2B5EF4-FFF2-40B4-BE49-F238E27FC236}">
                <a16:creationId xmlns:a16="http://schemas.microsoft.com/office/drawing/2014/main" id="{72877EFE-CB61-1C64-C753-DA59BC6F9DF0}"/>
              </a:ext>
            </a:extLst>
          </xdr:cNvPr>
          <xdr:cNvSpPr txBox="1"/>
        </xdr:nvSpPr>
        <xdr:spPr>
          <a:xfrm>
            <a:off x="3284483" y="9130862"/>
            <a:ext cx="10701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50"/>
              <a:t>Sơ</a:t>
            </a:r>
            <a:r>
              <a:rPr lang="en-US" sz="1050" baseline="0"/>
              <a:t> đồ tính toán</a:t>
            </a:r>
            <a:endParaRPr lang="en-US" sz="1050"/>
          </a:p>
        </xdr:txBody>
      </xdr:sp>
    </xdr:grpSp>
    <xdr:clientData/>
  </xdr:twoCellAnchor>
  <xdr:twoCellAnchor>
    <xdr:from>
      <xdr:col>3</xdr:col>
      <xdr:colOff>446689</xdr:colOff>
      <xdr:row>69</xdr:row>
      <xdr:rowOff>39409</xdr:rowOff>
    </xdr:from>
    <xdr:to>
      <xdr:col>9</xdr:col>
      <xdr:colOff>321880</xdr:colOff>
      <xdr:row>74</xdr:row>
      <xdr:rowOff>91961</xdr:rowOff>
    </xdr:to>
    <xdr:grpSp>
      <xdr:nvGrpSpPr>
        <xdr:cNvPr id="8" name="Group 7">
          <a:extLst>
            <a:ext uri="{FF2B5EF4-FFF2-40B4-BE49-F238E27FC236}">
              <a16:creationId xmlns:a16="http://schemas.microsoft.com/office/drawing/2014/main" id="{2B6EEFC7-0CC1-05A0-6301-1B04F03C31FD}"/>
            </a:ext>
          </a:extLst>
        </xdr:cNvPr>
        <xdr:cNvGrpSpPr/>
      </xdr:nvGrpSpPr>
      <xdr:grpSpPr>
        <a:xfrm>
          <a:off x="1904999" y="11502254"/>
          <a:ext cx="2975743" cy="873673"/>
          <a:chOff x="2391103" y="10043948"/>
          <a:chExt cx="2850931" cy="863627"/>
        </a:xfrm>
      </xdr:grpSpPr>
      <xdr:pic>
        <xdr:nvPicPr>
          <xdr:cNvPr id="6" name="Picture 7">
            <a:extLst>
              <a:ext uri="{FF2B5EF4-FFF2-40B4-BE49-F238E27FC236}">
                <a16:creationId xmlns:a16="http://schemas.microsoft.com/office/drawing/2014/main" id="{58A06D4A-B8ED-47F0-999B-0504D25896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91103" y="10043948"/>
            <a:ext cx="2850931" cy="6765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7" name="TextBox 6">
            <a:extLst>
              <a:ext uri="{FF2B5EF4-FFF2-40B4-BE49-F238E27FC236}">
                <a16:creationId xmlns:a16="http://schemas.microsoft.com/office/drawing/2014/main" id="{E99A4B0E-5CBC-40E4-A375-74A26BE3EB41}"/>
              </a:ext>
            </a:extLst>
          </xdr:cNvPr>
          <xdr:cNvSpPr txBox="1"/>
        </xdr:nvSpPr>
        <xdr:spPr>
          <a:xfrm>
            <a:off x="3175902" y="10687782"/>
            <a:ext cx="1220914" cy="219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50"/>
              <a:t>Sơ</a:t>
            </a:r>
            <a:r>
              <a:rPr lang="en-US" sz="1050" baseline="0"/>
              <a:t> đồ chất tải trọng</a:t>
            </a:r>
            <a:endParaRPr lang="en-US" sz="1050"/>
          </a:p>
        </xdr:txBody>
      </xdr:sp>
    </xdr:grpSp>
    <xdr:clientData/>
  </xdr:twoCellAnchor>
  <xdr:twoCellAnchor>
    <xdr:from>
      <xdr:col>4</xdr:col>
      <xdr:colOff>32846</xdr:colOff>
      <xdr:row>81</xdr:row>
      <xdr:rowOff>151087</xdr:rowOff>
    </xdr:from>
    <xdr:to>
      <xdr:col>9</xdr:col>
      <xdr:colOff>492673</xdr:colOff>
      <xdr:row>88</xdr:row>
      <xdr:rowOff>123815</xdr:rowOff>
    </xdr:to>
    <xdr:grpSp>
      <xdr:nvGrpSpPr>
        <xdr:cNvPr id="14" name="Group 13">
          <a:extLst>
            <a:ext uri="{FF2B5EF4-FFF2-40B4-BE49-F238E27FC236}">
              <a16:creationId xmlns:a16="http://schemas.microsoft.com/office/drawing/2014/main" id="{9AC8F0A9-4B8E-936E-2851-39F318EF1F38}"/>
            </a:ext>
          </a:extLst>
        </xdr:cNvPr>
        <xdr:cNvGrpSpPr/>
      </xdr:nvGrpSpPr>
      <xdr:grpSpPr>
        <a:xfrm>
          <a:off x="1977260" y="13584621"/>
          <a:ext cx="3074275" cy="1122297"/>
          <a:chOff x="2463363" y="11449708"/>
          <a:chExt cx="2890344" cy="1122297"/>
        </a:xfrm>
      </xdr:grpSpPr>
      <xdr:pic>
        <xdr:nvPicPr>
          <xdr:cNvPr id="12" name="Picture 9">
            <a:extLst>
              <a:ext uri="{FF2B5EF4-FFF2-40B4-BE49-F238E27FC236}">
                <a16:creationId xmlns:a16="http://schemas.microsoft.com/office/drawing/2014/main" id="{933D8926-F0EB-4EB7-8DB5-1C5BDE7937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463363" y="11449708"/>
            <a:ext cx="2890344" cy="963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3" name="TextBox 12">
            <a:extLst>
              <a:ext uri="{FF2B5EF4-FFF2-40B4-BE49-F238E27FC236}">
                <a16:creationId xmlns:a16="http://schemas.microsoft.com/office/drawing/2014/main" id="{E756BAB7-AB0E-42D9-95E1-1ABD0E59C985}"/>
              </a:ext>
            </a:extLst>
          </xdr:cNvPr>
          <xdr:cNvSpPr txBox="1"/>
        </xdr:nvSpPr>
        <xdr:spPr>
          <a:xfrm>
            <a:off x="3291052" y="12349655"/>
            <a:ext cx="1195596" cy="222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50"/>
              <a:t>Sơ</a:t>
            </a:r>
            <a:r>
              <a:rPr lang="en-US" sz="1050" baseline="0"/>
              <a:t> đồ chất tải trọng</a:t>
            </a:r>
            <a:endParaRPr lang="en-US" sz="105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953DF-BE0F-4C41-9319-1E04D4E091D4}">
  <sheetPr codeName="Sheet2">
    <tabColor rgb="FF0070C0"/>
  </sheetPr>
  <dimension ref="A1:DW29"/>
  <sheetViews>
    <sheetView showGridLines="0" topLeftCell="BA1" zoomScale="130" zoomScaleNormal="130" zoomScaleSheetLayoutView="100" workbookViewId="0">
      <selection activeCell="BK21" sqref="BK21"/>
    </sheetView>
  </sheetViews>
  <sheetFormatPr defaultColWidth="7.28515625" defaultRowHeight="12.75"/>
  <cols>
    <col min="1" max="1" width="9.85546875" style="1" customWidth="1"/>
    <col min="2" max="4" width="7.28515625" style="1"/>
    <col min="5" max="9" width="0" style="1" hidden="1" customWidth="1"/>
    <col min="10" max="10" width="3.28515625" style="187" customWidth="1"/>
    <col min="11" max="15" width="7.28515625" style="1"/>
    <col min="16" max="20" width="0" style="1" hidden="1" customWidth="1"/>
    <col min="21" max="21" width="3.28515625" style="187" customWidth="1"/>
    <col min="22" max="26" width="7.28515625" style="1"/>
    <col min="27" max="41" width="0" style="1" hidden="1" customWidth="1"/>
    <col min="42" max="46" width="7.28515625" style="1" hidden="1" customWidth="1"/>
    <col min="47" max="47" width="3.28515625" style="187" customWidth="1"/>
    <col min="48" max="50" width="7.28515625" style="1"/>
    <col min="51" max="51" width="3.28515625" style="187" customWidth="1"/>
    <col min="52" max="54" width="7.28515625" style="1"/>
    <col min="55" max="59" width="0" style="1" hidden="1" customWidth="1"/>
    <col min="60" max="60" width="3.28515625" style="187" customWidth="1"/>
    <col min="61" max="62" width="7.28515625" style="1"/>
    <col min="63" max="63" width="7.85546875" style="1" bestFit="1" customWidth="1"/>
    <col min="64" max="69" width="7.28515625" style="1"/>
    <col min="70" max="79" width="0" style="1" hidden="1" customWidth="1"/>
    <col min="80" max="80" width="3.28515625" style="187" customWidth="1"/>
    <col min="81" max="81" width="9.5703125" style="238" bestFit="1" customWidth="1"/>
    <col min="82" max="83" width="9.5703125" style="240" customWidth="1"/>
    <col min="84" max="85" width="5" style="238" bestFit="1" customWidth="1"/>
    <col min="86" max="86" width="5" style="238" customWidth="1"/>
    <col min="87" max="87" width="5" style="238" bestFit="1" customWidth="1"/>
    <col min="88" max="88" width="7" style="239" bestFit="1" customWidth="1"/>
    <col min="89" max="103" width="0" style="1" hidden="1" customWidth="1"/>
    <col min="104" max="104" width="3.28515625" style="187" customWidth="1"/>
    <col min="105" max="115" width="7.28515625" style="1"/>
    <col min="116" max="116" width="9.28515625" style="1" bestFit="1" customWidth="1"/>
    <col min="117" max="16384" width="7.28515625" style="1"/>
  </cols>
  <sheetData>
    <row r="1" spans="1:127" ht="14.25" customHeight="1">
      <c r="A1" s="184" t="s">
        <v>239</v>
      </c>
      <c r="B1" s="185" t="s">
        <v>240</v>
      </c>
      <c r="C1" s="185" t="s">
        <v>241</v>
      </c>
      <c r="D1" s="185" t="s">
        <v>242</v>
      </c>
      <c r="E1" s="186"/>
      <c r="F1" s="186"/>
      <c r="G1" s="186"/>
      <c r="H1" s="186"/>
      <c r="I1" s="186"/>
      <c r="K1" s="188" t="s">
        <v>243</v>
      </c>
      <c r="L1" s="189"/>
      <c r="M1" s="189"/>
      <c r="N1" s="189"/>
      <c r="O1" s="189"/>
      <c r="P1" s="190"/>
      <c r="Q1" s="190"/>
      <c r="R1" s="190"/>
      <c r="S1" s="190"/>
      <c r="T1" s="190"/>
      <c r="V1" s="191" t="s">
        <v>244</v>
      </c>
      <c r="W1" s="191"/>
      <c r="X1" s="191"/>
      <c r="Y1" s="191"/>
      <c r="Z1" s="191"/>
      <c r="AA1" s="192"/>
      <c r="AB1" s="192"/>
      <c r="AC1" s="192"/>
      <c r="AD1" s="192"/>
      <c r="AE1" s="192"/>
      <c r="AF1" s="192"/>
      <c r="AG1" s="192"/>
      <c r="AH1" s="192"/>
      <c r="AI1" s="192"/>
      <c r="AJ1" s="192"/>
      <c r="AK1" s="192"/>
      <c r="AL1" s="192"/>
      <c r="AM1" s="192"/>
      <c r="AN1" s="192"/>
      <c r="AO1" s="192"/>
      <c r="AP1" s="192"/>
      <c r="AQ1" s="192"/>
      <c r="AR1" s="192"/>
      <c r="AS1" s="192"/>
      <c r="AT1" s="192"/>
      <c r="AV1" s="193" t="s">
        <v>245</v>
      </c>
      <c r="AW1" s="194"/>
      <c r="AX1" s="195"/>
      <c r="AZ1" s="193" t="s">
        <v>246</v>
      </c>
      <c r="BA1" s="194"/>
      <c r="BB1" s="195"/>
      <c r="BI1" s="196" t="s">
        <v>56</v>
      </c>
      <c r="BJ1" s="196"/>
      <c r="BK1" s="197" t="s">
        <v>247</v>
      </c>
      <c r="BL1" s="196" t="s">
        <v>57</v>
      </c>
      <c r="BM1" s="196"/>
      <c r="BN1" s="196"/>
      <c r="BO1" s="196"/>
      <c r="BP1" s="197" t="s">
        <v>248</v>
      </c>
      <c r="BQ1" s="197"/>
      <c r="CC1" s="198" t="s">
        <v>57</v>
      </c>
      <c r="CD1" s="199"/>
      <c r="CE1" s="199"/>
      <c r="CF1" s="199"/>
      <c r="CG1" s="199"/>
      <c r="CH1" s="199"/>
      <c r="CI1" s="199"/>
      <c r="CJ1" s="199"/>
      <c r="DA1" s="108" t="s">
        <v>23</v>
      </c>
      <c r="DB1" s="109"/>
      <c r="DC1" s="114" t="s">
        <v>4</v>
      </c>
      <c r="DD1" s="114" t="s">
        <v>5</v>
      </c>
      <c r="DE1" s="114" t="s">
        <v>6</v>
      </c>
      <c r="DF1" s="114" t="s">
        <v>7</v>
      </c>
      <c r="DG1" s="114" t="s">
        <v>8</v>
      </c>
      <c r="DH1" s="114" t="s">
        <v>9</v>
      </c>
      <c r="DI1" s="114" t="s">
        <v>10</v>
      </c>
      <c r="DJ1" s="114" t="s">
        <v>11</v>
      </c>
      <c r="DK1" s="114" t="s">
        <v>12</v>
      </c>
      <c r="DL1" s="114" t="s">
        <v>13</v>
      </c>
      <c r="DM1" s="114" t="s">
        <v>14</v>
      </c>
      <c r="DN1" s="114" t="s">
        <v>15</v>
      </c>
      <c r="DO1" s="114" t="s">
        <v>16</v>
      </c>
      <c r="DQ1" s="6"/>
      <c r="DR1" s="32" t="s">
        <v>179</v>
      </c>
      <c r="DS1" s="32" t="s">
        <v>180</v>
      </c>
      <c r="DT1" s="32" t="s">
        <v>181</v>
      </c>
      <c r="DU1" s="32" t="s">
        <v>182</v>
      </c>
      <c r="DV1" s="183" t="s">
        <v>237</v>
      </c>
      <c r="DW1" s="183" t="s">
        <v>238</v>
      </c>
    </row>
    <row r="2" spans="1:127" ht="15">
      <c r="A2" s="200"/>
      <c r="B2" s="185" t="s">
        <v>250</v>
      </c>
      <c r="C2" s="185" t="s">
        <v>250</v>
      </c>
      <c r="D2" s="185" t="s">
        <v>250</v>
      </c>
      <c r="E2" s="186"/>
      <c r="F2" s="186"/>
      <c r="G2" s="186"/>
      <c r="H2" s="186"/>
      <c r="I2" s="186"/>
      <c r="K2" s="201"/>
      <c r="L2" s="202"/>
      <c r="M2" s="202"/>
      <c r="N2" s="202"/>
      <c r="O2" s="202"/>
      <c r="P2" s="190"/>
      <c r="Q2" s="190"/>
      <c r="R2" s="190"/>
      <c r="S2" s="190"/>
      <c r="T2" s="190"/>
      <c r="V2" s="203"/>
      <c r="W2" s="203"/>
      <c r="X2" s="203"/>
      <c r="Y2" s="203"/>
      <c r="Z2" s="203"/>
      <c r="AA2" s="192"/>
      <c r="AB2" s="192"/>
      <c r="AC2" s="192"/>
      <c r="AD2" s="192"/>
      <c r="AE2" s="192"/>
      <c r="AF2" s="192"/>
      <c r="AG2" s="192"/>
      <c r="AH2" s="192"/>
      <c r="AI2" s="192"/>
      <c r="AJ2" s="192"/>
      <c r="AK2" s="192"/>
      <c r="AL2" s="192"/>
      <c r="AM2" s="192"/>
      <c r="AN2" s="192"/>
      <c r="AO2" s="192"/>
      <c r="AP2" s="192"/>
      <c r="AQ2" s="192"/>
      <c r="AR2" s="192"/>
      <c r="AS2" s="192"/>
      <c r="AT2" s="192"/>
      <c r="AV2" s="185" t="s">
        <v>251</v>
      </c>
      <c r="AW2" s="185" t="s">
        <v>252</v>
      </c>
      <c r="AX2" s="185" t="s">
        <v>253</v>
      </c>
      <c r="AZ2" s="185" t="s">
        <v>254</v>
      </c>
      <c r="BA2" s="185" t="s">
        <v>255</v>
      </c>
      <c r="BB2" s="185" t="s">
        <v>256</v>
      </c>
      <c r="BI2" s="196"/>
      <c r="BJ2" s="196"/>
      <c r="BK2" s="197"/>
      <c r="BL2" s="196" t="s">
        <v>58</v>
      </c>
      <c r="BM2" s="196"/>
      <c r="BN2" s="196" t="s">
        <v>59</v>
      </c>
      <c r="BO2" s="196"/>
      <c r="BP2" s="197"/>
      <c r="BQ2" s="197"/>
      <c r="CC2" s="204" t="s">
        <v>257</v>
      </c>
      <c r="CD2" s="205" t="s">
        <v>258</v>
      </c>
      <c r="CE2" s="205" t="s">
        <v>251</v>
      </c>
      <c r="CF2" s="206" t="s">
        <v>259</v>
      </c>
      <c r="CG2" s="206" t="s">
        <v>260</v>
      </c>
      <c r="CH2" s="206" t="s">
        <v>261</v>
      </c>
      <c r="CI2" s="206" t="s">
        <v>262</v>
      </c>
      <c r="CJ2" s="207" t="s">
        <v>263</v>
      </c>
      <c r="DA2" s="110"/>
      <c r="DB2" s="111"/>
      <c r="DC2" s="115"/>
      <c r="DD2" s="115"/>
      <c r="DE2" s="115"/>
      <c r="DF2" s="115"/>
      <c r="DG2" s="115"/>
      <c r="DH2" s="115"/>
      <c r="DI2" s="115"/>
      <c r="DJ2" s="115"/>
      <c r="DK2" s="115"/>
      <c r="DL2" s="115"/>
      <c r="DM2" s="115"/>
      <c r="DN2" s="115"/>
      <c r="DO2" s="115"/>
      <c r="DQ2" s="6" t="s">
        <v>153</v>
      </c>
      <c r="DR2" s="32">
        <v>1</v>
      </c>
      <c r="DS2" s="95">
        <v>0</v>
      </c>
      <c r="DT2" s="97">
        <v>0.125</v>
      </c>
      <c r="DU2" s="98">
        <v>0.5</v>
      </c>
      <c r="DV2" s="6">
        <v>1.2999999999999999E-2</v>
      </c>
      <c r="DW2" s="6">
        <v>1.2999999999999999E-2</v>
      </c>
    </row>
    <row r="3" spans="1:127" ht="15.75">
      <c r="A3" s="208" t="s">
        <v>264</v>
      </c>
      <c r="B3" s="209">
        <f>2.06*10^5</f>
        <v>206000</v>
      </c>
      <c r="C3" s="209">
        <v>235</v>
      </c>
      <c r="D3" s="209">
        <v>370</v>
      </c>
      <c r="E3" s="175"/>
      <c r="F3" s="175"/>
      <c r="G3" s="175"/>
      <c r="H3" s="175"/>
      <c r="I3" s="175"/>
      <c r="K3" s="45" t="s">
        <v>265</v>
      </c>
      <c r="L3" s="45" t="s">
        <v>266</v>
      </c>
      <c r="M3" s="45" t="s">
        <v>267</v>
      </c>
      <c r="N3" s="45" t="s">
        <v>268</v>
      </c>
      <c r="O3" s="45" t="s">
        <v>269</v>
      </c>
      <c r="P3" s="80"/>
      <c r="Q3" s="80"/>
      <c r="R3" s="80"/>
      <c r="S3" s="80"/>
      <c r="T3" s="80"/>
      <c r="V3" s="210" t="s">
        <v>270</v>
      </c>
      <c r="W3" s="210" t="s">
        <v>271</v>
      </c>
      <c r="X3" s="210" t="s">
        <v>272</v>
      </c>
      <c r="Y3" s="210" t="s">
        <v>273</v>
      </c>
      <c r="Z3" s="211" t="s">
        <v>274</v>
      </c>
      <c r="AA3" s="212"/>
      <c r="AB3" s="212"/>
      <c r="AC3" s="212"/>
      <c r="AD3" s="212"/>
      <c r="AE3" s="212"/>
      <c r="AF3" s="212"/>
      <c r="AG3" s="212"/>
      <c r="AH3" s="212"/>
      <c r="AI3" s="212"/>
      <c r="AJ3" s="212"/>
      <c r="AK3" s="212"/>
      <c r="AL3" s="212"/>
      <c r="AM3" s="212"/>
      <c r="AN3" s="212"/>
      <c r="AO3" s="212"/>
      <c r="AP3" s="212"/>
      <c r="AQ3" s="212"/>
      <c r="AR3" s="212"/>
      <c r="AS3" s="212"/>
      <c r="AT3" s="212"/>
      <c r="AV3" s="213">
        <v>360</v>
      </c>
      <c r="AW3" s="213">
        <v>560</v>
      </c>
      <c r="AX3" s="213">
        <v>475</v>
      </c>
      <c r="AZ3" s="213" t="s">
        <v>275</v>
      </c>
      <c r="BA3" s="213">
        <v>430</v>
      </c>
      <c r="BB3" s="213">
        <v>180</v>
      </c>
      <c r="BI3" s="196"/>
      <c r="BJ3" s="196"/>
      <c r="BK3" s="197"/>
      <c r="BL3" s="214" t="s">
        <v>276</v>
      </c>
      <c r="BM3" s="214" t="s">
        <v>277</v>
      </c>
      <c r="BN3" s="214" t="s">
        <v>278</v>
      </c>
      <c r="BO3" s="214" t="s">
        <v>279</v>
      </c>
      <c r="BP3" s="215" t="s">
        <v>249</v>
      </c>
      <c r="BQ3" s="216" t="s">
        <v>185</v>
      </c>
      <c r="CC3" s="204"/>
      <c r="CD3" s="217" t="s">
        <v>1</v>
      </c>
      <c r="CE3" s="217" t="s">
        <v>1</v>
      </c>
      <c r="CF3" s="217" t="s">
        <v>1</v>
      </c>
      <c r="CG3" s="217" t="s">
        <v>1</v>
      </c>
      <c r="CH3" s="217" t="s">
        <v>1</v>
      </c>
      <c r="CI3" s="217" t="s">
        <v>1</v>
      </c>
      <c r="CJ3" s="218" t="s">
        <v>1</v>
      </c>
      <c r="DA3" s="110"/>
      <c r="DB3" s="111"/>
      <c r="DC3" s="115"/>
      <c r="DD3" s="115"/>
      <c r="DE3" s="115"/>
      <c r="DF3" s="115"/>
      <c r="DG3" s="115"/>
      <c r="DH3" s="115"/>
      <c r="DI3" s="115"/>
      <c r="DJ3" s="115"/>
      <c r="DK3" s="115"/>
      <c r="DL3" s="115"/>
      <c r="DM3" s="115"/>
      <c r="DN3" s="115"/>
      <c r="DO3" s="115"/>
      <c r="DQ3" s="6" t="s">
        <v>155</v>
      </c>
      <c r="DR3" s="32">
        <v>0.41</v>
      </c>
      <c r="DS3" s="95">
        <v>-0.125</v>
      </c>
      <c r="DT3" s="97">
        <v>7.0300000000000001E-2</v>
      </c>
      <c r="DU3" s="98">
        <v>0.625</v>
      </c>
      <c r="DV3" s="6">
        <v>5.4000000000000003E-3</v>
      </c>
      <c r="DW3" s="6">
        <v>9.1999999999999998E-3</v>
      </c>
    </row>
    <row r="4" spans="1:127" ht="15">
      <c r="A4" s="208" t="s">
        <v>280</v>
      </c>
      <c r="B4" s="209">
        <f t="shared" ref="B4:B29" si="0">2.06*10^5</f>
        <v>206000</v>
      </c>
      <c r="C4" s="209">
        <v>345</v>
      </c>
      <c r="D4" s="209">
        <v>510</v>
      </c>
      <c r="E4" s="175"/>
      <c r="F4" s="175"/>
      <c r="G4" s="175"/>
      <c r="H4" s="175"/>
      <c r="I4" s="175"/>
      <c r="K4" s="45">
        <v>5.6</v>
      </c>
      <c r="L4" s="45">
        <v>500</v>
      </c>
      <c r="M4" s="45">
        <v>300</v>
      </c>
      <c r="N4" s="45">
        <v>210</v>
      </c>
      <c r="O4" s="45">
        <v>225</v>
      </c>
      <c r="P4" s="80"/>
      <c r="Q4" s="80"/>
      <c r="R4" s="80"/>
      <c r="S4" s="80"/>
      <c r="T4" s="80"/>
      <c r="V4" s="219">
        <v>10</v>
      </c>
      <c r="W4" s="213">
        <v>1.5</v>
      </c>
      <c r="X4" s="220">
        <v>78.5</v>
      </c>
      <c r="Y4" s="213">
        <v>57.1</v>
      </c>
      <c r="Z4" s="213">
        <v>1</v>
      </c>
      <c r="AA4" s="101"/>
      <c r="AB4" s="101"/>
      <c r="AC4" s="101"/>
      <c r="AD4" s="101"/>
      <c r="AE4" s="101"/>
      <c r="AF4" s="101"/>
      <c r="AG4" s="101"/>
      <c r="AH4" s="101"/>
      <c r="AI4" s="101"/>
      <c r="AJ4" s="101"/>
      <c r="AK4" s="101"/>
      <c r="AL4" s="101"/>
      <c r="AM4" s="101"/>
      <c r="AN4" s="101"/>
      <c r="AO4" s="101"/>
      <c r="AP4" s="101"/>
      <c r="AQ4" s="101"/>
      <c r="AR4" s="101"/>
      <c r="AS4" s="101"/>
      <c r="AT4" s="101"/>
      <c r="AV4" s="213">
        <v>370</v>
      </c>
      <c r="AW4" s="213">
        <v>580</v>
      </c>
      <c r="AX4" s="213">
        <v>485</v>
      </c>
      <c r="AZ4" s="213" t="s">
        <v>281</v>
      </c>
      <c r="BA4" s="213">
        <v>510</v>
      </c>
      <c r="BB4" s="213">
        <v>225</v>
      </c>
      <c r="BI4" s="196"/>
      <c r="BJ4" s="196"/>
      <c r="BK4" s="214" t="s">
        <v>1</v>
      </c>
      <c r="BL4" s="214" t="s">
        <v>1</v>
      </c>
      <c r="BM4" s="214" t="s">
        <v>1</v>
      </c>
      <c r="BN4" s="214" t="s">
        <v>1</v>
      </c>
      <c r="BO4" s="214" t="s">
        <v>1</v>
      </c>
      <c r="BP4" s="221"/>
      <c r="BQ4" s="214" t="s">
        <v>1</v>
      </c>
      <c r="CC4" s="222" t="s">
        <v>282</v>
      </c>
      <c r="CD4" s="223">
        <v>235</v>
      </c>
      <c r="CE4" s="223">
        <v>373</v>
      </c>
      <c r="CF4" s="222">
        <f>CD4</f>
        <v>235</v>
      </c>
      <c r="CG4" s="222">
        <f>CF4/1.15</f>
        <v>204.34782608695653</v>
      </c>
      <c r="CH4" s="222">
        <f>CF4</f>
        <v>235</v>
      </c>
      <c r="CI4" s="222">
        <f>0.7*CD4</f>
        <v>164.5</v>
      </c>
      <c r="CJ4" s="224">
        <v>200000</v>
      </c>
      <c r="DA4" s="112"/>
      <c r="DB4" s="113"/>
      <c r="DC4" s="116"/>
      <c r="DD4" s="116"/>
      <c r="DE4" s="116"/>
      <c r="DF4" s="116"/>
      <c r="DG4" s="116"/>
      <c r="DH4" s="116"/>
      <c r="DI4" s="116"/>
      <c r="DJ4" s="116"/>
      <c r="DK4" s="116"/>
      <c r="DL4" s="116"/>
      <c r="DM4" s="116"/>
      <c r="DN4" s="116"/>
      <c r="DO4" s="116"/>
      <c r="DQ4" s="6" t="s">
        <v>154</v>
      </c>
      <c r="DR4" s="32">
        <v>0.52</v>
      </c>
      <c r="DS4" s="95">
        <v>-0.1</v>
      </c>
      <c r="DT4" s="97">
        <v>0.08</v>
      </c>
      <c r="DU4" s="98">
        <v>0.6</v>
      </c>
      <c r="DV4" s="6">
        <v>6.8999999999999999E-3</v>
      </c>
      <c r="DW4" s="6">
        <v>9.9000000000000008E-3</v>
      </c>
    </row>
    <row r="5" spans="1:127" ht="18.75">
      <c r="A5" s="208" t="s">
        <v>283</v>
      </c>
      <c r="B5" s="209">
        <f t="shared" si="0"/>
        <v>206000</v>
      </c>
      <c r="C5" s="209">
        <v>250</v>
      </c>
      <c r="D5" s="209">
        <v>400</v>
      </c>
      <c r="E5" s="175"/>
      <c r="F5" s="175"/>
      <c r="G5" s="175"/>
      <c r="H5" s="175"/>
      <c r="I5" s="175"/>
      <c r="K5" s="45">
        <v>5.8</v>
      </c>
      <c r="L5" s="45">
        <v>500</v>
      </c>
      <c r="M5" s="45">
        <v>400</v>
      </c>
      <c r="N5" s="45">
        <v>210</v>
      </c>
      <c r="O5" s="45">
        <v>210</v>
      </c>
      <c r="P5" s="80"/>
      <c r="Q5" s="80"/>
      <c r="R5" s="80"/>
      <c r="S5" s="80"/>
      <c r="T5" s="80"/>
      <c r="V5" s="219">
        <v>12</v>
      </c>
      <c r="W5" s="213">
        <v>1.5</v>
      </c>
      <c r="X5" s="220">
        <v>113</v>
      </c>
      <c r="Y5" s="213">
        <v>84.2</v>
      </c>
      <c r="Z5" s="213">
        <v>1</v>
      </c>
      <c r="AA5" s="101"/>
      <c r="AB5" s="101"/>
      <c r="AC5" s="101"/>
      <c r="AD5" s="101"/>
      <c r="AE5" s="101"/>
      <c r="AF5" s="101"/>
      <c r="AG5" s="101"/>
      <c r="AH5" s="101"/>
      <c r="AI5" s="101"/>
      <c r="AJ5" s="101"/>
      <c r="AK5" s="101"/>
      <c r="AL5" s="101"/>
      <c r="AM5" s="101"/>
      <c r="AN5" s="101"/>
      <c r="AO5" s="101"/>
      <c r="AP5" s="101"/>
      <c r="AQ5" s="101"/>
      <c r="AR5" s="101"/>
      <c r="AS5" s="101"/>
      <c r="AT5" s="101"/>
      <c r="AV5" s="213">
        <v>380</v>
      </c>
      <c r="AW5" s="213">
        <v>590</v>
      </c>
      <c r="AX5" s="213">
        <v>500</v>
      </c>
      <c r="AZ5" s="213" t="s">
        <v>284</v>
      </c>
      <c r="BA5" s="213">
        <v>410</v>
      </c>
      <c r="BB5" s="213">
        <v>180</v>
      </c>
      <c r="BI5" s="225" t="s">
        <v>60</v>
      </c>
      <c r="BJ5" s="226" t="s">
        <v>61</v>
      </c>
      <c r="BK5" s="227">
        <v>19000</v>
      </c>
      <c r="BL5" s="228">
        <v>7.5</v>
      </c>
      <c r="BM5" s="228">
        <v>6</v>
      </c>
      <c r="BN5" s="229">
        <v>0.85</v>
      </c>
      <c r="BO5" s="230">
        <v>0.56000000000000005</v>
      </c>
      <c r="BP5" s="231"/>
      <c r="BQ5" s="231"/>
      <c r="CC5" s="222" t="s">
        <v>285</v>
      </c>
      <c r="CD5" s="223">
        <v>295</v>
      </c>
      <c r="CE5" s="223">
        <v>490</v>
      </c>
      <c r="CF5" s="222">
        <f t="shared" ref="CF5:CF19" si="1">CD5</f>
        <v>295</v>
      </c>
      <c r="CG5" s="222">
        <f t="shared" ref="CG5:CG19" si="2">CF5/1.15</f>
        <v>256.52173913043481</v>
      </c>
      <c r="CH5" s="222">
        <f t="shared" ref="CH5:CH19" si="3">CF5</f>
        <v>295</v>
      </c>
      <c r="CI5" s="222">
        <f t="shared" ref="CI5:CI19" si="4">0.7*CD5</f>
        <v>206.5</v>
      </c>
      <c r="CJ5" s="224">
        <v>200000</v>
      </c>
      <c r="DA5" s="6"/>
      <c r="DB5" s="6"/>
      <c r="DC5" s="4" t="s">
        <v>17</v>
      </c>
      <c r="DD5" s="4" t="s">
        <v>17</v>
      </c>
      <c r="DE5" s="4" t="s">
        <v>17</v>
      </c>
      <c r="DF5" s="4" t="s">
        <v>17</v>
      </c>
      <c r="DG5" s="4" t="s">
        <v>17</v>
      </c>
      <c r="DH5" s="4" t="s">
        <v>18</v>
      </c>
      <c r="DI5" s="4" t="s">
        <v>19</v>
      </c>
      <c r="DJ5" s="4" t="s">
        <v>19</v>
      </c>
      <c r="DK5" s="4" t="s">
        <v>20</v>
      </c>
      <c r="DL5" s="4" t="s">
        <v>21</v>
      </c>
      <c r="DM5" s="4" t="s">
        <v>17</v>
      </c>
      <c r="DN5" s="5" t="s">
        <v>22</v>
      </c>
      <c r="DO5" s="5" t="s">
        <v>17</v>
      </c>
      <c r="DQ5" s="6" t="s">
        <v>178</v>
      </c>
      <c r="DR5" s="32">
        <v>0.49</v>
      </c>
      <c r="DS5" s="95">
        <v>-0.105</v>
      </c>
      <c r="DT5" s="97">
        <v>7.8E-2</v>
      </c>
      <c r="DU5" s="98">
        <v>0.60699999999999998</v>
      </c>
      <c r="DV5" s="6">
        <v>6.4999999999999997E-3</v>
      </c>
      <c r="DW5" s="6">
        <v>9.7000000000000003E-3</v>
      </c>
    </row>
    <row r="6" spans="1:127" ht="15.75">
      <c r="A6" s="208" t="s">
        <v>286</v>
      </c>
      <c r="B6" s="209">
        <f t="shared" si="0"/>
        <v>206000</v>
      </c>
      <c r="C6" s="209">
        <v>345</v>
      </c>
      <c r="D6" s="209">
        <v>450</v>
      </c>
      <c r="E6" s="175"/>
      <c r="F6" s="175"/>
      <c r="G6" s="175"/>
      <c r="H6" s="175"/>
      <c r="I6" s="175"/>
      <c r="K6" s="45">
        <v>8.8000000000000007</v>
      </c>
      <c r="L6" s="45">
        <v>830</v>
      </c>
      <c r="M6" s="45">
        <v>660</v>
      </c>
      <c r="N6" s="45">
        <v>332</v>
      </c>
      <c r="O6" s="45">
        <v>448</v>
      </c>
      <c r="P6" s="80"/>
      <c r="Q6" s="80"/>
      <c r="R6" s="80"/>
      <c r="S6" s="80"/>
      <c r="T6" s="80"/>
      <c r="V6" s="219">
        <v>16</v>
      </c>
      <c r="W6" s="213">
        <v>2</v>
      </c>
      <c r="X6" s="220">
        <f t="shared" ref="X6:X15" si="5">PI()*V6^2/4</f>
        <v>201.06192982974676</v>
      </c>
      <c r="Y6" s="213">
        <v>157</v>
      </c>
      <c r="Z6" s="213">
        <v>1</v>
      </c>
      <c r="AA6" s="101"/>
      <c r="AB6" s="101"/>
      <c r="AC6" s="101"/>
      <c r="AD6" s="101"/>
      <c r="AE6" s="101"/>
      <c r="AF6" s="101"/>
      <c r="AG6" s="101"/>
      <c r="AH6" s="101"/>
      <c r="AI6" s="101"/>
      <c r="AJ6" s="101"/>
      <c r="AK6" s="101"/>
      <c r="AL6" s="101"/>
      <c r="AM6" s="101"/>
      <c r="AN6" s="101"/>
      <c r="AO6" s="101"/>
      <c r="AP6" s="101"/>
      <c r="AQ6" s="101"/>
      <c r="AR6" s="101"/>
      <c r="AS6" s="101"/>
      <c r="AT6" s="101"/>
      <c r="AV6" s="213">
        <v>390</v>
      </c>
      <c r="AW6" s="213">
        <v>610</v>
      </c>
      <c r="AX6" s="213">
        <v>515</v>
      </c>
      <c r="AZ6" s="213" t="s">
        <v>287</v>
      </c>
      <c r="BA6" s="213">
        <v>450</v>
      </c>
      <c r="BB6" s="213">
        <v>200</v>
      </c>
      <c r="BI6" s="31" t="s">
        <v>62</v>
      </c>
      <c r="BJ6" s="32" t="s">
        <v>63</v>
      </c>
      <c r="BK6" s="33">
        <v>24000</v>
      </c>
      <c r="BL6" s="34">
        <v>11</v>
      </c>
      <c r="BM6" s="34">
        <v>8.5</v>
      </c>
      <c r="BN6" s="35">
        <v>1.1000000000000001</v>
      </c>
      <c r="BO6" s="232">
        <v>0.75</v>
      </c>
      <c r="BP6" s="231" t="s">
        <v>288</v>
      </c>
      <c r="BQ6" s="231">
        <f>VALUE(MID(BP6,2,2))</f>
        <v>12</v>
      </c>
      <c r="CC6" s="222" t="s">
        <v>289</v>
      </c>
      <c r="CD6" s="223">
        <v>390</v>
      </c>
      <c r="CE6" s="223">
        <v>590</v>
      </c>
      <c r="CF6" s="222">
        <f t="shared" si="1"/>
        <v>390</v>
      </c>
      <c r="CG6" s="222">
        <f t="shared" si="2"/>
        <v>339.13043478260875</v>
      </c>
      <c r="CH6" s="222">
        <f t="shared" si="3"/>
        <v>390</v>
      </c>
      <c r="CI6" s="222">
        <f t="shared" si="4"/>
        <v>273</v>
      </c>
      <c r="CJ6" s="224">
        <v>200000</v>
      </c>
      <c r="DA6" s="7" t="str">
        <f>DB6&amp;" - "&amp;DC6</f>
        <v>H50W1000 - 0.58</v>
      </c>
      <c r="DB6" s="7" t="s">
        <v>24</v>
      </c>
      <c r="DC6" s="8">
        <v>0.57999999999999996</v>
      </c>
      <c r="DD6" s="9">
        <f>DC6-0.04</f>
        <v>0.53999999999999992</v>
      </c>
      <c r="DE6" s="10">
        <v>1200</v>
      </c>
      <c r="DF6" s="10">
        <v>1000</v>
      </c>
      <c r="DG6" s="10">
        <v>50</v>
      </c>
      <c r="DH6" s="10">
        <v>5.54</v>
      </c>
      <c r="DI6" s="10">
        <v>364</v>
      </c>
      <c r="DJ6" s="10">
        <v>280</v>
      </c>
      <c r="DK6" s="10">
        <f>51.2*10^4</f>
        <v>512000</v>
      </c>
      <c r="DL6" s="9">
        <f>16.43*10^3</f>
        <v>16430</v>
      </c>
      <c r="DM6" s="11">
        <f>DK6/DL6</f>
        <v>31.162507608034083</v>
      </c>
      <c r="DN6" s="10">
        <f>DE6*DD6</f>
        <v>647.99999999999989</v>
      </c>
      <c r="DO6" s="10">
        <f>135+(200-135)/2</f>
        <v>167.5</v>
      </c>
    </row>
    <row r="7" spans="1:127" ht="15.75">
      <c r="A7" s="208" t="s">
        <v>290</v>
      </c>
      <c r="B7" s="209">
        <f t="shared" si="0"/>
        <v>206000</v>
      </c>
      <c r="C7" s="209">
        <v>235</v>
      </c>
      <c r="D7" s="209">
        <v>360</v>
      </c>
      <c r="E7" s="175"/>
      <c r="F7" s="175"/>
      <c r="G7" s="175"/>
      <c r="H7" s="175"/>
      <c r="I7" s="175"/>
      <c r="K7" s="45">
        <v>10.9</v>
      </c>
      <c r="L7" s="45">
        <v>1040</v>
      </c>
      <c r="M7" s="45">
        <v>940</v>
      </c>
      <c r="N7" s="45">
        <v>416</v>
      </c>
      <c r="O7" s="45">
        <v>728</v>
      </c>
      <c r="P7" s="80"/>
      <c r="Q7" s="80"/>
      <c r="R7" s="80"/>
      <c r="S7" s="80"/>
      <c r="T7" s="80"/>
      <c r="V7" s="219">
        <v>18</v>
      </c>
      <c r="W7" s="213">
        <v>2.5</v>
      </c>
      <c r="X7" s="220">
        <f t="shared" si="5"/>
        <v>254.46900494077323</v>
      </c>
      <c r="Y7" s="213">
        <v>192</v>
      </c>
      <c r="Z7" s="213">
        <v>1.05</v>
      </c>
      <c r="AA7" s="101"/>
      <c r="AB7" s="101"/>
      <c r="AC7" s="101"/>
      <c r="AD7" s="101"/>
      <c r="AE7" s="101"/>
      <c r="AF7" s="101"/>
      <c r="AG7" s="101"/>
      <c r="AH7" s="101"/>
      <c r="AI7" s="101"/>
      <c r="AJ7" s="101"/>
      <c r="AK7" s="101"/>
      <c r="AL7" s="101"/>
      <c r="AM7" s="101"/>
      <c r="AN7" s="101"/>
      <c r="AO7" s="101"/>
      <c r="AP7" s="101"/>
      <c r="AQ7" s="101"/>
      <c r="AR7" s="101"/>
      <c r="AS7" s="101"/>
      <c r="AT7" s="101"/>
      <c r="AV7" s="213">
        <v>430</v>
      </c>
      <c r="AW7" s="213">
        <v>670</v>
      </c>
      <c r="AX7" s="213">
        <v>565</v>
      </c>
      <c r="AZ7" s="213" t="s">
        <v>291</v>
      </c>
      <c r="BA7" s="213">
        <v>490</v>
      </c>
      <c r="BB7" s="213">
        <v>215</v>
      </c>
      <c r="BI7" s="31" t="s">
        <v>64</v>
      </c>
      <c r="BJ7" s="32" t="s">
        <v>65</v>
      </c>
      <c r="BK7" s="33">
        <v>27500</v>
      </c>
      <c r="BL7" s="34">
        <v>15</v>
      </c>
      <c r="BM7" s="34">
        <v>11.5</v>
      </c>
      <c r="BN7" s="35">
        <v>1.35</v>
      </c>
      <c r="BO7" s="232">
        <v>0.9</v>
      </c>
      <c r="BP7" s="231" t="s">
        <v>292</v>
      </c>
      <c r="BQ7" s="231">
        <f t="shared" ref="BQ7:BQ15" si="6">VALUE(MID(BP7,2,2))</f>
        <v>16</v>
      </c>
      <c r="CC7" s="222" t="s">
        <v>293</v>
      </c>
      <c r="CD7" s="223">
        <v>235</v>
      </c>
      <c r="CE7" s="223">
        <v>373</v>
      </c>
      <c r="CF7" s="222">
        <f t="shared" si="1"/>
        <v>235</v>
      </c>
      <c r="CG7" s="222">
        <f t="shared" si="2"/>
        <v>204.34782608695653</v>
      </c>
      <c r="CH7" s="222">
        <f t="shared" si="3"/>
        <v>235</v>
      </c>
      <c r="CI7" s="222">
        <f t="shared" si="4"/>
        <v>164.5</v>
      </c>
      <c r="CJ7" s="233">
        <v>200000</v>
      </c>
      <c r="DA7" s="7" t="str">
        <f>DB7&amp;" - "&amp;DC7</f>
        <v>H50W1000 - 0.75</v>
      </c>
      <c r="DB7" s="7" t="s">
        <v>24</v>
      </c>
      <c r="DC7" s="8">
        <v>0.75</v>
      </c>
      <c r="DD7" s="9">
        <f>DC7-0.04</f>
        <v>0.71</v>
      </c>
      <c r="DE7" s="10">
        <v>1200</v>
      </c>
      <c r="DF7" s="10">
        <v>1000</v>
      </c>
      <c r="DG7" s="10">
        <v>50</v>
      </c>
      <c r="DH7" s="10">
        <v>7.15</v>
      </c>
      <c r="DI7" s="10">
        <v>364</v>
      </c>
      <c r="DJ7" s="10">
        <v>280</v>
      </c>
      <c r="DK7" s="10">
        <f>61.7*10^4</f>
        <v>617000</v>
      </c>
      <c r="DL7" s="9">
        <f>20.11*10^3</f>
        <v>20110</v>
      </c>
      <c r="DM7" s="11">
        <f>DK7/DL7</f>
        <v>30.681253107906514</v>
      </c>
      <c r="DN7" s="10">
        <f>DE7*DD7</f>
        <v>852</v>
      </c>
      <c r="DO7" s="10">
        <f>135+(200-135)/2</f>
        <v>167.5</v>
      </c>
    </row>
    <row r="8" spans="1:127" ht="15.75">
      <c r="A8" s="208" t="s">
        <v>294</v>
      </c>
      <c r="B8" s="209">
        <f t="shared" si="0"/>
        <v>206000</v>
      </c>
      <c r="C8" s="209">
        <v>225</v>
      </c>
      <c r="D8" s="209">
        <v>360</v>
      </c>
      <c r="E8" s="175"/>
      <c r="F8" s="175"/>
      <c r="G8" s="175"/>
      <c r="H8" s="175"/>
      <c r="I8" s="175"/>
      <c r="K8" s="45">
        <v>12.9</v>
      </c>
      <c r="L8" s="45">
        <v>1220</v>
      </c>
      <c r="M8" s="45">
        <v>1100</v>
      </c>
      <c r="N8" s="45">
        <v>427</v>
      </c>
      <c r="O8" s="45">
        <v>854</v>
      </c>
      <c r="P8" s="80"/>
      <c r="Q8" s="80"/>
      <c r="R8" s="80"/>
      <c r="S8" s="80"/>
      <c r="T8" s="80"/>
      <c r="V8" s="219">
        <v>20</v>
      </c>
      <c r="W8" s="213">
        <v>2.5</v>
      </c>
      <c r="X8" s="220">
        <f t="shared" si="5"/>
        <v>314.15926535897933</v>
      </c>
      <c r="Y8" s="213">
        <v>245</v>
      </c>
      <c r="Z8" s="213">
        <v>1.1000000000000001</v>
      </c>
      <c r="AA8" s="101"/>
      <c r="AB8" s="101"/>
      <c r="AC8" s="101"/>
      <c r="AD8" s="101"/>
      <c r="AE8" s="101"/>
      <c r="AF8" s="101"/>
      <c r="AG8" s="101"/>
      <c r="AH8" s="101"/>
      <c r="AI8" s="101"/>
      <c r="AJ8" s="101"/>
      <c r="AK8" s="101"/>
      <c r="AL8" s="101"/>
      <c r="AM8" s="101"/>
      <c r="AN8" s="101"/>
      <c r="AO8" s="101"/>
      <c r="AP8" s="101"/>
      <c r="AQ8" s="101"/>
      <c r="AR8" s="101"/>
      <c r="AS8" s="101"/>
      <c r="AT8" s="101"/>
      <c r="AV8" s="213">
        <v>440</v>
      </c>
      <c r="AW8" s="213">
        <v>685</v>
      </c>
      <c r="AX8" s="213">
        <v>580</v>
      </c>
      <c r="BI8" s="31" t="s">
        <v>66</v>
      </c>
      <c r="BJ8" s="32" t="s">
        <v>67</v>
      </c>
      <c r="BK8" s="33">
        <v>30000</v>
      </c>
      <c r="BL8" s="34">
        <v>18.5</v>
      </c>
      <c r="BM8" s="34">
        <v>14.5</v>
      </c>
      <c r="BN8" s="35">
        <v>1.55</v>
      </c>
      <c r="BO8" s="232">
        <v>1.05</v>
      </c>
      <c r="BP8" s="231" t="s">
        <v>295</v>
      </c>
      <c r="BQ8" s="231">
        <f t="shared" si="6"/>
        <v>20</v>
      </c>
      <c r="CC8" s="222" t="s">
        <v>296</v>
      </c>
      <c r="CD8" s="223">
        <v>295</v>
      </c>
      <c r="CE8" s="223">
        <v>490</v>
      </c>
      <c r="CF8" s="222">
        <f t="shared" si="1"/>
        <v>295</v>
      </c>
      <c r="CG8" s="222">
        <f t="shared" si="2"/>
        <v>256.52173913043481</v>
      </c>
      <c r="CH8" s="222">
        <f t="shared" si="3"/>
        <v>295</v>
      </c>
      <c r="CI8" s="222">
        <f t="shared" si="4"/>
        <v>206.5</v>
      </c>
      <c r="CJ8" s="233">
        <v>200000</v>
      </c>
      <c r="DA8" s="7" t="str">
        <f>DB8&amp;" - "&amp;DC8</f>
        <v>H50W1000 - 0.95</v>
      </c>
      <c r="DB8" s="7" t="s">
        <v>24</v>
      </c>
      <c r="DC8" s="8">
        <v>0.95</v>
      </c>
      <c r="DD8" s="9">
        <f>DC8-0.04</f>
        <v>0.90999999999999992</v>
      </c>
      <c r="DE8" s="10">
        <v>1200</v>
      </c>
      <c r="DF8" s="10">
        <v>1000</v>
      </c>
      <c r="DG8" s="10">
        <v>50</v>
      </c>
      <c r="DH8" s="10">
        <v>9.0500000000000007</v>
      </c>
      <c r="DI8" s="10">
        <v>364</v>
      </c>
      <c r="DJ8" s="10">
        <v>280</v>
      </c>
      <c r="DK8" s="10">
        <f>68.91*10^4</f>
        <v>689100</v>
      </c>
      <c r="DL8" s="9">
        <f>25.19*10^3</f>
        <v>25190</v>
      </c>
      <c r="DM8" s="11">
        <f>DK8/DL8</f>
        <v>27.356093687971416</v>
      </c>
      <c r="DN8" s="10">
        <f>DE8*DD8</f>
        <v>1092</v>
      </c>
      <c r="DO8" s="10">
        <f>135+(200-135)/2</f>
        <v>167.5</v>
      </c>
    </row>
    <row r="9" spans="1:127" ht="15.75">
      <c r="A9" s="208" t="s">
        <v>297</v>
      </c>
      <c r="B9" s="209">
        <f t="shared" si="0"/>
        <v>206000</v>
      </c>
      <c r="C9" s="209">
        <v>215</v>
      </c>
      <c r="D9" s="209">
        <v>360</v>
      </c>
      <c r="E9" s="175"/>
      <c r="F9" s="175"/>
      <c r="G9" s="175"/>
      <c r="H9" s="175"/>
      <c r="I9" s="175"/>
      <c r="V9" s="219">
        <v>22</v>
      </c>
      <c r="W9" s="213">
        <v>2.5</v>
      </c>
      <c r="X9" s="220">
        <f t="shared" si="5"/>
        <v>380.13271108436498</v>
      </c>
      <c r="Y9" s="213">
        <v>303</v>
      </c>
      <c r="Z9" s="213">
        <v>1.1000000000000001</v>
      </c>
      <c r="AA9" s="101"/>
      <c r="AB9" s="101"/>
      <c r="AC9" s="101"/>
      <c r="AD9" s="101"/>
      <c r="AE9" s="101"/>
      <c r="AF9" s="101"/>
      <c r="AG9" s="101"/>
      <c r="AH9" s="101"/>
      <c r="AI9" s="101"/>
      <c r="AJ9" s="101"/>
      <c r="AK9" s="101"/>
      <c r="AL9" s="101"/>
      <c r="AM9" s="101"/>
      <c r="AN9" s="101"/>
      <c r="AO9" s="101"/>
      <c r="AP9" s="101"/>
      <c r="AQ9" s="101"/>
      <c r="AR9" s="101"/>
      <c r="AS9" s="101"/>
      <c r="AT9" s="101"/>
      <c r="AV9" s="213">
        <v>450</v>
      </c>
      <c r="AW9" s="213">
        <v>700</v>
      </c>
      <c r="AX9" s="213">
        <v>595</v>
      </c>
      <c r="BI9" s="31" t="s">
        <v>68</v>
      </c>
      <c r="BJ9" s="32" t="s">
        <v>69</v>
      </c>
      <c r="BK9" s="33">
        <v>32500</v>
      </c>
      <c r="BL9" s="34">
        <v>22</v>
      </c>
      <c r="BM9" s="34">
        <v>17</v>
      </c>
      <c r="BN9" s="35">
        <v>1.75</v>
      </c>
      <c r="BO9" s="232">
        <v>1.1499999999999999</v>
      </c>
      <c r="BP9" s="231" t="s">
        <v>298</v>
      </c>
      <c r="BQ9" s="231">
        <f t="shared" si="6"/>
        <v>25</v>
      </c>
      <c r="CC9" s="222" t="s">
        <v>299</v>
      </c>
      <c r="CD9" s="223">
        <v>390</v>
      </c>
      <c r="CE9" s="223">
        <v>590</v>
      </c>
      <c r="CF9" s="222">
        <f t="shared" si="1"/>
        <v>390</v>
      </c>
      <c r="CG9" s="222">
        <f t="shared" si="2"/>
        <v>339.13043478260875</v>
      </c>
      <c r="CH9" s="222">
        <f t="shared" si="3"/>
        <v>390</v>
      </c>
      <c r="CI9" s="222">
        <f t="shared" si="4"/>
        <v>273</v>
      </c>
      <c r="CJ9" s="233">
        <v>200000</v>
      </c>
      <c r="DA9" s="7" t="str">
        <f>DB9&amp;" - "&amp;DC9</f>
        <v>H50W1000 - 1.15</v>
      </c>
      <c r="DB9" s="7" t="s">
        <v>24</v>
      </c>
      <c r="DC9" s="8">
        <v>1.1499999999999999</v>
      </c>
      <c r="DD9" s="9">
        <f>DC9-0.04</f>
        <v>1.1099999999999999</v>
      </c>
      <c r="DE9" s="10">
        <v>1200</v>
      </c>
      <c r="DF9" s="10">
        <v>1000</v>
      </c>
      <c r="DG9" s="10">
        <v>50</v>
      </c>
      <c r="DH9" s="10">
        <v>11.1</v>
      </c>
      <c r="DI9" s="10">
        <v>364</v>
      </c>
      <c r="DJ9" s="10">
        <v>280</v>
      </c>
      <c r="DK9" s="10">
        <f>76.76*10^4</f>
        <v>767600</v>
      </c>
      <c r="DL9" s="9">
        <f>28.47*10^3</f>
        <v>28470</v>
      </c>
      <c r="DM9" s="11">
        <f>DK9/DL9</f>
        <v>26.961714085001756</v>
      </c>
      <c r="DN9" s="10">
        <f>DE9*DD9</f>
        <v>1331.9999999999998</v>
      </c>
      <c r="DO9" s="10">
        <f>135+(200-135)/2</f>
        <v>167.5</v>
      </c>
    </row>
    <row r="10" spans="1:127" ht="15.75">
      <c r="A10" s="208" t="s">
        <v>300</v>
      </c>
      <c r="B10" s="209">
        <f t="shared" si="0"/>
        <v>206000</v>
      </c>
      <c r="C10" s="209">
        <v>215</v>
      </c>
      <c r="D10" s="209">
        <v>360</v>
      </c>
      <c r="E10" s="175"/>
      <c r="F10" s="175"/>
      <c r="G10" s="175"/>
      <c r="H10" s="175"/>
      <c r="I10" s="175"/>
      <c r="V10" s="219">
        <v>24</v>
      </c>
      <c r="W10" s="213">
        <v>3</v>
      </c>
      <c r="X10" s="220">
        <f t="shared" si="5"/>
        <v>452.38934211693021</v>
      </c>
      <c r="Y10" s="213">
        <v>353</v>
      </c>
      <c r="Z10" s="213">
        <v>1.1000000000000001</v>
      </c>
      <c r="AA10" s="101"/>
      <c r="AB10" s="101"/>
      <c r="AC10" s="101"/>
      <c r="AD10" s="101"/>
      <c r="AE10" s="101"/>
      <c r="AF10" s="101"/>
      <c r="AG10" s="101"/>
      <c r="AH10" s="101"/>
      <c r="AI10" s="101"/>
      <c r="AJ10" s="101"/>
      <c r="AK10" s="101"/>
      <c r="AL10" s="101"/>
      <c r="AM10" s="101"/>
      <c r="AN10" s="101"/>
      <c r="AO10" s="101"/>
      <c r="AP10" s="101"/>
      <c r="AQ10" s="101"/>
      <c r="AR10" s="101"/>
      <c r="AS10" s="101"/>
      <c r="AT10" s="101"/>
      <c r="AV10" s="213">
        <v>460</v>
      </c>
      <c r="AW10" s="213">
        <v>720</v>
      </c>
      <c r="AX10" s="213">
        <v>605</v>
      </c>
      <c r="BI10" s="31" t="s">
        <v>70</v>
      </c>
      <c r="BJ10" s="32" t="s">
        <v>71</v>
      </c>
      <c r="BK10" s="33">
        <v>34500</v>
      </c>
      <c r="BL10" s="34">
        <v>25.5</v>
      </c>
      <c r="BM10" s="34">
        <v>19.5</v>
      </c>
      <c r="BN10" s="35">
        <v>1.95</v>
      </c>
      <c r="BO10" s="232">
        <v>1.3</v>
      </c>
      <c r="BP10" s="231" t="s">
        <v>301</v>
      </c>
      <c r="BQ10" s="231">
        <f t="shared" si="6"/>
        <v>28</v>
      </c>
      <c r="CC10" s="222" t="s">
        <v>302</v>
      </c>
      <c r="CD10" s="223">
        <v>240</v>
      </c>
      <c r="CE10" s="223">
        <v>380</v>
      </c>
      <c r="CF10" s="222">
        <f t="shared" si="1"/>
        <v>240</v>
      </c>
      <c r="CG10" s="222"/>
      <c r="CH10" s="222">
        <f t="shared" si="3"/>
        <v>240</v>
      </c>
      <c r="CI10" s="222">
        <v>170</v>
      </c>
      <c r="CJ10" s="224">
        <v>200000</v>
      </c>
      <c r="DA10" s="7" t="str">
        <f>DB10&amp;" - "&amp;DC10</f>
        <v>H50W1000 - 1.5</v>
      </c>
      <c r="DB10" s="7" t="s">
        <v>24</v>
      </c>
      <c r="DC10" s="8">
        <v>1.5</v>
      </c>
      <c r="DD10" s="9">
        <f>DC10-0.04</f>
        <v>1.46</v>
      </c>
      <c r="DE10" s="10">
        <v>1200</v>
      </c>
      <c r="DF10" s="10">
        <v>1000</v>
      </c>
      <c r="DG10" s="10">
        <v>50</v>
      </c>
      <c r="DH10" s="10">
        <v>14.2</v>
      </c>
      <c r="DI10" s="10">
        <v>364</v>
      </c>
      <c r="DJ10" s="10">
        <v>280</v>
      </c>
      <c r="DK10" s="10">
        <f>93.39*10^4</f>
        <v>933900</v>
      </c>
      <c r="DL10" s="9">
        <f>34.02*10^3</f>
        <v>34020</v>
      </c>
      <c r="DM10" s="11">
        <f>DK10/DL10</f>
        <v>27.451499118165785</v>
      </c>
      <c r="DN10" s="10">
        <f>DE10*DD10</f>
        <v>1752</v>
      </c>
      <c r="DO10" s="10">
        <f>135+(200-135)/2</f>
        <v>167.5</v>
      </c>
    </row>
    <row r="11" spans="1:127" ht="15.75">
      <c r="A11" s="208" t="s">
        <v>303</v>
      </c>
      <c r="B11" s="209">
        <f t="shared" si="0"/>
        <v>206000</v>
      </c>
      <c r="C11" s="209">
        <v>215</v>
      </c>
      <c r="D11" s="209">
        <v>360</v>
      </c>
      <c r="E11" s="175"/>
      <c r="F11" s="175"/>
      <c r="G11" s="175"/>
      <c r="H11" s="175"/>
      <c r="I11" s="175"/>
      <c r="V11" s="219">
        <v>27</v>
      </c>
      <c r="W11" s="213">
        <v>3</v>
      </c>
      <c r="X11" s="220">
        <f t="shared" si="5"/>
        <v>572.55526111673976</v>
      </c>
      <c r="Y11" s="213">
        <v>459</v>
      </c>
      <c r="Z11" s="213">
        <v>1.2</v>
      </c>
      <c r="AA11" s="101"/>
      <c r="AB11" s="101"/>
      <c r="AC11" s="101"/>
      <c r="AD11" s="101"/>
      <c r="AE11" s="101"/>
      <c r="AF11" s="101"/>
      <c r="AG11" s="101"/>
      <c r="AH11" s="101"/>
      <c r="AI11" s="101"/>
      <c r="AJ11" s="101"/>
      <c r="AK11" s="101"/>
      <c r="AL11" s="101"/>
      <c r="AM11" s="101"/>
      <c r="AN11" s="101"/>
      <c r="AO11" s="101"/>
      <c r="AP11" s="101"/>
      <c r="AQ11" s="101"/>
      <c r="AR11" s="101"/>
      <c r="AS11" s="101"/>
      <c r="AT11" s="101"/>
      <c r="AV11" s="213">
        <v>470</v>
      </c>
      <c r="AW11" s="213">
        <v>735</v>
      </c>
      <c r="AX11" s="213">
        <v>620</v>
      </c>
      <c r="BI11" s="31" t="s">
        <v>72</v>
      </c>
      <c r="BJ11" s="32" t="s">
        <v>73</v>
      </c>
      <c r="BK11" s="33">
        <v>36000</v>
      </c>
      <c r="BL11" s="34">
        <v>29</v>
      </c>
      <c r="BM11" s="34">
        <v>22</v>
      </c>
      <c r="BN11" s="35">
        <v>2.1</v>
      </c>
      <c r="BO11" s="232">
        <v>1.4</v>
      </c>
      <c r="BP11" s="231" t="s">
        <v>304</v>
      </c>
      <c r="BQ11" s="231">
        <f t="shared" si="6"/>
        <v>32</v>
      </c>
      <c r="CC11" s="222" t="s">
        <v>202</v>
      </c>
      <c r="CD11" s="223">
        <v>300</v>
      </c>
      <c r="CE11" s="223">
        <v>440</v>
      </c>
      <c r="CF11" s="222">
        <f t="shared" si="1"/>
        <v>300</v>
      </c>
      <c r="CG11" s="222"/>
      <c r="CH11" s="222">
        <f t="shared" si="3"/>
        <v>300</v>
      </c>
      <c r="CI11" s="222">
        <v>210</v>
      </c>
      <c r="CJ11" s="224">
        <v>200000</v>
      </c>
      <c r="DA11" s="7" t="str">
        <f>DB11&amp;" - "&amp;DC11</f>
        <v>Bondek II - 0.75</v>
      </c>
      <c r="DB11" s="12" t="s">
        <v>25</v>
      </c>
      <c r="DC11" s="13">
        <v>0.75</v>
      </c>
      <c r="DD11" s="14">
        <f>DC11-0.04</f>
        <v>0.71</v>
      </c>
      <c r="DE11" s="15"/>
      <c r="DF11" s="15">
        <v>600</v>
      </c>
      <c r="DG11" s="15">
        <v>54</v>
      </c>
      <c r="DH11" s="15">
        <v>6.18</v>
      </c>
      <c r="DI11" s="15">
        <v>550</v>
      </c>
      <c r="DJ11" s="15">
        <v>420</v>
      </c>
      <c r="DK11" s="15">
        <f>47.98*10^4</f>
        <v>479799.99999999994</v>
      </c>
      <c r="DL11" s="14">
        <f>12.5*10^3</f>
        <v>12500</v>
      </c>
      <c r="DM11" s="16">
        <v>15.3</v>
      </c>
      <c r="DN11" s="15">
        <v>1259</v>
      </c>
      <c r="DO11" s="15">
        <f>200-32</f>
        <v>168</v>
      </c>
    </row>
    <row r="12" spans="1:127" ht="15.75">
      <c r="A12" s="208" t="s">
        <v>305</v>
      </c>
      <c r="B12" s="209">
        <f t="shared" si="0"/>
        <v>206000</v>
      </c>
      <c r="C12" s="209">
        <v>275</v>
      </c>
      <c r="D12" s="209">
        <v>410</v>
      </c>
      <c r="E12" s="175"/>
      <c r="F12" s="175"/>
      <c r="G12" s="175"/>
      <c r="H12" s="175"/>
      <c r="I12" s="175"/>
      <c r="V12" s="219">
        <v>30</v>
      </c>
      <c r="W12" s="213">
        <v>3.5</v>
      </c>
      <c r="X12" s="220">
        <f t="shared" si="5"/>
        <v>706.85834705770344</v>
      </c>
      <c r="Y12" s="213">
        <v>561</v>
      </c>
      <c r="Z12" s="213">
        <v>1.3</v>
      </c>
      <c r="AA12" s="101"/>
      <c r="AB12" s="101"/>
      <c r="AC12" s="101"/>
      <c r="AD12" s="101"/>
      <c r="AE12" s="101"/>
      <c r="AF12" s="101"/>
      <c r="AG12" s="101"/>
      <c r="AH12" s="101"/>
      <c r="AI12" s="101"/>
      <c r="AJ12" s="101"/>
      <c r="AK12" s="101"/>
      <c r="AL12" s="101"/>
      <c r="AM12" s="101"/>
      <c r="AN12" s="101"/>
      <c r="AO12" s="101"/>
      <c r="AP12" s="101"/>
      <c r="AQ12" s="101"/>
      <c r="AR12" s="101"/>
      <c r="AS12" s="101"/>
      <c r="AT12" s="101"/>
      <c r="AV12" s="213">
        <v>480</v>
      </c>
      <c r="AW12" s="213">
        <v>750</v>
      </c>
      <c r="AX12" s="213">
        <v>630</v>
      </c>
      <c r="BI12" s="31" t="s">
        <v>74</v>
      </c>
      <c r="BJ12" s="32" t="s">
        <v>75</v>
      </c>
      <c r="BK12" s="33">
        <v>37000</v>
      </c>
      <c r="BL12" s="34">
        <v>32</v>
      </c>
      <c r="BM12" s="34">
        <v>25</v>
      </c>
      <c r="BN12" s="35">
        <v>2.25</v>
      </c>
      <c r="BO12" s="232">
        <v>1.5</v>
      </c>
      <c r="BP12" s="231" t="s">
        <v>306</v>
      </c>
      <c r="BQ12" s="231">
        <f t="shared" si="6"/>
        <v>35</v>
      </c>
      <c r="CC12" s="222" t="s">
        <v>307</v>
      </c>
      <c r="CD12" s="223">
        <v>300</v>
      </c>
      <c r="CE12" s="223">
        <v>450</v>
      </c>
      <c r="CF12" s="222">
        <f t="shared" si="1"/>
        <v>300</v>
      </c>
      <c r="CG12" s="222"/>
      <c r="CH12" s="222">
        <f t="shared" si="3"/>
        <v>300</v>
      </c>
      <c r="CI12" s="222">
        <v>210</v>
      </c>
      <c r="CJ12" s="224">
        <v>200000</v>
      </c>
      <c r="DA12" s="7" t="str">
        <f>DB12&amp;" - "&amp;DC12</f>
        <v>Bondek II - 1</v>
      </c>
      <c r="DB12" s="12" t="s">
        <v>25</v>
      </c>
      <c r="DC12" s="13">
        <v>1</v>
      </c>
      <c r="DD12" s="14">
        <f>DC12-0.04</f>
        <v>0.96</v>
      </c>
      <c r="DE12" s="15"/>
      <c r="DF12" s="15">
        <v>600</v>
      </c>
      <c r="DG12" s="15">
        <v>54</v>
      </c>
      <c r="DH12" s="15">
        <v>8.14</v>
      </c>
      <c r="DI12" s="15">
        <v>550</v>
      </c>
      <c r="DJ12" s="15">
        <v>420</v>
      </c>
      <c r="DK12" s="15">
        <f>64.08*10^4</f>
        <v>640800</v>
      </c>
      <c r="DL12" s="14">
        <f>16.69*10^3</f>
        <v>16690</v>
      </c>
      <c r="DM12" s="16">
        <v>15.5</v>
      </c>
      <c r="DN12" s="15">
        <v>1678</v>
      </c>
      <c r="DO12" s="15">
        <v>168</v>
      </c>
    </row>
    <row r="13" spans="1:127" ht="15.75">
      <c r="A13" s="208" t="s">
        <v>308</v>
      </c>
      <c r="B13" s="209">
        <f t="shared" si="0"/>
        <v>206000</v>
      </c>
      <c r="C13" s="209">
        <v>265</v>
      </c>
      <c r="D13" s="209">
        <v>410</v>
      </c>
      <c r="E13" s="175"/>
      <c r="F13" s="175"/>
      <c r="G13" s="175"/>
      <c r="H13" s="175"/>
      <c r="I13" s="175"/>
      <c r="V13" s="219">
        <v>36</v>
      </c>
      <c r="W13" s="213">
        <v>4</v>
      </c>
      <c r="X13" s="220">
        <f t="shared" si="5"/>
        <v>1017.8760197630929</v>
      </c>
      <c r="Y13" s="213">
        <v>816</v>
      </c>
      <c r="Z13" s="213">
        <v>1.3</v>
      </c>
      <c r="AA13" s="101"/>
      <c r="AB13" s="101"/>
      <c r="AC13" s="101"/>
      <c r="AD13" s="101"/>
      <c r="AE13" s="101"/>
      <c r="AF13" s="101"/>
      <c r="AG13" s="101"/>
      <c r="AH13" s="101"/>
      <c r="AI13" s="101"/>
      <c r="AJ13" s="101"/>
      <c r="AK13" s="101"/>
      <c r="AL13" s="101"/>
      <c r="AM13" s="101"/>
      <c r="AN13" s="101"/>
      <c r="AO13" s="101"/>
      <c r="AP13" s="101"/>
      <c r="AQ13" s="101"/>
      <c r="AR13" s="101"/>
      <c r="AS13" s="101"/>
      <c r="AT13" s="101"/>
      <c r="AV13" s="213">
        <v>490</v>
      </c>
      <c r="AW13" s="213">
        <v>765</v>
      </c>
      <c r="AX13" s="213">
        <v>645</v>
      </c>
      <c r="BI13" s="31" t="s">
        <v>76</v>
      </c>
      <c r="BJ13" s="32" t="s">
        <v>77</v>
      </c>
      <c r="BK13" s="33">
        <v>38000</v>
      </c>
      <c r="BL13" s="34">
        <v>36</v>
      </c>
      <c r="BM13" s="34">
        <v>27.5</v>
      </c>
      <c r="BN13" s="35">
        <v>2.4500000000000002</v>
      </c>
      <c r="BO13" s="232">
        <v>1.6</v>
      </c>
      <c r="BP13" s="231" t="s">
        <v>309</v>
      </c>
      <c r="BQ13" s="231">
        <f t="shared" si="6"/>
        <v>40</v>
      </c>
      <c r="CC13" s="222" t="s">
        <v>310</v>
      </c>
      <c r="CD13" s="223">
        <v>400</v>
      </c>
      <c r="CE13" s="223">
        <v>570</v>
      </c>
      <c r="CF13" s="222">
        <f t="shared" si="1"/>
        <v>400</v>
      </c>
      <c r="CG13" s="222"/>
      <c r="CH13" s="222">
        <f t="shared" si="3"/>
        <v>400</v>
      </c>
      <c r="CI13" s="222">
        <v>280</v>
      </c>
      <c r="CJ13" s="224">
        <v>200000</v>
      </c>
      <c r="DA13" s="7" t="str">
        <f>DB13&amp;" - "&amp;DC13</f>
        <v>Bondek II - 1.2</v>
      </c>
      <c r="DB13" s="12" t="s">
        <v>25</v>
      </c>
      <c r="DC13" s="13">
        <v>1.2</v>
      </c>
      <c r="DD13" s="14">
        <f>DC13-0.04</f>
        <v>1.1599999999999999</v>
      </c>
      <c r="DE13" s="15"/>
      <c r="DF13" s="15">
        <v>600</v>
      </c>
      <c r="DG13" s="15">
        <v>54</v>
      </c>
      <c r="DH13" s="15">
        <v>9.7100000000000009</v>
      </c>
      <c r="DI13" s="15">
        <v>500</v>
      </c>
      <c r="DJ13" s="15">
        <v>420</v>
      </c>
      <c r="DK13" s="15">
        <f>76.9*10^4</f>
        <v>769000</v>
      </c>
      <c r="DL13" s="14">
        <f>20.03*10^3</f>
        <v>20030</v>
      </c>
      <c r="DM13" s="16">
        <v>15.5</v>
      </c>
      <c r="DN13" s="15">
        <v>2014</v>
      </c>
      <c r="DO13" s="15">
        <v>168</v>
      </c>
    </row>
    <row r="14" spans="1:127" ht="15.75">
      <c r="A14" s="208" t="s">
        <v>311</v>
      </c>
      <c r="B14" s="209">
        <f t="shared" si="0"/>
        <v>206000</v>
      </c>
      <c r="C14" s="209">
        <v>255</v>
      </c>
      <c r="D14" s="209">
        <v>410</v>
      </c>
      <c r="E14" s="175"/>
      <c r="F14" s="175"/>
      <c r="G14" s="175"/>
      <c r="H14" s="175"/>
      <c r="I14" s="175"/>
      <c r="V14" s="219">
        <v>42</v>
      </c>
      <c r="W14" s="213">
        <v>4.5</v>
      </c>
      <c r="X14" s="220">
        <f t="shared" si="5"/>
        <v>1385.4423602330987</v>
      </c>
      <c r="Y14" s="213">
        <v>1120</v>
      </c>
      <c r="Z14" s="213">
        <v>1.6</v>
      </c>
      <c r="AA14" s="101"/>
      <c r="AB14" s="101"/>
      <c r="AC14" s="101"/>
      <c r="AD14" s="101"/>
      <c r="AE14" s="101"/>
      <c r="AF14" s="101"/>
      <c r="AG14" s="101"/>
      <c r="AH14" s="101"/>
      <c r="AI14" s="101"/>
      <c r="AJ14" s="101"/>
      <c r="AK14" s="101"/>
      <c r="AL14" s="101"/>
      <c r="AM14" s="101"/>
      <c r="AN14" s="101"/>
      <c r="AO14" s="101"/>
      <c r="AP14" s="101"/>
      <c r="AQ14" s="101"/>
      <c r="AR14" s="101"/>
      <c r="AS14" s="101"/>
      <c r="AT14" s="101"/>
      <c r="AV14" s="213">
        <v>510</v>
      </c>
      <c r="AW14" s="213">
        <v>795</v>
      </c>
      <c r="AX14" s="213">
        <v>670</v>
      </c>
      <c r="BI14" s="31" t="s">
        <v>76</v>
      </c>
      <c r="BJ14" s="32" t="s">
        <v>78</v>
      </c>
      <c r="BK14" s="33">
        <v>39000</v>
      </c>
      <c r="BL14" s="34">
        <v>39.5</v>
      </c>
      <c r="BM14" s="34">
        <v>30</v>
      </c>
      <c r="BN14" s="35">
        <v>2.6</v>
      </c>
      <c r="BO14" s="232">
        <v>1.7</v>
      </c>
      <c r="BP14" s="231" t="s">
        <v>312</v>
      </c>
      <c r="BQ14" s="231">
        <f t="shared" si="6"/>
        <v>45</v>
      </c>
      <c r="CC14" s="222" t="s">
        <v>313</v>
      </c>
      <c r="CD14" s="223">
        <v>500</v>
      </c>
      <c r="CE14" s="223">
        <v>650</v>
      </c>
      <c r="CF14" s="222">
        <f t="shared" si="1"/>
        <v>500</v>
      </c>
      <c r="CG14" s="222"/>
      <c r="CH14" s="222">
        <f t="shared" si="3"/>
        <v>500</v>
      </c>
      <c r="CI14" s="222">
        <v>300</v>
      </c>
      <c r="CJ14" s="224">
        <v>200000</v>
      </c>
      <c r="DA14" s="7" t="str">
        <f>DB14&amp;" - "&amp;DC14</f>
        <v>Comflor 46 - 0.9</v>
      </c>
      <c r="DB14" s="17" t="s">
        <v>26</v>
      </c>
      <c r="DC14" s="18">
        <v>0.9</v>
      </c>
      <c r="DD14" s="19">
        <f>DC14-0.04</f>
        <v>0.86</v>
      </c>
      <c r="DE14" s="20"/>
      <c r="DF14" s="20">
        <v>900</v>
      </c>
      <c r="DG14" s="20">
        <v>46</v>
      </c>
      <c r="DH14" s="20"/>
      <c r="DI14" s="20"/>
      <c r="DJ14" s="20"/>
      <c r="DK14" s="20">
        <f>41.5*10^4</f>
        <v>415000</v>
      </c>
      <c r="DL14" s="21">
        <f>DK14/DM14</f>
        <v>20363.101079489697</v>
      </c>
      <c r="DM14" s="22">
        <v>20.38</v>
      </c>
      <c r="DN14" s="20">
        <v>1137</v>
      </c>
      <c r="DO14" s="20">
        <f>105+(105-67)/2</f>
        <v>124</v>
      </c>
    </row>
    <row r="15" spans="1:127" ht="16.5" thickBot="1">
      <c r="A15" s="208" t="s">
        <v>314</v>
      </c>
      <c r="B15" s="209">
        <f t="shared" si="0"/>
        <v>206000</v>
      </c>
      <c r="C15" s="209">
        <v>245</v>
      </c>
      <c r="D15" s="209">
        <v>410</v>
      </c>
      <c r="E15" s="175"/>
      <c r="F15" s="175"/>
      <c r="G15" s="175"/>
      <c r="H15" s="175"/>
      <c r="I15" s="175"/>
      <c r="V15" s="219">
        <v>48</v>
      </c>
      <c r="W15" s="213">
        <v>5</v>
      </c>
      <c r="X15" s="220">
        <f t="shared" si="5"/>
        <v>1809.5573684677208</v>
      </c>
      <c r="Y15" s="213">
        <v>1472</v>
      </c>
      <c r="Z15" s="213">
        <v>1.6</v>
      </c>
      <c r="AA15" s="101"/>
      <c r="AB15" s="101"/>
      <c r="AC15" s="101"/>
      <c r="AD15" s="101"/>
      <c r="AE15" s="101"/>
      <c r="AF15" s="101"/>
      <c r="AG15" s="101"/>
      <c r="AH15" s="101"/>
      <c r="AI15" s="101"/>
      <c r="AJ15" s="101"/>
      <c r="AK15" s="101"/>
      <c r="AL15" s="101"/>
      <c r="AM15" s="101"/>
      <c r="AN15" s="101"/>
      <c r="AO15" s="101"/>
      <c r="AP15" s="101"/>
      <c r="AQ15" s="101"/>
      <c r="AR15" s="101"/>
      <c r="AS15" s="101"/>
      <c r="AT15" s="101"/>
      <c r="AV15" s="213">
        <v>540</v>
      </c>
      <c r="AW15" s="213">
        <v>845</v>
      </c>
      <c r="AX15" s="213">
        <v>710</v>
      </c>
      <c r="BI15" s="36" t="s">
        <v>79</v>
      </c>
      <c r="BJ15" s="37" t="s">
        <v>80</v>
      </c>
      <c r="BK15" s="38">
        <v>39500</v>
      </c>
      <c r="BL15" s="39">
        <v>43</v>
      </c>
      <c r="BM15" s="39">
        <v>33</v>
      </c>
      <c r="BN15" s="40">
        <v>2.75</v>
      </c>
      <c r="BO15" s="234">
        <v>1.8</v>
      </c>
      <c r="BP15" s="231" t="s">
        <v>315</v>
      </c>
      <c r="BQ15" s="231">
        <f t="shared" si="6"/>
        <v>50</v>
      </c>
      <c r="CC15" s="222" t="s">
        <v>316</v>
      </c>
      <c r="CD15" s="223">
        <v>235</v>
      </c>
      <c r="CE15" s="223">
        <v>380</v>
      </c>
      <c r="CF15" s="222">
        <f t="shared" si="1"/>
        <v>235</v>
      </c>
      <c r="CG15" s="222">
        <f t="shared" si="2"/>
        <v>204.34782608695653</v>
      </c>
      <c r="CH15" s="222">
        <f t="shared" si="3"/>
        <v>235</v>
      </c>
      <c r="CI15" s="222">
        <f t="shared" si="4"/>
        <v>164.5</v>
      </c>
      <c r="CJ15" s="235">
        <v>200000</v>
      </c>
      <c r="DA15" s="7" t="str">
        <f>DB15&amp;" - "&amp;DC15</f>
        <v>Comflor 46 - 1.2</v>
      </c>
      <c r="DB15" s="17" t="s">
        <v>26</v>
      </c>
      <c r="DC15" s="18">
        <v>1.2</v>
      </c>
      <c r="DD15" s="19">
        <f>DC15-0.04</f>
        <v>1.1599999999999999</v>
      </c>
      <c r="DE15" s="20"/>
      <c r="DF15" s="20">
        <v>900</v>
      </c>
      <c r="DG15" s="20">
        <v>46</v>
      </c>
      <c r="DH15" s="20"/>
      <c r="DI15" s="20"/>
      <c r="DJ15" s="20"/>
      <c r="DK15" s="20">
        <f>53*10^4</f>
        <v>530000</v>
      </c>
      <c r="DL15" s="21">
        <f>DK15/DM15</f>
        <v>25929.549902152641</v>
      </c>
      <c r="DM15" s="22">
        <v>20.440000000000001</v>
      </c>
      <c r="DN15" s="20">
        <v>1534</v>
      </c>
      <c r="DO15" s="20">
        <v>124</v>
      </c>
    </row>
    <row r="16" spans="1:127" ht="15.75">
      <c r="A16" s="208" t="s">
        <v>317</v>
      </c>
      <c r="B16" s="209">
        <f t="shared" si="0"/>
        <v>206000</v>
      </c>
      <c r="C16" s="209">
        <v>235</v>
      </c>
      <c r="D16" s="209">
        <v>410</v>
      </c>
      <c r="E16" s="175"/>
      <c r="F16" s="175"/>
      <c r="G16" s="175"/>
      <c r="H16" s="175"/>
      <c r="I16" s="175"/>
      <c r="AV16" s="213">
        <v>570</v>
      </c>
      <c r="AW16" s="213">
        <v>890</v>
      </c>
      <c r="AX16" s="213">
        <v>750</v>
      </c>
      <c r="CC16" s="222" t="s">
        <v>318</v>
      </c>
      <c r="CD16" s="223">
        <v>295</v>
      </c>
      <c r="CE16" s="223">
        <v>440</v>
      </c>
      <c r="CF16" s="222">
        <f t="shared" si="1"/>
        <v>295</v>
      </c>
      <c r="CG16" s="222">
        <f t="shared" si="2"/>
        <v>256.52173913043481</v>
      </c>
      <c r="CH16" s="222">
        <f t="shared" si="3"/>
        <v>295</v>
      </c>
      <c r="CI16" s="222">
        <f t="shared" si="4"/>
        <v>206.5</v>
      </c>
      <c r="CJ16" s="235">
        <v>200000</v>
      </c>
      <c r="DA16" s="7" t="str">
        <f>DB16&amp;" - "&amp;DC16</f>
        <v>Comflor 51 - 0.9</v>
      </c>
      <c r="DB16" s="7" t="s">
        <v>27</v>
      </c>
      <c r="DC16" s="8">
        <v>0.9</v>
      </c>
      <c r="DD16" s="9">
        <f>DC16-0.04</f>
        <v>0.86</v>
      </c>
      <c r="DE16" s="10"/>
      <c r="DF16" s="10">
        <v>600</v>
      </c>
      <c r="DG16" s="10">
        <v>51</v>
      </c>
      <c r="DH16" s="10"/>
      <c r="DI16" s="10"/>
      <c r="DJ16" s="10"/>
      <c r="DK16" s="10">
        <f>60.44*10^4</f>
        <v>604400</v>
      </c>
      <c r="DL16" s="23">
        <f>DK16/DM16</f>
        <v>38012.578616352199</v>
      </c>
      <c r="DM16" s="11">
        <v>15.9</v>
      </c>
      <c r="DN16" s="10">
        <v>1578</v>
      </c>
      <c r="DO16" s="10">
        <f>135-(150-135)/2</f>
        <v>127.5</v>
      </c>
    </row>
    <row r="17" spans="1:119" ht="15.75">
      <c r="A17" s="208" t="s">
        <v>319</v>
      </c>
      <c r="B17" s="209">
        <f t="shared" si="0"/>
        <v>206000</v>
      </c>
      <c r="C17" s="209">
        <v>355</v>
      </c>
      <c r="D17" s="209">
        <v>470</v>
      </c>
      <c r="E17" s="175"/>
      <c r="F17" s="175"/>
      <c r="G17" s="175"/>
      <c r="H17" s="175"/>
      <c r="I17" s="175"/>
      <c r="AV17" s="213">
        <v>590</v>
      </c>
      <c r="AW17" s="213">
        <v>920</v>
      </c>
      <c r="AX17" s="213">
        <v>775</v>
      </c>
      <c r="CC17" s="222" t="s">
        <v>320</v>
      </c>
      <c r="CD17" s="223">
        <v>295</v>
      </c>
      <c r="CE17" s="223">
        <v>440</v>
      </c>
      <c r="CF17" s="222">
        <f t="shared" si="1"/>
        <v>295</v>
      </c>
      <c r="CG17" s="222">
        <f t="shared" si="2"/>
        <v>256.52173913043481</v>
      </c>
      <c r="CH17" s="222">
        <f t="shared" si="3"/>
        <v>295</v>
      </c>
      <c r="CI17" s="222">
        <f t="shared" si="4"/>
        <v>206.5</v>
      </c>
      <c r="CJ17" s="235">
        <v>200000</v>
      </c>
      <c r="DA17" s="7" t="str">
        <f>DB17&amp;" - "&amp;DC17</f>
        <v>Comflor 51 - 1</v>
      </c>
      <c r="DB17" s="7" t="s">
        <v>27</v>
      </c>
      <c r="DC17" s="8">
        <v>1</v>
      </c>
      <c r="DD17" s="9">
        <f>DC17-0.04</f>
        <v>0.96</v>
      </c>
      <c r="DE17" s="10"/>
      <c r="DF17" s="10">
        <v>600</v>
      </c>
      <c r="DG17" s="10">
        <v>51</v>
      </c>
      <c r="DH17" s="10"/>
      <c r="DI17" s="10"/>
      <c r="DJ17" s="10"/>
      <c r="DK17" s="10">
        <f>67.09*10^4</f>
        <v>670900</v>
      </c>
      <c r="DL17" s="23">
        <f>DK17/DM17</f>
        <v>40660.606060606064</v>
      </c>
      <c r="DM17" s="11">
        <v>16.5</v>
      </c>
      <c r="DN17" s="10">
        <v>1762</v>
      </c>
      <c r="DO17" s="10">
        <f>DO16</f>
        <v>127.5</v>
      </c>
    </row>
    <row r="18" spans="1:119" ht="15.75">
      <c r="A18" s="208" t="s">
        <v>321</v>
      </c>
      <c r="B18" s="209">
        <f t="shared" si="0"/>
        <v>206000</v>
      </c>
      <c r="C18" s="209">
        <v>345</v>
      </c>
      <c r="D18" s="209">
        <v>470</v>
      </c>
      <c r="E18" s="175"/>
      <c r="F18" s="175"/>
      <c r="G18" s="175"/>
      <c r="H18" s="175"/>
      <c r="I18" s="175"/>
      <c r="AV18" s="213"/>
      <c r="AW18" s="213"/>
      <c r="AX18" s="213"/>
      <c r="CC18" s="222" t="s">
        <v>322</v>
      </c>
      <c r="CD18" s="223">
        <v>390</v>
      </c>
      <c r="CE18" s="223">
        <v>560</v>
      </c>
      <c r="CF18" s="222">
        <f t="shared" si="1"/>
        <v>390</v>
      </c>
      <c r="CG18" s="222">
        <f t="shared" si="2"/>
        <v>339.13043478260875</v>
      </c>
      <c r="CH18" s="222">
        <f t="shared" si="3"/>
        <v>390</v>
      </c>
      <c r="CI18" s="222">
        <f t="shared" si="4"/>
        <v>273</v>
      </c>
      <c r="CJ18" s="233">
        <v>200000</v>
      </c>
      <c r="DA18" s="7" t="str">
        <f>DB18&amp;" - "&amp;DC18</f>
        <v>Comflor 51 - 1.2</v>
      </c>
      <c r="DB18" s="7" t="s">
        <v>27</v>
      </c>
      <c r="DC18" s="8">
        <v>1.2</v>
      </c>
      <c r="DD18" s="9">
        <f>DC18-0.04</f>
        <v>1.1599999999999999</v>
      </c>
      <c r="DE18" s="10"/>
      <c r="DF18" s="10">
        <v>600</v>
      </c>
      <c r="DG18" s="10">
        <v>51</v>
      </c>
      <c r="DH18" s="10"/>
      <c r="DI18" s="10"/>
      <c r="DJ18" s="10"/>
      <c r="DK18" s="10">
        <f>69*10^4</f>
        <v>690000</v>
      </c>
      <c r="DL18" s="23">
        <f>DK18/DM18</f>
        <v>41071.428571428572</v>
      </c>
      <c r="DM18" s="11">
        <v>16.8</v>
      </c>
      <c r="DN18" s="10">
        <v>2137</v>
      </c>
      <c r="DO18" s="10">
        <f>DO17</f>
        <v>127.5</v>
      </c>
    </row>
    <row r="19" spans="1:119">
      <c r="A19" s="208" t="s">
        <v>323</v>
      </c>
      <c r="B19" s="209">
        <f t="shared" si="0"/>
        <v>206000</v>
      </c>
      <c r="C19" s="209">
        <v>335</v>
      </c>
      <c r="D19" s="209">
        <v>470</v>
      </c>
      <c r="E19" s="175"/>
      <c r="F19" s="175"/>
      <c r="G19" s="175"/>
      <c r="H19" s="175"/>
      <c r="I19" s="175"/>
      <c r="AV19" s="213"/>
      <c r="AW19" s="213"/>
      <c r="AX19" s="213"/>
      <c r="CC19" s="222" t="s">
        <v>324</v>
      </c>
      <c r="CD19" s="223">
        <v>490</v>
      </c>
      <c r="CE19" s="223">
        <v>620</v>
      </c>
      <c r="CF19" s="222">
        <f t="shared" si="1"/>
        <v>490</v>
      </c>
      <c r="CG19" s="222">
        <f t="shared" si="2"/>
        <v>426.08695652173918</v>
      </c>
      <c r="CH19" s="222">
        <f t="shared" si="3"/>
        <v>490</v>
      </c>
      <c r="CI19" s="222">
        <f t="shared" si="4"/>
        <v>343</v>
      </c>
      <c r="CJ19" s="235">
        <v>200000</v>
      </c>
    </row>
    <row r="20" spans="1:119">
      <c r="A20" s="208" t="s">
        <v>325</v>
      </c>
      <c r="B20" s="209">
        <f t="shared" si="0"/>
        <v>206000</v>
      </c>
      <c r="C20" s="209">
        <v>325</v>
      </c>
      <c r="D20" s="209">
        <v>470</v>
      </c>
      <c r="E20" s="175"/>
      <c r="F20" s="175"/>
      <c r="G20" s="175"/>
      <c r="H20" s="175"/>
      <c r="I20" s="175"/>
      <c r="AV20" s="213"/>
      <c r="AW20" s="213"/>
      <c r="AX20" s="213"/>
      <c r="CC20" s="236"/>
      <c r="CD20" s="237"/>
      <c r="CE20" s="237"/>
    </row>
    <row r="21" spans="1:119">
      <c r="A21" s="208" t="s">
        <v>326</v>
      </c>
      <c r="B21" s="209">
        <f t="shared" si="0"/>
        <v>206000</v>
      </c>
      <c r="C21" s="209">
        <v>315</v>
      </c>
      <c r="D21" s="209">
        <v>470</v>
      </c>
      <c r="E21" s="175"/>
      <c r="F21" s="175"/>
      <c r="G21" s="175"/>
      <c r="H21" s="175"/>
      <c r="I21" s="175"/>
      <c r="AV21" s="213"/>
      <c r="AW21" s="213"/>
      <c r="AX21" s="213"/>
      <c r="CC21" s="236"/>
      <c r="CD21" s="237"/>
      <c r="CE21" s="237"/>
    </row>
    <row r="22" spans="1:119">
      <c r="A22" s="208" t="s">
        <v>327</v>
      </c>
      <c r="B22" s="209">
        <f t="shared" si="0"/>
        <v>206000</v>
      </c>
      <c r="C22" s="209">
        <v>205</v>
      </c>
      <c r="D22" s="209">
        <v>330</v>
      </c>
      <c r="E22" s="175"/>
      <c r="F22" s="175"/>
      <c r="G22" s="175"/>
      <c r="H22" s="175"/>
      <c r="I22" s="175"/>
      <c r="AV22" s="213"/>
      <c r="AW22" s="213"/>
      <c r="AX22" s="213"/>
    </row>
    <row r="23" spans="1:119">
      <c r="A23" s="208" t="s">
        <v>328</v>
      </c>
      <c r="B23" s="209">
        <f t="shared" si="0"/>
        <v>206000</v>
      </c>
      <c r="C23" s="209">
        <v>195</v>
      </c>
      <c r="D23" s="209">
        <v>330</v>
      </c>
      <c r="E23" s="175"/>
      <c r="F23" s="175"/>
      <c r="G23" s="175"/>
      <c r="H23" s="175"/>
      <c r="I23" s="175"/>
      <c r="AV23" s="213"/>
      <c r="AW23" s="213"/>
      <c r="AX23" s="213"/>
    </row>
    <row r="24" spans="1:119">
      <c r="A24" s="208" t="s">
        <v>329</v>
      </c>
      <c r="B24" s="209">
        <f t="shared" si="0"/>
        <v>206000</v>
      </c>
      <c r="C24" s="209">
        <v>245</v>
      </c>
      <c r="D24" s="209">
        <v>400</v>
      </c>
      <c r="E24" s="175"/>
      <c r="F24" s="175"/>
      <c r="G24" s="175"/>
      <c r="H24" s="175"/>
      <c r="I24" s="175"/>
    </row>
    <row r="25" spans="1:119">
      <c r="A25" s="208" t="s">
        <v>330</v>
      </c>
      <c r="B25" s="209">
        <f t="shared" si="0"/>
        <v>206000</v>
      </c>
      <c r="C25" s="209">
        <v>235</v>
      </c>
      <c r="D25" s="209">
        <v>400</v>
      </c>
      <c r="E25" s="175"/>
      <c r="F25" s="175"/>
      <c r="G25" s="175"/>
      <c r="H25" s="175"/>
      <c r="I25" s="175"/>
    </row>
    <row r="26" spans="1:119">
      <c r="A26" s="208" t="s">
        <v>331</v>
      </c>
      <c r="B26" s="209">
        <f t="shared" si="0"/>
        <v>206000</v>
      </c>
      <c r="C26" s="209">
        <v>285</v>
      </c>
      <c r="D26" s="209">
        <v>490</v>
      </c>
      <c r="E26" s="175"/>
      <c r="F26" s="175"/>
      <c r="G26" s="175"/>
      <c r="H26" s="175"/>
      <c r="I26" s="175"/>
    </row>
    <row r="27" spans="1:119">
      <c r="A27" s="208" t="s">
        <v>332</v>
      </c>
      <c r="B27" s="209">
        <f t="shared" si="0"/>
        <v>206000</v>
      </c>
      <c r="C27" s="209">
        <v>275</v>
      </c>
      <c r="D27" s="209">
        <v>490</v>
      </c>
      <c r="E27" s="175"/>
      <c r="F27" s="175"/>
      <c r="G27" s="175"/>
      <c r="H27" s="175"/>
      <c r="I27" s="175"/>
    </row>
    <row r="28" spans="1:119">
      <c r="A28" s="208" t="s">
        <v>333</v>
      </c>
      <c r="B28" s="209">
        <f t="shared" si="0"/>
        <v>206000</v>
      </c>
      <c r="C28" s="209">
        <v>400</v>
      </c>
      <c r="D28" s="209">
        <v>540</v>
      </c>
      <c r="E28" s="175"/>
      <c r="F28" s="175"/>
      <c r="G28" s="175"/>
      <c r="H28" s="175"/>
      <c r="I28" s="175"/>
    </row>
    <row r="29" spans="1:119">
      <c r="A29" s="208" t="s">
        <v>334</v>
      </c>
      <c r="B29" s="209">
        <f t="shared" si="0"/>
        <v>206000</v>
      </c>
      <c r="C29" s="209">
        <v>390</v>
      </c>
      <c r="D29" s="209">
        <v>540</v>
      </c>
      <c r="E29" s="175"/>
      <c r="F29" s="175"/>
      <c r="G29" s="175"/>
      <c r="H29" s="175"/>
      <c r="I29" s="175"/>
    </row>
  </sheetData>
  <mergeCells count="28">
    <mergeCell ref="DD1:DD4"/>
    <mergeCell ref="DL1:DL4"/>
    <mergeCell ref="DK1:DK4"/>
    <mergeCell ref="DA1:DB4"/>
    <mergeCell ref="DC1:DC4"/>
    <mergeCell ref="DJ1:DJ4"/>
    <mergeCell ref="DI1:DI4"/>
    <mergeCell ref="DH1:DH4"/>
    <mergeCell ref="DG1:DG4"/>
    <mergeCell ref="DF1:DF4"/>
    <mergeCell ref="DE1:DE4"/>
    <mergeCell ref="DO1:DO4"/>
    <mergeCell ref="DN1:DN4"/>
    <mergeCell ref="BL2:BM2"/>
    <mergeCell ref="BN2:BO2"/>
    <mergeCell ref="CC2:CC3"/>
    <mergeCell ref="BP3:BP4"/>
    <mergeCell ref="DM1:DM4"/>
    <mergeCell ref="BK1:BK3"/>
    <mergeCell ref="BL1:BO1"/>
    <mergeCell ref="BP1:BQ2"/>
    <mergeCell ref="CC1:CJ1"/>
    <mergeCell ref="A1:A2"/>
    <mergeCell ref="K1:O2"/>
    <mergeCell ref="V1:Z2"/>
    <mergeCell ref="AV1:AX1"/>
    <mergeCell ref="AZ1:BB1"/>
    <mergeCell ref="BI1:BJ4"/>
  </mergeCells>
  <pageMargins left="0.59055118110236227" right="0.31496062992125984" top="0.59055118110236227" bottom="0.59055118110236227" header="0.31496062992125984" footer="0.31496062992125984"/>
  <pageSetup orientation="portrait"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DDB6-365D-4184-BB83-0AD8F3BD7053}">
  <sheetPr codeName="Sheet3">
    <tabColor rgb="FFC00000"/>
  </sheetPr>
  <dimension ref="B1:M182"/>
  <sheetViews>
    <sheetView showGridLines="0" tabSelected="1" zoomScale="145" zoomScaleNormal="145" zoomScaleSheetLayoutView="100" workbookViewId="0">
      <selection activeCell="O15" sqref="O15"/>
    </sheetView>
  </sheetViews>
  <sheetFormatPr defaultColWidth="7.28515625" defaultRowHeight="12.75"/>
  <cols>
    <col min="1" max="4" width="7.28515625" style="1"/>
    <col min="5" max="5" width="7.28515625" style="1" customWidth="1"/>
    <col min="6" max="6" width="7.7109375" style="1" bestFit="1" customWidth="1"/>
    <col min="7" max="7" width="7.28515625" style="1"/>
    <col min="8" max="8" width="8.7109375" style="1" bestFit="1" customWidth="1"/>
    <col min="9" max="10" width="8.28515625" style="1" customWidth="1"/>
    <col min="11" max="11" width="6.85546875" style="1" customWidth="1"/>
    <col min="12" max="12" width="9.5703125" style="1" customWidth="1"/>
    <col min="13" max="16384" width="7.28515625" style="1"/>
  </cols>
  <sheetData>
    <row r="1" spans="2:13" ht="15" customHeight="1"/>
    <row r="2" spans="2:13" ht="12.75" customHeight="1">
      <c r="B2" s="119" t="s">
        <v>28</v>
      </c>
      <c r="C2" s="120"/>
      <c r="D2" s="120"/>
      <c r="E2" s="120"/>
      <c r="F2" s="120"/>
      <c r="G2" s="120"/>
      <c r="H2" s="120"/>
      <c r="I2" s="123" t="str">
        <f>F12&amp;" - h = " &amp;G18</f>
        <v>H50W1000 - 0.75 - h = 150</v>
      </c>
      <c r="J2" s="123"/>
      <c r="K2" s="123"/>
      <c r="L2" s="123"/>
      <c r="M2" s="124"/>
    </row>
    <row r="3" spans="2:13" ht="12.75" customHeight="1">
      <c r="B3" s="121"/>
      <c r="C3" s="122"/>
      <c r="D3" s="122"/>
      <c r="E3" s="122"/>
      <c r="F3" s="122"/>
      <c r="G3" s="122"/>
      <c r="H3" s="122"/>
      <c r="I3" s="125"/>
      <c r="J3" s="125"/>
      <c r="K3" s="125"/>
      <c r="L3" s="125"/>
      <c r="M3" s="126"/>
    </row>
    <row r="4" spans="2:13" ht="12.75" customHeight="1">
      <c r="B4" s="26" t="s">
        <v>31</v>
      </c>
      <c r="C4" s="133"/>
      <c r="D4" s="134"/>
      <c r="E4" s="135"/>
      <c r="F4" s="136"/>
      <c r="G4" s="136"/>
      <c r="H4" s="136"/>
      <c r="I4" s="136"/>
      <c r="J4" s="136"/>
      <c r="K4" s="137"/>
      <c r="L4" s="137"/>
      <c r="M4" s="25"/>
    </row>
    <row r="5" spans="2:13" ht="12.75" customHeight="1">
      <c r="B5" s="24"/>
      <c r="C5" s="133" t="str">
        <f>"1."</f>
        <v>1.</v>
      </c>
      <c r="D5" s="134" t="s">
        <v>29</v>
      </c>
      <c r="E5" s="135"/>
      <c r="F5" s="136"/>
      <c r="G5" s="136"/>
      <c r="H5" s="136"/>
      <c r="I5" s="136"/>
      <c r="J5" s="136"/>
      <c r="K5" s="137"/>
      <c r="L5" s="137"/>
      <c r="M5" s="25"/>
    </row>
    <row r="6" spans="2:13" ht="12.75" customHeight="1">
      <c r="B6" s="24"/>
      <c r="C6" s="133" t="str">
        <f>"2."</f>
        <v>2.</v>
      </c>
      <c r="D6" s="134" t="s">
        <v>30</v>
      </c>
      <c r="E6" s="135"/>
      <c r="F6" s="136"/>
      <c r="G6" s="136"/>
      <c r="H6" s="136"/>
      <c r="I6" s="136"/>
      <c r="J6" s="136"/>
      <c r="K6" s="137"/>
      <c r="L6" s="137"/>
      <c r="M6" s="25"/>
    </row>
    <row r="7" spans="2:13" ht="12.75" customHeight="1">
      <c r="B7" s="24"/>
      <c r="C7" s="133" t="str">
        <f>"3."</f>
        <v>3.</v>
      </c>
      <c r="D7" s="134" t="s">
        <v>32</v>
      </c>
      <c r="E7" s="135"/>
      <c r="F7" s="136"/>
      <c r="G7" s="136"/>
      <c r="H7" s="136"/>
      <c r="I7" s="136"/>
      <c r="J7" s="136"/>
      <c r="K7" s="137"/>
      <c r="L7" s="137"/>
      <c r="M7" s="25"/>
    </row>
    <row r="8" spans="2:13" ht="12.75" customHeight="1">
      <c r="B8" s="24"/>
      <c r="C8" s="133" t="str">
        <f>"4."</f>
        <v>4.</v>
      </c>
      <c r="D8" s="134" t="s">
        <v>33</v>
      </c>
      <c r="E8" s="135"/>
      <c r="F8" s="136"/>
      <c r="G8" s="136"/>
      <c r="H8" s="136"/>
      <c r="I8" s="136"/>
      <c r="J8" s="136"/>
      <c r="K8" s="137"/>
      <c r="L8" s="137"/>
      <c r="M8" s="25"/>
    </row>
    <row r="9" spans="2:13" ht="12.75" customHeight="1">
      <c r="B9" s="24"/>
      <c r="C9" s="135"/>
      <c r="D9" s="135"/>
      <c r="E9" s="135"/>
      <c r="F9" s="136"/>
      <c r="G9" s="136"/>
      <c r="H9" s="136"/>
      <c r="I9" s="136"/>
      <c r="J9" s="136"/>
      <c r="K9" s="137"/>
      <c r="L9" s="137"/>
      <c r="M9" s="25"/>
    </row>
    <row r="10" spans="2:13" ht="12.75" customHeight="1">
      <c r="B10" s="117" t="s">
        <v>0</v>
      </c>
      <c r="C10" s="118"/>
      <c r="D10" s="118"/>
      <c r="E10" s="138"/>
      <c r="F10" s="138"/>
      <c r="G10" s="138"/>
      <c r="H10" s="138"/>
      <c r="I10" s="138"/>
      <c r="J10" s="138"/>
      <c r="K10" s="138"/>
      <c r="L10" s="138"/>
      <c r="M10" s="2"/>
    </row>
    <row r="11" spans="2:13" ht="12.75" customHeight="1">
      <c r="B11" s="3" t="s">
        <v>34</v>
      </c>
      <c r="C11" s="135"/>
      <c r="D11" s="135"/>
      <c r="E11" s="135"/>
      <c r="F11" s="139"/>
      <c r="G11" s="139"/>
      <c r="H11" s="136"/>
      <c r="I11" s="136"/>
      <c r="J11" s="136"/>
      <c r="K11" s="137"/>
      <c r="L11" s="137"/>
      <c r="M11" s="25"/>
    </row>
    <row r="12" spans="2:13" ht="12.75" customHeight="1">
      <c r="B12" s="24"/>
      <c r="C12" s="138" t="str">
        <f>"- Loại tôn sử dụng:"</f>
        <v>- Loại tôn sử dụng:</v>
      </c>
      <c r="D12" s="135"/>
      <c r="E12" s="135"/>
      <c r="F12" s="140" t="s">
        <v>236</v>
      </c>
      <c r="G12" s="140"/>
      <c r="H12" s="140"/>
      <c r="I12" s="136"/>
      <c r="J12" s="136"/>
      <c r="K12" s="137"/>
      <c r="L12" s="137"/>
      <c r="M12" s="25"/>
    </row>
    <row r="13" spans="2:13" ht="12.75" customHeight="1">
      <c r="B13" s="24"/>
      <c r="C13" s="138" t="str">
        <f>"- Chiều dày thô:"</f>
        <v>- Chiều dày thô:</v>
      </c>
      <c r="D13" s="135"/>
      <c r="E13" s="139"/>
      <c r="F13" s="133" t="s">
        <v>3</v>
      </c>
      <c r="G13" s="142">
        <f>VLOOKUP(F12,Data!$DA$6:$DO$18,3,FALSE)</f>
        <v>0.75</v>
      </c>
      <c r="H13" s="134" t="s">
        <v>2</v>
      </c>
      <c r="I13" s="136"/>
      <c r="J13" s="136"/>
      <c r="K13" s="137"/>
      <c r="L13" s="137"/>
      <c r="M13" s="25"/>
    </row>
    <row r="14" spans="2:13" ht="12.75" customHeight="1">
      <c r="B14" s="27"/>
      <c r="C14" s="138" t="str">
        <f>"- Chiều dày tinh:"</f>
        <v>- Chiều dày tinh:</v>
      </c>
      <c r="D14" s="135"/>
      <c r="E14" s="139"/>
      <c r="F14" s="133" t="s">
        <v>35</v>
      </c>
      <c r="G14" s="142">
        <f>VLOOKUP(F12,Data!$DA$6:$DO$18,4,FALSE)</f>
        <v>0.71</v>
      </c>
      <c r="H14" s="134" t="s">
        <v>2</v>
      </c>
      <c r="I14" s="142"/>
      <c r="J14" s="142"/>
      <c r="K14" s="142"/>
      <c r="L14" s="142"/>
      <c r="M14" s="28"/>
    </row>
    <row r="15" spans="2:13" ht="12.75" customHeight="1">
      <c r="B15" s="27"/>
      <c r="C15" s="138" t="str">
        <f>"- Chiều cao sóng tôn:"</f>
        <v>- Chiều cao sóng tôn:</v>
      </c>
      <c r="D15" s="135"/>
      <c r="E15" s="139"/>
      <c r="F15" s="133" t="s">
        <v>36</v>
      </c>
      <c r="G15" s="142">
        <f>VLOOKUP(F12,Data!$DA$6:$DO$18,7,FALSE)</f>
        <v>50</v>
      </c>
      <c r="H15" s="134" t="s">
        <v>2</v>
      </c>
      <c r="I15" s="142"/>
      <c r="J15" s="142"/>
      <c r="K15" s="142"/>
      <c r="L15" s="142"/>
      <c r="M15" s="28"/>
    </row>
    <row r="16" spans="2:13" ht="12.75" customHeight="1">
      <c r="B16" s="27"/>
      <c r="C16" s="138" t="str">
        <f>"- Độ dài bản bụng:"</f>
        <v>- Độ dài bản bụng:</v>
      </c>
      <c r="D16" s="135"/>
      <c r="E16" s="139"/>
      <c r="F16" s="133" t="s">
        <v>37</v>
      </c>
      <c r="G16" s="141">
        <v>60</v>
      </c>
      <c r="H16" s="134" t="s">
        <v>2</v>
      </c>
      <c r="I16" s="142"/>
      <c r="J16" s="142"/>
      <c r="K16" s="142"/>
      <c r="L16" s="142"/>
      <c r="M16" s="28"/>
    </row>
    <row r="17" spans="2:13" ht="12.75" customHeight="1">
      <c r="B17" s="3" t="s">
        <v>40</v>
      </c>
      <c r="C17" s="142"/>
      <c r="D17" s="142"/>
      <c r="E17" s="142"/>
      <c r="F17" s="142"/>
      <c r="G17" s="142"/>
      <c r="H17" s="142"/>
      <c r="I17" s="142"/>
      <c r="J17" s="142"/>
      <c r="K17" s="142"/>
      <c r="L17" s="142"/>
      <c r="M17" s="28"/>
    </row>
    <row r="18" spans="2:13" ht="12.75" customHeight="1">
      <c r="B18" s="27"/>
      <c r="C18" s="138" t="str">
        <f>"- Chiều dày sàn:"</f>
        <v>- Chiều dày sàn:</v>
      </c>
      <c r="D18" s="135"/>
      <c r="E18" s="139"/>
      <c r="F18" s="133" t="s">
        <v>38</v>
      </c>
      <c r="G18" s="141">
        <v>150</v>
      </c>
      <c r="H18" s="134" t="s">
        <v>2</v>
      </c>
      <c r="I18" s="135"/>
      <c r="J18" s="135"/>
      <c r="K18" s="135"/>
      <c r="L18" s="141"/>
      <c r="M18" s="30"/>
    </row>
    <row r="19" spans="2:13" ht="12.75" customHeight="1">
      <c r="B19" s="27"/>
      <c r="C19" s="138" t="str">
        <f>"- Chiều dày phần bê tông:"</f>
        <v>- Chiều dày phần bê tông:</v>
      </c>
      <c r="D19" s="135"/>
      <c r="E19" s="139"/>
      <c r="F19" s="133" t="s">
        <v>193</v>
      </c>
      <c r="G19" s="142">
        <f>G18-G15</f>
        <v>100</v>
      </c>
      <c r="H19" s="134" t="s">
        <v>2</v>
      </c>
      <c r="I19" s="135"/>
      <c r="J19" s="135"/>
      <c r="K19" s="135"/>
      <c r="L19" s="142"/>
      <c r="M19" s="30"/>
    </row>
    <row r="20" spans="2:13" ht="12.75" customHeight="1">
      <c r="B20" s="27"/>
      <c r="C20" s="138" t="str">
        <f>"- Khoảng cách dầm phụ:"</f>
        <v>- Khoảng cách dầm phụ:</v>
      </c>
      <c r="D20" s="135"/>
      <c r="E20" s="139"/>
      <c r="F20" s="133" t="s">
        <v>39</v>
      </c>
      <c r="G20" s="141">
        <v>1100</v>
      </c>
      <c r="H20" s="134" t="s">
        <v>2</v>
      </c>
      <c r="I20" s="135"/>
      <c r="J20" s="135"/>
      <c r="K20" s="135"/>
      <c r="L20" s="141"/>
      <c r="M20" s="30"/>
    </row>
    <row r="21" spans="2:13" ht="12.75" customHeight="1">
      <c r="B21" s="27"/>
      <c r="C21" s="138" t="str">
        <f>"- Cấp độ bền:"</f>
        <v>- Cấp độ bền:</v>
      </c>
      <c r="D21" s="135"/>
      <c r="E21" s="133"/>
      <c r="F21" s="133"/>
      <c r="G21" s="141" t="s">
        <v>69</v>
      </c>
      <c r="H21" s="134"/>
      <c r="I21" s="104" t="str">
        <f>"- Cấp độ bền:"</f>
        <v>- Cấp độ bền:</v>
      </c>
      <c r="J21" s="135"/>
      <c r="K21" s="139"/>
      <c r="L21" s="141" t="s">
        <v>202</v>
      </c>
      <c r="M21" s="30"/>
    </row>
    <row r="22" spans="2:13" ht="12.75" customHeight="1">
      <c r="B22" s="27"/>
      <c r="C22" s="138" t="str">
        <f>"- Module đàn hồi:"</f>
        <v>- Module đàn hồi:</v>
      </c>
      <c r="D22" s="135"/>
      <c r="E22" s="139"/>
      <c r="F22" s="133" t="s">
        <v>55</v>
      </c>
      <c r="G22" s="142">
        <f>VLOOKUP(G21,Data!$BJ$5:$BQ$15,2,FALSE)</f>
        <v>32500</v>
      </c>
      <c r="H22" s="134" t="s">
        <v>1</v>
      </c>
      <c r="I22" s="104" t="str">
        <f>"- Giới hạn chảy:"</f>
        <v>- Giới hạn chảy:</v>
      </c>
      <c r="J22" s="135"/>
      <c r="K22" s="133" t="s">
        <v>203</v>
      </c>
      <c r="L22" s="142">
        <f>VLOOKUP(L21,Data!$CC$4:$CJ$99,2,FALSE)</f>
        <v>300</v>
      </c>
      <c r="M22" s="30" t="s">
        <v>1</v>
      </c>
    </row>
    <row r="23" spans="2:13" ht="12.75" customHeight="1">
      <c r="B23" s="27"/>
      <c r="C23" s="138" t="str">
        <f>"- Cường độ chịu nén (EC2):"</f>
        <v>- Cường độ chịu nén (EC2):</v>
      </c>
      <c r="D23" s="135"/>
      <c r="E23" s="139"/>
      <c r="F23" s="133" t="s">
        <v>186</v>
      </c>
      <c r="G23" s="142">
        <f>VLOOKUP(G21,Data!$BJ$5:$BQ$15,8,FALSE)</f>
        <v>25</v>
      </c>
      <c r="H23" s="134" t="s">
        <v>1</v>
      </c>
      <c r="I23" s="104" t="str">
        <f>"- Bố trí cốt thép:"</f>
        <v>- Bố trí cốt thép:</v>
      </c>
      <c r="J23" s="135"/>
      <c r="K23" s="143">
        <v>8</v>
      </c>
      <c r="L23" s="144">
        <v>200</v>
      </c>
      <c r="M23" s="30"/>
    </row>
    <row r="24" spans="2:13" ht="12.75" customHeight="1">
      <c r="B24" s="27"/>
      <c r="C24" s="138" t="str">
        <f>"- Cường độ chịu nén thiết kế (EC2):"</f>
        <v>- Cường độ chịu nén thiết kế (EC2):</v>
      </c>
      <c r="D24" s="29"/>
      <c r="E24" s="29"/>
      <c r="F24" s="174" t="s">
        <v>335</v>
      </c>
      <c r="G24" s="241">
        <f>G23/G50</f>
        <v>16.666666666666668</v>
      </c>
      <c r="H24" s="134" t="s">
        <v>1</v>
      </c>
      <c r="I24" s="104" t="str">
        <f>"- Diện tích:"</f>
        <v>- Diện tích:</v>
      </c>
      <c r="J24" s="135"/>
      <c r="K24" s="133" t="s">
        <v>204</v>
      </c>
      <c r="L24" s="145">
        <f>PI()*K23^2/4*(1000/L23)</f>
        <v>251.32741228718345</v>
      </c>
      <c r="M24" s="30" t="s">
        <v>205</v>
      </c>
    </row>
    <row r="25" spans="2:13" ht="12.75" customHeight="1">
      <c r="B25" s="3" t="s">
        <v>160</v>
      </c>
      <c r="C25" s="138"/>
      <c r="D25" s="135"/>
      <c r="E25" s="139"/>
      <c r="F25" s="133"/>
      <c r="G25" s="142"/>
      <c r="H25" s="134"/>
      <c r="I25" s="138"/>
      <c r="J25" s="135"/>
      <c r="K25" s="133"/>
      <c r="L25" s="141"/>
      <c r="M25" s="30"/>
    </row>
    <row r="26" spans="2:13" ht="12.75" customHeight="1">
      <c r="B26" s="27"/>
      <c r="C26" s="129" t="s">
        <v>170</v>
      </c>
      <c r="D26" s="129"/>
      <c r="E26" s="129"/>
      <c r="F26" s="129"/>
      <c r="G26" s="129"/>
      <c r="H26" s="129"/>
      <c r="I26" s="46" t="s">
        <v>173</v>
      </c>
      <c r="J26" s="45" t="s">
        <v>171</v>
      </c>
      <c r="K26" s="45" t="s">
        <v>172</v>
      </c>
      <c r="L26" s="45" t="s">
        <v>174</v>
      </c>
      <c r="M26" s="30"/>
    </row>
    <row r="27" spans="2:13" ht="12.75" customHeight="1">
      <c r="B27" s="27"/>
      <c r="C27" s="47" t="s">
        <v>161</v>
      </c>
      <c r="D27" s="48"/>
      <c r="E27" s="49"/>
      <c r="F27" s="50"/>
      <c r="G27" s="51"/>
      <c r="H27" s="52"/>
      <c r="I27" s="47"/>
      <c r="J27" s="60"/>
      <c r="K27" s="61"/>
      <c r="L27" s="62"/>
      <c r="M27" s="30"/>
    </row>
    <row r="28" spans="2:13" ht="12.75" customHeight="1">
      <c r="B28" s="27"/>
      <c r="C28" s="53"/>
      <c r="D28" s="138" t="s">
        <v>162</v>
      </c>
      <c r="E28" s="139"/>
      <c r="F28" s="133"/>
      <c r="G28" s="142"/>
      <c r="H28" s="134"/>
      <c r="I28" s="64">
        <v>1.35</v>
      </c>
      <c r="J28" s="67">
        <f>L59</f>
        <v>3.1281249999999998</v>
      </c>
      <c r="K28" s="67">
        <f>IF(J28=0,"",I28*J28)</f>
        <v>4.2229687499999997</v>
      </c>
      <c r="L28" s="68" t="s">
        <v>101</v>
      </c>
      <c r="M28" s="30"/>
    </row>
    <row r="29" spans="2:13" ht="12.75" customHeight="1">
      <c r="B29" s="27"/>
      <c r="C29" s="53"/>
      <c r="D29" s="138" t="s">
        <v>163</v>
      </c>
      <c r="E29" s="139"/>
      <c r="F29" s="133"/>
      <c r="G29" s="142"/>
      <c r="H29" s="134"/>
      <c r="I29" s="65">
        <v>1.35</v>
      </c>
      <c r="J29" s="67">
        <f>L58</f>
        <v>7.1500000000000008E-2</v>
      </c>
      <c r="K29" s="67">
        <f t="shared" ref="K29:K32" si="0">IF(J29=0,"",I29*J29)</f>
        <v>9.6525000000000014E-2</v>
      </c>
      <c r="L29" s="68" t="s">
        <v>101</v>
      </c>
      <c r="M29" s="30"/>
    </row>
    <row r="30" spans="2:13" ht="12.75" customHeight="1">
      <c r="B30" s="27"/>
      <c r="C30" s="53"/>
      <c r="D30" s="138" t="s">
        <v>164</v>
      </c>
      <c r="E30" s="139"/>
      <c r="F30" s="133"/>
      <c r="G30" s="142"/>
      <c r="H30" s="134"/>
      <c r="I30" s="65">
        <v>1.35</v>
      </c>
      <c r="J30" s="63">
        <v>1</v>
      </c>
      <c r="K30" s="67">
        <f t="shared" si="0"/>
        <v>1.35</v>
      </c>
      <c r="L30" s="68" t="s">
        <v>101</v>
      </c>
      <c r="M30" s="30"/>
    </row>
    <row r="31" spans="2:13" ht="12.75" customHeight="1">
      <c r="B31" s="27"/>
      <c r="C31" s="53"/>
      <c r="D31" s="138" t="s">
        <v>165</v>
      </c>
      <c r="E31" s="139"/>
      <c r="F31" s="133"/>
      <c r="G31" s="142"/>
      <c r="H31" s="134"/>
      <c r="I31" s="65">
        <v>1.35</v>
      </c>
      <c r="J31" s="63">
        <v>0</v>
      </c>
      <c r="K31" s="67" t="str">
        <f t="shared" si="0"/>
        <v/>
      </c>
      <c r="L31" s="68" t="s">
        <v>101</v>
      </c>
      <c r="M31" s="30"/>
    </row>
    <row r="32" spans="2:13" ht="12.75" customHeight="1">
      <c r="B32" s="27"/>
      <c r="C32" s="53"/>
      <c r="D32" s="138" t="s">
        <v>166</v>
      </c>
      <c r="E32" s="139"/>
      <c r="F32" s="133"/>
      <c r="G32" s="142"/>
      <c r="H32" s="134"/>
      <c r="I32" s="65">
        <v>1.35</v>
      </c>
      <c r="J32" s="63">
        <v>0</v>
      </c>
      <c r="K32" s="67" t="str">
        <f t="shared" si="0"/>
        <v/>
      </c>
      <c r="L32" s="68" t="s">
        <v>101</v>
      </c>
      <c r="M32" s="30"/>
    </row>
    <row r="33" spans="2:13" ht="12.75" customHeight="1">
      <c r="B33" s="27"/>
      <c r="C33" s="70" t="s">
        <v>167</v>
      </c>
      <c r="D33" s="71"/>
      <c r="E33" s="72"/>
      <c r="F33" s="73"/>
      <c r="G33" s="74"/>
      <c r="H33" s="75"/>
      <c r="I33" s="70"/>
      <c r="J33" s="76"/>
      <c r="K33" s="77"/>
      <c r="L33" s="78"/>
      <c r="M33" s="30"/>
    </row>
    <row r="34" spans="2:13" ht="12.75" customHeight="1">
      <c r="B34" s="27"/>
      <c r="C34" s="59"/>
      <c r="D34" s="54" t="s">
        <v>168</v>
      </c>
      <c r="E34" s="55"/>
      <c r="F34" s="56"/>
      <c r="G34" s="57"/>
      <c r="H34" s="58"/>
      <c r="I34" s="66">
        <v>1.5</v>
      </c>
      <c r="J34" s="63">
        <v>4</v>
      </c>
      <c r="K34" s="69">
        <f>J34*I34</f>
        <v>6</v>
      </c>
      <c r="L34" s="69" t="s">
        <v>101</v>
      </c>
      <c r="M34" s="30"/>
    </row>
    <row r="35" spans="2:13" ht="12.75" customHeight="1">
      <c r="B35" s="27"/>
      <c r="C35" s="130" t="s">
        <v>169</v>
      </c>
      <c r="D35" s="131"/>
      <c r="E35" s="131"/>
      <c r="F35" s="131"/>
      <c r="G35" s="131"/>
      <c r="H35" s="131"/>
      <c r="I35" s="132"/>
      <c r="J35" s="79">
        <f>SUM(J28:J32,J34)</f>
        <v>8.1996249999999993</v>
      </c>
      <c r="K35" s="79">
        <f>SUM(K28:K32,K34)</f>
        <v>11.669493749999999</v>
      </c>
      <c r="L35" s="45" t="s">
        <v>101</v>
      </c>
      <c r="M35" s="30"/>
    </row>
    <row r="36" spans="2:13" ht="12.75" customHeight="1">
      <c r="B36" s="27"/>
      <c r="C36" s="138"/>
      <c r="D36" s="135"/>
      <c r="E36" s="139"/>
      <c r="F36" s="133"/>
      <c r="G36" s="142"/>
      <c r="H36" s="134"/>
      <c r="I36" s="138"/>
      <c r="J36" s="135"/>
      <c r="K36" s="133"/>
      <c r="L36" s="141"/>
      <c r="M36" s="30"/>
    </row>
    <row r="37" spans="2:13" ht="12.75" customHeight="1">
      <c r="B37" s="3" t="s">
        <v>41</v>
      </c>
      <c r="C37" s="138"/>
      <c r="D37" s="135"/>
      <c r="E37" s="133"/>
      <c r="F37" s="141"/>
      <c r="G37" s="134"/>
      <c r="H37" s="142"/>
      <c r="I37" s="142"/>
      <c r="J37" s="142"/>
      <c r="K37" s="142"/>
      <c r="L37" s="142"/>
      <c r="M37" s="28"/>
    </row>
    <row r="38" spans="2:13" ht="12.75" customHeight="1">
      <c r="B38" s="27"/>
      <c r="C38" s="138" t="str">
        <f>"- Diện tích hữu hiệu:"</f>
        <v>- Diện tích hữu hiệu:</v>
      </c>
      <c r="D38" s="135"/>
      <c r="E38" s="139"/>
      <c r="F38" s="139"/>
      <c r="G38" s="139"/>
      <c r="H38" s="139"/>
      <c r="I38" s="139"/>
      <c r="J38" s="139"/>
      <c r="K38" s="133" t="s">
        <v>42</v>
      </c>
      <c r="L38" s="142">
        <f>VLOOKUP(F12,Data!$DA$6:$DO$18,14,FALSE)</f>
        <v>852</v>
      </c>
      <c r="M38" s="30" t="s">
        <v>43</v>
      </c>
    </row>
    <row r="39" spans="2:13" ht="12.75" customHeight="1">
      <c r="B39" s="27"/>
      <c r="C39" s="138" t="str">
        <f>"- Khoảng cách từ mép dưới đến trọng tâm:"</f>
        <v>- Khoảng cách từ mép dưới đến trọng tâm:</v>
      </c>
      <c r="D39" s="135"/>
      <c r="E39" s="139"/>
      <c r="F39" s="139"/>
      <c r="G39" s="139"/>
      <c r="H39" s="139"/>
      <c r="I39" s="139"/>
      <c r="J39" s="139"/>
      <c r="K39" s="133" t="s">
        <v>44</v>
      </c>
      <c r="L39" s="146">
        <f>VLOOKUP(F12,Data!$DA$6:$DO$18,13,FALSE)</f>
        <v>30.681253107906514</v>
      </c>
      <c r="M39" s="30" t="s">
        <v>2</v>
      </c>
    </row>
    <row r="40" spans="2:13" ht="12.75" customHeight="1">
      <c r="B40" s="27"/>
      <c r="C40" s="138" t="str">
        <f>"- Moment quán tính của tấm tôn:"</f>
        <v>- Moment quán tính của tấm tôn:</v>
      </c>
      <c r="D40" s="135"/>
      <c r="E40" s="139"/>
      <c r="F40" s="139"/>
      <c r="G40" s="139"/>
      <c r="H40" s="139"/>
      <c r="I40" s="139"/>
      <c r="J40" s="139"/>
      <c r="K40" s="133" t="s">
        <v>45</v>
      </c>
      <c r="L40" s="147">
        <f>VLOOKUP(F12,Data!$DA$6:$DO$18,11,FALSE)</f>
        <v>617000</v>
      </c>
      <c r="M40" s="30" t="s">
        <v>46</v>
      </c>
    </row>
    <row r="41" spans="2:13" ht="12.75" customHeight="1">
      <c r="B41" s="27"/>
      <c r="C41" s="138" t="str">
        <f>"- Bề rộng trung bình của sóng tôn:"</f>
        <v>- Bề rộng trung bình của sóng tôn:</v>
      </c>
      <c r="D41" s="135"/>
      <c r="E41" s="139"/>
      <c r="F41" s="139"/>
      <c r="G41" s="139"/>
      <c r="H41" s="139"/>
      <c r="I41" s="139"/>
      <c r="J41" s="139"/>
      <c r="K41" s="133" t="s">
        <v>47</v>
      </c>
      <c r="L41" s="146">
        <f>VLOOKUP(F12,Data!$DA$6:$DO$18,15,FALSE)</f>
        <v>167.5</v>
      </c>
      <c r="M41" s="30" t="s">
        <v>2</v>
      </c>
    </row>
    <row r="42" spans="2:13" ht="12.75" customHeight="1">
      <c r="B42" s="27"/>
      <c r="C42" s="138" t="str">
        <f>"- Giới hạn đàn hồi của vật liệu làm tôn:"</f>
        <v>- Giới hạn đàn hồi của vật liệu làm tôn:</v>
      </c>
      <c r="D42" s="135"/>
      <c r="E42" s="139"/>
      <c r="F42" s="139"/>
      <c r="G42" s="139"/>
      <c r="H42" s="139"/>
      <c r="I42" s="139"/>
      <c r="J42" s="139"/>
      <c r="K42" s="133" t="s">
        <v>48</v>
      </c>
      <c r="L42" s="145">
        <f>VLOOKUP(F12,Data!$DA$6:$DO$18,10,FALSE)</f>
        <v>280</v>
      </c>
      <c r="M42" s="30" t="s">
        <v>1</v>
      </c>
    </row>
    <row r="43" spans="2:13" ht="12.75" customHeight="1">
      <c r="B43" s="127" t="s">
        <v>49</v>
      </c>
      <c r="C43" s="148"/>
      <c r="D43" s="148"/>
      <c r="E43" s="148"/>
      <c r="F43" s="148"/>
      <c r="G43" s="148"/>
      <c r="H43" s="148"/>
      <c r="I43" s="148"/>
      <c r="J43" s="148"/>
      <c r="K43" s="148"/>
      <c r="L43" s="148"/>
      <c r="M43" s="128"/>
    </row>
    <row r="44" spans="2:13" ht="12.75" customHeight="1">
      <c r="B44" s="127"/>
      <c r="C44" s="148"/>
      <c r="D44" s="148"/>
      <c r="E44" s="148"/>
      <c r="F44" s="148"/>
      <c r="G44" s="148"/>
      <c r="H44" s="148"/>
      <c r="I44" s="148"/>
      <c r="J44" s="148"/>
      <c r="K44" s="148"/>
      <c r="L44" s="148"/>
      <c r="M44" s="128"/>
    </row>
    <row r="45" spans="2:13" ht="15">
      <c r="B45" s="27"/>
      <c r="C45" s="138" t="str">
        <f>"- Moment kháng uốn của tiết diện chịu moment dương:"</f>
        <v>- Moment kháng uốn của tiết diện chịu moment dương:</v>
      </c>
      <c r="D45" s="135"/>
      <c r="E45" s="133"/>
      <c r="F45" s="142"/>
      <c r="G45" s="134"/>
      <c r="H45" s="142"/>
      <c r="I45" s="142"/>
      <c r="J45" s="142"/>
      <c r="K45" s="133" t="s">
        <v>51</v>
      </c>
      <c r="L45" s="145">
        <f>L40/L39</f>
        <v>20110</v>
      </c>
      <c r="M45" s="30" t="s">
        <v>50</v>
      </c>
    </row>
    <row r="46" spans="2:13" ht="15">
      <c r="B46" s="27"/>
      <c r="C46" s="138" t="str">
        <f>"- Moment chống uốn dương tới hạn:"</f>
        <v>- Moment chống uốn dương tới hạn:</v>
      </c>
      <c r="D46" s="135"/>
      <c r="E46" s="133"/>
      <c r="F46" s="142"/>
      <c r="G46" s="134"/>
      <c r="H46" s="142"/>
      <c r="I46" s="142"/>
      <c r="J46" s="142"/>
      <c r="K46" s="133" t="s">
        <v>52</v>
      </c>
      <c r="L46" s="149">
        <f>L45*L42/K50/1000000</f>
        <v>5.1189090909090904</v>
      </c>
      <c r="M46" s="30" t="s">
        <v>53</v>
      </c>
    </row>
    <row r="47" spans="2:13" ht="15">
      <c r="B47" s="27"/>
      <c r="C47" s="138" t="str">
        <f>"- Moment kháng uốn của tiết diện chịu moment âm:"</f>
        <v>- Moment kháng uốn của tiết diện chịu moment âm:</v>
      </c>
      <c r="D47" s="135"/>
      <c r="E47" s="133"/>
      <c r="F47" s="142"/>
      <c r="G47" s="134"/>
      <c r="H47" s="142"/>
      <c r="I47" s="142"/>
      <c r="J47" s="142"/>
      <c r="K47" s="133" t="s">
        <v>54</v>
      </c>
      <c r="L47" s="145">
        <f>L40/(G15-L39)</f>
        <v>31937.889317889316</v>
      </c>
      <c r="M47" s="30" t="s">
        <v>50</v>
      </c>
    </row>
    <row r="48" spans="2:13" ht="15">
      <c r="B48" s="27"/>
      <c r="C48" s="138" t="str">
        <f>"- Moment chống uốn âm tới hạn:"</f>
        <v>- Moment chống uốn âm tới hạn:</v>
      </c>
      <c r="D48" s="135"/>
      <c r="E48" s="133"/>
      <c r="F48" s="142"/>
      <c r="G48" s="134"/>
      <c r="H48" s="142"/>
      <c r="I48" s="142"/>
      <c r="J48" s="142"/>
      <c r="K48" s="133" t="s">
        <v>146</v>
      </c>
      <c r="L48" s="149">
        <f>L47*L42/K50/1000000</f>
        <v>8.1296445536445532</v>
      </c>
      <c r="M48" s="30" t="s">
        <v>53</v>
      </c>
    </row>
    <row r="49" spans="2:13" ht="12.75" customHeight="1">
      <c r="B49" s="3" t="s">
        <v>81</v>
      </c>
      <c r="C49" s="138"/>
      <c r="D49" s="135"/>
      <c r="E49" s="133"/>
      <c r="F49" s="141"/>
      <c r="G49" s="134"/>
      <c r="H49" s="142"/>
      <c r="I49" s="142"/>
      <c r="J49" s="142"/>
      <c r="K49" s="142"/>
      <c r="L49" s="142"/>
      <c r="M49" s="28"/>
    </row>
    <row r="50" spans="2:13" ht="12.75" customHeight="1">
      <c r="B50" s="42" t="s">
        <v>91</v>
      </c>
      <c r="C50" s="139"/>
      <c r="D50" s="135"/>
      <c r="E50" s="133" t="s">
        <v>82</v>
      </c>
      <c r="F50" s="150" t="s">
        <v>84</v>
      </c>
      <c r="G50" s="134">
        <v>1.5</v>
      </c>
      <c r="H50" s="142"/>
      <c r="I50" s="133" t="s">
        <v>86</v>
      </c>
      <c r="J50" s="150" t="s">
        <v>88</v>
      </c>
      <c r="K50" s="134">
        <v>1.1000000000000001</v>
      </c>
      <c r="L50" s="142"/>
      <c r="M50" s="28"/>
    </row>
    <row r="51" spans="2:13" ht="12.75" customHeight="1">
      <c r="B51" s="81"/>
      <c r="C51" s="139"/>
      <c r="D51" s="135"/>
      <c r="E51" s="133" t="s">
        <v>83</v>
      </c>
      <c r="F51" s="150" t="s">
        <v>85</v>
      </c>
      <c r="G51" s="134">
        <v>1.1499999999999999</v>
      </c>
      <c r="H51" s="142"/>
      <c r="I51" s="133" t="s">
        <v>87</v>
      </c>
      <c r="J51" s="150" t="s">
        <v>89</v>
      </c>
      <c r="K51" s="134">
        <v>1.25</v>
      </c>
      <c r="L51" s="142"/>
      <c r="M51" s="28"/>
    </row>
    <row r="52" spans="2:13" ht="12.75" customHeight="1">
      <c r="B52" s="42" t="s">
        <v>90</v>
      </c>
      <c r="C52" s="139"/>
      <c r="D52" s="135"/>
      <c r="E52" s="133" t="s">
        <v>92</v>
      </c>
      <c r="F52" s="150" t="s">
        <v>93</v>
      </c>
      <c r="G52" s="134">
        <v>1.35</v>
      </c>
      <c r="H52" s="142"/>
      <c r="I52" s="133" t="s">
        <v>94</v>
      </c>
      <c r="J52" s="150" t="s">
        <v>95</v>
      </c>
      <c r="K52" s="134">
        <v>1.5</v>
      </c>
      <c r="L52" s="150" t="s">
        <v>123</v>
      </c>
      <c r="M52" s="30">
        <v>1.1000000000000001</v>
      </c>
    </row>
    <row r="53" spans="2:13" ht="12.75" customHeight="1">
      <c r="B53" s="27"/>
      <c r="C53" s="138"/>
      <c r="D53" s="135"/>
      <c r="E53" s="133"/>
      <c r="F53" s="142"/>
      <c r="G53" s="134"/>
      <c r="H53" s="142"/>
      <c r="I53" s="142"/>
      <c r="J53" s="142"/>
      <c r="K53" s="142"/>
      <c r="L53" s="142"/>
      <c r="M53" s="28"/>
    </row>
    <row r="54" spans="2:13" ht="12.75" customHeight="1">
      <c r="B54" s="117" t="s">
        <v>96</v>
      </c>
      <c r="C54" s="118"/>
      <c r="D54" s="118"/>
      <c r="E54" s="133"/>
      <c r="F54" s="142"/>
      <c r="G54" s="134"/>
      <c r="H54" s="142"/>
      <c r="I54" s="142"/>
      <c r="J54" s="142"/>
      <c r="K54" s="142"/>
      <c r="L54" s="142"/>
      <c r="M54" s="28"/>
    </row>
    <row r="55" spans="2:13" ht="12.75" customHeight="1">
      <c r="B55" s="3" t="s">
        <v>97</v>
      </c>
      <c r="C55" s="138"/>
      <c r="D55" s="135"/>
      <c r="E55" s="133"/>
      <c r="F55" s="142"/>
      <c r="G55" s="134"/>
      <c r="H55" s="142"/>
      <c r="I55" s="142"/>
      <c r="J55" s="142"/>
      <c r="K55" s="142"/>
      <c r="L55" s="142"/>
      <c r="M55" s="28"/>
    </row>
    <row r="56" spans="2:13" ht="12.75" customHeight="1">
      <c r="B56" s="42" t="s">
        <v>98</v>
      </c>
      <c r="C56" s="139"/>
      <c r="D56" s="135"/>
      <c r="E56" s="133"/>
      <c r="F56" s="142"/>
      <c r="G56" s="134"/>
      <c r="H56" s="142"/>
      <c r="I56" s="142"/>
      <c r="J56" s="142"/>
      <c r="K56" s="142"/>
      <c r="L56" s="142"/>
      <c r="M56" s="28"/>
    </row>
    <row r="57" spans="2:13" ht="12.75" customHeight="1">
      <c r="B57" s="41"/>
      <c r="C57" s="134" t="s">
        <v>99</v>
      </c>
      <c r="D57" s="135"/>
      <c r="E57" s="133"/>
      <c r="F57" s="142"/>
      <c r="G57" s="134"/>
      <c r="H57" s="142"/>
      <c r="I57" s="142"/>
      <c r="J57" s="142"/>
      <c r="K57" s="142"/>
      <c r="L57" s="142"/>
      <c r="M57" s="28"/>
    </row>
    <row r="58" spans="2:13" ht="12.75" customHeight="1">
      <c r="B58" s="27"/>
      <c r="C58" s="151" t="str">
        <f>"+ Trọng lượng tấm tôn định hình:"</f>
        <v>+ Trọng lượng tấm tôn định hình:</v>
      </c>
      <c r="D58" s="135"/>
      <c r="E58" s="133"/>
      <c r="F58" s="142"/>
      <c r="G58" s="134"/>
      <c r="H58" s="142"/>
      <c r="I58" s="142"/>
      <c r="J58" s="142"/>
      <c r="K58" s="142" t="s">
        <v>100</v>
      </c>
      <c r="L58" s="149">
        <f>VLOOKUP(F12,Data!$DA$6:$DO$18,8,FALSE)/100</f>
        <v>7.1500000000000008E-2</v>
      </c>
      <c r="M58" s="28" t="s">
        <v>101</v>
      </c>
    </row>
    <row r="59" spans="2:13" ht="12.75" customHeight="1">
      <c r="B59" s="27"/>
      <c r="C59" s="151" t="str">
        <f>"+ Trọng lượng bản thân của vữa bê tông:"</f>
        <v>+ Trọng lượng bản thân của vữa bê tông:</v>
      </c>
      <c r="D59" s="135"/>
      <c r="E59" s="133"/>
      <c r="F59" s="142"/>
      <c r="G59" s="134"/>
      <c r="H59" s="142"/>
      <c r="I59" s="142"/>
      <c r="J59" s="142"/>
      <c r="K59" s="142" t="s">
        <v>103</v>
      </c>
      <c r="L59" s="149">
        <f>(($G$19/1000)*25)+((L41/1000)*(G15/1000)*3*25)</f>
        <v>3.1281249999999998</v>
      </c>
      <c r="M59" s="28" t="s">
        <v>101</v>
      </c>
    </row>
    <row r="60" spans="2:13" ht="12.75" customHeight="1">
      <c r="B60" s="27"/>
      <c r="C60" s="151" t="str">
        <f>"+ Tổng tải trọng bản thân của bản:"</f>
        <v>+ Tổng tải trọng bản thân của bản:</v>
      </c>
      <c r="D60" s="135"/>
      <c r="E60" s="133"/>
      <c r="F60" s="142"/>
      <c r="G60" s="134"/>
      <c r="H60" s="142"/>
      <c r="I60" s="142"/>
      <c r="J60" s="142"/>
      <c r="K60" s="142" t="s">
        <v>102</v>
      </c>
      <c r="L60" s="149">
        <f>L58+L59</f>
        <v>3.1996249999999997</v>
      </c>
      <c r="M60" s="28" t="s">
        <v>101</v>
      </c>
    </row>
    <row r="61" spans="2:13" ht="12.75" customHeight="1">
      <c r="B61" s="27"/>
      <c r="C61" s="138" t="str">
        <f>"- Tải trọng trong quá trình thi công phân bố đều: (EC4)"</f>
        <v>- Tải trọng trong quá trình thi công phân bố đều: (EC4)</v>
      </c>
      <c r="D61" s="135"/>
      <c r="E61" s="133"/>
      <c r="F61" s="142"/>
      <c r="G61" s="134"/>
      <c r="H61" s="142"/>
      <c r="I61" s="142"/>
      <c r="J61" s="142"/>
      <c r="K61" s="142" t="s">
        <v>104</v>
      </c>
      <c r="L61" s="149">
        <v>0.75</v>
      </c>
      <c r="M61" s="28" t="s">
        <v>101</v>
      </c>
    </row>
    <row r="62" spans="2:13" ht="12.75" customHeight="1">
      <c r="B62" s="27"/>
      <c r="C62" s="138" t="str">
        <f>"- Tải trọng trong quá trình thi công trên diện tích 3m x 3m: (EC4)"</f>
        <v>- Tải trọng trong quá trình thi công trên diện tích 3m x 3m: (EC4)</v>
      </c>
      <c r="D62" s="135"/>
      <c r="E62" s="133"/>
      <c r="F62" s="142"/>
      <c r="G62" s="134"/>
      <c r="H62" s="142"/>
      <c r="I62" s="142"/>
      <c r="J62" s="142"/>
      <c r="K62" s="142" t="s">
        <v>105</v>
      </c>
      <c r="L62" s="149">
        <v>1.5</v>
      </c>
      <c r="M62" s="28" t="s">
        <v>101</v>
      </c>
    </row>
    <row r="63" spans="2:13" ht="12.75" customHeight="1">
      <c r="B63" s="42" t="s">
        <v>106</v>
      </c>
      <c r="C63" s="138"/>
      <c r="D63" s="135"/>
      <c r="E63" s="133"/>
      <c r="F63" s="142"/>
      <c r="G63" s="134"/>
      <c r="H63" s="142"/>
      <c r="I63" s="142"/>
      <c r="J63" s="142"/>
      <c r="K63" s="142"/>
      <c r="L63" s="142"/>
      <c r="M63" s="28"/>
    </row>
    <row r="64" spans="2:13" ht="12.75" customHeight="1">
      <c r="B64" s="27"/>
      <c r="C64" s="138"/>
      <c r="D64" s="135"/>
      <c r="E64" s="133"/>
      <c r="F64" s="142"/>
      <c r="G64" s="134"/>
      <c r="H64" s="142"/>
      <c r="I64" s="142"/>
      <c r="J64" s="142"/>
      <c r="K64" s="142"/>
      <c r="L64" s="149"/>
      <c r="M64" s="28"/>
    </row>
    <row r="65" spans="2:13" ht="12.75" customHeight="1">
      <c r="B65" s="27"/>
      <c r="C65" s="151"/>
      <c r="D65" s="135"/>
      <c r="E65" s="133"/>
      <c r="F65" s="142"/>
      <c r="G65" s="134"/>
      <c r="H65" s="142"/>
      <c r="I65" s="142"/>
      <c r="J65" s="142"/>
      <c r="K65" s="142"/>
      <c r="L65" s="149"/>
      <c r="M65" s="28"/>
    </row>
    <row r="66" spans="2:13" ht="12.75" customHeight="1">
      <c r="B66" s="27"/>
      <c r="C66" s="138"/>
      <c r="D66" s="135"/>
      <c r="E66" s="133"/>
      <c r="F66" s="142"/>
      <c r="G66" s="134"/>
      <c r="H66" s="142"/>
      <c r="I66" s="142"/>
      <c r="J66" s="142"/>
      <c r="K66" s="142"/>
      <c r="L66" s="149"/>
      <c r="M66" s="28"/>
    </row>
    <row r="67" spans="2:13" ht="12.75" customHeight="1">
      <c r="B67" s="27"/>
      <c r="C67" s="151"/>
      <c r="D67" s="135"/>
      <c r="E67" s="133"/>
      <c r="F67" s="142"/>
      <c r="G67" s="134"/>
      <c r="H67" s="142"/>
      <c r="I67" s="142"/>
      <c r="J67" s="142"/>
      <c r="K67" s="142"/>
      <c r="L67" s="149"/>
      <c r="M67" s="28"/>
    </row>
    <row r="68" spans="2:13" ht="12.75" customHeight="1">
      <c r="B68" s="27"/>
      <c r="C68" s="138"/>
      <c r="D68" s="135"/>
      <c r="E68" s="133"/>
      <c r="F68" s="142"/>
      <c r="G68" s="134"/>
      <c r="H68" s="142"/>
      <c r="I68" s="142"/>
      <c r="J68" s="142"/>
      <c r="K68" s="142"/>
      <c r="L68" s="149"/>
      <c r="M68" s="28"/>
    </row>
    <row r="69" spans="2:13" ht="12.75" customHeight="1">
      <c r="B69" s="42" t="s">
        <v>107</v>
      </c>
      <c r="C69" s="151"/>
      <c r="D69" s="135"/>
      <c r="E69" s="133"/>
      <c r="F69" s="142"/>
      <c r="G69" s="134"/>
      <c r="H69" s="142"/>
      <c r="I69" s="142"/>
      <c r="J69" s="142"/>
      <c r="K69" s="142"/>
      <c r="L69" s="149"/>
      <c r="M69" s="28"/>
    </row>
    <row r="70" spans="2:13" ht="12.75" customHeight="1">
      <c r="B70" s="42"/>
      <c r="C70" s="151"/>
      <c r="D70" s="135"/>
      <c r="E70" s="133"/>
      <c r="F70" s="142"/>
      <c r="G70" s="134"/>
      <c r="H70" s="142"/>
      <c r="I70" s="142"/>
      <c r="J70" s="142"/>
      <c r="K70" s="142"/>
      <c r="L70" s="149"/>
      <c r="M70" s="28"/>
    </row>
    <row r="71" spans="2:13" ht="12.75" customHeight="1">
      <c r="B71" s="42"/>
      <c r="C71" s="151"/>
      <c r="D71" s="135"/>
      <c r="E71" s="133"/>
      <c r="F71" s="142"/>
      <c r="G71" s="134"/>
      <c r="H71" s="142"/>
      <c r="I71" s="142"/>
      <c r="J71" s="142"/>
      <c r="K71" s="142"/>
      <c r="L71" s="149"/>
      <c r="M71" s="28"/>
    </row>
    <row r="72" spans="2:13" ht="12.75" customHeight="1">
      <c r="B72" s="42"/>
      <c r="C72" s="151"/>
      <c r="D72" s="135"/>
      <c r="E72" s="133"/>
      <c r="F72" s="142"/>
      <c r="G72" s="134"/>
      <c r="H72" s="142"/>
      <c r="I72" s="142"/>
      <c r="J72" s="142"/>
      <c r="K72" s="142"/>
      <c r="L72" s="149"/>
      <c r="M72" s="28"/>
    </row>
    <row r="73" spans="2:13" ht="12.75" customHeight="1">
      <c r="B73" s="42"/>
      <c r="C73" s="151"/>
      <c r="D73" s="135"/>
      <c r="E73" s="133"/>
      <c r="F73" s="142"/>
      <c r="G73" s="134"/>
      <c r="H73" s="142"/>
      <c r="I73" s="142"/>
      <c r="J73" s="142"/>
      <c r="K73" s="142"/>
      <c r="L73" s="149"/>
      <c r="M73" s="28"/>
    </row>
    <row r="74" spans="2:13" ht="12.75" customHeight="1">
      <c r="B74" s="42"/>
      <c r="C74" s="151"/>
      <c r="D74" s="135"/>
      <c r="E74" s="133"/>
      <c r="F74" s="142"/>
      <c r="G74" s="134"/>
      <c r="H74" s="142"/>
      <c r="I74" s="142"/>
      <c r="J74" s="142"/>
      <c r="K74" s="142"/>
      <c r="L74" s="149"/>
      <c r="M74" s="28"/>
    </row>
    <row r="75" spans="2:13" ht="12.75" customHeight="1">
      <c r="B75" s="42"/>
      <c r="C75" s="151"/>
      <c r="D75" s="135"/>
      <c r="E75" s="133"/>
      <c r="F75" s="142"/>
      <c r="G75" s="134"/>
      <c r="H75" s="142"/>
      <c r="I75" s="142"/>
      <c r="J75" s="142"/>
      <c r="K75" s="142"/>
      <c r="L75" s="149"/>
      <c r="M75" s="28"/>
    </row>
    <row r="76" spans="2:13" ht="12.75" customHeight="1">
      <c r="B76" s="27"/>
      <c r="C76" s="138" t="str">
        <f>"- Trạng thái giới hạn về cường độ (ULS):"</f>
        <v>- Trạng thái giới hạn về cường độ (ULS):</v>
      </c>
      <c r="D76" s="135"/>
      <c r="E76" s="133"/>
      <c r="F76" s="142"/>
      <c r="G76" s="134"/>
      <c r="H76" s="142"/>
      <c r="I76" s="142"/>
      <c r="J76" s="142"/>
      <c r="K76" s="133" t="s">
        <v>108</v>
      </c>
      <c r="L76" s="149">
        <f>(L61+L62)*K52+L60*G52</f>
        <v>7.6944937499999995</v>
      </c>
      <c r="M76" s="30" t="s">
        <v>101</v>
      </c>
    </row>
    <row r="77" spans="2:13" ht="12.75" customHeight="1">
      <c r="B77" s="27"/>
      <c r="C77" s="151" t="str">
        <f>"+ Moment tại nhịp:"</f>
        <v>+ Moment tại nhịp:</v>
      </c>
      <c r="D77" s="135"/>
      <c r="E77" s="133"/>
      <c r="F77" s="133" t="s">
        <v>109</v>
      </c>
      <c r="G77" s="152">
        <f>0.096*L76*(G20/1000)^2</f>
        <v>0.8937923940000001</v>
      </c>
      <c r="H77" s="134" t="s">
        <v>111</v>
      </c>
      <c r="I77" s="134"/>
      <c r="J77" s="142"/>
      <c r="K77" s="133" t="s">
        <v>113</v>
      </c>
      <c r="L77" s="153">
        <f>0.438*L76*(G20/1000)</f>
        <v>3.7072070887500002</v>
      </c>
      <c r="M77" s="30" t="s">
        <v>112</v>
      </c>
    </row>
    <row r="78" spans="2:13" ht="12.75" customHeight="1">
      <c r="B78" s="27"/>
      <c r="C78" s="151" t="str">
        <f>"+ Moment tại gối giữa:"</f>
        <v>+ Moment tại gối giữa:</v>
      </c>
      <c r="D78" s="135"/>
      <c r="E78" s="133"/>
      <c r="F78" s="133" t="s">
        <v>110</v>
      </c>
      <c r="G78" s="152">
        <f>0.063*L76*(G20/1000)^2</f>
        <v>0.58655125856250001</v>
      </c>
      <c r="H78" s="134" t="s">
        <v>111</v>
      </c>
      <c r="I78" s="134"/>
      <c r="J78" s="142"/>
      <c r="K78" s="133" t="s">
        <v>114</v>
      </c>
      <c r="L78" s="153">
        <f>0.625*L76*(G20/1000)</f>
        <v>5.2899644531250001</v>
      </c>
      <c r="M78" s="30" t="s">
        <v>112</v>
      </c>
    </row>
    <row r="79" spans="2:13" ht="12.75" customHeight="1">
      <c r="B79" s="27"/>
      <c r="C79" s="138" t="str">
        <f>"- Trạng thái giới hạn về biến dạng (SLS):"</f>
        <v>- Trạng thái giới hạn về biến dạng (SLS):</v>
      </c>
      <c r="D79" s="135"/>
      <c r="E79" s="133"/>
      <c r="F79" s="142"/>
      <c r="G79" s="134"/>
      <c r="H79" s="142"/>
      <c r="I79" s="142"/>
      <c r="J79" s="142"/>
      <c r="K79" s="133" t="s">
        <v>115</v>
      </c>
      <c r="L79" s="149">
        <f>(L61+L62)*1+L60*1</f>
        <v>5.4496249999999993</v>
      </c>
      <c r="M79" s="30" t="s">
        <v>101</v>
      </c>
    </row>
    <row r="80" spans="2:13" ht="12.75" customHeight="1">
      <c r="B80" s="27"/>
      <c r="C80" s="151" t="str">
        <f>"+ Moment tại nhịp:"</f>
        <v>+ Moment tại nhịp:</v>
      </c>
      <c r="D80" s="135"/>
      <c r="E80" s="133"/>
      <c r="F80" s="133" t="s">
        <v>109</v>
      </c>
      <c r="G80" s="152">
        <f>0.096*L79*(G20/1000)^2</f>
        <v>0.63302844000000003</v>
      </c>
      <c r="H80" s="134" t="s">
        <v>111</v>
      </c>
      <c r="I80" s="134"/>
      <c r="J80" s="142"/>
      <c r="K80" s="133" t="s">
        <v>113</v>
      </c>
      <c r="L80" s="153">
        <f>0.438*L79*(G20/1000)</f>
        <v>2.6256293249999998</v>
      </c>
      <c r="M80" s="30" t="s">
        <v>112</v>
      </c>
    </row>
    <row r="81" spans="2:13" ht="12.75" customHeight="1">
      <c r="B81" s="27"/>
      <c r="C81" s="151" t="str">
        <f>"+ Moment tại gối giữa:"</f>
        <v>+ Moment tại gối giữa:</v>
      </c>
      <c r="D81" s="135"/>
      <c r="E81" s="133"/>
      <c r="F81" s="133" t="s">
        <v>110</v>
      </c>
      <c r="G81" s="152">
        <f>0.063*L79*(G20/1000)^2</f>
        <v>0.41542491375000001</v>
      </c>
      <c r="H81" s="134" t="s">
        <v>111</v>
      </c>
      <c r="I81" s="134"/>
      <c r="J81" s="142"/>
      <c r="K81" s="133" t="s">
        <v>114</v>
      </c>
      <c r="L81" s="153">
        <f>0.625*L79*(G20/1000)</f>
        <v>3.7466171874999996</v>
      </c>
      <c r="M81" s="30" t="s">
        <v>112</v>
      </c>
    </row>
    <row r="82" spans="2:13" ht="12.75" customHeight="1">
      <c r="B82" s="42" t="s">
        <v>116</v>
      </c>
      <c r="C82" s="151"/>
      <c r="D82" s="135"/>
      <c r="E82" s="133"/>
      <c r="F82" s="142"/>
      <c r="G82" s="134"/>
      <c r="H82" s="142"/>
      <c r="I82" s="142"/>
      <c r="J82" s="142"/>
      <c r="K82" s="142"/>
      <c r="L82" s="149"/>
      <c r="M82" s="28"/>
    </row>
    <row r="83" spans="2:13" ht="12.75" customHeight="1">
      <c r="B83" s="42"/>
      <c r="C83" s="151"/>
      <c r="D83" s="135"/>
      <c r="E83" s="133"/>
      <c r="F83" s="142"/>
      <c r="G83" s="134"/>
      <c r="H83" s="142"/>
      <c r="I83" s="142"/>
      <c r="J83" s="142"/>
      <c r="K83" s="142"/>
      <c r="L83" s="149"/>
      <c r="M83" s="28"/>
    </row>
    <row r="84" spans="2:13" ht="12.75" customHeight="1">
      <c r="B84" s="42"/>
      <c r="C84" s="151"/>
      <c r="D84" s="135"/>
      <c r="E84" s="133"/>
      <c r="F84" s="142"/>
      <c r="G84" s="134"/>
      <c r="H84" s="142"/>
      <c r="I84" s="142"/>
      <c r="J84" s="142"/>
      <c r="K84" s="142"/>
      <c r="L84" s="149"/>
      <c r="M84" s="28"/>
    </row>
    <row r="85" spans="2:13" ht="12.75" customHeight="1">
      <c r="B85" s="42"/>
      <c r="C85" s="151"/>
      <c r="D85" s="135"/>
      <c r="E85" s="133"/>
      <c r="F85" s="142"/>
      <c r="G85" s="134"/>
      <c r="H85" s="142"/>
      <c r="I85" s="142"/>
      <c r="J85" s="142"/>
      <c r="K85" s="142"/>
      <c r="L85" s="149"/>
      <c r="M85" s="28"/>
    </row>
    <row r="86" spans="2:13" ht="12.75" customHeight="1">
      <c r="B86" s="42"/>
      <c r="C86" s="151"/>
      <c r="D86" s="135"/>
      <c r="E86" s="133"/>
      <c r="F86" s="142"/>
      <c r="G86" s="134"/>
      <c r="H86" s="142"/>
      <c r="I86" s="142"/>
      <c r="J86" s="142"/>
      <c r="K86" s="142"/>
      <c r="L86" s="149"/>
      <c r="M86" s="28"/>
    </row>
    <row r="87" spans="2:13" ht="12.75" customHeight="1">
      <c r="B87" s="42"/>
      <c r="C87" s="151"/>
      <c r="D87" s="135"/>
      <c r="E87" s="133"/>
      <c r="F87" s="142"/>
      <c r="G87" s="134"/>
      <c r="H87" s="142"/>
      <c r="I87" s="142"/>
      <c r="J87" s="142"/>
      <c r="K87" s="142"/>
      <c r="L87" s="149"/>
      <c r="M87" s="28"/>
    </row>
    <row r="88" spans="2:13" ht="12.75" customHeight="1">
      <c r="B88" s="42"/>
      <c r="C88" s="151"/>
      <c r="D88" s="135"/>
      <c r="E88" s="133"/>
      <c r="F88" s="142"/>
      <c r="G88" s="134"/>
      <c r="H88" s="142"/>
      <c r="I88" s="142"/>
      <c r="J88" s="142"/>
      <c r="K88" s="142"/>
      <c r="L88" s="149"/>
      <c r="M88" s="28"/>
    </row>
    <row r="89" spans="2:13" ht="12.75" customHeight="1">
      <c r="B89" s="42"/>
      <c r="C89" s="151"/>
      <c r="D89" s="135"/>
      <c r="E89" s="133"/>
      <c r="F89" s="142"/>
      <c r="G89" s="154"/>
      <c r="H89" s="142"/>
      <c r="I89" s="142"/>
      <c r="J89" s="142"/>
      <c r="K89" s="142"/>
      <c r="L89" s="149"/>
      <c r="M89" s="28"/>
    </row>
    <row r="90" spans="2:13" ht="12.75" customHeight="1">
      <c r="B90" s="27"/>
      <c r="C90" s="138" t="str">
        <f>"- Trạng thái giới hạn về cường độ (ULS):"</f>
        <v>- Trạng thái giới hạn về cường độ (ULS):</v>
      </c>
      <c r="D90" s="135"/>
      <c r="E90" s="133"/>
      <c r="F90" s="142"/>
      <c r="G90" s="134"/>
      <c r="H90" s="142"/>
      <c r="I90" s="142"/>
      <c r="J90" s="142"/>
      <c r="K90" s="133" t="s">
        <v>117</v>
      </c>
      <c r="L90" s="149">
        <f>L61*K52+L60*G52</f>
        <v>5.4444937499999995</v>
      </c>
      <c r="M90" s="30" t="s">
        <v>101</v>
      </c>
    </row>
    <row r="91" spans="2:13" ht="12.75" customHeight="1">
      <c r="B91" s="27"/>
      <c r="C91" s="138"/>
      <c r="D91" s="135"/>
      <c r="E91" s="133"/>
      <c r="F91" s="142"/>
      <c r="G91" s="134"/>
      <c r="H91" s="142"/>
      <c r="I91" s="142"/>
      <c r="J91" s="142"/>
      <c r="K91" s="133" t="s">
        <v>118</v>
      </c>
      <c r="L91" s="149">
        <f>L76</f>
        <v>7.6944937499999995</v>
      </c>
      <c r="M91" s="30" t="s">
        <v>101</v>
      </c>
    </row>
    <row r="92" spans="2:13" ht="12.75" customHeight="1">
      <c r="B92" s="27"/>
      <c r="C92" s="151" t="str">
        <f>"+ Moment tại nhịp:"</f>
        <v>+ Moment tại nhịp:</v>
      </c>
      <c r="D92" s="135"/>
      <c r="E92" s="133"/>
      <c r="F92" s="133" t="s">
        <v>109</v>
      </c>
      <c r="G92" s="152">
        <v>1.97</v>
      </c>
      <c r="H92" s="134" t="s">
        <v>111</v>
      </c>
      <c r="I92" s="134"/>
      <c r="J92" s="142"/>
      <c r="K92" s="133" t="s">
        <v>113</v>
      </c>
      <c r="L92" s="153">
        <v>4.97</v>
      </c>
      <c r="M92" s="30" t="s">
        <v>112</v>
      </c>
    </row>
    <row r="93" spans="2:13" ht="12.75" customHeight="1">
      <c r="B93" s="27"/>
      <c r="C93" s="151" t="str">
        <f>"+ Moment tại gối giữa:"</f>
        <v>+ Moment tại gối giữa:</v>
      </c>
      <c r="D93" s="135"/>
      <c r="E93" s="133"/>
      <c r="F93" s="133" t="s">
        <v>110</v>
      </c>
      <c r="G93" s="152">
        <v>3.48</v>
      </c>
      <c r="H93" s="134" t="s">
        <v>111</v>
      </c>
      <c r="I93" s="134"/>
      <c r="J93" s="142"/>
      <c r="K93" s="133" t="s">
        <v>114</v>
      </c>
      <c r="L93" s="153">
        <v>18.579999999999998</v>
      </c>
      <c r="M93" s="30" t="s">
        <v>112</v>
      </c>
    </row>
    <row r="94" spans="2:13" ht="12.75" customHeight="1">
      <c r="B94" s="27"/>
      <c r="C94" s="138" t="str">
        <f>"- Trạng thái giới hạn về biến dạng (SLS):"</f>
        <v>- Trạng thái giới hạn về biến dạng (SLS):</v>
      </c>
      <c r="D94" s="135"/>
      <c r="E94" s="133"/>
      <c r="F94" s="142"/>
      <c r="G94" s="134"/>
      <c r="H94" s="142"/>
      <c r="I94" s="142"/>
      <c r="J94" s="142"/>
      <c r="K94" s="133" t="s">
        <v>119</v>
      </c>
      <c r="L94" s="149">
        <f>L61+L60</f>
        <v>3.9496249999999997</v>
      </c>
      <c r="M94" s="30" t="s">
        <v>101</v>
      </c>
    </row>
    <row r="95" spans="2:13" ht="12.75" customHeight="1">
      <c r="B95" s="27"/>
      <c r="C95" s="138"/>
      <c r="D95" s="135"/>
      <c r="E95" s="133"/>
      <c r="F95" s="142"/>
      <c r="G95" s="134"/>
      <c r="H95" s="142"/>
      <c r="I95" s="142"/>
      <c r="J95" s="142"/>
      <c r="K95" s="133" t="s">
        <v>118</v>
      </c>
      <c r="L95" s="149">
        <f>L79</f>
        <v>5.4496249999999993</v>
      </c>
      <c r="M95" s="30" t="s">
        <v>101</v>
      </c>
    </row>
    <row r="96" spans="2:13" ht="12.75" customHeight="1">
      <c r="B96" s="27"/>
      <c r="C96" s="151" t="str">
        <f>"+ Moment tại nhịp:"</f>
        <v>+ Moment tại nhịp:</v>
      </c>
      <c r="D96" s="135"/>
      <c r="E96" s="133"/>
      <c r="F96" s="133" t="s">
        <v>109</v>
      </c>
      <c r="G96" s="152">
        <v>1.4</v>
      </c>
      <c r="H96" s="134" t="s">
        <v>111</v>
      </c>
      <c r="I96" s="134"/>
      <c r="J96" s="142"/>
      <c r="K96" s="133" t="s">
        <v>113</v>
      </c>
      <c r="L96" s="153">
        <v>3.56</v>
      </c>
      <c r="M96" s="30" t="s">
        <v>112</v>
      </c>
    </row>
    <row r="97" spans="2:13" ht="12.75" customHeight="1">
      <c r="B97" s="27"/>
      <c r="C97" s="151" t="str">
        <f>"+ Moment tại gối giữa:"</f>
        <v>+ Moment tại gối giữa:</v>
      </c>
      <c r="D97" s="135"/>
      <c r="E97" s="133"/>
      <c r="F97" s="133" t="s">
        <v>110</v>
      </c>
      <c r="G97" s="152">
        <v>2.4700000000000002</v>
      </c>
      <c r="H97" s="134" t="s">
        <v>111</v>
      </c>
      <c r="I97" s="134"/>
      <c r="J97" s="142"/>
      <c r="K97" s="133" t="s">
        <v>114</v>
      </c>
      <c r="L97" s="153">
        <v>13.18</v>
      </c>
      <c r="M97" s="30" t="s">
        <v>112</v>
      </c>
    </row>
    <row r="98" spans="2:13" ht="12.75" customHeight="1">
      <c r="B98" s="42" t="s">
        <v>127</v>
      </c>
      <c r="C98" s="138"/>
      <c r="D98" s="135"/>
      <c r="E98" s="133"/>
      <c r="F98" s="142"/>
      <c r="G98" s="134"/>
      <c r="H98" s="142"/>
      <c r="I98" s="142"/>
      <c r="J98" s="142"/>
      <c r="K98" s="142"/>
      <c r="L98" s="149"/>
      <c r="M98" s="28"/>
    </row>
    <row r="99" spans="2:13" ht="12.75" customHeight="1">
      <c r="B99" s="27"/>
      <c r="C99" s="138"/>
      <c r="D99" s="135"/>
      <c r="E99" s="133"/>
      <c r="F99" s="150" t="s">
        <v>121</v>
      </c>
      <c r="G99" s="155">
        <f>0.346*G16/G14*SQRT(L42/210000)</f>
        <v>1.0676732670241547</v>
      </c>
      <c r="H99" s="142"/>
      <c r="I99" s="142"/>
      <c r="J99" s="142"/>
      <c r="K99" s="150" t="s">
        <v>122</v>
      </c>
      <c r="L99" s="149">
        <f>0.48*L42/G99</f>
        <v>125.88120743586941</v>
      </c>
      <c r="M99" s="30" t="s">
        <v>1</v>
      </c>
    </row>
    <row r="100" spans="2:13" ht="12.75" customHeight="1">
      <c r="B100" s="27"/>
      <c r="C100" s="138" t="str">
        <f>"- Khả năng chịu cắt cho 1 bản bụng:"</f>
        <v>- Khả năng chịu cắt cho 1 bản bụng:</v>
      </c>
      <c r="D100" s="135"/>
      <c r="E100" s="133"/>
      <c r="F100" s="142"/>
      <c r="G100" s="134"/>
      <c r="H100" s="142"/>
      <c r="I100" s="142"/>
      <c r="J100" s="142"/>
      <c r="K100" s="133" t="s">
        <v>120</v>
      </c>
      <c r="L100" s="149">
        <f>L99*G16*G14/M52/1000</f>
        <v>4.8750358516073069</v>
      </c>
      <c r="M100" s="30" t="s">
        <v>125</v>
      </c>
    </row>
    <row r="101" spans="2:13" ht="12.75" customHeight="1">
      <c r="B101" s="27"/>
      <c r="C101" s="138" t="str">
        <f>"- Khả năng chịu cắt cho 6 bản bụng trên 1m chiều rộng tôn:"</f>
        <v>- Khả năng chịu cắt cho 6 bản bụng trên 1m chiều rộng tôn:</v>
      </c>
      <c r="D101" s="135"/>
      <c r="E101" s="133"/>
      <c r="F101" s="142"/>
      <c r="G101" s="134"/>
      <c r="H101" s="142"/>
      <c r="I101" s="142"/>
      <c r="J101" s="142"/>
      <c r="K101" s="133" t="s">
        <v>124</v>
      </c>
      <c r="L101" s="149">
        <f>L100*6</f>
        <v>29.25021510964384</v>
      </c>
      <c r="M101" s="30" t="s">
        <v>125</v>
      </c>
    </row>
    <row r="102" spans="2:13" ht="12.75" customHeight="1">
      <c r="B102" s="42" t="s">
        <v>126</v>
      </c>
      <c r="C102" s="138"/>
      <c r="D102" s="135"/>
      <c r="E102" s="133"/>
      <c r="F102" s="142"/>
      <c r="G102" s="134"/>
      <c r="H102" s="142"/>
      <c r="I102" s="142"/>
      <c r="J102" s="142"/>
      <c r="K102" s="142"/>
      <c r="L102" s="149"/>
      <c r="M102" s="28"/>
    </row>
    <row r="103" spans="2:13" ht="12.75" customHeight="1">
      <c r="B103" s="27"/>
      <c r="C103" s="138" t="str">
        <f>"- Khả năng chịu lực của tôn hình tại vị trí gối biên và gối giữa."</f>
        <v>- Khả năng chịu lực của tôn hình tại vị trí gối biên và gối giữa.</v>
      </c>
      <c r="D103" s="135"/>
      <c r="E103" s="133"/>
      <c r="F103" s="142"/>
      <c r="G103" s="134"/>
      <c r="H103" s="142"/>
      <c r="I103" s="142"/>
      <c r="J103" s="142"/>
      <c r="K103" s="142"/>
      <c r="L103" s="149"/>
      <c r="M103" s="28"/>
    </row>
    <row r="104" spans="2:13" ht="12.75" customHeight="1">
      <c r="B104" s="27"/>
      <c r="C104" s="151" t="str">
        <f>"Sw/t = "&amp; ROUND(G16/G14,1) &amp; " &lt; 200 nên tôn hình đã chọn thuộc loại được xếp vào tôn hình loại 1 và loại 2"</f>
        <v>Sw/t = 84.5 &lt; 200 nên tôn hình đã chọn thuộc loại được xếp vào tôn hình loại 1 và loại 2</v>
      </c>
      <c r="D104" s="135"/>
      <c r="E104" s="133"/>
      <c r="F104" s="142"/>
      <c r="G104" s="134"/>
      <c r="H104" s="142"/>
      <c r="I104" s="142"/>
      <c r="J104" s="142"/>
      <c r="K104" s="142"/>
      <c r="L104" s="149"/>
      <c r="M104" s="28"/>
    </row>
    <row r="105" spans="2:13" ht="12.75" customHeight="1">
      <c r="B105" s="27"/>
      <c r="C105" s="156" t="s">
        <v>128</v>
      </c>
      <c r="D105" s="134" t="s">
        <v>129</v>
      </c>
      <c r="E105" s="133"/>
      <c r="F105" s="142"/>
      <c r="G105" s="134"/>
      <c r="H105" s="142"/>
      <c r="I105" s="142"/>
      <c r="J105" s="142"/>
      <c r="K105" s="142"/>
      <c r="L105" s="149"/>
      <c r="M105" s="28"/>
    </row>
    <row r="106" spans="2:13" ht="12.75" customHeight="1">
      <c r="B106" s="27"/>
      <c r="C106" s="157" t="str">
        <f>"- Đối với gối tựa biên: Theo EC4 quy định khi tính toán các gối tựa ngoài lấy bề rộng là 10mm vì độ nghiêng ban đầu của tôn hạn chế bề rộng tựa lên các gối ngoài."</f>
        <v>- Đối với gối tựa biên: Theo EC4 quy định khi tính toán các gối tựa ngoài lấy bề rộng là 10mm vì độ nghiêng ban đầu của tôn hạn chế bề rộng tựa lên các gối ngoài.</v>
      </c>
      <c r="D106" s="157"/>
      <c r="E106" s="157"/>
      <c r="F106" s="157"/>
      <c r="G106" s="157"/>
      <c r="H106" s="157"/>
      <c r="I106" s="157"/>
      <c r="J106" s="157"/>
      <c r="K106" s="151" t="s">
        <v>130</v>
      </c>
      <c r="L106" s="149">
        <f>(0.15*$G$13^2*SQRT($L$42*210000)*(1-0.1*SQRT(3/$G$14))*(0.5+SQRT(0.02*10/$G$14))*(24+(60/90)^2)*(1*1.1))/1000</f>
        <v>14.245885558227592</v>
      </c>
      <c r="M106" s="43" t="s">
        <v>112</v>
      </c>
    </row>
    <row r="107" spans="2:13" ht="12.75" customHeight="1">
      <c r="B107" s="27"/>
      <c r="C107" s="157"/>
      <c r="D107" s="157"/>
      <c r="E107" s="157"/>
      <c r="F107" s="157"/>
      <c r="G107" s="157"/>
      <c r="H107" s="157"/>
      <c r="I107" s="157"/>
      <c r="J107" s="157"/>
      <c r="K107" s="158"/>
      <c r="L107" s="158"/>
      <c r="M107" s="43"/>
    </row>
    <row r="108" spans="2:13" ht="12.75" customHeight="1">
      <c r="B108" s="82"/>
      <c r="C108" s="157"/>
      <c r="D108" s="157"/>
      <c r="E108" s="157"/>
      <c r="F108" s="157"/>
      <c r="G108" s="157"/>
      <c r="H108" s="157"/>
      <c r="I108" s="157"/>
      <c r="J108" s="157"/>
      <c r="K108" s="151"/>
      <c r="L108" s="151"/>
      <c r="M108" s="83"/>
    </row>
    <row r="109" spans="2:13" ht="12.75" customHeight="1">
      <c r="B109" s="82"/>
      <c r="C109" s="138" t="str">
        <f>"- Đối với gối tựa giữa:"</f>
        <v>- Đối với gối tựa giữa:</v>
      </c>
      <c r="D109" s="151"/>
      <c r="E109" s="151"/>
      <c r="F109" s="151"/>
      <c r="G109" s="151"/>
      <c r="H109" s="159" t="s">
        <v>131</v>
      </c>
      <c r="I109" s="160">
        <v>200</v>
      </c>
      <c r="J109" s="151" t="s">
        <v>2</v>
      </c>
      <c r="K109" s="151" t="s">
        <v>130</v>
      </c>
      <c r="L109" s="149">
        <f>(0.15*$G$13^2*SQRT($L$42*210000)*(1-0.1*SQRT(3/$G$14))*(0.5+SQRT(0.02*I109/$G$14))*(24+(60/90)^2)*(1*1.1))/1000</f>
        <v>39.715408196592641</v>
      </c>
      <c r="M109" s="43" t="s">
        <v>112</v>
      </c>
    </row>
    <row r="110" spans="2:13" ht="12.75" customHeight="1">
      <c r="B110" s="42" t="s">
        <v>148</v>
      </c>
      <c r="C110" s="151"/>
      <c r="D110" s="151"/>
      <c r="E110" s="151"/>
      <c r="F110" s="151"/>
      <c r="G110" s="151"/>
      <c r="H110" s="151"/>
      <c r="I110" s="151"/>
      <c r="J110" s="151"/>
      <c r="K110" s="151"/>
      <c r="L110" s="151"/>
      <c r="M110" s="83"/>
    </row>
    <row r="111" spans="2:13" ht="12.75" customHeight="1">
      <c r="B111" s="82"/>
      <c r="C111" s="161" t="str">
        <f>"- Tại vị trí gối tựa biên:"</f>
        <v>- Tại vị trí gối tựa biên:</v>
      </c>
      <c r="D111" s="151"/>
      <c r="E111" s="151"/>
      <c r="F111" s="151"/>
      <c r="G111" s="151"/>
      <c r="H111" s="151"/>
      <c r="I111" s="151"/>
      <c r="J111" s="151"/>
      <c r="K111" s="151"/>
      <c r="L111" s="151"/>
      <c r="M111" s="83"/>
    </row>
    <row r="112" spans="2:13" ht="12.75" customHeight="1">
      <c r="B112" s="82"/>
      <c r="C112" s="162" t="s">
        <v>132</v>
      </c>
      <c r="D112" s="151"/>
      <c r="E112" s="163" t="s">
        <v>134</v>
      </c>
      <c r="F112" s="164">
        <f>L77</f>
        <v>3.7072070887500002</v>
      </c>
      <c r="G112" s="139" t="s">
        <v>112</v>
      </c>
      <c r="H112" s="139"/>
      <c r="I112" s="139"/>
      <c r="J112" s="139"/>
      <c r="K112" s="165" t="s">
        <v>141</v>
      </c>
      <c r="L112" s="44">
        <f>F112/L101</f>
        <v>0.12674119061530348</v>
      </c>
      <c r="M112" s="83" t="str">
        <f>IF(MAX(L112,L114,L113,L115)&lt;=1,"OK","CHECK")</f>
        <v>OK</v>
      </c>
    </row>
    <row r="113" spans="2:13" ht="12.75" customHeight="1">
      <c r="B113" s="82"/>
      <c r="C113" s="162"/>
      <c r="D113" s="151"/>
      <c r="E113" s="163" t="s">
        <v>137</v>
      </c>
      <c r="F113" s="164">
        <f>F112</f>
        <v>3.7072070887500002</v>
      </c>
      <c r="G113" s="139" t="s">
        <v>112</v>
      </c>
      <c r="H113" s="139"/>
      <c r="I113" s="139"/>
      <c r="J113" s="139"/>
      <c r="K113" s="165" t="s">
        <v>142</v>
      </c>
      <c r="L113" s="44">
        <f>F113/L106</f>
        <v>0.26023002035201204</v>
      </c>
      <c r="M113" s="83"/>
    </row>
    <row r="114" spans="2:13" ht="12.75" customHeight="1">
      <c r="B114" s="82"/>
      <c r="C114" s="162" t="s">
        <v>133</v>
      </c>
      <c r="D114" s="151"/>
      <c r="E114" s="163" t="s">
        <v>134</v>
      </c>
      <c r="F114" s="164">
        <f>L92</f>
        <v>4.97</v>
      </c>
      <c r="G114" s="139" t="s">
        <v>112</v>
      </c>
      <c r="H114" s="139"/>
      <c r="I114" s="139"/>
      <c r="J114" s="139"/>
      <c r="K114" s="165" t="s">
        <v>141</v>
      </c>
      <c r="L114" s="44">
        <f>F114/L101</f>
        <v>0.1699132803423857</v>
      </c>
      <c r="M114" s="83"/>
    </row>
    <row r="115" spans="2:13" ht="12.75" customHeight="1">
      <c r="B115" s="82"/>
      <c r="C115" s="162"/>
      <c r="D115" s="151"/>
      <c r="E115" s="163" t="s">
        <v>137</v>
      </c>
      <c r="F115" s="164">
        <f>F114</f>
        <v>4.97</v>
      </c>
      <c r="G115" s="139" t="s">
        <v>112</v>
      </c>
      <c r="H115" s="139"/>
      <c r="I115" s="139"/>
      <c r="J115" s="139"/>
      <c r="K115" s="165" t="s">
        <v>142</v>
      </c>
      <c r="L115" s="44">
        <f>F115/L106</f>
        <v>0.34887266078938967</v>
      </c>
      <c r="M115" s="83"/>
    </row>
    <row r="116" spans="2:13" ht="12.75" customHeight="1">
      <c r="B116" s="82"/>
      <c r="C116" s="161" t="str">
        <f>"- Tại vị trí giữa nhịp biên:"</f>
        <v>- Tại vị trí giữa nhịp biên:</v>
      </c>
      <c r="D116" s="151"/>
      <c r="E116" s="151"/>
      <c r="F116" s="151"/>
      <c r="G116" s="139"/>
      <c r="H116" s="151"/>
      <c r="I116" s="151"/>
      <c r="J116" s="139"/>
      <c r="K116" s="151"/>
      <c r="L116" s="151"/>
      <c r="M116" s="83"/>
    </row>
    <row r="117" spans="2:13" ht="12.75" customHeight="1">
      <c r="B117" s="82"/>
      <c r="C117" s="162" t="s">
        <v>132</v>
      </c>
      <c r="D117" s="151"/>
      <c r="E117" s="163" t="s">
        <v>135</v>
      </c>
      <c r="F117" s="164">
        <f>G77</f>
        <v>0.8937923940000001</v>
      </c>
      <c r="G117" s="139" t="s">
        <v>140</v>
      </c>
      <c r="H117" s="139"/>
      <c r="I117" s="139"/>
      <c r="J117" s="139"/>
      <c r="K117" s="165" t="s">
        <v>143</v>
      </c>
      <c r="L117" s="44">
        <f>F117/L46</f>
        <v>0.17460602994245936</v>
      </c>
      <c r="M117" s="83" t="str">
        <f>IF(MAX(L117,L118)&lt;=1,"OK","CHECK")</f>
        <v>OK</v>
      </c>
    </row>
    <row r="118" spans="2:13" ht="12.75" customHeight="1">
      <c r="B118" s="82"/>
      <c r="C118" s="162" t="s">
        <v>133</v>
      </c>
      <c r="D118" s="151"/>
      <c r="E118" s="163" t="s">
        <v>135</v>
      </c>
      <c r="F118" s="164">
        <f>G92</f>
        <v>1.97</v>
      </c>
      <c r="G118" s="139" t="s">
        <v>140</v>
      </c>
      <c r="H118" s="139"/>
      <c r="I118" s="139"/>
      <c r="J118" s="139"/>
      <c r="K118" s="165" t="s">
        <v>143</v>
      </c>
      <c r="L118" s="44">
        <f>F118/L46</f>
        <v>0.38484762378347664</v>
      </c>
      <c r="M118" s="83"/>
    </row>
    <row r="119" spans="2:13" ht="12.75" customHeight="1">
      <c r="B119" s="82"/>
      <c r="C119" s="161" t="str">
        <f>"- Tại vị trí gối giữa:"</f>
        <v>- Tại vị trí gối giữa:</v>
      </c>
      <c r="D119" s="151"/>
      <c r="E119" s="151"/>
      <c r="F119" s="151"/>
      <c r="G119" s="139"/>
      <c r="H119" s="151"/>
      <c r="I119" s="151"/>
      <c r="J119" s="139"/>
      <c r="K119" s="151"/>
      <c r="L119" s="151"/>
      <c r="M119" s="83"/>
    </row>
    <row r="120" spans="2:13" ht="12.75" customHeight="1">
      <c r="B120" s="82"/>
      <c r="C120" s="162" t="s">
        <v>132</v>
      </c>
      <c r="D120" s="151"/>
      <c r="E120" s="163" t="s">
        <v>136</v>
      </c>
      <c r="F120" s="164">
        <f>L78</f>
        <v>5.2899644531250001</v>
      </c>
      <c r="G120" s="139" t="s">
        <v>112</v>
      </c>
      <c r="H120" s="139"/>
      <c r="I120" s="139"/>
      <c r="J120" s="139"/>
      <c r="K120" s="165" t="s">
        <v>144</v>
      </c>
      <c r="L120" s="44">
        <f>F120/L101</f>
        <v>0.18085215555836684</v>
      </c>
      <c r="M120" s="83" t="str">
        <f>IF(MAX(L120,L121,L122,L123,L124)&lt;=1,"OK","CHECK")</f>
        <v>OK</v>
      </c>
    </row>
    <row r="121" spans="2:13" ht="12.75" customHeight="1">
      <c r="B121" s="82"/>
      <c r="C121" s="162"/>
      <c r="D121" s="151"/>
      <c r="E121" s="163" t="s">
        <v>139</v>
      </c>
      <c r="F121" s="164">
        <f>G78</f>
        <v>0.58655125856250001</v>
      </c>
      <c r="G121" s="139" t="s">
        <v>140</v>
      </c>
      <c r="H121" s="139"/>
      <c r="I121" s="139"/>
      <c r="J121" s="139"/>
      <c r="K121" s="165" t="s">
        <v>145</v>
      </c>
      <c r="L121" s="44">
        <f>F121/L48</f>
        <v>7.2149680676942593E-2</v>
      </c>
      <c r="M121" s="83"/>
    </row>
    <row r="122" spans="2:13" ht="12.75" customHeight="1">
      <c r="B122" s="82"/>
      <c r="C122" s="162" t="s">
        <v>133</v>
      </c>
      <c r="D122" s="151"/>
      <c r="E122" s="163" t="s">
        <v>136</v>
      </c>
      <c r="F122" s="164">
        <f>L93</f>
        <v>18.579999999999998</v>
      </c>
      <c r="G122" s="139" t="s">
        <v>112</v>
      </c>
      <c r="H122" s="139"/>
      <c r="I122" s="139"/>
      <c r="J122" s="139"/>
      <c r="K122" s="165" t="s">
        <v>144</v>
      </c>
      <c r="L122" s="44">
        <f>F122/L101</f>
        <v>0.63520900377495493</v>
      </c>
      <c r="M122" s="83"/>
    </row>
    <row r="123" spans="2:13" ht="12.75" customHeight="1">
      <c r="B123" s="82"/>
      <c r="C123" s="162"/>
      <c r="D123" s="151"/>
      <c r="E123" s="163" t="s">
        <v>138</v>
      </c>
      <c r="F123" s="164">
        <f>F122*2</f>
        <v>37.159999999999997</v>
      </c>
      <c r="G123" s="139" t="s">
        <v>112</v>
      </c>
      <c r="H123" s="139"/>
      <c r="I123" s="139"/>
      <c r="J123" s="139"/>
      <c r="K123" s="165" t="s">
        <v>147</v>
      </c>
      <c r="L123" s="44">
        <f>F123/L109</f>
        <v>0.9356570078810903</v>
      </c>
      <c r="M123" s="83"/>
    </row>
    <row r="124" spans="2:13" ht="12.75" customHeight="1">
      <c r="B124" s="82"/>
      <c r="C124" s="162"/>
      <c r="D124" s="151"/>
      <c r="E124" s="163" t="s">
        <v>139</v>
      </c>
      <c r="F124" s="164">
        <f>G93</f>
        <v>3.48</v>
      </c>
      <c r="G124" s="139" t="s">
        <v>140</v>
      </c>
      <c r="H124" s="139"/>
      <c r="I124" s="165"/>
      <c r="J124" s="139"/>
      <c r="K124" s="165" t="s">
        <v>145</v>
      </c>
      <c r="L124" s="44">
        <f>F124/L48</f>
        <v>0.42806299550204829</v>
      </c>
      <c r="M124" s="83"/>
    </row>
    <row r="125" spans="2:13" ht="12.75" customHeight="1">
      <c r="B125" s="82"/>
      <c r="C125" s="166" t="s">
        <v>128</v>
      </c>
      <c r="D125" s="167" t="str">
        <f>IF(MAX(L112,L113,L114,L115,L117,L118,L120,L121,L122,L123,L124)&lt;=1,"Cấu kiện đủ khả năng chịu lực","Cấu kiện không đủ khả năng chịu lực")</f>
        <v>Cấu kiện đủ khả năng chịu lực</v>
      </c>
      <c r="E125" s="163"/>
      <c r="F125" s="164"/>
      <c r="G125" s="139"/>
      <c r="H125" s="139"/>
      <c r="I125" s="165"/>
      <c r="J125" s="44"/>
      <c r="K125" s="165"/>
      <c r="L125" s="44"/>
      <c r="M125" s="83"/>
    </row>
    <row r="126" spans="2:13" ht="12.75" customHeight="1">
      <c r="B126" s="42" t="s">
        <v>149</v>
      </c>
      <c r="C126" s="162"/>
      <c r="D126" s="151"/>
      <c r="E126" s="163"/>
      <c r="F126" s="164"/>
      <c r="G126" s="139"/>
      <c r="H126" s="139"/>
      <c r="I126" s="165"/>
      <c r="J126" s="44"/>
      <c r="K126" s="165"/>
      <c r="L126" s="44"/>
      <c r="M126" s="83"/>
    </row>
    <row r="127" spans="2:13" ht="12.75" customHeight="1">
      <c r="B127" s="82"/>
      <c r="C127" s="138" t="str">
        <f>"- Moment quán tính hiệu quả của tôn sóng:"</f>
        <v>- Moment quán tính hiệu quả của tôn sóng:</v>
      </c>
      <c r="D127" s="151"/>
      <c r="E127" s="163"/>
      <c r="F127" s="164"/>
      <c r="G127" s="139"/>
      <c r="H127" s="139"/>
      <c r="I127" s="165"/>
      <c r="J127" s="44"/>
      <c r="K127" s="165" t="s">
        <v>150</v>
      </c>
      <c r="L127" s="84">
        <f>L40</f>
        <v>617000</v>
      </c>
      <c r="M127" s="30" t="s">
        <v>46</v>
      </c>
    </row>
    <row r="128" spans="2:13" ht="12.75" customHeight="1">
      <c r="B128" s="82"/>
      <c r="C128" s="138" t="str">
        <f>"- Tổng tải trọng tác dụng lên tôn sàn do trọng lượng tôn và bê tông ướt:"</f>
        <v>- Tổng tải trọng tác dụng lên tôn sàn do trọng lượng tôn và bê tông ướt:</v>
      </c>
      <c r="D128" s="151"/>
      <c r="E128" s="163"/>
      <c r="F128" s="164"/>
      <c r="G128" s="139"/>
      <c r="H128" s="139"/>
      <c r="I128" s="165"/>
      <c r="J128" s="44"/>
      <c r="K128" s="165" t="s">
        <v>151</v>
      </c>
      <c r="L128" s="85">
        <f>L60</f>
        <v>3.1996249999999997</v>
      </c>
      <c r="M128" s="30" t="s">
        <v>101</v>
      </c>
    </row>
    <row r="129" spans="2:13" ht="12.75" customHeight="1">
      <c r="B129" s="82"/>
      <c r="C129" s="138" t="str">
        <f>"- Hệ số k:"</f>
        <v>- Hệ số k:</v>
      </c>
      <c r="D129" s="151"/>
      <c r="E129" s="163"/>
      <c r="F129" s="164"/>
      <c r="G129" s="139"/>
      <c r="H129" s="139"/>
      <c r="I129" s="165"/>
      <c r="J129" s="139"/>
      <c r="K129" s="165" t="s">
        <v>152</v>
      </c>
      <c r="L129" s="85">
        <f>VLOOKUP(L134,Data!$DQ$2:$DR$5,2,FALSE)</f>
        <v>0.49</v>
      </c>
      <c r="M129" s="83"/>
    </row>
    <row r="130" spans="2:13" ht="12.75" customHeight="1">
      <c r="B130" s="82"/>
      <c r="C130" s="138" t="str">
        <f>"- Độ võng của tấm tôn:"</f>
        <v>- Độ võng của tấm tôn:</v>
      </c>
      <c r="D130" s="151"/>
      <c r="E130" s="163"/>
      <c r="F130" s="164"/>
      <c r="G130" s="139"/>
      <c r="H130" s="139"/>
      <c r="I130" s="165"/>
      <c r="J130" s="44"/>
      <c r="K130" s="168" t="s">
        <v>156</v>
      </c>
      <c r="L130" s="85">
        <f>L129*(5/384)*L128*G20^4*(1/(210000*L127))</f>
        <v>0.23067483748579029</v>
      </c>
      <c r="M130" s="83" t="s">
        <v>2</v>
      </c>
    </row>
    <row r="131" spans="2:13" ht="12.75" customHeight="1">
      <c r="B131" s="82"/>
      <c r="C131" s="138" t="str">
        <f>"- Độ võng giới hạn giữa nhịp của tấm tôn:"</f>
        <v>- Độ võng giới hạn giữa nhịp của tấm tôn:</v>
      </c>
      <c r="D131" s="151"/>
      <c r="E131" s="163"/>
      <c r="F131" s="164"/>
      <c r="G131" s="139"/>
      <c r="H131" s="139"/>
      <c r="I131" s="165"/>
      <c r="J131" s="44"/>
      <c r="K131" s="168" t="s">
        <v>157</v>
      </c>
      <c r="L131" s="85">
        <f>MIN(G20/180,20)</f>
        <v>6.1111111111111107</v>
      </c>
      <c r="M131" s="83" t="s">
        <v>2</v>
      </c>
    </row>
    <row r="132" spans="2:13" ht="12.75" customHeight="1">
      <c r="B132" s="82"/>
      <c r="C132" s="138" t="str">
        <f>"- Tỷ số huy động cấu kiện:"</f>
        <v>- Tỷ số huy động cấu kiện:</v>
      </c>
      <c r="D132" s="151"/>
      <c r="E132" s="163"/>
      <c r="F132" s="164"/>
      <c r="G132" s="139"/>
      <c r="H132" s="139"/>
      <c r="I132" s="165"/>
      <c r="J132" s="44"/>
      <c r="K132" s="168" t="s">
        <v>158</v>
      </c>
      <c r="L132" s="169">
        <f>L130/L131</f>
        <v>3.7746791588583871E-2</v>
      </c>
      <c r="M132" s="83" t="str">
        <f>IF(L132&lt;=1,"OK","CHECK")</f>
        <v>OK</v>
      </c>
    </row>
    <row r="133" spans="2:13" ht="12.75" customHeight="1">
      <c r="B133" s="3" t="s">
        <v>159</v>
      </c>
      <c r="C133" s="162"/>
      <c r="D133" s="151"/>
      <c r="E133" s="163"/>
      <c r="F133" s="164"/>
      <c r="G133" s="139"/>
      <c r="H133" s="139"/>
      <c r="I133" s="165"/>
      <c r="J133" s="44"/>
      <c r="K133" s="165"/>
      <c r="L133" s="44"/>
      <c r="M133" s="83"/>
    </row>
    <row r="134" spans="2:13" ht="12.75" customHeight="1">
      <c r="B134" s="82"/>
      <c r="C134" s="138" t="str">
        <f>"- Sơ đồ tính (Cắt dải 1m):"</f>
        <v>- Sơ đồ tính (Cắt dải 1m):</v>
      </c>
      <c r="D134" s="151"/>
      <c r="E134" s="163"/>
      <c r="F134" s="164"/>
      <c r="G134" s="139"/>
      <c r="H134" s="139"/>
      <c r="I134" s="165"/>
      <c r="J134" s="139"/>
      <c r="K134" s="139"/>
      <c r="L134" s="86" t="s">
        <v>178</v>
      </c>
      <c r="M134" s="83"/>
    </row>
    <row r="135" spans="2:13" ht="12.75" customHeight="1">
      <c r="B135" s="82"/>
      <c r="C135" s="139"/>
      <c r="D135" s="138" t="str">
        <f>"+ Moment tại gối giữa:"</f>
        <v>+ Moment tại gối giữa:</v>
      </c>
      <c r="E135" s="163"/>
      <c r="F135" s="164"/>
      <c r="G135" s="139"/>
      <c r="H135" s="139"/>
      <c r="I135" s="165" t="s">
        <v>175</v>
      </c>
      <c r="J135" s="99">
        <f>VLOOKUP($L$134,Data!$DQ$2:$DU$5,3,FALSE)</f>
        <v>-0.105</v>
      </c>
      <c r="K135" s="139" t="s">
        <v>183</v>
      </c>
      <c r="L135" s="85">
        <f>J135*$K$35*($G$20/1000)^2</f>
        <v>-1.4826091809374999</v>
      </c>
      <c r="M135" s="96" t="s">
        <v>111</v>
      </c>
    </row>
    <row r="136" spans="2:13" ht="12.75" customHeight="1">
      <c r="B136" s="82"/>
      <c r="C136" s="162"/>
      <c r="D136" s="138" t="str">
        <f>"+ Moment tại giữa nhịp:"</f>
        <v>+ Moment tại giữa nhịp:</v>
      </c>
      <c r="E136" s="163"/>
      <c r="F136" s="164"/>
      <c r="G136" s="139"/>
      <c r="H136" s="139"/>
      <c r="I136" s="165" t="s">
        <v>176</v>
      </c>
      <c r="J136" s="99">
        <f>VLOOKUP($L$134,Data!$DQ$2:$DU$5,4,FALSE)</f>
        <v>7.8E-2</v>
      </c>
      <c r="K136" s="139" t="s">
        <v>183</v>
      </c>
      <c r="L136" s="85">
        <f>J136*$K$35*($G$20/1000)^2</f>
        <v>1.101366820125</v>
      </c>
      <c r="M136" s="96" t="s">
        <v>111</v>
      </c>
    </row>
    <row r="137" spans="2:13" ht="12.75" customHeight="1">
      <c r="B137" s="82"/>
      <c r="C137" s="162"/>
      <c r="D137" s="138" t="str">
        <f>"+ Lực cắt:"</f>
        <v>+ Lực cắt:</v>
      </c>
      <c r="E137" s="163"/>
      <c r="F137" s="164"/>
      <c r="G137" s="139"/>
      <c r="H137" s="139"/>
      <c r="I137" s="165" t="s">
        <v>177</v>
      </c>
      <c r="J137" s="99">
        <f>VLOOKUP($L$134,Data!$DQ$2:$DU$5,5,FALSE)</f>
        <v>0.60699999999999998</v>
      </c>
      <c r="K137" s="139" t="s">
        <v>184</v>
      </c>
      <c r="L137" s="85">
        <f>J137*$K$35*($G$20/1000)</f>
        <v>7.7917209768750002</v>
      </c>
      <c r="M137" s="96" t="s">
        <v>125</v>
      </c>
    </row>
    <row r="138" spans="2:13" ht="12.75" customHeight="1">
      <c r="B138" s="42" t="s">
        <v>199</v>
      </c>
      <c r="C138" s="162"/>
      <c r="D138" s="151"/>
      <c r="E138" s="163"/>
      <c r="F138" s="164"/>
      <c r="G138" s="139"/>
      <c r="H138" s="139"/>
      <c r="I138" s="165"/>
      <c r="J138" s="44"/>
      <c r="K138" s="165"/>
      <c r="L138" s="44"/>
      <c r="M138" s="83"/>
    </row>
    <row r="139" spans="2:13" ht="12.75" customHeight="1">
      <c r="B139" s="81"/>
      <c r="C139" s="138" t="str">
        <f>"- Chiều cao vùng bê tông chịu nén:"</f>
        <v>- Chiều cao vùng bê tông chịu nén:</v>
      </c>
      <c r="D139" s="151"/>
      <c r="E139" s="163"/>
      <c r="F139" s="164"/>
      <c r="G139" s="139"/>
      <c r="H139" s="139"/>
      <c r="I139" s="165"/>
      <c r="J139" s="44"/>
      <c r="K139" s="165" t="s">
        <v>187</v>
      </c>
      <c r="L139" s="100">
        <f>(L38*L42/K50)/(1000*0.85*G23/G50)</f>
        <v>15.308663101604278</v>
      </c>
      <c r="M139" s="96" t="s">
        <v>2</v>
      </c>
    </row>
    <row r="140" spans="2:13" ht="12.75" customHeight="1">
      <c r="B140" s="82"/>
      <c r="C140" s="163" t="s">
        <v>188</v>
      </c>
      <c r="D140" s="164">
        <f>L139</f>
        <v>15.308663101604278</v>
      </c>
      <c r="E140" s="170" t="str">
        <f>IF(D140&lt;G19,"&lt; ","&gt; ")</f>
        <v xml:space="preserve">&lt; </v>
      </c>
      <c r="F140" s="171">
        <f>G19</f>
        <v>100</v>
      </c>
      <c r="G140" s="172" t="s">
        <v>128</v>
      </c>
      <c r="H140" s="139" t="str">
        <f>"Trục trung hòa dẻo nằm trong phần "&amp;IF(D140&lt;G19,"bê tông sàn","sườn tôn")</f>
        <v>Trục trung hòa dẻo nằm trong phần bê tông sàn</v>
      </c>
      <c r="I140" s="165"/>
      <c r="J140" s="44"/>
      <c r="K140" s="165"/>
      <c r="L140" s="44"/>
      <c r="M140" s="83"/>
    </row>
    <row r="141" spans="2:13" ht="12.75" customHeight="1">
      <c r="B141" s="102"/>
      <c r="C141" s="138" t="s">
        <v>189</v>
      </c>
      <c r="D141" s="139"/>
      <c r="E141" s="139"/>
      <c r="F141" s="164"/>
      <c r="G141" s="139"/>
      <c r="H141" s="139"/>
      <c r="I141" s="165"/>
      <c r="J141" s="44"/>
      <c r="K141" s="165"/>
      <c r="L141" s="44"/>
      <c r="M141" s="83"/>
    </row>
    <row r="142" spans="2:13" ht="12.75" customHeight="1">
      <c r="B142" s="82"/>
      <c r="C142" s="162" t="str">
        <f>"+ Khoảng cách từ mặt trên đến trọng tâm tôn:"</f>
        <v>+ Khoảng cách từ mặt trên đến trọng tâm tôn:</v>
      </c>
      <c r="D142" s="151"/>
      <c r="E142" s="163"/>
      <c r="F142" s="164"/>
      <c r="G142" s="139"/>
      <c r="H142" s="139"/>
      <c r="I142" s="165"/>
      <c r="J142" s="44"/>
      <c r="K142" s="165" t="s">
        <v>190</v>
      </c>
      <c r="L142" s="100">
        <f>IF(D140&gt;F140,"-",G18-L39)</f>
        <v>119.31874689209349</v>
      </c>
      <c r="M142" s="96" t="s">
        <v>2</v>
      </c>
    </row>
    <row r="143" spans="2:13" ht="12.75" customHeight="1">
      <c r="B143" s="82"/>
      <c r="C143" s="162" t="str">
        <f>"+ Khả năng chịu moment dương của tiết diện:"</f>
        <v>+ Khả năng chịu moment dương của tiết diện:</v>
      </c>
      <c r="D143" s="151"/>
      <c r="E143" s="163"/>
      <c r="F143" s="164"/>
      <c r="G143" s="139"/>
      <c r="H143" s="139"/>
      <c r="I143" s="165"/>
      <c r="J143" s="44"/>
      <c r="K143" s="165" t="s">
        <v>191</v>
      </c>
      <c r="L143" s="100">
        <f>IF(D140&gt;F140,"-",L38*L42/K50*(L142-L139/2)/1000000)</f>
        <v>24.21696629438042</v>
      </c>
      <c r="M143" s="96" t="s">
        <v>111</v>
      </c>
    </row>
    <row r="144" spans="2:13" ht="12.75" customHeight="1">
      <c r="B144" s="82"/>
      <c r="C144" s="138" t="str">
        <f>"- Trường hợp 2: Trục trung hòa dẻo nằm trong phần sườn tôn"</f>
        <v>- Trường hợp 2: Trục trung hòa dẻo nằm trong phần sườn tôn</v>
      </c>
      <c r="D144" s="151"/>
      <c r="E144" s="163"/>
      <c r="F144" s="164"/>
      <c r="G144" s="139"/>
      <c r="H144" s="139"/>
      <c r="I144" s="165"/>
      <c r="J144" s="44"/>
      <c r="K144" s="165"/>
      <c r="L144" s="44"/>
      <c r="M144" s="83"/>
    </row>
    <row r="145" spans="2:13" ht="12.75" customHeight="1">
      <c r="B145" s="82"/>
      <c r="C145" s="162" t="str">
        <f>"+ Lực nén vùng cánh bê tông:"</f>
        <v>+ Lực nén vùng cánh bê tông:</v>
      </c>
      <c r="D145" s="151"/>
      <c r="E145" s="163"/>
      <c r="F145" s="164"/>
      <c r="G145" s="139"/>
      <c r="H145" s="139"/>
      <c r="I145" s="165"/>
      <c r="J145" s="44"/>
      <c r="K145" s="165" t="s">
        <v>192</v>
      </c>
      <c r="L145" s="103" t="str">
        <f>IF(D140&lt;F140,"-",1000*G19*(0.85*G23/G50)/1000)</f>
        <v>-</v>
      </c>
      <c r="M145" s="96" t="s">
        <v>112</v>
      </c>
    </row>
    <row r="146" spans="2:13" ht="12.75" customHeight="1">
      <c r="B146" s="82"/>
      <c r="C146" s="162" t="str">
        <f>"+ Moment dẻo giảm trừ:"</f>
        <v>+ Moment dẻo giảm trừ:</v>
      </c>
      <c r="D146" s="151"/>
      <c r="E146" s="163"/>
      <c r="F146" s="164"/>
      <c r="G146" s="139"/>
      <c r="H146" s="139"/>
      <c r="I146" s="165"/>
      <c r="J146" s="44"/>
      <c r="K146" s="165" t="s">
        <v>194</v>
      </c>
      <c r="L146" s="103" t="str">
        <f>IF(D140&lt;F140,"-",MIN(1.25*L136*(1-L145*1000*K50/(L38*L42)),L136))</f>
        <v>-</v>
      </c>
      <c r="M146" s="96" t="s">
        <v>140</v>
      </c>
    </row>
    <row r="147" spans="2:13" ht="12.75" customHeight="1">
      <c r="B147" s="82"/>
      <c r="C147" s="162" t="str">
        <f>"+ Khoảng cách từ trục trung hòa đến mặt dưới sàn:"</f>
        <v>+ Khoảng cách từ trục trung hòa đến mặt dưới sàn:</v>
      </c>
      <c r="D147" s="151"/>
      <c r="E147" s="163"/>
      <c r="F147" s="164"/>
      <c r="G147" s="139"/>
      <c r="H147" s="139"/>
      <c r="I147" s="165"/>
      <c r="J147" s="44"/>
      <c r="K147" s="165" t="s">
        <v>195</v>
      </c>
      <c r="L147" s="103" t="str">
        <f>IF(D140&lt;F140,"-",G18-L139)</f>
        <v>-</v>
      </c>
      <c r="M147" s="96" t="s">
        <v>2</v>
      </c>
    </row>
    <row r="148" spans="2:13" ht="12.75" customHeight="1">
      <c r="B148" s="82"/>
      <c r="C148" s="162" t="str">
        <f>"+ Cánh tay đòn:"</f>
        <v>+ Cánh tay đòn:</v>
      </c>
      <c r="D148" s="158"/>
      <c r="E148" s="158"/>
      <c r="F148" s="158"/>
      <c r="G148" s="158"/>
      <c r="H148" s="158"/>
      <c r="I148" s="165"/>
      <c r="J148" s="44"/>
      <c r="K148" s="165" t="s">
        <v>196</v>
      </c>
      <c r="L148" s="103" t="str">
        <f>IF(D140&lt;F140,"-",G18-G19/2-L147+(L147-L39)*L145*1000*K50/(L38*L42))</f>
        <v>-</v>
      </c>
      <c r="M148" s="96" t="s">
        <v>2</v>
      </c>
    </row>
    <row r="149" spans="2:13" ht="12.75" customHeight="1">
      <c r="B149" s="82"/>
      <c r="C149" s="162" t="str">
        <f>"+ Khả năng chịu moment dương của tiết diện:"</f>
        <v>+ Khả năng chịu moment dương của tiết diện:</v>
      </c>
      <c r="D149" s="158"/>
      <c r="E149" s="158"/>
      <c r="F149" s="158"/>
      <c r="G149" s="158"/>
      <c r="H149" s="158"/>
      <c r="I149" s="165"/>
      <c r="J149" s="44"/>
      <c r="K149" s="165" t="s">
        <v>197</v>
      </c>
      <c r="L149" s="103" t="str">
        <f>IF(D140&lt;F140,"-",L145*L148/1000+L146)</f>
        <v>-</v>
      </c>
      <c r="M149" s="96" t="s">
        <v>140</v>
      </c>
    </row>
    <row r="150" spans="2:13" ht="12.75" customHeight="1">
      <c r="B150" s="82"/>
      <c r="C150" s="138" t="str">
        <f>"- Tỷ số huy động cấu kiện:"</f>
        <v>- Tỷ số huy động cấu kiện:</v>
      </c>
      <c r="D150" s="151"/>
      <c r="E150" s="163"/>
      <c r="F150" s="164"/>
      <c r="G150" s="139"/>
      <c r="H150" s="139"/>
      <c r="I150" s="165"/>
      <c r="J150" s="44"/>
      <c r="K150" s="165" t="s">
        <v>198</v>
      </c>
      <c r="L150" s="169">
        <f>IFERROR(L136/L143,L136/L149)</f>
        <v>4.5479140811315148E-2</v>
      </c>
      <c r="M150" s="83" t="str">
        <f>IF(L150&lt;=1,"OK","CHECK")</f>
        <v>OK</v>
      </c>
    </row>
    <row r="151" spans="2:13" ht="12.75" customHeight="1">
      <c r="B151" s="42" t="s">
        <v>200</v>
      </c>
      <c r="C151" s="162"/>
      <c r="D151" s="151"/>
      <c r="E151" s="163"/>
      <c r="F151" s="164"/>
      <c r="G151" s="139"/>
      <c r="H151" s="139"/>
      <c r="I151" s="165"/>
      <c r="J151" s="44"/>
      <c r="K151" s="165"/>
      <c r="L151" s="44"/>
      <c r="M151" s="83"/>
    </row>
    <row r="152" spans="2:13" ht="12.75" customHeight="1">
      <c r="B152" s="81"/>
      <c r="C152" s="138" t="s">
        <v>201</v>
      </c>
      <c r="D152" s="151"/>
      <c r="E152" s="163"/>
      <c r="F152" s="164"/>
      <c r="G152" s="139"/>
      <c r="H152" s="139"/>
      <c r="I152" s="165"/>
      <c r="J152" s="44"/>
      <c r="K152" s="165"/>
      <c r="L152" s="44"/>
      <c r="M152" s="83"/>
    </row>
    <row r="153" spans="2:13" ht="12.75" customHeight="1">
      <c r="B153" s="82"/>
      <c r="C153" s="138" t="str">
        <f>"- Khả năng chịu kéo của cốt thép:"</f>
        <v>- Khả năng chịu kéo của cốt thép:</v>
      </c>
      <c r="D153" s="151"/>
      <c r="E153" s="163"/>
      <c r="F153" s="164"/>
      <c r="G153" s="139"/>
      <c r="H153" s="139"/>
      <c r="I153" s="165"/>
      <c r="J153" s="44"/>
      <c r="K153" s="165" t="s">
        <v>206</v>
      </c>
      <c r="L153" s="105">
        <f>L24*(L22/G51)/1000</f>
        <v>65.563672770569596</v>
      </c>
      <c r="M153" s="96" t="s">
        <v>112</v>
      </c>
    </row>
    <row r="154" spans="2:13" ht="12.75" customHeight="1">
      <c r="B154" s="82"/>
      <c r="C154" s="138" t="str">
        <f>"- Bề rộng sườn bê tông vùng nén trong 1m:"</f>
        <v>- Bề rộng sườn bê tông vùng nén trong 1m:</v>
      </c>
      <c r="D154" s="151"/>
      <c r="E154" s="163"/>
      <c r="F154" s="164"/>
      <c r="G154" s="139"/>
      <c r="H154" s="139"/>
      <c r="I154" s="165"/>
      <c r="J154" s="44"/>
      <c r="K154" s="165" t="s">
        <v>207</v>
      </c>
      <c r="L154" s="105">
        <f>4*L41</f>
        <v>670</v>
      </c>
      <c r="M154" s="96" t="s">
        <v>2</v>
      </c>
    </row>
    <row r="155" spans="2:13" ht="12.75" customHeight="1">
      <c r="B155" s="82"/>
      <c r="C155" s="138" t="str">
        <f>"- Chiều cao vùng nén:"</f>
        <v>- Chiều cao vùng nén:</v>
      </c>
      <c r="D155" s="151"/>
      <c r="E155" s="163"/>
      <c r="F155" s="164"/>
      <c r="G155" s="139"/>
      <c r="H155" s="139"/>
      <c r="I155" s="165"/>
      <c r="J155" s="44"/>
      <c r="K155" s="165" t="s">
        <v>208</v>
      </c>
      <c r="L155" s="105">
        <f>L153*1000/(L154*0.85*G23/G50)</f>
        <v>6.9074984481723902</v>
      </c>
      <c r="M155" s="96" t="s">
        <v>2</v>
      </c>
    </row>
    <row r="156" spans="2:13" ht="12.75" customHeight="1">
      <c r="B156" s="82"/>
      <c r="C156" s="138" t="str">
        <f>"- Cánh tay đòn nội lực:"</f>
        <v>- Cánh tay đòn nội lực:</v>
      </c>
      <c r="D156" s="151"/>
      <c r="E156" s="163"/>
      <c r="F156" s="164"/>
      <c r="G156" s="139"/>
      <c r="H156" s="139"/>
      <c r="I156" s="165"/>
      <c r="J156" s="44"/>
      <c r="K156" s="165" t="s">
        <v>209</v>
      </c>
      <c r="L156" s="105">
        <f>G18-25-L155/2</f>
        <v>121.5462507759138</v>
      </c>
      <c r="M156" s="96" t="s">
        <v>2</v>
      </c>
    </row>
    <row r="157" spans="2:13" ht="12.75" customHeight="1">
      <c r="B157" s="82"/>
      <c r="C157" s="138" t="str">
        <f>"- Khả năng chịu moment âm của tiết diện:"</f>
        <v>- Khả năng chịu moment âm của tiết diện:</v>
      </c>
      <c r="D157" s="158"/>
      <c r="E157" s="158"/>
      <c r="F157" s="158"/>
      <c r="G157" s="158"/>
      <c r="H157" s="158"/>
      <c r="I157" s="165"/>
      <c r="J157" s="44"/>
      <c r="K157" s="165" t="s">
        <v>210</v>
      </c>
      <c r="L157" s="103">
        <f>L24*(L22/G51)*L156/1000000</f>
        <v>7.9690186123616034</v>
      </c>
      <c r="M157" s="96" t="s">
        <v>111</v>
      </c>
    </row>
    <row r="158" spans="2:13" ht="12.75" customHeight="1">
      <c r="B158" s="82"/>
      <c r="C158" s="138" t="str">
        <f>"- Tỷ số huy động cấu kiện:"</f>
        <v>- Tỷ số huy động cấu kiện:</v>
      </c>
      <c r="D158" s="151"/>
      <c r="E158" s="163"/>
      <c r="F158" s="164"/>
      <c r="G158" s="139"/>
      <c r="H158" s="139"/>
      <c r="I158" s="165"/>
      <c r="J158" s="44"/>
      <c r="K158" s="165" t="s">
        <v>211</v>
      </c>
      <c r="L158" s="173">
        <f>ABS(L135/L157)</f>
        <v>0.18604664552265759</v>
      </c>
      <c r="M158" s="83" t="str">
        <f>IF(L158&lt;=1,"OK","CHECK")</f>
        <v>OK</v>
      </c>
    </row>
    <row r="159" spans="2:13" ht="12.75" customHeight="1">
      <c r="B159" s="42" t="s">
        <v>212</v>
      </c>
      <c r="C159" s="138"/>
      <c r="D159" s="151"/>
      <c r="E159" s="163"/>
      <c r="F159" s="164"/>
      <c r="G159" s="139"/>
      <c r="H159" s="139"/>
      <c r="I159" s="165"/>
      <c r="J159" s="44"/>
      <c r="K159" s="165"/>
      <c r="L159" s="44"/>
      <c r="M159" s="83"/>
    </row>
    <row r="160" spans="2:13" ht="12.75" customHeight="1">
      <c r="B160" s="82"/>
      <c r="C160" s="138" t="str">
        <f>"- Bề rộng trung bình của phần sườn bê tông:"</f>
        <v>- Bề rộng trung bình của phần sườn bê tông:</v>
      </c>
      <c r="D160" s="151"/>
      <c r="E160" s="163"/>
      <c r="F160" s="164"/>
      <c r="G160" s="139"/>
      <c r="H160" s="139"/>
      <c r="I160" s="165"/>
      <c r="J160" s="44"/>
      <c r="K160" s="165" t="s">
        <v>213</v>
      </c>
      <c r="L160" s="106">
        <f>L154</f>
        <v>670</v>
      </c>
      <c r="M160" s="96" t="s">
        <v>2</v>
      </c>
    </row>
    <row r="161" spans="2:13" ht="12.75" customHeight="1">
      <c r="B161" s="82"/>
      <c r="C161" s="138" t="str">
        <f>"- Chiều cao hữu hiệu:"</f>
        <v>- Chiều cao hữu hiệu:</v>
      </c>
      <c r="D161" s="151"/>
      <c r="E161" s="163"/>
      <c r="F161" s="164"/>
      <c r="G161" s="139"/>
      <c r="H161" s="139"/>
      <c r="I161" s="165"/>
      <c r="J161" s="44"/>
      <c r="K161" s="165" t="s">
        <v>227</v>
      </c>
      <c r="L161" s="106">
        <f>G18-L39</f>
        <v>119.31874689209349</v>
      </c>
      <c r="M161" s="96" t="s">
        <v>2</v>
      </c>
    </row>
    <row r="162" spans="2:13" ht="12.75" customHeight="1">
      <c r="B162" s="82"/>
      <c r="C162" s="138" t="str">
        <f>"- Ứng suất cắt tính toán giới hạn của bê tông:"</f>
        <v>- Ứng suất cắt tính toán giới hạn của bê tông:</v>
      </c>
      <c r="D162" s="151"/>
      <c r="E162" s="163"/>
      <c r="F162" s="164"/>
      <c r="G162" s="139"/>
      <c r="H162" s="29"/>
      <c r="I162" s="29"/>
      <c r="J162" s="44"/>
      <c r="K162" s="168" t="s">
        <v>214</v>
      </c>
      <c r="L162" s="107">
        <f>0.25*G24/G50</f>
        <v>2.7777777777777781</v>
      </c>
      <c r="M162" s="96" t="s">
        <v>1</v>
      </c>
    </row>
    <row r="163" spans="2:13" ht="12.75" customHeight="1">
      <c r="B163" s="82"/>
      <c r="C163" s="138" t="str">
        <f>"- Hệ số giảm trừ:"</f>
        <v>- Hệ số giảm trừ:</v>
      </c>
      <c r="D163" s="151"/>
      <c r="E163" s="163"/>
      <c r="F163" s="164"/>
      <c r="G163" s="139"/>
      <c r="H163" s="139"/>
      <c r="I163" s="165"/>
      <c r="J163" s="44"/>
      <c r="K163" s="165" t="s">
        <v>215</v>
      </c>
      <c r="L163" s="107">
        <f>1.6-L161/1000</f>
        <v>1.4806812531079065</v>
      </c>
      <c r="M163" s="96"/>
    </row>
    <row r="164" spans="2:13" ht="12.75" customHeight="1">
      <c r="B164" s="82"/>
      <c r="C164" s="139"/>
      <c r="D164" s="151"/>
      <c r="E164" s="139"/>
      <c r="F164" s="164"/>
      <c r="G164" s="139"/>
      <c r="H164" s="176" t="s">
        <v>217</v>
      </c>
      <c r="I164" s="176"/>
      <c r="J164" s="176"/>
      <c r="K164" s="176" t="s">
        <v>218</v>
      </c>
      <c r="L164" s="176"/>
      <c r="M164" s="177"/>
    </row>
    <row r="165" spans="2:13" ht="12.75" customHeight="1">
      <c r="B165" s="82"/>
      <c r="C165" s="139"/>
      <c r="D165" s="138" t="str">
        <f>"+ Diện tích của phần tôn thép chịu kéo:"</f>
        <v>+ Diện tích của phần tôn thép chịu kéo:</v>
      </c>
      <c r="E165" s="163"/>
      <c r="F165" s="164"/>
      <c r="G165" s="139"/>
      <c r="H165" s="165" t="s">
        <v>219</v>
      </c>
      <c r="I165" s="106">
        <f>L38*6*L41/1000</f>
        <v>856.26</v>
      </c>
      <c r="J165" s="96" t="s">
        <v>216</v>
      </c>
      <c r="K165" s="165" t="s">
        <v>219</v>
      </c>
      <c r="L165" s="106">
        <f>H38*6*H41/1000</f>
        <v>0</v>
      </c>
      <c r="M165" s="96" t="s">
        <v>216</v>
      </c>
    </row>
    <row r="166" spans="2:13" ht="12.75" customHeight="1">
      <c r="B166" s="82"/>
      <c r="C166" s="138"/>
      <c r="D166" s="138" t="str">
        <f>"+ Phần trăm cốt thép:"</f>
        <v>+ Phần trăm cốt thép:</v>
      </c>
      <c r="E166" s="163"/>
      <c r="F166" s="164"/>
      <c r="G166" s="139"/>
      <c r="H166" s="168" t="s">
        <v>220</v>
      </c>
      <c r="I166" s="178">
        <f>MIN(I165/(L160*L161),0.02)</f>
        <v>1.0710806418003749E-2</v>
      </c>
      <c r="J166" s="96"/>
      <c r="K166" s="168" t="s">
        <v>220</v>
      </c>
      <c r="L166" s="178">
        <f>MIN(L165/(L160*L161),0.02)</f>
        <v>0</v>
      </c>
      <c r="M166" s="96"/>
    </row>
    <row r="167" spans="2:13" ht="12.75" customHeight="1">
      <c r="B167" s="82"/>
      <c r="C167" s="138"/>
      <c r="D167" s="138" t="str">
        <f>"+ Sức kháng cắt tính toán:"</f>
        <v>+ Sức kháng cắt tính toán:</v>
      </c>
      <c r="E167" s="163"/>
      <c r="F167" s="164"/>
      <c r="G167" s="139"/>
      <c r="H167" s="168" t="s">
        <v>221</v>
      </c>
      <c r="I167" s="107">
        <f>L163*(1.2+40*I166)*L160*L161*L162/1000</f>
        <v>535.44178514465818</v>
      </c>
      <c r="J167" s="96" t="s">
        <v>112</v>
      </c>
      <c r="K167" s="168" t="s">
        <v>221</v>
      </c>
      <c r="L167" s="107">
        <f>L163*(1.2+40*L166)*L160*L161*L162/1000</f>
        <v>394.569770723972</v>
      </c>
      <c r="M167" s="96" t="s">
        <v>112</v>
      </c>
    </row>
    <row r="168" spans="2:13" ht="12.75" customHeight="1">
      <c r="B168" s="82"/>
      <c r="C168" s="138" t="str">
        <f>"- Tỷ số huy động cấu kiện:"</f>
        <v>- Tỷ số huy động cấu kiện:</v>
      </c>
      <c r="D168" s="151"/>
      <c r="E168" s="163"/>
      <c r="F168" s="164"/>
      <c r="G168" s="139"/>
      <c r="H168" s="139"/>
      <c r="I168" s="165"/>
      <c r="J168" s="44"/>
      <c r="K168" s="165" t="s">
        <v>222</v>
      </c>
      <c r="L168" s="173">
        <f>L137/L167</f>
        <v>1.9747384505859247E-2</v>
      </c>
      <c r="M168" s="83" t="str">
        <f>IF(L168&lt;=1,"OK","CHECK")</f>
        <v>OK</v>
      </c>
    </row>
    <row r="169" spans="2:13" ht="12.75" customHeight="1">
      <c r="B169" s="42" t="s">
        <v>223</v>
      </c>
      <c r="C169" s="138"/>
      <c r="D169" s="151"/>
      <c r="E169" s="163"/>
      <c r="F169" s="164"/>
      <c r="G169" s="139"/>
      <c r="H169" s="139"/>
      <c r="I169" s="165"/>
      <c r="J169" s="44"/>
      <c r="K169" s="165"/>
      <c r="L169" s="44"/>
      <c r="M169" s="83"/>
    </row>
    <row r="170" spans="2:13" ht="12.75" customHeight="1">
      <c r="B170" s="82"/>
      <c r="C170" s="138" t="str">
        <f>"- Hệ số tương đôi thép - bê tông:"</f>
        <v>- Hệ số tương đôi thép - bê tông:</v>
      </c>
      <c r="D170" s="151"/>
      <c r="E170" s="163"/>
      <c r="F170" s="164"/>
      <c r="G170" s="139"/>
      <c r="H170" s="139"/>
      <c r="I170" s="165"/>
      <c r="J170" s="44"/>
      <c r="K170" s="165" t="s">
        <v>224</v>
      </c>
      <c r="L170" s="107">
        <f>210000/(0.5*(G22+G22/3))</f>
        <v>9.6923076923076916</v>
      </c>
      <c r="M170" s="83"/>
    </row>
    <row r="171" spans="2:13" ht="12.75" customHeight="1">
      <c r="B171" s="82"/>
      <c r="C171" s="138" t="str">
        <f>"- Tiết diện nứt:"</f>
        <v>- Tiết diện nứt:</v>
      </c>
      <c r="D171" s="151"/>
      <c r="E171" s="163"/>
      <c r="F171" s="164"/>
      <c r="G171" s="139"/>
      <c r="H171" s="139"/>
      <c r="I171" s="165"/>
      <c r="J171" s="44"/>
      <c r="K171" s="165"/>
      <c r="L171" s="107"/>
      <c r="M171" s="83"/>
    </row>
    <row r="172" spans="2:13" ht="12.75" customHeight="1">
      <c r="B172" s="82"/>
      <c r="C172" s="162" t="str">
        <f>"+ Vị trí trục trung hòa:"</f>
        <v>+ Vị trí trục trung hòa:</v>
      </c>
      <c r="D172" s="151"/>
      <c r="E172" s="163"/>
      <c r="F172" s="164"/>
      <c r="G172" s="139"/>
      <c r="H172" s="139"/>
      <c r="I172" s="165"/>
      <c r="J172" s="44"/>
      <c r="K172" s="165" t="s">
        <v>225</v>
      </c>
      <c r="L172" s="107">
        <f>L170*L38/1000*(SQRT(1+2*1000*L161/(L170*L38))-1)</f>
        <v>36.895489639977818</v>
      </c>
      <c r="M172" s="96" t="s">
        <v>2</v>
      </c>
    </row>
    <row r="173" spans="2:13" ht="12.75" customHeight="1">
      <c r="B173" s="82"/>
      <c r="C173" s="162" t="str">
        <f>"+ Moment quán tính tiết diện:"</f>
        <v>+ Moment quán tính tiết diện:</v>
      </c>
      <c r="D173" s="151"/>
      <c r="E173" s="163"/>
      <c r="F173" s="164"/>
      <c r="G173" s="139"/>
      <c r="H173" s="139"/>
      <c r="I173" s="165"/>
      <c r="J173" s="44"/>
      <c r="K173" s="165" t="s">
        <v>226</v>
      </c>
      <c r="L173" s="179">
        <f>1000*L172^3/(3*L170)+L38*(L161-L172)^2+L40</f>
        <v>8132455.8968472267</v>
      </c>
      <c r="M173" s="30" t="s">
        <v>46</v>
      </c>
    </row>
    <row r="174" spans="2:13" ht="12.75" customHeight="1">
      <c r="B174" s="82"/>
      <c r="C174" s="138" t="str">
        <f>"- Tiết diện không nứt:"</f>
        <v>- Tiết diện không nứt:</v>
      </c>
      <c r="D174" s="151"/>
      <c r="E174" s="163"/>
      <c r="F174" s="164"/>
      <c r="G174" s="139"/>
      <c r="H174" s="139"/>
      <c r="I174" s="165"/>
      <c r="J174" s="44"/>
      <c r="K174" s="165"/>
      <c r="L174" s="107"/>
      <c r="M174" s="83"/>
    </row>
    <row r="175" spans="2:13" ht="12.75" customHeight="1">
      <c r="B175" s="82"/>
      <c r="C175" s="162" t="str">
        <f>"+ Vị trí trục trung hòa:"</f>
        <v>+ Vị trí trục trung hòa:</v>
      </c>
      <c r="D175" s="151"/>
      <c r="E175" s="163"/>
      <c r="F175" s="164"/>
      <c r="G175" s="139"/>
      <c r="H175" s="139"/>
      <c r="I175" s="165"/>
      <c r="J175" s="44"/>
      <c r="K175" s="165" t="s">
        <v>228</v>
      </c>
      <c r="L175" s="107">
        <f>(1000*G19^2/2+L160*G15*(G18-G15/2)+L170*L38*L161)/(1000*G19+L160*G15+L170*L38)</f>
        <v>71.761924515023452</v>
      </c>
      <c r="M175" s="96" t="s">
        <v>2</v>
      </c>
    </row>
    <row r="176" spans="2:13" ht="12.75" customHeight="1">
      <c r="B176" s="82"/>
      <c r="C176" s="162" t="str">
        <f>"+ Moment quán tính tiết diện:"</f>
        <v>+ Moment quán tính tiết diện:</v>
      </c>
      <c r="D176" s="151"/>
      <c r="E176" s="163"/>
      <c r="F176" s="164"/>
      <c r="G176" s="139"/>
      <c r="H176" s="139"/>
      <c r="I176" s="165"/>
      <c r="J176" s="44"/>
      <c r="K176" s="165" t="s">
        <v>229</v>
      </c>
      <c r="L176" s="179">
        <f>1000*L175^3/(3*L173)+L41*(L164-L175)^2+L43</f>
        <v>862602.26063240052</v>
      </c>
      <c r="M176" s="30" t="s">
        <v>46</v>
      </c>
    </row>
    <row r="177" spans="2:13" ht="12.75" customHeight="1">
      <c r="B177" s="82"/>
      <c r="C177" s="138" t="str">
        <f>"- Moment quán tính trung bình:"</f>
        <v>- Moment quán tính trung bình:</v>
      </c>
      <c r="D177" s="151"/>
      <c r="E177" s="163"/>
      <c r="F177" s="164"/>
      <c r="G177" s="139"/>
      <c r="H177" s="139"/>
      <c r="I177" s="165"/>
      <c r="J177" s="44"/>
      <c r="K177" s="165" t="s">
        <v>230</v>
      </c>
      <c r="L177" s="179">
        <f>(L173+L176)/2</f>
        <v>4497529.0787398135</v>
      </c>
      <c r="M177" s="30" t="s">
        <v>46</v>
      </c>
    </row>
    <row r="178" spans="2:13" ht="12.75" customHeight="1">
      <c r="B178" s="82"/>
      <c r="C178" s="138" t="str">
        <f>"- Hệ số:"</f>
        <v>- Hệ số:</v>
      </c>
      <c r="D178" s="151"/>
      <c r="E178" s="163" t="s">
        <v>231</v>
      </c>
      <c r="F178" s="180">
        <f>VLOOKUP(L134,Data!$DQ$2:$DW$5,6,FALSE)</f>
        <v>6.4999999999999997E-3</v>
      </c>
      <c r="G178" s="139"/>
      <c r="H178" s="163" t="s">
        <v>232</v>
      </c>
      <c r="I178" s="180">
        <f>VLOOKUP(L134,Data!$DQ$2:$DW$5,7,FALSE)</f>
        <v>9.7000000000000003E-3</v>
      </c>
      <c r="J178" s="44"/>
      <c r="K178" s="181" t="s">
        <v>233</v>
      </c>
      <c r="L178" s="182">
        <v>0.35</v>
      </c>
      <c r="M178" s="30"/>
    </row>
    <row r="179" spans="2:13" ht="12.75" customHeight="1">
      <c r="B179" s="82"/>
      <c r="C179" s="138" t="str">
        <f>"- Độ võng do tải trọng:"</f>
        <v>- Độ võng do tải trọng:</v>
      </c>
      <c r="D179" s="151"/>
      <c r="E179" s="163"/>
      <c r="F179" s="164"/>
      <c r="G179" s="139"/>
      <c r="H179" s="139"/>
      <c r="I179" s="165"/>
      <c r="J179" s="44"/>
      <c r="K179" s="165" t="s">
        <v>234</v>
      </c>
      <c r="L179" s="179">
        <f>((F178*(J35-J34)+L178*I178*J34)*G20^4)/(210000*L177)/1000</f>
        <v>6.3366899392824731E-5</v>
      </c>
      <c r="M179" s="30" t="s">
        <v>2</v>
      </c>
    </row>
    <row r="180" spans="2:13" ht="12.75" customHeight="1">
      <c r="B180" s="82"/>
      <c r="C180" s="138" t="str">
        <f>"- Độ võng giới hạn:"</f>
        <v>- Độ võng giới hạn:</v>
      </c>
      <c r="D180" s="151"/>
      <c r="E180" s="163"/>
      <c r="F180" s="164"/>
      <c r="G180" s="139"/>
      <c r="H180" s="139"/>
      <c r="I180" s="165"/>
      <c r="J180" s="44"/>
      <c r="K180" s="165" t="s">
        <v>235</v>
      </c>
      <c r="L180" s="107">
        <f>G20/250</f>
        <v>4.4000000000000004</v>
      </c>
      <c r="M180" s="30" t="s">
        <v>2</v>
      </c>
    </row>
    <row r="181" spans="2:13" ht="12.75" customHeight="1">
      <c r="B181" s="82"/>
      <c r="C181" s="138" t="str">
        <f>"- Kiểm tra độ võng:"</f>
        <v>- Kiểm tra độ võng:</v>
      </c>
      <c r="D181" s="151"/>
      <c r="E181" s="163"/>
      <c r="F181" s="164"/>
      <c r="G181" s="139"/>
      <c r="H181" s="139"/>
      <c r="I181" s="165"/>
      <c r="J181" s="44"/>
      <c r="K181" s="165"/>
      <c r="L181" s="170" t="str">
        <f>IF(L179&lt;=L180,"OK","CHECK")</f>
        <v>OK</v>
      </c>
      <c r="M181" s="30" t="s">
        <v>2</v>
      </c>
    </row>
    <row r="182" spans="2:13" ht="12.75" customHeight="1">
      <c r="B182" s="87"/>
      <c r="C182" s="88"/>
      <c r="D182" s="89"/>
      <c r="E182" s="90"/>
      <c r="F182" s="91"/>
      <c r="G182" s="55"/>
      <c r="H182" s="55"/>
      <c r="I182" s="92"/>
      <c r="J182" s="93"/>
      <c r="K182" s="92"/>
      <c r="L182" s="93"/>
      <c r="M182" s="94"/>
    </row>
  </sheetData>
  <mergeCells count="11">
    <mergeCell ref="H164:J164"/>
    <mergeCell ref="K164:M164"/>
    <mergeCell ref="C106:J108"/>
    <mergeCell ref="B54:D54"/>
    <mergeCell ref="B10:D10"/>
    <mergeCell ref="B2:H3"/>
    <mergeCell ref="I2:M3"/>
    <mergeCell ref="B43:M44"/>
    <mergeCell ref="F12:H12"/>
    <mergeCell ref="C26:H26"/>
    <mergeCell ref="C35:I35"/>
  </mergeCells>
  <conditionalFormatting sqref="M112:M113 M120:M121">
    <cfRule type="containsText" dxfId="18" priority="26" operator="containsText" text="CHECK">
      <formula>NOT(ISERROR(SEARCH("CHECK",M112)))</formula>
    </cfRule>
    <cfRule type="containsText" dxfId="17" priority="27" operator="containsText" text="OK">
      <formula>NOT(ISERROR(SEARCH("OK",M112)))</formula>
    </cfRule>
  </conditionalFormatting>
  <conditionalFormatting sqref="M117">
    <cfRule type="containsText" dxfId="16" priority="24" operator="containsText" text="CHECK">
      <formula>NOT(ISERROR(SEARCH("CHECK",M117)))</formula>
    </cfRule>
    <cfRule type="containsText" dxfId="15" priority="25" operator="containsText" text="OK">
      <formula>NOT(ISERROR(SEARCH("OK",M117)))</formula>
    </cfRule>
  </conditionalFormatting>
  <conditionalFormatting sqref="M113">
    <cfRule type="containsText" dxfId="14" priority="20" operator="containsText" text="CHECK">
      <formula>NOT(ISERROR(SEARCH("CHECK",M113)))</formula>
    </cfRule>
    <cfRule type="containsText" dxfId="13" priority="21" operator="containsText" text="OK">
      <formula>NOT(ISERROR(SEARCH("OK",M113)))</formula>
    </cfRule>
  </conditionalFormatting>
  <conditionalFormatting sqref="L112:L124">
    <cfRule type="cellIs" dxfId="12" priority="15" operator="greaterThan">
      <formula>1</formula>
    </cfRule>
  </conditionalFormatting>
  <conditionalFormatting sqref="M132">
    <cfRule type="containsText" dxfId="11" priority="11" operator="containsText" text="CHECK">
      <formula>NOT(ISERROR(SEARCH("CHECK",M132)))</formula>
    </cfRule>
    <cfRule type="containsText" dxfId="10" priority="12" operator="containsText" text="OK">
      <formula>NOT(ISERROR(SEARCH("OK",M132)))</formula>
    </cfRule>
  </conditionalFormatting>
  <conditionalFormatting sqref="L150">
    <cfRule type="cellIs" dxfId="9" priority="10" operator="greaterThan">
      <formula>1</formula>
    </cfRule>
  </conditionalFormatting>
  <conditionalFormatting sqref="M150">
    <cfRule type="containsText" dxfId="8" priority="8" operator="containsText" text="CHECK">
      <formula>NOT(ISERROR(SEARCH("CHECK",M150)))</formula>
    </cfRule>
    <cfRule type="containsText" dxfId="7" priority="9" operator="containsText" text="OK">
      <formula>NOT(ISERROR(SEARCH("OK",M150)))</formula>
    </cfRule>
  </conditionalFormatting>
  <conditionalFormatting sqref="L158">
    <cfRule type="cellIs" dxfId="6" priority="7" operator="greaterThan">
      <formula>1</formula>
    </cfRule>
  </conditionalFormatting>
  <conditionalFormatting sqref="M158:M159 M165:M166 M168:M171 M174">
    <cfRule type="containsText" dxfId="5" priority="5" operator="containsText" text="CHECK">
      <formula>NOT(ISERROR(SEARCH("CHECK",M158)))</formula>
    </cfRule>
    <cfRule type="containsText" dxfId="4" priority="6" operator="containsText" text="OK">
      <formula>NOT(ISERROR(SEARCH("OK",M158)))</formula>
    </cfRule>
  </conditionalFormatting>
  <conditionalFormatting sqref="L132">
    <cfRule type="cellIs" dxfId="3" priority="4" operator="greaterThan">
      <formula>1</formula>
    </cfRule>
  </conditionalFormatting>
  <conditionalFormatting sqref="L168">
    <cfRule type="cellIs" dxfId="2" priority="3" operator="greaterThan">
      <formula>1</formula>
    </cfRule>
  </conditionalFormatting>
  <conditionalFormatting sqref="L181">
    <cfRule type="containsText" dxfId="1" priority="1" operator="containsText" text="CHECK">
      <formula>NOT(ISERROR(SEARCH("CHECK",L181)))</formula>
    </cfRule>
    <cfRule type="containsText" dxfId="0" priority="2" operator="containsText" text="OK">
      <formula>NOT(ISERROR(SEARCH("OK",L181)))</formula>
    </cfRule>
  </conditionalFormatting>
  <pageMargins left="0.59055118110236227" right="0.31496062992125984" top="0.59055118110236227" bottom="0.59055118110236227" header="0.31496062992125984" footer="0.31496062992125984"/>
  <pageSetup orientation="portrait" r:id="rId1"/>
  <ignoredErrors>
    <ignoredError sqref="F114" formula="1"/>
  </ignoredErrors>
  <drawing r:id="rId2"/>
  <picture r:id="rId3"/>
  <extLst>
    <ext xmlns:x14="http://schemas.microsoft.com/office/spreadsheetml/2009/9/main" uri="{CCE6A557-97BC-4b89-ADB6-D9C93CAAB3DF}">
      <x14:dataValidations xmlns:xm="http://schemas.microsoft.com/office/excel/2006/main" count="3">
        <x14:dataValidation type="list" allowBlank="1" showInputMessage="1" showErrorMessage="1" xr:uid="{BD18FE1B-AA59-4B38-A757-0FC7DB2D494D}">
          <x14:formula1>
            <xm:f>#REF!</xm:f>
          </x14:formula1>
          <xm:sqref>G21</xm:sqref>
        </x14:dataValidation>
        <x14:dataValidation type="list" allowBlank="1" showInputMessage="1" showErrorMessage="1" xr:uid="{1BEA4259-F557-4A11-A43C-1DB978A887FC}">
          <x14:formula1>
            <xm:f>Data!$DA$6:$DA$18</xm:f>
          </x14:formula1>
          <xm:sqref>F12:H12</xm:sqref>
        </x14:dataValidation>
        <x14:dataValidation type="list" allowBlank="1" showInputMessage="1" showErrorMessage="1" xr:uid="{A3AFE4D8-F250-4AD9-8090-FD7D01752EAA}">
          <x14:formula1>
            <xm:f>Data!$DQ$2:$DQ$5</xm:f>
          </x14:formula1>
          <xm:sqref>L134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Cal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toan huynh vu minh</cp:lastModifiedBy>
  <dcterms:created xsi:type="dcterms:W3CDTF">2015-06-05T18:17:20Z</dcterms:created>
  <dcterms:modified xsi:type="dcterms:W3CDTF">2025-03-23T03:31:53Z</dcterms:modified>
</cp:coreProperties>
</file>