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0" yWindow="0" windowWidth="28800" windowHeight="12300" tabRatio="907" firstSheet="9" activeTab="9"/>
  </bookViews>
  <sheets>
    <sheet name="ProgramName" sheetId="63" state="hidden" r:id="rId1"/>
    <sheet name="BEAM FORCES" sheetId="58" state="hidden" r:id="rId2"/>
    <sheet name="FRAME SECTION PROPERTIES" sheetId="60" state="hidden" r:id="rId3"/>
    <sheet name="FRAME ASSIGNMENTS SUMMARY" sheetId="59" state="hidden" r:id="rId4"/>
    <sheet name="POINT COORDINATES" sheetId="61" state="hidden" r:id="rId5"/>
    <sheet name="BEAM CONNECTIVITY DATA" sheetId="62" state="hidden" r:id="rId6"/>
    <sheet name="NoiLuc" sheetId="24" state="hidden" r:id="rId7"/>
    <sheet name="BanVe" sheetId="25" state="hidden" r:id="rId8"/>
    <sheet name="THDL" sheetId="14" state="hidden" r:id="rId9"/>
    <sheet name="TinhMong" sheetId="3" r:id="rId10"/>
    <sheet name="ThuyetMinh" sheetId="65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__________PA3" hidden="1">{"'Sheet1'!$L$16"}</definedName>
    <definedName name="___________PA3" hidden="1">{"'Sheet1'!$L$16"}</definedName>
    <definedName name="_________a1" hidden="1">{"'Sheet1'!$L$16"}</definedName>
    <definedName name="_________PA3" hidden="1">{"'Sheet1'!$L$16"}</definedName>
    <definedName name="________CN1" hidden="1">{"'Sheet1'!$L$16"}</definedName>
    <definedName name="_______a1" hidden="1">{"'Sheet1'!$L$16"}</definedName>
    <definedName name="_______BG12" hidden="1">{"'Sheet1'!$L$16"}</definedName>
    <definedName name="_______PA3" hidden="1">{"'Sheet1'!$L$16"}</definedName>
    <definedName name="______a1" hidden="1">{"'Sheet1'!$L$16"}</definedName>
    <definedName name="______CN1" hidden="1">{"'Sheet1'!$L$16"}</definedName>
    <definedName name="______xlfn.BAHTTEXT" hidden="1">#NAME?</definedName>
    <definedName name="_____a1" hidden="1">{"'Sheet1'!$L$16"}</definedName>
    <definedName name="_____BG12" hidden="1">{"'Sheet1'!$L$16"}</definedName>
    <definedName name="_____CN1" hidden="1">{"'Sheet1'!$L$16"}</definedName>
    <definedName name="_____PA3" hidden="1">{"'Sheet1'!$L$16"}</definedName>
    <definedName name="_____xlfn.BAHTTEXT" hidden="1">#NAME?</definedName>
    <definedName name="____BG12" hidden="1">{"'Sheet1'!$L$16"}</definedName>
    <definedName name="____Goi8" hidden="1">{"'Sheet1'!$L$16"}</definedName>
    <definedName name="____xlfn.BAHTTEXT" hidden="1">#NAME?</definedName>
    <definedName name="___a1" hidden="1">{"'Sheet1'!$L$16"}</definedName>
    <definedName name="___CN1" hidden="1">{"'Sheet1'!$L$16"}</definedName>
    <definedName name="___PA3" hidden="1">{"'Sheet1'!$L$16"}</definedName>
    <definedName name="___xlfn.BAHTTEXT" hidden="1">#NAME?</definedName>
    <definedName name="__123Graph_A" localSheetId="10" hidden="1">[1]Earthwork!#REF!</definedName>
    <definedName name="__123Graph_A" hidden="1">[1]Earthwork!#REF!</definedName>
    <definedName name="__123Graph_A120.CGM" localSheetId="10" hidden="1">[1]Earthwork!#REF!</definedName>
    <definedName name="__123Graph_A120.CGM" hidden="1">[1]Earthwork!#REF!</definedName>
    <definedName name="__123Graph_A150.CGM" localSheetId="10" hidden="1">[1]Earthwork!#REF!</definedName>
    <definedName name="__123Graph_A150.CGM" hidden="1">[1]Earthwork!#REF!</definedName>
    <definedName name="__123Graph_A180.CGM" localSheetId="10" hidden="1">[1]Earthwork!#REF!</definedName>
    <definedName name="__123Graph_A180.CGM" hidden="1">[1]Earthwork!#REF!</definedName>
    <definedName name="__123Graph_A210.CGM" localSheetId="10" hidden="1">[1]Earthwork!#REF!</definedName>
    <definedName name="__123Graph_A210.CGM" hidden="1">[1]Earthwork!#REF!</definedName>
    <definedName name="__123Graph_A240.CGM" localSheetId="10" hidden="1">[1]Earthwork!#REF!</definedName>
    <definedName name="__123Graph_A240.CGM" hidden="1">[1]Earthwork!#REF!</definedName>
    <definedName name="__123Graph_A270.CGM" localSheetId="10" hidden="1">[1]Earthwork!#REF!</definedName>
    <definedName name="__123Graph_A270.CGM" hidden="1">[1]Earthwork!#REF!</definedName>
    <definedName name="__123Graph_A300.CGM" localSheetId="10" hidden="1">[1]Earthwork!#REF!</definedName>
    <definedName name="__123Graph_A300.CGM" hidden="1">[1]Earthwork!#REF!</definedName>
    <definedName name="__123Graph_A60.CGN" localSheetId="10" hidden="1">[1]Earthwork!#REF!</definedName>
    <definedName name="__123Graph_A60.CGN" hidden="1">[1]Earthwork!#REF!</definedName>
    <definedName name="__123Graph_A90.CGM" localSheetId="10" hidden="1">[1]Earthwork!#REF!</definedName>
    <definedName name="__123Graph_A90.CGM" hidden="1">[1]Earthwork!#REF!</definedName>
    <definedName name="__123Graph_B" localSheetId="10" hidden="1">[1]Earthwork!#REF!</definedName>
    <definedName name="__123Graph_B" hidden="1">[1]Earthwork!#REF!</definedName>
    <definedName name="__123Graph_B120.CGM" localSheetId="10" hidden="1">[1]Earthwork!#REF!</definedName>
    <definedName name="__123Graph_B120.CGM" hidden="1">[1]Earthwork!#REF!</definedName>
    <definedName name="__123Graph_B150.CGM" localSheetId="10" hidden="1">[1]Earthwork!#REF!</definedName>
    <definedName name="__123Graph_B150.CGM" hidden="1">[1]Earthwork!#REF!</definedName>
    <definedName name="__123Graph_B180.CGM" localSheetId="10" hidden="1">[1]Earthwork!#REF!</definedName>
    <definedName name="__123Graph_B180.CGM" hidden="1">[1]Earthwork!#REF!</definedName>
    <definedName name="__123Graph_B210.CGM" localSheetId="10" hidden="1">[1]Earthwork!#REF!</definedName>
    <definedName name="__123Graph_B210.CGM" hidden="1">[1]Earthwork!#REF!</definedName>
    <definedName name="__123Graph_B240.CGM" localSheetId="10" hidden="1">[1]Earthwork!#REF!</definedName>
    <definedName name="__123Graph_B240.CGM" hidden="1">[1]Earthwork!#REF!</definedName>
    <definedName name="__123Graph_B270.CGM" localSheetId="10" hidden="1">[1]Earthwork!#REF!</definedName>
    <definedName name="__123Graph_B270.CGM" hidden="1">[1]Earthwork!#REF!</definedName>
    <definedName name="__123Graph_B300.CGM" localSheetId="10" hidden="1">[1]Earthwork!#REF!</definedName>
    <definedName name="__123Graph_B300.CGM" hidden="1">[1]Earthwork!#REF!</definedName>
    <definedName name="__123Graph_B60.CGN" localSheetId="10" hidden="1">[1]Earthwork!#REF!</definedName>
    <definedName name="__123Graph_B60.CGN" hidden="1">[1]Earthwork!#REF!</definedName>
    <definedName name="__123Graph_B90.CGM" localSheetId="10" hidden="1">[1]Earthwork!#REF!</definedName>
    <definedName name="__123Graph_B90.CGM" hidden="1">[1]Earthwork!#REF!</definedName>
    <definedName name="__123Graph_D" localSheetId="10" hidden="1">'[2]RAB AR&amp;STR'!#REF!</definedName>
    <definedName name="__123Graph_D" hidden="1">'[2]RAB AR&amp;STR'!#REF!</definedName>
    <definedName name="__123Graph_LBL_A" localSheetId="10" hidden="1">[1]Earthwork!#REF!</definedName>
    <definedName name="__123Graph_LBL_A" hidden="1">[1]Earthwork!#REF!</definedName>
    <definedName name="__123Graph_LBL_A120.CGM" localSheetId="10" hidden="1">[1]Earthwork!#REF!</definedName>
    <definedName name="__123Graph_LBL_A120.CGM" hidden="1">[1]Earthwork!#REF!</definedName>
    <definedName name="__123Graph_LBL_A150.CGM" localSheetId="10" hidden="1">[1]Earthwork!#REF!</definedName>
    <definedName name="__123Graph_LBL_A150.CGM" hidden="1">[1]Earthwork!#REF!</definedName>
    <definedName name="__123Graph_LBL_A180.CGM" localSheetId="10" hidden="1">[1]Earthwork!#REF!</definedName>
    <definedName name="__123Graph_LBL_A180.CGM" hidden="1">[1]Earthwork!#REF!</definedName>
    <definedName name="__123Graph_LBL_A210.CGM" localSheetId="10" hidden="1">[1]Earthwork!#REF!</definedName>
    <definedName name="__123Graph_LBL_A210.CGM" hidden="1">[1]Earthwork!#REF!</definedName>
    <definedName name="__123Graph_LBL_A240.CGM" localSheetId="10" hidden="1">[1]Earthwork!#REF!</definedName>
    <definedName name="__123Graph_LBL_A240.CGM" hidden="1">[1]Earthwork!#REF!</definedName>
    <definedName name="__123Graph_LBL_A270.CGM" localSheetId="10" hidden="1">[1]Earthwork!#REF!</definedName>
    <definedName name="__123Graph_LBL_A270.CGM" hidden="1">[1]Earthwork!#REF!</definedName>
    <definedName name="__123Graph_LBL_A300.CGM" localSheetId="10" hidden="1">[1]Earthwork!#REF!</definedName>
    <definedName name="__123Graph_LBL_A300.CGM" hidden="1">[1]Earthwork!#REF!</definedName>
    <definedName name="__123Graph_LBL_A60.CGN" localSheetId="10" hidden="1">[1]Earthwork!#REF!</definedName>
    <definedName name="__123Graph_LBL_A60.CGN" hidden="1">[1]Earthwork!#REF!</definedName>
    <definedName name="__123Graph_LBL_A90.CGM" localSheetId="10" hidden="1">[1]Earthwork!#REF!</definedName>
    <definedName name="__123Graph_LBL_A90.CGM" hidden="1">[1]Earthwork!#REF!</definedName>
    <definedName name="__123Graph_X" localSheetId="10" hidden="1">[1]Earthwork!#REF!</definedName>
    <definedName name="__123Graph_X" hidden="1">[1]Earthwork!#REF!</definedName>
    <definedName name="__123Graph_X120.CGM" localSheetId="10" hidden="1">[1]Earthwork!#REF!</definedName>
    <definedName name="__123Graph_X120.CGM" hidden="1">[1]Earthwork!#REF!</definedName>
    <definedName name="__123Graph_X150.CGM" localSheetId="10" hidden="1">[1]Earthwork!#REF!</definedName>
    <definedName name="__123Graph_X150.CGM" hidden="1">[1]Earthwork!#REF!</definedName>
    <definedName name="__123Graph_X180.CGM" localSheetId="10" hidden="1">[1]Earthwork!#REF!</definedName>
    <definedName name="__123Graph_X180.CGM" hidden="1">[1]Earthwork!#REF!</definedName>
    <definedName name="__123Graph_X210.CGM" localSheetId="10" hidden="1">[1]Earthwork!#REF!</definedName>
    <definedName name="__123Graph_X210.CGM" hidden="1">[1]Earthwork!#REF!</definedName>
    <definedName name="__123Graph_X240.CGM" localSheetId="10" hidden="1">[1]Earthwork!#REF!</definedName>
    <definedName name="__123Graph_X240.CGM" hidden="1">[1]Earthwork!#REF!</definedName>
    <definedName name="__123Graph_X270.CGM" localSheetId="10" hidden="1">[1]Earthwork!#REF!</definedName>
    <definedName name="__123Graph_X270.CGM" hidden="1">[1]Earthwork!#REF!</definedName>
    <definedName name="__123Graph_X300.CGM" localSheetId="10" hidden="1">[1]Earthwork!#REF!</definedName>
    <definedName name="__123Graph_X300.CGM" hidden="1">[1]Earthwork!#REF!</definedName>
    <definedName name="__123Graph_X60.CGN" localSheetId="10" hidden="1">[1]Earthwork!#REF!</definedName>
    <definedName name="__123Graph_X60.CGN" hidden="1">[1]Earthwork!#REF!</definedName>
    <definedName name="__123Graph_X90.CGM" localSheetId="10" hidden="1">[1]Earthwork!#REF!</definedName>
    <definedName name="__123Graph_X90.CGM" hidden="1">[1]Earthwork!#REF!</definedName>
    <definedName name="__BG12" hidden="1">{"'Sheet1'!$L$16"}</definedName>
    <definedName name="__CN1" hidden="1">{"'Sheet1'!$L$16"}</definedName>
    <definedName name="__Goi8" hidden="1">{"'Sheet1'!$L$16"}</definedName>
    <definedName name="__PA3" hidden="1">{"'Sheet1'!$L$16"}</definedName>
    <definedName name="__xlfn.BAHTTEXT" hidden="1">#NAME?</definedName>
    <definedName name="_100__123Graph_Xｸﾞﾗﾌ_3" localSheetId="10" hidden="1">#REF!</definedName>
    <definedName name="_100__123Graph_Xｸﾞﾗﾌ_3" hidden="1">#REF!</definedName>
    <definedName name="_103__123Graph_X????_4" localSheetId="10" hidden="1">#REF!</definedName>
    <definedName name="_103__123Graph_X????_4" hidden="1">#REF!</definedName>
    <definedName name="_103__123Graph_Xｸﾞﾗﾌ_5" localSheetId="10" hidden="1">#REF!</definedName>
    <definedName name="_103__123Graph_Xｸﾞﾗﾌ_5" hidden="1">#REF!</definedName>
    <definedName name="_106__123Graph_Xｸﾞﾗﾌ_4" localSheetId="10" hidden="1">#REF!</definedName>
    <definedName name="_106__123Graph_Xｸﾞﾗﾌ_4" hidden="1">#REF!</definedName>
    <definedName name="_108__123Graph_X????_5" localSheetId="10" hidden="1">#REF!</definedName>
    <definedName name="_108__123Graph_X????_5" hidden="1">#REF!</definedName>
    <definedName name="_112__123Graph_Xｸﾞﾗﾌ_5" localSheetId="10" hidden="1">#REF!</definedName>
    <definedName name="_112__123Graph_Xｸﾞﾗﾌ_5" hidden="1">#REF!</definedName>
    <definedName name="_116__123Graph_Xｸﾞﾗﾌ_1" localSheetId="10" hidden="1">#REF!</definedName>
    <definedName name="_116__123Graph_Xｸﾞﾗﾌ_1" hidden="1">#REF!</definedName>
    <definedName name="_12__123Graph_A????_2" localSheetId="10" hidden="1">#REF!</definedName>
    <definedName name="_12__123Graph_A????_2" hidden="1">#REF!</definedName>
    <definedName name="_124__123Graph_Xｸﾞﾗﾌ_2" localSheetId="10" hidden="1">#REF!</definedName>
    <definedName name="_124__123Graph_Xｸﾞﾗﾌ_2" hidden="1">#REF!</definedName>
    <definedName name="_132__123Graph_Xｸﾞﾗﾌ_3" localSheetId="10" hidden="1">#REF!</definedName>
    <definedName name="_132__123Graph_Xｸﾞﾗﾌ_3" hidden="1">#REF!</definedName>
    <definedName name="_140__123Graph_Xｸﾞﾗﾌ_4" localSheetId="10" hidden="1">#REF!</definedName>
    <definedName name="_140__123Graph_Xｸﾞﾗﾌ_4" hidden="1">#REF!</definedName>
    <definedName name="_148__123Graph_Xｸﾞﾗﾌ_5" localSheetId="10" hidden="1">#REF!</definedName>
    <definedName name="_148__123Graph_Xｸﾞﾗﾌ_5" hidden="1">#REF!</definedName>
    <definedName name="_17__123Graph_A????_1" localSheetId="10" hidden="1">#REF!</definedName>
    <definedName name="_17__123Graph_A????_1" hidden="1">#REF!</definedName>
    <definedName name="_17__123Graph_A????_3" localSheetId="10" hidden="1">#REF!</definedName>
    <definedName name="_17__123Graph_A????_3" hidden="1">#REF!</definedName>
    <definedName name="_21__123Graph_A????_2" localSheetId="10" hidden="1">#REF!</definedName>
    <definedName name="_21__123Graph_A????_2" hidden="1">#REF!</definedName>
    <definedName name="_22__123Graph_A????_4" localSheetId="10" hidden="1">#REF!</definedName>
    <definedName name="_22__123Graph_A????_4" hidden="1">#REF!</definedName>
    <definedName name="_23__123Graph_A????_1" localSheetId="10" hidden="1">#REF!</definedName>
    <definedName name="_23__123Graph_A????_1" hidden="1">#REF!</definedName>
    <definedName name="_25__123Graph_A????_3" localSheetId="10" hidden="1">#REF!</definedName>
    <definedName name="_25__123Graph_A????_3" hidden="1">#REF!</definedName>
    <definedName name="_27__123Graph_A????_5" localSheetId="10" hidden="1">#REF!</definedName>
    <definedName name="_27__123Graph_A????_5" hidden="1">#REF!</definedName>
    <definedName name="_28__123Graph_A????_2" localSheetId="10" hidden="1">#REF!</definedName>
    <definedName name="_28__123Graph_A????_2" hidden="1">#REF!</definedName>
    <definedName name="_29__123Graph_A????_4" localSheetId="10" hidden="1">#REF!</definedName>
    <definedName name="_29__123Graph_A????_4" hidden="1">#REF!</definedName>
    <definedName name="_33__123Graph_A????_3" localSheetId="10" hidden="1">#REF!</definedName>
    <definedName name="_33__123Graph_A????_3" hidden="1">#REF!</definedName>
    <definedName name="_33__123Graph_A????_5" localSheetId="10" hidden="1">#REF!</definedName>
    <definedName name="_33__123Graph_A????_5" hidden="1">#REF!</definedName>
    <definedName name="_33__123Graph_Aｸﾞﾗﾌ_1" localSheetId="10" hidden="1">#REF!</definedName>
    <definedName name="_33__123Graph_Aｸﾞﾗﾌ_1" hidden="1">#REF!</definedName>
    <definedName name="_38__123Graph_A????_4" localSheetId="10" hidden="1">#REF!</definedName>
    <definedName name="_38__123Graph_A????_4" hidden="1">#REF!</definedName>
    <definedName name="_38__123Graph_Aｸﾞﾗﾌ_1" localSheetId="10" hidden="1">#REF!</definedName>
    <definedName name="_38__123Graph_Aｸﾞﾗﾌ_1" hidden="1">#REF!</definedName>
    <definedName name="_39__123Graph_Aｸﾞﾗﾌ_2" localSheetId="10" hidden="1">#REF!</definedName>
    <definedName name="_39__123Graph_Aｸﾞﾗﾌ_2" hidden="1">#REF!</definedName>
    <definedName name="_43__123Graph_A????_5" localSheetId="10" hidden="1">#REF!</definedName>
    <definedName name="_43__123Graph_A????_5" hidden="1">#REF!</definedName>
    <definedName name="_43__123Graph_Aｸﾞﾗﾌ_2" localSheetId="10" hidden="1">#REF!</definedName>
    <definedName name="_43__123Graph_Aｸﾞﾗﾌ_2" hidden="1">#REF!</definedName>
    <definedName name="_45__123Graph_Aｸﾞﾗﾌ_3" localSheetId="10" hidden="1">#REF!</definedName>
    <definedName name="_45__123Graph_Aｸﾞﾗﾌ_3" hidden="1">#REF!</definedName>
    <definedName name="_48__123Graph_Aｸﾞﾗﾌ_3" localSheetId="10" hidden="1">#REF!</definedName>
    <definedName name="_48__123Graph_Aｸﾞﾗﾌ_3" hidden="1">#REF!</definedName>
    <definedName name="_51__123Graph_Aｸﾞﾗﾌ_1" localSheetId="10" hidden="1">#REF!</definedName>
    <definedName name="_51__123Graph_Aｸﾞﾗﾌ_1" hidden="1">#REF!</definedName>
    <definedName name="_51__123Graph_Aｸﾞﾗﾌ_4" localSheetId="10" hidden="1">#REF!</definedName>
    <definedName name="_51__123Graph_Aｸﾞﾗﾌ_4" hidden="1">#REF!</definedName>
    <definedName name="_53__123Graph_Aｸﾞﾗﾌ_4" localSheetId="10" hidden="1">#REF!</definedName>
    <definedName name="_53__123Graph_Aｸﾞﾗﾌ_4" hidden="1">#REF!</definedName>
    <definedName name="_57__123Graph_Aｸﾞﾗﾌ_5" localSheetId="10" hidden="1">#REF!</definedName>
    <definedName name="_57__123Graph_Aｸﾞﾗﾌ_5" hidden="1">#REF!</definedName>
    <definedName name="_58__123Graph_Aｸﾞﾗﾌ_5" localSheetId="10" hidden="1">#REF!</definedName>
    <definedName name="_58__123Graph_Aｸﾞﾗﾌ_5" hidden="1">#REF!</definedName>
    <definedName name="_59__123Graph_Aｸﾞﾗﾌ_2" localSheetId="10" hidden="1">#REF!</definedName>
    <definedName name="_59__123Graph_Aｸﾞﾗﾌ_2" hidden="1">#REF!</definedName>
    <definedName name="_62__123Graph_X????_1" localSheetId="10" hidden="1">#REF!</definedName>
    <definedName name="_62__123Graph_X????_1" hidden="1">#REF!</definedName>
    <definedName name="_66__123Graph_X????_2" localSheetId="10" hidden="1">#REF!</definedName>
    <definedName name="_66__123Graph_X????_2" hidden="1">#REF!</definedName>
    <definedName name="_67__123Graph_Aｸﾞﾗﾌ_3" localSheetId="10" hidden="1">#REF!</definedName>
    <definedName name="_67__123Graph_Aｸﾞﾗﾌ_3" hidden="1">#REF!</definedName>
    <definedName name="_67__123Graph_X????_2" localSheetId="10" hidden="1">#REF!</definedName>
    <definedName name="_67__123Graph_X????_2" hidden="1">#REF!</definedName>
    <definedName name="_7__123Graph_A????_1" localSheetId="10" hidden="1">#REF!</definedName>
    <definedName name="_7__123Graph_A????_1" hidden="1">#REF!</definedName>
    <definedName name="_70__123Graph_X????_3" localSheetId="10" hidden="1">#REF!</definedName>
    <definedName name="_70__123Graph_X????_3" hidden="1">#REF!</definedName>
    <definedName name="_72__123Graph_X????_3" localSheetId="10" hidden="1">#REF!</definedName>
    <definedName name="_72__123Graph_X????_3" hidden="1">#REF!</definedName>
    <definedName name="_74__123Graph_X????_4" localSheetId="10" hidden="1">#REF!</definedName>
    <definedName name="_74__123Graph_X????_4" hidden="1">#REF!</definedName>
    <definedName name="_75__123Graph_Aｸﾞﾗﾌ_4" localSheetId="10" hidden="1">#REF!</definedName>
    <definedName name="_75__123Graph_Aｸﾞﾗﾌ_4" hidden="1">#REF!</definedName>
    <definedName name="_77__123Graph_X????_4" localSheetId="10" hidden="1">#REF!</definedName>
    <definedName name="_77__123Graph_X????_4" hidden="1">#REF!</definedName>
    <definedName name="_78__123Graph_X????_5" localSheetId="10" hidden="1">#REF!</definedName>
    <definedName name="_78__123Graph_X????_5" hidden="1">#REF!</definedName>
    <definedName name="_82__123Graph_X????_5" localSheetId="10" hidden="1">#REF!</definedName>
    <definedName name="_82__123Graph_X????_5" hidden="1">#REF!</definedName>
    <definedName name="_83__123Graph_Aｸﾞﾗﾌ_5" localSheetId="10" hidden="1">#REF!</definedName>
    <definedName name="_83__123Graph_Aｸﾞﾗﾌ_5" hidden="1">#REF!</definedName>
    <definedName name="_83__123Graph_Xｸﾞﾗﾌ_1" localSheetId="10" hidden="1">#REF!</definedName>
    <definedName name="_83__123Graph_Xｸﾞﾗﾌ_1" hidden="1">#REF!</definedName>
    <definedName name="_88__123Graph_X????_1" localSheetId="10" hidden="1">#REF!</definedName>
    <definedName name="_88__123Graph_X????_1" hidden="1">#REF!</definedName>
    <definedName name="_88__123Graph_Xｸﾞﾗﾌ_1" localSheetId="10" hidden="1">#REF!</definedName>
    <definedName name="_88__123Graph_Xｸﾞﾗﾌ_1" hidden="1">#REF!</definedName>
    <definedName name="_88__123Graph_Xｸﾞﾗﾌ_2" localSheetId="10" hidden="1">#REF!</definedName>
    <definedName name="_88__123Graph_Xｸﾞﾗﾌ_2" hidden="1">#REF!</definedName>
    <definedName name="_93__123Graph_X????_2" localSheetId="10" hidden="1">#REF!</definedName>
    <definedName name="_93__123Graph_X????_2" hidden="1">#REF!</definedName>
    <definedName name="_93__123Graph_Xｸﾞﾗﾌ_3" localSheetId="10" hidden="1">#REF!</definedName>
    <definedName name="_93__123Graph_Xｸﾞﾗﾌ_3" hidden="1">#REF!</definedName>
    <definedName name="_94__123Graph_Xｸﾞﾗﾌ_2" localSheetId="10" hidden="1">#REF!</definedName>
    <definedName name="_94__123Graph_Xｸﾞﾗﾌ_2" hidden="1">#REF!</definedName>
    <definedName name="_98__123Graph_X????_3" localSheetId="10" hidden="1">#REF!</definedName>
    <definedName name="_98__123Graph_X????_3" hidden="1">#REF!</definedName>
    <definedName name="_98__123Graph_Xｸﾞﾗﾌ_4" localSheetId="10" hidden="1">#REF!</definedName>
    <definedName name="_98__123Graph_Xｸﾞﾗﾌ_4" hidden="1">#REF!</definedName>
    <definedName name="_a1" hidden="1">{"'Sheet1'!$L$16"}</definedName>
    <definedName name="_Builtin155" hidden="1">#N/A</definedName>
    <definedName name="_Fill" localSheetId="10" hidden="1">#REF!</definedName>
    <definedName name="_Fill" hidden="1">#REF!</definedName>
    <definedName name="_Fill1" localSheetId="10" hidden="1">#REF!</definedName>
    <definedName name="_Fill1" hidden="1">#REF!</definedName>
    <definedName name="_xlnm._FilterDatabase" localSheetId="7" hidden="1">BanVe!$A$1:$AQ$412</definedName>
    <definedName name="_xlnm._FilterDatabase" localSheetId="5" hidden="1">'BEAM CONNECTIVITY DATA'!$A$1:$I$45</definedName>
    <definedName name="_xlnm._FilterDatabase" localSheetId="1" hidden="1">'BEAM FORCES'!$A$1:$J$485</definedName>
    <definedName name="_xlnm._FilterDatabase" localSheetId="3" hidden="1">'FRAME ASSIGNMENTS SUMMARY'!$A$1:$J$45</definedName>
    <definedName name="_xlnm._FilterDatabase" localSheetId="2" hidden="1">'FRAME SECTION PROPERTIES'!$A$1:$H$45</definedName>
    <definedName name="_xlnm._FilterDatabase" localSheetId="6" hidden="1">NoiLuc!#REF!</definedName>
    <definedName name="_xlnm._FilterDatabase" localSheetId="9" hidden="1">THDL!#REF!</definedName>
    <definedName name="_xlnm._FilterDatabase" localSheetId="8" hidden="1">THDL!#REF!</definedName>
    <definedName name="_xlnm._FilterDatabase" localSheetId="10" hidden="1">#REF!</definedName>
    <definedName name="_xlnm._FilterDatabase" hidden="1">#REF!</definedName>
    <definedName name="_Key1" localSheetId="10" hidden="1">#REF!</definedName>
    <definedName name="_Key1" hidden="1">#REF!</definedName>
    <definedName name="_Key2" localSheetId="10" hidden="1">#REF!</definedName>
    <definedName name="_Key2" hidden="1">#REF!</definedName>
    <definedName name="_Order1" hidden="1">255</definedName>
    <definedName name="_Order2" hidden="1">255</definedName>
    <definedName name="_PA3" hidden="1">{"'Sheet1'!$L$16"}</definedName>
    <definedName name="_Sort" localSheetId="10" hidden="1">#REF!</definedName>
    <definedName name="_Sort" hidden="1">#REF!</definedName>
    <definedName name="_Table1_In1" localSheetId="10" hidden="1">#REF!</definedName>
    <definedName name="_Table1_In1" hidden="1">#REF!</definedName>
    <definedName name="_Table1_Out" localSheetId="10" hidden="1">#REF!</definedName>
    <definedName name="_Table1_Out" hidden="1">#REF!</definedName>
    <definedName name="_Table2_In1" localSheetId="10" hidden="1">#REF!</definedName>
    <definedName name="_Table2_In1" hidden="1">#REF!</definedName>
    <definedName name="_Table2_Out" localSheetId="10" hidden="1">#REF!</definedName>
    <definedName name="_Table2_Out" hidden="1">#REF!</definedName>
    <definedName name="AccessDatabase" hidden="1">"C:\My Documents\tippaporn\MAT PRICE.mdb"</definedName>
    <definedName name="AD" localSheetId="10" hidden="1">#REF!</definedName>
    <definedName name="AD" hidden="1">#REF!</definedName>
    <definedName name="adaiSlab">[3]DATA!$J$37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nscount" hidden="1">1</definedName>
    <definedName name="AS" localSheetId="10" hidden="1">#REF!</definedName>
    <definedName name="AS" hidden="1">#REF!</definedName>
    <definedName name="assss" localSheetId="10" hidden="1">[1]Earthwork!#REF!</definedName>
    <definedName name="assss" hidden="1">[1]Earthwork!#REF!</definedName>
    <definedName name="ATGT" hidden="1">{"'Sheet1'!$L$16"}</definedName>
    <definedName name="b">[4]Cot!$AK$2</definedName>
    <definedName name="BANCHOR">[5]DATA!$I$25:$J$38</definedName>
    <definedName name="BARTIE">[5]DATA!$A$45:$A$57</definedName>
    <definedName name="BartypeSlab">[3]DATA!$B$36:$B$50</definedName>
    <definedName name="BBB" hidden="1">{"'Sheet1'!$L$16"}</definedName>
    <definedName name="BETONG">[5]DATA!$C$45:$C$49</definedName>
    <definedName name="bg" hidden="1">{"'Sheet1'!$L$16"}</definedName>
    <definedName name="BIGC" hidden="1">{#N/A,#N/A,TRUE,"Str.";#N/A,#N/A,TRUE,"Steel &amp; Roof";#N/A,#N/A,TRUE,"Arc.";#N/A,#N/A,TRUE,"Preliminary";#N/A,#N/A,TRUE,"Sum_Prelim"}</definedName>
    <definedName name="bt_san">[5]DATA!$E$80</definedName>
    <definedName name="BTL">[5]DATA!$E$63</definedName>
    <definedName name="CĐTN">[5]DATA!$E$61</definedName>
    <definedName name="COPPHA">[5]DATA!$E$45:$E$57</definedName>
    <definedName name="COTTHEP">[5]DATA!$G$45:$G$57</definedName>
    <definedName name="cp_day">[5]DATA!$E$79</definedName>
    <definedName name="CPQL">'[6]3. KC - PODIUM'!$I$530</definedName>
    <definedName name="CTCT1" hidden="1">{"'Sheet1'!$L$16"}</definedName>
    <definedName name="d">[4]Cot!$AK$21</definedName>
    <definedName name="dc" hidden="1">{"'Sheet1'!$L$16"}</definedName>
    <definedName name="ddc">[5]DATA!$D$8</definedName>
    <definedName name="ddd" hidden="1">{"'Sheet1'!$L$16"}</definedName>
    <definedName name="dddd" hidden="1">{"'Sheet1'!$L$16"}</definedName>
    <definedName name="DGG" localSheetId="10">#REF!</definedName>
    <definedName name="DGG">#REF!</definedName>
    <definedName name="DiaSlab">[3]DATA!$C$36:$C$50</definedName>
    <definedName name="DN1_CT5" hidden="1">{"'Sheet1'!$L$16"}</definedName>
    <definedName name="duc" hidden="1">{"'Sheet1'!$L$16"}</definedName>
    <definedName name="ExternalData_1" localSheetId="5" hidden="1">'BEAM CONNECTIVITY DATA'!#REF!</definedName>
    <definedName name="ExternalData_1" localSheetId="1" hidden="1">'BEAM FORCES'!#REF!</definedName>
    <definedName name="ExternalData_1" localSheetId="3" hidden="1">'FRAME ASSIGNMENTS SUMMARY'!#REF!</definedName>
    <definedName name="ExternalData_1" localSheetId="2" hidden="1">'FRAME SECTION PROPERTIES'!#REF!</definedName>
    <definedName name="ExternalData_1" localSheetId="4" hidden="1">'POINT COORDINATES'!#REF!</definedName>
    <definedName name="ExternalData_1" localSheetId="0" hidden="1">ProgramName!$A$1:$K$2</definedName>
    <definedName name="ff" localSheetId="10" hidden="1">#REF!</definedName>
    <definedName name="ff" hidden="1">#REF!</definedName>
    <definedName name="fgff" hidden="1">{#N/A,#N/A,TRUE,"SUM";#N/A,#N/A,TRUE,"EE";#N/A,#N/A,TRUE,"AC";#N/A,#N/A,TRUE,"SN"}</definedName>
    <definedName name="FILLL" localSheetId="10" hidden="1">#REF!</definedName>
    <definedName name="FILLL" hidden="1">#REF!</definedName>
    <definedName name="fo">[5]DATA!$B$15</definedName>
    <definedName name="gcb">[5]DATA!$E$84</definedName>
    <definedName name="gcdai">[5]DATA!$E$82</definedName>
    <definedName name="gcg">[5]DATA!$E$83</definedName>
    <definedName name="GH" localSheetId="10" hidden="1">#REF!</definedName>
    <definedName name="GH" hidden="1">#REF!</definedName>
    <definedName name="h">[4]Cot!$AK$6</definedName>
    <definedName name="hanh" hidden="1">{"'Sheet1'!$L$16"}</definedName>
    <definedName name="hb" hidden="1">{"'Sheet1'!$L$16"}</definedName>
    <definedName name="hfgsdf" hidden="1">{"'Sheet1'!$L$16"}</definedName>
    <definedName name="hhb" hidden="1">{"'Sheet1'!$L$16"}</definedName>
    <definedName name="HS_NTP" localSheetId="10">#REF!</definedName>
    <definedName name="HS_NTP">#REF!</definedName>
    <definedName name="hskl" localSheetId="10">#REF!</definedName>
    <definedName name="hskl">#REF!</definedName>
    <definedName name="HTML_CodePage" hidden="1">950</definedName>
    <definedName name="HTML_Control" hidden="1">{"'Sheet1'!$L$16"}</definedName>
    <definedName name="HTML_Control1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HUYØ" hidden="1">{"'Sheet1'!$L$16"}</definedName>
    <definedName name="K_Taluy">[5]DATA!$E$68</definedName>
    <definedName name="KC_BTL">[5]DATA!$E$65</definedName>
    <definedName name="KC_Dao_DK">[5]DATA!$E$67</definedName>
    <definedName name="KC_Dao_M">[5]DATA!$E$66</definedName>
    <definedName name="kcbtr">[3]DATA!$N$85</definedName>
    <definedName name="kcgt">[3]DATA!$N$86</definedName>
    <definedName name="KNDAT_CHUA_SU_DUNG" localSheetId="10" hidden="1">#REF!</definedName>
    <definedName name="KNDAT_CHUA_SU_DUNG" hidden="1">#REF!</definedName>
    <definedName name="kyhieu">[5]DATA!$D$9</definedName>
    <definedName name="L1LBeam">[5]DATA!$E$81</definedName>
    <definedName name="L1Lco">[5]DATA!$E$89</definedName>
    <definedName name="LAP.A">[5]DATA!$C$25:$D$38</definedName>
    <definedName name="lap11m7">[5]DATA!$F$40</definedName>
    <definedName name="lapsan">[3]DATA!$J$41</definedName>
    <definedName name="loailk">[3]DATA!$M$36:$N$50</definedName>
    <definedName name="luan" hidden="1">{"'Sheet1'!$L$16"}</definedName>
    <definedName name="M10." hidden="1">{"'Sheet1'!$L$16"}</definedName>
    <definedName name="MASS">[3]DATA!$B$16:$C$29</definedName>
    <definedName name="MAU" hidden="1">{"'Sheet1'!$L$16"}</definedName>
    <definedName name="n" localSheetId="10" hidden="1">#REF!</definedName>
    <definedName name="n" hidden="1">#REF!</definedName>
    <definedName name="NC" localSheetId="10">#REF!</definedName>
    <definedName name="NC">#REF!</definedName>
    <definedName name="NC_NK" localSheetId="10">#REF!</definedName>
    <definedName name="NC_NK">#REF!</definedName>
    <definedName name="NEW" hidden="1">{#N/A,#N/A,FALSE,"Chi tiÆt"}</definedName>
    <definedName name="NEWNAME" hidden="1">{#N/A,#N/A,FALSE,"CCTV"}</definedName>
    <definedName name="noichong">[3]DATA!$E$14</definedName>
    <definedName name="ng">[5]DATA!$B$16</definedName>
    <definedName name="nharac" hidden="1">{#N/A,#N/A,FALSE,"Chi tiÆt"}</definedName>
    <definedName name="oa" localSheetId="10" hidden="1">#REF!</definedName>
    <definedName name="oa" hidden="1">#REF!</definedName>
    <definedName name="PAIII_" hidden="1">{"'Sheet1'!$L$16"}</definedName>
    <definedName name="Pipe" hidden="1">{#N/A,#N/A,FALSE,"CCTV"}</definedName>
    <definedName name="PMS" hidden="1">{"'Sheet1'!$L$16"}</definedName>
    <definedName name="pp" hidden="1">{#N/A,#N/A,FALSE,"OUTPUT SHEET "}</definedName>
    <definedName name="PPPP" hidden="1">{"'Sheet1'!$L$16"}</definedName>
    <definedName name="_xlnm.Print_Area" localSheetId="9">TinhMong!$A$1:$AR$3</definedName>
    <definedName name="_xlnm.Print_Area" localSheetId="10">ThuyetMinh!$A$1:$AS$53</definedName>
    <definedName name="_xlnm.Print_Titles" localSheetId="10">ThuyetMinh!$1:$9</definedName>
    <definedName name="qd10_gt" hidden="1">{"'Sheet1'!$L$16"}</definedName>
    <definedName name="qwwqe" hidden="1">{"'Sheet1'!$L$16"}</definedName>
    <definedName name="RHODIA" hidden="1">{"'DocTypeCode'!$A$142:$A$226"}</definedName>
    <definedName name="rrr" hidden="1">{"'Sheet1'!$L$16"}</definedName>
    <definedName name="rtyrtyt" localSheetId="10" hidden="1">#REF!</definedName>
    <definedName name="rtyrtyt" hidden="1">#REF!</definedName>
    <definedName name="rtytry" localSheetId="10" hidden="1">#REF!</definedName>
    <definedName name="rtytry" hidden="1">#REF!</definedName>
    <definedName name="sagawa" localSheetId="10" hidden="1">#REF!</definedName>
    <definedName name="sagawa" hidden="1">#REF!</definedName>
    <definedName name="SD" hidden="1">{"'ELEC'!$A$2:$H$216","'ELEC'!$C$2:$D$2"}</definedName>
    <definedName name="sdd" hidden="1">{"'Sheet1'!$L$16"}</definedName>
    <definedName name="sdf" hidden="1">{"'Sheet1'!$L$16"}</definedName>
    <definedName name="sdfda" hidden="1">{"'Sheet1'!$L$16"}</definedName>
    <definedName name="SGG" hidden="1">{"'Sheet1'!$L$16"}</definedName>
    <definedName name="sl">[3]DATA!$C$8</definedName>
    <definedName name="Slabplus1">[3]DATA!$J$36</definedName>
    <definedName name="SpacingSlab">[3]DATA!$D$36:$D$50</definedName>
    <definedName name="SS" localSheetId="10" hidden="1">[1]Earthwork!#REF!</definedName>
    <definedName name="SS" hidden="1">[1]Earthwork!#REF!</definedName>
    <definedName name="sssdsdsd" localSheetId="10" hidden="1">[1]Earthwork!#REF!</definedName>
    <definedName name="sssdsdsd" hidden="1">[1]Earthwork!#REF!</definedName>
    <definedName name="ssss" localSheetId="10" hidden="1">[1]Earthwork!#REF!</definedName>
    <definedName name="ssss" hidden="1">[1]Earthwork!#REF!</definedName>
    <definedName name="TLR">[5]DATA!$D$7</definedName>
    <definedName name="tttt" hidden="1">{"'Sheet1'!$L$16"}</definedName>
    <definedName name="TUANKHANHTUYET45" hidden="1">{0}</definedName>
    <definedName name="THDT" hidden="1">{"'Sheet1'!$L$16"}</definedName>
    <definedName name="thuy" hidden="1">{"'Sheet1'!$L$16"}</definedName>
    <definedName name="V8.Refresh" hidden="1">{"NGUYEN QUI THIEP - Personal View",#N/A,FALSE,"XDCB.HT.FUR."}</definedName>
    <definedName name="Viet" hidden="1">{"'Sheet1'!$L$16"}</definedName>
    <definedName name="VT" localSheetId="10">#REF!</definedName>
    <definedName name="VT">#REF!</definedName>
    <definedName name="VT_NK" localSheetId="10">#REF!</definedName>
    <definedName name="VT_NK">#REF!</definedName>
    <definedName name="wis" localSheetId="10" hidden="1">#REF!</definedName>
    <definedName name="wis" hidden="1">#REF!</definedName>
    <definedName name="WRITE" hidden="1">{#N/A,#N/A,FALSE,"CCTV"}</definedName>
    <definedName name="wrn.A." hidden="1">{#N/A,#N/A,TRUE,"SUM";#N/A,#N/A,TRUE,"EE";#N/A,#N/A,TRUE,"AC";#N/A,#N/A,TRUE,"SN"}</definedName>
    <definedName name="wrn.Bang._.ke._.nhan._.hang." hidden="1">{#N/A,#N/A,FALSE,"Ke khai NH"}</definedName>
    <definedName name="wrn.BIDSUM." hidden="1">{#N/A,#N/A,TRUE,"SUMMARY";#N/A,#N/A,TRUE,"ISBL";#N/A,#N/A,TRUE,"OSBL";#N/A,#N/A,TRUE,"OFFSITE";#N/A,#N/A,TRUE,"STEAM"}</definedName>
    <definedName name="wrn.BILLS._.OF._.QUANTITY." hidden="1">{#N/A,#N/A,TRUE,"Str.";#N/A,#N/A,TRUE,"Steel &amp; Roof";#N/A,#N/A,TRUE,"Arc.";#N/A,#N/A,TRUE,"Preliminary";#N/A,#N/A,TRUE,"Sum_Prelim"}</definedName>
    <definedName name="wrn.BM." hidden="1">{#N/A,#N/A,FALSE,"CCTV"}</definedName>
    <definedName name="wrn.Che._.do._.duoc._.huong." hidden="1">{#N/A,#N/A,FALSE,"BN (2)"}</definedName>
    <definedName name="wrn.chi._.tiÆt." hidden="1">{#N/A,#N/A,FALSE,"Chi tiÆt"}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Giáy._.bao._.no." hidden="1">{#N/A,#N/A,FALSE,"BN"}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mai._.khanh." hidden="1">{"NGUYEN QUI THIEP - Personal View",#N/A,FALSE,"XDCB.HT.FUR."}</definedName>
    <definedName name="wrn.Monthly._.Statement." hidden="1">{#N/A,#N/A,FALSE,"Tabelle2";#N/A,#N/A,FALSE,"Tabelle1"}</definedName>
    <definedName name="wrn.Print._.Output." hidden="1">{#N/A,#N/A,FALSE,"OUTPUT SHEET "}</definedName>
    <definedName name="xc">#REF!</definedName>
    <definedName name="XDKT" hidden="1">{"NGUYEN QUI THIEP - Personal View",#N/A,FALSE,"XDCB.HT.FUR."}</definedName>
    <definedName name="XXXAAAA" hidden="1">{"'Sheet1'!$L$16"}</definedName>
    <definedName name="yc">#REF!</definedName>
    <definedName name="Z_2BD578FA_E2CB_4B2F_9A88_B148DA6298A5_.wvu.Cols" localSheetId="10" hidden="1">#REF!</definedName>
    <definedName name="Z_2BD578FA_E2CB_4B2F_9A88_B148DA6298A5_.wvu.Cols" hidden="1">#REF!</definedName>
    <definedName name="Z_2BD578FA_E2CB_4B2F_9A88_B148DA6298A5_.wvu.PrintArea" localSheetId="10" hidden="1">#REF!</definedName>
    <definedName name="Z_2BD578FA_E2CB_4B2F_9A88_B148DA6298A5_.wvu.PrintArea" hidden="1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7" i="3" l="1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 l="1"/>
  <c r="P3" i="65" l="1"/>
  <c r="BP47" i="3"/>
  <c r="BO47" i="3"/>
  <c r="BN47" i="3"/>
  <c r="BM47" i="3"/>
  <c r="BF47" i="3"/>
  <c r="BC47" i="3"/>
  <c r="AY47" i="3"/>
  <c r="AX47" i="3"/>
  <c r="AT47" i="3"/>
  <c r="AS47" i="3"/>
  <c r="AB47" i="3"/>
  <c r="AA47" i="3"/>
  <c r="J47" i="3"/>
  <c r="I47" i="3"/>
  <c r="E47" i="3"/>
  <c r="C47" i="3"/>
  <c r="B47" i="3"/>
  <c r="BP46" i="3"/>
  <c r="BO46" i="3"/>
  <c r="BN46" i="3"/>
  <c r="BM46" i="3"/>
  <c r="BF46" i="3"/>
  <c r="BC46" i="3"/>
  <c r="AY46" i="3"/>
  <c r="AX46" i="3"/>
  <c r="AT46" i="3"/>
  <c r="AS46" i="3"/>
  <c r="AB46" i="3"/>
  <c r="AA46" i="3"/>
  <c r="J46" i="3"/>
  <c r="I46" i="3"/>
  <c r="E46" i="3"/>
  <c r="C46" i="3"/>
  <c r="B46" i="3"/>
  <c r="BP45" i="3"/>
  <c r="BO45" i="3"/>
  <c r="BN45" i="3"/>
  <c r="BM45" i="3"/>
  <c r="BF45" i="3"/>
  <c r="BC45" i="3"/>
  <c r="AY45" i="3"/>
  <c r="AX45" i="3"/>
  <c r="AT45" i="3"/>
  <c r="AS45" i="3"/>
  <c r="AB45" i="3"/>
  <c r="AA45" i="3"/>
  <c r="J45" i="3"/>
  <c r="I45" i="3"/>
  <c r="E45" i="3"/>
  <c r="C45" i="3"/>
  <c r="B45" i="3"/>
  <c r="BP44" i="3"/>
  <c r="BO44" i="3"/>
  <c r="BN44" i="3"/>
  <c r="BM44" i="3"/>
  <c r="BF44" i="3"/>
  <c r="BC44" i="3"/>
  <c r="AY44" i="3"/>
  <c r="AX44" i="3"/>
  <c r="AT44" i="3"/>
  <c r="AS44" i="3"/>
  <c r="AB44" i="3"/>
  <c r="AA44" i="3"/>
  <c r="J44" i="3"/>
  <c r="I44" i="3"/>
  <c r="E44" i="3"/>
  <c r="C44" i="3"/>
  <c r="B44" i="3"/>
  <c r="BP43" i="3"/>
  <c r="BO43" i="3"/>
  <c r="BN43" i="3"/>
  <c r="BM43" i="3"/>
  <c r="BF43" i="3"/>
  <c r="BC43" i="3"/>
  <c r="AY43" i="3"/>
  <c r="AX43" i="3"/>
  <c r="AT43" i="3"/>
  <c r="AS43" i="3"/>
  <c r="AB43" i="3"/>
  <c r="AA43" i="3"/>
  <c r="J43" i="3"/>
  <c r="I43" i="3"/>
  <c r="E43" i="3"/>
  <c r="C43" i="3"/>
  <c r="B43" i="3"/>
  <c r="BP42" i="3"/>
  <c r="BO42" i="3"/>
  <c r="BN42" i="3"/>
  <c r="BM42" i="3"/>
  <c r="BF42" i="3"/>
  <c r="BC42" i="3"/>
  <c r="AY42" i="3"/>
  <c r="AX42" i="3"/>
  <c r="AT42" i="3"/>
  <c r="AS42" i="3"/>
  <c r="AB42" i="3"/>
  <c r="AA42" i="3"/>
  <c r="J42" i="3"/>
  <c r="I42" i="3"/>
  <c r="E42" i="3"/>
  <c r="C42" i="3"/>
  <c r="B42" i="3"/>
  <c r="BP41" i="3"/>
  <c r="BO41" i="3"/>
  <c r="BN41" i="3"/>
  <c r="BM41" i="3"/>
  <c r="BF41" i="3"/>
  <c r="BC41" i="3"/>
  <c r="AY41" i="3"/>
  <c r="AX41" i="3"/>
  <c r="AT41" i="3"/>
  <c r="AS41" i="3"/>
  <c r="AB41" i="3"/>
  <c r="AA41" i="3"/>
  <c r="J41" i="3"/>
  <c r="I41" i="3"/>
  <c r="E41" i="3"/>
  <c r="C41" i="3"/>
  <c r="B41" i="3"/>
  <c r="BP40" i="3"/>
  <c r="BO40" i="3"/>
  <c r="BN40" i="3"/>
  <c r="BM40" i="3"/>
  <c r="BF40" i="3"/>
  <c r="BC40" i="3"/>
  <c r="AY40" i="3"/>
  <c r="AX40" i="3"/>
  <c r="AT40" i="3"/>
  <c r="AS40" i="3"/>
  <c r="AB40" i="3"/>
  <c r="AA40" i="3"/>
  <c r="J40" i="3"/>
  <c r="I40" i="3"/>
  <c r="E40" i="3"/>
  <c r="C40" i="3"/>
  <c r="B40" i="3"/>
  <c r="BP39" i="3"/>
  <c r="BO39" i="3"/>
  <c r="BN39" i="3"/>
  <c r="BM39" i="3"/>
  <c r="BF39" i="3"/>
  <c r="BC39" i="3"/>
  <c r="AY39" i="3"/>
  <c r="AX39" i="3"/>
  <c r="AT39" i="3"/>
  <c r="AS39" i="3"/>
  <c r="AB39" i="3"/>
  <c r="AA39" i="3"/>
  <c r="J39" i="3"/>
  <c r="I39" i="3"/>
  <c r="E39" i="3"/>
  <c r="C39" i="3"/>
  <c r="B39" i="3"/>
  <c r="BP38" i="3"/>
  <c r="BO38" i="3"/>
  <c r="BN38" i="3"/>
  <c r="BM38" i="3"/>
  <c r="BF38" i="3"/>
  <c r="BC38" i="3"/>
  <c r="AY38" i="3"/>
  <c r="AX38" i="3"/>
  <c r="AT38" i="3"/>
  <c r="AS38" i="3"/>
  <c r="AB38" i="3"/>
  <c r="AA38" i="3"/>
  <c r="J38" i="3"/>
  <c r="I38" i="3"/>
  <c r="E38" i="3"/>
  <c r="C38" i="3"/>
  <c r="B38" i="3"/>
  <c r="BP37" i="3"/>
  <c r="BO37" i="3"/>
  <c r="BN37" i="3"/>
  <c r="BM37" i="3"/>
  <c r="BF37" i="3"/>
  <c r="BC37" i="3"/>
  <c r="AY37" i="3"/>
  <c r="AX37" i="3"/>
  <c r="AT37" i="3"/>
  <c r="AS37" i="3"/>
  <c r="AB37" i="3"/>
  <c r="AA37" i="3"/>
  <c r="J37" i="3"/>
  <c r="I37" i="3"/>
  <c r="E37" i="3"/>
  <c r="C37" i="3"/>
  <c r="B37" i="3"/>
  <c r="BP36" i="3"/>
  <c r="BO36" i="3"/>
  <c r="BN36" i="3"/>
  <c r="BM36" i="3"/>
  <c r="BF36" i="3"/>
  <c r="BC36" i="3"/>
  <c r="AY36" i="3"/>
  <c r="AX36" i="3"/>
  <c r="AT36" i="3"/>
  <c r="AS36" i="3"/>
  <c r="AB36" i="3"/>
  <c r="AA36" i="3"/>
  <c r="J36" i="3"/>
  <c r="I36" i="3"/>
  <c r="E36" i="3"/>
  <c r="C36" i="3"/>
  <c r="B36" i="3"/>
  <c r="BP35" i="3"/>
  <c r="BO35" i="3"/>
  <c r="BN35" i="3"/>
  <c r="BM35" i="3"/>
  <c r="BF35" i="3"/>
  <c r="BC35" i="3"/>
  <c r="AY35" i="3"/>
  <c r="AX35" i="3"/>
  <c r="AT35" i="3"/>
  <c r="AS35" i="3"/>
  <c r="AB35" i="3"/>
  <c r="AA35" i="3"/>
  <c r="J35" i="3"/>
  <c r="I35" i="3"/>
  <c r="E35" i="3"/>
  <c r="C35" i="3"/>
  <c r="B35" i="3"/>
  <c r="BP34" i="3"/>
  <c r="BO34" i="3"/>
  <c r="BN34" i="3"/>
  <c r="BM34" i="3"/>
  <c r="BF34" i="3"/>
  <c r="BC34" i="3"/>
  <c r="AY34" i="3"/>
  <c r="AX34" i="3"/>
  <c r="AT34" i="3"/>
  <c r="AS34" i="3"/>
  <c r="AB34" i="3"/>
  <c r="AA34" i="3"/>
  <c r="J34" i="3"/>
  <c r="I34" i="3"/>
  <c r="E34" i="3"/>
  <c r="C34" i="3"/>
  <c r="B34" i="3"/>
  <c r="BP33" i="3"/>
  <c r="BO33" i="3"/>
  <c r="BN33" i="3"/>
  <c r="BM33" i="3"/>
  <c r="BF33" i="3"/>
  <c r="BC33" i="3"/>
  <c r="AY33" i="3"/>
  <c r="AX33" i="3"/>
  <c r="AT33" i="3"/>
  <c r="AS33" i="3"/>
  <c r="AB33" i="3"/>
  <c r="AA33" i="3"/>
  <c r="J33" i="3"/>
  <c r="I33" i="3"/>
  <c r="E33" i="3"/>
  <c r="C33" i="3"/>
  <c r="B33" i="3"/>
  <c r="BP32" i="3"/>
  <c r="BO32" i="3"/>
  <c r="BN32" i="3"/>
  <c r="BM32" i="3"/>
  <c r="BF32" i="3"/>
  <c r="BC32" i="3"/>
  <c r="AY32" i="3"/>
  <c r="AX32" i="3"/>
  <c r="AT32" i="3"/>
  <c r="AS32" i="3"/>
  <c r="AB32" i="3"/>
  <c r="AA32" i="3"/>
  <c r="J32" i="3"/>
  <c r="I32" i="3"/>
  <c r="E32" i="3"/>
  <c r="C32" i="3"/>
  <c r="B32" i="3"/>
  <c r="BP31" i="3"/>
  <c r="BO31" i="3"/>
  <c r="BN31" i="3"/>
  <c r="BM31" i="3"/>
  <c r="BF31" i="3"/>
  <c r="BC31" i="3"/>
  <c r="AY31" i="3"/>
  <c r="AX31" i="3"/>
  <c r="AT31" i="3"/>
  <c r="AS31" i="3"/>
  <c r="AB31" i="3"/>
  <c r="AA31" i="3"/>
  <c r="J31" i="3"/>
  <c r="I31" i="3"/>
  <c r="E31" i="3"/>
  <c r="C31" i="3"/>
  <c r="B31" i="3"/>
  <c r="BP30" i="3"/>
  <c r="BO30" i="3"/>
  <c r="BN30" i="3"/>
  <c r="BM30" i="3"/>
  <c r="BF30" i="3"/>
  <c r="BC30" i="3"/>
  <c r="AY30" i="3"/>
  <c r="AX30" i="3"/>
  <c r="AT30" i="3"/>
  <c r="AS30" i="3"/>
  <c r="AB30" i="3"/>
  <c r="AA30" i="3"/>
  <c r="J30" i="3"/>
  <c r="I30" i="3"/>
  <c r="E30" i="3"/>
  <c r="C30" i="3"/>
  <c r="B30" i="3"/>
  <c r="BP29" i="3"/>
  <c r="BO29" i="3"/>
  <c r="BN29" i="3"/>
  <c r="BM29" i="3"/>
  <c r="BF29" i="3"/>
  <c r="BC29" i="3"/>
  <c r="AY29" i="3"/>
  <c r="AX29" i="3"/>
  <c r="AT29" i="3"/>
  <c r="AS29" i="3"/>
  <c r="AB29" i="3"/>
  <c r="AA29" i="3"/>
  <c r="J29" i="3"/>
  <c r="I29" i="3"/>
  <c r="E29" i="3"/>
  <c r="C29" i="3"/>
  <c r="B29" i="3"/>
  <c r="BP28" i="3"/>
  <c r="BO28" i="3"/>
  <c r="BN28" i="3"/>
  <c r="BM28" i="3"/>
  <c r="BF28" i="3"/>
  <c r="BC28" i="3"/>
  <c r="AY28" i="3"/>
  <c r="AX28" i="3"/>
  <c r="AT28" i="3"/>
  <c r="AS28" i="3"/>
  <c r="AB28" i="3"/>
  <c r="AA28" i="3"/>
  <c r="J28" i="3"/>
  <c r="I28" i="3"/>
  <c r="E28" i="3"/>
  <c r="C28" i="3"/>
  <c r="B28" i="3"/>
  <c r="BP27" i="3"/>
  <c r="BO27" i="3"/>
  <c r="BN27" i="3"/>
  <c r="BM27" i="3"/>
  <c r="BF27" i="3"/>
  <c r="BC27" i="3"/>
  <c r="AY27" i="3"/>
  <c r="AX27" i="3"/>
  <c r="AT27" i="3"/>
  <c r="AS27" i="3"/>
  <c r="AB27" i="3"/>
  <c r="AA27" i="3"/>
  <c r="J27" i="3"/>
  <c r="I27" i="3"/>
  <c r="E27" i="3"/>
  <c r="C27" i="3"/>
  <c r="B27" i="3"/>
  <c r="BP26" i="3"/>
  <c r="BO26" i="3"/>
  <c r="BN26" i="3"/>
  <c r="BM26" i="3"/>
  <c r="BF26" i="3"/>
  <c r="BC26" i="3"/>
  <c r="AY26" i="3"/>
  <c r="AX26" i="3"/>
  <c r="AT26" i="3"/>
  <c r="AS26" i="3"/>
  <c r="AB26" i="3"/>
  <c r="AA26" i="3"/>
  <c r="J26" i="3"/>
  <c r="I26" i="3"/>
  <c r="E26" i="3"/>
  <c r="C26" i="3"/>
  <c r="B26" i="3"/>
  <c r="BP25" i="3"/>
  <c r="BO25" i="3"/>
  <c r="BN25" i="3"/>
  <c r="BM25" i="3"/>
  <c r="BF25" i="3"/>
  <c r="BC25" i="3"/>
  <c r="AY25" i="3"/>
  <c r="AX25" i="3"/>
  <c r="AT25" i="3"/>
  <c r="AS25" i="3"/>
  <c r="AB25" i="3"/>
  <c r="AA25" i="3"/>
  <c r="J25" i="3"/>
  <c r="I25" i="3"/>
  <c r="E25" i="3"/>
  <c r="C25" i="3"/>
  <c r="B25" i="3"/>
  <c r="BP24" i="3"/>
  <c r="BO24" i="3"/>
  <c r="BN24" i="3"/>
  <c r="BM24" i="3"/>
  <c r="BF24" i="3"/>
  <c r="BC24" i="3"/>
  <c r="AY24" i="3"/>
  <c r="AX24" i="3"/>
  <c r="AT24" i="3"/>
  <c r="AS24" i="3"/>
  <c r="AB24" i="3"/>
  <c r="AA24" i="3"/>
  <c r="J24" i="3"/>
  <c r="I24" i="3"/>
  <c r="E24" i="3"/>
  <c r="C24" i="3"/>
  <c r="B24" i="3"/>
  <c r="BP23" i="3"/>
  <c r="BO23" i="3"/>
  <c r="BN23" i="3"/>
  <c r="BM23" i="3"/>
  <c r="BF23" i="3"/>
  <c r="BC23" i="3"/>
  <c r="AY23" i="3"/>
  <c r="AX23" i="3"/>
  <c r="AT23" i="3"/>
  <c r="AS23" i="3"/>
  <c r="AB23" i="3"/>
  <c r="AA23" i="3"/>
  <c r="J23" i="3"/>
  <c r="I23" i="3"/>
  <c r="E23" i="3"/>
  <c r="C23" i="3"/>
  <c r="B23" i="3"/>
  <c r="BP22" i="3"/>
  <c r="BO22" i="3"/>
  <c r="BN22" i="3"/>
  <c r="BM22" i="3"/>
  <c r="BF22" i="3"/>
  <c r="BC22" i="3"/>
  <c r="AY22" i="3"/>
  <c r="AX22" i="3"/>
  <c r="AT22" i="3"/>
  <c r="AS22" i="3"/>
  <c r="AB22" i="3"/>
  <c r="AA22" i="3"/>
  <c r="J22" i="3"/>
  <c r="I22" i="3"/>
  <c r="E22" i="3"/>
  <c r="C22" i="3"/>
  <c r="B22" i="3"/>
  <c r="BP21" i="3"/>
  <c r="BO21" i="3"/>
  <c r="BN21" i="3"/>
  <c r="BM21" i="3"/>
  <c r="BF21" i="3"/>
  <c r="BC21" i="3"/>
  <c r="AY21" i="3"/>
  <c r="AX21" i="3"/>
  <c r="AT21" i="3"/>
  <c r="AS21" i="3"/>
  <c r="AB21" i="3"/>
  <c r="AA21" i="3"/>
  <c r="J21" i="3"/>
  <c r="I21" i="3"/>
  <c r="E21" i="3"/>
  <c r="C21" i="3"/>
  <c r="B21" i="3"/>
  <c r="BP20" i="3"/>
  <c r="BO20" i="3"/>
  <c r="BN20" i="3"/>
  <c r="BM20" i="3"/>
  <c r="BF20" i="3"/>
  <c r="BC20" i="3"/>
  <c r="AY20" i="3"/>
  <c r="AX20" i="3"/>
  <c r="AT20" i="3"/>
  <c r="AS20" i="3"/>
  <c r="AB20" i="3"/>
  <c r="AA20" i="3"/>
  <c r="J20" i="3"/>
  <c r="I20" i="3"/>
  <c r="E20" i="3"/>
  <c r="C20" i="3"/>
  <c r="B20" i="3"/>
  <c r="BP19" i="3"/>
  <c r="BO19" i="3"/>
  <c r="BN19" i="3"/>
  <c r="BM19" i="3"/>
  <c r="BF19" i="3"/>
  <c r="BC19" i="3"/>
  <c r="AY19" i="3"/>
  <c r="AX19" i="3"/>
  <c r="AT19" i="3"/>
  <c r="AS19" i="3"/>
  <c r="AB19" i="3"/>
  <c r="AA19" i="3"/>
  <c r="J19" i="3"/>
  <c r="I19" i="3"/>
  <c r="E19" i="3"/>
  <c r="C19" i="3"/>
  <c r="B19" i="3"/>
  <c r="BP18" i="3"/>
  <c r="BO18" i="3"/>
  <c r="BN18" i="3"/>
  <c r="BM18" i="3"/>
  <c r="BF18" i="3"/>
  <c r="BC18" i="3"/>
  <c r="AY18" i="3"/>
  <c r="AX18" i="3"/>
  <c r="AT18" i="3"/>
  <c r="AS18" i="3"/>
  <c r="AB18" i="3"/>
  <c r="AA18" i="3"/>
  <c r="J18" i="3"/>
  <c r="I18" i="3"/>
  <c r="E18" i="3"/>
  <c r="C18" i="3"/>
  <c r="B18" i="3"/>
  <c r="BP17" i="3"/>
  <c r="BO17" i="3"/>
  <c r="BN17" i="3"/>
  <c r="BM17" i="3"/>
  <c r="BF17" i="3"/>
  <c r="BC17" i="3"/>
  <c r="AY17" i="3"/>
  <c r="AX17" i="3"/>
  <c r="AT17" i="3"/>
  <c r="AS17" i="3"/>
  <c r="AB17" i="3"/>
  <c r="AA17" i="3"/>
  <c r="J17" i="3"/>
  <c r="I17" i="3"/>
  <c r="E17" i="3"/>
  <c r="C17" i="3"/>
  <c r="B17" i="3"/>
  <c r="BP16" i="3"/>
  <c r="BO16" i="3"/>
  <c r="BN16" i="3"/>
  <c r="BM16" i="3"/>
  <c r="BF16" i="3"/>
  <c r="BC16" i="3"/>
  <c r="AY16" i="3"/>
  <c r="AX16" i="3"/>
  <c r="AT16" i="3"/>
  <c r="AS16" i="3"/>
  <c r="AB16" i="3"/>
  <c r="AA16" i="3"/>
  <c r="J16" i="3"/>
  <c r="I16" i="3"/>
  <c r="E16" i="3"/>
  <c r="C16" i="3"/>
  <c r="B16" i="3"/>
  <c r="BP15" i="3"/>
  <c r="BO15" i="3"/>
  <c r="BN15" i="3"/>
  <c r="BM15" i="3"/>
  <c r="BF15" i="3"/>
  <c r="BC15" i="3"/>
  <c r="AY15" i="3"/>
  <c r="AX15" i="3"/>
  <c r="AT15" i="3"/>
  <c r="AS15" i="3"/>
  <c r="AB15" i="3"/>
  <c r="AA15" i="3"/>
  <c r="J15" i="3"/>
  <c r="I15" i="3"/>
  <c r="E15" i="3"/>
  <c r="C15" i="3"/>
  <c r="B15" i="3"/>
  <c r="BP14" i="3"/>
  <c r="BO14" i="3"/>
  <c r="BN14" i="3"/>
  <c r="BM14" i="3"/>
  <c r="BF14" i="3"/>
  <c r="BC14" i="3"/>
  <c r="AY14" i="3"/>
  <c r="AX14" i="3"/>
  <c r="AT14" i="3"/>
  <c r="AS14" i="3"/>
  <c r="AB14" i="3"/>
  <c r="AA14" i="3"/>
  <c r="J14" i="3"/>
  <c r="I14" i="3"/>
  <c r="E14" i="3"/>
  <c r="C14" i="3"/>
  <c r="B14" i="3"/>
  <c r="BP13" i="3"/>
  <c r="BO13" i="3"/>
  <c r="BN13" i="3"/>
  <c r="BM13" i="3"/>
  <c r="BF13" i="3"/>
  <c r="BC13" i="3"/>
  <c r="AY13" i="3"/>
  <c r="AX13" i="3"/>
  <c r="AT13" i="3"/>
  <c r="AS13" i="3"/>
  <c r="AB13" i="3"/>
  <c r="AA13" i="3"/>
  <c r="J13" i="3"/>
  <c r="I13" i="3"/>
  <c r="E13" i="3"/>
  <c r="C13" i="3"/>
  <c r="B13" i="3"/>
  <c r="BP12" i="3"/>
  <c r="BO12" i="3"/>
  <c r="BN12" i="3"/>
  <c r="BM12" i="3"/>
  <c r="BF12" i="3"/>
  <c r="BC12" i="3"/>
  <c r="AY12" i="3"/>
  <c r="AX12" i="3"/>
  <c r="AT12" i="3"/>
  <c r="AS12" i="3"/>
  <c r="AB12" i="3"/>
  <c r="AA12" i="3"/>
  <c r="J12" i="3"/>
  <c r="I12" i="3"/>
  <c r="E12" i="3"/>
  <c r="C12" i="3"/>
  <c r="B12" i="3"/>
  <c r="BP11" i="3"/>
  <c r="BO11" i="3"/>
  <c r="BN11" i="3"/>
  <c r="BM11" i="3"/>
  <c r="BF11" i="3"/>
  <c r="BC11" i="3"/>
  <c r="AY11" i="3"/>
  <c r="AX11" i="3"/>
  <c r="AT11" i="3"/>
  <c r="AS11" i="3"/>
  <c r="AB11" i="3"/>
  <c r="AA11" i="3"/>
  <c r="J11" i="3"/>
  <c r="I11" i="3"/>
  <c r="E11" i="3"/>
  <c r="C11" i="3"/>
  <c r="B11" i="3"/>
  <c r="BP10" i="3"/>
  <c r="BO10" i="3"/>
  <c r="BN10" i="3"/>
  <c r="BM10" i="3"/>
  <c r="BF10" i="3"/>
  <c r="BC10" i="3"/>
  <c r="AY10" i="3"/>
  <c r="AX10" i="3"/>
  <c r="AT10" i="3"/>
  <c r="AS10" i="3"/>
  <c r="AB10" i="3"/>
  <c r="AA10" i="3"/>
  <c r="J10" i="3"/>
  <c r="I10" i="3"/>
  <c r="E10" i="3"/>
  <c r="C10" i="3"/>
  <c r="B10" i="3"/>
  <c r="BP9" i="3"/>
  <c r="BO9" i="3"/>
  <c r="BN9" i="3"/>
  <c r="BM9" i="3"/>
  <c r="BF9" i="3"/>
  <c r="BC9" i="3"/>
  <c r="AY9" i="3"/>
  <c r="AX9" i="3"/>
  <c r="AT9" i="3"/>
  <c r="AS9" i="3"/>
  <c r="AB9" i="3"/>
  <c r="AA9" i="3"/>
  <c r="J9" i="3"/>
  <c r="I9" i="3"/>
  <c r="E9" i="3"/>
  <c r="C9" i="3"/>
  <c r="B9" i="3"/>
  <c r="BP8" i="3"/>
  <c r="BO8" i="3"/>
  <c r="BN8" i="3"/>
  <c r="BM8" i="3"/>
  <c r="BF8" i="3"/>
  <c r="BC8" i="3"/>
  <c r="AY8" i="3"/>
  <c r="AX8" i="3"/>
  <c r="AT8" i="3"/>
  <c r="AS8" i="3"/>
  <c r="AB8" i="3"/>
  <c r="AA8" i="3"/>
  <c r="J8" i="3"/>
  <c r="I8" i="3"/>
  <c r="E8" i="3"/>
  <c r="C8" i="3"/>
  <c r="B8" i="3"/>
  <c r="BP7" i="3"/>
  <c r="BO7" i="3"/>
  <c r="BN7" i="3"/>
  <c r="BM7" i="3"/>
  <c r="BF7" i="3"/>
  <c r="BC7" i="3"/>
  <c r="AY7" i="3"/>
  <c r="AX7" i="3"/>
  <c r="AT7" i="3"/>
  <c r="AS7" i="3"/>
  <c r="AB7" i="3"/>
  <c r="AA7" i="3"/>
  <c r="J7" i="3"/>
  <c r="I7" i="3"/>
  <c r="E7" i="3"/>
  <c r="C7" i="3"/>
  <c r="B7" i="3"/>
  <c r="BP6" i="3"/>
  <c r="BO6" i="3"/>
  <c r="BN6" i="3"/>
  <c r="BM6" i="3"/>
  <c r="BF6" i="3"/>
  <c r="BC6" i="3"/>
  <c r="AY6" i="3"/>
  <c r="AX6" i="3"/>
  <c r="AT6" i="3"/>
  <c r="AS6" i="3"/>
  <c r="AB6" i="3"/>
  <c r="AA6" i="3"/>
  <c r="J6" i="3"/>
  <c r="I6" i="3"/>
  <c r="E6" i="3"/>
  <c r="C6" i="3"/>
  <c r="B6" i="3"/>
  <c r="BP5" i="3"/>
  <c r="BO5" i="3"/>
  <c r="BN5" i="3"/>
  <c r="BM5" i="3"/>
  <c r="BF5" i="3"/>
  <c r="BC5" i="3"/>
  <c r="AY5" i="3"/>
  <c r="AX5" i="3"/>
  <c r="AT5" i="3"/>
  <c r="AS5" i="3"/>
  <c r="AB5" i="3"/>
  <c r="AA5" i="3"/>
  <c r="J5" i="3"/>
  <c r="I5" i="3"/>
  <c r="E5" i="3"/>
  <c r="C5" i="3"/>
  <c r="B5" i="3"/>
  <c r="BP4" i="3"/>
  <c r="BO4" i="3"/>
  <c r="BN4" i="3"/>
  <c r="BM4" i="3"/>
  <c r="BF4" i="3"/>
  <c r="BC4" i="3"/>
  <c r="AY4" i="3"/>
  <c r="AX4" i="3"/>
  <c r="AT4" i="3"/>
  <c r="AS4" i="3"/>
  <c r="AB4" i="3"/>
  <c r="AA4" i="3"/>
  <c r="J4" i="3"/>
  <c r="I4" i="3"/>
  <c r="E4" i="3"/>
  <c r="C4" i="3"/>
  <c r="B4" i="3"/>
  <c r="CT18" i="14"/>
  <c r="CT17" i="14"/>
  <c r="V17" i="14"/>
  <c r="CT16" i="14"/>
  <c r="CQ16" i="14"/>
  <c r="V16" i="14"/>
  <c r="CT15" i="14"/>
  <c r="CQ15" i="14"/>
  <c r="V15" i="14"/>
  <c r="CT14" i="14"/>
  <c r="CQ14" i="14"/>
  <c r="V14" i="14"/>
  <c r="CT13" i="14"/>
  <c r="CQ13" i="14"/>
  <c r="CN13" i="14"/>
  <c r="V13" i="14"/>
  <c r="CT12" i="14"/>
  <c r="CQ12" i="14"/>
  <c r="CN12" i="14"/>
  <c r="V12" i="14"/>
  <c r="CT11" i="14"/>
  <c r="CQ11" i="14"/>
  <c r="CN11" i="14"/>
  <c r="V11" i="14"/>
  <c r="J11" i="14"/>
  <c r="CT10" i="14"/>
  <c r="CQ10" i="14"/>
  <c r="CN10" i="14"/>
  <c r="V10" i="14"/>
  <c r="J10" i="14"/>
  <c r="CT9" i="14"/>
  <c r="CQ9" i="14"/>
  <c r="CN9" i="14"/>
  <c r="V9" i="14"/>
  <c r="J9" i="14"/>
  <c r="CT8" i="14"/>
  <c r="CQ8" i="14"/>
  <c r="CN8" i="14"/>
  <c r="V8" i="14"/>
  <c r="J8" i="14"/>
  <c r="CT7" i="14"/>
  <c r="CQ7" i="14"/>
  <c r="CN7" i="14"/>
  <c r="V7" i="14"/>
  <c r="J7" i="14"/>
  <c r="CT6" i="14"/>
  <c r="CQ6" i="14"/>
  <c r="CN6" i="14"/>
  <c r="V6" i="14"/>
  <c r="J6" i="14"/>
  <c r="CT5" i="14"/>
  <c r="CQ5" i="14"/>
  <c r="CN5" i="14"/>
  <c r="V5" i="14"/>
  <c r="J5" i="14"/>
  <c r="CT4" i="14"/>
  <c r="CQ4" i="14"/>
  <c r="CN4" i="14"/>
  <c r="V4" i="14"/>
  <c r="J4" i="14"/>
  <c r="CT3" i="14"/>
  <c r="CQ3" i="14"/>
  <c r="CN3" i="14"/>
  <c r="BE47" i="24"/>
  <c r="BD47" i="24"/>
  <c r="BB47" i="24"/>
  <c r="AE47" i="24"/>
  <c r="AD47" i="24"/>
  <c r="AB47" i="24"/>
  <c r="E47" i="24"/>
  <c r="D47" i="24"/>
  <c r="B47" i="24"/>
  <c r="BE46" i="24"/>
  <c r="BD46" i="24"/>
  <c r="BB46" i="24"/>
  <c r="AE46" i="24"/>
  <c r="AD46" i="24"/>
  <c r="AB46" i="24"/>
  <c r="E46" i="24"/>
  <c r="D46" i="24"/>
  <c r="B46" i="24"/>
  <c r="BE45" i="24"/>
  <c r="BD45" i="24"/>
  <c r="BB45" i="24"/>
  <c r="AE45" i="24"/>
  <c r="AD45" i="24"/>
  <c r="AB45" i="24"/>
  <c r="E45" i="24"/>
  <c r="D45" i="24"/>
  <c r="B45" i="24"/>
  <c r="BE44" i="24"/>
  <c r="BD44" i="24"/>
  <c r="BB44" i="24"/>
  <c r="AE44" i="24"/>
  <c r="AD44" i="24"/>
  <c r="AB44" i="24"/>
  <c r="E44" i="24"/>
  <c r="D44" i="24"/>
  <c r="B44" i="24"/>
  <c r="BE43" i="24"/>
  <c r="BD43" i="24"/>
  <c r="BB43" i="24"/>
  <c r="AE43" i="24"/>
  <c r="AD43" i="24"/>
  <c r="AB43" i="24"/>
  <c r="E43" i="24"/>
  <c r="D43" i="24"/>
  <c r="B43" i="24"/>
  <c r="BE42" i="24"/>
  <c r="BD42" i="24"/>
  <c r="BB42" i="24"/>
  <c r="AE42" i="24"/>
  <c r="AD42" i="24"/>
  <c r="AB42" i="24"/>
  <c r="E42" i="24"/>
  <c r="D42" i="24"/>
  <c r="B42" i="24"/>
  <c r="BE41" i="24"/>
  <c r="BD41" i="24"/>
  <c r="BB41" i="24"/>
  <c r="AE41" i="24"/>
  <c r="AD41" i="24"/>
  <c r="AB41" i="24"/>
  <c r="E41" i="24"/>
  <c r="D41" i="24"/>
  <c r="B41" i="24"/>
  <c r="BE40" i="24"/>
  <c r="BD40" i="24"/>
  <c r="BB40" i="24"/>
  <c r="AE40" i="24"/>
  <c r="AD40" i="24"/>
  <c r="AB40" i="24"/>
  <c r="E40" i="24"/>
  <c r="D40" i="24"/>
  <c r="B40" i="24"/>
  <c r="BE39" i="24"/>
  <c r="BD39" i="24"/>
  <c r="BB39" i="24"/>
  <c r="AE39" i="24"/>
  <c r="AD39" i="24"/>
  <c r="AB39" i="24"/>
  <c r="E39" i="24"/>
  <c r="D39" i="24"/>
  <c r="B39" i="24"/>
  <c r="BE38" i="24"/>
  <c r="BD38" i="24"/>
  <c r="BB38" i="24"/>
  <c r="AE38" i="24"/>
  <c r="AD38" i="24"/>
  <c r="AB38" i="24"/>
  <c r="E38" i="24"/>
  <c r="D38" i="24"/>
  <c r="B38" i="24"/>
  <c r="BE37" i="24"/>
  <c r="BD37" i="24"/>
  <c r="BB37" i="24"/>
  <c r="AE37" i="24"/>
  <c r="AD37" i="24"/>
  <c r="AB37" i="24"/>
  <c r="E37" i="24"/>
  <c r="D37" i="24"/>
  <c r="B37" i="24"/>
  <c r="BE36" i="24"/>
  <c r="BD36" i="24"/>
  <c r="BB36" i="24"/>
  <c r="AE36" i="24"/>
  <c r="AD36" i="24"/>
  <c r="AB36" i="24"/>
  <c r="E36" i="24"/>
  <c r="D36" i="24"/>
  <c r="B36" i="24"/>
  <c r="BE35" i="24"/>
  <c r="BD35" i="24"/>
  <c r="BB35" i="24"/>
  <c r="AE35" i="24"/>
  <c r="AD35" i="24"/>
  <c r="AB35" i="24"/>
  <c r="E35" i="24"/>
  <c r="D35" i="24"/>
  <c r="B35" i="24"/>
  <c r="BE34" i="24"/>
  <c r="BD34" i="24"/>
  <c r="BB34" i="24"/>
  <c r="AE34" i="24"/>
  <c r="AD34" i="24"/>
  <c r="AB34" i="24"/>
  <c r="E34" i="24"/>
  <c r="D34" i="24"/>
  <c r="B34" i="24"/>
  <c r="BE33" i="24"/>
  <c r="BD33" i="24"/>
  <c r="BB33" i="24"/>
  <c r="AE33" i="24"/>
  <c r="AD33" i="24"/>
  <c r="AB33" i="24"/>
  <c r="E33" i="24"/>
  <c r="D33" i="24"/>
  <c r="B33" i="24"/>
  <c r="BE32" i="24"/>
  <c r="BD32" i="24"/>
  <c r="BB32" i="24"/>
  <c r="AE32" i="24"/>
  <c r="AD32" i="24"/>
  <c r="AB32" i="24"/>
  <c r="E32" i="24"/>
  <c r="D32" i="24"/>
  <c r="B32" i="24"/>
  <c r="BE31" i="24"/>
  <c r="BD31" i="24"/>
  <c r="BB31" i="24"/>
  <c r="AE31" i="24"/>
  <c r="AD31" i="24"/>
  <c r="AB31" i="24"/>
  <c r="E31" i="24"/>
  <c r="D31" i="24"/>
  <c r="B31" i="24"/>
  <c r="BE30" i="24"/>
  <c r="BD30" i="24"/>
  <c r="BB30" i="24"/>
  <c r="AE30" i="24"/>
  <c r="AD30" i="24"/>
  <c r="AB30" i="24"/>
  <c r="E30" i="24"/>
  <c r="D30" i="24"/>
  <c r="B30" i="24"/>
  <c r="BE29" i="24"/>
  <c r="BD29" i="24"/>
  <c r="BB29" i="24"/>
  <c r="AE29" i="24"/>
  <c r="AD29" i="24"/>
  <c r="AB29" i="24"/>
  <c r="E29" i="24"/>
  <c r="D29" i="24"/>
  <c r="B29" i="24"/>
  <c r="BE28" i="24"/>
  <c r="BD28" i="24"/>
  <c r="BB28" i="24"/>
  <c r="AE28" i="24"/>
  <c r="AD28" i="24"/>
  <c r="AB28" i="24"/>
  <c r="E28" i="24"/>
  <c r="D28" i="24"/>
  <c r="B28" i="24"/>
  <c r="BE27" i="24"/>
  <c r="BD27" i="24"/>
  <c r="BB27" i="24"/>
  <c r="AE27" i="24"/>
  <c r="AD27" i="24"/>
  <c r="AB27" i="24"/>
  <c r="E27" i="24"/>
  <c r="D27" i="24"/>
  <c r="B27" i="24"/>
  <c r="BE26" i="24"/>
  <c r="BD26" i="24"/>
  <c r="BB26" i="24"/>
  <c r="AE26" i="24"/>
  <c r="AD26" i="24"/>
  <c r="AB26" i="24"/>
  <c r="E26" i="24"/>
  <c r="D26" i="24"/>
  <c r="B26" i="24"/>
  <c r="BE25" i="24"/>
  <c r="BD25" i="24"/>
  <c r="BB25" i="24"/>
  <c r="AE25" i="24"/>
  <c r="AD25" i="24"/>
  <c r="AB25" i="24"/>
  <c r="E25" i="24"/>
  <c r="D25" i="24"/>
  <c r="B25" i="24"/>
  <c r="BE24" i="24"/>
  <c r="BD24" i="24"/>
  <c r="BB24" i="24"/>
  <c r="AE24" i="24"/>
  <c r="AD24" i="24"/>
  <c r="AB24" i="24"/>
  <c r="E24" i="24"/>
  <c r="D24" i="24"/>
  <c r="B24" i="24"/>
  <c r="BE23" i="24"/>
  <c r="BD23" i="24"/>
  <c r="BB23" i="24"/>
  <c r="AE23" i="24"/>
  <c r="AD23" i="24"/>
  <c r="AB23" i="24"/>
  <c r="E23" i="24"/>
  <c r="D23" i="24"/>
  <c r="B23" i="24"/>
  <c r="BE22" i="24"/>
  <c r="BD22" i="24"/>
  <c r="BB22" i="24"/>
  <c r="AE22" i="24"/>
  <c r="AD22" i="24"/>
  <c r="AB22" i="24"/>
  <c r="E22" i="24"/>
  <c r="D22" i="24"/>
  <c r="B22" i="24"/>
  <c r="BE21" i="24"/>
  <c r="BD21" i="24"/>
  <c r="BB21" i="24"/>
  <c r="AE21" i="24"/>
  <c r="AD21" i="24"/>
  <c r="AB21" i="24"/>
  <c r="E21" i="24"/>
  <c r="D21" i="24"/>
  <c r="B21" i="24"/>
  <c r="BE20" i="24"/>
  <c r="BD20" i="24"/>
  <c r="BB20" i="24"/>
  <c r="AE20" i="24"/>
  <c r="AD20" i="24"/>
  <c r="AB20" i="24"/>
  <c r="E20" i="24"/>
  <c r="D20" i="24"/>
  <c r="B20" i="24"/>
  <c r="BE19" i="24"/>
  <c r="BD19" i="24"/>
  <c r="BB19" i="24"/>
  <c r="AE19" i="24"/>
  <c r="AD19" i="24"/>
  <c r="AB19" i="24"/>
  <c r="E19" i="24"/>
  <c r="D19" i="24"/>
  <c r="B19" i="24"/>
  <c r="BE18" i="24"/>
  <c r="BD18" i="24"/>
  <c r="BB18" i="24"/>
  <c r="AE18" i="24"/>
  <c r="AD18" i="24"/>
  <c r="AB18" i="24"/>
  <c r="E18" i="24"/>
  <c r="D18" i="24"/>
  <c r="B18" i="24"/>
  <c r="BE17" i="24"/>
  <c r="BD17" i="24"/>
  <c r="BB17" i="24"/>
  <c r="AE17" i="24"/>
  <c r="AD17" i="24"/>
  <c r="AB17" i="24"/>
  <c r="E17" i="24"/>
  <c r="D17" i="24"/>
  <c r="B17" i="24"/>
  <c r="BE16" i="24"/>
  <c r="BD16" i="24"/>
  <c r="BB16" i="24"/>
  <c r="AE16" i="24"/>
  <c r="AD16" i="24"/>
  <c r="AB16" i="24"/>
  <c r="E16" i="24"/>
  <c r="D16" i="24"/>
  <c r="B16" i="24"/>
  <c r="BE15" i="24"/>
  <c r="BD15" i="24"/>
  <c r="BB15" i="24"/>
  <c r="AE15" i="24"/>
  <c r="AD15" i="24"/>
  <c r="AB15" i="24"/>
  <c r="E15" i="24"/>
  <c r="D15" i="24"/>
  <c r="B15" i="24"/>
  <c r="BE14" i="24"/>
  <c r="BD14" i="24"/>
  <c r="BB14" i="24"/>
  <c r="AE14" i="24"/>
  <c r="AD14" i="24"/>
  <c r="AB14" i="24"/>
  <c r="E14" i="24"/>
  <c r="D14" i="24"/>
  <c r="B14" i="24"/>
  <c r="BE13" i="24"/>
  <c r="BD13" i="24"/>
  <c r="BB13" i="24"/>
  <c r="AE13" i="24"/>
  <c r="AD13" i="24"/>
  <c r="AB13" i="24"/>
  <c r="E13" i="24"/>
  <c r="D13" i="24"/>
  <c r="B13" i="24"/>
  <c r="BE12" i="24"/>
  <c r="BD12" i="24"/>
  <c r="BB12" i="24"/>
  <c r="AE12" i="24"/>
  <c r="AD12" i="24"/>
  <c r="AB12" i="24"/>
  <c r="E12" i="24"/>
  <c r="D12" i="24"/>
  <c r="B12" i="24"/>
  <c r="BE11" i="24"/>
  <c r="BD11" i="24"/>
  <c r="BB11" i="24"/>
  <c r="AE11" i="24"/>
  <c r="AD11" i="24"/>
  <c r="AB11" i="24"/>
  <c r="E11" i="24"/>
  <c r="D11" i="24"/>
  <c r="B11" i="24"/>
  <c r="BE10" i="24"/>
  <c r="BD10" i="24"/>
  <c r="BB10" i="24"/>
  <c r="AE10" i="24"/>
  <c r="AD10" i="24"/>
  <c r="AB10" i="24"/>
  <c r="E10" i="24"/>
  <c r="D10" i="24"/>
  <c r="B10" i="24"/>
  <c r="BE9" i="24"/>
  <c r="BD9" i="24"/>
  <c r="BB9" i="24"/>
  <c r="AE9" i="24"/>
  <c r="AD9" i="24"/>
  <c r="AB9" i="24"/>
  <c r="E9" i="24"/>
  <c r="D9" i="24"/>
  <c r="B9" i="24"/>
  <c r="BE8" i="24"/>
  <c r="BD8" i="24"/>
  <c r="BB8" i="24"/>
  <c r="AE8" i="24"/>
  <c r="AD8" i="24"/>
  <c r="AB8" i="24"/>
  <c r="E8" i="24"/>
  <c r="D8" i="24"/>
  <c r="B8" i="24"/>
  <c r="BE7" i="24"/>
  <c r="BD7" i="24"/>
  <c r="BB7" i="24"/>
  <c r="AE7" i="24"/>
  <c r="AD7" i="24"/>
  <c r="AB7" i="24"/>
  <c r="E7" i="24"/>
  <c r="D7" i="24"/>
  <c r="B7" i="24"/>
  <c r="BE6" i="24"/>
  <c r="BD6" i="24"/>
  <c r="BB6" i="24"/>
  <c r="AE6" i="24"/>
  <c r="AD6" i="24"/>
  <c r="AB6" i="24"/>
  <c r="E6" i="24"/>
  <c r="D6" i="24"/>
  <c r="B6" i="24"/>
  <c r="BE5" i="24"/>
  <c r="BD5" i="24"/>
  <c r="BB5" i="24"/>
  <c r="AE5" i="24"/>
  <c r="AD5" i="24"/>
  <c r="AB5" i="24"/>
  <c r="E5" i="24"/>
  <c r="D5" i="24"/>
  <c r="B5" i="24"/>
  <c r="BE4" i="24"/>
  <c r="BD4" i="24"/>
  <c r="BB4" i="24"/>
  <c r="AE4" i="24"/>
  <c r="AD4" i="24"/>
  <c r="AB4" i="24"/>
  <c r="E4" i="24"/>
  <c r="D4" i="24"/>
  <c r="B4" i="24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K413" i="58"/>
  <c r="K412" i="58"/>
  <c r="K411" i="58"/>
  <c r="K410" i="58"/>
  <c r="K409" i="58"/>
  <c r="K408" i="58"/>
  <c r="K407" i="58"/>
  <c r="K406" i="58"/>
  <c r="K405" i="58"/>
  <c r="K404" i="58"/>
  <c r="K403" i="58"/>
  <c r="K402" i="58"/>
  <c r="K401" i="58"/>
  <c r="K400" i="58"/>
  <c r="K399" i="58"/>
  <c r="K398" i="58"/>
  <c r="K397" i="58"/>
  <c r="K396" i="58"/>
  <c r="K395" i="58"/>
  <c r="K394" i="58"/>
  <c r="K393" i="58"/>
  <c r="K392" i="58"/>
  <c r="K391" i="58"/>
  <c r="K390" i="58"/>
  <c r="K389" i="58"/>
  <c r="K388" i="58"/>
  <c r="K387" i="58"/>
  <c r="K386" i="58"/>
  <c r="K385" i="58"/>
  <c r="K384" i="58"/>
  <c r="K383" i="58"/>
  <c r="K382" i="58"/>
  <c r="K381" i="58"/>
  <c r="K380" i="58"/>
  <c r="K379" i="58"/>
  <c r="K378" i="58"/>
  <c r="K377" i="58"/>
  <c r="K376" i="58"/>
  <c r="K375" i="58"/>
  <c r="K374" i="58"/>
  <c r="K373" i="58"/>
  <c r="K372" i="58"/>
  <c r="K371" i="58"/>
  <c r="K370" i="58"/>
  <c r="K369" i="58"/>
  <c r="K368" i="58"/>
  <c r="K367" i="58"/>
  <c r="K366" i="58"/>
  <c r="K365" i="58"/>
  <c r="K364" i="58"/>
  <c r="K363" i="58"/>
  <c r="K362" i="58"/>
  <c r="K361" i="58"/>
  <c r="K360" i="58"/>
  <c r="K359" i="58"/>
  <c r="K358" i="58"/>
  <c r="K357" i="58"/>
  <c r="K356" i="58"/>
  <c r="K355" i="58"/>
  <c r="K354" i="58"/>
  <c r="K353" i="58"/>
  <c r="K352" i="58"/>
  <c r="K351" i="58"/>
  <c r="K350" i="58"/>
  <c r="K349" i="58"/>
  <c r="K348" i="58"/>
  <c r="K347" i="58"/>
  <c r="K346" i="58"/>
  <c r="K345" i="58"/>
  <c r="K344" i="58"/>
  <c r="K343" i="58"/>
  <c r="K342" i="58"/>
  <c r="K341" i="58"/>
  <c r="K340" i="58"/>
  <c r="K339" i="58"/>
  <c r="K338" i="58"/>
  <c r="K337" i="58"/>
  <c r="K336" i="58"/>
  <c r="K335" i="58"/>
  <c r="K334" i="58"/>
  <c r="K333" i="58"/>
  <c r="K332" i="58"/>
  <c r="K331" i="58"/>
  <c r="K330" i="58"/>
  <c r="K329" i="58"/>
  <c r="K328" i="58"/>
  <c r="K327" i="58"/>
  <c r="K326" i="58"/>
  <c r="K325" i="58"/>
  <c r="K324" i="58"/>
  <c r="K323" i="58"/>
  <c r="K322" i="58"/>
  <c r="K321" i="58"/>
  <c r="K320" i="58"/>
  <c r="K319" i="58"/>
  <c r="K318" i="58"/>
  <c r="K317" i="58"/>
  <c r="K316" i="58"/>
  <c r="K315" i="58"/>
  <c r="K314" i="58"/>
  <c r="K313" i="58"/>
  <c r="K312" i="58"/>
  <c r="K311" i="58"/>
  <c r="K310" i="58"/>
  <c r="K309" i="58"/>
  <c r="K308" i="58"/>
  <c r="K307" i="58"/>
  <c r="K306" i="58"/>
  <c r="K305" i="58"/>
  <c r="K304" i="58"/>
  <c r="K303" i="58"/>
  <c r="K302" i="58"/>
  <c r="K301" i="58"/>
  <c r="K300" i="58"/>
  <c r="K299" i="58"/>
  <c r="K298" i="58"/>
  <c r="K297" i="58"/>
  <c r="K296" i="58"/>
  <c r="K295" i="58"/>
  <c r="K294" i="58"/>
  <c r="K293" i="58"/>
  <c r="K292" i="58"/>
  <c r="K291" i="58"/>
  <c r="K290" i="58"/>
  <c r="K289" i="58"/>
  <c r="K288" i="58"/>
  <c r="K287" i="58"/>
  <c r="K286" i="58"/>
  <c r="K285" i="58"/>
  <c r="K284" i="58"/>
  <c r="K283" i="58"/>
  <c r="K282" i="58"/>
  <c r="K281" i="58"/>
  <c r="K280" i="58"/>
  <c r="K279" i="58"/>
  <c r="K278" i="58"/>
  <c r="K277" i="58"/>
  <c r="K276" i="58"/>
  <c r="K275" i="58"/>
  <c r="K274" i="58"/>
  <c r="K273" i="58"/>
  <c r="K272" i="58"/>
  <c r="K271" i="58"/>
  <c r="K270" i="58"/>
  <c r="K269" i="58"/>
  <c r="K268" i="58"/>
  <c r="K267" i="58"/>
  <c r="K266" i="58"/>
  <c r="K265" i="58"/>
  <c r="K264" i="58"/>
  <c r="K263" i="58"/>
  <c r="K262" i="58"/>
  <c r="K261" i="58"/>
  <c r="K260" i="58"/>
  <c r="K259" i="58"/>
  <c r="K258" i="58"/>
  <c r="K257" i="58"/>
  <c r="K256" i="58"/>
  <c r="K255" i="58"/>
  <c r="K254" i="58"/>
  <c r="K253" i="58"/>
  <c r="K252" i="58"/>
  <c r="K251" i="58"/>
  <c r="K250" i="58"/>
  <c r="K249" i="58"/>
  <c r="K248" i="58"/>
  <c r="K247" i="58"/>
  <c r="K246" i="58"/>
  <c r="K245" i="58"/>
  <c r="K244" i="58"/>
  <c r="K243" i="58"/>
  <c r="K242" i="58"/>
  <c r="K241" i="58"/>
  <c r="K240" i="58"/>
  <c r="K239" i="58"/>
  <c r="K238" i="58"/>
  <c r="K237" i="58"/>
  <c r="K236" i="58"/>
  <c r="K235" i="58"/>
  <c r="K234" i="58"/>
  <c r="K233" i="58"/>
  <c r="K232" i="58"/>
  <c r="K231" i="58"/>
  <c r="K230" i="58"/>
  <c r="K229" i="58"/>
  <c r="K228" i="58"/>
  <c r="K227" i="58"/>
  <c r="K226" i="58"/>
  <c r="K225" i="58"/>
  <c r="K224" i="58"/>
  <c r="K223" i="58"/>
  <c r="K222" i="58"/>
  <c r="K221" i="58"/>
  <c r="K220" i="58"/>
  <c r="K219" i="58"/>
  <c r="K218" i="58"/>
  <c r="K217" i="58"/>
  <c r="K216" i="58"/>
  <c r="K215" i="58"/>
  <c r="K214" i="58"/>
  <c r="K213" i="58"/>
  <c r="K212" i="58"/>
  <c r="K211" i="58"/>
  <c r="K210" i="58"/>
  <c r="K209" i="58"/>
  <c r="K208" i="58"/>
  <c r="K207" i="58"/>
  <c r="K206" i="58"/>
  <c r="K205" i="58"/>
  <c r="K204" i="58"/>
  <c r="K203" i="58"/>
  <c r="K202" i="58"/>
  <c r="K201" i="58"/>
  <c r="K200" i="58"/>
  <c r="K199" i="58"/>
  <c r="K198" i="58"/>
  <c r="K197" i="58"/>
  <c r="K196" i="58"/>
  <c r="K195" i="58"/>
  <c r="K194" i="58"/>
  <c r="K193" i="58"/>
  <c r="K192" i="58"/>
  <c r="K191" i="58"/>
  <c r="K190" i="58"/>
  <c r="K189" i="58"/>
  <c r="K188" i="58"/>
  <c r="K187" i="58"/>
  <c r="K186" i="58"/>
  <c r="K185" i="58"/>
  <c r="K184" i="58"/>
  <c r="K183" i="58"/>
  <c r="K182" i="58"/>
  <c r="K181" i="58"/>
  <c r="K180" i="58"/>
  <c r="K179" i="58"/>
  <c r="K178" i="58"/>
  <c r="K177" i="58"/>
  <c r="K176" i="58"/>
  <c r="K175" i="58"/>
  <c r="K174" i="58"/>
  <c r="K173" i="58"/>
  <c r="K172" i="58"/>
  <c r="K171" i="58"/>
  <c r="K170" i="58"/>
  <c r="K169" i="58"/>
  <c r="K168" i="58"/>
  <c r="K167" i="58"/>
  <c r="K166" i="58"/>
  <c r="K165" i="58"/>
  <c r="K164" i="58"/>
  <c r="K163" i="58"/>
  <c r="K162" i="58"/>
  <c r="K161" i="58"/>
  <c r="K160" i="58"/>
  <c r="K159" i="58"/>
  <c r="K158" i="58"/>
  <c r="K157" i="58"/>
  <c r="K156" i="58"/>
  <c r="K155" i="58"/>
  <c r="K154" i="58"/>
  <c r="K153" i="58"/>
  <c r="K152" i="58"/>
  <c r="K151" i="58"/>
  <c r="K150" i="58"/>
  <c r="K149" i="58"/>
  <c r="K148" i="58"/>
  <c r="K147" i="58"/>
  <c r="K146" i="58"/>
  <c r="K145" i="58"/>
  <c r="K144" i="58"/>
  <c r="K143" i="58"/>
  <c r="K142" i="58"/>
  <c r="K141" i="58"/>
  <c r="K140" i="58"/>
  <c r="K139" i="58"/>
  <c r="K138" i="58"/>
  <c r="K137" i="58"/>
  <c r="K136" i="58"/>
  <c r="K135" i="58"/>
  <c r="K134" i="58"/>
  <c r="K133" i="58"/>
  <c r="K132" i="58"/>
  <c r="K131" i="58"/>
  <c r="K130" i="58"/>
  <c r="K129" i="58"/>
  <c r="K128" i="58"/>
  <c r="K127" i="58"/>
  <c r="K126" i="58"/>
  <c r="K125" i="58"/>
  <c r="K124" i="58"/>
  <c r="K123" i="58"/>
  <c r="K122" i="58"/>
  <c r="K121" i="58"/>
  <c r="K120" i="58"/>
  <c r="K119" i="58"/>
  <c r="K118" i="58"/>
  <c r="K117" i="58"/>
  <c r="K116" i="58"/>
  <c r="K115" i="58"/>
  <c r="K114" i="58"/>
  <c r="K113" i="58"/>
  <c r="K112" i="58"/>
  <c r="K111" i="58"/>
  <c r="K110" i="58"/>
  <c r="K109" i="58"/>
  <c r="K108" i="58"/>
  <c r="K107" i="58"/>
  <c r="K106" i="58"/>
  <c r="K105" i="58"/>
  <c r="K104" i="58"/>
  <c r="K103" i="58"/>
  <c r="K102" i="58"/>
  <c r="K101" i="58"/>
  <c r="K100" i="58"/>
  <c r="K99" i="58"/>
  <c r="K98" i="58"/>
  <c r="K97" i="58"/>
  <c r="K96" i="58"/>
  <c r="K95" i="58"/>
  <c r="K94" i="58"/>
  <c r="K93" i="58"/>
  <c r="K92" i="58"/>
  <c r="K91" i="58"/>
  <c r="K90" i="58"/>
  <c r="K89" i="58"/>
  <c r="K88" i="58"/>
  <c r="K87" i="58"/>
  <c r="K86" i="58"/>
  <c r="K85" i="58"/>
  <c r="K84" i="58"/>
  <c r="K83" i="58"/>
  <c r="K82" i="58"/>
  <c r="K81" i="58"/>
  <c r="K80" i="58"/>
  <c r="K79" i="58"/>
  <c r="K78" i="58"/>
  <c r="K77" i="58"/>
  <c r="K76" i="58"/>
  <c r="K75" i="58"/>
  <c r="K74" i="58"/>
  <c r="K73" i="58"/>
  <c r="K72" i="58"/>
  <c r="K71" i="58"/>
  <c r="K70" i="58"/>
  <c r="K69" i="58"/>
  <c r="K68" i="58"/>
  <c r="K67" i="58"/>
  <c r="K66" i="58"/>
  <c r="K65" i="58"/>
  <c r="K64" i="58"/>
  <c r="K63" i="58"/>
  <c r="K62" i="58"/>
  <c r="K61" i="58"/>
  <c r="K60" i="58"/>
  <c r="K59" i="58"/>
  <c r="K58" i="58"/>
  <c r="K57" i="58"/>
  <c r="K56" i="58"/>
  <c r="K55" i="58"/>
  <c r="K54" i="58"/>
  <c r="K53" i="58"/>
  <c r="K52" i="58"/>
  <c r="K51" i="58"/>
  <c r="K50" i="58"/>
  <c r="K49" i="58"/>
  <c r="K48" i="58"/>
  <c r="K47" i="58"/>
  <c r="K46" i="58"/>
  <c r="K45" i="58"/>
  <c r="K44" i="58"/>
  <c r="K43" i="58"/>
  <c r="K42" i="58"/>
  <c r="K41" i="58"/>
  <c r="K40" i="58"/>
  <c r="K39" i="58"/>
  <c r="K38" i="58"/>
  <c r="K37" i="58"/>
  <c r="K36" i="58"/>
  <c r="K35" i="58"/>
  <c r="K34" i="58"/>
  <c r="K33" i="58"/>
  <c r="K32" i="58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4" i="58"/>
  <c r="K3" i="58"/>
  <c r="K2" i="58"/>
  <c r="G20" i="3"/>
  <c r="X35" i="3"/>
  <c r="X22" i="3"/>
  <c r="X21" i="3"/>
  <c r="X20" i="3"/>
  <c r="H13" i="3"/>
  <c r="AP45" i="3"/>
  <c r="H34" i="3"/>
  <c r="AP43" i="3"/>
  <c r="H21" i="3"/>
  <c r="X9" i="3"/>
  <c r="G12" i="3"/>
  <c r="AP12" i="3"/>
  <c r="AP16" i="3"/>
  <c r="G24" i="3"/>
  <c r="AP25" i="3"/>
  <c r="H19" i="3"/>
  <c r="G30" i="3"/>
  <c r="G17" i="3"/>
  <c r="G16" i="3"/>
  <c r="AP47" i="3"/>
  <c r="AP46" i="3"/>
  <c r="X41" i="3"/>
  <c r="AP32" i="3"/>
  <c r="AP19" i="3"/>
  <c r="G19" i="3"/>
  <c r="X10" i="3"/>
  <c r="H11" i="3"/>
  <c r="AP11" i="3"/>
  <c r="G35" i="3"/>
  <c r="AP17" i="3"/>
  <c r="H29" i="3"/>
  <c r="H16" i="3"/>
  <c r="H15" i="3"/>
  <c r="X43" i="3"/>
  <c r="X42" i="3"/>
  <c r="G36" i="3"/>
  <c r="X15" i="3"/>
  <c r="H23" i="3"/>
  <c r="H12" i="3"/>
  <c r="H9" i="3"/>
  <c r="G8" i="3"/>
  <c r="AC19" i="3"/>
  <c r="AP26" i="3"/>
  <c r="X13" i="3"/>
  <c r="AP27" i="3"/>
  <c r="AP14" i="3"/>
  <c r="AP13" i="3"/>
  <c r="G38" i="3"/>
  <c r="G37" i="3"/>
  <c r="H35" i="3"/>
  <c r="X28" i="3"/>
  <c r="X39" i="3"/>
  <c r="G10" i="3"/>
  <c r="X17" i="3"/>
  <c r="AP9" i="3"/>
  <c r="AP7" i="3"/>
  <c r="H7" i="3"/>
  <c r="H14" i="3"/>
  <c r="G6" i="3"/>
  <c r="H4" i="3"/>
  <c r="G22" i="3"/>
  <c r="G44" i="3"/>
  <c r="G43" i="3"/>
  <c r="X46" i="3"/>
  <c r="X45" i="3"/>
  <c r="X44" i="3"/>
  <c r="H37" i="3"/>
  <c r="H36" i="3"/>
  <c r="AP33" i="3"/>
  <c r="G23" i="3"/>
  <c r="X6" i="3"/>
  <c r="AP8" i="3"/>
  <c r="H8" i="3"/>
  <c r="G9" i="3"/>
  <c r="AP5" i="3"/>
  <c r="H5" i="3"/>
  <c r="AC8" i="3"/>
  <c r="K35" i="3"/>
  <c r="H43" i="3"/>
  <c r="AC43" i="3" s="1"/>
  <c r="H42" i="3"/>
  <c r="G41" i="3"/>
  <c r="G40" i="3"/>
  <c r="G39" i="3"/>
  <c r="AP35" i="3"/>
  <c r="AP34" i="3"/>
  <c r="X29" i="3"/>
  <c r="H22" i="3"/>
  <c r="G34" i="3"/>
  <c r="X4" i="3"/>
  <c r="H44" i="3"/>
  <c r="AP6" i="3"/>
  <c r="G7" i="3"/>
  <c r="G21" i="3"/>
  <c r="AE43" i="3"/>
  <c r="AD43" i="3"/>
  <c r="AU43" i="3"/>
  <c r="AC44" i="3"/>
  <c r="AC37" i="3"/>
  <c r="H47" i="3"/>
  <c r="H18" i="3"/>
  <c r="K8" i="3"/>
  <c r="AP41" i="3"/>
  <c r="AP40" i="3"/>
  <c r="H40" i="3"/>
  <c r="H39" i="3"/>
  <c r="H38" i="3"/>
  <c r="X31" i="3"/>
  <c r="X30" i="3"/>
  <c r="G47" i="3"/>
  <c r="AP20" i="3"/>
  <c r="H33" i="3"/>
  <c r="H20" i="3"/>
  <c r="AP21" i="3"/>
  <c r="H6" i="3"/>
  <c r="AP42" i="3"/>
  <c r="AP30" i="3"/>
  <c r="AP4" i="3"/>
  <c r="G5" i="3"/>
  <c r="G15" i="3"/>
  <c r="AZ43" i="3"/>
  <c r="AV43" i="3"/>
  <c r="AD35" i="3"/>
  <c r="AE21" i="3"/>
  <c r="AU21" i="3"/>
  <c r="L6" i="3"/>
  <c r="AC5" i="3"/>
  <c r="K23" i="3"/>
  <c r="K43" i="3"/>
  <c r="AC38" i="3"/>
  <c r="K47" i="3"/>
  <c r="AC9" i="3"/>
  <c r="AC23" i="3"/>
  <c r="AC35" i="3"/>
  <c r="H45" i="3"/>
  <c r="X8" i="3"/>
  <c r="L8" i="3" s="1"/>
  <c r="BA9" i="3"/>
  <c r="X37" i="3"/>
  <c r="X36" i="3"/>
  <c r="AP38" i="3"/>
  <c r="AP37" i="3"/>
  <c r="AP36" i="3"/>
  <c r="BA36" i="3" s="1"/>
  <c r="G26" i="3"/>
  <c r="G25" i="3"/>
  <c r="H46" i="3"/>
  <c r="X16" i="3"/>
  <c r="AZ16" i="3" s="1"/>
  <c r="AP31" i="3"/>
  <c r="AP18" i="3"/>
  <c r="AP15" i="3"/>
  <c r="AP10" i="3"/>
  <c r="X38" i="3"/>
  <c r="G4" i="3"/>
  <c r="AV4" i="3" s="1"/>
  <c r="BA16" i="3"/>
  <c r="AU37" i="3"/>
  <c r="L38" i="3"/>
  <c r="AZ35" i="3"/>
  <c r="BA21" i="3"/>
  <c r="M8" i="3"/>
  <c r="M6" i="3"/>
  <c r="M15" i="3"/>
  <c r="AC4" i="3"/>
  <c r="AC20" i="3"/>
  <c r="AC15" i="3"/>
  <c r="G14" i="3"/>
  <c r="G32" i="3"/>
  <c r="X47" i="3"/>
  <c r="AE47" i="3" s="1"/>
  <c r="X34" i="3"/>
  <c r="X33" i="3"/>
  <c r="X32" i="3"/>
  <c r="H25" i="3"/>
  <c r="H24" i="3"/>
  <c r="AP44" i="3"/>
  <c r="G11" i="3"/>
  <c r="AC11" i="3" s="1"/>
  <c r="X11" i="3"/>
  <c r="X14" i="3"/>
  <c r="BA43" i="3"/>
  <c r="H32" i="3"/>
  <c r="G33" i="3"/>
  <c r="L33" i="3" s="1"/>
  <c r="G45" i="3"/>
  <c r="AV45" i="3" s="1"/>
  <c r="AP28" i="3"/>
  <c r="X12" i="3"/>
  <c r="AU12" i="3" s="1"/>
  <c r="AD38" i="3"/>
  <c r="M38" i="3"/>
  <c r="AE35" i="3"/>
  <c r="AD33" i="3"/>
  <c r="AE9" i="3"/>
  <c r="AU44" i="3"/>
  <c r="AV32" i="3"/>
  <c r="M33" i="3"/>
  <c r="AU6" i="3"/>
  <c r="AU15" i="3"/>
  <c r="K6" i="3"/>
  <c r="K40" i="3"/>
  <c r="K44" i="3"/>
  <c r="AP24" i="3"/>
  <c r="X24" i="3"/>
  <c r="AD12" i="3"/>
  <c r="H31" i="3"/>
  <c r="G42" i="3"/>
  <c r="K42" i="3" s="1"/>
  <c r="G29" i="3"/>
  <c r="G28" i="3"/>
  <c r="G27" i="3"/>
  <c r="AP23" i="3"/>
  <c r="AP22" i="3"/>
  <c r="H10" i="3"/>
  <c r="X27" i="3"/>
  <c r="X7" i="3"/>
  <c r="AD7" i="3" s="1"/>
  <c r="X5" i="3"/>
  <c r="G31" i="3"/>
  <c r="BA31" i="3"/>
  <c r="AZ44" i="3"/>
  <c r="X26" i="3"/>
  <c r="AE10" i="3"/>
  <c r="AZ38" i="3"/>
  <c r="AD37" i="3"/>
  <c r="AU42" i="3"/>
  <c r="AD47" i="3"/>
  <c r="BA35" i="3"/>
  <c r="AD45" i="3"/>
  <c r="AZ33" i="3"/>
  <c r="AE20" i="3"/>
  <c r="AD9" i="3"/>
  <c r="AV44" i="3"/>
  <c r="AU11" i="3"/>
  <c r="AU33" i="3"/>
  <c r="AZ7" i="3"/>
  <c r="AU24" i="3"/>
  <c r="AU5" i="3"/>
  <c r="AD5" i="3"/>
  <c r="L15" i="3"/>
  <c r="K12" i="3"/>
  <c r="K38" i="3"/>
  <c r="AC33" i="3"/>
  <c r="AC39" i="3"/>
  <c r="AC12" i="3"/>
  <c r="AP39" i="3"/>
  <c r="G13" i="3"/>
  <c r="BA38" i="3"/>
  <c r="M42" i="3"/>
  <c r="BA5" i="3"/>
  <c r="AP29" i="3"/>
  <c r="H41" i="3"/>
  <c r="H28" i="3"/>
  <c r="AC28" i="3" s="1"/>
  <c r="H27" i="3"/>
  <c r="H26" i="3"/>
  <c r="X19" i="3"/>
  <c r="X18" i="3"/>
  <c r="X40" i="3"/>
  <c r="G46" i="3"/>
  <c r="X23" i="3"/>
  <c r="BA29" i="3"/>
  <c r="H30" i="3"/>
  <c r="L30" i="3" s="1"/>
  <c r="H17" i="3"/>
  <c r="AZ17" i="3" s="1"/>
  <c r="AD23" i="3"/>
  <c r="AV36" i="3"/>
  <c r="AU22" i="3"/>
  <c r="AV24" i="3"/>
  <c r="M9" i="3"/>
  <c r="AZ19" i="3"/>
  <c r="AZ40" i="3"/>
  <c r="BA39" i="3"/>
  <c r="AE38" i="3"/>
  <c r="AZ37" i="3"/>
  <c r="AV42" i="3"/>
  <c r="AZ47" i="3"/>
  <c r="AU29" i="3"/>
  <c r="L35" i="3"/>
  <c r="AV23" i="3"/>
  <c r="AZ45" i="3"/>
  <c r="AE33" i="3"/>
  <c r="BA20" i="3"/>
  <c r="M19" i="3"/>
  <c r="M30" i="3"/>
  <c r="AZ9" i="3"/>
  <c r="L42" i="3"/>
  <c r="AD17" i="3"/>
  <c r="M11" i="3"/>
  <c r="AV33" i="3"/>
  <c r="BA7" i="3"/>
  <c r="L14" i="3"/>
  <c r="AV5" i="3"/>
  <c r="AZ5" i="3"/>
  <c r="AZ12" i="3"/>
  <c r="K31" i="3"/>
  <c r="K19" i="3"/>
  <c r="K24" i="3"/>
  <c r="K15" i="3"/>
  <c r="AC30" i="3"/>
  <c r="AC45" i="3"/>
  <c r="X25" i="3"/>
  <c r="G18" i="3"/>
  <c r="AD27" i="3"/>
  <c r="L20" i="3"/>
  <c r="AU16" i="3"/>
  <c r="AC47" i="3"/>
  <c r="K16" i="3"/>
  <c r="AV16" i="3"/>
  <c r="AV35" i="3"/>
  <c r="M35" i="3"/>
  <c r="AU35" i="3"/>
  <c r="L16" i="3"/>
  <c r="AC16" i="3"/>
  <c r="AV38" i="3"/>
  <c r="AU38" i="3"/>
  <c r="K37" i="3"/>
  <c r="M37" i="3"/>
  <c r="AE7" i="3"/>
  <c r="AC7" i="3"/>
  <c r="AE14" i="3"/>
  <c r="AZ14" i="3"/>
  <c r="BA4" i="3"/>
  <c r="AE4" i="3"/>
  <c r="AZ4" i="3"/>
  <c r="M22" i="3"/>
  <c r="L22" i="3"/>
  <c r="AV22" i="3"/>
  <c r="K22" i="3"/>
  <c r="M43" i="3"/>
  <c r="L43" i="3"/>
  <c r="L36" i="3"/>
  <c r="AE36" i="3"/>
  <c r="AZ36" i="3"/>
  <c r="K36" i="3"/>
  <c r="AD36" i="3"/>
  <c r="AC36" i="3"/>
  <c r="AZ23" i="3"/>
  <c r="AU23" i="3"/>
  <c r="AZ8" i="3"/>
  <c r="AD8" i="3"/>
  <c r="BA8" i="3"/>
  <c r="AE8" i="3"/>
  <c r="AV9" i="3"/>
  <c r="K9" i="3"/>
  <c r="L9" i="3"/>
  <c r="AU9" i="3"/>
  <c r="AD42" i="3"/>
  <c r="AC42" i="3"/>
  <c r="BA42" i="3"/>
  <c r="AE42" i="3"/>
  <c r="AZ42" i="3"/>
  <c r="AV41" i="3"/>
  <c r="AU41" i="3"/>
  <c r="L41" i="3"/>
  <c r="L40" i="3"/>
  <c r="M40" i="3"/>
  <c r="AV39" i="3"/>
  <c r="K39" i="3"/>
  <c r="AU39" i="3"/>
  <c r="AD22" i="3"/>
  <c r="AE22" i="3"/>
  <c r="BA22" i="3"/>
  <c r="AC22" i="3"/>
  <c r="AZ22" i="3"/>
  <c r="AE34" i="3"/>
  <c r="AC34" i="3"/>
  <c r="AZ34" i="3"/>
  <c r="AD34" i="3"/>
  <c r="K34" i="3"/>
  <c r="AE44" i="3"/>
  <c r="AD44" i="3"/>
  <c r="AV7" i="3"/>
  <c r="K7" i="3"/>
  <c r="M7" i="3"/>
  <c r="L7" i="3"/>
  <c r="AU7" i="3"/>
  <c r="AD21" i="3"/>
  <c r="AV21" i="3"/>
  <c r="L21" i="3"/>
  <c r="K21" i="3"/>
  <c r="AC21" i="3"/>
  <c r="BA18" i="3"/>
  <c r="AE18" i="3"/>
  <c r="AD18" i="3"/>
  <c r="AZ18" i="3"/>
  <c r="AC40" i="3"/>
  <c r="BA40" i="3"/>
  <c r="BA47" i="3"/>
  <c r="AV47" i="3"/>
  <c r="AU47" i="3"/>
  <c r="M47" i="3"/>
  <c r="L47" i="3"/>
  <c r="AZ20" i="3"/>
  <c r="AV20" i="3"/>
  <c r="AU20" i="3"/>
  <c r="AD20" i="3"/>
  <c r="K20" i="3"/>
  <c r="M20" i="3"/>
  <c r="M21" i="3"/>
  <c r="AZ21" i="3"/>
  <c r="AC6" i="3"/>
  <c r="BA6" i="3"/>
  <c r="AE6" i="3"/>
  <c r="AD6" i="3"/>
  <c r="AV6" i="3"/>
  <c r="AZ6" i="3"/>
  <c r="AE5" i="3"/>
  <c r="K5" i="3"/>
  <c r="AE15" i="3"/>
  <c r="AZ15" i="3"/>
  <c r="AD15" i="3"/>
  <c r="AE45" i="3"/>
  <c r="BA45" i="3"/>
  <c r="AV8" i="3"/>
  <c r="AU8" i="3"/>
  <c r="L37" i="3"/>
  <c r="AV37" i="3"/>
  <c r="AU36" i="3"/>
  <c r="M36" i="3"/>
  <c r="AE37" i="3"/>
  <c r="BA37" i="3"/>
  <c r="AV26" i="3"/>
  <c r="M26" i="3"/>
  <c r="AU26" i="3"/>
  <c r="L25" i="3"/>
  <c r="K25" i="3"/>
  <c r="M25" i="3"/>
  <c r="AZ46" i="3"/>
  <c r="AD46" i="3"/>
  <c r="AC46" i="3"/>
  <c r="AD16" i="3"/>
  <c r="M16" i="3"/>
  <c r="AE16" i="3"/>
  <c r="AU4" i="3"/>
  <c r="M4" i="3"/>
  <c r="K4" i="3"/>
  <c r="AD4" i="3"/>
  <c r="L4" i="3"/>
  <c r="AC14" i="3"/>
  <c r="BA14" i="3"/>
  <c r="AV14" i="3"/>
  <c r="AU14" i="3"/>
  <c r="L32" i="3"/>
  <c r="K32" i="3"/>
  <c r="L34" i="3"/>
  <c r="BA34" i="3"/>
  <c r="AV34" i="3"/>
  <c r="BA25" i="3"/>
  <c r="AE25" i="3"/>
  <c r="AC25" i="3"/>
  <c r="AZ25" i="3"/>
  <c r="AD25" i="3"/>
  <c r="AD24" i="3"/>
  <c r="AC24" i="3"/>
  <c r="AZ11" i="3"/>
  <c r="AE11" i="3"/>
  <c r="K11" i="3"/>
  <c r="AV11" i="3"/>
  <c r="BA11" i="3"/>
  <c r="AD11" i="3"/>
  <c r="L11" i="3"/>
  <c r="BA32" i="3"/>
  <c r="AE32" i="3"/>
  <c r="AD32" i="3"/>
  <c r="AZ32" i="3"/>
  <c r="AC32" i="3"/>
  <c r="BA33" i="3"/>
  <c r="K33" i="3"/>
  <c r="K45" i="3"/>
  <c r="AU45" i="3"/>
  <c r="M45" i="3"/>
  <c r="L45" i="3"/>
  <c r="L12" i="3"/>
  <c r="M12" i="3"/>
  <c r="AV12" i="3"/>
  <c r="BA12" i="3"/>
  <c r="AE12" i="3"/>
  <c r="AE31" i="3"/>
  <c r="AC31" i="3"/>
  <c r="AC29" i="3"/>
  <c r="M29" i="3"/>
  <c r="K28" i="3"/>
  <c r="L28" i="3"/>
  <c r="K27" i="3"/>
  <c r="AV27" i="3"/>
  <c r="AU27" i="3"/>
  <c r="L27" i="3"/>
  <c r="AZ10" i="3"/>
  <c r="BA10" i="3"/>
  <c r="AD10" i="3"/>
  <c r="L10" i="3"/>
  <c r="AU10" i="3"/>
  <c r="AC10" i="3"/>
  <c r="L13" i="3"/>
  <c r="AU13" i="3"/>
  <c r="AC13" i="3"/>
  <c r="AE13" i="3"/>
  <c r="K13" i="3"/>
  <c r="AE41" i="3"/>
  <c r="AZ41" i="3"/>
  <c r="AD41" i="3"/>
  <c r="BA28" i="3"/>
  <c r="AE28" i="3"/>
  <c r="AZ28" i="3"/>
  <c r="AD28" i="3"/>
  <c r="BA27" i="3"/>
  <c r="AE27" i="3"/>
  <c r="AZ27" i="3"/>
  <c r="BA26" i="3"/>
  <c r="AE26" i="3"/>
  <c r="AZ26" i="3"/>
  <c r="AC26" i="3"/>
  <c r="AD26" i="3"/>
  <c r="L46" i="3"/>
  <c r="K46" i="3"/>
  <c r="AU30" i="3"/>
  <c r="K30" i="3"/>
  <c r="AZ30" i="3"/>
  <c r="BA30" i="3"/>
  <c r="AE30" i="3"/>
  <c r="AV30" i="3"/>
  <c r="AD30" i="3"/>
  <c r="AC17" i="3"/>
  <c r="AV17" i="3"/>
  <c r="AU17" i="3"/>
  <c r="K17" i="3"/>
  <c r="M17" i="3"/>
  <c r="L17" i="3"/>
  <c r="BA17" i="3"/>
  <c r="AE17" i="3"/>
  <c r="AV18" i="3"/>
  <c r="AU18" i="3"/>
  <c r="L18" i="3"/>
  <c r="M18" i="3"/>
  <c r="AV15" i="3"/>
  <c r="BA15" i="3"/>
  <c r="AD14" i="3"/>
  <c r="K14" i="3"/>
  <c r="M14" i="3"/>
  <c r="AU32" i="3"/>
  <c r="M32" i="3"/>
  <c r="AU34" i="3"/>
  <c r="M34" i="3"/>
  <c r="M24" i="3"/>
  <c r="AE24" i="3"/>
  <c r="AZ24" i="3"/>
  <c r="M44" i="3"/>
  <c r="L44" i="3"/>
  <c r="BA44" i="3"/>
  <c r="BA24" i="3"/>
  <c r="L24" i="3"/>
  <c r="AZ31" i="3"/>
  <c r="AD31" i="3"/>
  <c r="AZ29" i="3"/>
  <c r="L29" i="3"/>
  <c r="AV29" i="3"/>
  <c r="AD29" i="3"/>
  <c r="AE29" i="3"/>
  <c r="K29" i="3"/>
  <c r="M28" i="3"/>
  <c r="AV28" i="3"/>
  <c r="AU28" i="3"/>
  <c r="BA23" i="3"/>
  <c r="AE23" i="3"/>
  <c r="M10" i="3"/>
  <c r="AV10" i="3"/>
  <c r="K10" i="3"/>
  <c r="M5" i="3"/>
  <c r="L5" i="3"/>
  <c r="AV31" i="3"/>
  <c r="AU31" i="3"/>
  <c r="M31" i="3"/>
  <c r="L31" i="3"/>
  <c r="AE39" i="3"/>
  <c r="AZ39" i="3"/>
  <c r="L39" i="3"/>
  <c r="AD39" i="3"/>
  <c r="M39" i="3"/>
  <c r="AV13" i="3"/>
  <c r="AZ13" i="3"/>
  <c r="BA13" i="3"/>
  <c r="AD13" i="3"/>
  <c r="M13" i="3"/>
  <c r="K41" i="3"/>
  <c r="M41" i="3"/>
  <c r="AC41" i="3"/>
  <c r="BA41" i="3"/>
  <c r="M27" i="3"/>
  <c r="AC27" i="3"/>
  <c r="L26" i="3"/>
  <c r="K26" i="3"/>
  <c r="L19" i="3"/>
  <c r="AD19" i="3"/>
  <c r="AU19" i="3"/>
  <c r="BA19" i="3"/>
  <c r="AE19" i="3"/>
  <c r="AV19" i="3"/>
  <c r="AV40" i="3"/>
  <c r="AD40" i="3"/>
  <c r="AE40" i="3"/>
  <c r="AU40" i="3"/>
  <c r="AV46" i="3"/>
  <c r="AU46" i="3"/>
  <c r="BA46" i="3"/>
  <c r="AE46" i="3"/>
  <c r="M46" i="3"/>
  <c r="M23" i="3"/>
  <c r="L23" i="3"/>
  <c r="AV25" i="3"/>
  <c r="AU25" i="3"/>
  <c r="AC18" i="3"/>
  <c r="K18" i="3"/>
  <c r="AR4" i="3" l="1"/>
  <c r="BB4" i="3"/>
  <c r="BB12" i="3"/>
  <c r="AW15" i="3"/>
  <c r="Z15" i="3"/>
  <c r="AR18" i="3"/>
  <c r="Z18" i="3"/>
  <c r="BB18" i="3"/>
  <c r="AR5" i="3"/>
  <c r="BB5" i="3"/>
  <c r="AW6" i="3"/>
  <c r="Z6" i="3"/>
  <c r="AR6" i="3"/>
  <c r="BB6" i="3"/>
  <c r="AW26" i="3"/>
  <c r="Z28" i="3"/>
  <c r="AW5" i="3"/>
  <c r="Z5" i="3"/>
  <c r="AW21" i="3"/>
  <c r="Z21" i="3"/>
  <c r="AR14" i="3"/>
  <c r="AW14" i="3"/>
  <c r="BB14" i="3"/>
  <c r="AW24" i="3"/>
  <c r="Z24" i="3"/>
  <c r="AW45" i="3"/>
  <c r="Z45" i="3"/>
  <c r="Z7" i="3"/>
  <c r="AR7" i="3"/>
  <c r="BB7" i="3"/>
  <c r="Z8" i="3"/>
  <c r="AW8" i="3"/>
  <c r="BB8" i="3"/>
  <c r="Z16" i="3"/>
  <c r="AW16" i="3"/>
  <c r="AW33" i="3"/>
  <c r="Z33" i="3"/>
  <c r="AW4" i="3"/>
  <c r="Z4" i="3"/>
  <c r="BB30" i="3"/>
  <c r="AW9" i="3"/>
  <c r="Z11" i="3"/>
  <c r="AW11" i="3"/>
  <c r="Z13" i="3"/>
  <c r="AW13" i="3"/>
  <c r="AW17" i="3"/>
  <c r="Z17" i="3"/>
  <c r="BB17" i="3"/>
  <c r="AW32" i="3"/>
  <c r="Z32" i="3"/>
  <c r="AR32" i="3"/>
  <c r="AW38" i="3"/>
  <c r="Z42" i="3"/>
  <c r="AW44" i="3"/>
  <c r="Z44" i="3"/>
  <c r="AR44" i="3"/>
  <c r="AR8" i="3"/>
  <c r="BB9" i="3"/>
  <c r="AR9" i="3"/>
  <c r="AW12" i="3"/>
  <c r="Z12" i="3"/>
  <c r="AR30" i="3"/>
  <c r="AW30" i="3"/>
  <c r="Z30" i="3"/>
  <c r="AW31" i="3"/>
  <c r="Z31" i="3"/>
  <c r="AR31" i="3"/>
  <c r="AR12" i="3"/>
  <c r="AW19" i="3"/>
  <c r="Z19" i="3"/>
  <c r="AR23" i="3"/>
  <c r="AW18" i="3"/>
  <c r="AW20" i="3"/>
  <c r="Z20" i="3"/>
  <c r="AR20" i="3"/>
  <c r="Z10" i="3"/>
  <c r="AR21" i="3"/>
  <c r="BB21" i="3"/>
  <c r="Z22" i="3"/>
  <c r="AW27" i="3"/>
  <c r="AR33" i="3"/>
  <c r="BB33" i="3"/>
  <c r="AW34" i="3"/>
  <c r="Z34" i="3"/>
  <c r="AW39" i="3"/>
  <c r="Z43" i="3"/>
  <c r="AR45" i="3"/>
  <c r="BB45" i="3"/>
  <c r="AW46" i="3"/>
  <c r="Z46" i="3"/>
  <c r="BB10" i="3"/>
  <c r="BB22" i="3"/>
  <c r="Z23" i="3"/>
  <c r="AW28" i="3"/>
  <c r="AR34" i="3"/>
  <c r="BB34" i="3"/>
  <c r="AW35" i="3"/>
  <c r="Z35" i="3"/>
  <c r="AW40" i="3"/>
  <c r="AR46" i="3"/>
  <c r="BB46" i="3"/>
  <c r="AW47" i="3"/>
  <c r="Z47" i="3"/>
  <c r="AW29" i="3"/>
  <c r="AR35" i="3"/>
  <c r="BB35" i="3"/>
  <c r="AW36" i="3"/>
  <c r="Z36" i="3"/>
  <c r="AW41" i="3"/>
  <c r="AR47" i="3"/>
  <c r="BB47" i="3"/>
  <c r="AR24" i="3"/>
  <c r="BB24" i="3"/>
  <c r="AR36" i="3"/>
  <c r="BB36" i="3"/>
  <c r="Z37" i="3"/>
  <c r="AW42" i="3"/>
  <c r="BB13" i="3"/>
  <c r="Z14" i="3"/>
  <c r="AR25" i="3"/>
  <c r="BB25" i="3"/>
  <c r="Z26" i="3"/>
  <c r="AR37" i="3"/>
  <c r="BB37" i="3"/>
  <c r="Z38" i="3"/>
  <c r="AW43" i="3"/>
  <c r="AR26" i="3"/>
  <c r="BB26" i="3"/>
  <c r="AR38" i="3"/>
  <c r="BB38" i="3"/>
  <c r="AR15" i="3"/>
  <c r="BB15" i="3"/>
  <c r="AR27" i="3"/>
  <c r="BB27" i="3"/>
  <c r="AR39" i="3"/>
  <c r="BB39" i="3"/>
  <c r="BB16" i="3"/>
  <c r="AR28" i="3"/>
  <c r="BB28" i="3"/>
  <c r="AR40" i="3"/>
  <c r="BB40" i="3"/>
  <c r="BB29" i="3"/>
  <c r="AR41" i="3"/>
  <c r="BB41" i="3"/>
  <c r="AR42" i="3"/>
  <c r="BB42" i="3"/>
  <c r="BB19" i="3"/>
  <c r="BB31" i="3"/>
  <c r="BB43" i="3"/>
  <c r="BB11" i="3"/>
  <c r="AW7" i="3"/>
  <c r="Y8" i="3"/>
  <c r="Z9" i="3"/>
  <c r="AR10" i="3"/>
  <c r="Y12" i="3"/>
  <c r="BB20" i="3"/>
  <c r="AR22" i="3"/>
  <c r="BB23" i="3"/>
  <c r="Z27" i="3"/>
  <c r="AR29" i="3"/>
  <c r="Z39" i="3"/>
  <c r="AR43" i="3"/>
  <c r="AR13" i="3"/>
  <c r="AR17" i="3"/>
  <c r="AR19" i="3"/>
  <c r="AW22" i="3"/>
  <c r="Y26" i="3"/>
  <c r="AQ28" i="3"/>
  <c r="AW37" i="3"/>
  <c r="AR11" i="3"/>
  <c r="AR16" i="3"/>
  <c r="BB32" i="3"/>
  <c r="BB44" i="3"/>
  <c r="AQ4" i="3"/>
  <c r="AQ5" i="3"/>
  <c r="AQ11" i="3"/>
  <c r="AQ16" i="3"/>
  <c r="AW25" i="3"/>
  <c r="AQ30" i="3"/>
  <c r="AQ6" i="3"/>
  <c r="AW10" i="3"/>
  <c r="AQ12" i="3"/>
  <c r="Y38" i="3"/>
  <c r="AQ42" i="3"/>
  <c r="AQ7" i="3"/>
  <c r="Y10" i="3"/>
  <c r="AQ10" i="3"/>
  <c r="Y4" i="3"/>
  <c r="AQ8" i="3"/>
  <c r="AQ9" i="3"/>
  <c r="AW23" i="3"/>
  <c r="Y24" i="3"/>
  <c r="Y5" i="3"/>
  <c r="Y14" i="3"/>
  <c r="AQ15" i="3"/>
  <c r="AQ21" i="3"/>
  <c r="Y6" i="3"/>
  <c r="Y17" i="3"/>
  <c r="Z25" i="3"/>
  <c r="Y9" i="3"/>
  <c r="Y23" i="3"/>
  <c r="Y7" i="3"/>
  <c r="Y11" i="3"/>
  <c r="AQ18" i="3"/>
  <c r="Y15" i="3"/>
  <c r="AQ19" i="3"/>
  <c r="Y27" i="3"/>
  <c r="AQ31" i="3"/>
  <c r="Y39" i="3"/>
  <c r="Z40" i="3"/>
  <c r="AQ43" i="3"/>
  <c r="Y16" i="3"/>
  <c r="AQ20" i="3"/>
  <c r="Y28" i="3"/>
  <c r="Z29" i="3"/>
  <c r="AQ32" i="3"/>
  <c r="Y40" i="3"/>
  <c r="Z41" i="3"/>
  <c r="AQ44" i="3"/>
  <c r="Y29" i="3"/>
  <c r="AQ33" i="3"/>
  <c r="Y41" i="3"/>
  <c r="AQ45" i="3"/>
  <c r="Y18" i="3"/>
  <c r="AQ22" i="3"/>
  <c r="Y30" i="3"/>
  <c r="AQ34" i="3"/>
  <c r="Y42" i="3"/>
  <c r="AQ46" i="3"/>
  <c r="Y19" i="3"/>
  <c r="AQ23" i="3"/>
  <c r="Y31" i="3"/>
  <c r="AQ35" i="3"/>
  <c r="Y43" i="3"/>
  <c r="AQ47" i="3"/>
  <c r="Y20" i="3"/>
  <c r="AQ24" i="3"/>
  <c r="Y32" i="3"/>
  <c r="AQ36" i="3"/>
  <c r="Y44" i="3"/>
  <c r="AQ13" i="3"/>
  <c r="Y21" i="3"/>
  <c r="AQ25" i="3"/>
  <c r="Y33" i="3"/>
  <c r="AQ37" i="3"/>
  <c r="Y45" i="3"/>
  <c r="AQ14" i="3"/>
  <c r="Y22" i="3"/>
  <c r="AQ26" i="3"/>
  <c r="Y34" i="3"/>
  <c r="AQ38" i="3"/>
  <c r="Y46" i="3"/>
  <c r="AQ27" i="3"/>
  <c r="Y35" i="3"/>
  <c r="AQ39" i="3"/>
  <c r="Y47" i="3"/>
  <c r="Y36" i="3"/>
  <c r="AQ40" i="3"/>
  <c r="Y13" i="3"/>
  <c r="AQ17" i="3"/>
  <c r="Y25" i="3"/>
  <c r="AQ29" i="3"/>
  <c r="Y37" i="3"/>
  <c r="AQ41" i="3"/>
  <c r="BD22" i="3"/>
  <c r="BD35" i="3"/>
  <c r="BD16" i="3"/>
  <c r="BD18" i="3"/>
  <c r="BD26" i="3"/>
  <c r="BD45" i="3"/>
  <c r="BD20" i="3"/>
  <c r="BD46" i="3"/>
  <c r="BD4" i="3"/>
  <c r="BD39" i="3"/>
  <c r="BD23" i="3"/>
  <c r="BD27" i="3"/>
  <c r="BD15" i="3"/>
  <c r="BD13" i="3"/>
  <c r="BD42" i="3"/>
  <c r="BD24" i="3"/>
  <c r="BD38" i="3"/>
  <c r="BD34" i="3"/>
  <c r="BD21" i="3"/>
  <c r="BD32" i="3"/>
  <c r="BD6" i="3"/>
  <c r="BD43" i="3"/>
  <c r="BD36" i="3"/>
  <c r="BD29" i="3"/>
  <c r="BD44" i="3"/>
  <c r="BD47" i="3"/>
  <c r="BD17" i="3"/>
  <c r="BD30" i="3"/>
  <c r="BD40" i="3"/>
  <c r="BD28" i="3"/>
  <c r="BD9" i="3"/>
  <c r="BD8" i="3"/>
  <c r="BD11" i="3"/>
  <c r="BD41" i="3"/>
  <c r="BD5" i="3"/>
  <c r="BD10" i="3"/>
  <c r="BD12" i="3"/>
  <c r="BD31" i="3"/>
  <c r="BD37" i="3"/>
  <c r="BD7" i="3"/>
  <c r="BD14" i="3"/>
  <c r="BD33" i="3"/>
  <c r="BD19" i="3"/>
  <c r="BD25" i="3"/>
  <c r="BK44" i="3" l="1"/>
  <c r="BL44" i="3" s="1"/>
  <c r="BE44" i="3"/>
  <c r="BG44" i="3" s="1"/>
  <c r="BH44" i="3" s="1"/>
  <c r="BK32" i="3"/>
  <c r="BL32" i="3" s="1"/>
  <c r="BE32" i="3"/>
  <c r="BG32" i="3" s="1"/>
  <c r="BH32" i="3" s="1"/>
  <c r="BK24" i="3"/>
  <c r="BL24" i="3" s="1"/>
  <c r="BE24" i="3"/>
  <c r="BG24" i="3" s="1"/>
  <c r="BH24" i="3" s="1"/>
  <c r="BK15" i="3"/>
  <c r="BL15" i="3" s="1"/>
  <c r="BE15" i="3"/>
  <c r="BG15" i="3" s="1"/>
  <c r="BH15" i="3" s="1"/>
  <c r="BE46" i="3"/>
  <c r="BG46" i="3" s="1"/>
  <c r="BH46" i="3" s="1"/>
  <c r="BK46" i="3"/>
  <c r="BL46" i="3" s="1"/>
  <c r="BE35" i="3"/>
  <c r="BG35" i="3" s="1"/>
  <c r="BH35" i="3" s="1"/>
  <c r="BK35" i="3"/>
  <c r="BL35" i="3" s="1"/>
  <c r="BE31" i="3"/>
  <c r="BG31" i="3" s="1"/>
  <c r="BH31" i="3" s="1"/>
  <c r="BK31" i="3"/>
  <c r="BL31" i="3" s="1"/>
  <c r="BE8" i="3"/>
  <c r="BG8" i="3" s="1"/>
  <c r="BH8" i="3" s="1"/>
  <c r="BK8" i="3"/>
  <c r="BL8" i="3" s="1"/>
  <c r="BE14" i="3"/>
  <c r="BG14" i="3" s="1"/>
  <c r="BH14" i="3" s="1"/>
  <c r="BK14" i="3"/>
  <c r="BL14" i="3" s="1"/>
  <c r="BE10" i="3"/>
  <c r="BG10" i="3" s="1"/>
  <c r="BH10" i="3" s="1"/>
  <c r="BK10" i="3"/>
  <c r="BL10" i="3" s="1"/>
  <c r="BE9" i="3"/>
  <c r="BG9" i="3" s="1"/>
  <c r="BH9" i="3" s="1"/>
  <c r="BK9" i="3"/>
  <c r="BL9" i="3" s="1"/>
  <c r="BE6" i="3"/>
  <c r="BG6" i="3" s="1"/>
  <c r="BH6" i="3" s="1"/>
  <c r="BK6" i="3"/>
  <c r="BL6" i="3" s="1"/>
  <c r="BK29" i="3"/>
  <c r="BL29" i="3" s="1"/>
  <c r="BE29" i="3"/>
  <c r="BG29" i="3" s="1"/>
  <c r="BH29" i="3" s="1"/>
  <c r="BE21" i="3"/>
  <c r="BG21" i="3" s="1"/>
  <c r="BH21" i="3" s="1"/>
  <c r="BK21" i="3"/>
  <c r="BL21" i="3" s="1"/>
  <c r="BK42" i="3"/>
  <c r="BL42" i="3" s="1"/>
  <c r="BE42" i="3"/>
  <c r="BG42" i="3" s="1"/>
  <c r="BH42" i="3" s="1"/>
  <c r="BK27" i="3"/>
  <c r="BL27" i="3" s="1"/>
  <c r="BE27" i="3"/>
  <c r="BG27" i="3" s="1"/>
  <c r="BH27" i="3" s="1"/>
  <c r="BK20" i="3"/>
  <c r="BL20" i="3" s="1"/>
  <c r="BE20" i="3"/>
  <c r="BG20" i="3" s="1"/>
  <c r="BH20" i="3" s="1"/>
  <c r="BK30" i="3"/>
  <c r="BL30" i="3" s="1"/>
  <c r="BE30" i="3"/>
  <c r="BG30" i="3" s="1"/>
  <c r="BH30" i="3" s="1"/>
  <c r="BK16" i="3"/>
  <c r="BL16" i="3" s="1"/>
  <c r="BE16" i="3"/>
  <c r="BG16" i="3" s="1"/>
  <c r="BH16" i="3" s="1"/>
  <c r="BK12" i="3"/>
  <c r="BL12" i="3" s="1"/>
  <c r="BE12" i="3"/>
  <c r="BG12" i="3" s="1"/>
  <c r="BH12" i="3" s="1"/>
  <c r="BE7" i="3"/>
  <c r="BG7" i="3" s="1"/>
  <c r="BH7" i="3" s="1"/>
  <c r="BK7" i="3"/>
  <c r="BL7" i="3" s="1"/>
  <c r="BE5" i="3"/>
  <c r="BG5" i="3" s="1"/>
  <c r="BH5" i="3" s="1"/>
  <c r="BK5" i="3"/>
  <c r="BL5" i="3" s="1"/>
  <c r="BK28" i="3"/>
  <c r="BL28" i="3" s="1"/>
  <c r="BE28" i="3"/>
  <c r="BG28" i="3" s="1"/>
  <c r="BH28" i="3" s="1"/>
  <c r="BK17" i="3"/>
  <c r="BL17" i="3" s="1"/>
  <c r="BE17" i="3"/>
  <c r="BG17" i="3" s="1"/>
  <c r="BH17" i="3" s="1"/>
  <c r="BE36" i="3"/>
  <c r="BG36" i="3" s="1"/>
  <c r="BH36" i="3" s="1"/>
  <c r="BK36" i="3"/>
  <c r="BL36" i="3" s="1"/>
  <c r="BE34" i="3"/>
  <c r="BG34" i="3" s="1"/>
  <c r="BH34" i="3" s="1"/>
  <c r="BK34" i="3"/>
  <c r="BL34" i="3" s="1"/>
  <c r="BE4" i="3"/>
  <c r="BG4" i="3" s="1"/>
  <c r="BH4" i="3" s="1"/>
  <c r="BK4" i="3"/>
  <c r="BL4" i="3" s="1"/>
  <c r="BE23" i="3"/>
  <c r="BG23" i="3" s="1"/>
  <c r="BH23" i="3" s="1"/>
  <c r="BK23" i="3"/>
  <c r="BL23" i="3" s="1"/>
  <c r="BE45" i="3"/>
  <c r="BG45" i="3" s="1"/>
  <c r="BH45" i="3" s="1"/>
  <c r="BK45" i="3"/>
  <c r="BL45" i="3" s="1"/>
  <c r="BK18" i="3"/>
  <c r="BL18" i="3" s="1"/>
  <c r="BE18" i="3"/>
  <c r="BG18" i="3" s="1"/>
  <c r="BH18" i="3" s="1"/>
  <c r="BE19" i="3"/>
  <c r="BG19" i="3" s="1"/>
  <c r="BH19" i="3" s="1"/>
  <c r="BK19" i="3"/>
  <c r="BL19" i="3" s="1"/>
  <c r="BE33" i="3"/>
  <c r="BG33" i="3" s="1"/>
  <c r="BH33" i="3" s="1"/>
  <c r="BK33" i="3"/>
  <c r="BL33" i="3" s="1"/>
  <c r="BE37" i="3"/>
  <c r="BG37" i="3" s="1"/>
  <c r="BH37" i="3" s="1"/>
  <c r="BK37" i="3"/>
  <c r="BL37" i="3" s="1"/>
  <c r="BK41" i="3"/>
  <c r="BL41" i="3" s="1"/>
  <c r="BE41" i="3"/>
  <c r="BG41" i="3" s="1"/>
  <c r="BH41" i="3" s="1"/>
  <c r="BK40" i="3"/>
  <c r="BL40" i="3" s="1"/>
  <c r="BE40" i="3"/>
  <c r="BG40" i="3" s="1"/>
  <c r="BH40" i="3" s="1"/>
  <c r="BE47" i="3"/>
  <c r="BG47" i="3" s="1"/>
  <c r="BH47" i="3" s="1"/>
  <c r="BK47" i="3"/>
  <c r="BL47" i="3" s="1"/>
  <c r="BK43" i="3"/>
  <c r="BL43" i="3" s="1"/>
  <c r="BE43" i="3"/>
  <c r="BG43" i="3" s="1"/>
  <c r="BH43" i="3" s="1"/>
  <c r="BE38" i="3"/>
  <c r="BG38" i="3" s="1"/>
  <c r="BH38" i="3" s="1"/>
  <c r="BK38" i="3"/>
  <c r="BL38" i="3" s="1"/>
  <c r="BE13" i="3"/>
  <c r="BG13" i="3" s="1"/>
  <c r="BH13" i="3" s="1"/>
  <c r="BK13" i="3"/>
  <c r="BL13" i="3" s="1"/>
  <c r="BK39" i="3"/>
  <c r="BL39" i="3" s="1"/>
  <c r="BE39" i="3"/>
  <c r="BG39" i="3" s="1"/>
  <c r="BH39" i="3" s="1"/>
  <c r="BE26" i="3"/>
  <c r="BG26" i="3" s="1"/>
  <c r="BH26" i="3" s="1"/>
  <c r="BK26" i="3"/>
  <c r="BL26" i="3" s="1"/>
  <c r="BK25" i="3"/>
  <c r="BL25" i="3" s="1"/>
  <c r="BE25" i="3"/>
  <c r="BG25" i="3" s="1"/>
  <c r="BH25" i="3" s="1"/>
  <c r="BK11" i="3"/>
  <c r="BL11" i="3" s="1"/>
  <c r="BE11" i="3"/>
  <c r="BG11" i="3" s="1"/>
  <c r="BH11" i="3" s="1"/>
  <c r="BE22" i="3"/>
  <c r="BG22" i="3" s="1"/>
  <c r="BH22" i="3" s="1"/>
  <c r="BK22" i="3"/>
  <c r="BL22" i="3" s="1"/>
  <c r="BS47" i="3" l="1"/>
  <c r="BR47" i="3"/>
  <c r="BQ47" i="3"/>
  <c r="BJ47" i="3"/>
  <c r="BI47" i="3"/>
  <c r="BS6" i="3"/>
  <c r="BR6" i="3"/>
  <c r="BJ6" i="3"/>
  <c r="BI6" i="3"/>
  <c r="BQ6" i="3"/>
  <c r="BS35" i="3"/>
  <c r="BR35" i="3"/>
  <c r="BQ35" i="3"/>
  <c r="BJ35" i="3"/>
  <c r="BI35" i="3"/>
  <c r="BJ18" i="3"/>
  <c r="BI18" i="3"/>
  <c r="BS18" i="3"/>
  <c r="BR18" i="3"/>
  <c r="BQ18" i="3"/>
  <c r="BJ28" i="3"/>
  <c r="BI28" i="3"/>
  <c r="BS28" i="3"/>
  <c r="BR28" i="3"/>
  <c r="BQ28" i="3"/>
  <c r="BS20" i="3"/>
  <c r="BR20" i="3"/>
  <c r="BQ20" i="3"/>
  <c r="BJ20" i="3"/>
  <c r="BI20" i="3"/>
  <c r="BJ30" i="3"/>
  <c r="BI30" i="3"/>
  <c r="BS30" i="3"/>
  <c r="BR30" i="3"/>
  <c r="BQ30" i="3"/>
  <c r="BI9" i="3"/>
  <c r="BS9" i="3"/>
  <c r="BJ9" i="3"/>
  <c r="BR9" i="3"/>
  <c r="BQ9" i="3"/>
  <c r="BI46" i="3"/>
  <c r="BS46" i="3"/>
  <c r="BR46" i="3"/>
  <c r="BQ46" i="3"/>
  <c r="BJ46" i="3"/>
  <c r="BR25" i="3"/>
  <c r="BJ25" i="3"/>
  <c r="BI25" i="3"/>
  <c r="BS25" i="3"/>
  <c r="BQ25" i="3"/>
  <c r="BQ26" i="3"/>
  <c r="BJ26" i="3"/>
  <c r="BI26" i="3"/>
  <c r="BS26" i="3"/>
  <c r="BR26" i="3"/>
  <c r="BJ41" i="3"/>
  <c r="BI41" i="3"/>
  <c r="BS41" i="3"/>
  <c r="BR41" i="3"/>
  <c r="BQ41" i="3"/>
  <c r="BJ27" i="3"/>
  <c r="BI27" i="3"/>
  <c r="BS27" i="3"/>
  <c r="BR27" i="3"/>
  <c r="BQ27" i="3"/>
  <c r="BJ15" i="3"/>
  <c r="BS15" i="3"/>
  <c r="BR15" i="3"/>
  <c r="BI15" i="3"/>
  <c r="BQ15" i="3"/>
  <c r="BJ17" i="3"/>
  <c r="BS17" i="3"/>
  <c r="BQ17" i="3"/>
  <c r="BR17" i="3"/>
  <c r="BI17" i="3"/>
  <c r="BJ40" i="3"/>
  <c r="BI40" i="3"/>
  <c r="BS40" i="3"/>
  <c r="BR40" i="3"/>
  <c r="BQ40" i="3"/>
  <c r="BJ45" i="3"/>
  <c r="BI45" i="3"/>
  <c r="BS45" i="3"/>
  <c r="BR45" i="3"/>
  <c r="BQ45" i="3"/>
  <c r="BJ39" i="3"/>
  <c r="BI39" i="3"/>
  <c r="BS39" i="3"/>
  <c r="BR39" i="3"/>
  <c r="BQ39" i="3"/>
  <c r="BQ23" i="3"/>
  <c r="BJ23" i="3"/>
  <c r="BS23" i="3"/>
  <c r="BR23" i="3"/>
  <c r="BI23" i="3"/>
  <c r="BS5" i="3"/>
  <c r="BJ5" i="3"/>
  <c r="BR5" i="3"/>
  <c r="BQ5" i="3"/>
  <c r="BI5" i="3"/>
  <c r="BQ10" i="3"/>
  <c r="BS10" i="3"/>
  <c r="BJ10" i="3"/>
  <c r="BI10" i="3"/>
  <c r="BR10" i="3"/>
  <c r="BS24" i="3"/>
  <c r="BJ24" i="3"/>
  <c r="BI24" i="3"/>
  <c r="BQ24" i="3"/>
  <c r="BR24" i="3"/>
  <c r="BJ42" i="3"/>
  <c r="BI42" i="3"/>
  <c r="BS42" i="3"/>
  <c r="BR42" i="3"/>
  <c r="BQ42" i="3"/>
  <c r="BR13" i="3"/>
  <c r="BI13" i="3"/>
  <c r="BS13" i="3"/>
  <c r="BQ13" i="3"/>
  <c r="BJ13" i="3"/>
  <c r="BR37" i="3"/>
  <c r="BQ37" i="3"/>
  <c r="BJ37" i="3"/>
  <c r="BI37" i="3"/>
  <c r="BS37" i="3"/>
  <c r="BS4" i="3"/>
  <c r="BR4" i="3"/>
  <c r="BQ4" i="3"/>
  <c r="BJ4" i="3"/>
  <c r="BI4" i="3"/>
  <c r="BR7" i="3"/>
  <c r="BQ7" i="3"/>
  <c r="BI7" i="3"/>
  <c r="BJ7" i="3"/>
  <c r="BS7" i="3"/>
  <c r="BQ14" i="3"/>
  <c r="BS14" i="3"/>
  <c r="BJ14" i="3"/>
  <c r="BR14" i="3"/>
  <c r="BI14" i="3"/>
  <c r="BJ33" i="3"/>
  <c r="BS33" i="3"/>
  <c r="BR33" i="3"/>
  <c r="BQ33" i="3"/>
  <c r="BI33" i="3"/>
  <c r="BQ8" i="3"/>
  <c r="BS8" i="3"/>
  <c r="BJ8" i="3"/>
  <c r="BI8" i="3"/>
  <c r="BR8" i="3"/>
  <c r="BS12" i="3"/>
  <c r="BJ12" i="3"/>
  <c r="BI12" i="3"/>
  <c r="BQ12" i="3"/>
  <c r="BR12" i="3"/>
  <c r="BI22" i="3"/>
  <c r="BR22" i="3"/>
  <c r="BQ22" i="3"/>
  <c r="BS22" i="3"/>
  <c r="BJ22" i="3"/>
  <c r="BI34" i="3"/>
  <c r="BS34" i="3"/>
  <c r="BR34" i="3"/>
  <c r="BQ34" i="3"/>
  <c r="BJ34" i="3"/>
  <c r="BJ21" i="3"/>
  <c r="BS21" i="3"/>
  <c r="BR21" i="3"/>
  <c r="BQ21" i="3"/>
  <c r="BI21" i="3"/>
  <c r="BJ43" i="3"/>
  <c r="BI43" i="3"/>
  <c r="BS43" i="3"/>
  <c r="BR43" i="3"/>
  <c r="BQ43" i="3"/>
  <c r="BI16" i="3"/>
  <c r="BR16" i="3"/>
  <c r="BQ16" i="3"/>
  <c r="BJ16" i="3"/>
  <c r="BS16" i="3"/>
  <c r="BJ29" i="3"/>
  <c r="BI29" i="3"/>
  <c r="BS29" i="3"/>
  <c r="BR29" i="3"/>
  <c r="BQ29" i="3"/>
  <c r="BJ44" i="3"/>
  <c r="BI44" i="3"/>
  <c r="BS44" i="3"/>
  <c r="BR44" i="3"/>
  <c r="BQ44" i="3"/>
  <c r="BI32" i="3"/>
  <c r="BS32" i="3"/>
  <c r="BR32" i="3"/>
  <c r="BQ32" i="3"/>
  <c r="BJ32" i="3"/>
  <c r="BQ38" i="3"/>
  <c r="BJ38" i="3"/>
  <c r="BI38" i="3"/>
  <c r="BS38" i="3"/>
  <c r="BR38" i="3"/>
  <c r="BQ11" i="3"/>
  <c r="BJ11" i="3"/>
  <c r="BS11" i="3"/>
  <c r="BR11" i="3"/>
  <c r="BI11" i="3"/>
  <c r="BI19" i="3"/>
  <c r="BS19" i="3"/>
  <c r="BR19" i="3"/>
  <c r="BQ19" i="3"/>
  <c r="BJ19" i="3"/>
  <c r="BS36" i="3"/>
  <c r="BR36" i="3"/>
  <c r="BQ36" i="3"/>
  <c r="BJ36" i="3"/>
  <c r="BI36" i="3"/>
  <c r="BJ31" i="3"/>
  <c r="BI31" i="3"/>
  <c r="BS31" i="3"/>
  <c r="BR31" i="3"/>
  <c r="BQ31" i="3"/>
</calcChain>
</file>

<file path=xl/comments1.xml><?xml version="1.0" encoding="utf-8"?>
<comments xmlns="http://schemas.openxmlformats.org/spreadsheetml/2006/main">
  <authors>
    <author>phatpv</author>
    <author>Windows User</author>
    <author>Duy Nguyen Van</author>
  </authors>
  <commentList>
    <comment ref="B2" authorId="0" shapeId="0">
      <text>
        <r>
          <rPr>
            <b/>
            <sz val="9"/>
            <rFont val="Tahoma"/>
            <charset val="134"/>
          </rPr>
          <t>Cường độ đặc trưng mẫu lăng trụ</t>
        </r>
      </text>
    </comment>
    <comment ref="D2" authorId="0" shapeId="0">
      <text>
        <r>
          <rPr>
            <sz val="9"/>
            <rFont val="Tahoma"/>
            <charset val="134"/>
          </rPr>
          <t>CƯỜNG ĐỘ CHỊU NÉN TÍNH TOÁN CỦA MẪU LĂNG TRỤ THEO BẢNG 13 TCVN 5574 : 2012
BẢNG 7 TCVN 5574 - 2018</t>
        </r>
      </text>
    </comment>
    <comment ref="E2" authorId="0" shapeId="0">
      <text>
        <r>
          <rPr>
            <sz val="9"/>
            <rFont val="Tahoma"/>
            <charset val="134"/>
          </rPr>
          <t>CƯỜNG ĐỘ CHỊU KÉO DỌC TRỤC THEO BẢNG 13 TCVN 5574 : 2012
BẢNG 7 TCVN 5574 2018</t>
        </r>
      </text>
    </comment>
    <comment ref="F2" authorId="1" shapeId="0">
      <text>
        <r>
          <rPr>
            <sz val="9"/>
            <rFont val="Tahoma"/>
            <charset val="134"/>
          </rPr>
          <t>BẢNG 10 TCVN 5574 2018</t>
        </r>
      </text>
    </comment>
    <comment ref="G2" authorId="0" shapeId="0">
      <text>
        <r>
          <rPr>
            <sz val="9"/>
            <rFont val="Tahoma"/>
            <charset val="134"/>
          </rPr>
          <t>HÊ SỐ ĐIỀU KIỆN LÀM VIỆC VIỆC CỦA BÊ TÔNG THEO BẢNG 15 TCVN 5574 : 2012
6.1.2.3 TCVN 5574 2018</t>
        </r>
      </text>
    </comment>
    <comment ref="H2" authorId="0" shapeId="0">
      <text>
        <r>
          <rPr>
            <sz val="9"/>
            <rFont val="Tahoma"/>
            <charset val="134"/>
          </rPr>
          <t>ỨNG SUẤT GIỚI HẠN CỦA CỐT THÉP TRONG VÙNG BÊ TÔNG CHỊU NÉN THEO MỤC 6.2.2.3 a TCVN 5574 : 2012</t>
        </r>
      </text>
    </comment>
    <comment ref="I2" authorId="0" shapeId="0">
      <text>
        <r>
          <rPr>
            <sz val="9"/>
            <rFont val="Tahoma"/>
            <charset val="134"/>
          </rPr>
          <t>HỆ SỐ LẤY THEO MỤC 6.2.2.3 TCVN 5574 : 2012</t>
        </r>
      </text>
    </comment>
    <comment ref="J2" authorId="0" shapeId="0">
      <text>
        <r>
          <rPr>
            <sz val="9"/>
            <rFont val="Tahoma"/>
            <charset val="134"/>
          </rPr>
          <t>ĐẶC TRƯNG VÙNG BÊ TÔNG CHỊU NÉN THEO CÔNG THỨC (26) TCVN 5574 : 2012</t>
        </r>
      </text>
    </comment>
    <comment ref="R2" authorId="0" shapeId="0">
      <text>
        <r>
          <rPr>
            <sz val="9"/>
            <rFont val="Tahoma"/>
            <charset val="134"/>
          </rPr>
          <t>CƯỜNG ĐỘ CHỊU KÉO ĐẶC TRƯNG THEO BẢNG 18 TCVN 5574 : 2012</t>
        </r>
      </text>
    </comment>
    <comment ref="S2" authorId="0" shapeId="0">
      <text>
        <r>
          <rPr>
            <sz val="9"/>
            <rFont val="Tahoma"/>
            <charset val="134"/>
          </rPr>
          <t>CƯỜNG ĐỘ CHỊU KÉO TÍNH TOÀN THEO 21 TCVN 5574 : 2012</t>
        </r>
      </text>
    </comment>
    <comment ref="T2" authorId="0" shapeId="0">
      <text>
        <r>
          <rPr>
            <sz val="9"/>
            <rFont val="Tahoma"/>
            <charset val="134"/>
          </rPr>
          <t>CUONG ĐỘ CHỊU NÉN TÍNH TOÀN THEO BẢNG 21 TCVN 5574 : 2012</t>
        </r>
      </text>
    </comment>
    <comment ref="U2" authorId="0" shapeId="0">
      <text>
        <r>
          <rPr>
            <sz val="9"/>
            <rFont val="Tahoma"/>
            <charset val="134"/>
          </rPr>
          <t>CUONG ĐỘ CHỊU KÉO TÍNH TOÁN CỦA THÉP ĐAI THEO BẢNG 21 TCVN 5574 : 2012</t>
        </r>
      </text>
    </comment>
    <comment ref="V2" authorId="0" shapeId="0">
      <text>
        <r>
          <rPr>
            <sz val="9"/>
            <rFont val="Tahoma"/>
            <charset val="134"/>
          </rPr>
          <t>HỆ SỐ ĐIỀU KIỆN LÀM VIỆC CỦA THÉP THEO BẢNG 20 HOẶC PHỤ LỤC B TCVN 5574 : 2012</t>
        </r>
      </text>
    </comment>
    <comment ref="CM3" authorId="0" shapeId="0">
      <text>
        <r>
          <rPr>
            <b/>
            <sz val="9"/>
            <rFont val="Tahoma"/>
            <charset val="134"/>
          </rPr>
          <t>Cường độ đặc trưng mẫu lăng trụ</t>
        </r>
      </text>
    </comment>
    <comment ref="CP3" authorId="0" shapeId="0">
      <text>
        <r>
          <rPr>
            <sz val="9"/>
            <rFont val="Tahoma"/>
            <charset val="134"/>
          </rPr>
          <t>HỆ SỐ ĐIỀU KIỆN LÀM VIỆC CỦA THÉP THEO BẢNG 20 HOẶC PHỤ LỤC B TCVN 5574 : 2012</t>
        </r>
      </text>
    </comment>
    <comment ref="CP4" authorId="0" shapeId="0">
      <text>
        <r>
          <rPr>
            <sz val="9"/>
            <rFont val="Tahoma"/>
            <charset val="134"/>
          </rPr>
          <t>CƯỜNG ĐỘ CHỊU KÉO TÍNH TOÀN THEO 21 TCVN 5574 : 2012 (Mpa)</t>
        </r>
      </text>
    </comment>
    <comment ref="CM5" authorId="0" shapeId="0">
      <text>
        <r>
          <rPr>
            <sz val="9"/>
            <rFont val="Arial"/>
            <charset val="134"/>
          </rPr>
          <t>CƯỜNG ĐỘ CHỊU NÉN TÍNH TOÁN CỦA MẪU LĂNG TRỤ THEO BẢNG 13 TCVN 5574 : 2012 (Mpa)</t>
        </r>
      </text>
    </comment>
    <comment ref="CP5" authorId="0" shapeId="0">
      <text>
        <r>
          <rPr>
            <sz val="9"/>
            <rFont val="Tahoma"/>
            <charset val="134"/>
          </rPr>
          <t>CUONG ĐỘ CHỊU NÉN TÍNH TOÀN THEO BẢNG 21 TCVN 5574 : 2012 (Mpa)</t>
        </r>
      </text>
    </comment>
    <comment ref="CM7" authorId="0" shapeId="0">
      <text>
        <r>
          <rPr>
            <sz val="9"/>
            <rFont val="Arial"/>
            <charset val="134"/>
          </rPr>
          <t>CƯỜNG ĐỘ CHỊU KÉO DỌC TRỤC THEO BẢNG 13 TCVN 5574 : 2012 (Mpa)</t>
        </r>
      </text>
    </comment>
    <comment ref="CP7" authorId="0" shapeId="0">
      <text>
        <r>
          <rPr>
            <sz val="9"/>
            <rFont val="Tahoma"/>
            <charset val="134"/>
          </rPr>
          <t>TỶ SỐ CHIỀU CAO VÙNG BÊ TÔNG CHỊU NÉN THEO CÔNG THỨC (25) TCVN 5574 : 2012</t>
        </r>
      </text>
    </comment>
    <comment ref="CP8" authorId="0" shapeId="0">
      <text>
        <r>
          <rPr>
            <sz val="9"/>
            <rFont val="Tahoma"/>
            <charset val="134"/>
          </rPr>
          <t>HÀM LƯỢNG THÉP TỐI ĐA TÍNH THEO MỤC 6.2.2.6 TCVN 5574 : 2012  (%)</t>
        </r>
      </text>
    </comment>
    <comment ref="CM9" authorId="2" shapeId="0">
      <text>
        <r>
          <rPr>
            <b/>
            <sz val="9"/>
            <rFont val="Tahoma"/>
            <charset val="134"/>
          </rPr>
          <t>Duy Nguyen Van:</t>
        </r>
        <r>
          <rPr>
            <sz val="9"/>
            <rFont val="Tahoma"/>
            <charset val="134"/>
          </rPr>
          <t xml:space="preserve">
MPa</t>
        </r>
      </text>
    </comment>
    <comment ref="CP9" authorId="0" shapeId="0">
      <text>
        <r>
          <rPr>
            <sz val="9"/>
            <rFont val="Tahoma"/>
            <charset val="134"/>
          </rPr>
          <t>HỆ SỐ ĐIỀU KIỆN LÀM VIỆC CỦA THÉP THEO BẢNG 20 HOẶC PHỤ LỤC B TCVN 5574 : 2012</t>
        </r>
      </text>
    </comment>
    <comment ref="CK10" authorId="1" shapeId="0">
      <text>
        <r>
          <rPr>
            <b/>
            <sz val="9"/>
            <rFont val="Tahoma"/>
            <charset val="134"/>
          </rPr>
          <t>Duy: Từ mép bê tông đến mép thép đai</t>
        </r>
        <r>
          <rPr>
            <sz val="9"/>
            <rFont val="Tahoma"/>
            <charset val="134"/>
          </rPr>
          <t xml:space="preserve">
</t>
        </r>
      </text>
    </comment>
    <comment ref="CM10" authorId="0" shapeId="0">
      <text>
        <r>
          <rPr>
            <sz val="9"/>
            <rFont val="Arial"/>
            <charset val="134"/>
          </rPr>
          <t>HÊ SỐ ĐIỀU KIỆN LÀM VIỆC VIỆC CỦA BÊ TÔNG THEO BẢNG 15 TCVN 5574 : 2012</t>
        </r>
      </text>
    </comment>
    <comment ref="CP10" authorId="0" shapeId="0">
      <text>
        <r>
          <rPr>
            <sz val="9"/>
            <rFont val="Tahoma"/>
            <charset val="134"/>
          </rPr>
          <t>CƯỜNG ĐỘ CHỊU KÉO TÍNH TOÀN THEO 21 TCVN 5574 : 2012 (Mpa)</t>
        </r>
      </text>
    </comment>
    <comment ref="CM11" authorId="0" shapeId="0">
      <text>
        <r>
          <rPr>
            <sz val="9"/>
            <rFont val="Arial"/>
            <charset val="134"/>
          </rPr>
          <t>ỨNG SUẤT GIỚI HẠN CỦA CỐT THÉP TRONG VÙNG BÊ TÔNG CHỊU NÉN THEO MỤC 6.2.2.3 a TCVN 5574 : 2012 (Mpa)</t>
        </r>
      </text>
    </comment>
    <comment ref="CP11" authorId="0" shapeId="0">
      <text>
        <r>
          <rPr>
            <sz val="9"/>
            <rFont val="Tahoma"/>
            <charset val="134"/>
          </rPr>
          <t>CUONG ĐỘ CHỊU NÉN TÍNH TOÀN THEO BẢNG 21 TCVN 5574 : 2012 (Mpa)</t>
        </r>
      </text>
    </comment>
    <comment ref="CM12" authorId="0" shapeId="0">
      <text>
        <r>
          <rPr>
            <sz val="9"/>
            <rFont val="Arial"/>
            <charset val="134"/>
          </rPr>
          <t>HỆ SỐ LẤY THEO MỤC 6.2.2.3 TCVN 5574 : 2012 (Mpa)</t>
        </r>
      </text>
    </comment>
    <comment ref="CM13" authorId="0" shapeId="0">
      <text>
        <r>
          <rPr>
            <sz val="9"/>
            <rFont val="Arial"/>
            <charset val="134"/>
          </rPr>
          <t>ĐẶC TRƯNG VÙNG BÊ TÔNG CHỊU NÉN THEO CÔNG THỨC (26) TCVN 5574 : 2012</t>
        </r>
      </text>
    </comment>
    <comment ref="CP13" authorId="0" shapeId="0">
      <text>
        <r>
          <rPr>
            <sz val="9"/>
            <rFont val="Tahoma"/>
            <charset val="134"/>
          </rPr>
          <t>TỶ SỐ CHIỀU CAO VÙNG BÊ TÔNG CHỊU NÉN THEO CÔNG THỨC (25) TCVN 5574 : 2012</t>
        </r>
      </text>
    </comment>
    <comment ref="CP14" authorId="0" shapeId="0">
      <text>
        <r>
          <rPr>
            <sz val="9"/>
            <rFont val="Tahoma"/>
            <charset val="134"/>
          </rPr>
          <t>HÀM LƯỢNG THÉP TỐI ĐA TÍNH THEO MỤC 6.2.2.6 TCVN 5574 : 2012  (%)</t>
        </r>
      </text>
    </comment>
    <comment ref="CK15" authorId="1" shapeId="0">
      <text>
        <r>
          <rPr>
            <b/>
            <sz val="9"/>
            <rFont val="Tahoma"/>
            <charset val="134"/>
          </rPr>
          <t>Duy: Từ mép bê tông đến mép thép đai</t>
        </r>
        <r>
          <rPr>
            <sz val="9"/>
            <rFont val="Tahoma"/>
            <charset val="134"/>
          </rPr>
          <t xml:space="preserve">
</t>
        </r>
      </text>
    </comment>
    <comment ref="CP15" authorId="0" shapeId="0">
      <text>
        <r>
          <rPr>
            <sz val="9"/>
            <rFont val="Tahoma"/>
            <charset val="134"/>
          </rPr>
          <t>CUONG ĐỘ CHỊU KÉO TÍNH TOÁN CỦA THÉP ĐAI THEO BẢNG 21 TCVN 5574 : 2012</t>
        </r>
      </text>
    </comment>
    <comment ref="CP16" authorId="0" shapeId="0">
      <text>
        <r>
          <rPr>
            <sz val="9"/>
            <rFont val="Tahoma"/>
            <charset val="134"/>
          </rPr>
          <t>CUONG ĐỘ CHỊU KÉO TÍNH TOÁN CỦA THÉP ĐAI THEO BẢNG 21 TCVN 5574 : 2012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G1" authorId="0" shapeId="0">
      <text>
        <r>
          <rPr>
            <b/>
            <sz val="9"/>
            <rFont val="Tahoma"/>
            <charset val="134"/>
          </rPr>
          <t>Windows User:</t>
        </r>
        <r>
          <rPr>
            <sz val="9"/>
            <rFont val="Tahoma"/>
            <charset val="134"/>
          </rPr>
          <t xml:space="preserve">
Trọng tâm cốt thép!</t>
        </r>
      </text>
    </comment>
  </commentList>
</comments>
</file>

<file path=xl/connections.xml><?xml version="1.0" encoding="utf-8"?>
<connections xmlns="http://schemas.openxmlformats.org/spreadsheetml/2006/main">
  <connection id="1" sourceFile="E:\02.Cong Trinh\2018.07.07. A Ngoc\EXCEL\2018.08.08.R1.mdb" name="Connection" type="5" refreshedVersion="2" background="1" saveData="1">
    <dbPr connection="Provider=Microsoft.ACE.OLEDB.12.0;User ID=Admin;Data Source=E:\02.Cong Trinh\2018.07.07. A Ngoc\EXCEL\2018.08.08.R1.m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rogram Control" commandType="3"/>
  </connection>
</connections>
</file>

<file path=xl/sharedStrings.xml><?xml version="1.0" encoding="utf-8"?>
<sst xmlns="http://schemas.openxmlformats.org/spreadsheetml/2006/main" count="3495" uniqueCount="555">
  <si>
    <t>ProgramName</t>
  </si>
  <si>
    <t>Version</t>
  </si>
  <si>
    <t>Level</t>
  </si>
  <si>
    <t>LicenseNum</t>
  </si>
  <si>
    <t>CurrUnits</t>
  </si>
  <si>
    <t>SteelCode</t>
  </si>
  <si>
    <t>ConcCode</t>
  </si>
  <si>
    <t>CompBmCode</t>
  </si>
  <si>
    <t>CompColCode</t>
  </si>
  <si>
    <t>WallCode</t>
  </si>
  <si>
    <t>ConnCode</t>
  </si>
  <si>
    <t>ETABS 2015</t>
  </si>
  <si>
    <t>15.2.0</t>
  </si>
  <si>
    <t>Ultimate</t>
  </si>
  <si>
    <t>*144RWP3SH7GKREL</t>
  </si>
  <si>
    <t>kN, m, C</t>
  </si>
  <si>
    <t>Eurocode 3-2005</t>
  </si>
  <si>
    <t>Eurocode 2-2004</t>
  </si>
  <si>
    <t>Eurocode 4-2004</t>
  </si>
  <si>
    <t>AISC 360-10</t>
  </si>
  <si>
    <t>Expr1000</t>
  </si>
  <si>
    <t>Strip</t>
  </si>
  <si>
    <t>OutputCase</t>
  </si>
  <si>
    <t>Station</t>
  </si>
  <si>
    <t>P</t>
  </si>
  <si>
    <t>Expr1005</t>
  </si>
  <si>
    <t>V2</t>
  </si>
  <si>
    <t>T</t>
  </si>
  <si>
    <t>Expr1008</t>
  </si>
  <si>
    <t>M3</t>
  </si>
  <si>
    <t>GlobalX</t>
  </si>
  <si>
    <t>GlobalY</t>
  </si>
  <si>
    <t>CutWidth</t>
  </si>
  <si>
    <t>CSA1</t>
  </si>
  <si>
    <t>ULS02</t>
  </si>
  <si>
    <t>CSA10</t>
  </si>
  <si>
    <t>CSA11</t>
  </si>
  <si>
    <t>CSA12</t>
  </si>
  <si>
    <t>CSA13</t>
  </si>
  <si>
    <t>CSA14</t>
  </si>
  <si>
    <t>CSA15</t>
  </si>
  <si>
    <t>CSA17</t>
  </si>
  <si>
    <t>CSA19</t>
  </si>
  <si>
    <t>CSA2</t>
  </si>
  <si>
    <t>CSA20</t>
  </si>
  <si>
    <t>CSA3</t>
  </si>
  <si>
    <t>CSA4</t>
  </si>
  <si>
    <t>CSA5</t>
  </si>
  <si>
    <t>CSA6</t>
  </si>
  <si>
    <t>CSA7</t>
  </si>
  <si>
    <t>CSA8</t>
  </si>
  <si>
    <t>CSA9</t>
  </si>
  <si>
    <t>CSB1</t>
  </si>
  <si>
    <t>CSB10</t>
  </si>
  <si>
    <t>CSB11</t>
  </si>
  <si>
    <t>CSB12</t>
  </si>
  <si>
    <t>CSB13</t>
  </si>
  <si>
    <t>CSB14</t>
  </si>
  <si>
    <t>CSB15</t>
  </si>
  <si>
    <t>CSB16</t>
  </si>
  <si>
    <t>CSB17</t>
  </si>
  <si>
    <t>CSB18</t>
  </si>
  <si>
    <t>CSB19</t>
  </si>
  <si>
    <t>CSB2</t>
  </si>
  <si>
    <t>CSB20</t>
  </si>
  <si>
    <t>CSB21</t>
  </si>
  <si>
    <t>CSB22</t>
  </si>
  <si>
    <t>CSB23</t>
  </si>
  <si>
    <t>CSB24</t>
  </si>
  <si>
    <t>CSB25</t>
  </si>
  <si>
    <t>CSB26</t>
  </si>
  <si>
    <t>CSB3</t>
  </si>
  <si>
    <t>CSB4</t>
  </si>
  <si>
    <t>CSB5</t>
  </si>
  <si>
    <t>CSB6</t>
  </si>
  <si>
    <t>CSB7</t>
  </si>
  <si>
    <t>CSB8</t>
  </si>
  <si>
    <t>CSB9</t>
  </si>
  <si>
    <t>Name</t>
  </si>
  <si>
    <t>t3</t>
  </si>
  <si>
    <t>t2</t>
  </si>
  <si>
    <t>STRIP</t>
  </si>
  <si>
    <t>LENGTH</t>
  </si>
  <si>
    <t>SECTION</t>
  </si>
  <si>
    <t>POINT1</t>
  </si>
  <si>
    <t>X1</t>
  </si>
  <si>
    <t>Y1</t>
  </si>
  <si>
    <t>POINT2</t>
  </si>
  <si>
    <t>X2</t>
  </si>
  <si>
    <t>Y2</t>
  </si>
  <si>
    <t>W</t>
  </si>
  <si>
    <t>CSA1A</t>
  </si>
  <si>
    <t>CSA1B</t>
  </si>
  <si>
    <t>CSA10A</t>
  </si>
  <si>
    <t>CSA2B</t>
  </si>
  <si>
    <t>CSA11A</t>
  </si>
  <si>
    <t>CSA3B</t>
  </si>
  <si>
    <t>CSA12A</t>
  </si>
  <si>
    <t>CSA4B</t>
  </si>
  <si>
    <t>CSA13A</t>
  </si>
  <si>
    <t>CSA5B</t>
  </si>
  <si>
    <t>CSA14A</t>
  </si>
  <si>
    <t>CSA6B</t>
  </si>
  <si>
    <t>CSA15A</t>
  </si>
  <si>
    <t>CSA7B</t>
  </si>
  <si>
    <t>CSA17A</t>
  </si>
  <si>
    <t>CSA8B</t>
  </si>
  <si>
    <t>CSA19A</t>
  </si>
  <si>
    <t>CSA9B</t>
  </si>
  <si>
    <t>CSA2A</t>
  </si>
  <si>
    <t>CSB1B</t>
  </si>
  <si>
    <t>CSA20A</t>
  </si>
  <si>
    <t>CSB2B</t>
  </si>
  <si>
    <t>CSA3A</t>
  </si>
  <si>
    <t>CSB3B</t>
  </si>
  <si>
    <t>CSA4A</t>
  </si>
  <si>
    <t>CSB4B</t>
  </si>
  <si>
    <t>CSA5A</t>
  </si>
  <si>
    <t>CSB5B</t>
  </si>
  <si>
    <t>CSA6A</t>
  </si>
  <si>
    <t>CSB6B</t>
  </si>
  <si>
    <t>CSA7A</t>
  </si>
  <si>
    <t>CSB7B</t>
  </si>
  <si>
    <t>CSA8A</t>
  </si>
  <si>
    <t>CSB8B</t>
  </si>
  <si>
    <t>CSA9A</t>
  </si>
  <si>
    <t>CSB9B</t>
  </si>
  <si>
    <t>CSB1A</t>
  </si>
  <si>
    <t>CSA10B</t>
  </si>
  <si>
    <t>CSB10A</t>
  </si>
  <si>
    <t>CSA11B</t>
  </si>
  <si>
    <t>CSB11A</t>
  </si>
  <si>
    <t>CSA12B</t>
  </si>
  <si>
    <t>CSB12A</t>
  </si>
  <si>
    <t>CSA13B</t>
  </si>
  <si>
    <t>CSB13A</t>
  </si>
  <si>
    <t>CSA14B</t>
  </si>
  <si>
    <t>CSB14A</t>
  </si>
  <si>
    <t>CSA15B</t>
  </si>
  <si>
    <t>CSB15A</t>
  </si>
  <si>
    <t>CSA17B</t>
  </si>
  <si>
    <t>CSB16A</t>
  </si>
  <si>
    <t>CSA19B</t>
  </si>
  <si>
    <t>CSB17A</t>
  </si>
  <si>
    <t>CSA20B</t>
  </si>
  <si>
    <t>CSB18A</t>
  </si>
  <si>
    <t>CSB10B</t>
  </si>
  <si>
    <t>CSB19A</t>
  </si>
  <si>
    <t>CSB11B</t>
  </si>
  <si>
    <t>CSB2A</t>
  </si>
  <si>
    <t>CSB12B</t>
  </si>
  <si>
    <t>CSB20A</t>
  </si>
  <si>
    <t>CSB13B</t>
  </si>
  <si>
    <t>CSB21A</t>
  </si>
  <si>
    <t>CSB14B</t>
  </si>
  <si>
    <t>CSB22A</t>
  </si>
  <si>
    <t>CSB15B</t>
  </si>
  <si>
    <t>CSB23A</t>
  </si>
  <si>
    <t>CSB16B</t>
  </si>
  <si>
    <t>CSB24A</t>
  </si>
  <si>
    <t>CSB17B</t>
  </si>
  <si>
    <t>CSB25A</t>
  </si>
  <si>
    <t>CSB18B</t>
  </si>
  <si>
    <t>CSB26A</t>
  </si>
  <si>
    <t>CSB19B</t>
  </si>
  <si>
    <t>CSB3A</t>
  </si>
  <si>
    <t>CSB20B</t>
  </si>
  <si>
    <t>CSB4A</t>
  </si>
  <si>
    <t>CSB21B</t>
  </si>
  <si>
    <t>CSB5A</t>
  </si>
  <si>
    <t>CSB22B</t>
  </si>
  <si>
    <t>CSB6A</t>
  </si>
  <si>
    <t>CSB23B</t>
  </si>
  <si>
    <t>CSB7A</t>
  </si>
  <si>
    <t>CSB24B</t>
  </si>
  <si>
    <t>CSB8A</t>
  </si>
  <si>
    <t>CSB25B</t>
  </si>
  <si>
    <t>CSB9A</t>
  </si>
  <si>
    <t>CSB26B</t>
  </si>
  <si>
    <t>Label</t>
  </si>
  <si>
    <t>X</t>
  </si>
  <si>
    <t>Y</t>
  </si>
  <si>
    <t>Z</t>
  </si>
  <si>
    <t>Iend</t>
  </si>
  <si>
    <t>Jend</t>
  </si>
  <si>
    <t>Cường độ</t>
  </si>
  <si>
    <r>
      <rPr>
        <b/>
        <sz val="10"/>
        <color theme="1"/>
        <rFont val="Arial"/>
        <charset val="134"/>
      </rPr>
      <t>Mmin (M</t>
    </r>
    <r>
      <rPr>
        <b/>
        <vertAlign val="subscript"/>
        <sz val="10"/>
        <color theme="1"/>
        <rFont val="Arial"/>
        <charset val="134"/>
      </rPr>
      <t>3</t>
    </r>
    <r>
      <rPr>
        <b/>
        <sz val="10"/>
        <color theme="1"/>
        <rFont val="Arial"/>
        <charset val="134"/>
      </rPr>
      <t>)</t>
    </r>
  </si>
  <si>
    <t>Mmax (M3)</t>
  </si>
  <si>
    <t>Shear(V2)</t>
  </si>
  <si>
    <t>SLS Tổng tải</t>
  </si>
  <si>
    <t>SLS Dài Hạn</t>
  </si>
  <si>
    <t>MARK</t>
  </si>
  <si>
    <t>L</t>
  </si>
  <si>
    <t>B</t>
  </si>
  <si>
    <t>H</t>
  </si>
  <si>
    <r>
      <rPr>
        <b/>
        <sz val="10"/>
        <color theme="1"/>
        <rFont val="Arial"/>
        <charset val="134"/>
      </rPr>
      <t>M</t>
    </r>
    <r>
      <rPr>
        <b/>
        <vertAlign val="subscript"/>
        <sz val="10"/>
        <color theme="1"/>
        <rFont val="Arial"/>
        <charset val="134"/>
      </rPr>
      <t>3</t>
    </r>
  </si>
  <si>
    <t>Loc</t>
  </si>
  <si>
    <t>Q</t>
  </si>
  <si>
    <t>SAFE</t>
  </si>
  <si>
    <t>mm</t>
  </si>
  <si>
    <t>kNm</t>
  </si>
  <si>
    <t>m</t>
  </si>
  <si>
    <t>kN</t>
  </si>
  <si>
    <t>-</t>
  </si>
  <si>
    <t>Layer</t>
  </si>
  <si>
    <t>Inner Length</t>
  </si>
  <si>
    <t>Position X</t>
  </si>
  <si>
    <t>Position Y</t>
  </si>
  <si>
    <t>Point 1 X</t>
  </si>
  <si>
    <t>Point 1 Y</t>
  </si>
  <si>
    <t>Point 2 X</t>
  </si>
  <si>
    <t>Point 2 Y</t>
  </si>
  <si>
    <t>Rotation</t>
  </si>
  <si>
    <t>Scale X</t>
  </si>
  <si>
    <t>Scale Y</t>
  </si>
  <si>
    <t>Xcenter</t>
  </si>
  <si>
    <t>Ycenter</t>
  </si>
  <si>
    <t>Mark</t>
  </si>
  <si>
    <t>B(mm)</t>
  </si>
  <si>
    <t>H(mm)</t>
  </si>
  <si>
    <r>
      <rPr>
        <b/>
        <sz val="10"/>
        <color rgb="FF0000FF"/>
        <rFont val="Arial"/>
        <charset val="134"/>
      </rPr>
      <t>B</t>
    </r>
    <r>
      <rPr>
        <b/>
        <vertAlign val="subscript"/>
        <sz val="10"/>
        <color rgb="FF0000FF"/>
        <rFont val="Arial"/>
        <charset val="134"/>
      </rPr>
      <t>max</t>
    </r>
  </si>
  <si>
    <r>
      <rPr>
        <b/>
        <sz val="10"/>
        <color rgb="FF0000FF"/>
        <rFont val="Arial"/>
        <charset val="134"/>
      </rPr>
      <t>H</t>
    </r>
    <r>
      <rPr>
        <b/>
        <vertAlign val="subscript"/>
        <sz val="10"/>
        <color rgb="FF0000FF"/>
        <rFont val="Arial"/>
        <charset val="134"/>
      </rPr>
      <t>max</t>
    </r>
  </si>
  <si>
    <t>SỐ HIỆU</t>
  </si>
  <si>
    <t>DẦM-NHỊP</t>
  </si>
  <si>
    <t>DẦM</t>
  </si>
  <si>
    <t>DẦM HIỆU CHỈNH</t>
  </si>
  <si>
    <t>NHỊP</t>
  </si>
  <si>
    <t>NHỊP HIỆU CHỈNH</t>
  </si>
  <si>
    <t>Filter</t>
  </si>
  <si>
    <t>BEAM ETABS</t>
  </si>
  <si>
    <t>START/END</t>
  </si>
  <si>
    <t>Cao độ đài</t>
  </si>
  <si>
    <t>KT Đài</t>
  </si>
  <si>
    <t>ĐK Cọc</t>
  </si>
  <si>
    <t>SLCPX</t>
  </si>
  <si>
    <t>M10-1</t>
  </si>
  <si>
    <t>STRIPA</t>
  </si>
  <si>
    <t>M10</t>
  </si>
  <si>
    <t>M10CSA5</t>
  </si>
  <si>
    <t>20x20</t>
  </si>
  <si>
    <t>M10-2</t>
  </si>
  <si>
    <t>STRIPB</t>
  </si>
  <si>
    <t>M10CSB9</t>
  </si>
  <si>
    <t>M11-1</t>
  </si>
  <si>
    <t>M11</t>
  </si>
  <si>
    <t>M11CSA10</t>
  </si>
  <si>
    <t>M11-2</t>
  </si>
  <si>
    <t>M11CSB4</t>
  </si>
  <si>
    <t>M12-1</t>
  </si>
  <si>
    <t>M12</t>
  </si>
  <si>
    <t>M12CSA17</t>
  </si>
  <si>
    <t>M12-3</t>
  </si>
  <si>
    <t>M12CSB18</t>
  </si>
  <si>
    <t>M12-2</t>
  </si>
  <si>
    <t>M12CSB20</t>
  </si>
  <si>
    <t>M13-1</t>
  </si>
  <si>
    <t>M13</t>
  </si>
  <si>
    <t>M13CSA19</t>
  </si>
  <si>
    <t>M13-3</t>
  </si>
  <si>
    <t>M13CSB17</t>
  </si>
  <si>
    <t>M13-2</t>
  </si>
  <si>
    <t>M13CSB21</t>
  </si>
  <si>
    <t>M14-1</t>
  </si>
  <si>
    <t>M14</t>
  </si>
  <si>
    <t>M14CSA4</t>
  </si>
  <si>
    <t>M14-2</t>
  </si>
  <si>
    <t>M14CSB8</t>
  </si>
  <si>
    <t>M15-1</t>
  </si>
  <si>
    <t>M15</t>
  </si>
  <si>
    <t>M15CSA20</t>
  </si>
  <si>
    <t>M15-3</t>
  </si>
  <si>
    <t>M15CSB11</t>
  </si>
  <si>
    <t>M15-2</t>
  </si>
  <si>
    <t>M15CSB19</t>
  </si>
  <si>
    <t>M16-1</t>
  </si>
  <si>
    <t>M16</t>
  </si>
  <si>
    <t>M16CSA1</t>
  </si>
  <si>
    <t>M16-2</t>
  </si>
  <si>
    <t>M16CSB1</t>
  </si>
  <si>
    <t>M17-1</t>
  </si>
  <si>
    <t>M17</t>
  </si>
  <si>
    <t>M17CSA2</t>
  </si>
  <si>
    <t>M17-2</t>
  </si>
  <si>
    <t>M17CSB2</t>
  </si>
  <si>
    <t>M18-1</t>
  </si>
  <si>
    <t>M18</t>
  </si>
  <si>
    <t>M18CSA3</t>
  </si>
  <si>
    <t>M18-2</t>
  </si>
  <si>
    <t>M18CSB3</t>
  </si>
  <si>
    <t>M1-1</t>
  </si>
  <si>
    <t>M1</t>
  </si>
  <si>
    <t>M1CSA11</t>
  </si>
  <si>
    <t>M1-3</t>
  </si>
  <si>
    <t>M1CSB13</t>
  </si>
  <si>
    <t>M1-2</t>
  </si>
  <si>
    <t>M1CSB23</t>
  </si>
  <si>
    <t>M2-1</t>
  </si>
  <si>
    <t>M2</t>
  </si>
  <si>
    <t>M2CSA12</t>
  </si>
  <si>
    <t>M2-3</t>
  </si>
  <si>
    <t>M2CSB14</t>
  </si>
  <si>
    <t>M2-2</t>
  </si>
  <si>
    <t>M2CSB24</t>
  </si>
  <si>
    <t>M3-1</t>
  </si>
  <si>
    <t>M3CSA13</t>
  </si>
  <si>
    <t>M3-3</t>
  </si>
  <si>
    <t>M3CSB15</t>
  </si>
  <si>
    <t>M3-2</t>
  </si>
  <si>
    <t>M3CSB25</t>
  </si>
  <si>
    <t>M4-1</t>
  </si>
  <si>
    <t>M4</t>
  </si>
  <si>
    <t>M4CSA14</t>
  </si>
  <si>
    <t>M4-3</t>
  </si>
  <si>
    <t>M4CSB16</t>
  </si>
  <si>
    <t>M4-2</t>
  </si>
  <si>
    <t>M4CSB26</t>
  </si>
  <si>
    <t>M5-1</t>
  </si>
  <si>
    <t>M5</t>
  </si>
  <si>
    <t>M5CSA6</t>
  </si>
  <si>
    <t>M5-2</t>
  </si>
  <si>
    <t>M5CSB10</t>
  </si>
  <si>
    <t>M6-1</t>
  </si>
  <si>
    <t>M6</t>
  </si>
  <si>
    <t>M6CSA15</t>
  </si>
  <si>
    <t>M6-3</t>
  </si>
  <si>
    <t>M6CSB12</t>
  </si>
  <si>
    <t>M6-2</t>
  </si>
  <si>
    <t>M6CSB22</t>
  </si>
  <si>
    <t>M7-1</t>
  </si>
  <si>
    <t>M7</t>
  </si>
  <si>
    <t>M7CSA7</t>
  </si>
  <si>
    <t>M7-2</t>
  </si>
  <si>
    <t>M7CSB5</t>
  </si>
  <si>
    <t>M8-1</t>
  </si>
  <si>
    <t>M8</t>
  </si>
  <si>
    <t>M8CSA8</t>
  </si>
  <si>
    <t>M8-2</t>
  </si>
  <si>
    <t>M8CSB6</t>
  </si>
  <si>
    <t>M9-1</t>
  </si>
  <si>
    <t>M9</t>
  </si>
  <si>
    <t>M9CSA9</t>
  </si>
  <si>
    <t>M9-2</t>
  </si>
  <si>
    <t>M9CSB7</t>
  </si>
  <si>
    <t>Bê tông TCVN</t>
  </si>
  <si>
    <t>Thép</t>
  </si>
  <si>
    <t>Bê tông theo EN</t>
  </si>
  <si>
    <t>DỮ LIỆU CHUNG CHO BẢNG TÍNH</t>
  </si>
  <si>
    <t>Bố trí thép tự động</t>
  </si>
  <si>
    <r>
      <rPr>
        <b/>
        <sz val="10"/>
        <rFont val="Arial"/>
        <charset val="134"/>
      </rPr>
      <t>R</t>
    </r>
    <r>
      <rPr>
        <b/>
        <vertAlign val="subscript"/>
        <sz val="10"/>
        <rFont val="Arial"/>
        <charset val="134"/>
      </rPr>
      <t>bn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</si>
  <si>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b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</si>
  <si>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bt</t>
    </r>
  </si>
  <si>
    <r>
      <rPr>
        <b/>
        <sz val="10"/>
        <rFont val="Arial"/>
        <charset val="134"/>
      </rPr>
      <t>E</t>
    </r>
    <r>
      <rPr>
        <b/>
        <vertAlign val="subscript"/>
        <sz val="10"/>
        <rFont val="Arial"/>
        <charset val="134"/>
      </rPr>
      <t>b</t>
    </r>
  </si>
  <si>
    <r>
      <rPr>
        <b/>
        <sz val="10"/>
        <color theme="1"/>
        <rFont val="Arial"/>
        <charset val="134"/>
      </rPr>
      <t>g</t>
    </r>
    <r>
      <rPr>
        <b/>
        <vertAlign val="subscript"/>
        <sz val="10"/>
        <color theme="1"/>
        <rFont val="Arial"/>
        <charset val="134"/>
      </rPr>
      <t>b</t>
    </r>
  </si>
  <si>
    <r>
      <rPr>
        <b/>
        <sz val="10"/>
        <color theme="1"/>
        <rFont val="Arial"/>
        <charset val="134"/>
      </rPr>
      <t>σ</t>
    </r>
    <r>
      <rPr>
        <b/>
        <vertAlign val="subscript"/>
        <sz val="10"/>
        <color theme="1"/>
        <rFont val="Arial"/>
        <charset val="134"/>
      </rPr>
      <t>scu</t>
    </r>
  </si>
  <si>
    <t>a</t>
  </si>
  <si>
    <t>w</t>
  </si>
  <si>
    <t>Rbt,ser</t>
  </si>
  <si>
    <t>Loại thép</t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</si>
  <si>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sn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</si>
  <si>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</si>
  <si>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sc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</si>
  <si>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sw</t>
    </r>
  </si>
  <si>
    <r>
      <rPr>
        <b/>
        <sz val="10"/>
        <color theme="1"/>
        <rFont val="Arial"/>
        <charset val="134"/>
      </rPr>
      <t>g</t>
    </r>
    <r>
      <rPr>
        <b/>
        <vertAlign val="subscript"/>
        <sz val="10"/>
        <color theme="1"/>
        <rFont val="Arial"/>
        <charset val="134"/>
      </rPr>
      <t>s</t>
    </r>
  </si>
  <si>
    <r>
      <rPr>
        <b/>
        <sz val="10"/>
        <rFont val="Arial"/>
        <charset val="134"/>
      </rPr>
      <t>E</t>
    </r>
    <r>
      <rPr>
        <b/>
        <vertAlign val="subscript"/>
        <sz val="10"/>
        <rFont val="Arial"/>
        <charset val="134"/>
      </rPr>
      <t>s</t>
    </r>
  </si>
  <si>
    <t>Hslv</t>
  </si>
  <si>
    <t>Kí hiệu</t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</si>
  <si>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ck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</si>
  <si>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ck,cube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</si>
  <si>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cm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</si>
  <si>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ctm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</si>
  <si>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ctk.0,05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</si>
  <si>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ctk.0.95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</si>
  <si>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cm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</si>
  <si>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c1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</si>
  <si>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cu1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</si>
  <si>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c2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</si>
  <si>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cu2</t>
    </r>
  </si>
  <si>
    <t>n</t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</si>
  <si>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c3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</si>
  <si>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cu3</t>
    </r>
  </si>
  <si>
    <t>Alphacc</t>
  </si>
  <si>
    <t>GanmaC</t>
  </si>
  <si>
    <t>T/C TK</t>
  </si>
  <si>
    <t>TCVN</t>
  </si>
  <si>
    <t>Bê tông EC</t>
  </si>
  <si>
    <t>Cấp độ bền</t>
  </si>
  <si>
    <t>Mpa</t>
  </si>
  <si>
    <t>MPa</t>
  </si>
  <si>
    <t>Bê tông:</t>
  </si>
  <si>
    <t>B25/M350</t>
  </si>
  <si>
    <r>
      <rPr>
        <sz val="10"/>
        <rFont val="Arial"/>
        <charset val="134"/>
      </rPr>
      <t>g</t>
    </r>
    <r>
      <rPr>
        <vertAlign val="subscript"/>
        <sz val="10"/>
        <rFont val="Arial"/>
        <charset val="134"/>
      </rPr>
      <t>s</t>
    </r>
  </si>
  <si>
    <t>Check</t>
  </si>
  <si>
    <t>Đk</t>
  </si>
  <si>
    <t>KC</t>
  </si>
  <si>
    <t>B15/M200</t>
  </si>
  <si>
    <t>CI</t>
  </si>
  <si>
    <t>C12/15</t>
  </si>
  <si>
    <t>Thép dọc &lt;=8</t>
  </si>
  <si>
    <t>CB240 -T</t>
  </si>
  <si>
    <t>Rbn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</si>
  <si>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</t>
    </r>
  </si>
  <si>
    <t>B20/M250</t>
  </si>
  <si>
    <t>CII</t>
  </si>
  <si>
    <t>C16/20</t>
  </si>
  <si>
    <t>Thép dọc &gt;8</t>
  </si>
  <si>
    <t>CB400 - V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</si>
  <si>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b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</si>
  <si>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sc</t>
    </r>
  </si>
  <si>
    <t>Mẫu</t>
  </si>
  <si>
    <t>B22.5/M300</t>
  </si>
  <si>
    <t>CIII</t>
  </si>
  <si>
    <t>C20/25</t>
  </si>
  <si>
    <t>Loại tải thiết kế</t>
  </si>
  <si>
    <t>Dài hạn</t>
  </si>
  <si>
    <t>Rb,ser</t>
  </si>
  <si>
    <t>Es</t>
  </si>
  <si>
    <t>Loại 1</t>
  </si>
  <si>
    <t>AI</t>
  </si>
  <si>
    <t>C25/30</t>
  </si>
  <si>
    <t>Độ ẩm</t>
  </si>
  <si>
    <t>&gt; 75%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</si>
  <si>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bt</t>
    </r>
  </si>
  <si>
    <r>
      <rPr>
        <sz val="10"/>
        <rFont val="Arial"/>
        <charset val="134"/>
      </rPr>
      <t>x</t>
    </r>
    <r>
      <rPr>
        <vertAlign val="subscript"/>
        <sz val="10"/>
        <rFont val="Arial"/>
        <charset val="134"/>
      </rPr>
      <t>R</t>
    </r>
  </si>
  <si>
    <t>Loại 2</t>
  </si>
  <si>
    <t>B30/M400</t>
  </si>
  <si>
    <t>AII</t>
  </si>
  <si>
    <t>C30/37</t>
  </si>
  <si>
    <t>Giới hạn nứt dài hạn acrc1</t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</si>
  <si>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>max</t>
    </r>
  </si>
  <si>
    <t>Loại 3</t>
  </si>
  <si>
    <t>B35/M450</t>
  </si>
  <si>
    <t>AIII</t>
  </si>
  <si>
    <t>C35/45</t>
  </si>
  <si>
    <t>Giới hạn nứt ngắn hạn acrc2</t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</si>
  <si>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b</t>
    </r>
  </si>
  <si>
    <t>Loại 4</t>
  </si>
  <si>
    <t>B40/M500</t>
  </si>
  <si>
    <t>C40/50</t>
  </si>
  <si>
    <t>Lớp BTBV trên</t>
  </si>
  <si>
    <r>
      <rPr>
        <sz val="10"/>
        <rFont val="Arial"/>
        <charset val="134"/>
      </rPr>
      <t>g</t>
    </r>
    <r>
      <rPr>
        <vertAlign val="subscript"/>
        <sz val="10"/>
        <rFont val="Arial"/>
        <charset val="134"/>
      </rPr>
      <t>b</t>
    </r>
  </si>
  <si>
    <t>Loại 5</t>
  </si>
  <si>
    <t>B45/M600</t>
  </si>
  <si>
    <t>CB300 - T</t>
  </si>
  <si>
    <t>C45/55</t>
  </si>
  <si>
    <t>Hàm lượng thép tối thiểu</t>
  </si>
  <si>
    <r>
      <rPr>
        <sz val="10"/>
        <rFont val="Arial"/>
        <charset val="134"/>
      </rPr>
      <t>σ</t>
    </r>
    <r>
      <rPr>
        <vertAlign val="subscript"/>
        <sz val="10"/>
        <rFont val="Arial"/>
        <charset val="134"/>
      </rPr>
      <t>scu</t>
    </r>
  </si>
  <si>
    <t>Loại 6</t>
  </si>
  <si>
    <t>CB300 - V</t>
  </si>
  <si>
    <t>C50/60</t>
  </si>
  <si>
    <t>TK Võng nứt</t>
  </si>
  <si>
    <t>Yes</t>
  </si>
  <si>
    <t>Loại 7</t>
  </si>
  <si>
    <t>FS trên</t>
  </si>
  <si>
    <t>Loại 8</t>
  </si>
  <si>
    <t>CB500</t>
  </si>
  <si>
    <t>FS dưới</t>
  </si>
  <si>
    <t>Loại 9</t>
  </si>
  <si>
    <t>SD295</t>
  </si>
  <si>
    <t>Lớp BTBV Dưới</t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</si>
  <si>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sw</t>
    </r>
    <r>
      <rPr>
        <b/>
        <sz val="10"/>
        <color theme="1"/>
        <rFont val="Arial"/>
        <charset val="134"/>
      </rPr>
      <t>(D&lt;=8)</t>
    </r>
  </si>
  <si>
    <t>SD390</t>
  </si>
  <si>
    <t>KC giữa 2 lớp thép</t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</si>
  <si>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sw</t>
    </r>
    <r>
      <rPr>
        <b/>
        <sz val="10"/>
        <color theme="1"/>
        <rFont val="Arial"/>
        <charset val="134"/>
      </rPr>
      <t>(D&gt;8)</t>
    </r>
  </si>
  <si>
    <t>SD490</t>
  </si>
  <si>
    <t>PhiS CT 176-5574-2018</t>
  </si>
  <si>
    <t>Giới hạn HS C*H0 dưới</t>
  </si>
  <si>
    <t>Giới hạn HS C*H0 trên</t>
  </si>
  <si>
    <t>Creep coefficient</t>
  </si>
  <si>
    <t>Dùng M tính toán để KT hình thành vết nứt</t>
  </si>
  <si>
    <t>Spacing of longitudinal reinforcement</t>
  </si>
  <si>
    <t>Hệ số quy đổi cốt thép về bê tông</t>
  </si>
  <si>
    <t>Coefficient considerting bonded properties of bonded reinforment</t>
  </si>
  <si>
    <t>Coefficient considerting distribution of strain in concrete</t>
  </si>
  <si>
    <t>k3 (7.3.4.(3)</t>
  </si>
  <si>
    <t>k4 (7.3.4.(3)</t>
  </si>
  <si>
    <t>Clear cover</t>
  </si>
  <si>
    <t>BV</t>
  </si>
  <si>
    <t>TTCT</t>
  </si>
  <si>
    <t>Thép lớp trên</t>
  </si>
  <si>
    <t>Thép lớp dưới</t>
  </si>
  <si>
    <t>TÍNH NỨT LỚP TRÊN</t>
  </si>
  <si>
    <t>TÍNH NỨT LỚP DƯỚI</t>
  </si>
  <si>
    <t>CHECK KHẢ NĂNG CHỊU CẮT BÊ TÔNG</t>
  </si>
  <si>
    <t>CHECK KHẢ NĂNG CHỊU CẮT THÉP</t>
  </si>
  <si>
    <t>Loại</t>
  </si>
  <si>
    <t>b</t>
  </si>
  <si>
    <t>h</t>
  </si>
  <si>
    <t>a'</t>
  </si>
  <si>
    <r>
      <rPr>
        <b/>
        <sz val="10"/>
        <color rgb="FFFFFF00"/>
        <rFont val="Arial"/>
        <charset val="134"/>
      </rPr>
      <t>M</t>
    </r>
    <r>
      <rPr>
        <b/>
        <vertAlign val="subscript"/>
        <sz val="10"/>
        <color rgb="FFFFFF00"/>
        <rFont val="Arial"/>
        <charset val="134"/>
      </rPr>
      <t>3</t>
    </r>
  </si>
  <si>
    <r>
      <rPr>
        <b/>
        <sz val="10"/>
        <color rgb="FFFFFF00"/>
        <rFont val="Arial"/>
        <charset val="134"/>
      </rPr>
      <t>A</t>
    </r>
    <r>
      <rPr>
        <b/>
        <vertAlign val="subscript"/>
        <sz val="10"/>
        <color rgb="FFFFFF00"/>
        <rFont val="Arial"/>
        <charset val="134"/>
      </rPr>
      <t xml:space="preserve">s </t>
    </r>
    <r>
      <rPr>
        <b/>
        <sz val="10"/>
        <color rgb="FFFFFF00"/>
        <rFont val="Arial"/>
        <charset val="134"/>
      </rPr>
      <t>(cm</t>
    </r>
    <r>
      <rPr>
        <b/>
        <vertAlign val="superscript"/>
        <sz val="10"/>
        <color rgb="FFFFFF00"/>
        <rFont val="Arial"/>
        <charset val="134"/>
      </rPr>
      <t>2</t>
    </r>
    <r>
      <rPr>
        <b/>
        <sz val="10"/>
        <color rgb="FFFFFF00"/>
        <rFont val="Arial"/>
        <charset val="134"/>
      </rPr>
      <t>)</t>
    </r>
  </si>
  <si>
    <t>Mdh</t>
  </si>
  <si>
    <t>Mtt</t>
  </si>
  <si>
    <t>acr1</t>
  </si>
  <si>
    <t>acr2</t>
  </si>
  <si>
    <t>Qb</t>
  </si>
  <si>
    <t>hệ số
C</t>
  </si>
  <si>
    <t>C</t>
  </si>
  <si>
    <t>Rbt</t>
  </si>
  <si>
    <t>Qbt_tt</t>
  </si>
  <si>
    <t>[Qbt]</t>
  </si>
  <si>
    <t>Qsw cần
thiết</t>
  </si>
  <si>
    <t>d</t>
  </si>
  <si>
    <t>RSW</t>
  </si>
  <si>
    <t>Kc rải
Cần thiết</t>
  </si>
  <si>
    <t>Kc rải
Cấu tạo</t>
  </si>
  <si>
    <r>
      <rPr>
        <b/>
        <sz val="10"/>
        <color rgb="FFFFFF00"/>
        <rFont val="Arial"/>
        <charset val="134"/>
      </rPr>
      <t>M</t>
    </r>
    <r>
      <rPr>
        <b/>
        <vertAlign val="subscript"/>
        <sz val="10"/>
        <color rgb="FFFFFF00"/>
        <rFont val="Arial"/>
        <charset val="134"/>
      </rPr>
      <t>u</t>
    </r>
  </si>
  <si>
    <r>
      <rPr>
        <b/>
        <sz val="10"/>
        <color rgb="FFFFFF00"/>
        <rFont val="Arial"/>
        <charset val="134"/>
      </rPr>
      <t>A'</t>
    </r>
    <r>
      <rPr>
        <b/>
        <vertAlign val="subscript"/>
        <sz val="10"/>
        <color rgb="FFFFFF00"/>
        <rFont val="Arial"/>
        <charset val="134"/>
      </rPr>
      <t>s</t>
    </r>
  </si>
  <si>
    <r>
      <rPr>
        <b/>
        <sz val="10"/>
        <color rgb="FFFFFF00"/>
        <rFont val="Arial"/>
        <charset val="134"/>
      </rPr>
      <t>A</t>
    </r>
    <r>
      <rPr>
        <b/>
        <vertAlign val="subscript"/>
        <sz val="10"/>
        <color rgb="FFFFFF00"/>
        <rFont val="Arial"/>
        <charset val="134"/>
      </rPr>
      <t>s</t>
    </r>
  </si>
  <si>
    <t>d1</t>
  </si>
  <si>
    <t>a1</t>
  </si>
  <si>
    <t>d2</t>
  </si>
  <si>
    <t>a2</t>
  </si>
  <si>
    <t>d3</t>
  </si>
  <si>
    <t>a3</t>
  </si>
  <si>
    <t>d4</t>
  </si>
  <si>
    <t>a4</t>
  </si>
  <si>
    <r>
      <rPr>
        <b/>
        <sz val="10"/>
        <color rgb="FFFFFF00"/>
        <rFont val="Arial"/>
        <charset val="134"/>
      </rPr>
      <t>A</t>
    </r>
    <r>
      <rPr>
        <b/>
        <vertAlign val="subscript"/>
        <sz val="10"/>
        <color rgb="FFFFFF00"/>
        <rFont val="Arial"/>
        <charset val="134"/>
      </rPr>
      <t>spro</t>
    </r>
  </si>
  <si>
    <t>(%)</t>
  </si>
  <si>
    <t>FS</t>
  </si>
  <si>
    <r>
      <rPr>
        <b/>
        <sz val="10"/>
        <color rgb="FFFFFF00"/>
        <rFont val="Arial"/>
        <charset val="134"/>
      </rPr>
      <t>A'</t>
    </r>
    <r>
      <rPr>
        <b/>
        <vertAlign val="subscript"/>
        <sz val="10"/>
        <color rgb="FFFFFF00"/>
        <rFont val="Arial"/>
        <charset val="134"/>
      </rPr>
      <t xml:space="preserve">s </t>
    </r>
  </si>
  <si>
    <t>m (%)</t>
  </si>
  <si>
    <t>kN.m</t>
  </si>
  <si>
    <t>DBIM</t>
  </si>
  <si>
    <t>Project Code / Mã dự án</t>
  </si>
  <si>
    <t>Rev.No.</t>
  </si>
  <si>
    <t>00</t>
  </si>
  <si>
    <t>Project / Dự án</t>
  </si>
  <si>
    <t>Date / Ngày</t>
  </si>
  <si>
    <t>The ownwner / Chủ đầu tư</t>
  </si>
  <si>
    <t>Design / Thiết kế</t>
  </si>
  <si>
    <t>Iterm / Hạng mục</t>
  </si>
  <si>
    <t>THUYẾT MINH TÍNH TOÁN MÓNG</t>
  </si>
  <si>
    <t>Check / Kiểm tra</t>
  </si>
  <si>
    <t>Tên
Móng</t>
  </si>
  <si>
    <t>Strip
Safe</t>
  </si>
  <si>
    <t>Tiết diện</t>
  </si>
  <si>
    <t>Vật liệu</t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</si>
  <si>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color theme="1"/>
        <rFont val="Arial"/>
        <charset val="134"/>
      </rPr>
      <t>syc</t>
    </r>
  </si>
  <si>
    <t>Bố trí</t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</si>
  <si>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color theme="1"/>
        <rFont val="Arial"/>
        <charset val="134"/>
      </rPr>
      <t>s</t>
    </r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</si>
  <si>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rFont val="Arial"/>
        <charset val="134"/>
      </rPr>
      <t>spro</t>
    </r>
  </si>
  <si>
    <t>Bê tông</t>
  </si>
  <si>
    <r>
      <rPr>
        <b/>
        <sz val="10"/>
        <color theme="1"/>
        <rFont val="Arial"/>
        <charset val="134"/>
      </rPr>
      <t>cm</t>
    </r>
    <r>
      <rPr>
        <b/>
        <vertAlign val="superscript"/>
        <sz val="10"/>
        <color theme="1"/>
        <rFont val="Arial"/>
        <charset val="134"/>
      </rPr>
      <t>2</t>
    </r>
  </si>
  <si>
    <r>
      <rPr>
        <b/>
        <sz val="10"/>
        <color theme="1"/>
        <rFont val="Arial"/>
        <charset val="134"/>
      </rPr>
      <t>cm</t>
    </r>
    <r>
      <rPr>
        <b/>
        <vertAlign val="superscript"/>
        <sz val="10"/>
        <color theme="1"/>
        <rFont val="Arial"/>
        <charset val="134"/>
      </rPr>
      <t>2</t>
    </r>
    <r>
      <rPr>
        <b/>
        <sz val="10"/>
        <color theme="1"/>
        <rFont val="Arial"/>
        <charset val="134"/>
      </rPr>
      <t>/Thép bố trí</t>
    </r>
  </si>
  <si>
    <t>Top</t>
  </si>
  <si>
    <t>Bot</t>
  </si>
  <si>
    <t>5.65 - T12a150</t>
  </si>
  <si>
    <t>8.48 - T12a100</t>
  </si>
  <si>
    <t>OK</t>
  </si>
  <si>
    <t>11.31 - T12a150</t>
  </si>
  <si>
    <t>11.55 - T14a100</t>
  </si>
  <si>
    <t>Cần bố trí thép chịu cắt</t>
  </si>
  <si>
    <t>10.56 - T12a150</t>
  </si>
  <si>
    <t>16.96 - T12a100</t>
  </si>
  <si>
    <t>23.09 - T14a100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</si>
</sst>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#,##0.0"/>
    <numFmt numFmtId="166" formatCode="[$-1010000]d/m/yyyy;@"/>
    <numFmt numFmtId="167" formatCode="&quot;Bản vẽ &quot;0&quot; ck&quot;"/>
    <numFmt numFmtId="168" formatCode="&quot;Etabs &quot;0&quot; ck&quot;"/>
    <numFmt numFmtId="169" formatCode="0.000"/>
    <numFmt numFmtId="170" formatCode="0.00000"/>
  </numFmts>
  <fonts count="28">
    <font>
      <sz val="11"/>
      <color theme="1"/>
      <name val="Arial"/>
      <charset val="134"/>
    </font>
    <font>
      <sz val="10"/>
      <color theme="1"/>
      <name val="Arial"/>
      <charset val="134"/>
    </font>
    <font>
      <b/>
      <i/>
      <sz val="15"/>
      <name val="Arial"/>
      <charset val="134"/>
    </font>
    <font>
      <i/>
      <sz val="10"/>
      <name val="Arial"/>
      <charset val="134"/>
    </font>
    <font>
      <sz val="12"/>
      <color theme="1"/>
      <name val="Arial"/>
      <charset val="134"/>
    </font>
    <font>
      <b/>
      <sz val="10"/>
      <color theme="1"/>
      <name val="Arial"/>
      <charset val="134"/>
    </font>
    <font>
      <b/>
      <sz val="10"/>
      <name val="Arial"/>
      <charset val="134"/>
    </font>
    <font>
      <sz val="10"/>
      <name val="Arial"/>
      <charset val="134"/>
    </font>
    <font>
      <b/>
      <sz val="10"/>
      <color rgb="FF0000FF"/>
      <name val="Arial"/>
      <charset val="134"/>
    </font>
    <font>
      <b/>
      <i/>
      <sz val="10"/>
      <name val="Arial"/>
      <charset val="134"/>
    </font>
    <font>
      <b/>
      <sz val="10"/>
      <color rgb="FFFFFF00"/>
      <name val="Arial"/>
      <charset val="134"/>
    </font>
    <font>
      <b/>
      <i/>
      <sz val="10"/>
      <color rgb="FF0000FF"/>
      <name val="Arial"/>
      <charset val="134"/>
    </font>
    <font>
      <sz val="10"/>
      <color rgb="FF0000FF"/>
      <name val="Arial"/>
      <charset val="134"/>
    </font>
    <font>
      <sz val="11"/>
      <name val="Times New Roman"/>
      <charset val="134"/>
    </font>
    <font>
      <sz val="11"/>
      <color theme="1"/>
      <name val="Calibri"/>
      <charset val="134"/>
      <scheme val="minor"/>
    </font>
    <font>
      <sz val="10"/>
      <name val="VNI-Times"/>
      <charset val="134"/>
    </font>
    <font>
      <sz val="11"/>
      <name val="VNI-Times"/>
      <charset val="134"/>
    </font>
    <font>
      <sz val="11"/>
      <color indexed="8"/>
      <name val="Calibri"/>
      <charset val="134"/>
    </font>
    <font>
      <vertAlign val="subscript"/>
      <sz val="10"/>
      <name val="Arial"/>
      <charset val="134"/>
    </font>
    <font>
      <b/>
      <vertAlign val="subscript"/>
      <sz val="10"/>
      <color rgb="FFFFFF00"/>
      <name val="Arial"/>
      <charset val="134"/>
    </font>
    <font>
      <b/>
      <vertAlign val="subscript"/>
      <sz val="10"/>
      <color theme="1"/>
      <name val="Arial"/>
      <charset val="134"/>
    </font>
    <font>
      <b/>
      <vertAlign val="superscript"/>
      <sz val="10"/>
      <color rgb="FFFFFF00"/>
      <name val="Arial"/>
      <charset val="134"/>
    </font>
    <font>
      <b/>
      <vertAlign val="superscript"/>
      <sz val="10"/>
      <color theme="1"/>
      <name val="Arial"/>
      <charset val="134"/>
    </font>
    <font>
      <b/>
      <vertAlign val="subscript"/>
      <sz val="10"/>
      <name val="Arial"/>
      <charset val="134"/>
    </font>
    <font>
      <b/>
      <vertAlign val="subscript"/>
      <sz val="10"/>
      <color rgb="FF0000FF"/>
      <name val="Arial"/>
      <charset val="134"/>
    </font>
    <font>
      <b/>
      <sz val="9"/>
      <name val="Tahoma"/>
      <charset val="134"/>
    </font>
    <font>
      <sz val="9"/>
      <name val="Arial"/>
      <charset val="134"/>
    </font>
    <font>
      <sz val="9"/>
      <name val="Tahoma"/>
      <charset val="13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9">
    <xf numFmtId="0" fontId="0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5" fillId="0" borderId="0"/>
    <xf numFmtId="0" fontId="16" fillId="0" borderId="0"/>
    <xf numFmtId="0" fontId="17" fillId="0" borderId="0"/>
    <xf numFmtId="0" fontId="7" fillId="0" borderId="0"/>
  </cellStyleXfs>
  <cellXfs count="31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left" vertical="center"/>
    </xf>
    <xf numFmtId="164" fontId="1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0" fontId="1" fillId="2" borderId="2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4" fontId="1" fillId="2" borderId="1" xfId="0" applyNumberFormat="1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1" fontId="5" fillId="4" borderId="1" xfId="0" applyNumberFormat="1" applyFont="1" applyFill="1" applyBorder="1" applyAlignment="1">
      <alignment horizontal="center" vertical="center"/>
    </xf>
    <xf numFmtId="165" fontId="6" fillId="4" borderId="1" xfId="0" applyNumberFormat="1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2" fontId="5" fillId="4" borderId="1" xfId="0" applyNumberFormat="1" applyFont="1" applyFill="1" applyBorder="1" applyAlignment="1">
      <alignment horizontal="center" vertical="center"/>
    </xf>
    <xf numFmtId="165" fontId="6" fillId="4" borderId="1" xfId="0" applyNumberFormat="1" applyFont="1" applyFill="1" applyBorder="1" applyAlignment="1">
      <alignment horizontal="center" vertical="center" wrapText="1"/>
    </xf>
    <xf numFmtId="4" fontId="6" fillId="4" borderId="1" xfId="0" applyNumberFormat="1" applyFont="1" applyFill="1" applyBorder="1" applyAlignment="1">
      <alignment horizontal="center" vertical="center"/>
    </xf>
    <xf numFmtId="3" fontId="6" fillId="4" borderId="1" xfId="0" applyNumberFormat="1" applyFont="1" applyFill="1" applyBorder="1" applyAlignment="1">
      <alignment horizontal="center" vertical="center"/>
    </xf>
    <xf numFmtId="165" fontId="6" fillId="4" borderId="1" xfId="0" applyNumberFormat="1" applyFont="1" applyFill="1" applyBorder="1" applyAlignment="1">
      <alignment vertical="center"/>
    </xf>
    <xf numFmtId="3" fontId="6" fillId="4" borderId="1" xfId="0" applyNumberFormat="1" applyFont="1" applyFill="1" applyBorder="1" applyAlignment="1">
      <alignment horizontal="center" vertical="center" wrapText="1"/>
    </xf>
    <xf numFmtId="0" fontId="5" fillId="4" borderId="1" xfId="6" applyNumberFormat="1" applyFont="1" applyFill="1" applyBorder="1" applyAlignment="1">
      <alignment horizontal="center" vertical="center"/>
    </xf>
    <xf numFmtId="0" fontId="5" fillId="4" borderId="2" xfId="6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left" vertical="center"/>
    </xf>
    <xf numFmtId="164" fontId="7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2" borderId="1" xfId="0" applyNumberFormat="1" applyFont="1" applyFill="1" applyBorder="1" applyAlignment="1">
      <alignment horizontal="center" vertical="center"/>
    </xf>
    <xf numFmtId="0" fontId="8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64" fontId="8" fillId="2" borderId="1" xfId="0" applyNumberFormat="1" applyFont="1" applyFill="1" applyBorder="1" applyAlignment="1">
      <alignment horizontal="center" vertical="center"/>
    </xf>
    <xf numFmtId="1" fontId="8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4" fontId="5" fillId="0" borderId="1" xfId="0" applyNumberFormat="1" applyFont="1" applyFill="1" applyBorder="1" applyAlignment="1">
      <alignment horizontal="center" vertical="center"/>
    </xf>
    <xf numFmtId="1" fontId="5" fillId="0" borderId="1" xfId="0" applyNumberFormat="1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center" vertical="center"/>
    </xf>
    <xf numFmtId="1" fontId="6" fillId="0" borderId="1" xfId="0" applyNumberFormat="1" applyFont="1" applyFill="1" applyBorder="1" applyAlignment="1">
      <alignment horizontal="center" vertical="center"/>
    </xf>
    <xf numFmtId="1" fontId="5" fillId="0" borderId="1" xfId="0" applyNumberFormat="1" applyFont="1" applyFill="1" applyBorder="1" applyAlignment="1">
      <alignment horizontal="left" vertical="center"/>
    </xf>
    <xf numFmtId="2" fontId="5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1" fontId="10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0" fillId="8" borderId="1" xfId="0" applyNumberFormat="1" applyFont="1" applyFill="1" applyBorder="1" applyAlignment="1">
      <alignment horizontal="center" vertical="center"/>
    </xf>
    <xf numFmtId="164" fontId="10" fillId="8" borderId="1" xfId="0" applyNumberFormat="1" applyFont="1" applyFill="1" applyBorder="1" applyAlignment="1">
      <alignment horizontal="center" vertical="center"/>
    </xf>
    <xf numFmtId="4" fontId="5" fillId="9" borderId="1" xfId="0" applyNumberFormat="1" applyFont="1" applyFill="1" applyBorder="1" applyAlignment="1">
      <alignment horizontal="center" vertical="center" wrapText="1"/>
    </xf>
    <xf numFmtId="4" fontId="5" fillId="9" borderId="1" xfId="0" applyNumberFormat="1" applyFont="1" applyFill="1" applyBorder="1" applyAlignment="1">
      <alignment horizontal="center" vertical="center"/>
    </xf>
    <xf numFmtId="4" fontId="5" fillId="10" borderId="1" xfId="0" applyNumberFormat="1" applyFont="1" applyFill="1" applyBorder="1" applyAlignment="1">
      <alignment horizontal="center" vertical="center"/>
    </xf>
    <xf numFmtId="1" fontId="10" fillId="8" borderId="1" xfId="0" applyNumberFormat="1" applyFont="1" applyFill="1" applyBorder="1" applyAlignment="1">
      <alignment horizontal="left" vertical="center"/>
    </xf>
    <xf numFmtId="1" fontId="10" fillId="8" borderId="1" xfId="0" applyNumberFormat="1" applyFont="1" applyFill="1" applyBorder="1" applyAlignment="1">
      <alignment horizontal="center" vertical="center" wrapText="1"/>
    </xf>
    <xf numFmtId="0" fontId="10" fillId="8" borderId="11" xfId="0" applyFont="1" applyFill="1" applyBorder="1" applyAlignment="1">
      <alignment horizontal="center" vertical="center" wrapText="1"/>
    </xf>
    <xf numFmtId="0" fontId="10" fillId="8" borderId="12" xfId="0" applyFont="1" applyFill="1" applyBorder="1" applyAlignment="1">
      <alignment horizontal="center" vertical="center" wrapText="1"/>
    </xf>
    <xf numFmtId="0" fontId="10" fillId="8" borderId="13" xfId="0" applyFont="1" applyFill="1" applyBorder="1" applyAlignment="1">
      <alignment horizontal="center" vertical="center"/>
    </xf>
    <xf numFmtId="0" fontId="10" fillId="8" borderId="13" xfId="0" applyNumberFormat="1" applyFont="1" applyFill="1" applyBorder="1" applyAlignment="1">
      <alignment horizontal="center" vertical="center"/>
    </xf>
    <xf numFmtId="1" fontId="10" fillId="8" borderId="13" xfId="0" applyNumberFormat="1" applyFont="1" applyFill="1" applyBorder="1" applyAlignment="1">
      <alignment horizontal="center" vertical="center"/>
    </xf>
    <xf numFmtId="164" fontId="10" fillId="8" borderId="13" xfId="0" applyNumberFormat="1" applyFont="1" applyFill="1" applyBorder="1" applyAlignment="1">
      <alignment horizontal="center" vertical="center"/>
    </xf>
    <xf numFmtId="2" fontId="10" fillId="8" borderId="13" xfId="0" applyNumberFormat="1" applyFont="1" applyFill="1" applyBorder="1" applyAlignment="1">
      <alignment horizontal="center" vertical="center"/>
    </xf>
    <xf numFmtId="2" fontId="10" fillId="8" borderId="13" xfId="0" applyNumberFormat="1" applyFont="1" applyFill="1" applyBorder="1" applyAlignment="1">
      <alignment horizontal="center" vertical="center" wrapText="1"/>
    </xf>
    <xf numFmtId="0" fontId="8" fillId="11" borderId="14" xfId="0" applyFont="1" applyFill="1" applyBorder="1" applyAlignment="1">
      <alignment horizontal="center" vertical="center"/>
    </xf>
    <xf numFmtId="0" fontId="6" fillId="11" borderId="14" xfId="0" applyFont="1" applyFill="1" applyBorder="1" applyAlignment="1">
      <alignment horizontal="center" vertical="center"/>
    </xf>
    <xf numFmtId="1" fontId="8" fillId="11" borderId="14" xfId="0" applyNumberFormat="1" applyFont="1" applyFill="1" applyBorder="1" applyAlignment="1">
      <alignment horizontal="center" vertical="center"/>
    </xf>
    <xf numFmtId="164" fontId="5" fillId="11" borderId="14" xfId="0" applyNumberFormat="1" applyFont="1" applyFill="1" applyBorder="1" applyAlignment="1">
      <alignment horizontal="center" vertical="center"/>
    </xf>
    <xf numFmtId="0" fontId="11" fillId="11" borderId="14" xfId="0" applyFont="1" applyFill="1" applyBorder="1" applyAlignment="1">
      <alignment horizontal="center" vertical="center"/>
    </xf>
    <xf numFmtId="2" fontId="6" fillId="11" borderId="14" xfId="0" applyNumberFormat="1" applyFont="1" applyFill="1" applyBorder="1" applyAlignment="1">
      <alignment horizontal="center" vertical="center"/>
    </xf>
    <xf numFmtId="2" fontId="5" fillId="11" borderId="14" xfId="0" applyNumberFormat="1" applyFont="1" applyFill="1" applyBorder="1" applyAlignment="1">
      <alignment horizontal="center" vertical="center"/>
    </xf>
    <xf numFmtId="4" fontId="5" fillId="11" borderId="1" xfId="0" applyNumberFormat="1" applyFont="1" applyFill="1" applyBorder="1" applyAlignment="1">
      <alignment horizontal="center" vertical="center"/>
    </xf>
    <xf numFmtId="1" fontId="5" fillId="11" borderId="1" xfId="0" applyNumberFormat="1" applyFont="1" applyFill="1" applyBorder="1" applyAlignment="1">
      <alignment horizontal="center" vertical="center"/>
    </xf>
    <xf numFmtId="2" fontId="6" fillId="11" borderId="1" xfId="0" applyNumberFormat="1" applyFont="1" applyFill="1" applyBorder="1" applyAlignment="1">
      <alignment horizontal="center" vertical="center"/>
    </xf>
    <xf numFmtId="1" fontId="6" fillId="11" borderId="1" xfId="0" applyNumberFormat="1" applyFont="1" applyFill="1" applyBorder="1" applyAlignment="1">
      <alignment horizontal="center" vertical="center"/>
    </xf>
    <xf numFmtId="1" fontId="5" fillId="11" borderId="1" xfId="0" applyNumberFormat="1" applyFont="1" applyFill="1" applyBorder="1" applyAlignment="1">
      <alignment horizontal="left" vertical="center"/>
    </xf>
    <xf numFmtId="2" fontId="5" fillId="11" borderId="1" xfId="0" applyNumberFormat="1" applyFont="1" applyFill="1" applyBorder="1" applyAlignment="1">
      <alignment horizontal="center" vertical="center"/>
    </xf>
    <xf numFmtId="1" fontId="8" fillId="11" borderId="1" xfId="0" applyNumberFormat="1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8" fillId="12" borderId="14" xfId="0" applyFont="1" applyFill="1" applyBorder="1" applyAlignment="1">
      <alignment horizontal="center" vertical="center"/>
    </xf>
    <xf numFmtId="0" fontId="6" fillId="12" borderId="14" xfId="0" applyFont="1" applyFill="1" applyBorder="1" applyAlignment="1">
      <alignment horizontal="center" vertical="center"/>
    </xf>
    <xf numFmtId="1" fontId="8" fillId="12" borderId="14" xfId="0" applyNumberFormat="1" applyFont="1" applyFill="1" applyBorder="1" applyAlignment="1">
      <alignment horizontal="center" vertical="center"/>
    </xf>
    <xf numFmtId="164" fontId="5" fillId="12" borderId="14" xfId="0" applyNumberFormat="1" applyFont="1" applyFill="1" applyBorder="1" applyAlignment="1">
      <alignment horizontal="center" vertical="center"/>
    </xf>
    <xf numFmtId="0" fontId="11" fillId="12" borderId="14" xfId="0" applyFont="1" applyFill="1" applyBorder="1" applyAlignment="1">
      <alignment horizontal="center" vertical="center"/>
    </xf>
    <xf numFmtId="2" fontId="6" fillId="12" borderId="14" xfId="0" applyNumberFormat="1" applyFont="1" applyFill="1" applyBorder="1" applyAlignment="1">
      <alignment horizontal="center" vertical="center"/>
    </xf>
    <xf numFmtId="2" fontId="5" fillId="12" borderId="14" xfId="0" applyNumberFormat="1" applyFont="1" applyFill="1" applyBorder="1" applyAlignment="1">
      <alignment horizontal="center" vertical="center"/>
    </xf>
    <xf numFmtId="4" fontId="5" fillId="12" borderId="1" xfId="0" applyNumberFormat="1" applyFont="1" applyFill="1" applyBorder="1" applyAlignment="1">
      <alignment horizontal="center" vertical="center"/>
    </xf>
    <xf numFmtId="1" fontId="5" fillId="12" borderId="1" xfId="0" applyNumberFormat="1" applyFont="1" applyFill="1" applyBorder="1" applyAlignment="1">
      <alignment horizontal="center" vertical="center"/>
    </xf>
    <xf numFmtId="2" fontId="6" fillId="12" borderId="1" xfId="0" applyNumberFormat="1" applyFont="1" applyFill="1" applyBorder="1" applyAlignment="1">
      <alignment horizontal="center" vertical="center"/>
    </xf>
    <xf numFmtId="1" fontId="6" fillId="12" borderId="1" xfId="0" applyNumberFormat="1" applyFont="1" applyFill="1" applyBorder="1" applyAlignment="1">
      <alignment horizontal="center" vertical="center"/>
    </xf>
    <xf numFmtId="1" fontId="5" fillId="12" borderId="1" xfId="0" applyNumberFormat="1" applyFont="1" applyFill="1" applyBorder="1" applyAlignment="1">
      <alignment horizontal="left" vertical="center"/>
    </xf>
    <xf numFmtId="2" fontId="5" fillId="12" borderId="1" xfId="0" applyNumberFormat="1" applyFont="1" applyFill="1" applyBorder="1" applyAlignment="1">
      <alignment horizontal="center" vertical="center"/>
    </xf>
    <xf numFmtId="1" fontId="8" fillId="12" borderId="1" xfId="0" applyNumberFormat="1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13" borderId="14" xfId="0" applyFont="1" applyFill="1" applyBorder="1" applyAlignment="1">
      <alignment horizontal="center" vertical="center"/>
    </xf>
    <xf numFmtId="0" fontId="6" fillId="13" borderId="14" xfId="0" applyFont="1" applyFill="1" applyBorder="1" applyAlignment="1">
      <alignment horizontal="center" vertical="center"/>
    </xf>
    <xf numFmtId="1" fontId="8" fillId="13" borderId="14" xfId="0" applyNumberFormat="1" applyFont="1" applyFill="1" applyBorder="1" applyAlignment="1">
      <alignment horizontal="center" vertical="center"/>
    </xf>
    <xf numFmtId="164" fontId="5" fillId="13" borderId="14" xfId="0" applyNumberFormat="1" applyFont="1" applyFill="1" applyBorder="1" applyAlignment="1">
      <alignment horizontal="center" vertical="center"/>
    </xf>
    <xf numFmtId="0" fontId="11" fillId="13" borderId="14" xfId="0" applyFont="1" applyFill="1" applyBorder="1" applyAlignment="1">
      <alignment horizontal="center" vertical="center"/>
    </xf>
    <xf numFmtId="2" fontId="6" fillId="13" borderId="14" xfId="0" applyNumberFormat="1" applyFont="1" applyFill="1" applyBorder="1" applyAlignment="1">
      <alignment horizontal="center" vertical="center"/>
    </xf>
    <xf numFmtId="2" fontId="5" fillId="13" borderId="14" xfId="0" applyNumberFormat="1" applyFont="1" applyFill="1" applyBorder="1" applyAlignment="1">
      <alignment horizontal="center" vertical="center"/>
    </xf>
    <xf numFmtId="4" fontId="5" fillId="13" borderId="1" xfId="0" applyNumberFormat="1" applyFont="1" applyFill="1" applyBorder="1" applyAlignment="1">
      <alignment horizontal="center" vertical="center"/>
    </xf>
    <xf numFmtId="1" fontId="5" fillId="13" borderId="1" xfId="0" applyNumberFormat="1" applyFont="1" applyFill="1" applyBorder="1" applyAlignment="1">
      <alignment horizontal="center" vertical="center"/>
    </xf>
    <xf numFmtId="2" fontId="6" fillId="13" borderId="1" xfId="0" applyNumberFormat="1" applyFont="1" applyFill="1" applyBorder="1" applyAlignment="1">
      <alignment horizontal="center" vertical="center"/>
    </xf>
    <xf numFmtId="1" fontId="6" fillId="13" borderId="1" xfId="0" applyNumberFormat="1" applyFont="1" applyFill="1" applyBorder="1" applyAlignment="1">
      <alignment horizontal="center" vertical="center"/>
    </xf>
    <xf numFmtId="1" fontId="5" fillId="13" borderId="1" xfId="0" applyNumberFormat="1" applyFont="1" applyFill="1" applyBorder="1" applyAlignment="1">
      <alignment horizontal="left" vertical="center"/>
    </xf>
    <xf numFmtId="2" fontId="5" fillId="13" borderId="1" xfId="0" applyNumberFormat="1" applyFont="1" applyFill="1" applyBorder="1" applyAlignment="1">
      <alignment horizontal="center" vertical="center"/>
    </xf>
    <xf numFmtId="1" fontId="8" fillId="13" borderId="1" xfId="0" applyNumberFormat="1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6" fillId="14" borderId="14" xfId="0" applyFont="1" applyFill="1" applyBorder="1" applyAlignment="1">
      <alignment horizontal="center" vertical="center"/>
    </xf>
    <xf numFmtId="1" fontId="8" fillId="14" borderId="14" xfId="0" applyNumberFormat="1" applyFont="1" applyFill="1" applyBorder="1" applyAlignment="1">
      <alignment horizontal="center" vertical="center"/>
    </xf>
    <xf numFmtId="164" fontId="5" fillId="14" borderId="14" xfId="0" applyNumberFormat="1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horizontal="center" vertical="center"/>
    </xf>
    <xf numFmtId="2" fontId="6" fillId="14" borderId="14" xfId="0" applyNumberFormat="1" applyFont="1" applyFill="1" applyBorder="1" applyAlignment="1">
      <alignment horizontal="center" vertical="center"/>
    </xf>
    <xf numFmtId="2" fontId="5" fillId="14" borderId="14" xfId="0" applyNumberFormat="1" applyFont="1" applyFill="1" applyBorder="1" applyAlignment="1">
      <alignment horizontal="center" vertical="center"/>
    </xf>
    <xf numFmtId="4" fontId="5" fillId="14" borderId="1" xfId="0" applyNumberFormat="1" applyFont="1" applyFill="1" applyBorder="1" applyAlignment="1">
      <alignment horizontal="center" vertical="center"/>
    </xf>
    <xf numFmtId="1" fontId="5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1" fontId="6" fillId="14" borderId="1" xfId="0" applyNumberFormat="1" applyFont="1" applyFill="1" applyBorder="1" applyAlignment="1">
      <alignment horizontal="center" vertical="center"/>
    </xf>
    <xf numFmtId="1" fontId="5" fillId="14" borderId="1" xfId="0" applyNumberFormat="1" applyFont="1" applyFill="1" applyBorder="1" applyAlignment="1">
      <alignment horizontal="left" vertical="center"/>
    </xf>
    <xf numFmtId="2" fontId="5" fillId="14" borderId="1" xfId="0" applyNumberFormat="1" applyFont="1" applyFill="1" applyBorder="1" applyAlignment="1">
      <alignment horizontal="center" vertical="center"/>
    </xf>
    <xf numFmtId="1" fontId="8" fillId="14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7" fillId="2" borderId="1" xfId="1" applyFont="1" applyFill="1" applyBorder="1" applyAlignment="1">
      <alignment vertical="center"/>
    </xf>
    <xf numFmtId="2" fontId="7" fillId="2" borderId="1" xfId="1" applyNumberFormat="1" applyFont="1" applyFill="1" applyBorder="1" applyAlignment="1">
      <alignment vertical="center"/>
    </xf>
    <xf numFmtId="1" fontId="7" fillId="2" borderId="1" xfId="1" applyNumberFormat="1" applyFont="1" applyFill="1" applyBorder="1" applyAlignment="1">
      <alignment vertical="center"/>
    </xf>
    <xf numFmtId="1" fontId="7" fillId="2" borderId="0" xfId="1" applyNumberFormat="1" applyFont="1" applyFill="1" applyAlignment="1">
      <alignment vertical="center"/>
    </xf>
    <xf numFmtId="4" fontId="7" fillId="2" borderId="1" xfId="1" applyNumberFormat="1" applyFont="1" applyFill="1" applyBorder="1" applyAlignment="1">
      <alignment vertical="center"/>
    </xf>
    <xf numFmtId="0" fontId="7" fillId="2" borderId="2" xfId="1" applyFont="1" applyFill="1" applyBorder="1" applyAlignment="1">
      <alignment vertical="center"/>
    </xf>
    <xf numFmtId="0" fontId="7" fillId="2" borderId="1" xfId="1" applyFont="1" applyFill="1" applyBorder="1" applyAlignment="1">
      <alignment horizontal="center" vertical="center"/>
    </xf>
    <xf numFmtId="0" fontId="7" fillId="2" borderId="0" xfId="1" applyFont="1" applyFill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applyFont="1" applyAlignment="1">
      <alignment vertical="center"/>
    </xf>
    <xf numFmtId="0" fontId="7" fillId="2" borderId="1" xfId="1" applyFont="1" applyFill="1" applyBorder="1" applyAlignment="1">
      <alignment horizontal="left" vertical="center"/>
    </xf>
    <xf numFmtId="0" fontId="7" fillId="0" borderId="1" xfId="1" applyFont="1" applyBorder="1" applyAlignment="1">
      <alignment horizontal="left" vertical="center"/>
    </xf>
    <xf numFmtId="0" fontId="6" fillId="2" borderId="0" xfId="1" applyFont="1" applyFill="1" applyAlignment="1">
      <alignment vertical="center"/>
    </xf>
    <xf numFmtId="0" fontId="6" fillId="2" borderId="0" xfId="1" applyFont="1" applyFill="1" applyAlignment="1">
      <alignment horizontal="center" vertical="center"/>
    </xf>
    <xf numFmtId="0" fontId="6" fillId="14" borderId="1" xfId="1" applyFont="1" applyFill="1" applyBorder="1" applyAlignment="1">
      <alignment horizontal="center" vertical="center"/>
    </xf>
    <xf numFmtId="0" fontId="6" fillId="14" borderId="2" xfId="1" applyFont="1" applyFill="1" applyBorder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0" fontId="6" fillId="13" borderId="1" xfId="1" applyFont="1" applyFill="1" applyBorder="1" applyAlignment="1">
      <alignment horizontal="center" vertical="center" wrapText="1"/>
    </xf>
    <xf numFmtId="0" fontId="6" fillId="14" borderId="1" xfId="7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vertical="center"/>
    </xf>
    <xf numFmtId="0" fontId="5" fillId="14" borderId="1" xfId="8" applyFont="1" applyFill="1" applyBorder="1" applyAlignment="1">
      <alignment vertical="center"/>
    </xf>
    <xf numFmtId="2" fontId="6" fillId="2" borderId="0" xfId="0" applyNumberFormat="1" applyFont="1" applyFill="1" applyAlignment="1">
      <alignment horizontal="center" vertical="center"/>
    </xf>
    <xf numFmtId="1" fontId="7" fillId="14" borderId="1" xfId="7" applyNumberFormat="1" applyFont="1" applyFill="1" applyBorder="1" applyAlignment="1">
      <alignment horizontal="center" vertical="center"/>
    </xf>
    <xf numFmtId="164" fontId="7" fillId="14" borderId="1" xfId="7" applyNumberFormat="1" applyFont="1" applyFill="1" applyBorder="1" applyAlignment="1">
      <alignment horizontal="center" vertical="center"/>
    </xf>
    <xf numFmtId="2" fontId="7" fillId="14" borderId="1" xfId="7" applyNumberFormat="1" applyFont="1" applyFill="1" applyBorder="1" applyAlignment="1">
      <alignment horizontal="center" vertical="center"/>
    </xf>
    <xf numFmtId="2" fontId="7" fillId="2" borderId="0" xfId="7" applyNumberFormat="1" applyFont="1" applyFill="1" applyAlignment="1">
      <alignment horizontal="center" vertical="center"/>
    </xf>
    <xf numFmtId="0" fontId="7" fillId="13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7" fillId="13" borderId="0" xfId="1" applyFont="1" applyFill="1" applyAlignment="1">
      <alignment horizontal="center" vertical="center"/>
    </xf>
    <xf numFmtId="164" fontId="6" fillId="14" borderId="1" xfId="7" applyNumberFormat="1" applyFont="1" applyFill="1" applyBorder="1" applyAlignment="1">
      <alignment horizontal="center" vertical="center"/>
    </xf>
    <xf numFmtId="2" fontId="6" fillId="14" borderId="1" xfId="7" applyNumberFormat="1" applyFont="1" applyFill="1" applyBorder="1" applyAlignment="1">
      <alignment horizontal="center" vertical="center"/>
    </xf>
    <xf numFmtId="1" fontId="6" fillId="14" borderId="1" xfId="7" applyNumberFormat="1" applyFont="1" applyFill="1" applyBorder="1" applyAlignment="1">
      <alignment horizontal="center" vertical="center"/>
    </xf>
    <xf numFmtId="4" fontId="6" fillId="14" borderId="1" xfId="7" applyNumberFormat="1" applyFont="1" applyFill="1" applyBorder="1" applyAlignment="1">
      <alignment horizontal="center" vertical="center"/>
    </xf>
    <xf numFmtId="0" fontId="6" fillId="14" borderId="2" xfId="7" applyFont="1" applyFill="1" applyBorder="1" applyAlignment="1">
      <alignment horizontal="center" vertical="center"/>
    </xf>
    <xf numFmtId="0" fontId="6" fillId="2" borderId="0" xfId="7" applyFont="1" applyFill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left" vertical="center"/>
    </xf>
    <xf numFmtId="2" fontId="7" fillId="0" borderId="1" xfId="0" applyNumberFormat="1" applyFont="1" applyBorder="1" applyAlignment="1">
      <alignment horizontal="left" vertical="center"/>
    </xf>
    <xf numFmtId="2" fontId="7" fillId="0" borderId="0" xfId="0" applyNumberFormat="1" applyFont="1" applyAlignment="1">
      <alignment horizontal="left" vertical="center"/>
    </xf>
    <xf numFmtId="1" fontId="7" fillId="2" borderId="1" xfId="7" applyNumberFormat="1" applyFont="1" applyFill="1" applyBorder="1" applyAlignment="1">
      <alignment horizontal="left" vertical="center"/>
    </xf>
    <xf numFmtId="0" fontId="12" fillId="2" borderId="1" xfId="7" applyFont="1" applyFill="1" applyBorder="1" applyAlignment="1">
      <alignment horizontal="left" vertical="center"/>
    </xf>
    <xf numFmtId="164" fontId="12" fillId="2" borderId="1" xfId="7" applyNumberFormat="1" applyFont="1" applyFill="1" applyBorder="1" applyAlignment="1">
      <alignment horizontal="right" vertical="center"/>
    </xf>
    <xf numFmtId="2" fontId="12" fillId="2" borderId="1" xfId="7" applyNumberFormat="1" applyFont="1" applyFill="1" applyBorder="1" applyAlignment="1">
      <alignment horizontal="right" vertical="center"/>
    </xf>
    <xf numFmtId="0" fontId="12" fillId="0" borderId="1" xfId="7" applyFont="1" applyBorder="1" applyAlignment="1">
      <alignment horizontal="right" vertical="center"/>
    </xf>
    <xf numFmtId="1" fontId="12" fillId="2" borderId="1" xfId="1" applyNumberFormat="1" applyFont="1" applyFill="1" applyBorder="1" applyAlignment="1">
      <alignment horizontal="right" vertical="center"/>
    </xf>
    <xf numFmtId="2" fontId="12" fillId="2" borderId="1" xfId="1" applyNumberFormat="1" applyFont="1" applyFill="1" applyBorder="1" applyAlignment="1">
      <alignment horizontal="right" vertical="center"/>
    </xf>
    <xf numFmtId="169" fontId="12" fillId="2" borderId="1" xfId="1" applyNumberFormat="1" applyFont="1" applyFill="1" applyBorder="1" applyAlignment="1">
      <alignment horizontal="right" vertical="center"/>
    </xf>
    <xf numFmtId="2" fontId="12" fillId="2" borderId="1" xfId="7" applyNumberFormat="1" applyFont="1" applyFill="1" applyBorder="1" applyAlignment="1">
      <alignment horizontal="center" vertical="center"/>
    </xf>
    <xf numFmtId="2" fontId="12" fillId="2" borderId="0" xfId="7" applyNumberFormat="1" applyFont="1" applyFill="1" applyAlignment="1">
      <alignment horizontal="center" vertical="center"/>
    </xf>
    <xf numFmtId="0" fontId="12" fillId="13" borderId="1" xfId="7" applyFont="1" applyFill="1" applyBorder="1" applyAlignment="1">
      <alignment horizontal="left" vertical="center"/>
    </xf>
    <xf numFmtId="4" fontId="7" fillId="13" borderId="1" xfId="7" applyNumberFormat="1" applyFont="1" applyFill="1" applyBorder="1" applyAlignment="1">
      <alignment horizontal="left" vertical="center"/>
    </xf>
    <xf numFmtId="0" fontId="12" fillId="13" borderId="2" xfId="7" applyFont="1" applyFill="1" applyBorder="1" applyAlignment="1">
      <alignment horizontal="left" vertical="center"/>
    </xf>
    <xf numFmtId="0" fontId="12" fillId="13" borderId="1" xfId="7" applyFont="1" applyFill="1" applyBorder="1" applyAlignment="1">
      <alignment horizontal="center" vertical="center"/>
    </xf>
    <xf numFmtId="0" fontId="12" fillId="2" borderId="0" xfId="7" applyFont="1" applyFill="1" applyAlignment="1">
      <alignment horizontal="left" vertical="center"/>
    </xf>
    <xf numFmtId="1" fontId="12" fillId="2" borderId="1" xfId="7" applyNumberFormat="1" applyFont="1" applyFill="1" applyBorder="1" applyAlignment="1">
      <alignment horizontal="right" vertical="center"/>
    </xf>
    <xf numFmtId="2" fontId="12" fillId="2" borderId="1" xfId="1" applyNumberFormat="1" applyFont="1" applyFill="1" applyBorder="1" applyAlignment="1">
      <alignment horizontal="center" vertical="center"/>
    </xf>
    <xf numFmtId="2" fontId="12" fillId="2" borderId="0" xfId="1" applyNumberFormat="1" applyFont="1" applyFill="1" applyAlignment="1">
      <alignment horizontal="right" vertical="center"/>
    </xf>
    <xf numFmtId="1" fontId="7" fillId="0" borderId="1" xfId="0" applyNumberFormat="1" applyFont="1" applyBorder="1" applyAlignment="1">
      <alignment horizontal="left" vertical="center"/>
    </xf>
    <xf numFmtId="0" fontId="6" fillId="2" borderId="1" xfId="1" applyFont="1" applyFill="1" applyBorder="1" applyAlignment="1">
      <alignment horizontal="center" vertical="center"/>
    </xf>
    <xf numFmtId="169" fontId="7" fillId="0" borderId="0" xfId="0" applyNumberFormat="1" applyFont="1" applyAlignment="1">
      <alignment horizontal="left" vertical="center"/>
    </xf>
    <xf numFmtId="0" fontId="6" fillId="2" borderId="0" xfId="1" applyFont="1" applyFill="1" applyBorder="1" applyAlignment="1">
      <alignment horizontal="center" vertical="center"/>
    </xf>
    <xf numFmtId="0" fontId="12" fillId="0" borderId="1" xfId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169" fontId="7" fillId="0" borderId="1" xfId="0" applyNumberFormat="1" applyFont="1" applyBorder="1" applyAlignment="1">
      <alignment horizontal="left" vertical="center"/>
    </xf>
    <xf numFmtId="164" fontId="7" fillId="0" borderId="1" xfId="0" applyNumberFormat="1" applyFont="1" applyBorder="1" applyAlignment="1">
      <alignment horizontal="left" vertical="center"/>
    </xf>
    <xf numFmtId="164" fontId="7" fillId="2" borderId="1" xfId="7" applyNumberFormat="1" applyFont="1" applyFill="1" applyBorder="1" applyAlignment="1">
      <alignment horizontal="left" vertical="center"/>
    </xf>
    <xf numFmtId="0" fontId="12" fillId="0" borderId="1" xfId="7" applyFont="1" applyBorder="1" applyAlignment="1">
      <alignment horizontal="left" vertical="center"/>
    </xf>
    <xf numFmtId="0" fontId="12" fillId="0" borderId="1" xfId="1" applyFont="1" applyBorder="1" applyAlignment="1">
      <alignment horizontal="left" vertical="center"/>
    </xf>
    <xf numFmtId="4" fontId="7" fillId="2" borderId="1" xfId="1" applyNumberFormat="1" applyFont="1" applyFill="1" applyBorder="1" applyAlignment="1">
      <alignment horizontal="left" vertical="center"/>
    </xf>
    <xf numFmtId="0" fontId="12" fillId="0" borderId="2" xfId="1" applyFont="1" applyBorder="1" applyAlignment="1">
      <alignment horizontal="left" vertical="center"/>
    </xf>
    <xf numFmtId="0" fontId="12" fillId="0" borderId="1" xfId="1" applyFont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169" fontId="7" fillId="0" borderId="1" xfId="1" applyNumberFormat="1" applyFont="1" applyBorder="1" applyAlignment="1">
      <alignment horizontal="left" vertical="center"/>
    </xf>
    <xf numFmtId="2" fontId="12" fillId="0" borderId="1" xfId="7" applyNumberFormat="1" applyFont="1" applyBorder="1" applyAlignment="1">
      <alignment horizontal="right" vertical="center"/>
    </xf>
    <xf numFmtId="2" fontId="7" fillId="0" borderId="4" xfId="0" applyNumberFormat="1" applyFont="1" applyBorder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12" fillId="13" borderId="1" xfId="2" applyFont="1" applyFill="1" applyBorder="1" applyAlignment="1">
      <alignment horizontal="left" vertical="center"/>
    </xf>
    <xf numFmtId="2" fontId="7" fillId="2" borderId="1" xfId="7" applyNumberFormat="1" applyFont="1" applyFill="1" applyBorder="1" applyAlignment="1">
      <alignment horizontal="left" vertical="center"/>
    </xf>
    <xf numFmtId="1" fontId="7" fillId="0" borderId="1" xfId="8" applyNumberFormat="1" applyBorder="1" applyAlignment="1">
      <alignment horizontal="left" vertical="center"/>
    </xf>
    <xf numFmtId="0" fontId="12" fillId="2" borderId="1" xfId="1" applyFont="1" applyFill="1" applyBorder="1" applyAlignment="1">
      <alignment vertical="center"/>
    </xf>
    <xf numFmtId="1" fontId="12" fillId="2" borderId="1" xfId="1" applyNumberFormat="1" applyFont="1" applyFill="1" applyBorder="1" applyAlignment="1">
      <alignment vertical="center"/>
    </xf>
    <xf numFmtId="164" fontId="12" fillId="2" borderId="1" xfId="1" applyNumberFormat="1" applyFont="1" applyFill="1" applyBorder="1" applyAlignment="1">
      <alignment vertical="center"/>
    </xf>
    <xf numFmtId="0" fontId="12" fillId="2" borderId="1" xfId="1" applyFont="1" applyFill="1" applyBorder="1" applyAlignment="1">
      <alignment horizontal="left" vertical="center"/>
    </xf>
    <xf numFmtId="2" fontId="12" fillId="0" borderId="1" xfId="0" applyNumberFormat="1" applyFont="1" applyBorder="1" applyAlignment="1">
      <alignment horizontal="left" vertical="center"/>
    </xf>
    <xf numFmtId="0" fontId="12" fillId="0" borderId="2" xfId="2" applyFont="1" applyBorder="1" applyAlignment="1">
      <alignment horizontal="left" vertical="center"/>
    </xf>
    <xf numFmtId="0" fontId="12" fillId="0" borderId="1" xfId="2" applyFont="1" applyBorder="1" applyAlignment="1">
      <alignment horizontal="center" vertical="center"/>
    </xf>
    <xf numFmtId="0" fontId="12" fillId="2" borderId="0" xfId="2" applyFont="1" applyFill="1" applyAlignment="1">
      <alignment horizontal="left" vertical="center"/>
    </xf>
    <xf numFmtId="0" fontId="12" fillId="0" borderId="1" xfId="2" applyFont="1" applyBorder="1" applyAlignment="1">
      <alignment horizontal="left" vertical="center"/>
    </xf>
    <xf numFmtId="0" fontId="12" fillId="2" borderId="1" xfId="2" applyFont="1" applyFill="1" applyBorder="1" applyAlignment="1">
      <alignment horizontal="left" vertical="center"/>
    </xf>
    <xf numFmtId="169" fontId="12" fillId="0" borderId="1" xfId="0" applyNumberFormat="1" applyFont="1" applyBorder="1" applyAlignment="1">
      <alignment horizontal="left" vertical="center"/>
    </xf>
    <xf numFmtId="0" fontId="7" fillId="0" borderId="0" xfId="1" applyFont="1" applyAlignment="1">
      <alignment horizontal="center" vertical="center"/>
    </xf>
    <xf numFmtId="0" fontId="7" fillId="0" borderId="1" xfId="1" applyFont="1" applyFill="1" applyBorder="1" applyAlignment="1">
      <alignment vertical="center" wrapText="1"/>
    </xf>
    <xf numFmtId="0" fontId="7" fillId="0" borderId="1" xfId="1" applyFont="1" applyFill="1" applyBorder="1" applyAlignment="1">
      <alignment vertical="center"/>
    </xf>
    <xf numFmtId="170" fontId="7" fillId="2" borderId="1" xfId="1" applyNumberFormat="1" applyFont="1" applyFill="1" applyBorder="1" applyAlignment="1">
      <alignment vertical="center"/>
    </xf>
    <xf numFmtId="170" fontId="7" fillId="2" borderId="0" xfId="1" applyNumberFormat="1" applyFont="1" applyFill="1" applyAlignment="1">
      <alignment vertical="center"/>
    </xf>
    <xf numFmtId="1" fontId="6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1" fontId="6" fillId="15" borderId="1" xfId="0" applyNumberFormat="1" applyFont="1" applyFill="1" applyBorder="1" applyAlignment="1">
      <alignment horizontal="center" vertical="center"/>
    </xf>
    <xf numFmtId="1" fontId="8" fillId="15" borderId="1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169" fontId="5" fillId="2" borderId="0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0" fontId="5" fillId="16" borderId="1" xfId="0" applyFont="1" applyFill="1" applyBorder="1" applyAlignment="1">
      <alignment horizontal="center" vertical="center"/>
    </xf>
    <xf numFmtId="2" fontId="5" fillId="16" borderId="1" xfId="0" applyNumberFormat="1" applyFont="1" applyFill="1" applyBorder="1" applyAlignment="1">
      <alignment horizontal="center" vertical="center"/>
    </xf>
    <xf numFmtId="164" fontId="5" fillId="16" borderId="1" xfId="0" applyNumberFormat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 wrapText="1"/>
    </xf>
    <xf numFmtId="0" fontId="5" fillId="16" borderId="1" xfId="0" applyNumberFormat="1" applyFont="1" applyFill="1" applyBorder="1" applyAlignment="1">
      <alignment horizontal="center" vertical="center" wrapText="1"/>
    </xf>
    <xf numFmtId="1" fontId="5" fillId="16" borderId="1" xfId="0" applyNumberFormat="1" applyFont="1" applyFill="1" applyBorder="1" applyAlignment="1">
      <alignment horizontal="center" vertical="center"/>
    </xf>
    <xf numFmtId="0" fontId="0" fillId="17" borderId="0" xfId="0" applyFill="1"/>
    <xf numFmtId="1" fontId="6" fillId="15" borderId="1" xfId="0" quotePrefix="1" applyNumberFormat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2" fontId="5" fillId="16" borderId="1" xfId="0" applyNumberFormat="1" applyFont="1" applyFill="1" applyBorder="1" applyAlignment="1">
      <alignment horizontal="center" vertical="center"/>
    </xf>
    <xf numFmtId="164" fontId="5" fillId="16" borderId="1" xfId="0" applyNumberFormat="1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 wrapText="1"/>
    </xf>
    <xf numFmtId="0" fontId="5" fillId="16" borderId="3" xfId="0" applyFont="1" applyFill="1" applyBorder="1" applyAlignment="1">
      <alignment horizontal="center" vertical="center" wrapText="1"/>
    </xf>
    <xf numFmtId="0" fontId="5" fillId="16" borderId="4" xfId="0" applyFont="1" applyFill="1" applyBorder="1" applyAlignment="1">
      <alignment horizontal="center" vertical="center" wrapText="1"/>
    </xf>
    <xf numFmtId="0" fontId="5" fillId="16" borderId="2" xfId="0" applyFont="1" applyFill="1" applyBorder="1" applyAlignment="1">
      <alignment horizontal="center" vertical="center"/>
    </xf>
    <xf numFmtId="0" fontId="5" fillId="16" borderId="4" xfId="0" applyFont="1" applyFill="1" applyBorder="1" applyAlignment="1">
      <alignment horizontal="center" vertical="center"/>
    </xf>
    <xf numFmtId="0" fontId="5" fillId="16" borderId="10" xfId="0" applyFont="1" applyFill="1" applyBorder="1" applyAlignment="1">
      <alignment horizontal="center" vertical="center" wrapText="1"/>
    </xf>
    <xf numFmtId="0" fontId="5" fillId="16" borderId="14" xfId="0" applyFont="1" applyFill="1" applyBorder="1" applyAlignment="1">
      <alignment horizontal="center" vertical="center" wrapText="1"/>
    </xf>
    <xf numFmtId="0" fontId="5" fillId="16" borderId="1" xfId="0" applyFont="1" applyFill="1" applyBorder="1" applyAlignment="1">
      <alignment horizontal="center" vertical="center" wrapText="1"/>
    </xf>
    <xf numFmtId="0" fontId="6" fillId="15" borderId="1" xfId="0" quotePrefix="1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0" fontId="6" fillId="2" borderId="0" xfId="1" applyFont="1" applyFill="1" applyBorder="1" applyAlignment="1">
      <alignment horizontal="center" vertical="center"/>
    </xf>
    <xf numFmtId="0" fontId="6" fillId="14" borderId="1" xfId="7" applyFont="1" applyFill="1" applyBorder="1" applyAlignment="1">
      <alignment horizontal="center" vertical="center"/>
    </xf>
    <xf numFmtId="0" fontId="7" fillId="14" borderId="1" xfId="7" applyFont="1" applyFill="1" applyBorder="1" applyAlignment="1">
      <alignment horizontal="center" vertical="center"/>
    </xf>
    <xf numFmtId="0" fontId="6" fillId="13" borderId="1" xfId="1" applyFont="1" applyFill="1" applyBorder="1" applyAlignment="1">
      <alignment horizontal="center" vertical="center" wrapText="1"/>
    </xf>
    <xf numFmtId="0" fontId="6" fillId="14" borderId="1" xfId="1" applyFont="1" applyFill="1" applyBorder="1" applyAlignment="1">
      <alignment horizontal="center" vertical="center"/>
    </xf>
    <xf numFmtId="0" fontId="6" fillId="14" borderId="15" xfId="1" applyFont="1" applyFill="1" applyBorder="1" applyAlignment="1">
      <alignment horizontal="center" vertical="center"/>
    </xf>
    <xf numFmtId="0" fontId="6" fillId="14" borderId="0" xfId="1" applyFont="1" applyFill="1" applyAlignment="1">
      <alignment horizontal="center" vertical="center"/>
    </xf>
    <xf numFmtId="0" fontId="6" fillId="14" borderId="2" xfId="1" applyFont="1" applyFill="1" applyBorder="1" applyAlignment="1">
      <alignment horizontal="center" vertical="center"/>
    </xf>
    <xf numFmtId="0" fontId="6" fillId="14" borderId="3" xfId="1" applyFont="1" applyFill="1" applyBorder="1" applyAlignment="1">
      <alignment horizontal="center" vertical="center"/>
    </xf>
    <xf numFmtId="0" fontId="6" fillId="14" borderId="4" xfId="1" applyFont="1" applyFill="1" applyBorder="1" applyAlignment="1">
      <alignment horizontal="center" vertical="center"/>
    </xf>
    <xf numFmtId="0" fontId="6" fillId="13" borderId="1" xfId="1" applyFont="1" applyFill="1" applyBorder="1" applyAlignment="1">
      <alignment horizontal="center" vertical="center"/>
    </xf>
    <xf numFmtId="0" fontId="7" fillId="13" borderId="1" xfId="1" applyFont="1" applyFill="1" applyBorder="1" applyAlignment="1">
      <alignment horizontal="center" vertical="center"/>
    </xf>
    <xf numFmtId="4" fontId="10" fillId="8" borderId="2" xfId="0" applyNumberFormat="1" applyFont="1" applyFill="1" applyBorder="1" applyAlignment="1">
      <alignment horizontal="center" vertical="center"/>
    </xf>
    <xf numFmtId="4" fontId="10" fillId="8" borderId="3" xfId="0" applyNumberFormat="1" applyFont="1" applyFill="1" applyBorder="1" applyAlignment="1">
      <alignment horizontal="center" vertical="center"/>
    </xf>
    <xf numFmtId="4" fontId="10" fillId="8" borderId="4" xfId="0" applyNumberFormat="1" applyFont="1" applyFill="1" applyBorder="1" applyAlignment="1">
      <alignment horizontal="center" vertical="center"/>
    </xf>
    <xf numFmtId="1" fontId="10" fillId="8" borderId="2" xfId="0" applyNumberFormat="1" applyFont="1" applyFill="1" applyBorder="1" applyAlignment="1">
      <alignment horizontal="center" vertical="center"/>
    </xf>
    <xf numFmtId="1" fontId="10" fillId="8" borderId="3" xfId="0" applyNumberFormat="1" applyFont="1" applyFill="1" applyBorder="1" applyAlignment="1">
      <alignment horizontal="center" vertical="center"/>
    </xf>
    <xf numFmtId="1" fontId="10" fillId="8" borderId="4" xfId="0" applyNumberFormat="1" applyFont="1" applyFill="1" applyBorder="1" applyAlignment="1">
      <alignment horizontal="center" vertical="center"/>
    </xf>
    <xf numFmtId="1" fontId="10" fillId="8" borderId="1" xfId="0" applyNumberFormat="1" applyFont="1" applyFill="1" applyBorder="1" applyAlignment="1">
      <alignment horizontal="center" vertical="center"/>
    </xf>
    <xf numFmtId="0" fontId="10" fillId="8" borderId="9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8" borderId="3" xfId="0" applyNumberFormat="1" applyFont="1" applyFill="1" applyBorder="1" applyAlignment="1">
      <alignment horizontal="center" vertical="center"/>
    </xf>
    <xf numFmtId="2" fontId="10" fillId="8" borderId="4" xfId="0" applyNumberFormat="1" applyFont="1" applyFill="1" applyBorder="1" applyAlignment="1">
      <alignment horizontal="center" vertical="center"/>
    </xf>
    <xf numFmtId="2" fontId="10" fillId="8" borderId="10" xfId="0" applyNumberFormat="1" applyFont="1" applyFill="1" applyBorder="1" applyAlignment="1">
      <alignment horizontal="center" vertical="center" wrapText="1"/>
    </xf>
    <xf numFmtId="2" fontId="10" fillId="8" borderId="14" xfId="0" applyNumberFormat="1" applyFont="1" applyFill="1" applyBorder="1" applyAlignment="1">
      <alignment horizontal="center" vertical="center"/>
    </xf>
    <xf numFmtId="1" fontId="10" fillId="8" borderId="1" xfId="0" applyNumberFormat="1" applyFont="1" applyFill="1" applyBorder="1" applyAlignment="1">
      <alignment horizontal="center" vertical="center" wrapText="1"/>
    </xf>
    <xf numFmtId="167" fontId="10" fillId="7" borderId="5" xfId="0" applyNumberFormat="1" applyFont="1" applyFill="1" applyBorder="1" applyAlignment="1">
      <alignment horizontal="center" vertical="center" wrapText="1"/>
    </xf>
    <xf numFmtId="167" fontId="10" fillId="7" borderId="6" xfId="0" applyNumberFormat="1" applyFont="1" applyFill="1" applyBorder="1" applyAlignment="1">
      <alignment horizontal="center" vertical="center" wrapText="1"/>
    </xf>
    <xf numFmtId="168" fontId="10" fillId="7" borderId="5" xfId="0" applyNumberFormat="1" applyFont="1" applyFill="1" applyBorder="1" applyAlignment="1">
      <alignment horizontal="center" vertical="center" wrapText="1"/>
    </xf>
    <xf numFmtId="168" fontId="10" fillId="7" borderId="7" xfId="0" applyNumberFormat="1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3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165" fontId="6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165" fontId="6" fillId="4" borderId="1" xfId="0" applyNumberFormat="1" applyFont="1" applyFill="1" applyBorder="1" applyAlignment="1">
      <alignment horizontal="center" vertical="center" wrapText="1"/>
    </xf>
    <xf numFmtId="3" fontId="6" fillId="4" borderId="1" xfId="0" applyNumberFormat="1" applyFont="1" applyFill="1" applyBorder="1" applyAlignment="1">
      <alignment horizontal="center" vertical="center" wrapText="1"/>
    </xf>
    <xf numFmtId="3" fontId="6" fillId="4" borderId="1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>
      <alignment horizontal="center" vertical="center" wrapText="1"/>
    </xf>
    <xf numFmtId="1" fontId="5" fillId="4" borderId="1" xfId="0" applyNumberFormat="1" applyFont="1" applyFill="1" applyBorder="1" applyAlignment="1">
      <alignment horizontal="center" vertical="center"/>
    </xf>
  </cellXfs>
  <cellStyles count="9">
    <cellStyle name="Normal" xfId="0" builtinId="0"/>
    <cellStyle name="Normal 2" xfId="1"/>
    <cellStyle name="Normal 2 2" xfId="2"/>
    <cellStyle name="Normal 3" xfId="3"/>
    <cellStyle name="Normal 3 2" xfId="4"/>
    <cellStyle name="Normal 4" xfId="5"/>
    <cellStyle name="Normal_dam 356 v3.0" xfId="6"/>
    <cellStyle name="Normal_Sheet3" xfId="7"/>
    <cellStyle name="Normal_Thep san" xfId="8"/>
  </cellStyles>
  <dxfs count="1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FF0000"/>
      </font>
      <fill>
        <patternFill patternType="solid">
          <bgColor theme="1"/>
        </patternFill>
      </fill>
    </dxf>
    <dxf>
      <fill>
        <patternFill patternType="solid">
          <bgColor rgb="FFFFC7CE"/>
        </patternFill>
      </fill>
    </dxf>
    <dxf>
      <font>
        <color rgb="FFFF0000"/>
      </font>
      <fill>
        <patternFill patternType="solid">
          <bgColor theme="1"/>
        </patternFill>
      </fill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FF00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FF0000FF"/>
      <color rgb="FFF76409"/>
      <color rgb="FFF4F4AC"/>
      <color rgb="FFD09E00"/>
      <color rgb="FF7B81F3"/>
      <color rgb="FFFFFFB9"/>
      <color rgb="FFFF0000"/>
      <color rgb="FFF23636"/>
      <color rgb="FFFF33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28575</xdr:colOff>
      <xdr:row>0</xdr:row>
      <xdr:rowOff>9525</xdr:rowOff>
    </xdr:from>
    <xdr:to>
      <xdr:col>44</xdr:col>
      <xdr:colOff>361950</xdr:colOff>
      <xdr:row>0</xdr:row>
      <xdr:rowOff>342900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35700" y="9525"/>
          <a:ext cx="333375" cy="3333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kret\c\Documents%20and%20Settings\&#37428;&#26408;&#12288;&#36948;&#21705;\Local%20Settings\Temporary%20Internet%20Files\Content.IE5\XV65FD25\BOURJOIS\BOURJBQ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u2ng\Nu2nG\Nu2nG\NISSAN%20BSD%20Tender\NISSAN%20BSD%20PI\BQ_TIMAH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ata%20Duy%20Viet\Dai%20quang%20Minh\VU_T6-MAI\KienTruc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T\AppData\Roaming\Microsoft\Excel\Kata-05-2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01.WORK\29.DAI_QUANG_MINH(FULL)\File_Tinh\06A%20-%20Format%20Ket%20cau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unt.COTECCONS\Desktop\BOQ%20-%20PHAN%20HOAN%20THI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rthwork"/>
      <sheetName val="TenderAnaly"/>
      <sheetName val="AppendixA"/>
      <sheetName val="BQ"/>
      <sheetName val="GrossBQ"/>
      <sheetName val="GrossBQ (2)"/>
      <sheetName val="BQ(2)"/>
      <sheetName val="BQ(3)"/>
      <sheetName val="Summary"/>
      <sheetName val="G1"/>
      <sheetName val="FlrArea"/>
      <sheetName val="Analysis"/>
      <sheetName val="Notes"/>
      <sheetName val="Prelims"/>
      <sheetName val="Site Expense"/>
      <sheetName val="Steelwork"/>
      <sheetName val="ExtWalls"/>
      <sheetName val="Founds"/>
      <sheetName val="Slab"/>
      <sheetName val="Retaining Wall"/>
      <sheetName val="Summary Final"/>
      <sheetName val="G1 Final"/>
      <sheetName val="Thiet bi"/>
      <sheetName val="Nhan cong"/>
      <sheetName val="GrossBQ_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kap rap"/>
      <sheetName val="Sheet1"/>
      <sheetName val="harsat"/>
      <sheetName val="AN BONGKARAN"/>
      <sheetName val="ANALISA"/>
      <sheetName val="AN kusen"/>
      <sheetName val="AN beton"/>
      <sheetName val="REKAP"/>
      <sheetName val="upah bahan"/>
      <sheetName val="RAB BONGKARAN"/>
      <sheetName val="bq tam-penghub"/>
      <sheetName val="RAB AR&amp;STR"/>
      <sheetName val="RAB M&amp;E"/>
      <sheetName val="RAB AR_STR"/>
      <sheetName val="rekap_rap"/>
      <sheetName val="AN_BONGKARAN"/>
      <sheetName val="AN_kusen"/>
      <sheetName val="AN_beton"/>
      <sheetName val="upah_bahan"/>
      <sheetName val="RAB_BONGKARAN"/>
      <sheetName val="bq_tam-penghub"/>
      <sheetName val="RAB_AR&amp;STR"/>
      <sheetName val="RAB_M&amp;E"/>
      <sheetName val="Lat gach san nha"/>
      <sheetName val="Lat_gach_san_nha"/>
      <sheetName val="Earthwork"/>
      <sheetName val="01.THGTTT"/>
      <sheetName val="HD 15122"/>
      <sheetName val="GT Bieu hanh lang"/>
      <sheetName val="BAG-2"/>
      <sheetName val="rekap_rap1"/>
      <sheetName val="AN_BONGKARAN1"/>
      <sheetName val="AN_kusen1"/>
      <sheetName val="AN_beton1"/>
      <sheetName val="upah_bahan1"/>
      <sheetName val="RAB_BONGKARAN1"/>
      <sheetName val="bq_tam-penghub1"/>
      <sheetName val="RAB_AR&amp;STR1"/>
      <sheetName val="RAB_M&amp;E1"/>
      <sheetName val="Lat_gach_san_nha1"/>
      <sheetName val="RAB_AR_STR"/>
      <sheetName val="CV CHAO GIA 2"/>
      <sheetName val="COMMON AREA"/>
      <sheetName val="Sheet2"/>
      <sheetName val="Sheet3"/>
      <sheetName val="Goc C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inhtoan"/>
      <sheetName val="Sheet2"/>
      <sheetName val="Thepsan"/>
      <sheetName val="Kien truc"/>
      <sheetName val="Sheet1"/>
      <sheetName val="HT PODIUM"/>
      <sheetName val="HT VAN PHONG"/>
      <sheetName val="3. KC - PODIUM"/>
      <sheetName val="4. KC - THAP VP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"/>
      <sheetName val="Dam"/>
      <sheetName val="save_info"/>
      <sheetName val="Kata-05-20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00000000"/>
      <sheetName val="10000000"/>
      <sheetName val="20000000"/>
      <sheetName val="30000000"/>
      <sheetName val="40000000"/>
      <sheetName val="STA"/>
      <sheetName val="COC"/>
      <sheetName val="MONG"/>
      <sheetName val="DAM"/>
      <sheetName val="COT-VACH"/>
      <sheetName val="TUONG VAY"/>
      <sheetName val="CKDB"/>
      <sheetName val="KCT"/>
      <sheetName val="KT"/>
      <sheetName val="BoQ K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NG HOP"/>
      <sheetName val="DIEN TICH"/>
      <sheetName val="HT HAM"/>
      <sheetName val="HT PODIUM"/>
      <sheetName val="HT VAN PHONG"/>
      <sheetName val="3. KC - PODIUM"/>
      <sheetName val="4. KC - THAP V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12">
    <queryTableFields count="11">
      <queryTableField id="1" name="ProgramName" tableColumnId="12"/>
      <queryTableField id="2" name="Version" tableColumnId="13"/>
      <queryTableField id="3" name="Level" tableColumnId="14"/>
      <queryTableField id="4" name="LicenseNum" tableColumnId="15"/>
      <queryTableField id="5" name="CurrUnits" tableColumnId="16"/>
      <queryTableField id="6" name="SteelCode" tableColumnId="17"/>
      <queryTableField id="7" name="ConcCode" tableColumnId="18"/>
      <queryTableField id="8" name="CompBmCode" tableColumnId="19"/>
      <queryTableField id="9" name="CompColCode" tableColumnId="20"/>
      <queryTableField id="10" name="WallCode" tableColumnId="21"/>
      <queryTableField id="11" name="ConnCode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8" name="Table_ExternalData_1" displayName="Table_ExternalData_1" ref="A1:K2" tableType="queryTable" totalsRowShown="0">
  <tableColumns count="11">
    <tableColumn id="12" uniqueName="12" name="ProgramName" queryTableFieldId="1"/>
    <tableColumn id="13" uniqueName="13" name="Version" queryTableFieldId="2"/>
    <tableColumn id="14" uniqueName="14" name="Level" queryTableFieldId="3"/>
    <tableColumn id="15" uniqueName="15" name="LicenseNum" queryTableFieldId="4"/>
    <tableColumn id="16" uniqueName="16" name="CurrUnits" queryTableFieldId="5"/>
    <tableColumn id="17" uniqueName="17" name="SteelCode" queryTableFieldId="6"/>
    <tableColumn id="18" uniqueName="18" name="ConcCode" queryTableFieldId="7"/>
    <tableColumn id="19" uniqueName="19" name="CompBmCode" queryTableFieldId="8"/>
    <tableColumn id="20" uniqueName="20" name="CompColCode" queryTableFieldId="9"/>
    <tableColumn id="21" uniqueName="21" name="WallCode" queryTableFieldId="10"/>
    <tableColumn id="22" uniqueName="22" name="ConnCode" queryTableFieldId="1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499984740745262"/>
  </sheetPr>
  <dimension ref="A1:K2"/>
  <sheetViews>
    <sheetView workbookViewId="0">
      <selection activeCell="D11" sqref="D11"/>
    </sheetView>
  </sheetViews>
  <sheetFormatPr defaultColWidth="9" defaultRowHeight="14.25"/>
  <cols>
    <col min="1" max="1" width="13.5" customWidth="1"/>
    <col min="2" max="2" width="7.625" customWidth="1"/>
    <col min="3" max="3" width="7.5" customWidth="1"/>
    <col min="4" max="4" width="20.125" customWidth="1"/>
    <col min="5" max="5" width="9.5" customWidth="1"/>
    <col min="6" max="8" width="15" customWidth="1"/>
    <col min="9" max="9" width="13.875" customWidth="1"/>
    <col min="10" max="10" width="15" customWidth="1"/>
    <col min="11" max="11" width="11.125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17</v>
      </c>
      <c r="K2" t="s">
        <v>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-0.499984740745262"/>
  </sheetPr>
  <dimension ref="A1:M413"/>
  <sheetViews>
    <sheetView workbookViewId="0">
      <selection activeCell="A2" sqref="A2:J485"/>
    </sheetView>
  </sheetViews>
  <sheetFormatPr defaultColWidth="9" defaultRowHeight="14.25"/>
  <cols>
    <col min="3" max="3" width="11.25" customWidth="1"/>
    <col min="4" max="4" width="7.875" customWidth="1"/>
  </cols>
  <sheetData>
    <row r="1" spans="1:1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</row>
    <row r="2" spans="1:13">
      <c r="A2" t="s">
        <v>33</v>
      </c>
      <c r="B2" t="s">
        <v>33</v>
      </c>
      <c r="C2" t="s">
        <v>34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f>VLOOKUP(B2,'FRAME ASSIGNMENTS SUMMARY'!B:D,3,0)</f>
        <v>1.5</v>
      </c>
      <c r="L2">
        <v>13.900000000000899</v>
      </c>
      <c r="M2">
        <v>0.75</v>
      </c>
    </row>
    <row r="3" spans="1:13">
      <c r="A3" t="s">
        <v>33</v>
      </c>
      <c r="B3" t="s">
        <v>33</v>
      </c>
      <c r="C3" t="s">
        <v>34</v>
      </c>
      <c r="D3">
        <v>0</v>
      </c>
      <c r="E3">
        <v>80.992805480957003</v>
      </c>
      <c r="F3">
        <v>20.342643737793001</v>
      </c>
      <c r="G3">
        <v>20.342643737793001</v>
      </c>
      <c r="H3">
        <v>-0.15653663873672499</v>
      </c>
      <c r="I3">
        <v>-40.505943298339801</v>
      </c>
      <c r="J3">
        <v>-40.505943298339801</v>
      </c>
      <c r="K3">
        <f>VLOOKUP(B3,'FRAME ASSIGNMENTS SUMMARY'!B:D,3,0)</f>
        <v>1.5</v>
      </c>
      <c r="L3">
        <v>13.900000000000899</v>
      </c>
      <c r="M3">
        <v>0.75</v>
      </c>
    </row>
    <row r="4" spans="1:13">
      <c r="A4" t="s">
        <v>33</v>
      </c>
      <c r="B4" t="s">
        <v>33</v>
      </c>
      <c r="C4" t="s">
        <v>34</v>
      </c>
      <c r="D4">
        <v>0.37499999999998601</v>
      </c>
      <c r="E4">
        <v>60.361873626708999</v>
      </c>
      <c r="F4">
        <v>20.342643737793001</v>
      </c>
      <c r="G4">
        <v>20.342643737793001</v>
      </c>
      <c r="H4">
        <v>0.139217123389244</v>
      </c>
      <c r="I4">
        <v>-48.059349060058601</v>
      </c>
      <c r="J4">
        <v>-48.059349060058601</v>
      </c>
      <c r="K4">
        <f>VLOOKUP(B4,'FRAME ASSIGNMENTS SUMMARY'!B:D,3,0)</f>
        <v>1.5</v>
      </c>
      <c r="L4">
        <v>13.900000000000899</v>
      </c>
      <c r="M4">
        <v>0.75</v>
      </c>
    </row>
    <row r="5" spans="1:13">
      <c r="A5" t="s">
        <v>33</v>
      </c>
      <c r="B5" t="s">
        <v>33</v>
      </c>
      <c r="C5" t="s">
        <v>34</v>
      </c>
      <c r="D5">
        <v>0.37499999999998601</v>
      </c>
      <c r="E5">
        <v>54.2344970703125</v>
      </c>
      <c r="F5">
        <v>-158.43669128418</v>
      </c>
      <c r="G5">
        <v>-158.43669128418</v>
      </c>
      <c r="H5">
        <v>0.13880980014801</v>
      </c>
      <c r="I5">
        <v>-47.804496765136697</v>
      </c>
      <c r="J5">
        <v>-47.804496765136697</v>
      </c>
      <c r="K5">
        <f>VLOOKUP(B5,'FRAME ASSIGNMENTS SUMMARY'!B:D,3,0)</f>
        <v>1.5</v>
      </c>
      <c r="L5">
        <v>13.900000000000899</v>
      </c>
      <c r="M5">
        <v>0.75</v>
      </c>
    </row>
    <row r="6" spans="1:13">
      <c r="A6" t="s">
        <v>33</v>
      </c>
      <c r="B6" t="s">
        <v>33</v>
      </c>
      <c r="C6" t="s">
        <v>34</v>
      </c>
      <c r="D6">
        <v>0.749999999999998</v>
      </c>
      <c r="E6">
        <v>82.967323303222699</v>
      </c>
      <c r="F6">
        <v>-158.43669128418</v>
      </c>
      <c r="G6">
        <v>-158.43669128418</v>
      </c>
      <c r="H6">
        <v>1.7755342647433298E-2</v>
      </c>
      <c r="I6">
        <v>11.0244703292847</v>
      </c>
      <c r="J6">
        <v>11.0244703292847</v>
      </c>
      <c r="K6">
        <f>VLOOKUP(B6,'FRAME ASSIGNMENTS SUMMARY'!B:D,3,0)</f>
        <v>1.5</v>
      </c>
      <c r="L6">
        <v>13.900000000000899</v>
      </c>
      <c r="M6">
        <v>0.75</v>
      </c>
    </row>
    <row r="7" spans="1:13">
      <c r="A7" t="s">
        <v>33</v>
      </c>
      <c r="B7" t="s">
        <v>33</v>
      </c>
      <c r="C7" t="s">
        <v>34</v>
      </c>
      <c r="D7">
        <v>0.749999999999998</v>
      </c>
      <c r="E7">
        <v>52.128879547119098</v>
      </c>
      <c r="F7">
        <v>160.46424865722699</v>
      </c>
      <c r="G7">
        <v>160.46424865722699</v>
      </c>
      <c r="H7">
        <v>2.18031425029039E-2</v>
      </c>
      <c r="I7">
        <v>16.100709915161101</v>
      </c>
      <c r="J7">
        <v>16.100709915161101</v>
      </c>
      <c r="K7">
        <f>VLOOKUP(B7,'FRAME ASSIGNMENTS SUMMARY'!B:D,3,0)</f>
        <v>1.5</v>
      </c>
      <c r="L7">
        <v>13.900000000000899</v>
      </c>
      <c r="M7">
        <v>0.75</v>
      </c>
    </row>
    <row r="8" spans="1:13">
      <c r="A8" t="s">
        <v>33</v>
      </c>
      <c r="B8" t="s">
        <v>33</v>
      </c>
      <c r="C8" t="s">
        <v>34</v>
      </c>
      <c r="D8">
        <v>1.12499999999998</v>
      </c>
      <c r="E8">
        <v>29.6581935882568</v>
      </c>
      <c r="F8">
        <v>160.46424865722699</v>
      </c>
      <c r="G8">
        <v>160.46424865722699</v>
      </c>
      <c r="H8">
        <v>-8.7248288094997406E-2</v>
      </c>
      <c r="I8">
        <v>-43.481105804443402</v>
      </c>
      <c r="J8">
        <v>-43.481105804443402</v>
      </c>
      <c r="K8">
        <f>VLOOKUP(B8,'FRAME ASSIGNMENTS SUMMARY'!B:D,3,0)</f>
        <v>1.5</v>
      </c>
      <c r="L8">
        <v>13.900000000000899</v>
      </c>
      <c r="M8">
        <v>0.75</v>
      </c>
    </row>
    <row r="9" spans="1:13">
      <c r="A9" t="s">
        <v>33</v>
      </c>
      <c r="B9" t="s">
        <v>33</v>
      </c>
      <c r="C9" t="s">
        <v>34</v>
      </c>
      <c r="D9">
        <v>1.12499999999998</v>
      </c>
      <c r="E9">
        <v>34.097560882568402</v>
      </c>
      <c r="F9">
        <v>-19.328485488891602</v>
      </c>
      <c r="G9">
        <v>-19.328485488891602</v>
      </c>
      <c r="H9">
        <v>-8.7563596665859195E-2</v>
      </c>
      <c r="I9">
        <v>-43.741569519042997</v>
      </c>
      <c r="J9">
        <v>-43.741569519042997</v>
      </c>
      <c r="K9">
        <f>VLOOKUP(B9,'FRAME ASSIGNMENTS SUMMARY'!B:D,3,0)</f>
        <v>1.5</v>
      </c>
      <c r="L9">
        <v>13.900000000000899</v>
      </c>
      <c r="M9">
        <v>0.75</v>
      </c>
    </row>
    <row r="10" spans="1:13">
      <c r="A10" t="s">
        <v>33</v>
      </c>
      <c r="B10" t="s">
        <v>33</v>
      </c>
      <c r="C10" t="s">
        <v>34</v>
      </c>
      <c r="D10">
        <v>1.5</v>
      </c>
      <c r="E10">
        <v>43.545536041259801</v>
      </c>
      <c r="F10">
        <v>-19.328485488891602</v>
      </c>
      <c r="G10">
        <v>-19.328485488891602</v>
      </c>
      <c r="H10">
        <v>0.21639306843280801</v>
      </c>
      <c r="I10">
        <v>-36.564731597900398</v>
      </c>
      <c r="J10">
        <v>-36.564731597900398</v>
      </c>
      <c r="K10">
        <f>VLOOKUP(B10,'FRAME ASSIGNMENTS SUMMARY'!B:D,3,0)</f>
        <v>1.5</v>
      </c>
      <c r="L10">
        <v>13.900000000000899</v>
      </c>
      <c r="M10">
        <v>0.75</v>
      </c>
    </row>
    <row r="11" spans="1:13">
      <c r="A11" t="s">
        <v>33</v>
      </c>
      <c r="B11" t="s">
        <v>33</v>
      </c>
      <c r="C11" t="s">
        <v>34</v>
      </c>
      <c r="D11">
        <v>1.5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f>VLOOKUP(B11,'FRAME ASSIGNMENTS SUMMARY'!B:D,3,0)</f>
        <v>1.5</v>
      </c>
      <c r="L11">
        <v>13.900000000000899</v>
      </c>
      <c r="M11">
        <v>0.75</v>
      </c>
    </row>
    <row r="12" spans="1:13">
      <c r="A12" t="s">
        <v>35</v>
      </c>
      <c r="B12" t="s">
        <v>35</v>
      </c>
      <c r="C12" t="s">
        <v>34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f>VLOOKUP(B12,'FRAME ASSIGNMENTS SUMMARY'!B:D,3,0)</f>
        <v>1.5</v>
      </c>
      <c r="L12">
        <v>13.900000000000899</v>
      </c>
      <c r="M12">
        <v>0.75</v>
      </c>
    </row>
    <row r="13" spans="1:13">
      <c r="A13" t="s">
        <v>35</v>
      </c>
      <c r="B13" t="s">
        <v>35</v>
      </c>
      <c r="C13" t="s">
        <v>34</v>
      </c>
      <c r="D13">
        <v>0</v>
      </c>
      <c r="E13">
        <v>8.7713909149169904</v>
      </c>
      <c r="F13">
        <v>2.9159362316131601</v>
      </c>
      <c r="G13">
        <v>2.9159362316131601</v>
      </c>
      <c r="H13">
        <v>-7.5967848533764503E-4</v>
      </c>
      <c r="I13">
        <v>-5.3813802078366297E-3</v>
      </c>
      <c r="J13">
        <v>-5.3813802078366297E-3</v>
      </c>
      <c r="K13">
        <f>VLOOKUP(B13,'FRAME ASSIGNMENTS SUMMARY'!B:D,3,0)</f>
        <v>1.5</v>
      </c>
      <c r="L13">
        <v>13.900000000000899</v>
      </c>
      <c r="M13">
        <v>0.75</v>
      </c>
    </row>
    <row r="14" spans="1:13">
      <c r="A14" t="s">
        <v>35</v>
      </c>
      <c r="B14" t="s">
        <v>35</v>
      </c>
      <c r="C14" t="s">
        <v>34</v>
      </c>
      <c r="D14">
        <v>0.37499999999998501</v>
      </c>
      <c r="E14">
        <v>-8.7713909149169904</v>
      </c>
      <c r="F14">
        <v>2.9159362316131601</v>
      </c>
      <c r="G14">
        <v>2.9159362316131601</v>
      </c>
      <c r="H14">
        <v>1.06392027810216E-2</v>
      </c>
      <c r="I14">
        <v>-1.08809471130371</v>
      </c>
      <c r="J14">
        <v>-1.08809471130371</v>
      </c>
      <c r="K14">
        <f>VLOOKUP(B14,'FRAME ASSIGNMENTS SUMMARY'!B:D,3,0)</f>
        <v>1.5</v>
      </c>
      <c r="L14">
        <v>13.900000000000899</v>
      </c>
      <c r="M14">
        <v>0.75</v>
      </c>
    </row>
    <row r="15" spans="1:13">
      <c r="A15" t="s">
        <v>35</v>
      </c>
      <c r="B15" t="s">
        <v>35</v>
      </c>
      <c r="C15" t="s">
        <v>34</v>
      </c>
      <c r="D15">
        <v>0.37499999999998501</v>
      </c>
      <c r="E15">
        <v>-16.1323432922363</v>
      </c>
      <c r="F15">
        <v>-260.03268432617199</v>
      </c>
      <c r="G15">
        <v>-260.03268432617199</v>
      </c>
      <c r="H15">
        <v>1.17680905386806E-2</v>
      </c>
      <c r="I15">
        <v>-0.61358398199081399</v>
      </c>
      <c r="J15">
        <v>-0.61358398199081399</v>
      </c>
      <c r="K15">
        <f>VLOOKUP(B15,'FRAME ASSIGNMENTS SUMMARY'!B:D,3,0)</f>
        <v>1.5</v>
      </c>
      <c r="L15">
        <v>13.900000000000899</v>
      </c>
      <c r="M15">
        <v>0.75</v>
      </c>
    </row>
    <row r="16" spans="1:13">
      <c r="A16" t="s">
        <v>35</v>
      </c>
      <c r="B16" t="s">
        <v>35</v>
      </c>
      <c r="C16" t="s">
        <v>34</v>
      </c>
      <c r="D16">
        <v>0.749999999999996</v>
      </c>
      <c r="E16">
        <v>15.904314041137701</v>
      </c>
      <c r="F16">
        <v>-260.03268432617199</v>
      </c>
      <c r="G16">
        <v>-260.03268432617199</v>
      </c>
      <c r="H16">
        <v>0.28215274214744601</v>
      </c>
      <c r="I16">
        <v>95.938896179199205</v>
      </c>
      <c r="J16">
        <v>95.938896179199205</v>
      </c>
      <c r="K16">
        <f>VLOOKUP(B16,'FRAME ASSIGNMENTS SUMMARY'!B:D,3,0)</f>
        <v>1.5</v>
      </c>
      <c r="L16">
        <v>13.9000000000008</v>
      </c>
      <c r="M16">
        <v>0.75</v>
      </c>
    </row>
    <row r="17" spans="1:13">
      <c r="A17" t="s">
        <v>35</v>
      </c>
      <c r="B17" t="s">
        <v>35</v>
      </c>
      <c r="C17" t="s">
        <v>34</v>
      </c>
      <c r="D17">
        <v>0.749999999999996</v>
      </c>
      <c r="E17">
        <v>64.610122680664105</v>
      </c>
      <c r="F17">
        <v>262.82681274414102</v>
      </c>
      <c r="G17">
        <v>262.82681274414102</v>
      </c>
      <c r="H17">
        <v>0.28317978978156999</v>
      </c>
      <c r="I17">
        <v>99.593414306640597</v>
      </c>
      <c r="J17">
        <v>99.593414306640597</v>
      </c>
      <c r="K17">
        <f>VLOOKUP(B17,'FRAME ASSIGNMENTS SUMMARY'!B:D,3,0)</f>
        <v>1.5</v>
      </c>
      <c r="L17">
        <v>13.9000000000008</v>
      </c>
      <c r="M17">
        <v>0.75</v>
      </c>
    </row>
    <row r="18" spans="1:13">
      <c r="A18" t="s">
        <v>35</v>
      </c>
      <c r="B18" t="s">
        <v>35</v>
      </c>
      <c r="C18" t="s">
        <v>34</v>
      </c>
      <c r="D18">
        <v>1.12499999999999</v>
      </c>
      <c r="E18">
        <v>46.0901908874512</v>
      </c>
      <c r="F18">
        <v>262.82681274414102</v>
      </c>
      <c r="G18">
        <v>262.82681274414102</v>
      </c>
      <c r="H18">
        <v>7.3304317891597706E-2</v>
      </c>
      <c r="I18">
        <v>2.0034632682800302</v>
      </c>
      <c r="J18">
        <v>2.0034632682800302</v>
      </c>
      <c r="K18">
        <f>VLOOKUP(B18,'FRAME ASSIGNMENTS SUMMARY'!B:D,3,0)</f>
        <v>1.5</v>
      </c>
      <c r="L18">
        <v>13.9000000000008</v>
      </c>
      <c r="M18">
        <v>0.75</v>
      </c>
    </row>
    <row r="19" spans="1:13">
      <c r="A19" t="s">
        <v>35</v>
      </c>
      <c r="B19" t="s">
        <v>35</v>
      </c>
      <c r="C19" t="s">
        <v>34</v>
      </c>
      <c r="D19">
        <v>1.12499999999999</v>
      </c>
      <c r="E19">
        <v>56.637115478515597</v>
      </c>
      <c r="F19">
        <v>10.9970359802246</v>
      </c>
      <c r="G19">
        <v>10.9970359802246</v>
      </c>
      <c r="H19">
        <v>7.2201535105705303E-2</v>
      </c>
      <c r="I19">
        <v>1.49811947345734</v>
      </c>
      <c r="J19">
        <v>1.49811947345734</v>
      </c>
      <c r="K19">
        <f>VLOOKUP(B19,'FRAME ASSIGNMENTS SUMMARY'!B:D,3,0)</f>
        <v>1.5</v>
      </c>
      <c r="L19">
        <v>13.9000000000008</v>
      </c>
      <c r="M19">
        <v>0.75</v>
      </c>
    </row>
    <row r="20" spans="1:13">
      <c r="A20" t="s">
        <v>35</v>
      </c>
      <c r="B20" t="s">
        <v>35</v>
      </c>
      <c r="C20" t="s">
        <v>34</v>
      </c>
      <c r="D20">
        <v>1.5</v>
      </c>
      <c r="E20">
        <v>53.835910797119098</v>
      </c>
      <c r="F20">
        <v>10.9970359802246</v>
      </c>
      <c r="G20">
        <v>10.9970359802246</v>
      </c>
      <c r="H20">
        <v>7.4351534247398404E-2</v>
      </c>
      <c r="I20">
        <v>-2.5851788520813002</v>
      </c>
      <c r="J20">
        <v>-2.5851788520813002</v>
      </c>
      <c r="K20">
        <f>VLOOKUP(B20,'FRAME ASSIGNMENTS SUMMARY'!B:D,3,0)</f>
        <v>1.5</v>
      </c>
      <c r="L20">
        <v>13.9000000000008</v>
      </c>
      <c r="M20">
        <v>0.75</v>
      </c>
    </row>
    <row r="21" spans="1:13">
      <c r="A21" t="s">
        <v>35</v>
      </c>
      <c r="B21" t="s">
        <v>35</v>
      </c>
      <c r="C21" t="s">
        <v>34</v>
      </c>
      <c r="D21">
        <v>1.5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f>VLOOKUP(B21,'FRAME ASSIGNMENTS SUMMARY'!B:D,3,0)</f>
        <v>1.5</v>
      </c>
      <c r="L21">
        <v>13.9000000000008</v>
      </c>
      <c r="M21">
        <v>0.75</v>
      </c>
    </row>
    <row r="22" spans="1:13">
      <c r="A22" t="s">
        <v>36</v>
      </c>
      <c r="B22" t="s">
        <v>36</v>
      </c>
      <c r="C22" t="s">
        <v>34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f>VLOOKUP(B22,'FRAME ASSIGNMENTS SUMMARY'!B:D,3,0)</f>
        <v>1.5</v>
      </c>
      <c r="L22">
        <v>13.9000000000001</v>
      </c>
      <c r="M22">
        <v>0.75</v>
      </c>
    </row>
    <row r="23" spans="1:13">
      <c r="A23" t="s">
        <v>36</v>
      </c>
      <c r="B23" t="s">
        <v>36</v>
      </c>
      <c r="C23" t="s">
        <v>34</v>
      </c>
      <c r="D23">
        <v>0</v>
      </c>
      <c r="E23">
        <v>-0.99998641014099099</v>
      </c>
      <c r="F23">
        <v>12.496151924133301</v>
      </c>
      <c r="G23">
        <v>12.496151924133301</v>
      </c>
      <c r="H23">
        <v>1.72694540023804</v>
      </c>
      <c r="I23">
        <v>-1.75952172279358</v>
      </c>
      <c r="J23">
        <v>-1.75952172279358</v>
      </c>
      <c r="K23">
        <f>VLOOKUP(B23,'FRAME ASSIGNMENTS SUMMARY'!B:D,3,0)</f>
        <v>1.5</v>
      </c>
      <c r="L23">
        <v>13.9000000000001</v>
      </c>
      <c r="M23">
        <v>0.75</v>
      </c>
    </row>
    <row r="24" spans="1:13">
      <c r="A24" t="s">
        <v>36</v>
      </c>
      <c r="B24" t="s">
        <v>36</v>
      </c>
      <c r="C24" t="s">
        <v>34</v>
      </c>
      <c r="D24">
        <v>0.37499999999998501</v>
      </c>
      <c r="E24">
        <v>-21.512378692626999</v>
      </c>
      <c r="F24">
        <v>3.5966937541961701</v>
      </c>
      <c r="G24">
        <v>3.5966937541961701</v>
      </c>
      <c r="H24">
        <v>6.9492483139038104</v>
      </c>
      <c r="I24">
        <v>2.9188716411590598</v>
      </c>
      <c r="J24">
        <v>2.9188716411590598</v>
      </c>
      <c r="K24">
        <f>VLOOKUP(B24,'FRAME ASSIGNMENTS SUMMARY'!B:D,3,0)</f>
        <v>1.5</v>
      </c>
      <c r="L24">
        <v>13.9000000000001</v>
      </c>
      <c r="M24">
        <v>0.75</v>
      </c>
    </row>
    <row r="25" spans="1:13">
      <c r="A25" t="s">
        <v>36</v>
      </c>
      <c r="B25" t="s">
        <v>36</v>
      </c>
      <c r="C25" t="s">
        <v>34</v>
      </c>
      <c r="D25">
        <v>0.37499999999998501</v>
      </c>
      <c r="E25">
        <v>-15.6449899673462</v>
      </c>
      <c r="F25">
        <v>-195.27061462402301</v>
      </c>
      <c r="G25">
        <v>-195.27061462402301</v>
      </c>
      <c r="H25">
        <v>6.6738376617431596</v>
      </c>
      <c r="I25">
        <v>-1.03056621551514</v>
      </c>
      <c r="J25">
        <v>-1.03056621551514</v>
      </c>
      <c r="K25">
        <f>VLOOKUP(B25,'FRAME ASSIGNMENTS SUMMARY'!B:D,3,0)</f>
        <v>1.5</v>
      </c>
      <c r="L25">
        <v>13.9000000000001</v>
      </c>
      <c r="M25">
        <v>0.75</v>
      </c>
    </row>
    <row r="26" spans="1:13">
      <c r="A26" t="s">
        <v>36</v>
      </c>
      <c r="B26" t="s">
        <v>36</v>
      </c>
      <c r="C26" t="s">
        <v>34</v>
      </c>
      <c r="D26">
        <v>0.749999999999996</v>
      </c>
      <c r="E26">
        <v>17.463739395141602</v>
      </c>
      <c r="F26">
        <v>-195.27061462402301</v>
      </c>
      <c r="G26">
        <v>-195.27061462402301</v>
      </c>
      <c r="H26">
        <v>0.24666912853717801</v>
      </c>
      <c r="I26">
        <v>71.438308715820298</v>
      </c>
      <c r="J26">
        <v>71.438308715820298</v>
      </c>
      <c r="K26">
        <f>VLOOKUP(B26,'FRAME ASSIGNMENTS SUMMARY'!B:D,3,0)</f>
        <v>1.5</v>
      </c>
      <c r="L26">
        <v>13.9000000000001</v>
      </c>
      <c r="M26">
        <v>0.75</v>
      </c>
    </row>
    <row r="27" spans="1:13">
      <c r="A27" t="s">
        <v>36</v>
      </c>
      <c r="B27" t="s">
        <v>36</v>
      </c>
      <c r="C27" t="s">
        <v>34</v>
      </c>
      <c r="D27">
        <v>0.749999999999996</v>
      </c>
      <c r="E27">
        <v>40.4840278625488</v>
      </c>
      <c r="F27">
        <v>195.00978088378901</v>
      </c>
      <c r="G27">
        <v>195.00978088378901</v>
      </c>
      <c r="H27">
        <v>0.17240099608898199</v>
      </c>
      <c r="I27">
        <v>71.223175048828097</v>
      </c>
      <c r="J27">
        <v>71.223175048828097</v>
      </c>
      <c r="K27">
        <f>VLOOKUP(B27,'FRAME ASSIGNMENTS SUMMARY'!B:D,3,0)</f>
        <v>1.5</v>
      </c>
      <c r="L27">
        <v>13.9000000000001</v>
      </c>
      <c r="M27">
        <v>0.75</v>
      </c>
    </row>
    <row r="28" spans="1:13">
      <c r="A28" t="s">
        <v>36</v>
      </c>
      <c r="B28" t="s">
        <v>36</v>
      </c>
      <c r="C28" t="s">
        <v>34</v>
      </c>
      <c r="D28">
        <v>1.12499999999999</v>
      </c>
      <c r="E28">
        <v>12.5587673187256</v>
      </c>
      <c r="F28">
        <v>195.00978088378901</v>
      </c>
      <c r="G28">
        <v>195.00978088378901</v>
      </c>
      <c r="H28">
        <v>-6.8129305839538601</v>
      </c>
      <c r="I28">
        <v>-1.1489167213439899</v>
      </c>
      <c r="J28">
        <v>-1.1489167213439899</v>
      </c>
      <c r="K28">
        <f>VLOOKUP(B28,'FRAME ASSIGNMENTS SUMMARY'!B:D,3,0)</f>
        <v>1.5</v>
      </c>
      <c r="L28">
        <v>13.9</v>
      </c>
      <c r="M28">
        <v>0.75</v>
      </c>
    </row>
    <row r="29" spans="1:13">
      <c r="A29" t="s">
        <v>36</v>
      </c>
      <c r="B29" t="s">
        <v>36</v>
      </c>
      <c r="C29" t="s">
        <v>34</v>
      </c>
      <c r="D29">
        <v>1.12499999999999</v>
      </c>
      <c r="E29">
        <v>66.587333679199205</v>
      </c>
      <c r="F29">
        <v>-16.350645065307599</v>
      </c>
      <c r="G29">
        <v>-16.350645065307599</v>
      </c>
      <c r="H29">
        <v>-7.1599631309509304</v>
      </c>
      <c r="I29">
        <v>2.6181013584136998</v>
      </c>
      <c r="J29">
        <v>2.6181013584136998</v>
      </c>
      <c r="K29">
        <f>VLOOKUP(B29,'FRAME ASSIGNMENTS SUMMARY'!B:D,3,0)</f>
        <v>1.5</v>
      </c>
      <c r="L29">
        <v>13.9</v>
      </c>
      <c r="M29">
        <v>0.75</v>
      </c>
    </row>
    <row r="30" spans="1:13">
      <c r="A30" t="s">
        <v>36</v>
      </c>
      <c r="B30" t="s">
        <v>36</v>
      </c>
      <c r="C30" t="s">
        <v>34</v>
      </c>
      <c r="D30">
        <v>1.5</v>
      </c>
      <c r="E30">
        <v>13.2844352722168</v>
      </c>
      <c r="F30">
        <v>-22.6819152832031</v>
      </c>
      <c r="G30">
        <v>-22.6819152832031</v>
      </c>
      <c r="H30">
        <v>-0.86768555641174305</v>
      </c>
      <c r="I30">
        <v>1.79387378692627</v>
      </c>
      <c r="J30">
        <v>1.79387378692627</v>
      </c>
      <c r="K30">
        <f>VLOOKUP(B30,'FRAME ASSIGNMENTS SUMMARY'!B:D,3,0)</f>
        <v>1.5</v>
      </c>
      <c r="L30">
        <v>13.9</v>
      </c>
      <c r="M30">
        <v>0.75</v>
      </c>
    </row>
    <row r="31" spans="1:13">
      <c r="A31" t="s">
        <v>36</v>
      </c>
      <c r="B31" t="s">
        <v>36</v>
      </c>
      <c r="C31" t="s">
        <v>34</v>
      </c>
      <c r="D31">
        <v>1.5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f>VLOOKUP(B31,'FRAME ASSIGNMENTS SUMMARY'!B:D,3,0)</f>
        <v>1.5</v>
      </c>
      <c r="L31">
        <v>13.9</v>
      </c>
      <c r="M31">
        <v>0.75</v>
      </c>
    </row>
    <row r="32" spans="1:13">
      <c r="A32" t="s">
        <v>37</v>
      </c>
      <c r="B32" t="s">
        <v>37</v>
      </c>
      <c r="C32" t="s">
        <v>34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f>VLOOKUP(B32,'FRAME ASSIGNMENTS SUMMARY'!B:D,3,0)</f>
        <v>1.5</v>
      </c>
      <c r="L32">
        <v>9.1999999999999993</v>
      </c>
      <c r="M32">
        <v>0.75</v>
      </c>
    </row>
    <row r="33" spans="1:13">
      <c r="A33" t="s">
        <v>37</v>
      </c>
      <c r="B33" t="s">
        <v>37</v>
      </c>
      <c r="C33" t="s">
        <v>34</v>
      </c>
      <c r="D33">
        <v>0</v>
      </c>
      <c r="E33">
        <v>33.426731109619098</v>
      </c>
      <c r="F33">
        <v>16.4873371124268</v>
      </c>
      <c r="G33">
        <v>16.4873371124268</v>
      </c>
      <c r="H33">
        <v>-2.30494236946106</v>
      </c>
      <c r="I33">
        <v>12.547287940979</v>
      </c>
      <c r="J33">
        <v>12.547287940979</v>
      </c>
      <c r="K33">
        <f>VLOOKUP(B33,'FRAME ASSIGNMENTS SUMMARY'!B:D,3,0)</f>
        <v>1.5</v>
      </c>
      <c r="L33">
        <v>9.1999999999999993</v>
      </c>
      <c r="M33">
        <v>0.75</v>
      </c>
    </row>
    <row r="34" spans="1:13">
      <c r="A34" t="s">
        <v>37</v>
      </c>
      <c r="B34" t="s">
        <v>37</v>
      </c>
      <c r="C34" t="s">
        <v>34</v>
      </c>
      <c r="D34">
        <v>0.37499999999998601</v>
      </c>
      <c r="E34">
        <v>12.4955654144287</v>
      </c>
      <c r="F34">
        <v>4.52919673919678</v>
      </c>
      <c r="G34">
        <v>4.52919673919678</v>
      </c>
      <c r="H34">
        <v>11.869590759277299</v>
      </c>
      <c r="I34">
        <v>23.755561828613299</v>
      </c>
      <c r="J34">
        <v>23.755561828613299</v>
      </c>
      <c r="K34">
        <f>VLOOKUP(B34,'FRAME ASSIGNMENTS SUMMARY'!B:D,3,0)</f>
        <v>1.5</v>
      </c>
      <c r="L34">
        <v>9.1999999999999993</v>
      </c>
      <c r="M34">
        <v>0.75</v>
      </c>
    </row>
    <row r="35" spans="1:13">
      <c r="A35" t="s">
        <v>37</v>
      </c>
      <c r="B35" t="s">
        <v>37</v>
      </c>
      <c r="C35" t="s">
        <v>34</v>
      </c>
      <c r="D35">
        <v>0.37499999999998601</v>
      </c>
      <c r="E35">
        <v>2.4533224105835001</v>
      </c>
      <c r="F35">
        <v>-251.587646484375</v>
      </c>
      <c r="G35">
        <v>-251.587646484375</v>
      </c>
      <c r="H35">
        <v>11.2200174331665</v>
      </c>
      <c r="I35">
        <v>18.2787170410156</v>
      </c>
      <c r="J35">
        <v>18.2787170410156</v>
      </c>
      <c r="K35">
        <f>VLOOKUP(B35,'FRAME ASSIGNMENTS SUMMARY'!B:D,3,0)</f>
        <v>1.5</v>
      </c>
      <c r="L35">
        <v>9.1999999999999993</v>
      </c>
      <c r="M35">
        <v>0.75</v>
      </c>
    </row>
    <row r="36" spans="1:13">
      <c r="A36" t="s">
        <v>37</v>
      </c>
      <c r="B36" t="s">
        <v>37</v>
      </c>
      <c r="C36" t="s">
        <v>34</v>
      </c>
      <c r="D36">
        <v>0.749999999999998</v>
      </c>
      <c r="E36">
        <v>54.449611663818402</v>
      </c>
      <c r="F36">
        <v>-251.587646484375</v>
      </c>
      <c r="G36">
        <v>-251.587646484375</v>
      </c>
      <c r="H36">
        <v>0.44140154123306302</v>
      </c>
      <c r="I36">
        <v>111.648239135742</v>
      </c>
      <c r="J36">
        <v>111.648239135742</v>
      </c>
      <c r="K36">
        <f>VLOOKUP(B36,'FRAME ASSIGNMENTS SUMMARY'!B:D,3,0)</f>
        <v>1.5</v>
      </c>
      <c r="L36">
        <v>9.1999999999999993</v>
      </c>
      <c r="M36">
        <v>0.75</v>
      </c>
    </row>
    <row r="37" spans="1:13">
      <c r="A37" t="s">
        <v>37</v>
      </c>
      <c r="B37" t="s">
        <v>37</v>
      </c>
      <c r="C37" t="s">
        <v>34</v>
      </c>
      <c r="D37">
        <v>0.749999999999998</v>
      </c>
      <c r="E37">
        <v>25.493801116943398</v>
      </c>
      <c r="F37">
        <v>254.38998413085901</v>
      </c>
      <c r="G37">
        <v>254.38998413085901</v>
      </c>
      <c r="H37">
        <v>0.32160848379135099</v>
      </c>
      <c r="I37">
        <v>112.561088562012</v>
      </c>
      <c r="J37">
        <v>112.561088562012</v>
      </c>
      <c r="K37">
        <f>VLOOKUP(B37,'FRAME ASSIGNMENTS SUMMARY'!B:D,3,0)</f>
        <v>1.5</v>
      </c>
      <c r="L37">
        <v>9.1999999999999993</v>
      </c>
      <c r="M37">
        <v>0.75</v>
      </c>
    </row>
    <row r="38" spans="1:13">
      <c r="A38" t="s">
        <v>37</v>
      </c>
      <c r="B38" t="s">
        <v>37</v>
      </c>
      <c r="C38" t="s">
        <v>34</v>
      </c>
      <c r="D38">
        <v>1.12499999999998</v>
      </c>
      <c r="E38">
        <v>-21.426435470581101</v>
      </c>
      <c r="F38">
        <v>254.38998413085901</v>
      </c>
      <c r="G38">
        <v>254.38998413085901</v>
      </c>
      <c r="H38">
        <v>-10.6400814056396</v>
      </c>
      <c r="I38">
        <v>18.151292800903299</v>
      </c>
      <c r="J38">
        <v>18.151292800903299</v>
      </c>
      <c r="K38">
        <f>VLOOKUP(B38,'FRAME ASSIGNMENTS SUMMARY'!B:D,3,0)</f>
        <v>1.5</v>
      </c>
      <c r="L38">
        <v>9.1999999999999993</v>
      </c>
      <c r="M38">
        <v>0.75</v>
      </c>
    </row>
    <row r="39" spans="1:13">
      <c r="A39" t="s">
        <v>37</v>
      </c>
      <c r="B39" t="s">
        <v>37</v>
      </c>
      <c r="C39" t="s">
        <v>34</v>
      </c>
      <c r="D39">
        <v>1.12499999999998</v>
      </c>
      <c r="E39">
        <v>26.5194416046143</v>
      </c>
      <c r="F39">
        <v>-6.6342635154724103</v>
      </c>
      <c r="G39">
        <v>-6.6342635154724103</v>
      </c>
      <c r="H39">
        <v>-11.30859375</v>
      </c>
      <c r="I39">
        <v>23.553066253662099</v>
      </c>
      <c r="J39">
        <v>23.553066253662099</v>
      </c>
      <c r="K39">
        <f>VLOOKUP(B39,'FRAME ASSIGNMENTS SUMMARY'!B:D,3,0)</f>
        <v>1.5</v>
      </c>
      <c r="L39">
        <v>9.1999999999999993</v>
      </c>
      <c r="M39">
        <v>0.75</v>
      </c>
    </row>
    <row r="40" spans="1:13">
      <c r="A40" t="s">
        <v>37</v>
      </c>
      <c r="B40" t="s">
        <v>37</v>
      </c>
      <c r="C40" t="s">
        <v>34</v>
      </c>
      <c r="D40">
        <v>1.5</v>
      </c>
      <c r="E40">
        <v>-0.30088454484939597</v>
      </c>
      <c r="F40">
        <v>-18.513191223144499</v>
      </c>
      <c r="G40">
        <v>-18.513191223144499</v>
      </c>
      <c r="H40">
        <v>3.06698799133301</v>
      </c>
      <c r="I40">
        <v>13.056360244751</v>
      </c>
      <c r="J40">
        <v>13.056360244751</v>
      </c>
      <c r="K40">
        <f>VLOOKUP(B40,'FRAME ASSIGNMENTS SUMMARY'!B:D,3,0)</f>
        <v>1.5</v>
      </c>
      <c r="L40">
        <v>9.1999999999999993</v>
      </c>
      <c r="M40">
        <v>0.75</v>
      </c>
    </row>
    <row r="41" spans="1:13">
      <c r="A41" t="s">
        <v>37</v>
      </c>
      <c r="B41" t="s">
        <v>37</v>
      </c>
      <c r="C41" t="s">
        <v>34</v>
      </c>
      <c r="D41">
        <v>1.5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f>VLOOKUP(B41,'FRAME ASSIGNMENTS SUMMARY'!B:D,3,0)</f>
        <v>1.5</v>
      </c>
      <c r="L41">
        <v>9.1999999999999993</v>
      </c>
      <c r="M41">
        <v>0.75</v>
      </c>
    </row>
    <row r="42" spans="1:13">
      <c r="A42" t="s">
        <v>38</v>
      </c>
      <c r="B42" t="s">
        <v>38</v>
      </c>
      <c r="C42" t="s">
        <v>34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f>VLOOKUP(B42,'FRAME ASSIGNMENTS SUMMARY'!B:D,3,0)</f>
        <v>1.5</v>
      </c>
      <c r="L42">
        <v>6.6</v>
      </c>
      <c r="M42">
        <v>0.75</v>
      </c>
    </row>
    <row r="43" spans="1:13">
      <c r="A43" t="s">
        <v>38</v>
      </c>
      <c r="B43" t="s">
        <v>38</v>
      </c>
      <c r="C43" t="s">
        <v>34</v>
      </c>
      <c r="D43">
        <v>0</v>
      </c>
      <c r="E43">
        <v>-4.0316071510314897</v>
      </c>
      <c r="F43">
        <v>15.8446102142334</v>
      </c>
      <c r="G43">
        <v>15.8446102142334</v>
      </c>
      <c r="H43">
        <v>-2.7729063034057599</v>
      </c>
      <c r="I43">
        <v>13.743938446044901</v>
      </c>
      <c r="J43">
        <v>13.743938446044901</v>
      </c>
      <c r="K43">
        <f>VLOOKUP(B43,'FRAME ASSIGNMENTS SUMMARY'!B:D,3,0)</f>
        <v>1.5</v>
      </c>
      <c r="L43">
        <v>6.6</v>
      </c>
      <c r="M43">
        <v>0.75</v>
      </c>
    </row>
    <row r="44" spans="1:13">
      <c r="A44" t="s">
        <v>38</v>
      </c>
      <c r="B44" t="s">
        <v>38</v>
      </c>
      <c r="C44" t="s">
        <v>34</v>
      </c>
      <c r="D44">
        <v>0.37499999999998601</v>
      </c>
      <c r="E44">
        <v>8.3470811843872106</v>
      </c>
      <c r="F44">
        <v>2.87192034721375</v>
      </c>
      <c r="G44">
        <v>2.87192034721375</v>
      </c>
      <c r="H44">
        <v>12.538088798522899</v>
      </c>
      <c r="I44">
        <v>26.433479309081999</v>
      </c>
      <c r="J44">
        <v>26.433479309081999</v>
      </c>
      <c r="K44">
        <f>VLOOKUP(B44,'FRAME ASSIGNMENTS SUMMARY'!B:D,3,0)</f>
        <v>1.5</v>
      </c>
      <c r="L44">
        <v>6.6</v>
      </c>
      <c r="M44">
        <v>0.75</v>
      </c>
    </row>
    <row r="45" spans="1:13">
      <c r="A45" t="s">
        <v>38</v>
      </c>
      <c r="B45" t="s">
        <v>38</v>
      </c>
      <c r="C45" t="s">
        <v>34</v>
      </c>
      <c r="D45">
        <v>0.37499999999998601</v>
      </c>
      <c r="E45">
        <v>-24.2008457183838</v>
      </c>
      <c r="F45">
        <v>-265.12466430664102</v>
      </c>
      <c r="G45">
        <v>-265.12466430664102</v>
      </c>
      <c r="H45">
        <v>11.8471355438232</v>
      </c>
      <c r="I45">
        <v>20.650506973266602</v>
      </c>
      <c r="J45">
        <v>20.650506973266602</v>
      </c>
      <c r="K45">
        <f>VLOOKUP(B45,'FRAME ASSIGNMENTS SUMMARY'!B:D,3,0)</f>
        <v>1.5</v>
      </c>
      <c r="L45">
        <v>6.6</v>
      </c>
      <c r="M45">
        <v>0.75</v>
      </c>
    </row>
    <row r="46" spans="1:13">
      <c r="A46" t="s">
        <v>38</v>
      </c>
      <c r="B46" t="s">
        <v>38</v>
      </c>
      <c r="C46" t="s">
        <v>34</v>
      </c>
      <c r="D46">
        <v>0.749999999999999</v>
      </c>
      <c r="E46">
        <v>32.384426116943402</v>
      </c>
      <c r="F46">
        <v>-265.12466430664102</v>
      </c>
      <c r="G46">
        <v>-265.12466430664102</v>
      </c>
      <c r="H46">
        <v>0.12550014257431</v>
      </c>
      <c r="I46">
        <v>119.044059753418</v>
      </c>
      <c r="J46">
        <v>119.044059753418</v>
      </c>
      <c r="K46">
        <f>VLOOKUP(B46,'FRAME ASSIGNMENTS SUMMARY'!B:D,3,0)</f>
        <v>1.5</v>
      </c>
      <c r="L46">
        <v>6.6</v>
      </c>
      <c r="M46">
        <v>0.75</v>
      </c>
    </row>
    <row r="47" spans="1:13">
      <c r="A47" t="s">
        <v>38</v>
      </c>
      <c r="B47" t="s">
        <v>38</v>
      </c>
      <c r="C47" t="s">
        <v>34</v>
      </c>
      <c r="D47">
        <v>0.749999999999999</v>
      </c>
      <c r="E47">
        <v>54.8769721984863</v>
      </c>
      <c r="F47">
        <v>263.64505004882801</v>
      </c>
      <c r="G47">
        <v>263.64505004882801</v>
      </c>
      <c r="H47">
        <v>-3.7189535796642299E-3</v>
      </c>
      <c r="I47">
        <v>119.574668884277</v>
      </c>
      <c r="J47">
        <v>119.574668884277</v>
      </c>
      <c r="K47">
        <f>VLOOKUP(B47,'FRAME ASSIGNMENTS SUMMARY'!B:D,3,0)</f>
        <v>1.5</v>
      </c>
      <c r="L47">
        <v>6.6</v>
      </c>
      <c r="M47">
        <v>0.75</v>
      </c>
    </row>
    <row r="48" spans="1:13">
      <c r="A48" t="s">
        <v>38</v>
      </c>
      <c r="B48" t="s">
        <v>38</v>
      </c>
      <c r="C48" t="s">
        <v>34</v>
      </c>
      <c r="D48">
        <v>1.12499999999998</v>
      </c>
      <c r="E48">
        <v>-2.1316449642181401</v>
      </c>
      <c r="F48">
        <v>263.64505004882801</v>
      </c>
      <c r="G48">
        <v>263.64505004882801</v>
      </c>
      <c r="H48">
        <v>-11.8125247955322</v>
      </c>
      <c r="I48">
        <v>21.7303562164307</v>
      </c>
      <c r="J48">
        <v>21.7303562164307</v>
      </c>
      <c r="K48">
        <f>VLOOKUP(B48,'FRAME ASSIGNMENTS SUMMARY'!B:D,3,0)</f>
        <v>1.5</v>
      </c>
      <c r="L48">
        <v>6.6</v>
      </c>
      <c r="M48">
        <v>0.75</v>
      </c>
    </row>
    <row r="49" spans="1:13">
      <c r="A49" t="s">
        <v>38</v>
      </c>
      <c r="B49" t="s">
        <v>38</v>
      </c>
      <c r="C49" t="s">
        <v>34</v>
      </c>
      <c r="D49">
        <v>1.12499999999998</v>
      </c>
      <c r="E49">
        <v>50.999134063720703</v>
      </c>
      <c r="F49">
        <v>-6.7215080261230504</v>
      </c>
      <c r="G49">
        <v>-6.7215080261230504</v>
      </c>
      <c r="H49">
        <v>-12.5489645004272</v>
      </c>
      <c r="I49">
        <v>27.465641021728501</v>
      </c>
      <c r="J49">
        <v>27.465641021728501</v>
      </c>
      <c r="K49">
        <f>VLOOKUP(B49,'FRAME ASSIGNMENTS SUMMARY'!B:D,3,0)</f>
        <v>1.5</v>
      </c>
      <c r="L49">
        <v>6.6</v>
      </c>
      <c r="M49">
        <v>0.75</v>
      </c>
    </row>
    <row r="50" spans="1:13">
      <c r="A50" t="s">
        <v>38</v>
      </c>
      <c r="B50" t="s">
        <v>38</v>
      </c>
      <c r="C50" t="s">
        <v>34</v>
      </c>
      <c r="D50">
        <v>1.5</v>
      </c>
      <c r="E50">
        <v>11.567385673522899</v>
      </c>
      <c r="F50">
        <v>-18.768640518188501</v>
      </c>
      <c r="G50">
        <v>-18.768640518188501</v>
      </c>
      <c r="H50">
        <v>3.4628388881683398</v>
      </c>
      <c r="I50">
        <v>15.6195526123047</v>
      </c>
      <c r="J50">
        <v>15.6195526123047</v>
      </c>
      <c r="K50">
        <f>VLOOKUP(B50,'FRAME ASSIGNMENTS SUMMARY'!B:D,3,0)</f>
        <v>1.5</v>
      </c>
      <c r="L50">
        <v>6.6</v>
      </c>
      <c r="M50">
        <v>0.75</v>
      </c>
    </row>
    <row r="51" spans="1:13">
      <c r="A51" t="s">
        <v>38</v>
      </c>
      <c r="B51" t="s">
        <v>38</v>
      </c>
      <c r="C51" t="s">
        <v>34</v>
      </c>
      <c r="D51">
        <v>1.5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f>VLOOKUP(B51,'FRAME ASSIGNMENTS SUMMARY'!B:D,3,0)</f>
        <v>1.5</v>
      </c>
      <c r="L51">
        <v>6.6</v>
      </c>
      <c r="M51">
        <v>0.75</v>
      </c>
    </row>
    <row r="52" spans="1:13">
      <c r="A52" t="s">
        <v>39</v>
      </c>
      <c r="B52" t="s">
        <v>39</v>
      </c>
      <c r="C52" t="s">
        <v>34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f>VLOOKUP(B52,'FRAME ASSIGNMENTS SUMMARY'!B:D,3,0)</f>
        <v>1.5</v>
      </c>
      <c r="L52">
        <v>0</v>
      </c>
      <c r="M52">
        <v>0.75</v>
      </c>
    </row>
    <row r="53" spans="1:13">
      <c r="A53" t="s">
        <v>39</v>
      </c>
      <c r="B53" t="s">
        <v>39</v>
      </c>
      <c r="C53" t="s">
        <v>34</v>
      </c>
      <c r="D53">
        <v>0</v>
      </c>
      <c r="E53">
        <v>26.521978378295898</v>
      </c>
      <c r="F53">
        <v>25.927589416503899</v>
      </c>
      <c r="G53">
        <v>25.927589416503899</v>
      </c>
      <c r="H53">
        <v>2.1005795001983598</v>
      </c>
      <c r="I53">
        <v>1.6384085416793801</v>
      </c>
      <c r="J53">
        <v>1.6384085416793801</v>
      </c>
      <c r="K53">
        <f>VLOOKUP(B53,'FRAME ASSIGNMENTS SUMMARY'!B:D,3,0)</f>
        <v>1.5</v>
      </c>
      <c r="L53">
        <v>0</v>
      </c>
      <c r="M53">
        <v>0.75</v>
      </c>
    </row>
    <row r="54" spans="1:13">
      <c r="A54" t="s">
        <v>39</v>
      </c>
      <c r="B54" t="s">
        <v>39</v>
      </c>
      <c r="C54" t="s">
        <v>34</v>
      </c>
      <c r="D54">
        <v>0.37499999999999101</v>
      </c>
      <c r="E54">
        <v>28.896501541137699</v>
      </c>
      <c r="F54">
        <v>17.7082195281982</v>
      </c>
      <c r="G54">
        <v>17.7082195281982</v>
      </c>
      <c r="H54">
        <v>6.4417576789856001</v>
      </c>
      <c r="I54">
        <v>2.9384398460388201</v>
      </c>
      <c r="J54">
        <v>2.9384398460388201</v>
      </c>
      <c r="K54">
        <f>VLOOKUP(B54,'FRAME ASSIGNMENTS SUMMARY'!B:D,3,0)</f>
        <v>1.5</v>
      </c>
      <c r="L54">
        <v>0</v>
      </c>
      <c r="M54">
        <v>0.75</v>
      </c>
    </row>
    <row r="55" spans="1:13">
      <c r="A55" t="s">
        <v>39</v>
      </c>
      <c r="B55" t="s">
        <v>39</v>
      </c>
      <c r="C55" t="s">
        <v>34</v>
      </c>
      <c r="D55">
        <v>0.37499999999999101</v>
      </c>
      <c r="E55">
        <v>-8.9506158828735405</v>
      </c>
      <c r="F55">
        <v>-227.09750366210901</v>
      </c>
      <c r="G55">
        <v>-227.09750366210901</v>
      </c>
      <c r="H55">
        <v>5.9339394569396999</v>
      </c>
      <c r="I55">
        <v>-1.43416965007782</v>
      </c>
      <c r="J55">
        <v>-1.43416965007782</v>
      </c>
      <c r="K55">
        <f>VLOOKUP(B55,'FRAME ASSIGNMENTS SUMMARY'!B:D,3,0)</f>
        <v>1.5</v>
      </c>
      <c r="L55">
        <v>0</v>
      </c>
      <c r="M55">
        <v>0.75</v>
      </c>
    </row>
    <row r="56" spans="1:13">
      <c r="A56" t="s">
        <v>39</v>
      </c>
      <c r="B56" t="s">
        <v>39</v>
      </c>
      <c r="C56" t="s">
        <v>34</v>
      </c>
      <c r="D56">
        <v>0.75</v>
      </c>
      <c r="E56">
        <v>66.008895874023395</v>
      </c>
      <c r="F56">
        <v>-227.09750366210901</v>
      </c>
      <c r="G56">
        <v>-227.09750366210901</v>
      </c>
      <c r="H56">
        <v>0.158040195703506</v>
      </c>
      <c r="I56">
        <v>82.8466796875</v>
      </c>
      <c r="J56">
        <v>82.8466796875</v>
      </c>
      <c r="K56">
        <f>VLOOKUP(B56,'FRAME ASSIGNMENTS SUMMARY'!B:D,3,0)</f>
        <v>1.5</v>
      </c>
      <c r="L56">
        <v>0</v>
      </c>
      <c r="M56">
        <v>0.75</v>
      </c>
    </row>
    <row r="57" spans="1:13">
      <c r="A57" t="s">
        <v>39</v>
      </c>
      <c r="B57" t="s">
        <v>39</v>
      </c>
      <c r="C57" t="s">
        <v>34</v>
      </c>
      <c r="D57">
        <v>0.75</v>
      </c>
      <c r="E57">
        <v>89.9913330078125</v>
      </c>
      <c r="F57">
        <v>224.82923889160199</v>
      </c>
      <c r="G57">
        <v>224.82923889160199</v>
      </c>
      <c r="H57">
        <v>8.3139009773731204E-2</v>
      </c>
      <c r="I57">
        <v>83.540199279785199</v>
      </c>
      <c r="J57">
        <v>83.540199279785199</v>
      </c>
      <c r="K57">
        <f>VLOOKUP(B57,'FRAME ASSIGNMENTS SUMMARY'!B:D,3,0)</f>
        <v>1.5</v>
      </c>
      <c r="L57">
        <v>0</v>
      </c>
      <c r="M57">
        <v>0.75</v>
      </c>
    </row>
    <row r="58" spans="1:13">
      <c r="A58" t="s">
        <v>39</v>
      </c>
      <c r="B58" t="s">
        <v>39</v>
      </c>
      <c r="C58" t="s">
        <v>34</v>
      </c>
      <c r="D58">
        <v>1.12499999999999</v>
      </c>
      <c r="E58">
        <v>15.3957633972168</v>
      </c>
      <c r="F58">
        <v>224.82923889160199</v>
      </c>
      <c r="G58">
        <v>224.82923889160199</v>
      </c>
      <c r="H58">
        <v>-5.7267346382141104</v>
      </c>
      <c r="I58">
        <v>0.10138025134801899</v>
      </c>
      <c r="J58">
        <v>0.10138025134801899</v>
      </c>
      <c r="K58">
        <f>VLOOKUP(B58,'FRAME ASSIGNMENTS SUMMARY'!B:D,3,0)</f>
        <v>1.5</v>
      </c>
      <c r="L58">
        <v>0</v>
      </c>
      <c r="M58">
        <v>0.75</v>
      </c>
    </row>
    <row r="59" spans="1:13">
      <c r="A59" t="s">
        <v>39</v>
      </c>
      <c r="B59" t="s">
        <v>39</v>
      </c>
      <c r="C59" t="s">
        <v>34</v>
      </c>
      <c r="D59">
        <v>1.12499999999999</v>
      </c>
      <c r="E59">
        <v>71.6253662109375</v>
      </c>
      <c r="F59">
        <v>-10.9818267822266</v>
      </c>
      <c r="G59">
        <v>-10.9818267822266</v>
      </c>
      <c r="H59">
        <v>-6.2241744995117196</v>
      </c>
      <c r="I59">
        <v>4.5657067298889196</v>
      </c>
      <c r="J59">
        <v>4.5657067298889196</v>
      </c>
      <c r="K59">
        <f>VLOOKUP(B59,'FRAME ASSIGNMENTS SUMMARY'!B:D,3,0)</f>
        <v>1.5</v>
      </c>
      <c r="L59">
        <v>0</v>
      </c>
      <c r="M59">
        <v>0.75</v>
      </c>
    </row>
    <row r="60" spans="1:13">
      <c r="A60" t="s">
        <v>39</v>
      </c>
      <c r="B60" t="s">
        <v>39</v>
      </c>
      <c r="C60" t="s">
        <v>34</v>
      </c>
      <c r="D60">
        <v>1.5</v>
      </c>
      <c r="E60">
        <v>48.413448333740199</v>
      </c>
      <c r="F60">
        <v>-20.279708862304702</v>
      </c>
      <c r="G60">
        <v>-20.279708862304702</v>
      </c>
      <c r="H60">
        <v>-2.0616376399993901</v>
      </c>
      <c r="I60">
        <v>0.86097556352615401</v>
      </c>
      <c r="J60">
        <v>0.86097556352615401</v>
      </c>
      <c r="K60">
        <f>VLOOKUP(B60,'FRAME ASSIGNMENTS SUMMARY'!B:D,3,0)</f>
        <v>1.5</v>
      </c>
      <c r="L60">
        <v>0</v>
      </c>
      <c r="M60">
        <v>0.75</v>
      </c>
    </row>
    <row r="61" spans="1:13">
      <c r="A61" t="s">
        <v>39</v>
      </c>
      <c r="B61" t="s">
        <v>39</v>
      </c>
      <c r="C61" t="s">
        <v>34</v>
      </c>
      <c r="D61">
        <v>1.5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f>VLOOKUP(B61,'FRAME ASSIGNMENTS SUMMARY'!B:D,3,0)</f>
        <v>1.5</v>
      </c>
      <c r="L61">
        <v>0</v>
      </c>
      <c r="M61">
        <v>0.75</v>
      </c>
    </row>
    <row r="62" spans="1:13">
      <c r="A62" t="s">
        <v>40</v>
      </c>
      <c r="B62" t="s">
        <v>40</v>
      </c>
      <c r="C62" t="s">
        <v>34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f>VLOOKUP(B62,'FRAME ASSIGNMENTS SUMMARY'!B:D,3,0)</f>
        <v>1.5</v>
      </c>
      <c r="L62">
        <v>6.5999999999999899</v>
      </c>
      <c r="M62">
        <v>1.5</v>
      </c>
    </row>
    <row r="63" spans="1:13">
      <c r="A63" t="s">
        <v>40</v>
      </c>
      <c r="B63" t="s">
        <v>40</v>
      </c>
      <c r="C63" t="s">
        <v>34</v>
      </c>
      <c r="D63">
        <v>0</v>
      </c>
      <c r="E63">
        <v>-4.9451565742492702</v>
      </c>
      <c r="F63">
        <v>14.9885368347168</v>
      </c>
      <c r="G63">
        <v>14.9885368347168</v>
      </c>
      <c r="H63">
        <v>1.6271002292633101</v>
      </c>
      <c r="I63">
        <v>-2.1198706626892099</v>
      </c>
      <c r="J63">
        <v>-2.1198706626892099</v>
      </c>
      <c r="K63">
        <f>VLOOKUP(B63,'FRAME ASSIGNMENTS SUMMARY'!B:D,3,0)</f>
        <v>1.5</v>
      </c>
      <c r="L63">
        <v>6.5999999999999899</v>
      </c>
      <c r="M63">
        <v>1.5</v>
      </c>
    </row>
    <row r="64" spans="1:13">
      <c r="A64" t="s">
        <v>40</v>
      </c>
      <c r="B64" t="s">
        <v>40</v>
      </c>
      <c r="C64" t="s">
        <v>34</v>
      </c>
      <c r="D64">
        <v>0.37499999999998501</v>
      </c>
      <c r="E64">
        <v>-16.302755355835</v>
      </c>
      <c r="F64">
        <v>3.7738516330718999</v>
      </c>
      <c r="G64">
        <v>3.7738516330718999</v>
      </c>
      <c r="H64">
        <v>12.157742500305201</v>
      </c>
      <c r="I64">
        <v>4.2509717941284197</v>
      </c>
      <c r="J64">
        <v>4.2509717941284197</v>
      </c>
      <c r="K64">
        <f>VLOOKUP(B64,'FRAME ASSIGNMENTS SUMMARY'!B:D,3,0)</f>
        <v>1.5</v>
      </c>
      <c r="L64">
        <v>6.5999999999999899</v>
      </c>
      <c r="M64">
        <v>1.5</v>
      </c>
    </row>
    <row r="65" spans="1:13">
      <c r="A65" t="s">
        <v>40</v>
      </c>
      <c r="B65" t="s">
        <v>40</v>
      </c>
      <c r="C65" t="s">
        <v>34</v>
      </c>
      <c r="D65">
        <v>0.37499999999998501</v>
      </c>
      <c r="E65">
        <v>-15.895178794860801</v>
      </c>
      <c r="F65">
        <v>-256.93539428710898</v>
      </c>
      <c r="G65">
        <v>-256.93539428710898</v>
      </c>
      <c r="H65">
        <v>11.969183921814</v>
      </c>
      <c r="I65">
        <v>-0.91141211986541704</v>
      </c>
      <c r="J65">
        <v>-0.91141211986541704</v>
      </c>
      <c r="K65">
        <f>VLOOKUP(B65,'FRAME ASSIGNMENTS SUMMARY'!B:D,3,0)</f>
        <v>1.5</v>
      </c>
      <c r="L65">
        <v>6.5999999999999899</v>
      </c>
      <c r="M65">
        <v>1.5</v>
      </c>
    </row>
    <row r="66" spans="1:13">
      <c r="A66" t="s">
        <v>40</v>
      </c>
      <c r="B66" t="s">
        <v>40</v>
      </c>
      <c r="C66" t="s">
        <v>34</v>
      </c>
      <c r="D66">
        <v>0.749999999999996</v>
      </c>
      <c r="E66">
        <v>16.3125324249268</v>
      </c>
      <c r="F66">
        <v>-256.93539428710898</v>
      </c>
      <c r="G66">
        <v>-256.93539428710898</v>
      </c>
      <c r="H66">
        <v>1.24436807632446</v>
      </c>
      <c r="I66">
        <v>94.443443298339801</v>
      </c>
      <c r="J66">
        <v>94.443443298339801</v>
      </c>
      <c r="K66">
        <f>VLOOKUP(B66,'FRAME ASSIGNMENTS SUMMARY'!B:D,3,0)</f>
        <v>1.5</v>
      </c>
      <c r="L66">
        <v>6.6</v>
      </c>
      <c r="M66">
        <v>1.5</v>
      </c>
    </row>
    <row r="67" spans="1:13">
      <c r="A67" t="s">
        <v>40</v>
      </c>
      <c r="B67" t="s">
        <v>40</v>
      </c>
      <c r="C67" t="s">
        <v>34</v>
      </c>
      <c r="D67">
        <v>0.749999999999996</v>
      </c>
      <c r="E67">
        <v>79.205253601074205</v>
      </c>
      <c r="F67">
        <v>256.28872680664102</v>
      </c>
      <c r="G67">
        <v>256.28872680664102</v>
      </c>
      <c r="H67">
        <v>1.1340259313583401</v>
      </c>
      <c r="I67">
        <v>96.268730163574205</v>
      </c>
      <c r="J67">
        <v>96.268730163574205</v>
      </c>
      <c r="K67">
        <f>VLOOKUP(B67,'FRAME ASSIGNMENTS SUMMARY'!B:D,3,0)</f>
        <v>1.5</v>
      </c>
      <c r="L67">
        <v>6.6</v>
      </c>
      <c r="M67">
        <v>1.5</v>
      </c>
    </row>
    <row r="68" spans="1:13">
      <c r="A68" t="s">
        <v>40</v>
      </c>
      <c r="B68" t="s">
        <v>40</v>
      </c>
      <c r="C68" t="s">
        <v>34</v>
      </c>
      <c r="D68">
        <v>1.12499999999999</v>
      </c>
      <c r="E68">
        <v>44.074504852294901</v>
      </c>
      <c r="F68">
        <v>256.28872680664102</v>
      </c>
      <c r="G68">
        <v>256.28872680664102</v>
      </c>
      <c r="H68">
        <v>-11.094765663146999</v>
      </c>
      <c r="I68">
        <v>1.1539498567581199</v>
      </c>
      <c r="J68">
        <v>1.1539498567581199</v>
      </c>
      <c r="K68">
        <f>VLOOKUP(B68,'FRAME ASSIGNMENTS SUMMARY'!B:D,3,0)</f>
        <v>1.5</v>
      </c>
      <c r="L68">
        <v>6.6</v>
      </c>
      <c r="M68">
        <v>1.5</v>
      </c>
    </row>
    <row r="69" spans="1:13">
      <c r="A69" t="s">
        <v>40</v>
      </c>
      <c r="B69" t="s">
        <v>40</v>
      </c>
      <c r="C69" t="s">
        <v>34</v>
      </c>
      <c r="D69">
        <v>1.12499999999999</v>
      </c>
      <c r="E69">
        <v>97.115234375</v>
      </c>
      <c r="F69">
        <v>2.22020411491394</v>
      </c>
      <c r="G69">
        <v>2.22020411491394</v>
      </c>
      <c r="H69">
        <v>-11.288743972778301</v>
      </c>
      <c r="I69">
        <v>6.3181085586547896</v>
      </c>
      <c r="J69">
        <v>6.3181085586547896</v>
      </c>
      <c r="K69">
        <f>VLOOKUP(B69,'FRAME ASSIGNMENTS SUMMARY'!B:D,3,0)</f>
        <v>1.5</v>
      </c>
      <c r="L69">
        <v>6.6</v>
      </c>
      <c r="M69">
        <v>1.5</v>
      </c>
    </row>
    <row r="70" spans="1:13">
      <c r="A70" t="s">
        <v>40</v>
      </c>
      <c r="B70" t="s">
        <v>40</v>
      </c>
      <c r="C70" t="s">
        <v>34</v>
      </c>
      <c r="D70">
        <v>1.5</v>
      </c>
      <c r="E70">
        <v>50.591575622558601</v>
      </c>
      <c r="F70">
        <v>-10.109946250915501</v>
      </c>
      <c r="G70">
        <v>-10.109946250915501</v>
      </c>
      <c r="H70">
        <v>-0.92927789688110396</v>
      </c>
      <c r="I70">
        <v>-2.1805908679962198</v>
      </c>
      <c r="J70">
        <v>-2.1805908679962198</v>
      </c>
      <c r="K70">
        <f>VLOOKUP(B70,'FRAME ASSIGNMENTS SUMMARY'!B:D,3,0)</f>
        <v>1.5</v>
      </c>
      <c r="L70">
        <v>6.6</v>
      </c>
      <c r="M70">
        <v>1.5</v>
      </c>
    </row>
    <row r="71" spans="1:13">
      <c r="A71" t="s">
        <v>40</v>
      </c>
      <c r="B71" t="s">
        <v>40</v>
      </c>
      <c r="C71" t="s">
        <v>34</v>
      </c>
      <c r="D71">
        <v>1.5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f>VLOOKUP(B71,'FRAME ASSIGNMENTS SUMMARY'!B:D,3,0)</f>
        <v>1.5</v>
      </c>
      <c r="L71">
        <v>6.6</v>
      </c>
      <c r="M71">
        <v>1.5</v>
      </c>
    </row>
    <row r="72" spans="1:13">
      <c r="A72" t="s">
        <v>41</v>
      </c>
      <c r="B72" t="s">
        <v>41</v>
      </c>
      <c r="C72" t="s">
        <v>34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f>VLOOKUP(B72,'FRAME ASSIGNMENTS SUMMARY'!B:D,3,0)</f>
        <v>1.5</v>
      </c>
      <c r="L72">
        <v>6.6</v>
      </c>
      <c r="M72">
        <v>1.5</v>
      </c>
    </row>
    <row r="73" spans="1:13">
      <c r="A73" t="s">
        <v>41</v>
      </c>
      <c r="B73" t="s">
        <v>41</v>
      </c>
      <c r="C73" t="s">
        <v>34</v>
      </c>
      <c r="D73">
        <v>0</v>
      </c>
      <c r="E73">
        <v>61.133724212646499</v>
      </c>
      <c r="F73">
        <v>33.504634857177699</v>
      </c>
      <c r="G73">
        <v>33.504634857177699</v>
      </c>
      <c r="H73">
        <v>19.027294158935501</v>
      </c>
      <c r="I73">
        <v>-46.149738311767599</v>
      </c>
      <c r="J73">
        <v>-46.149738311767599</v>
      </c>
      <c r="K73">
        <f>VLOOKUP(B73,'FRAME ASSIGNMENTS SUMMARY'!B:D,3,0)</f>
        <v>1.5</v>
      </c>
      <c r="L73">
        <v>6.6</v>
      </c>
      <c r="M73">
        <v>1.5</v>
      </c>
    </row>
    <row r="74" spans="1:13">
      <c r="A74" t="s">
        <v>41</v>
      </c>
      <c r="B74" t="s">
        <v>41</v>
      </c>
      <c r="C74" t="s">
        <v>34</v>
      </c>
      <c r="D74">
        <v>0.37499999999998601</v>
      </c>
      <c r="E74">
        <v>29.562994003295898</v>
      </c>
      <c r="F74">
        <v>32.675216674804702</v>
      </c>
      <c r="G74">
        <v>32.675216674804702</v>
      </c>
      <c r="H74">
        <v>-3.8630619049072301</v>
      </c>
      <c r="I74">
        <v>-69.152503967285199</v>
      </c>
      <c r="J74">
        <v>-69.152503967285199</v>
      </c>
      <c r="K74">
        <f>VLOOKUP(B74,'FRAME ASSIGNMENTS SUMMARY'!B:D,3,0)</f>
        <v>1.5</v>
      </c>
      <c r="L74">
        <v>6.6</v>
      </c>
      <c r="M74">
        <v>1.5</v>
      </c>
    </row>
    <row r="75" spans="1:13">
      <c r="A75" t="s">
        <v>41</v>
      </c>
      <c r="B75" t="s">
        <v>41</v>
      </c>
      <c r="C75" t="s">
        <v>34</v>
      </c>
      <c r="D75">
        <v>0.37499999999998601</v>
      </c>
      <c r="E75">
        <v>42.129734039306598</v>
      </c>
      <c r="F75">
        <v>-183.047775268555</v>
      </c>
      <c r="G75">
        <v>-183.047775268555</v>
      </c>
      <c r="H75">
        <v>-3.3256087303161599</v>
      </c>
      <c r="I75">
        <v>-71.021011352539105</v>
      </c>
      <c r="J75">
        <v>-71.021011352539105</v>
      </c>
      <c r="K75">
        <f>VLOOKUP(B75,'FRAME ASSIGNMENTS SUMMARY'!B:D,3,0)</f>
        <v>1.5</v>
      </c>
      <c r="L75">
        <v>6.6</v>
      </c>
      <c r="M75">
        <v>1.5</v>
      </c>
    </row>
    <row r="76" spans="1:13">
      <c r="A76" t="s">
        <v>41</v>
      </c>
      <c r="B76" t="s">
        <v>41</v>
      </c>
      <c r="C76" t="s">
        <v>34</v>
      </c>
      <c r="D76">
        <v>0.75</v>
      </c>
      <c r="E76">
        <v>68.369216918945298</v>
      </c>
      <c r="F76">
        <v>-183.047775268555</v>
      </c>
      <c r="G76">
        <v>-183.047775268555</v>
      </c>
      <c r="H76">
        <v>-0.21966065466404</v>
      </c>
      <c r="I76">
        <v>-3.0881795883178702</v>
      </c>
      <c r="J76">
        <v>-3.0881795883178702</v>
      </c>
      <c r="K76">
        <f>VLOOKUP(B76,'FRAME ASSIGNMENTS SUMMARY'!B:D,3,0)</f>
        <v>1.5</v>
      </c>
      <c r="L76">
        <v>6.6</v>
      </c>
      <c r="M76">
        <v>1.5</v>
      </c>
    </row>
    <row r="77" spans="1:13">
      <c r="A77" t="s">
        <v>41</v>
      </c>
      <c r="B77" t="s">
        <v>41</v>
      </c>
      <c r="C77" t="s">
        <v>34</v>
      </c>
      <c r="D77">
        <v>0.75</v>
      </c>
      <c r="E77">
        <v>13.132052421569799</v>
      </c>
      <c r="F77">
        <v>184.58644104003901</v>
      </c>
      <c r="G77">
        <v>184.58644104003901</v>
      </c>
      <c r="H77">
        <v>-0.20231126248836501</v>
      </c>
      <c r="I77">
        <v>0.70364463329315197</v>
      </c>
      <c r="J77">
        <v>0.70364463329315197</v>
      </c>
      <c r="K77">
        <f>VLOOKUP(B77,'FRAME ASSIGNMENTS SUMMARY'!B:D,3,0)</f>
        <v>1.5</v>
      </c>
      <c r="L77">
        <v>6.6</v>
      </c>
      <c r="M77">
        <v>1.5</v>
      </c>
    </row>
    <row r="78" spans="1:13">
      <c r="A78" t="s">
        <v>41</v>
      </c>
      <c r="B78" t="s">
        <v>41</v>
      </c>
      <c r="C78" t="s">
        <v>34</v>
      </c>
      <c r="D78">
        <v>1.12499999999998</v>
      </c>
      <c r="E78">
        <v>-10.1854305267334</v>
      </c>
      <c r="F78">
        <v>184.58644104003901</v>
      </c>
      <c r="G78">
        <v>184.58644104003901</v>
      </c>
      <c r="H78">
        <v>2.7850379943847701</v>
      </c>
      <c r="I78">
        <v>-67.800346374511705</v>
      </c>
      <c r="J78">
        <v>-67.800346374511705</v>
      </c>
      <c r="K78">
        <f>VLOOKUP(B78,'FRAME ASSIGNMENTS SUMMARY'!B:D,3,0)</f>
        <v>1.5</v>
      </c>
      <c r="L78">
        <v>6.6</v>
      </c>
      <c r="M78">
        <v>1.5</v>
      </c>
    </row>
    <row r="79" spans="1:13">
      <c r="A79" t="s">
        <v>41</v>
      </c>
      <c r="B79" t="s">
        <v>41</v>
      </c>
      <c r="C79" t="s">
        <v>34</v>
      </c>
      <c r="D79">
        <v>1.12499999999998</v>
      </c>
      <c r="E79">
        <v>30.458236694335898</v>
      </c>
      <c r="F79">
        <v>-31.739070892333999</v>
      </c>
      <c r="G79">
        <v>-31.739070892333999</v>
      </c>
      <c r="H79">
        <v>3.2653381824493399</v>
      </c>
      <c r="I79">
        <v>-65.703865051269503</v>
      </c>
      <c r="J79">
        <v>-65.703865051269503</v>
      </c>
      <c r="K79">
        <f>VLOOKUP(B79,'FRAME ASSIGNMENTS SUMMARY'!B:D,3,0)</f>
        <v>1.5</v>
      </c>
      <c r="L79">
        <v>6.6</v>
      </c>
      <c r="M79">
        <v>1.5</v>
      </c>
    </row>
    <row r="80" spans="1:13">
      <c r="A80" t="s">
        <v>41</v>
      </c>
      <c r="B80" t="s">
        <v>41</v>
      </c>
      <c r="C80" t="s">
        <v>34</v>
      </c>
      <c r="D80">
        <v>1.5</v>
      </c>
      <c r="E80">
        <v>-2.4153466224670401</v>
      </c>
      <c r="F80">
        <v>-32.943580627441399</v>
      </c>
      <c r="G80">
        <v>-32.943580627441399</v>
      </c>
      <c r="H80">
        <v>-18.272443771362301</v>
      </c>
      <c r="I80">
        <v>-44.0281372070313</v>
      </c>
      <c r="J80">
        <v>-44.0281372070313</v>
      </c>
      <c r="K80">
        <f>VLOOKUP(B80,'FRAME ASSIGNMENTS SUMMARY'!B:D,3,0)</f>
        <v>1.5</v>
      </c>
      <c r="L80">
        <v>6.6</v>
      </c>
      <c r="M80">
        <v>1.5</v>
      </c>
    </row>
    <row r="81" spans="1:13">
      <c r="A81" t="s">
        <v>41</v>
      </c>
      <c r="B81" t="s">
        <v>41</v>
      </c>
      <c r="C81" t="s">
        <v>34</v>
      </c>
      <c r="D81">
        <v>1.5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f>VLOOKUP(B81,'FRAME ASSIGNMENTS SUMMARY'!B:D,3,0)</f>
        <v>1.5</v>
      </c>
      <c r="L81">
        <v>6.6</v>
      </c>
      <c r="M81">
        <v>1.5</v>
      </c>
    </row>
    <row r="82" spans="1:13">
      <c r="A82" t="s">
        <v>42</v>
      </c>
      <c r="B82" t="s">
        <v>42</v>
      </c>
      <c r="C82" t="s">
        <v>34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f>VLOOKUP(B82,'FRAME ASSIGNMENTS SUMMARY'!B:D,3,0)</f>
        <v>1.5</v>
      </c>
      <c r="L82">
        <v>6.6</v>
      </c>
      <c r="M82">
        <v>1.5</v>
      </c>
    </row>
    <row r="83" spans="1:13">
      <c r="A83" t="s">
        <v>42</v>
      </c>
      <c r="B83" t="s">
        <v>42</v>
      </c>
      <c r="C83" t="s">
        <v>34</v>
      </c>
      <c r="D83">
        <v>0</v>
      </c>
      <c r="E83">
        <v>-0.145124197006226</v>
      </c>
      <c r="F83">
        <v>-5.3006839752197301</v>
      </c>
      <c r="G83">
        <v>-5.3006839752197301</v>
      </c>
      <c r="H83">
        <v>11.1322174072266</v>
      </c>
      <c r="I83">
        <v>-34.0668334960938</v>
      </c>
      <c r="J83">
        <v>-34.0668334960938</v>
      </c>
      <c r="K83">
        <f>VLOOKUP(B83,'FRAME ASSIGNMENTS SUMMARY'!B:D,3,0)</f>
        <v>1.5</v>
      </c>
      <c r="L83">
        <v>6.6</v>
      </c>
      <c r="M83">
        <v>1.5</v>
      </c>
    </row>
    <row r="84" spans="1:13">
      <c r="A84" t="s">
        <v>42</v>
      </c>
      <c r="B84" t="s">
        <v>42</v>
      </c>
      <c r="C84" t="s">
        <v>34</v>
      </c>
      <c r="D84">
        <v>0.37499999999998601</v>
      </c>
      <c r="E84">
        <v>-7.4222865104675302</v>
      </c>
      <c r="F84">
        <v>-22.570850372314499</v>
      </c>
      <c r="G84">
        <v>-22.570850372314499</v>
      </c>
      <c r="H84">
        <v>2.70155572891235</v>
      </c>
      <c r="I84">
        <v>-30.053796768188501</v>
      </c>
      <c r="J84">
        <v>-30.053796768188501</v>
      </c>
      <c r="K84">
        <f>VLOOKUP(B84,'FRAME ASSIGNMENTS SUMMARY'!B:D,3,0)</f>
        <v>1.5</v>
      </c>
      <c r="L84">
        <v>6.6</v>
      </c>
      <c r="M84">
        <v>1.5</v>
      </c>
    </row>
    <row r="85" spans="1:13">
      <c r="A85" t="s">
        <v>42</v>
      </c>
      <c r="B85" t="s">
        <v>42</v>
      </c>
      <c r="C85" t="s">
        <v>34</v>
      </c>
      <c r="D85">
        <v>0.37499999999998601</v>
      </c>
      <c r="E85">
        <v>-19.1660060882568</v>
      </c>
      <c r="F85">
        <v>-240.76585388183599</v>
      </c>
      <c r="G85">
        <v>-240.76585388183599</v>
      </c>
      <c r="H85">
        <v>3.1654996871948202</v>
      </c>
      <c r="I85">
        <v>-34.2562065124512</v>
      </c>
      <c r="J85">
        <v>-34.2562065124512</v>
      </c>
      <c r="K85">
        <f>VLOOKUP(B85,'FRAME ASSIGNMENTS SUMMARY'!B:D,3,0)</f>
        <v>1.5</v>
      </c>
      <c r="L85">
        <v>6.6</v>
      </c>
      <c r="M85">
        <v>1.5</v>
      </c>
    </row>
    <row r="86" spans="1:13">
      <c r="A86" t="s">
        <v>42</v>
      </c>
      <c r="B86" t="s">
        <v>42</v>
      </c>
      <c r="C86" t="s">
        <v>34</v>
      </c>
      <c r="D86">
        <v>0.749999999999996</v>
      </c>
      <c r="E86">
        <v>22.178401947021499</v>
      </c>
      <c r="F86">
        <v>-240.76585388183599</v>
      </c>
      <c r="G86">
        <v>-240.76585388183599</v>
      </c>
      <c r="H86">
        <v>-0.45010173320770303</v>
      </c>
      <c r="I86">
        <v>55.098484039306598</v>
      </c>
      <c r="J86">
        <v>55.098484039306598</v>
      </c>
      <c r="K86">
        <f>VLOOKUP(B86,'FRAME ASSIGNMENTS SUMMARY'!B:D,3,0)</f>
        <v>1.5</v>
      </c>
      <c r="L86">
        <v>6.6</v>
      </c>
      <c r="M86">
        <v>1.5</v>
      </c>
    </row>
    <row r="87" spans="1:13">
      <c r="A87" t="s">
        <v>42</v>
      </c>
      <c r="B87" t="s">
        <v>42</v>
      </c>
      <c r="C87" t="s">
        <v>34</v>
      </c>
      <c r="D87">
        <v>0.749999999999996</v>
      </c>
      <c r="E87">
        <v>78.757781982421903</v>
      </c>
      <c r="F87">
        <v>201.77528381347699</v>
      </c>
      <c r="G87">
        <v>201.77528381347699</v>
      </c>
      <c r="H87">
        <v>-0.50248950719833396</v>
      </c>
      <c r="I87">
        <v>57.182979583740199</v>
      </c>
      <c r="J87">
        <v>57.182979583740199</v>
      </c>
      <c r="K87">
        <f>VLOOKUP(B87,'FRAME ASSIGNMENTS SUMMARY'!B:D,3,0)</f>
        <v>1.5</v>
      </c>
      <c r="L87">
        <v>6.6</v>
      </c>
      <c r="M87">
        <v>1.5</v>
      </c>
    </row>
    <row r="88" spans="1:13">
      <c r="A88" t="s">
        <v>42</v>
      </c>
      <c r="B88" t="s">
        <v>42</v>
      </c>
      <c r="C88" t="s">
        <v>34</v>
      </c>
      <c r="D88">
        <v>1.12499999999998</v>
      </c>
      <c r="E88">
        <v>34.2103271484375</v>
      </c>
      <c r="F88">
        <v>201.77528381347699</v>
      </c>
      <c r="G88">
        <v>201.77528381347699</v>
      </c>
      <c r="H88">
        <v>-5.5529289245605504</v>
      </c>
      <c r="I88">
        <v>-17.698064804077099</v>
      </c>
      <c r="J88">
        <v>-17.698064804077099</v>
      </c>
      <c r="K88">
        <f>VLOOKUP(B88,'FRAME ASSIGNMENTS SUMMARY'!B:D,3,0)</f>
        <v>1.5</v>
      </c>
      <c r="L88">
        <v>6.6</v>
      </c>
      <c r="M88">
        <v>1.5</v>
      </c>
    </row>
    <row r="89" spans="1:13">
      <c r="A89" t="s">
        <v>42</v>
      </c>
      <c r="B89" t="s">
        <v>42</v>
      </c>
      <c r="C89" t="s">
        <v>34</v>
      </c>
      <c r="D89">
        <v>1.12499999999998</v>
      </c>
      <c r="E89">
        <v>82.719642639160199</v>
      </c>
      <c r="F89">
        <v>-28.106174468994102</v>
      </c>
      <c r="G89">
        <v>-28.106174468994102</v>
      </c>
      <c r="H89">
        <v>-5.6775646209716797</v>
      </c>
      <c r="I89">
        <v>-13.9223222732544</v>
      </c>
      <c r="J89">
        <v>-13.9223222732544</v>
      </c>
      <c r="K89">
        <f>VLOOKUP(B89,'FRAME ASSIGNMENTS SUMMARY'!B:D,3,0)</f>
        <v>1.5</v>
      </c>
      <c r="L89">
        <v>6.6</v>
      </c>
      <c r="M89">
        <v>1.5</v>
      </c>
    </row>
    <row r="90" spans="1:13">
      <c r="A90" t="s">
        <v>42</v>
      </c>
      <c r="B90" t="s">
        <v>42</v>
      </c>
      <c r="C90" t="s">
        <v>34</v>
      </c>
      <c r="D90">
        <v>1.5</v>
      </c>
      <c r="E90">
        <v>45.336799621582003</v>
      </c>
      <c r="F90">
        <v>-30.835428237915</v>
      </c>
      <c r="G90">
        <v>-30.835428237915</v>
      </c>
      <c r="H90">
        <v>-4.7096385955810502</v>
      </c>
      <c r="I90">
        <v>-7.6267805099487296</v>
      </c>
      <c r="J90">
        <v>-7.6267805099487296</v>
      </c>
      <c r="K90">
        <f>VLOOKUP(B90,'FRAME ASSIGNMENTS SUMMARY'!B:D,3,0)</f>
        <v>1.5</v>
      </c>
      <c r="L90">
        <v>6.6</v>
      </c>
      <c r="M90">
        <v>1.5</v>
      </c>
    </row>
    <row r="91" spans="1:13">
      <c r="A91" t="s">
        <v>42</v>
      </c>
      <c r="B91" t="s">
        <v>42</v>
      </c>
      <c r="C91" t="s">
        <v>34</v>
      </c>
      <c r="D91">
        <v>1.5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f>VLOOKUP(B91,'FRAME ASSIGNMENTS SUMMARY'!B:D,3,0)</f>
        <v>1.5</v>
      </c>
      <c r="L91">
        <v>6.6</v>
      </c>
      <c r="M91">
        <v>1.5</v>
      </c>
    </row>
    <row r="92" spans="1:13">
      <c r="A92" t="s">
        <v>43</v>
      </c>
      <c r="B92" t="s">
        <v>43</v>
      </c>
      <c r="C92" t="s">
        <v>34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f>VLOOKUP(B92,'FRAME ASSIGNMENTS SUMMARY'!B:D,3,0)</f>
        <v>1.5</v>
      </c>
      <c r="L92">
        <v>13.525</v>
      </c>
      <c r="M92">
        <v>1.5</v>
      </c>
    </row>
    <row r="93" spans="1:13">
      <c r="A93" t="s">
        <v>43</v>
      </c>
      <c r="B93" t="s">
        <v>43</v>
      </c>
      <c r="C93" t="s">
        <v>34</v>
      </c>
      <c r="D93">
        <v>0</v>
      </c>
      <c r="E93">
        <v>42.722724914550803</v>
      </c>
      <c r="F93">
        <v>-10.697315216064499</v>
      </c>
      <c r="G93">
        <v>-10.697315216064499</v>
      </c>
      <c r="H93">
        <v>0.20410798490047499</v>
      </c>
      <c r="I93">
        <v>-27.5015773773193</v>
      </c>
      <c r="J93">
        <v>-27.5015773773193</v>
      </c>
      <c r="K93">
        <f>VLOOKUP(B93,'FRAME ASSIGNMENTS SUMMARY'!B:D,3,0)</f>
        <v>1.5</v>
      </c>
      <c r="L93">
        <v>13.525</v>
      </c>
      <c r="M93">
        <v>1.5</v>
      </c>
    </row>
    <row r="94" spans="1:13">
      <c r="A94" t="s">
        <v>43</v>
      </c>
      <c r="B94" t="s">
        <v>43</v>
      </c>
      <c r="C94" t="s">
        <v>34</v>
      </c>
      <c r="D94">
        <v>0.37499999999998601</v>
      </c>
      <c r="E94">
        <v>34.920375823974602</v>
      </c>
      <c r="F94">
        <v>-10.697315216064499</v>
      </c>
      <c r="G94">
        <v>-10.697315216064499</v>
      </c>
      <c r="H94">
        <v>0.50304663181304898</v>
      </c>
      <c r="I94">
        <v>-23.529567718505898</v>
      </c>
      <c r="J94">
        <v>-23.529567718505898</v>
      </c>
      <c r="K94">
        <f>VLOOKUP(B94,'FRAME ASSIGNMENTS SUMMARY'!B:D,3,0)</f>
        <v>1.5</v>
      </c>
      <c r="L94">
        <v>13.900000000000899</v>
      </c>
      <c r="M94">
        <v>1.5</v>
      </c>
    </row>
    <row r="95" spans="1:13">
      <c r="A95" t="s">
        <v>43</v>
      </c>
      <c r="B95" t="s">
        <v>43</v>
      </c>
      <c r="C95" t="s">
        <v>34</v>
      </c>
      <c r="D95">
        <v>0.37499999999998601</v>
      </c>
      <c r="E95">
        <v>21.453252792358398</v>
      </c>
      <c r="F95">
        <v>-196.16807556152301</v>
      </c>
      <c r="G95">
        <v>-196.16807556152301</v>
      </c>
      <c r="H95">
        <v>0.50062322616577104</v>
      </c>
      <c r="I95">
        <v>-23.1477966308594</v>
      </c>
      <c r="J95">
        <v>-23.1477966308594</v>
      </c>
      <c r="K95">
        <f>VLOOKUP(B95,'FRAME ASSIGNMENTS SUMMARY'!B:D,3,0)</f>
        <v>1.5</v>
      </c>
      <c r="L95">
        <v>13.900000000000899</v>
      </c>
      <c r="M95">
        <v>1.5</v>
      </c>
    </row>
    <row r="96" spans="1:13">
      <c r="A96" t="s">
        <v>43</v>
      </c>
      <c r="B96" t="s">
        <v>43</v>
      </c>
      <c r="C96" t="s">
        <v>34</v>
      </c>
      <c r="D96">
        <v>0.749999999999999</v>
      </c>
      <c r="E96">
        <v>52.104465484619098</v>
      </c>
      <c r="F96">
        <v>-196.16807556152301</v>
      </c>
      <c r="G96">
        <v>-196.16807556152301</v>
      </c>
      <c r="H96">
        <v>5.0064563751220703E-2</v>
      </c>
      <c r="I96">
        <v>49.691173553466797</v>
      </c>
      <c r="J96">
        <v>49.691173553466797</v>
      </c>
      <c r="K96">
        <f>VLOOKUP(B96,'FRAME ASSIGNMENTS SUMMARY'!B:D,3,0)</f>
        <v>1.5</v>
      </c>
      <c r="L96">
        <v>14.275</v>
      </c>
      <c r="M96">
        <v>1.5</v>
      </c>
    </row>
    <row r="97" spans="1:13">
      <c r="A97" t="s">
        <v>43</v>
      </c>
      <c r="B97" t="s">
        <v>43</v>
      </c>
      <c r="C97" t="s">
        <v>34</v>
      </c>
      <c r="D97">
        <v>0.749999999999999</v>
      </c>
      <c r="E97">
        <v>74.28271484375</v>
      </c>
      <c r="F97">
        <v>180.12617492675801</v>
      </c>
      <c r="G97">
        <v>180.12617492675801</v>
      </c>
      <c r="H97">
        <v>4.9842517822980902E-2</v>
      </c>
      <c r="I97">
        <v>54.290317535400398</v>
      </c>
      <c r="J97">
        <v>54.290317535400398</v>
      </c>
      <c r="K97">
        <f>VLOOKUP(B97,'FRAME ASSIGNMENTS SUMMARY'!B:D,3,0)</f>
        <v>1.5</v>
      </c>
      <c r="L97">
        <v>14.275</v>
      </c>
      <c r="M97">
        <v>1.5</v>
      </c>
    </row>
    <row r="98" spans="1:13">
      <c r="A98" t="s">
        <v>43</v>
      </c>
      <c r="B98" t="s">
        <v>43</v>
      </c>
      <c r="C98" t="s">
        <v>34</v>
      </c>
      <c r="D98">
        <v>1.12499999999998</v>
      </c>
      <c r="E98">
        <v>38.225234985351598</v>
      </c>
      <c r="F98">
        <v>180.12617492675801</v>
      </c>
      <c r="G98">
        <v>180.12617492675801</v>
      </c>
      <c r="H98">
        <v>-0.48237395286560097</v>
      </c>
      <c r="I98">
        <v>-12.592145919799799</v>
      </c>
      <c r="J98">
        <v>-12.592145919799799</v>
      </c>
      <c r="K98">
        <f>VLOOKUP(B98,'FRAME ASSIGNMENTS SUMMARY'!B:D,3,0)</f>
        <v>1.5</v>
      </c>
      <c r="L98">
        <v>13.525</v>
      </c>
      <c r="M98">
        <v>1.5</v>
      </c>
    </row>
    <row r="99" spans="1:13">
      <c r="A99" t="s">
        <v>43</v>
      </c>
      <c r="B99" t="s">
        <v>43</v>
      </c>
      <c r="C99" t="s">
        <v>34</v>
      </c>
      <c r="D99">
        <v>1.12499999999998</v>
      </c>
      <c r="E99">
        <v>45.538871765136697</v>
      </c>
      <c r="F99">
        <v>-9.9476871490478498</v>
      </c>
      <c r="G99">
        <v>-9.9476871490478498</v>
      </c>
      <c r="H99">
        <v>-0.48517426848411599</v>
      </c>
      <c r="I99">
        <v>-12.906211853027299</v>
      </c>
      <c r="J99">
        <v>-12.906211853027299</v>
      </c>
      <c r="K99">
        <f>VLOOKUP(B99,'FRAME ASSIGNMENTS SUMMARY'!B:D,3,0)</f>
        <v>1.5</v>
      </c>
      <c r="L99">
        <v>13.525</v>
      </c>
      <c r="M99">
        <v>1.5</v>
      </c>
    </row>
    <row r="100" spans="1:13">
      <c r="A100" t="s">
        <v>43</v>
      </c>
      <c r="B100" t="s">
        <v>43</v>
      </c>
      <c r="C100" t="s">
        <v>34</v>
      </c>
      <c r="D100">
        <v>1.5</v>
      </c>
      <c r="E100">
        <v>62.887737274169901</v>
      </c>
      <c r="F100">
        <v>-9.9476871490478498</v>
      </c>
      <c r="G100">
        <v>-9.9476871490478498</v>
      </c>
      <c r="H100">
        <v>-0.187246233224869</v>
      </c>
      <c r="I100">
        <v>-9.2125463485717791</v>
      </c>
      <c r="J100">
        <v>-9.2125463485717791</v>
      </c>
      <c r="K100">
        <f>VLOOKUP(B100,'FRAME ASSIGNMENTS SUMMARY'!B:D,3,0)</f>
        <v>1.5</v>
      </c>
      <c r="L100">
        <v>13.9000000000008</v>
      </c>
      <c r="M100">
        <v>1.5</v>
      </c>
    </row>
    <row r="101" spans="1:13">
      <c r="A101" t="s">
        <v>43</v>
      </c>
      <c r="B101" t="s">
        <v>43</v>
      </c>
      <c r="C101" t="s">
        <v>34</v>
      </c>
      <c r="D101">
        <v>1.5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f>VLOOKUP(B101,'FRAME ASSIGNMENTS SUMMARY'!B:D,3,0)</f>
        <v>1.5</v>
      </c>
      <c r="L101">
        <v>13.9000000000008</v>
      </c>
      <c r="M101">
        <v>1.5</v>
      </c>
    </row>
    <row r="102" spans="1:13">
      <c r="A102" t="s">
        <v>44</v>
      </c>
      <c r="B102" t="s">
        <v>44</v>
      </c>
      <c r="C102" t="s">
        <v>34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f>VLOOKUP(B102,'FRAME ASSIGNMENTS SUMMARY'!B:D,3,0)</f>
        <v>1.5</v>
      </c>
      <c r="L102">
        <v>14.275</v>
      </c>
      <c r="M102">
        <v>1.5</v>
      </c>
    </row>
    <row r="103" spans="1:13">
      <c r="A103" t="s">
        <v>44</v>
      </c>
      <c r="B103" t="s">
        <v>44</v>
      </c>
      <c r="C103" t="s">
        <v>34</v>
      </c>
      <c r="D103">
        <v>0</v>
      </c>
      <c r="E103">
        <v>-34.660144805908203</v>
      </c>
      <c r="F103">
        <v>12.9414777755737</v>
      </c>
      <c r="G103">
        <v>12.9414777755737</v>
      </c>
      <c r="H103">
        <v>1.56961262226105</v>
      </c>
      <c r="I103">
        <v>-1.8648653030395499</v>
      </c>
      <c r="J103">
        <v>-1.8648653030395499</v>
      </c>
      <c r="K103">
        <f>VLOOKUP(B103,'FRAME ASSIGNMENTS SUMMARY'!B:D,3,0)</f>
        <v>1.5</v>
      </c>
      <c r="L103">
        <v>14.275</v>
      </c>
      <c r="M103">
        <v>1.5</v>
      </c>
    </row>
    <row r="104" spans="1:13">
      <c r="A104" t="s">
        <v>44</v>
      </c>
      <c r="B104" t="s">
        <v>44</v>
      </c>
      <c r="C104" t="s">
        <v>34</v>
      </c>
      <c r="D104">
        <v>0.37499999999998501</v>
      </c>
      <c r="E104">
        <v>79.654502868652301</v>
      </c>
      <c r="F104">
        <v>3.8897469043731698</v>
      </c>
      <c r="G104">
        <v>3.8897469043731698</v>
      </c>
      <c r="H104">
        <v>8.7898607254028303</v>
      </c>
      <c r="I104">
        <v>3.2855474948883101</v>
      </c>
      <c r="J104">
        <v>3.2855474948883101</v>
      </c>
      <c r="K104">
        <f>VLOOKUP(B104,'FRAME ASSIGNMENTS SUMMARY'!B:D,3,0)</f>
        <v>1.5</v>
      </c>
      <c r="L104">
        <v>13.525</v>
      </c>
      <c r="M104">
        <v>1.5</v>
      </c>
    </row>
    <row r="105" spans="1:13">
      <c r="A105" t="s">
        <v>44</v>
      </c>
      <c r="B105" t="s">
        <v>44</v>
      </c>
      <c r="C105" t="s">
        <v>34</v>
      </c>
      <c r="D105">
        <v>0.37499999999998501</v>
      </c>
      <c r="E105">
        <v>-1.6975283622741699</v>
      </c>
      <c r="F105">
        <v>-214.05863952636699</v>
      </c>
      <c r="G105">
        <v>-214.05863952636699</v>
      </c>
      <c r="H105">
        <v>8.4789485931396502</v>
      </c>
      <c r="I105">
        <v>-0.99486047029495195</v>
      </c>
      <c r="J105">
        <v>-0.99486047029495195</v>
      </c>
      <c r="K105">
        <f>VLOOKUP(B105,'FRAME ASSIGNMENTS SUMMARY'!B:D,3,0)</f>
        <v>1.5</v>
      </c>
      <c r="L105">
        <v>13.525</v>
      </c>
      <c r="M105">
        <v>1.5</v>
      </c>
    </row>
    <row r="106" spans="1:13">
      <c r="A106" t="s">
        <v>44</v>
      </c>
      <c r="B106" t="s">
        <v>44</v>
      </c>
      <c r="C106" t="s">
        <v>34</v>
      </c>
      <c r="D106">
        <v>0.749999999999996</v>
      </c>
      <c r="E106">
        <v>-6.1973953247070304</v>
      </c>
      <c r="F106">
        <v>-214.05863952636699</v>
      </c>
      <c r="G106">
        <v>-214.05863952636699</v>
      </c>
      <c r="H106">
        <v>-1.0839265584945701</v>
      </c>
      <c r="I106">
        <v>78.448112487792997</v>
      </c>
      <c r="J106">
        <v>78.448112487792997</v>
      </c>
      <c r="K106">
        <f>VLOOKUP(B106,'FRAME ASSIGNMENTS SUMMARY'!B:D,3,0)</f>
        <v>1.5</v>
      </c>
      <c r="L106">
        <v>13.9000000000001</v>
      </c>
      <c r="M106">
        <v>1.5</v>
      </c>
    </row>
    <row r="107" spans="1:13">
      <c r="A107" t="s">
        <v>44</v>
      </c>
      <c r="B107" t="s">
        <v>44</v>
      </c>
      <c r="C107" t="s">
        <v>34</v>
      </c>
      <c r="D107">
        <v>0.749999999999996</v>
      </c>
      <c r="E107">
        <v>92.287155151367202</v>
      </c>
      <c r="F107">
        <v>208.21011352539099</v>
      </c>
      <c r="G107">
        <v>208.21011352539099</v>
      </c>
      <c r="H107">
        <v>-1.17128705978394</v>
      </c>
      <c r="I107">
        <v>67.645011901855497</v>
      </c>
      <c r="J107">
        <v>67.645011901855497</v>
      </c>
      <c r="K107">
        <f>VLOOKUP(B107,'FRAME ASSIGNMENTS SUMMARY'!B:D,3,0)</f>
        <v>1.5</v>
      </c>
      <c r="L107">
        <v>13.9000000000001</v>
      </c>
      <c r="M107">
        <v>1.5</v>
      </c>
    </row>
    <row r="108" spans="1:13">
      <c r="A108" t="s">
        <v>44</v>
      </c>
      <c r="B108" t="s">
        <v>44</v>
      </c>
      <c r="C108" t="s">
        <v>34</v>
      </c>
      <c r="D108">
        <v>1.12499999999999</v>
      </c>
      <c r="E108">
        <v>56.969261169433601</v>
      </c>
      <c r="F108">
        <v>208.21011352539099</v>
      </c>
      <c r="G108">
        <v>208.21011352539099</v>
      </c>
      <c r="H108">
        <v>-11.7955827713013</v>
      </c>
      <c r="I108">
        <v>-9.6258106231689506</v>
      </c>
      <c r="J108">
        <v>-9.6258106231689506</v>
      </c>
      <c r="K108">
        <f>VLOOKUP(B108,'FRAME ASSIGNMENTS SUMMARY'!B:D,3,0)</f>
        <v>1.5</v>
      </c>
      <c r="L108">
        <v>14.275</v>
      </c>
      <c r="M108">
        <v>1.5</v>
      </c>
    </row>
    <row r="109" spans="1:13">
      <c r="A109" t="s">
        <v>44</v>
      </c>
      <c r="B109" t="s">
        <v>44</v>
      </c>
      <c r="C109" t="s">
        <v>34</v>
      </c>
      <c r="D109">
        <v>1.12499999999999</v>
      </c>
      <c r="E109">
        <v>-118.724197387695</v>
      </c>
      <c r="F109">
        <v>-23.6264972686768</v>
      </c>
      <c r="G109">
        <v>-23.6264972686768</v>
      </c>
      <c r="H109">
        <v>-12.0550756454468</v>
      </c>
      <c r="I109">
        <v>-13.6271924972534</v>
      </c>
      <c r="J109">
        <v>-13.6271924972534</v>
      </c>
      <c r="K109">
        <f>VLOOKUP(B109,'FRAME ASSIGNMENTS SUMMARY'!B:D,3,0)</f>
        <v>1.5</v>
      </c>
      <c r="L109">
        <v>14.275</v>
      </c>
      <c r="M109">
        <v>1.5</v>
      </c>
    </row>
    <row r="110" spans="1:13">
      <c r="A110" t="s">
        <v>44</v>
      </c>
      <c r="B110" t="s">
        <v>44</v>
      </c>
      <c r="C110" t="s">
        <v>34</v>
      </c>
      <c r="D110">
        <v>1.5</v>
      </c>
      <c r="E110">
        <v>38.867931365966797</v>
      </c>
      <c r="F110">
        <v>-23.1672248840332</v>
      </c>
      <c r="G110">
        <v>-23.1672248840332</v>
      </c>
      <c r="H110">
        <v>-2.4400877952575701</v>
      </c>
      <c r="I110">
        <v>-4.2845200747251497E-2</v>
      </c>
      <c r="J110">
        <v>-4.2845200747251497E-2</v>
      </c>
      <c r="K110">
        <f>VLOOKUP(B110,'FRAME ASSIGNMENTS SUMMARY'!B:D,3,0)</f>
        <v>1.5</v>
      </c>
      <c r="L110">
        <v>8.8249999999999993</v>
      </c>
      <c r="M110">
        <v>1.5</v>
      </c>
    </row>
    <row r="111" spans="1:13">
      <c r="A111" t="s">
        <v>44</v>
      </c>
      <c r="B111" t="s">
        <v>44</v>
      </c>
      <c r="C111" t="s">
        <v>34</v>
      </c>
      <c r="D111">
        <v>1.5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f>VLOOKUP(B111,'FRAME ASSIGNMENTS SUMMARY'!B:D,3,0)</f>
        <v>1.5</v>
      </c>
      <c r="L111">
        <v>8.8249999999999993</v>
      </c>
      <c r="M111">
        <v>1.5</v>
      </c>
    </row>
    <row r="112" spans="1:13">
      <c r="A112" s="247" t="s">
        <v>45</v>
      </c>
      <c r="B112" s="247" t="s">
        <v>45</v>
      </c>
      <c r="C112" s="247" t="s">
        <v>34</v>
      </c>
      <c r="D112" s="247">
        <v>0</v>
      </c>
      <c r="E112" s="247">
        <v>0</v>
      </c>
      <c r="F112" s="247">
        <v>0</v>
      </c>
      <c r="G112" s="247">
        <v>0</v>
      </c>
      <c r="H112" s="247">
        <v>0</v>
      </c>
      <c r="I112" s="247">
        <v>0</v>
      </c>
      <c r="J112" s="247">
        <v>0</v>
      </c>
      <c r="K112">
        <f>VLOOKUP(B112,'FRAME ASSIGNMENTS SUMMARY'!B:D,3,0)</f>
        <v>1.5</v>
      </c>
      <c r="L112">
        <v>9.1999999999999993</v>
      </c>
      <c r="M112">
        <v>1.5</v>
      </c>
    </row>
    <row r="113" spans="1:13">
      <c r="A113" s="247" t="s">
        <v>45</v>
      </c>
      <c r="B113" s="247" t="s">
        <v>45</v>
      </c>
      <c r="C113" s="247" t="s">
        <v>34</v>
      </c>
      <c r="D113" s="247">
        <v>0</v>
      </c>
      <c r="E113" s="247">
        <v>57.728851318359403</v>
      </c>
      <c r="F113" s="247">
        <v>12.6799783706665</v>
      </c>
      <c r="G113" s="247">
        <v>12.6799783706665</v>
      </c>
      <c r="H113" s="247">
        <v>-0.20086376368999501</v>
      </c>
      <c r="I113" s="247">
        <v>-14.1357126235962</v>
      </c>
      <c r="J113" s="247">
        <v>-14.1357126235962</v>
      </c>
      <c r="K113">
        <f>VLOOKUP(B113,'FRAME ASSIGNMENTS SUMMARY'!B:D,3,0)</f>
        <v>1.5</v>
      </c>
      <c r="L113">
        <v>9.1999999999999993</v>
      </c>
      <c r="M113">
        <v>1.5</v>
      </c>
    </row>
    <row r="114" spans="1:13">
      <c r="A114" s="247" t="s">
        <v>45</v>
      </c>
      <c r="B114" s="247" t="s">
        <v>45</v>
      </c>
      <c r="C114" s="247" t="s">
        <v>34</v>
      </c>
      <c r="D114" s="247">
        <v>0.37499999999999101</v>
      </c>
      <c r="E114" s="247">
        <v>50.697761535644503</v>
      </c>
      <c r="F114" s="247">
        <v>12.6799783706665</v>
      </c>
      <c r="G114" s="247">
        <v>12.6799783706665</v>
      </c>
      <c r="H114" s="247">
        <v>0.26026332378387501</v>
      </c>
      <c r="I114" s="247">
        <v>-18.8439025878906</v>
      </c>
      <c r="J114" s="247">
        <v>-18.8439025878906</v>
      </c>
      <c r="K114">
        <f>VLOOKUP(B114,'FRAME ASSIGNMENTS SUMMARY'!B:D,3,0)</f>
        <v>1.5</v>
      </c>
      <c r="L114">
        <v>9.5749999999999993</v>
      </c>
      <c r="M114">
        <v>1.5</v>
      </c>
    </row>
    <row r="115" spans="1:13">
      <c r="A115" s="247" t="s">
        <v>45</v>
      </c>
      <c r="B115" s="247" t="s">
        <v>45</v>
      </c>
      <c r="C115" s="247" t="s">
        <v>34</v>
      </c>
      <c r="D115" s="247">
        <v>0.37499999999999101</v>
      </c>
      <c r="E115" s="247">
        <v>36.818267822265597</v>
      </c>
      <c r="F115" s="247">
        <v>-212.56341552734401</v>
      </c>
      <c r="G115" s="247">
        <v>-212.56341552734401</v>
      </c>
      <c r="H115" s="247">
        <v>0.254473716020584</v>
      </c>
      <c r="I115" s="247">
        <v>-18.4750156402588</v>
      </c>
      <c r="J115" s="247">
        <v>-18.4750156402588</v>
      </c>
      <c r="K115">
        <f>VLOOKUP(B115,'FRAME ASSIGNMENTS SUMMARY'!B:D,3,0)</f>
        <v>1.5</v>
      </c>
      <c r="L115">
        <v>9.5749999999999993</v>
      </c>
      <c r="M115">
        <v>1.5</v>
      </c>
    </row>
    <row r="116" spans="1:13">
      <c r="A116" s="247" t="s">
        <v>45</v>
      </c>
      <c r="B116" s="247" t="s">
        <v>45</v>
      </c>
      <c r="C116" s="247" t="s">
        <v>34</v>
      </c>
      <c r="D116" s="247">
        <v>0.75</v>
      </c>
      <c r="E116" s="247">
        <v>67.795959472656307</v>
      </c>
      <c r="F116" s="247">
        <v>-212.56341552734401</v>
      </c>
      <c r="G116" s="247">
        <v>-212.56341552734401</v>
      </c>
      <c r="H116" s="247">
        <v>-1.1197829246521001</v>
      </c>
      <c r="I116" s="247">
        <v>60.451686859130902</v>
      </c>
      <c r="J116" s="247">
        <v>60.451686859130902</v>
      </c>
      <c r="K116">
        <f>VLOOKUP(B116,'FRAME ASSIGNMENTS SUMMARY'!B:D,3,0)</f>
        <v>1.5</v>
      </c>
      <c r="L116">
        <v>5.85</v>
      </c>
      <c r="M116">
        <v>1.5</v>
      </c>
    </row>
    <row r="117" spans="1:13">
      <c r="A117" s="247" t="s">
        <v>45</v>
      </c>
      <c r="B117" s="247" t="s">
        <v>45</v>
      </c>
      <c r="C117" s="247" t="s">
        <v>34</v>
      </c>
      <c r="D117" s="247">
        <v>0.75</v>
      </c>
      <c r="E117" s="247">
        <v>24.001346588134801</v>
      </c>
      <c r="F117" s="247">
        <v>219.555099487305</v>
      </c>
      <c r="G117" s="247">
        <v>219.555099487305</v>
      </c>
      <c r="H117" s="247">
        <v>-1.1278266906738299</v>
      </c>
      <c r="I117" s="247">
        <v>64.933166503906307</v>
      </c>
      <c r="J117" s="247">
        <v>64.933166503906307</v>
      </c>
      <c r="K117">
        <f>VLOOKUP(B117,'FRAME ASSIGNMENTS SUMMARY'!B:D,3,0)</f>
        <v>1.5</v>
      </c>
      <c r="L117">
        <v>5.85</v>
      </c>
      <c r="M117">
        <v>1.5</v>
      </c>
    </row>
    <row r="118" spans="1:13">
      <c r="A118" t="s">
        <v>45</v>
      </c>
      <c r="B118" t="s">
        <v>45</v>
      </c>
      <c r="C118" t="s">
        <v>34</v>
      </c>
      <c r="D118">
        <v>1.12499999999999</v>
      </c>
      <c r="E118">
        <v>-8.8875188827514595</v>
      </c>
      <c r="F118">
        <v>219.555099487305</v>
      </c>
      <c r="G118">
        <v>219.555099487305</v>
      </c>
      <c r="H118">
        <v>-1.738276720047</v>
      </c>
      <c r="I118">
        <v>-16.5896186828613</v>
      </c>
      <c r="J118">
        <v>-16.5896186828613</v>
      </c>
      <c r="K118">
        <f>VLOOKUP(B118,'FRAME ASSIGNMENTS SUMMARY'!B:D,3,0)</f>
        <v>1.5</v>
      </c>
      <c r="L118">
        <v>6.2249999999999899</v>
      </c>
      <c r="M118">
        <v>1.5</v>
      </c>
    </row>
    <row r="119" spans="1:13">
      <c r="A119" t="s">
        <v>45</v>
      </c>
      <c r="B119" t="s">
        <v>45</v>
      </c>
      <c r="C119" t="s">
        <v>34</v>
      </c>
      <c r="D119">
        <v>1.12499999999999</v>
      </c>
      <c r="E119">
        <v>1.2569454908371001</v>
      </c>
      <c r="F119">
        <v>-13.643705368041999</v>
      </c>
      <c r="G119">
        <v>-13.643705368041999</v>
      </c>
      <c r="H119">
        <v>-1.74142754077911</v>
      </c>
      <c r="I119">
        <v>-16.969629287719702</v>
      </c>
      <c r="J119">
        <v>-16.969629287719702</v>
      </c>
      <c r="K119">
        <f>VLOOKUP(B119,'FRAME ASSIGNMENTS SUMMARY'!B:D,3,0)</f>
        <v>1.5</v>
      </c>
      <c r="L119">
        <v>6.2249999999999899</v>
      </c>
      <c r="M119">
        <v>1.5</v>
      </c>
    </row>
    <row r="120" spans="1:13">
      <c r="A120" t="s">
        <v>45</v>
      </c>
      <c r="B120" t="s">
        <v>45</v>
      </c>
      <c r="C120" t="s">
        <v>34</v>
      </c>
      <c r="D120">
        <v>1.5</v>
      </c>
      <c r="E120">
        <v>10.043927192688001</v>
      </c>
      <c r="F120">
        <v>-13.643705368041999</v>
      </c>
      <c r="G120">
        <v>-13.643705368041999</v>
      </c>
      <c r="H120">
        <v>-1.4658215045928999</v>
      </c>
      <c r="I120">
        <v>-11.9035987854004</v>
      </c>
      <c r="J120">
        <v>-11.9035987854004</v>
      </c>
      <c r="K120">
        <f>VLOOKUP(B120,'FRAME ASSIGNMENTS SUMMARY'!B:D,3,0)</f>
        <v>1.5</v>
      </c>
      <c r="L120">
        <v>6.5999999999999899</v>
      </c>
      <c r="M120">
        <v>1.5</v>
      </c>
    </row>
    <row r="121" spans="1:13">
      <c r="A121" t="s">
        <v>45</v>
      </c>
      <c r="B121" t="s">
        <v>45</v>
      </c>
      <c r="C121" t="s">
        <v>34</v>
      </c>
      <c r="D121">
        <v>1.5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f>VLOOKUP(B121,'FRAME ASSIGNMENTS SUMMARY'!B:D,3,0)</f>
        <v>1.5</v>
      </c>
      <c r="L121">
        <v>6.5999999999999899</v>
      </c>
      <c r="M121">
        <v>1.5</v>
      </c>
    </row>
    <row r="122" spans="1:13">
      <c r="A122" t="s">
        <v>46</v>
      </c>
      <c r="B122" t="s">
        <v>46</v>
      </c>
      <c r="C122" t="s">
        <v>34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f>VLOOKUP(B122,'FRAME ASSIGNMENTS SUMMARY'!B:D,3,0)</f>
        <v>1.5</v>
      </c>
      <c r="L122">
        <v>6.9749999999999899</v>
      </c>
      <c r="M122">
        <v>1.5</v>
      </c>
    </row>
    <row r="123" spans="1:13">
      <c r="A123" t="s">
        <v>46</v>
      </c>
      <c r="B123" t="s">
        <v>46</v>
      </c>
      <c r="C123" t="s">
        <v>34</v>
      </c>
      <c r="D123">
        <v>0</v>
      </c>
      <c r="E123">
        <v>51.178371429443402</v>
      </c>
      <c r="F123">
        <v>46.457515716552699</v>
      </c>
      <c r="G123">
        <v>46.457515716552699</v>
      </c>
      <c r="H123">
        <v>22.2462482452393</v>
      </c>
      <c r="I123">
        <v>22.338047027587901</v>
      </c>
      <c r="J123">
        <v>22.338047027587901</v>
      </c>
      <c r="K123">
        <f>VLOOKUP(B123,'FRAME ASSIGNMENTS SUMMARY'!B:D,3,0)</f>
        <v>1.5</v>
      </c>
      <c r="L123">
        <v>6.9749999999999899</v>
      </c>
      <c r="M123">
        <v>1.5</v>
      </c>
    </row>
    <row r="124" spans="1:13">
      <c r="A124" t="s">
        <v>46</v>
      </c>
      <c r="B124" t="s">
        <v>46</v>
      </c>
      <c r="C124" t="s">
        <v>34</v>
      </c>
      <c r="D124">
        <v>0.37499999999999101</v>
      </c>
      <c r="E124">
        <v>51.749443054199197</v>
      </c>
      <c r="F124">
        <v>46.457515716552699</v>
      </c>
      <c r="G124">
        <v>46.457515716552699</v>
      </c>
      <c r="H124">
        <v>25.914514541626001</v>
      </c>
      <c r="I124">
        <v>5.0879530906677202</v>
      </c>
      <c r="J124">
        <v>5.0879530906677202</v>
      </c>
      <c r="K124">
        <f>VLOOKUP(B124,'FRAME ASSIGNMENTS SUMMARY'!B:D,3,0)</f>
        <v>1.5</v>
      </c>
      <c r="L124">
        <v>7.35</v>
      </c>
      <c r="M124">
        <v>1.5</v>
      </c>
    </row>
    <row r="125" spans="1:13">
      <c r="A125" t="s">
        <v>46</v>
      </c>
      <c r="B125" t="s">
        <v>46</v>
      </c>
      <c r="C125" t="s">
        <v>34</v>
      </c>
      <c r="D125">
        <v>0.37499999999999101</v>
      </c>
      <c r="E125">
        <v>59.338077545166001</v>
      </c>
      <c r="F125">
        <v>-170.33993530273401</v>
      </c>
      <c r="G125">
        <v>-170.33993530273401</v>
      </c>
      <c r="H125">
        <v>25.874547958373999</v>
      </c>
      <c r="I125">
        <v>5.3165793418884304</v>
      </c>
      <c r="J125">
        <v>5.3165793418884304</v>
      </c>
      <c r="K125">
        <f>VLOOKUP(B125,'FRAME ASSIGNMENTS SUMMARY'!B:D,3,0)</f>
        <v>1.5</v>
      </c>
      <c r="L125">
        <v>7.35</v>
      </c>
      <c r="M125">
        <v>1.5</v>
      </c>
    </row>
    <row r="126" spans="1:13">
      <c r="A126" t="s">
        <v>46</v>
      </c>
      <c r="B126" t="s">
        <v>46</v>
      </c>
      <c r="C126" t="s">
        <v>34</v>
      </c>
      <c r="D126">
        <v>0.75</v>
      </c>
      <c r="E126">
        <v>43.943241119384801</v>
      </c>
      <c r="F126">
        <v>-170.33993530273401</v>
      </c>
      <c r="G126">
        <v>-170.33993530273401</v>
      </c>
      <c r="H126">
        <v>12.9251852035522</v>
      </c>
      <c r="I126">
        <v>68.565322875976605</v>
      </c>
      <c r="J126">
        <v>68.565322875976605</v>
      </c>
      <c r="K126">
        <f>VLOOKUP(B126,'FRAME ASSIGNMENTS SUMMARY'!B:D,3,0)</f>
        <v>1.5</v>
      </c>
      <c r="L126">
        <v>5.85</v>
      </c>
      <c r="M126">
        <v>1.5</v>
      </c>
    </row>
    <row r="127" spans="1:13">
      <c r="A127" t="s">
        <v>46</v>
      </c>
      <c r="B127" t="s">
        <v>46</v>
      </c>
      <c r="C127" t="s">
        <v>34</v>
      </c>
      <c r="D127">
        <v>0.75</v>
      </c>
      <c r="E127">
        <v>-5.7333312034606898</v>
      </c>
      <c r="F127">
        <v>198.93469238281301</v>
      </c>
      <c r="G127">
        <v>198.93469238281301</v>
      </c>
      <c r="H127">
        <v>12.726749420166</v>
      </c>
      <c r="I127">
        <v>73.139900207519503</v>
      </c>
      <c r="J127">
        <v>73.139900207519503</v>
      </c>
      <c r="K127">
        <f>VLOOKUP(B127,'FRAME ASSIGNMENTS SUMMARY'!B:D,3,0)</f>
        <v>1.5</v>
      </c>
      <c r="L127">
        <v>5.85</v>
      </c>
      <c r="M127">
        <v>1.5</v>
      </c>
    </row>
    <row r="128" spans="1:13">
      <c r="A128" t="s">
        <v>46</v>
      </c>
      <c r="B128" t="s">
        <v>46</v>
      </c>
      <c r="C128" t="s">
        <v>34</v>
      </c>
      <c r="D128">
        <v>1.12499999999999</v>
      </c>
      <c r="E128">
        <v>5.3680286407470703</v>
      </c>
      <c r="F128">
        <v>198.93469238281301</v>
      </c>
      <c r="G128">
        <v>198.93469238281301</v>
      </c>
      <c r="H128">
        <v>0.173151224851608</v>
      </c>
      <c r="I128">
        <v>-0.72634077072143599</v>
      </c>
      <c r="J128">
        <v>-0.72634077072143599</v>
      </c>
      <c r="K128">
        <f>VLOOKUP(B128,'FRAME ASSIGNMENTS SUMMARY'!B:D,3,0)</f>
        <v>1.5</v>
      </c>
      <c r="L128">
        <v>6.2249999999999899</v>
      </c>
      <c r="M128">
        <v>1.5</v>
      </c>
    </row>
    <row r="129" spans="1:13">
      <c r="A129" t="s">
        <v>46</v>
      </c>
      <c r="B129" t="s">
        <v>46</v>
      </c>
      <c r="C129" t="s">
        <v>34</v>
      </c>
      <c r="D129">
        <v>1.12499999999999</v>
      </c>
      <c r="E129">
        <v>-0.46640065312385598</v>
      </c>
      <c r="F129">
        <v>-2.9159362316131601</v>
      </c>
      <c r="G129">
        <v>-2.9159362316131601</v>
      </c>
      <c r="H129">
        <v>0.11288637667894399</v>
      </c>
      <c r="I129">
        <v>-1.08809471130371</v>
      </c>
      <c r="J129">
        <v>-1.08809471130371</v>
      </c>
      <c r="K129">
        <f>VLOOKUP(B129,'FRAME ASSIGNMENTS SUMMARY'!B:D,3,0)</f>
        <v>1.5</v>
      </c>
      <c r="L129">
        <v>6.2249999999999899</v>
      </c>
      <c r="M129">
        <v>1.5</v>
      </c>
    </row>
    <row r="130" spans="1:13">
      <c r="A130" t="s">
        <v>46</v>
      </c>
      <c r="B130" t="s">
        <v>46</v>
      </c>
      <c r="C130" t="s">
        <v>34</v>
      </c>
      <c r="D130">
        <v>1.5</v>
      </c>
      <c r="E130">
        <v>0.46640065312385598</v>
      </c>
      <c r="F130">
        <v>-2.9159362316131601</v>
      </c>
      <c r="G130">
        <v>-2.9159362316131601</v>
      </c>
      <c r="H130">
        <v>7.9180272296071105E-3</v>
      </c>
      <c r="I130">
        <v>-5.3813806734979196E-3</v>
      </c>
      <c r="J130">
        <v>-5.3813806734979196E-3</v>
      </c>
      <c r="K130">
        <f>VLOOKUP(B130,'FRAME ASSIGNMENTS SUMMARY'!B:D,3,0)</f>
        <v>1.5</v>
      </c>
      <c r="L130">
        <v>6.6</v>
      </c>
      <c r="M130">
        <v>1.5</v>
      </c>
    </row>
    <row r="131" spans="1:13">
      <c r="A131" t="s">
        <v>46</v>
      </c>
      <c r="B131" t="s">
        <v>46</v>
      </c>
      <c r="C131" t="s">
        <v>34</v>
      </c>
      <c r="D131">
        <v>1.5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f>VLOOKUP(B131,'FRAME ASSIGNMENTS SUMMARY'!B:D,3,0)</f>
        <v>1.5</v>
      </c>
      <c r="L131">
        <v>6.6</v>
      </c>
      <c r="M131">
        <v>1.5</v>
      </c>
    </row>
    <row r="132" spans="1:13">
      <c r="A132" t="s">
        <v>47</v>
      </c>
      <c r="B132" t="s">
        <v>47</v>
      </c>
      <c r="C132" t="s">
        <v>34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f>VLOOKUP(B132,'FRAME ASSIGNMENTS SUMMARY'!B:D,3,0)</f>
        <v>1.5</v>
      </c>
      <c r="L132">
        <v>6.9749999999999899</v>
      </c>
      <c r="M132">
        <v>1.5</v>
      </c>
    </row>
    <row r="133" spans="1:13">
      <c r="A133" t="s">
        <v>47</v>
      </c>
      <c r="B133" t="s">
        <v>47</v>
      </c>
      <c r="C133" t="s">
        <v>34</v>
      </c>
      <c r="D133">
        <v>0</v>
      </c>
      <c r="E133">
        <v>61.767620086669901</v>
      </c>
      <c r="F133">
        <v>15.417864799499499</v>
      </c>
      <c r="G133">
        <v>15.417864799499499</v>
      </c>
      <c r="H133">
        <v>-0.50147998332977295</v>
      </c>
      <c r="I133">
        <v>1.3332810401916499</v>
      </c>
      <c r="J133">
        <v>1.3332810401916499</v>
      </c>
      <c r="K133">
        <f>VLOOKUP(B133,'FRAME ASSIGNMENTS SUMMARY'!B:D,3,0)</f>
        <v>1.5</v>
      </c>
      <c r="L133">
        <v>6.9749999999999899</v>
      </c>
      <c r="M133">
        <v>1.5</v>
      </c>
    </row>
    <row r="134" spans="1:13">
      <c r="A134" t="s">
        <v>47</v>
      </c>
      <c r="B134" t="s">
        <v>47</v>
      </c>
      <c r="C134" t="s">
        <v>34</v>
      </c>
      <c r="D134">
        <v>0.37499999999998901</v>
      </c>
      <c r="E134">
        <v>41.611202239990199</v>
      </c>
      <c r="F134">
        <v>15.417864799499499</v>
      </c>
      <c r="G134">
        <v>15.417864799499499</v>
      </c>
      <c r="H134">
        <v>-2.0976148545742E-2</v>
      </c>
      <c r="I134">
        <v>-4.3915109634399396</v>
      </c>
      <c r="J134">
        <v>-4.3915109634399396</v>
      </c>
      <c r="K134">
        <f>VLOOKUP(B134,'FRAME ASSIGNMENTS SUMMARY'!B:D,3,0)</f>
        <v>1.5</v>
      </c>
      <c r="L134">
        <v>7.35</v>
      </c>
      <c r="M134">
        <v>1.5</v>
      </c>
    </row>
    <row r="135" spans="1:13">
      <c r="A135" t="s">
        <v>47</v>
      </c>
      <c r="B135" t="s">
        <v>47</v>
      </c>
      <c r="C135" t="s">
        <v>34</v>
      </c>
      <c r="D135">
        <v>0.37499999999998901</v>
      </c>
      <c r="E135">
        <v>29.666036605835</v>
      </c>
      <c r="F135">
        <v>-180.10975646972699</v>
      </c>
      <c r="G135">
        <v>-180.10975646972699</v>
      </c>
      <c r="H135">
        <v>-2.1518299356102898E-2</v>
      </c>
      <c r="I135">
        <v>-4.0875706672668501</v>
      </c>
      <c r="J135">
        <v>-4.0875706672668501</v>
      </c>
      <c r="K135">
        <f>VLOOKUP(B135,'FRAME ASSIGNMENTS SUMMARY'!B:D,3,0)</f>
        <v>1.5</v>
      </c>
      <c r="L135">
        <v>7.35</v>
      </c>
      <c r="M135">
        <v>1.5</v>
      </c>
    </row>
    <row r="136" spans="1:13">
      <c r="A136" t="s">
        <v>47</v>
      </c>
      <c r="B136" t="s">
        <v>47</v>
      </c>
      <c r="C136" t="s">
        <v>34</v>
      </c>
      <c r="D136">
        <v>0.75</v>
      </c>
      <c r="E136">
        <v>75.087173461914105</v>
      </c>
      <c r="F136">
        <v>-180.10975646972699</v>
      </c>
      <c r="G136">
        <v>-180.10975646972699</v>
      </c>
      <c r="H136">
        <v>-0.23267889022827101</v>
      </c>
      <c r="I136">
        <v>62.788803100585902</v>
      </c>
      <c r="J136">
        <v>62.788803100585902</v>
      </c>
      <c r="K136">
        <f>VLOOKUP(B136,'FRAME ASSIGNMENTS SUMMARY'!B:D,3,0)</f>
        <v>1.5</v>
      </c>
      <c r="L136">
        <v>5.85</v>
      </c>
      <c r="M136">
        <v>1.5</v>
      </c>
    </row>
    <row r="137" spans="1:13">
      <c r="A137" t="s">
        <v>47</v>
      </c>
      <c r="B137" t="s">
        <v>47</v>
      </c>
      <c r="C137" t="s">
        <v>34</v>
      </c>
      <c r="D137">
        <v>0.75</v>
      </c>
      <c r="E137">
        <v>14.350318908691399</v>
      </c>
      <c r="F137">
        <v>180.17811584472699</v>
      </c>
      <c r="G137">
        <v>180.17811584472699</v>
      </c>
      <c r="H137">
        <v>-0.22711275517940499</v>
      </c>
      <c r="I137">
        <v>66.140800476074205</v>
      </c>
      <c r="J137">
        <v>66.140800476074205</v>
      </c>
      <c r="K137">
        <f>VLOOKUP(B137,'FRAME ASSIGNMENTS SUMMARY'!B:D,3,0)</f>
        <v>1.5</v>
      </c>
      <c r="L137">
        <v>5.85</v>
      </c>
      <c r="M137">
        <v>1.5</v>
      </c>
    </row>
    <row r="138" spans="1:13">
      <c r="A138" t="s">
        <v>47</v>
      </c>
      <c r="B138" t="s">
        <v>47</v>
      </c>
      <c r="C138" t="s">
        <v>34</v>
      </c>
      <c r="D138">
        <v>1.12499999999999</v>
      </c>
      <c r="E138">
        <v>-15.721137046814</v>
      </c>
      <c r="F138">
        <v>180.17811584472699</v>
      </c>
      <c r="G138">
        <v>180.17811584472699</v>
      </c>
      <c r="H138">
        <v>-0.40969246625900302</v>
      </c>
      <c r="I138">
        <v>-0.76095616817474399</v>
      </c>
      <c r="J138">
        <v>-0.76095616817474399</v>
      </c>
      <c r="K138">
        <f>VLOOKUP(B138,'FRAME ASSIGNMENTS SUMMARY'!B:D,3,0)</f>
        <v>1.5</v>
      </c>
      <c r="L138">
        <v>6.2249999999999899</v>
      </c>
      <c r="M138">
        <v>1.5</v>
      </c>
    </row>
    <row r="139" spans="1:13">
      <c r="A139" t="s">
        <v>47</v>
      </c>
      <c r="B139" t="s">
        <v>47</v>
      </c>
      <c r="C139" t="s">
        <v>34</v>
      </c>
      <c r="D139">
        <v>1.12499999999999</v>
      </c>
      <c r="E139">
        <v>3.42674732208252</v>
      </c>
      <c r="F139">
        <v>-2.9159362316131601</v>
      </c>
      <c r="G139">
        <v>-2.9159362316131601</v>
      </c>
      <c r="H139">
        <v>-0.41038954257965099</v>
      </c>
      <c r="I139">
        <v>-1.08809471130371</v>
      </c>
      <c r="J139">
        <v>-1.08809471130371</v>
      </c>
      <c r="K139">
        <f>VLOOKUP(B139,'FRAME ASSIGNMENTS SUMMARY'!B:D,3,0)</f>
        <v>1.5</v>
      </c>
      <c r="L139">
        <v>6.2249999999999899</v>
      </c>
      <c r="M139">
        <v>1.5</v>
      </c>
    </row>
    <row r="140" spans="1:13">
      <c r="A140" t="s">
        <v>47</v>
      </c>
      <c r="B140" t="s">
        <v>47</v>
      </c>
      <c r="C140" t="s">
        <v>34</v>
      </c>
      <c r="D140">
        <v>1.5</v>
      </c>
      <c r="E140">
        <v>-3.42674732208252</v>
      </c>
      <c r="F140">
        <v>-2.9159362316131601</v>
      </c>
      <c r="G140">
        <v>-2.9159362316131601</v>
      </c>
      <c r="H140">
        <v>7.3887538164854102E-3</v>
      </c>
      <c r="I140">
        <v>-5.3813802078366297E-3</v>
      </c>
      <c r="J140">
        <v>-5.3813802078366297E-3</v>
      </c>
      <c r="K140">
        <f>VLOOKUP(B140,'FRAME ASSIGNMENTS SUMMARY'!B:D,3,0)</f>
        <v>1.5</v>
      </c>
      <c r="L140">
        <v>6.6</v>
      </c>
      <c r="M140">
        <v>1.5</v>
      </c>
    </row>
    <row r="141" spans="1:13">
      <c r="A141" t="s">
        <v>47</v>
      </c>
      <c r="B141" t="s">
        <v>47</v>
      </c>
      <c r="C141" t="s">
        <v>34</v>
      </c>
      <c r="D141">
        <v>1.5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f>VLOOKUP(B141,'FRAME ASSIGNMENTS SUMMARY'!B:D,3,0)</f>
        <v>1.5</v>
      </c>
      <c r="L141">
        <v>6.6</v>
      </c>
      <c r="M141">
        <v>1.5</v>
      </c>
    </row>
    <row r="142" spans="1:13">
      <c r="A142" t="s">
        <v>48</v>
      </c>
      <c r="B142" t="s">
        <v>48</v>
      </c>
      <c r="C142" t="s">
        <v>34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f>VLOOKUP(B142,'FRAME ASSIGNMENTS SUMMARY'!B:D,3,0)</f>
        <v>1.5</v>
      </c>
      <c r="L142">
        <v>6.9749999999999899</v>
      </c>
      <c r="M142">
        <v>1.5</v>
      </c>
    </row>
    <row r="143" spans="1:13">
      <c r="A143" t="s">
        <v>48</v>
      </c>
      <c r="B143" t="s">
        <v>48</v>
      </c>
      <c r="C143" t="s">
        <v>34</v>
      </c>
      <c r="D143">
        <v>0</v>
      </c>
      <c r="E143">
        <v>62.729888916015597</v>
      </c>
      <c r="F143">
        <v>12.0045118331909</v>
      </c>
      <c r="G143">
        <v>12.0045118331909</v>
      </c>
      <c r="H143">
        <v>-6.6937878727912903E-2</v>
      </c>
      <c r="I143">
        <v>0.53393453359603904</v>
      </c>
      <c r="J143">
        <v>0.53393453359603904</v>
      </c>
      <c r="K143">
        <f>VLOOKUP(B143,'FRAME ASSIGNMENTS SUMMARY'!B:D,3,0)</f>
        <v>1.5</v>
      </c>
      <c r="L143">
        <v>6.9749999999999899</v>
      </c>
      <c r="M143">
        <v>1.5</v>
      </c>
    </row>
    <row r="144" spans="1:13">
      <c r="A144" t="s">
        <v>48</v>
      </c>
      <c r="B144" t="s">
        <v>48</v>
      </c>
      <c r="C144" t="s">
        <v>34</v>
      </c>
      <c r="D144">
        <v>0.37499999999997902</v>
      </c>
      <c r="E144">
        <v>44.905086517333999</v>
      </c>
      <c r="F144">
        <v>12.0045118331909</v>
      </c>
      <c r="G144">
        <v>12.0045118331909</v>
      </c>
      <c r="H144">
        <v>-0.37089186906814597</v>
      </c>
      <c r="I144">
        <v>-3.9234483242034899</v>
      </c>
      <c r="J144">
        <v>-3.9234483242034899</v>
      </c>
      <c r="K144">
        <f>VLOOKUP(B144,'FRAME ASSIGNMENTS SUMMARY'!B:D,3,0)</f>
        <v>1.5</v>
      </c>
      <c r="L144">
        <v>7.35</v>
      </c>
      <c r="M144">
        <v>1.5</v>
      </c>
    </row>
    <row r="145" spans="1:13">
      <c r="A145" t="s">
        <v>48</v>
      </c>
      <c r="B145" t="s">
        <v>48</v>
      </c>
      <c r="C145" t="s">
        <v>34</v>
      </c>
      <c r="D145">
        <v>0.37499999999997902</v>
      </c>
      <c r="E145">
        <v>33.082931518554702</v>
      </c>
      <c r="F145">
        <v>-166.65498352050801</v>
      </c>
      <c r="G145">
        <v>-166.65498352050801</v>
      </c>
      <c r="H145">
        <v>-0.36912518739700301</v>
      </c>
      <c r="I145">
        <v>-3.6380398273468</v>
      </c>
      <c r="J145">
        <v>-3.6380398273468</v>
      </c>
      <c r="K145">
        <f>VLOOKUP(B145,'FRAME ASSIGNMENTS SUMMARY'!B:D,3,0)</f>
        <v>1.5</v>
      </c>
      <c r="L145">
        <v>7.35</v>
      </c>
      <c r="M145">
        <v>1.5</v>
      </c>
    </row>
    <row r="146" spans="1:13">
      <c r="A146" t="s">
        <v>48</v>
      </c>
      <c r="B146" t="s">
        <v>48</v>
      </c>
      <c r="C146" t="s">
        <v>34</v>
      </c>
      <c r="D146">
        <v>0.75000000000067502</v>
      </c>
      <c r="E146">
        <v>76.992393493652301</v>
      </c>
      <c r="F146">
        <v>-166.65498352050801</v>
      </c>
      <c r="G146">
        <v>-166.65498352050801</v>
      </c>
      <c r="H146">
        <v>-3.66833060979843E-2</v>
      </c>
      <c r="I146">
        <v>58.242454528808601</v>
      </c>
      <c r="J146">
        <v>58.242454528808601</v>
      </c>
      <c r="K146">
        <f>VLOOKUP(B146,'FRAME ASSIGNMENTS SUMMARY'!B:D,3,0)</f>
        <v>1.5</v>
      </c>
      <c r="L146">
        <v>8.8249999999999993</v>
      </c>
      <c r="M146">
        <v>1.5</v>
      </c>
    </row>
    <row r="147" spans="1:13">
      <c r="A147" t="s">
        <v>48</v>
      </c>
      <c r="B147" t="s">
        <v>48</v>
      </c>
      <c r="C147" t="s">
        <v>34</v>
      </c>
      <c r="D147">
        <v>0.75000000000067502</v>
      </c>
      <c r="E147">
        <v>14.6909227371216</v>
      </c>
      <c r="F147">
        <v>163.06636047363301</v>
      </c>
      <c r="G147">
        <v>163.06636047363301</v>
      </c>
      <c r="H147">
        <v>-3.8655523210763897E-2</v>
      </c>
      <c r="I147">
        <v>59.755470275878899</v>
      </c>
      <c r="J147">
        <v>59.755470275878899</v>
      </c>
      <c r="K147">
        <f>VLOOKUP(B147,'FRAME ASSIGNMENTS SUMMARY'!B:D,3,0)</f>
        <v>1.5</v>
      </c>
      <c r="L147">
        <v>8.8249999999999993</v>
      </c>
      <c r="M147">
        <v>1.5</v>
      </c>
    </row>
    <row r="148" spans="1:13">
      <c r="A148" t="s">
        <v>48</v>
      </c>
      <c r="B148" t="s">
        <v>48</v>
      </c>
      <c r="C148" t="s">
        <v>34</v>
      </c>
      <c r="D148">
        <v>1.12499999999998</v>
      </c>
      <c r="E148">
        <v>-17.127985000610401</v>
      </c>
      <c r="F148">
        <v>163.06636047363301</v>
      </c>
      <c r="G148">
        <v>163.06636047363301</v>
      </c>
      <c r="H148">
        <v>0.30443528294563299</v>
      </c>
      <c r="I148">
        <v>-0.792536020278931</v>
      </c>
      <c r="J148">
        <v>-0.792536020278931</v>
      </c>
      <c r="K148">
        <f>VLOOKUP(B148,'FRAME ASSIGNMENTS SUMMARY'!B:D,3,0)</f>
        <v>1.5</v>
      </c>
      <c r="L148">
        <v>9.1999999999999993</v>
      </c>
      <c r="M148">
        <v>1.5</v>
      </c>
    </row>
    <row r="149" spans="1:13">
      <c r="A149" t="s">
        <v>48</v>
      </c>
      <c r="B149" t="s">
        <v>48</v>
      </c>
      <c r="C149" t="s">
        <v>34</v>
      </c>
      <c r="D149">
        <v>1.12499999999998</v>
      </c>
      <c r="E149">
        <v>1.96202445030212</v>
      </c>
      <c r="F149">
        <v>-2.9159362316131601</v>
      </c>
      <c r="G149">
        <v>-2.9159362316131601</v>
      </c>
      <c r="H149">
        <v>0.30620905756950401</v>
      </c>
      <c r="I149">
        <v>-1.08809471130371</v>
      </c>
      <c r="J149">
        <v>-1.08809471130371</v>
      </c>
      <c r="K149">
        <f>VLOOKUP(B149,'FRAME ASSIGNMENTS SUMMARY'!B:D,3,0)</f>
        <v>1.5</v>
      </c>
      <c r="L149">
        <v>9.1999999999999993</v>
      </c>
      <c r="M149">
        <v>1.5</v>
      </c>
    </row>
    <row r="150" spans="1:13">
      <c r="A150" t="s">
        <v>48</v>
      </c>
      <c r="B150" t="s">
        <v>48</v>
      </c>
      <c r="C150" t="s">
        <v>34</v>
      </c>
      <c r="D150">
        <v>1.5</v>
      </c>
      <c r="E150">
        <v>-1.96202445030212</v>
      </c>
      <c r="F150">
        <v>-2.9159362316131601</v>
      </c>
      <c r="G150">
        <v>-2.9159362316131601</v>
      </c>
      <c r="H150">
        <v>-6.86516147106886E-3</v>
      </c>
      <c r="I150">
        <v>-5.3813797421753398E-3</v>
      </c>
      <c r="J150">
        <v>-5.3813797421753398E-3</v>
      </c>
      <c r="K150">
        <f>VLOOKUP(B150,'FRAME ASSIGNMENTS SUMMARY'!B:D,3,0)</f>
        <v>1.5</v>
      </c>
      <c r="L150">
        <v>9.5749999999999993</v>
      </c>
      <c r="M150">
        <v>1.5</v>
      </c>
    </row>
    <row r="151" spans="1:13">
      <c r="A151" t="s">
        <v>48</v>
      </c>
      <c r="B151" t="s">
        <v>48</v>
      </c>
      <c r="C151" t="s">
        <v>34</v>
      </c>
      <c r="D151">
        <v>1.5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f>VLOOKUP(B151,'FRAME ASSIGNMENTS SUMMARY'!B:D,3,0)</f>
        <v>1.5</v>
      </c>
      <c r="L151">
        <v>9.5749999999999993</v>
      </c>
      <c r="M151">
        <v>1.5</v>
      </c>
    </row>
    <row r="152" spans="1:13">
      <c r="A152" t="s">
        <v>49</v>
      </c>
      <c r="B152" t="s">
        <v>49</v>
      </c>
      <c r="C152" t="s">
        <v>34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f>VLOOKUP(B152,'FRAME ASSIGNMENTS SUMMARY'!B:D,3,0)</f>
        <v>1.5</v>
      </c>
      <c r="L152">
        <v>6.2249999999999996</v>
      </c>
      <c r="M152">
        <v>1.5</v>
      </c>
    </row>
    <row r="153" spans="1:13">
      <c r="A153" t="s">
        <v>49</v>
      </c>
      <c r="B153" t="s">
        <v>49</v>
      </c>
      <c r="C153" t="s">
        <v>34</v>
      </c>
      <c r="D153">
        <v>0</v>
      </c>
      <c r="E153">
        <v>59.313148498535199</v>
      </c>
      <c r="F153">
        <v>24.582439422607401</v>
      </c>
      <c r="G153">
        <v>24.582439422607401</v>
      </c>
      <c r="H153">
        <v>0.19832220673561099</v>
      </c>
      <c r="I153">
        <v>-34.324314117431598</v>
      </c>
      <c r="J153">
        <v>-34.324314117431598</v>
      </c>
      <c r="K153">
        <f>VLOOKUP(B153,'FRAME ASSIGNMENTS SUMMARY'!B:D,3,0)</f>
        <v>1.5</v>
      </c>
      <c r="L153">
        <v>6.2249999999999996</v>
      </c>
      <c r="M153">
        <v>1.5</v>
      </c>
    </row>
    <row r="154" spans="1:13">
      <c r="A154" t="s">
        <v>49</v>
      </c>
      <c r="B154" t="s">
        <v>49</v>
      </c>
      <c r="C154" t="s">
        <v>34</v>
      </c>
      <c r="D154">
        <v>0.37499999999998501</v>
      </c>
      <c r="E154">
        <v>64.378837585449205</v>
      </c>
      <c r="F154">
        <v>24.582439422607401</v>
      </c>
      <c r="G154">
        <v>24.582439422607401</v>
      </c>
      <c r="H154">
        <v>2.0770668983459499</v>
      </c>
      <c r="I154">
        <v>-43.451995849609403</v>
      </c>
      <c r="J154">
        <v>-43.451995849609403</v>
      </c>
      <c r="K154">
        <f>VLOOKUP(B154,'FRAME ASSIGNMENTS SUMMARY'!B:D,3,0)</f>
        <v>1.5</v>
      </c>
      <c r="L154">
        <v>6.6</v>
      </c>
      <c r="M154">
        <v>1.5</v>
      </c>
    </row>
    <row r="155" spans="1:13">
      <c r="A155" t="s">
        <v>49</v>
      </c>
      <c r="B155" t="s">
        <v>49</v>
      </c>
      <c r="C155" t="s">
        <v>34</v>
      </c>
      <c r="D155">
        <v>0.37499999999998501</v>
      </c>
      <c r="E155">
        <v>37.781650543212898</v>
      </c>
      <c r="F155">
        <v>-448.04409790039102</v>
      </c>
      <c r="G155">
        <v>-448.04409790039102</v>
      </c>
      <c r="H155">
        <v>2.0728130340576199</v>
      </c>
      <c r="I155">
        <v>-42.670494079589801</v>
      </c>
      <c r="J155">
        <v>-42.670494079589801</v>
      </c>
      <c r="K155">
        <f>VLOOKUP(B155,'FRAME ASSIGNMENTS SUMMARY'!B:D,3,0)</f>
        <v>1.5</v>
      </c>
      <c r="L155">
        <v>6.6</v>
      </c>
      <c r="M155">
        <v>1.5</v>
      </c>
    </row>
    <row r="156" spans="1:13">
      <c r="A156" t="s">
        <v>49</v>
      </c>
      <c r="B156" t="s">
        <v>49</v>
      </c>
      <c r="C156" t="s">
        <v>34</v>
      </c>
      <c r="D156">
        <v>0.750000000000002</v>
      </c>
      <c r="E156">
        <v>87.444747924804702</v>
      </c>
      <c r="F156">
        <v>-448.04409790039102</v>
      </c>
      <c r="G156">
        <v>-448.04409790039102</v>
      </c>
      <c r="H156">
        <v>-6.8537168204784393E-2</v>
      </c>
      <c r="I156">
        <v>123.69229888916</v>
      </c>
      <c r="J156">
        <v>123.69229888916</v>
      </c>
      <c r="K156">
        <f>VLOOKUP(B156,'FRAME ASSIGNMENTS SUMMARY'!B:D,3,0)</f>
        <v>1.5</v>
      </c>
      <c r="L156">
        <v>6.9749999999999996</v>
      </c>
      <c r="M156">
        <v>1.5</v>
      </c>
    </row>
    <row r="157" spans="1:13">
      <c r="A157" t="s">
        <v>49</v>
      </c>
      <c r="B157" t="s">
        <v>49</v>
      </c>
      <c r="C157" t="s">
        <v>34</v>
      </c>
      <c r="D157">
        <v>0.750000000000002</v>
      </c>
      <c r="E157">
        <v>32.743026733398402</v>
      </c>
      <c r="F157">
        <v>458.40945434570301</v>
      </c>
      <c r="G157">
        <v>458.40945434570301</v>
      </c>
      <c r="H157">
        <v>-7.95416459441185E-2</v>
      </c>
      <c r="I157">
        <v>127.548667907715</v>
      </c>
      <c r="J157">
        <v>127.548667907715</v>
      </c>
      <c r="K157">
        <f>VLOOKUP(B157,'FRAME ASSIGNMENTS SUMMARY'!B:D,3,0)</f>
        <v>1.5</v>
      </c>
      <c r="L157">
        <v>6.9749999999999996</v>
      </c>
      <c r="M157">
        <v>1.5</v>
      </c>
    </row>
    <row r="158" spans="1:13">
      <c r="A158" t="s">
        <v>49</v>
      </c>
      <c r="B158" t="s">
        <v>49</v>
      </c>
      <c r="C158" t="s">
        <v>34</v>
      </c>
      <c r="D158">
        <v>1.12499999999998</v>
      </c>
      <c r="E158">
        <v>-8.6756057739257795</v>
      </c>
      <c r="F158">
        <v>458.40945434570301</v>
      </c>
      <c r="G158">
        <v>458.40945434570301</v>
      </c>
      <c r="H158">
        <v>-2.2119128704071001</v>
      </c>
      <c r="I158">
        <v>-42.662883758544901</v>
      </c>
      <c r="J158">
        <v>-42.662883758544901</v>
      </c>
      <c r="K158">
        <f>VLOOKUP(B158,'FRAME ASSIGNMENTS SUMMARY'!B:D,3,0)</f>
        <v>1.5</v>
      </c>
      <c r="L158">
        <v>9.1999999999999993</v>
      </c>
      <c r="M158">
        <v>0.75</v>
      </c>
    </row>
    <row r="159" spans="1:13">
      <c r="A159" t="s">
        <v>49</v>
      </c>
      <c r="B159" t="s">
        <v>49</v>
      </c>
      <c r="C159" t="s">
        <v>34</v>
      </c>
      <c r="D159">
        <v>1.12499999999998</v>
      </c>
      <c r="E159">
        <v>17.290206909179702</v>
      </c>
      <c r="F159">
        <v>-12.8253574371338</v>
      </c>
      <c r="G159">
        <v>-12.8253574371338</v>
      </c>
      <c r="H159">
        <v>-2.21609306335449</v>
      </c>
      <c r="I159">
        <v>-43.485214233398402</v>
      </c>
      <c r="J159">
        <v>-43.485214233398402</v>
      </c>
      <c r="K159">
        <f>VLOOKUP(B159,'FRAME ASSIGNMENTS SUMMARY'!B:D,3,0)</f>
        <v>1.5</v>
      </c>
      <c r="L159">
        <v>9.1999999999999993</v>
      </c>
      <c r="M159">
        <v>0.75</v>
      </c>
    </row>
    <row r="160" spans="1:13">
      <c r="A160" t="s">
        <v>49</v>
      </c>
      <c r="B160" t="s">
        <v>49</v>
      </c>
      <c r="C160" t="s">
        <v>34</v>
      </c>
      <c r="D160">
        <v>1.5</v>
      </c>
      <c r="E160">
        <v>8.3047733306884801</v>
      </c>
      <c r="F160">
        <v>-12.8253574371338</v>
      </c>
      <c r="G160">
        <v>-12.8253574371338</v>
      </c>
      <c r="H160">
        <v>-0.32985502481460599</v>
      </c>
      <c r="I160">
        <v>-38.7230415344238</v>
      </c>
      <c r="J160">
        <v>-38.7230415344238</v>
      </c>
      <c r="K160">
        <f>VLOOKUP(B160,'FRAME ASSIGNMENTS SUMMARY'!B:D,3,0)</f>
        <v>1.5</v>
      </c>
      <c r="L160">
        <v>9.1999999999999993</v>
      </c>
      <c r="M160">
        <v>0.75</v>
      </c>
    </row>
    <row r="161" spans="1:13">
      <c r="A161" t="s">
        <v>49</v>
      </c>
      <c r="B161" t="s">
        <v>49</v>
      </c>
      <c r="C161" t="s">
        <v>34</v>
      </c>
      <c r="D161">
        <v>1.5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f>VLOOKUP(B161,'FRAME ASSIGNMENTS SUMMARY'!B:D,3,0)</f>
        <v>1.5</v>
      </c>
      <c r="L161">
        <v>9.1999999999999993</v>
      </c>
      <c r="M161">
        <v>0.75</v>
      </c>
    </row>
    <row r="162" spans="1:13">
      <c r="A162" t="s">
        <v>50</v>
      </c>
      <c r="B162" t="s">
        <v>50</v>
      </c>
      <c r="C162" t="s">
        <v>34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f>VLOOKUP(B162,'FRAME ASSIGNMENTS SUMMARY'!B:D,3,0)</f>
        <v>1.5</v>
      </c>
      <c r="L162">
        <v>9.1999999999999993</v>
      </c>
      <c r="M162">
        <v>0.75</v>
      </c>
    </row>
    <row r="163" spans="1:13">
      <c r="A163" t="s">
        <v>50</v>
      </c>
      <c r="B163" t="s">
        <v>50</v>
      </c>
      <c r="C163" t="s">
        <v>34</v>
      </c>
      <c r="D163">
        <v>0</v>
      </c>
      <c r="E163">
        <v>8.9477663040161097</v>
      </c>
      <c r="F163">
        <v>1.6376869678497299</v>
      </c>
      <c r="G163">
        <v>1.6376869678497299</v>
      </c>
      <c r="H163">
        <v>-0.35364261269569403</v>
      </c>
      <c r="I163">
        <v>-35.346096038818402</v>
      </c>
      <c r="J163">
        <v>-35.346096038818402</v>
      </c>
      <c r="K163">
        <f>VLOOKUP(B163,'FRAME ASSIGNMENTS SUMMARY'!B:D,3,0)</f>
        <v>1.5</v>
      </c>
      <c r="L163">
        <v>9.1999999999999993</v>
      </c>
      <c r="M163">
        <v>0.75</v>
      </c>
    </row>
    <row r="164" spans="1:13">
      <c r="A164" t="s">
        <v>50</v>
      </c>
      <c r="B164" t="s">
        <v>50</v>
      </c>
      <c r="C164" t="s">
        <v>34</v>
      </c>
      <c r="D164">
        <v>0.37499999999998401</v>
      </c>
      <c r="E164">
        <v>16.647212982177699</v>
      </c>
      <c r="F164">
        <v>1.6376869678497299</v>
      </c>
      <c r="G164">
        <v>1.6376869678497299</v>
      </c>
      <c r="H164">
        <v>1.8023985624313399</v>
      </c>
      <c r="I164">
        <v>-35.954181671142599</v>
      </c>
      <c r="J164">
        <v>-35.954181671142599</v>
      </c>
      <c r="K164">
        <f>VLOOKUP(B164,'FRAME ASSIGNMENTS SUMMARY'!B:D,3,0)</f>
        <v>1.5</v>
      </c>
      <c r="L164">
        <v>9.1999999999999993</v>
      </c>
      <c r="M164">
        <v>0.75</v>
      </c>
    </row>
    <row r="165" spans="1:13">
      <c r="A165" t="s">
        <v>50</v>
      </c>
      <c r="B165" t="s">
        <v>50</v>
      </c>
      <c r="C165" t="s">
        <v>34</v>
      </c>
      <c r="D165">
        <v>0.37499999999998401</v>
      </c>
      <c r="E165">
        <v>-15.979645729064901</v>
      </c>
      <c r="F165">
        <v>-473.89276123046898</v>
      </c>
      <c r="G165">
        <v>-473.89276123046898</v>
      </c>
      <c r="H165">
        <v>1.8010296821594201</v>
      </c>
      <c r="I165">
        <v>-35.082633972167997</v>
      </c>
      <c r="J165">
        <v>-35.082633972167997</v>
      </c>
      <c r="K165">
        <f>VLOOKUP(B165,'FRAME ASSIGNMENTS SUMMARY'!B:D,3,0)</f>
        <v>1.5</v>
      </c>
      <c r="L165">
        <v>9.1999999999999993</v>
      </c>
      <c r="M165">
        <v>0.75</v>
      </c>
    </row>
    <row r="166" spans="1:13">
      <c r="A166" t="s">
        <v>50</v>
      </c>
      <c r="B166" t="s">
        <v>50</v>
      </c>
      <c r="C166" t="s">
        <v>34</v>
      </c>
      <c r="D166">
        <v>0.750000000000003</v>
      </c>
      <c r="E166">
        <v>43.126091003417997</v>
      </c>
      <c r="F166">
        <v>-473.89276123046898</v>
      </c>
      <c r="G166">
        <v>-473.89276123046898</v>
      </c>
      <c r="H166">
        <v>-0.53654682636260997</v>
      </c>
      <c r="I166">
        <v>140.878005981445</v>
      </c>
      <c r="J166">
        <v>140.878005981445</v>
      </c>
      <c r="K166">
        <f>VLOOKUP(B166,'FRAME ASSIGNMENTS SUMMARY'!B:D,3,0)</f>
        <v>1.5</v>
      </c>
      <c r="L166">
        <v>9.1999999999999993</v>
      </c>
      <c r="M166">
        <v>0.75</v>
      </c>
    </row>
    <row r="167" spans="1:13">
      <c r="A167" t="s">
        <v>50</v>
      </c>
      <c r="B167" t="s">
        <v>50</v>
      </c>
      <c r="C167" t="s">
        <v>34</v>
      </c>
      <c r="D167">
        <v>0.750000000000003</v>
      </c>
      <c r="E167">
        <v>109.24186706543</v>
      </c>
      <c r="F167">
        <v>454.75842285156301</v>
      </c>
      <c r="G167">
        <v>454.75842285156301</v>
      </c>
      <c r="H167">
        <v>-0.55268645286560103</v>
      </c>
      <c r="I167">
        <v>143.26818847656301</v>
      </c>
      <c r="J167">
        <v>143.26818847656301</v>
      </c>
      <c r="K167">
        <f>VLOOKUP(B167,'FRAME ASSIGNMENTS SUMMARY'!B:D,3,0)</f>
        <v>1.5</v>
      </c>
      <c r="L167">
        <v>9.1999999999999993</v>
      </c>
      <c r="M167">
        <v>0.75</v>
      </c>
    </row>
    <row r="168" spans="1:13">
      <c r="A168" t="s">
        <v>50</v>
      </c>
      <c r="B168" t="s">
        <v>50</v>
      </c>
      <c r="C168" t="s">
        <v>34</v>
      </c>
      <c r="D168">
        <v>1.12499999999998</v>
      </c>
      <c r="E168">
        <v>51.085033416747997</v>
      </c>
      <c r="F168">
        <v>454.75842285156301</v>
      </c>
      <c r="G168">
        <v>454.75842285156301</v>
      </c>
      <c r="H168">
        <v>-2.3491792678832999</v>
      </c>
      <c r="I168">
        <v>-25.5876979827881</v>
      </c>
      <c r="J168">
        <v>-25.5876979827881</v>
      </c>
      <c r="K168">
        <f>VLOOKUP(B168,'FRAME ASSIGNMENTS SUMMARY'!B:D,3,0)</f>
        <v>1.5</v>
      </c>
      <c r="L168">
        <v>0.10849364905389</v>
      </c>
      <c r="M168">
        <v>1.3999999761581401</v>
      </c>
    </row>
    <row r="169" spans="1:13">
      <c r="A169" t="s">
        <v>50</v>
      </c>
      <c r="B169" t="s">
        <v>50</v>
      </c>
      <c r="C169" t="s">
        <v>34</v>
      </c>
      <c r="D169">
        <v>1.12499999999998</v>
      </c>
      <c r="E169">
        <v>86.266754150390597</v>
      </c>
      <c r="F169">
        <v>-26.476373672485401</v>
      </c>
      <c r="G169">
        <v>-26.476373672485401</v>
      </c>
      <c r="H169">
        <v>-2.3478238582611102</v>
      </c>
      <c r="I169">
        <v>-26.378095626831101</v>
      </c>
      <c r="J169">
        <v>-26.378095626831101</v>
      </c>
      <c r="K169">
        <f>VLOOKUP(B169,'FRAME ASSIGNMENTS SUMMARY'!B:D,3,0)</f>
        <v>1.5</v>
      </c>
      <c r="L169">
        <v>0.10849364905389</v>
      </c>
      <c r="M169">
        <v>1.3999999761581401</v>
      </c>
    </row>
    <row r="170" spans="1:13">
      <c r="A170" t="s">
        <v>50</v>
      </c>
      <c r="B170" t="s">
        <v>50</v>
      </c>
      <c r="C170" t="s">
        <v>34</v>
      </c>
      <c r="D170">
        <v>1.5</v>
      </c>
      <c r="E170">
        <v>75.602439880371094</v>
      </c>
      <c r="F170">
        <v>-26.476373672485401</v>
      </c>
      <c r="G170">
        <v>-26.476373672485401</v>
      </c>
      <c r="H170">
        <v>-0.13478399813175199</v>
      </c>
      <c r="I170">
        <v>-16.5471801757813</v>
      </c>
      <c r="J170">
        <v>-16.5471801757813</v>
      </c>
      <c r="K170">
        <f>VLOOKUP(B170,'FRAME ASSIGNMENTS SUMMARY'!B:D,3,0)</f>
        <v>1.5</v>
      </c>
      <c r="L170">
        <v>0.10849364905389</v>
      </c>
      <c r="M170">
        <v>1.3999999761581401</v>
      </c>
    </row>
    <row r="171" spans="1:13">
      <c r="A171" t="s">
        <v>50</v>
      </c>
      <c r="B171" t="s">
        <v>50</v>
      </c>
      <c r="C171" t="s">
        <v>34</v>
      </c>
      <c r="D171">
        <v>1.5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f>VLOOKUP(B171,'FRAME ASSIGNMENTS SUMMARY'!B:D,3,0)</f>
        <v>1.5</v>
      </c>
      <c r="L171">
        <v>0.10849364905389</v>
      </c>
      <c r="M171">
        <v>1.3999999761581401</v>
      </c>
    </row>
    <row r="172" spans="1:13">
      <c r="A172" t="s">
        <v>51</v>
      </c>
      <c r="B172" t="s">
        <v>51</v>
      </c>
      <c r="C172" t="s">
        <v>34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f>VLOOKUP(B172,'FRAME ASSIGNMENTS SUMMARY'!B:D,3,0)</f>
        <v>1.5</v>
      </c>
      <c r="L172">
        <v>0.10849364905389</v>
      </c>
      <c r="M172">
        <v>1.3999999761581401</v>
      </c>
    </row>
    <row r="173" spans="1:13">
      <c r="A173" t="s">
        <v>51</v>
      </c>
      <c r="B173" t="s">
        <v>51</v>
      </c>
      <c r="C173" t="s">
        <v>34</v>
      </c>
      <c r="D173">
        <v>0</v>
      </c>
      <c r="E173">
        <v>75.577079772949205</v>
      </c>
      <c r="F173">
        <v>1.98316490650177</v>
      </c>
      <c r="G173">
        <v>1.98316490650177</v>
      </c>
      <c r="H173">
        <v>-3.3687418326735501E-3</v>
      </c>
      <c r="I173">
        <v>27.5857963562012</v>
      </c>
      <c r="J173">
        <v>27.5857963562012</v>
      </c>
      <c r="K173">
        <f>VLOOKUP(B173,'FRAME ASSIGNMENTS SUMMARY'!B:D,3,0)</f>
        <v>1.5</v>
      </c>
      <c r="L173">
        <v>0.10849364905389</v>
      </c>
      <c r="M173">
        <v>1.3999999761581401</v>
      </c>
    </row>
    <row r="174" spans="1:13">
      <c r="A174" t="s">
        <v>51</v>
      </c>
      <c r="B174" t="s">
        <v>51</v>
      </c>
      <c r="C174" t="s">
        <v>34</v>
      </c>
      <c r="D174">
        <v>0.37499999999998002</v>
      </c>
      <c r="E174">
        <v>86.292106628417997</v>
      </c>
      <c r="F174">
        <v>1.98316490650177</v>
      </c>
      <c r="G174">
        <v>1.98316490650177</v>
      </c>
      <c r="H174">
        <v>1.8315019607543901</v>
      </c>
      <c r="I174">
        <v>26.849430084228501</v>
      </c>
      <c r="J174">
        <v>26.849430084228501</v>
      </c>
      <c r="K174">
        <f>VLOOKUP(B174,'FRAME ASSIGNMENTS SUMMARY'!B:D,3,0)</f>
        <v>1.5</v>
      </c>
      <c r="L174">
        <v>0.10849364905389</v>
      </c>
      <c r="M174">
        <v>1.3999999761581401</v>
      </c>
    </row>
    <row r="175" spans="1:13">
      <c r="A175" t="s">
        <v>51</v>
      </c>
      <c r="B175" t="s">
        <v>51</v>
      </c>
      <c r="C175" t="s">
        <v>34</v>
      </c>
      <c r="D175">
        <v>0.37499999999998002</v>
      </c>
      <c r="E175">
        <v>30.7263793945313</v>
      </c>
      <c r="F175">
        <v>-499.53607177734398</v>
      </c>
      <c r="G175">
        <v>-499.53607177734398</v>
      </c>
      <c r="H175">
        <v>1.83122563362122</v>
      </c>
      <c r="I175">
        <v>27.7676677703857</v>
      </c>
      <c r="J175">
        <v>27.7676677703857</v>
      </c>
      <c r="K175">
        <f>VLOOKUP(B175,'FRAME ASSIGNMENTS SUMMARY'!B:D,3,0)</f>
        <v>1.5</v>
      </c>
      <c r="L175">
        <v>0.10849364905389</v>
      </c>
      <c r="M175">
        <v>1.3999999761581401</v>
      </c>
    </row>
    <row r="176" spans="1:13">
      <c r="A176" t="s">
        <v>51</v>
      </c>
      <c r="B176" t="s">
        <v>51</v>
      </c>
      <c r="C176" t="s">
        <v>34</v>
      </c>
      <c r="D176">
        <v>0.75</v>
      </c>
      <c r="E176">
        <v>133.43876647949199</v>
      </c>
      <c r="F176">
        <v>-499.53607177734398</v>
      </c>
      <c r="G176">
        <v>-499.53607177734398</v>
      </c>
      <c r="H176">
        <v>0.60195547342300404</v>
      </c>
      <c r="I176">
        <v>213.24989318847699</v>
      </c>
      <c r="J176">
        <v>213.24989318847699</v>
      </c>
      <c r="K176">
        <f>VLOOKUP(B176,'FRAME ASSIGNMENTS SUMMARY'!B:D,3,0)</f>
        <v>1.5</v>
      </c>
      <c r="L176">
        <v>0.10849364905389</v>
      </c>
      <c r="M176">
        <v>1.3999999761581401</v>
      </c>
    </row>
    <row r="177" spans="1:13">
      <c r="A177" t="s">
        <v>51</v>
      </c>
      <c r="B177" t="s">
        <v>51</v>
      </c>
      <c r="C177" t="s">
        <v>34</v>
      </c>
      <c r="D177">
        <v>0.75</v>
      </c>
      <c r="E177">
        <v>90.014846801757798</v>
      </c>
      <c r="F177">
        <v>496.52981567382801</v>
      </c>
      <c r="G177">
        <v>496.52981567382801</v>
      </c>
      <c r="H177">
        <v>0.60254275798797596</v>
      </c>
      <c r="I177">
        <v>215.76348876953099</v>
      </c>
      <c r="J177">
        <v>215.76348876953099</v>
      </c>
      <c r="K177">
        <f>VLOOKUP(B177,'FRAME ASSIGNMENTS SUMMARY'!B:D,3,0)</f>
        <v>1.5</v>
      </c>
      <c r="L177">
        <v>0.10849364905389</v>
      </c>
      <c r="M177">
        <v>1.3999999761581401</v>
      </c>
    </row>
    <row r="178" spans="1:13">
      <c r="A178" t="s">
        <v>51</v>
      </c>
      <c r="B178" t="s">
        <v>51</v>
      </c>
      <c r="C178" t="s">
        <v>34</v>
      </c>
      <c r="D178">
        <v>1.12499999999998</v>
      </c>
      <c r="E178">
        <v>2.8581285476684601</v>
      </c>
      <c r="F178">
        <v>496.52981567382801</v>
      </c>
      <c r="G178">
        <v>496.52981567382801</v>
      </c>
      <c r="H178">
        <v>-1.0245378017425499</v>
      </c>
      <c r="I178">
        <v>31.397502899169901</v>
      </c>
      <c r="J178">
        <v>31.397502899169901</v>
      </c>
      <c r="K178">
        <f>VLOOKUP(B178,'FRAME ASSIGNMENTS SUMMARY'!B:D,3,0)</f>
        <v>1.5</v>
      </c>
      <c r="L178">
        <v>0.10849364905389</v>
      </c>
      <c r="M178">
        <v>1.3999999761581401</v>
      </c>
    </row>
    <row r="179" spans="1:13">
      <c r="A179" t="s">
        <v>51</v>
      </c>
      <c r="B179" t="s">
        <v>51</v>
      </c>
      <c r="C179" t="s">
        <v>34</v>
      </c>
      <c r="D179">
        <v>1.12499999999998</v>
      </c>
      <c r="E179">
        <v>58.429763793945298</v>
      </c>
      <c r="F179">
        <v>1.8478157520294201</v>
      </c>
      <c r="G179">
        <v>1.8478157520294201</v>
      </c>
      <c r="H179">
        <v>-1.02690529823303</v>
      </c>
      <c r="I179">
        <v>30.4777431488037</v>
      </c>
      <c r="J179">
        <v>30.4777431488037</v>
      </c>
      <c r="K179">
        <f>VLOOKUP(B179,'FRAME ASSIGNMENTS SUMMARY'!B:D,3,0)</f>
        <v>1.5</v>
      </c>
      <c r="L179">
        <v>0.10849364905389</v>
      </c>
      <c r="M179">
        <v>1.3999999761581401</v>
      </c>
    </row>
    <row r="180" spans="1:13">
      <c r="A180" t="s">
        <v>51</v>
      </c>
      <c r="B180" t="s">
        <v>51</v>
      </c>
      <c r="C180" t="s">
        <v>34</v>
      </c>
      <c r="D180">
        <v>1.5</v>
      </c>
      <c r="E180">
        <v>36.720859527587898</v>
      </c>
      <c r="F180">
        <v>1.8478157520294201</v>
      </c>
      <c r="G180">
        <v>1.8478157520294201</v>
      </c>
      <c r="H180">
        <v>0.74572831392288197</v>
      </c>
      <c r="I180">
        <v>29.791631698608398</v>
      </c>
      <c r="J180">
        <v>29.791631698608398</v>
      </c>
      <c r="K180">
        <f>VLOOKUP(B180,'FRAME ASSIGNMENTS SUMMARY'!B:D,3,0)</f>
        <v>1.5</v>
      </c>
      <c r="L180">
        <v>0.10849364905389</v>
      </c>
      <c r="M180">
        <v>1.3999999761581401</v>
      </c>
    </row>
    <row r="181" spans="1:13">
      <c r="A181" t="s">
        <v>51</v>
      </c>
      <c r="B181" t="s">
        <v>51</v>
      </c>
      <c r="C181" t="s">
        <v>34</v>
      </c>
      <c r="D181">
        <v>1.5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f>VLOOKUP(B181,'FRAME ASSIGNMENTS SUMMARY'!B:D,3,0)</f>
        <v>1.5</v>
      </c>
      <c r="L181">
        <v>0.10849364905389</v>
      </c>
      <c r="M181">
        <v>1.3999999761581401</v>
      </c>
    </row>
    <row r="182" spans="1:13">
      <c r="A182" t="s">
        <v>52</v>
      </c>
      <c r="B182" t="s">
        <v>52</v>
      </c>
      <c r="C182" t="s">
        <v>34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f>VLOOKUP(B182,'FRAME ASSIGNMENTS SUMMARY'!B:D,3,0)</f>
        <v>0.75</v>
      </c>
      <c r="L182">
        <v>0.10849364905389</v>
      </c>
      <c r="M182">
        <v>1.3999999761581401</v>
      </c>
    </row>
    <row r="183" spans="1:13">
      <c r="A183" t="s">
        <v>52</v>
      </c>
      <c r="B183" t="s">
        <v>52</v>
      </c>
      <c r="C183" t="s">
        <v>34</v>
      </c>
      <c r="D183">
        <v>0</v>
      </c>
      <c r="E183">
        <v>50.813766479492202</v>
      </c>
      <c r="F183">
        <v>15.474551200866699</v>
      </c>
      <c r="G183">
        <v>15.474551200866699</v>
      </c>
      <c r="H183">
        <v>-0.84204781055450395</v>
      </c>
      <c r="I183">
        <v>-8.9010992050170898</v>
      </c>
      <c r="J183">
        <v>-8.9010992050170898</v>
      </c>
      <c r="K183">
        <f>VLOOKUP(B183,'FRAME ASSIGNMENTS SUMMARY'!B:D,3,0)</f>
        <v>0.75</v>
      </c>
      <c r="L183">
        <v>0.10849364905389</v>
      </c>
      <c r="M183">
        <v>1.3999999761581401</v>
      </c>
    </row>
    <row r="184" spans="1:13">
      <c r="A184" t="s">
        <v>52</v>
      </c>
      <c r="B184" t="s">
        <v>52</v>
      </c>
      <c r="C184" t="s">
        <v>34</v>
      </c>
      <c r="D184">
        <v>0.375000000000901</v>
      </c>
      <c r="E184">
        <v>98.941925048828097</v>
      </c>
      <c r="F184">
        <v>15.474551200866699</v>
      </c>
      <c r="G184">
        <v>15.474551200866699</v>
      </c>
      <c r="H184">
        <v>-7.7383607625961304E-2</v>
      </c>
      <c r="I184">
        <v>-14.646939277648899</v>
      </c>
      <c r="J184">
        <v>-14.646939277648899</v>
      </c>
      <c r="K184">
        <f>VLOOKUP(B184,'FRAME ASSIGNMENTS SUMMARY'!B:D,3,0)</f>
        <v>0.75</v>
      </c>
      <c r="L184">
        <v>0.10849364905389</v>
      </c>
      <c r="M184">
        <v>1.3999999761581401</v>
      </c>
    </row>
    <row r="185" spans="1:13">
      <c r="A185" t="s">
        <v>52</v>
      </c>
      <c r="B185" t="s">
        <v>52</v>
      </c>
      <c r="C185" t="s">
        <v>34</v>
      </c>
      <c r="D185">
        <v>0.375000000000901</v>
      </c>
      <c r="E185">
        <v>14.827171325683601</v>
      </c>
      <c r="F185">
        <v>-5.8318724632263201</v>
      </c>
      <c r="G185">
        <v>-5.8318724632263201</v>
      </c>
      <c r="H185">
        <v>-7.1225807070732103E-2</v>
      </c>
      <c r="I185">
        <v>-2.1761894226074201</v>
      </c>
      <c r="J185">
        <v>-2.1761894226074201</v>
      </c>
      <c r="K185">
        <f>VLOOKUP(B185,'FRAME ASSIGNMENTS SUMMARY'!B:D,3,0)</f>
        <v>0.75</v>
      </c>
      <c r="L185">
        <v>0.10849364905389</v>
      </c>
      <c r="M185">
        <v>1.3999999761581401</v>
      </c>
    </row>
    <row r="186" spans="1:13">
      <c r="A186" t="s">
        <v>52</v>
      </c>
      <c r="B186" t="s">
        <v>52</v>
      </c>
      <c r="C186" t="s">
        <v>34</v>
      </c>
      <c r="D186">
        <v>0.75</v>
      </c>
      <c r="E186">
        <v>-14.827171325683601</v>
      </c>
      <c r="F186">
        <v>-5.8318724632263201</v>
      </c>
      <c r="G186">
        <v>-5.8318724632263201</v>
      </c>
      <c r="H186">
        <v>0.78802728652954102</v>
      </c>
      <c r="I186">
        <v>-1.0762760415673299E-2</v>
      </c>
      <c r="J186">
        <v>-1.0762760415673299E-2</v>
      </c>
      <c r="K186">
        <f>VLOOKUP(B186,'FRAME ASSIGNMENTS SUMMARY'!B:D,3,0)</f>
        <v>0.75</v>
      </c>
      <c r="L186">
        <v>0.10849364905389</v>
      </c>
      <c r="M186">
        <v>1.3999999761581401</v>
      </c>
    </row>
    <row r="187" spans="1:13">
      <c r="A187" t="s">
        <v>52</v>
      </c>
      <c r="B187" t="s">
        <v>52</v>
      </c>
      <c r="C187" t="s">
        <v>34</v>
      </c>
      <c r="D187">
        <v>0.75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f>VLOOKUP(B187,'FRAME ASSIGNMENTS SUMMARY'!B:D,3,0)</f>
        <v>0.75</v>
      </c>
      <c r="L187">
        <v>0.10849364905389</v>
      </c>
      <c r="M187">
        <v>1.3999999761581401</v>
      </c>
    </row>
    <row r="188" spans="1:13">
      <c r="A188" t="s">
        <v>53</v>
      </c>
      <c r="B188" t="s">
        <v>53</v>
      </c>
      <c r="C188" t="s">
        <v>34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f>VLOOKUP(B188,'FRAME ASSIGNMENTS SUMMARY'!B:D,3,0)</f>
        <v>0.75</v>
      </c>
      <c r="L188">
        <v>0.10849364905389</v>
      </c>
      <c r="M188">
        <v>1.3999999761581401</v>
      </c>
    </row>
    <row r="189" spans="1:13">
      <c r="A189" t="s">
        <v>53</v>
      </c>
      <c r="B189" t="s">
        <v>53</v>
      </c>
      <c r="C189" t="s">
        <v>34</v>
      </c>
      <c r="D189">
        <v>0</v>
      </c>
      <c r="E189">
        <v>-8.7167205810546893</v>
      </c>
      <c r="F189">
        <v>5.8318724632263201</v>
      </c>
      <c r="G189">
        <v>5.8318724632263201</v>
      </c>
      <c r="H189">
        <v>-0.228988617658615</v>
      </c>
      <c r="I189">
        <v>-1.0762760415673299E-2</v>
      </c>
      <c r="J189">
        <v>-1.0762760415673299E-2</v>
      </c>
      <c r="K189">
        <f>VLOOKUP(B189,'FRAME ASSIGNMENTS SUMMARY'!B:D,3,0)</f>
        <v>0.75</v>
      </c>
      <c r="L189">
        <v>0.10849364905389</v>
      </c>
      <c r="M189">
        <v>1.3999999761581401</v>
      </c>
    </row>
    <row r="190" spans="1:13">
      <c r="A190" t="s">
        <v>53</v>
      </c>
      <c r="B190" t="s">
        <v>53</v>
      </c>
      <c r="C190" t="s">
        <v>34</v>
      </c>
      <c r="D190">
        <v>0.37500000000044698</v>
      </c>
      <c r="E190">
        <v>8.7167205810546893</v>
      </c>
      <c r="F190">
        <v>5.8318724632263201</v>
      </c>
      <c r="G190">
        <v>5.8318724632263201</v>
      </c>
      <c r="H190">
        <v>9.8525322973728194E-2</v>
      </c>
      <c r="I190">
        <v>-2.1761894226074201</v>
      </c>
      <c r="J190">
        <v>-2.1761894226074201</v>
      </c>
      <c r="K190">
        <f>VLOOKUP(B190,'FRAME ASSIGNMENTS SUMMARY'!B:D,3,0)</f>
        <v>0.75</v>
      </c>
      <c r="L190">
        <v>0.10849364905389</v>
      </c>
      <c r="M190">
        <v>1.3999999761581401</v>
      </c>
    </row>
    <row r="191" spans="1:13">
      <c r="A191" t="s">
        <v>53</v>
      </c>
      <c r="B191" t="s">
        <v>53</v>
      </c>
      <c r="C191" t="s">
        <v>34</v>
      </c>
      <c r="D191">
        <v>0.37500000000044698</v>
      </c>
      <c r="E191">
        <v>145.34439086914099</v>
      </c>
      <c r="F191">
        <v>-18.9438381195068</v>
      </c>
      <c r="G191">
        <v>-18.9438381195068</v>
      </c>
      <c r="H191">
        <v>9.9052809178829193E-2</v>
      </c>
      <c r="I191">
        <v>-17.479387283325199</v>
      </c>
      <c r="J191">
        <v>-17.479387283325199</v>
      </c>
      <c r="K191">
        <f>VLOOKUP(B191,'FRAME ASSIGNMENTS SUMMARY'!B:D,3,0)</f>
        <v>0.75</v>
      </c>
      <c r="L191">
        <v>0.10849364905389</v>
      </c>
      <c r="M191">
        <v>1.3999999761581401</v>
      </c>
    </row>
    <row r="192" spans="1:13">
      <c r="A192" t="s">
        <v>53</v>
      </c>
      <c r="B192" t="s">
        <v>53</v>
      </c>
      <c r="C192" t="s">
        <v>34</v>
      </c>
      <c r="D192">
        <v>0.75</v>
      </c>
      <c r="E192">
        <v>122.05680847168</v>
      </c>
      <c r="F192">
        <v>-18.9438381195068</v>
      </c>
      <c r="G192">
        <v>-18.9438381195068</v>
      </c>
      <c r="H192">
        <v>0.30992507934570301</v>
      </c>
      <c r="I192">
        <v>-10.445370674133301</v>
      </c>
      <c r="J192">
        <v>-10.445370674133301</v>
      </c>
      <c r="K192">
        <f>VLOOKUP(B192,'FRAME ASSIGNMENTS SUMMARY'!B:D,3,0)</f>
        <v>0.75</v>
      </c>
      <c r="L192">
        <v>0.10849364905389</v>
      </c>
      <c r="M192">
        <v>1.3999999761581401</v>
      </c>
    </row>
    <row r="193" spans="1:13">
      <c r="A193" t="s">
        <v>53</v>
      </c>
      <c r="B193" t="s">
        <v>53</v>
      </c>
      <c r="C193" t="s">
        <v>34</v>
      </c>
      <c r="D193">
        <v>0.75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f>VLOOKUP(B193,'FRAME ASSIGNMENTS SUMMARY'!B:D,3,0)</f>
        <v>0.75</v>
      </c>
      <c r="L193">
        <v>0.10849364905389</v>
      </c>
      <c r="M193">
        <v>1.3999999761581401</v>
      </c>
    </row>
    <row r="194" spans="1:13">
      <c r="A194" t="s">
        <v>54</v>
      </c>
      <c r="B194" t="s">
        <v>54</v>
      </c>
      <c r="C194" t="s">
        <v>34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f>VLOOKUP(B194,'FRAME ASSIGNMENTS SUMMARY'!B:D,3,0)</f>
        <v>1.4</v>
      </c>
      <c r="L194">
        <v>0.10849364905389</v>
      </c>
      <c r="M194">
        <v>1.3999999761581401</v>
      </c>
    </row>
    <row r="195" spans="1:13">
      <c r="A195" t="s">
        <v>54</v>
      </c>
      <c r="B195" t="s">
        <v>54</v>
      </c>
      <c r="C195" t="s">
        <v>34</v>
      </c>
      <c r="D195">
        <v>0</v>
      </c>
      <c r="E195">
        <v>56.172462463378899</v>
      </c>
      <c r="F195">
        <v>22.2126274108887</v>
      </c>
      <c r="G195">
        <v>22.2126274108887</v>
      </c>
      <c r="H195">
        <v>0.35548567771911599</v>
      </c>
      <c r="I195">
        <v>-6.55831003189087</v>
      </c>
      <c r="J195">
        <v>-6.55831003189087</v>
      </c>
      <c r="K195">
        <f>VLOOKUP(B195,'FRAME ASSIGNMENTS SUMMARY'!B:D,3,0)</f>
        <v>1.4</v>
      </c>
      <c r="L195">
        <v>0.10849364905389</v>
      </c>
      <c r="M195">
        <v>1.3999999761581401</v>
      </c>
    </row>
    <row r="196" spans="1:13">
      <c r="A196" t="s">
        <v>54</v>
      </c>
      <c r="B196" t="s">
        <v>54</v>
      </c>
      <c r="C196" t="s">
        <v>34</v>
      </c>
      <c r="D196">
        <v>0.37499999999999101</v>
      </c>
      <c r="E196">
        <v>57.410507202148402</v>
      </c>
      <c r="F196">
        <v>22.2126274108887</v>
      </c>
      <c r="G196">
        <v>22.2126274108887</v>
      </c>
      <c r="H196">
        <v>0.89041477441787698</v>
      </c>
      <c r="I196">
        <v>-14.806058883666999</v>
      </c>
      <c r="J196">
        <v>-14.806058883666999</v>
      </c>
      <c r="K196">
        <f>VLOOKUP(B196,'FRAME ASSIGNMENTS SUMMARY'!B:D,3,0)</f>
        <v>1.4</v>
      </c>
      <c r="L196">
        <v>0.10849364905389</v>
      </c>
      <c r="M196">
        <v>1.3999999761581401</v>
      </c>
    </row>
    <row r="197" spans="1:13">
      <c r="A197" t="s">
        <v>54</v>
      </c>
      <c r="B197" t="s">
        <v>54</v>
      </c>
      <c r="C197" t="s">
        <v>34</v>
      </c>
      <c r="D197">
        <v>0.37499999999999101</v>
      </c>
      <c r="E197">
        <v>61.386760711669901</v>
      </c>
      <c r="F197">
        <v>-415.28646850585898</v>
      </c>
      <c r="G197">
        <v>-415.28646850585898</v>
      </c>
      <c r="H197">
        <v>0.89363694190979004</v>
      </c>
      <c r="I197">
        <v>-14.1266374588013</v>
      </c>
      <c r="J197">
        <v>-14.1266374588013</v>
      </c>
      <c r="K197">
        <f>VLOOKUP(B197,'FRAME ASSIGNMENTS SUMMARY'!B:D,3,0)</f>
        <v>1.4</v>
      </c>
      <c r="L197">
        <v>0.10849364905389</v>
      </c>
      <c r="M197">
        <v>1.3999999761581401</v>
      </c>
    </row>
    <row r="198" spans="1:13">
      <c r="A198" t="s">
        <v>54</v>
      </c>
      <c r="B198" t="s">
        <v>54</v>
      </c>
      <c r="C198" t="s">
        <v>34</v>
      </c>
      <c r="D198">
        <v>0.69999999999999896</v>
      </c>
      <c r="E198">
        <v>1.3500353097915601</v>
      </c>
      <c r="F198">
        <v>200.69337463378901</v>
      </c>
      <c r="G198">
        <v>200.69337463378901</v>
      </c>
      <c r="H198">
        <v>1.44210648536682</v>
      </c>
      <c r="I198">
        <v>66.319984436035199</v>
      </c>
      <c r="J198">
        <v>66.319984436035199</v>
      </c>
      <c r="K198">
        <f>VLOOKUP(B198,'FRAME ASSIGNMENTS SUMMARY'!B:D,3,0)</f>
        <v>1.4</v>
      </c>
      <c r="L198">
        <v>0.10849364905389</v>
      </c>
      <c r="M198">
        <v>1.3999999761581401</v>
      </c>
    </row>
    <row r="199" spans="1:13">
      <c r="A199" t="s">
        <v>54</v>
      </c>
      <c r="B199" t="s">
        <v>54</v>
      </c>
      <c r="C199" t="s">
        <v>34</v>
      </c>
      <c r="D199">
        <v>0.69999999999999896</v>
      </c>
      <c r="E199">
        <v>1.4181208610534699</v>
      </c>
      <c r="F199">
        <v>200.69337463378901</v>
      </c>
      <c r="G199">
        <v>200.69337463378901</v>
      </c>
      <c r="H199">
        <v>1.4477174282073999</v>
      </c>
      <c r="I199">
        <v>65.513473510742202</v>
      </c>
      <c r="J199">
        <v>65.513473510742202</v>
      </c>
      <c r="K199">
        <f>VLOOKUP(B199,'FRAME ASSIGNMENTS SUMMARY'!B:D,3,0)</f>
        <v>1.4</v>
      </c>
      <c r="L199">
        <v>0.10849364905389</v>
      </c>
      <c r="M199">
        <v>1.3999999761581401</v>
      </c>
    </row>
    <row r="200" spans="1:13">
      <c r="A200" t="s">
        <v>54</v>
      </c>
      <c r="B200" t="s">
        <v>54</v>
      </c>
      <c r="C200" t="s">
        <v>34</v>
      </c>
      <c r="D200">
        <v>1.0249999999999899</v>
      </c>
      <c r="E200">
        <v>67.553894042968807</v>
      </c>
      <c r="F200">
        <v>206.47372436523401</v>
      </c>
      <c r="G200">
        <v>206.47372436523401</v>
      </c>
      <c r="H200">
        <v>2.2106626033782999</v>
      </c>
      <c r="I200">
        <v>-3.2267541885375999</v>
      </c>
      <c r="J200">
        <v>-3.2267541885375999</v>
      </c>
      <c r="K200">
        <f>VLOOKUP(B200,'FRAME ASSIGNMENTS SUMMARY'!B:D,3,0)</f>
        <v>1.4</v>
      </c>
      <c r="L200">
        <v>0.10849364905389</v>
      </c>
      <c r="M200">
        <v>1.3999999761581401</v>
      </c>
    </row>
    <row r="201" spans="1:13">
      <c r="A201" t="s">
        <v>54</v>
      </c>
      <c r="B201" t="s">
        <v>54</v>
      </c>
      <c r="C201" t="s">
        <v>34</v>
      </c>
      <c r="D201">
        <v>1.0249999999999899</v>
      </c>
      <c r="E201">
        <v>16.463319778442401</v>
      </c>
      <c r="F201">
        <v>-11.685050964355501</v>
      </c>
      <c r="G201">
        <v>-11.685050964355501</v>
      </c>
      <c r="H201">
        <v>1.7378464937210101</v>
      </c>
      <c r="I201">
        <v>1.50307977199554</v>
      </c>
      <c r="J201">
        <v>1.50307977199554</v>
      </c>
      <c r="K201">
        <f>VLOOKUP(B201,'FRAME ASSIGNMENTS SUMMARY'!B:D,3,0)</f>
        <v>1.4</v>
      </c>
      <c r="L201">
        <v>0.10849364905389</v>
      </c>
      <c r="M201">
        <v>1.3999999761581401</v>
      </c>
    </row>
    <row r="202" spans="1:13">
      <c r="A202" t="s">
        <v>54</v>
      </c>
      <c r="B202" t="s">
        <v>54</v>
      </c>
      <c r="C202" t="s">
        <v>34</v>
      </c>
      <c r="D202">
        <v>1.4</v>
      </c>
      <c r="E202">
        <v>-14.001740455627401</v>
      </c>
      <c r="F202">
        <v>-27.937820434570298</v>
      </c>
      <c r="G202">
        <v>-27.937820434570298</v>
      </c>
      <c r="H202">
        <v>1.23398005962372</v>
      </c>
      <c r="I202">
        <v>2.53168749809265</v>
      </c>
      <c r="J202">
        <v>2.53168749809265</v>
      </c>
      <c r="K202">
        <f>VLOOKUP(B202,'FRAME ASSIGNMENTS SUMMARY'!B:D,3,0)</f>
        <v>1.4</v>
      </c>
      <c r="L202">
        <v>0.10849364905389</v>
      </c>
      <c r="M202">
        <v>1.3999999761581401</v>
      </c>
    </row>
    <row r="203" spans="1:13">
      <c r="A203" t="s">
        <v>54</v>
      </c>
      <c r="B203" t="s">
        <v>54</v>
      </c>
      <c r="C203" t="s">
        <v>34</v>
      </c>
      <c r="D203">
        <v>1.4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f>VLOOKUP(B203,'FRAME ASSIGNMENTS SUMMARY'!B:D,3,0)</f>
        <v>1.4</v>
      </c>
      <c r="L203">
        <v>0.10849364905389</v>
      </c>
      <c r="M203">
        <v>1.3999999761581401</v>
      </c>
    </row>
    <row r="204" spans="1:13">
      <c r="A204" t="s">
        <v>55</v>
      </c>
      <c r="B204" t="s">
        <v>55</v>
      </c>
      <c r="C204" t="s">
        <v>34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f>VLOOKUP(B204,'FRAME ASSIGNMENTS SUMMARY'!B:D,3,0)</f>
        <v>1.4</v>
      </c>
      <c r="L204">
        <v>0.10849364905389</v>
      </c>
      <c r="M204">
        <v>1.3999999761581401</v>
      </c>
    </row>
    <row r="205" spans="1:13">
      <c r="A205" t="s">
        <v>55</v>
      </c>
      <c r="B205" t="s">
        <v>55</v>
      </c>
      <c r="C205" t="s">
        <v>34</v>
      </c>
      <c r="D205">
        <v>0</v>
      </c>
      <c r="E205">
        <v>99.865394592285199</v>
      </c>
      <c r="F205">
        <v>17.183200836181602</v>
      </c>
      <c r="G205">
        <v>17.183200836181602</v>
      </c>
      <c r="H205">
        <v>-0.68527090549469005</v>
      </c>
      <c r="I205">
        <v>3.1373527050018302</v>
      </c>
      <c r="J205">
        <v>3.1373527050018302</v>
      </c>
      <c r="K205">
        <f>VLOOKUP(B205,'FRAME ASSIGNMENTS SUMMARY'!B:D,3,0)</f>
        <v>1.4</v>
      </c>
      <c r="L205">
        <v>0.10849364905389</v>
      </c>
      <c r="M205">
        <v>1.3999999761581401</v>
      </c>
    </row>
    <row r="206" spans="1:13">
      <c r="A206" t="s">
        <v>55</v>
      </c>
      <c r="B206" t="s">
        <v>55</v>
      </c>
      <c r="C206" t="s">
        <v>34</v>
      </c>
      <c r="D206">
        <v>0.37499999999999301</v>
      </c>
      <c r="E206">
        <v>97.252418518066406</v>
      </c>
      <c r="F206">
        <v>17.183200836181602</v>
      </c>
      <c r="G206">
        <v>17.183200836181602</v>
      </c>
      <c r="H206">
        <v>-0.85421955585479703</v>
      </c>
      <c r="I206">
        <v>-3.2429239749908398</v>
      </c>
      <c r="J206">
        <v>-3.2429239749908398</v>
      </c>
      <c r="K206">
        <f>VLOOKUP(B206,'FRAME ASSIGNMENTS SUMMARY'!B:D,3,0)</f>
        <v>1.4</v>
      </c>
      <c r="L206">
        <v>0.10849364905389</v>
      </c>
      <c r="M206">
        <v>1.3999999761581401</v>
      </c>
    </row>
    <row r="207" spans="1:13">
      <c r="A207" t="s">
        <v>55</v>
      </c>
      <c r="B207" t="s">
        <v>55</v>
      </c>
      <c r="C207" t="s">
        <v>34</v>
      </c>
      <c r="D207">
        <v>0.37499999999999301</v>
      </c>
      <c r="E207">
        <v>94.246734619140597</v>
      </c>
      <c r="F207">
        <v>-508.759033203125</v>
      </c>
      <c r="G207">
        <v>-508.759033203125</v>
      </c>
      <c r="H207">
        <v>-0.85482162237167403</v>
      </c>
      <c r="I207">
        <v>-2.3920695781707799</v>
      </c>
      <c r="J207">
        <v>-2.3920695781707799</v>
      </c>
      <c r="K207">
        <f>VLOOKUP(B207,'FRAME ASSIGNMENTS SUMMARY'!B:D,3,0)</f>
        <v>1.4</v>
      </c>
      <c r="L207">
        <v>0.10849364905389</v>
      </c>
      <c r="M207">
        <v>1.3999999761581401</v>
      </c>
    </row>
    <row r="208" spans="1:13">
      <c r="A208" t="s">
        <v>55</v>
      </c>
      <c r="B208" t="s">
        <v>55</v>
      </c>
      <c r="C208" t="s">
        <v>34</v>
      </c>
      <c r="D208">
        <v>0.70000000000000095</v>
      </c>
      <c r="E208">
        <v>25.340581893920898</v>
      </c>
      <c r="F208">
        <v>243.455642700195</v>
      </c>
      <c r="G208">
        <v>243.455642700195</v>
      </c>
      <c r="H208">
        <v>-0.67223924398422197</v>
      </c>
      <c r="I208">
        <v>94.093032836914105</v>
      </c>
      <c r="J208">
        <v>94.093032836914105</v>
      </c>
      <c r="K208">
        <f>VLOOKUP(B208,'FRAME ASSIGNMENTS SUMMARY'!B:D,3,0)</f>
        <v>1.4</v>
      </c>
      <c r="L208">
        <v>6.7084936490538896</v>
      </c>
      <c r="M208">
        <v>1.3999999761581401</v>
      </c>
    </row>
    <row r="209" spans="1:13">
      <c r="A209" t="s">
        <v>55</v>
      </c>
      <c r="B209" t="s">
        <v>55</v>
      </c>
      <c r="C209" t="s">
        <v>34</v>
      </c>
      <c r="D209">
        <v>0.70000000000000095</v>
      </c>
      <c r="E209">
        <v>25.240360260009801</v>
      </c>
      <c r="F209">
        <v>243.455642700195</v>
      </c>
      <c r="G209">
        <v>243.455642700195</v>
      </c>
      <c r="H209">
        <v>-0.66373991966247603</v>
      </c>
      <c r="I209">
        <v>93.114677429199205</v>
      </c>
      <c r="J209">
        <v>93.114677429199205</v>
      </c>
      <c r="K209">
        <f>VLOOKUP(B209,'FRAME ASSIGNMENTS SUMMARY'!B:D,3,0)</f>
        <v>1.4</v>
      </c>
      <c r="L209">
        <v>6.7084936490538896</v>
      </c>
      <c r="M209">
        <v>1.3999999761581401</v>
      </c>
    </row>
    <row r="210" spans="1:13">
      <c r="A210" t="s">
        <v>55</v>
      </c>
      <c r="B210" t="s">
        <v>55</v>
      </c>
      <c r="C210" t="s">
        <v>34</v>
      </c>
      <c r="D210">
        <v>1.0249999999999899</v>
      </c>
      <c r="E210">
        <v>69.861854553222699</v>
      </c>
      <c r="F210">
        <v>250.63406372070301</v>
      </c>
      <c r="G210">
        <v>250.63406372070301</v>
      </c>
      <c r="H210">
        <v>-0.426842480897903</v>
      </c>
      <c r="I210">
        <v>7.9592909812927202</v>
      </c>
      <c r="J210">
        <v>7.9592909812927202</v>
      </c>
      <c r="K210">
        <f>VLOOKUP(B210,'FRAME ASSIGNMENTS SUMMARY'!B:D,3,0)</f>
        <v>1.4</v>
      </c>
      <c r="L210">
        <v>6.7084936490538896</v>
      </c>
      <c r="M210">
        <v>1.3999999761581401</v>
      </c>
    </row>
    <row r="211" spans="1:13">
      <c r="A211" t="s">
        <v>55</v>
      </c>
      <c r="B211" t="s">
        <v>55</v>
      </c>
      <c r="C211" t="s">
        <v>34</v>
      </c>
      <c r="D211">
        <v>1.0249999999999899</v>
      </c>
      <c r="E211">
        <v>19.951341629028299</v>
      </c>
      <c r="F211">
        <v>5.4651083946228001</v>
      </c>
      <c r="G211">
        <v>5.4651083946228001</v>
      </c>
      <c r="H211">
        <v>-0.42024597525596602</v>
      </c>
      <c r="I211">
        <v>19.515708923339801</v>
      </c>
      <c r="J211">
        <v>19.515708923339801</v>
      </c>
      <c r="K211">
        <f>VLOOKUP(B211,'FRAME ASSIGNMENTS SUMMARY'!B:D,3,0)</f>
        <v>1.4</v>
      </c>
      <c r="L211">
        <v>6.7084936490538896</v>
      </c>
      <c r="M211">
        <v>1.3999999761581401</v>
      </c>
    </row>
    <row r="212" spans="1:13">
      <c r="A212" t="s">
        <v>55</v>
      </c>
      <c r="B212" t="s">
        <v>55</v>
      </c>
      <c r="C212" t="s">
        <v>34</v>
      </c>
      <c r="D212">
        <v>1.4</v>
      </c>
      <c r="E212">
        <v>29.916782379150401</v>
      </c>
      <c r="F212">
        <v>-26.6915283203125</v>
      </c>
      <c r="G212">
        <v>-26.6915283203125</v>
      </c>
      <c r="H212">
        <v>-0.37275087833404502</v>
      </c>
      <c r="I212">
        <v>15.8504552841187</v>
      </c>
      <c r="J212">
        <v>15.8504552841187</v>
      </c>
      <c r="K212">
        <f>VLOOKUP(B212,'FRAME ASSIGNMENTS SUMMARY'!B:D,3,0)</f>
        <v>1.4</v>
      </c>
      <c r="L212">
        <v>6.7084936490538896</v>
      </c>
      <c r="M212">
        <v>1.3999999761581401</v>
      </c>
    </row>
    <row r="213" spans="1:13">
      <c r="A213" t="s">
        <v>55</v>
      </c>
      <c r="B213" t="s">
        <v>55</v>
      </c>
      <c r="C213" t="s">
        <v>34</v>
      </c>
      <c r="D213">
        <v>1.4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f>VLOOKUP(B213,'FRAME ASSIGNMENTS SUMMARY'!B:D,3,0)</f>
        <v>1.4</v>
      </c>
      <c r="L213">
        <v>6.7084936490538896</v>
      </c>
      <c r="M213">
        <v>1.3999999761581401</v>
      </c>
    </row>
    <row r="214" spans="1:13">
      <c r="A214" t="s">
        <v>56</v>
      </c>
      <c r="B214" t="s">
        <v>56</v>
      </c>
      <c r="C214" t="s">
        <v>34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f>VLOOKUP(B214,'FRAME ASSIGNMENTS SUMMARY'!B:D,3,0)</f>
        <v>1.4</v>
      </c>
      <c r="L214">
        <v>6.7084936490538896</v>
      </c>
      <c r="M214">
        <v>1.3999999761581401</v>
      </c>
    </row>
    <row r="215" spans="1:13">
      <c r="A215" t="s">
        <v>56</v>
      </c>
      <c r="B215" t="s">
        <v>56</v>
      </c>
      <c r="C215" t="s">
        <v>34</v>
      </c>
      <c r="D215">
        <v>0</v>
      </c>
      <c r="E215">
        <v>5.6150856018066397</v>
      </c>
      <c r="F215">
        <v>5.8318724632263201</v>
      </c>
      <c r="G215">
        <v>5.8318724632263201</v>
      </c>
      <c r="H215">
        <v>0.166908949613571</v>
      </c>
      <c r="I215">
        <v>-1.0762760415673299E-2</v>
      </c>
      <c r="J215">
        <v>-1.0762760415673299E-2</v>
      </c>
      <c r="K215">
        <f>VLOOKUP(B215,'FRAME ASSIGNMENTS SUMMARY'!B:D,3,0)</f>
        <v>1.4</v>
      </c>
      <c r="L215">
        <v>6.7084936490538896</v>
      </c>
      <c r="M215">
        <v>1.3999999761581401</v>
      </c>
    </row>
    <row r="216" spans="1:13">
      <c r="A216" t="s">
        <v>56</v>
      </c>
      <c r="B216" t="s">
        <v>56</v>
      </c>
      <c r="C216" t="s">
        <v>34</v>
      </c>
      <c r="D216">
        <v>0.37499999999999301</v>
      </c>
      <c r="E216">
        <v>-5.6150856018066397</v>
      </c>
      <c r="F216">
        <v>5.8318724632263201</v>
      </c>
      <c r="G216">
        <v>5.8318724632263201</v>
      </c>
      <c r="H216">
        <v>-1.5730682760477101E-2</v>
      </c>
      <c r="I216">
        <v>-2.1761894226074201</v>
      </c>
      <c r="J216">
        <v>-2.1761894226074201</v>
      </c>
      <c r="K216">
        <f>VLOOKUP(B216,'FRAME ASSIGNMENTS SUMMARY'!B:D,3,0)</f>
        <v>1.4</v>
      </c>
      <c r="L216">
        <v>6.7084936490538896</v>
      </c>
      <c r="M216">
        <v>1.3999999761581401</v>
      </c>
    </row>
    <row r="217" spans="1:13">
      <c r="A217" t="s">
        <v>56</v>
      </c>
      <c r="B217" t="s">
        <v>56</v>
      </c>
      <c r="C217" t="s">
        <v>34</v>
      </c>
      <c r="D217">
        <v>0.37499999999999301</v>
      </c>
      <c r="E217">
        <v>0.191470801830292</v>
      </c>
      <c r="F217">
        <v>-414.82720947265602</v>
      </c>
      <c r="G217">
        <v>-414.82720947265602</v>
      </c>
      <c r="H217">
        <v>-1.99900027364492E-2</v>
      </c>
      <c r="I217">
        <v>-1.4673336744308501</v>
      </c>
      <c r="J217">
        <v>-1.4673336744308501</v>
      </c>
      <c r="K217">
        <f>VLOOKUP(B217,'FRAME ASSIGNMENTS SUMMARY'!B:D,3,0)</f>
        <v>1.4</v>
      </c>
      <c r="L217">
        <v>6.7084936490538896</v>
      </c>
      <c r="M217">
        <v>1.3999999761581401</v>
      </c>
    </row>
    <row r="218" spans="1:13">
      <c r="A218" t="s">
        <v>56</v>
      </c>
      <c r="B218" t="s">
        <v>56</v>
      </c>
      <c r="C218" t="s">
        <v>34</v>
      </c>
      <c r="D218">
        <v>0.7</v>
      </c>
      <c r="E218">
        <v>95.992126464843807</v>
      </c>
      <c r="F218">
        <v>192.88154602050801</v>
      </c>
      <c r="G218">
        <v>192.88154602050801</v>
      </c>
      <c r="H218">
        <v>-2.3184912279248199E-2</v>
      </c>
      <c r="I218">
        <v>57.792503356933601</v>
      </c>
      <c r="J218">
        <v>57.792503356933601</v>
      </c>
      <c r="K218">
        <f>VLOOKUP(B218,'FRAME ASSIGNMENTS SUMMARY'!B:D,3,0)</f>
        <v>1.4</v>
      </c>
      <c r="L218">
        <v>9.3084936490538901</v>
      </c>
      <c r="M218">
        <v>1.3999999761581401</v>
      </c>
    </row>
    <row r="219" spans="1:13">
      <c r="A219" t="s">
        <v>56</v>
      </c>
      <c r="B219" t="s">
        <v>56</v>
      </c>
      <c r="C219" t="s">
        <v>34</v>
      </c>
      <c r="D219">
        <v>0.7</v>
      </c>
      <c r="E219">
        <v>95.911293029785199</v>
      </c>
      <c r="F219">
        <v>192.88154602050801</v>
      </c>
      <c r="G219">
        <v>192.88154602050801</v>
      </c>
      <c r="H219">
        <v>-1.4335189945995801E-2</v>
      </c>
      <c r="I219">
        <v>57.017387390136697</v>
      </c>
      <c r="J219">
        <v>57.017387390136697</v>
      </c>
      <c r="K219">
        <f>VLOOKUP(B219,'FRAME ASSIGNMENTS SUMMARY'!B:D,3,0)</f>
        <v>1.4</v>
      </c>
      <c r="L219">
        <v>9.3084936490538901</v>
      </c>
      <c r="M219">
        <v>1.3999999761581401</v>
      </c>
    </row>
    <row r="220" spans="1:13">
      <c r="A220" t="s">
        <v>56</v>
      </c>
      <c r="B220" t="s">
        <v>56</v>
      </c>
      <c r="C220" t="s">
        <v>34</v>
      </c>
      <c r="D220">
        <v>1.0249999999999899</v>
      </c>
      <c r="E220">
        <v>116.55133056640599</v>
      </c>
      <c r="F220">
        <v>199.76965332031301</v>
      </c>
      <c r="G220">
        <v>199.76965332031301</v>
      </c>
      <c r="H220">
        <v>-0.115895621478558</v>
      </c>
      <c r="I220">
        <v>-8.8704957962036097</v>
      </c>
      <c r="J220">
        <v>-8.8704957962036097</v>
      </c>
      <c r="K220">
        <f>VLOOKUP(B220,'FRAME ASSIGNMENTS SUMMARY'!B:D,3,0)</f>
        <v>1.4</v>
      </c>
      <c r="L220">
        <v>9.3084936490538901</v>
      </c>
      <c r="M220">
        <v>1.3999999761581401</v>
      </c>
    </row>
    <row r="221" spans="1:13">
      <c r="A221" t="s">
        <v>56</v>
      </c>
      <c r="B221" t="s">
        <v>56</v>
      </c>
      <c r="C221" t="s">
        <v>34</v>
      </c>
      <c r="D221">
        <v>1.0249999999999899</v>
      </c>
      <c r="E221">
        <v>72.405944824218807</v>
      </c>
      <c r="F221">
        <v>-3.2916817665100102</v>
      </c>
      <c r="G221">
        <v>-3.2916817665100102</v>
      </c>
      <c r="H221">
        <v>-0.157673120498657</v>
      </c>
      <c r="I221">
        <v>-3.8983817100524898</v>
      </c>
      <c r="J221">
        <v>-3.8983817100524898</v>
      </c>
      <c r="K221">
        <f>VLOOKUP(B221,'FRAME ASSIGNMENTS SUMMARY'!B:D,3,0)</f>
        <v>1.4</v>
      </c>
      <c r="L221">
        <v>9.3084936490538901</v>
      </c>
      <c r="M221">
        <v>1.3999999761581401</v>
      </c>
    </row>
    <row r="222" spans="1:13">
      <c r="A222" t="s">
        <v>56</v>
      </c>
      <c r="B222" t="s">
        <v>56</v>
      </c>
      <c r="C222" t="s">
        <v>34</v>
      </c>
      <c r="D222">
        <v>1.4</v>
      </c>
      <c r="E222">
        <v>115.37192535400401</v>
      </c>
      <c r="F222">
        <v>-29.480230331420898</v>
      </c>
      <c r="G222">
        <v>-29.480230331420898</v>
      </c>
      <c r="H222">
        <v>-0.33395415544509899</v>
      </c>
      <c r="I222">
        <v>0.79583293199539196</v>
      </c>
      <c r="J222">
        <v>0.79583293199539196</v>
      </c>
      <c r="K222">
        <f>VLOOKUP(B222,'FRAME ASSIGNMENTS SUMMARY'!B:D,3,0)</f>
        <v>1.4</v>
      </c>
      <c r="L222">
        <v>9.3084936490538901</v>
      </c>
      <c r="M222">
        <v>1.3999999761581401</v>
      </c>
    </row>
    <row r="223" spans="1:13">
      <c r="A223" t="s">
        <v>56</v>
      </c>
      <c r="B223" t="s">
        <v>56</v>
      </c>
      <c r="C223" t="s">
        <v>34</v>
      </c>
      <c r="D223">
        <v>1.4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f>VLOOKUP(B223,'FRAME ASSIGNMENTS SUMMARY'!B:D,3,0)</f>
        <v>1.4</v>
      </c>
      <c r="L223">
        <v>9.3084936490538901</v>
      </c>
      <c r="M223">
        <v>1.3999999761581401</v>
      </c>
    </row>
    <row r="224" spans="1:13">
      <c r="A224" t="s">
        <v>57</v>
      </c>
      <c r="B224" t="s">
        <v>57</v>
      </c>
      <c r="C224" t="s">
        <v>34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f>VLOOKUP(B224,'FRAME ASSIGNMENTS SUMMARY'!B:D,3,0)</f>
        <v>1.4</v>
      </c>
      <c r="L224">
        <v>9.3084936490538901</v>
      </c>
      <c r="M224">
        <v>1.3999999761581401</v>
      </c>
    </row>
    <row r="225" spans="1:13">
      <c r="A225" t="s">
        <v>57</v>
      </c>
      <c r="B225" t="s">
        <v>57</v>
      </c>
      <c r="C225" t="s">
        <v>34</v>
      </c>
      <c r="D225">
        <v>0</v>
      </c>
      <c r="E225">
        <v>3.8082323074340798</v>
      </c>
      <c r="F225">
        <v>5.8318724632263201</v>
      </c>
      <c r="G225">
        <v>5.8318724632263201</v>
      </c>
      <c r="H225">
        <v>-0.12331476807594299</v>
      </c>
      <c r="I225">
        <v>-1.0762760415673299E-2</v>
      </c>
      <c r="J225">
        <v>-1.0762760415673299E-2</v>
      </c>
      <c r="K225">
        <f>VLOOKUP(B225,'FRAME ASSIGNMENTS SUMMARY'!B:D,3,0)</f>
        <v>1.4</v>
      </c>
      <c r="L225">
        <v>9.3084936490538901</v>
      </c>
      <c r="M225">
        <v>1.3999999761581401</v>
      </c>
    </row>
    <row r="226" spans="1:13">
      <c r="A226" t="s">
        <v>57</v>
      </c>
      <c r="B226" t="s">
        <v>57</v>
      </c>
      <c r="C226" t="s">
        <v>34</v>
      </c>
      <c r="D226">
        <v>0.37499999999999201</v>
      </c>
      <c r="E226">
        <v>-3.8082323074340798</v>
      </c>
      <c r="F226">
        <v>5.8318724632263201</v>
      </c>
      <c r="G226">
        <v>5.8318724632263201</v>
      </c>
      <c r="H226">
        <v>-0.32534667849540699</v>
      </c>
      <c r="I226">
        <v>-2.1761894226074201</v>
      </c>
      <c r="J226">
        <v>-2.1761894226074201</v>
      </c>
      <c r="K226">
        <f>VLOOKUP(B226,'FRAME ASSIGNMENTS SUMMARY'!B:D,3,0)</f>
        <v>1.4</v>
      </c>
      <c r="L226">
        <v>9.3084936490538901</v>
      </c>
      <c r="M226">
        <v>1.3999999761581401</v>
      </c>
    </row>
    <row r="227" spans="1:13">
      <c r="A227" t="s">
        <v>57</v>
      </c>
      <c r="B227" t="s">
        <v>57</v>
      </c>
      <c r="C227" t="s">
        <v>34</v>
      </c>
      <c r="D227">
        <v>0.37499999999999201</v>
      </c>
      <c r="E227">
        <v>2.1323213577270499</v>
      </c>
      <c r="F227">
        <v>-522.87652587890602</v>
      </c>
      <c r="G227">
        <v>-522.87652587890602</v>
      </c>
      <c r="H227">
        <v>-0.33146157860755898</v>
      </c>
      <c r="I227">
        <v>-1.27989590167999</v>
      </c>
      <c r="J227">
        <v>-1.27989590167999</v>
      </c>
      <c r="K227">
        <f>VLOOKUP(B227,'FRAME ASSIGNMENTS SUMMARY'!B:D,3,0)</f>
        <v>1.4</v>
      </c>
      <c r="L227">
        <v>9.3084936490538901</v>
      </c>
      <c r="M227">
        <v>1.3999999761581401</v>
      </c>
    </row>
    <row r="228" spans="1:13">
      <c r="A228" t="s">
        <v>57</v>
      </c>
      <c r="B228" t="s">
        <v>57</v>
      </c>
      <c r="C228" t="s">
        <v>34</v>
      </c>
      <c r="D228">
        <v>0.7</v>
      </c>
      <c r="E228">
        <v>154.291748046875</v>
      </c>
      <c r="F228">
        <v>237.83532714843801</v>
      </c>
      <c r="G228">
        <v>237.83532714843801</v>
      </c>
      <c r="H228">
        <v>-0.61757296323776201</v>
      </c>
      <c r="I228">
        <v>66.8565673828125</v>
      </c>
      <c r="J228">
        <v>66.8565673828125</v>
      </c>
      <c r="K228">
        <f>VLOOKUP(B228,'FRAME ASSIGNMENTS SUMMARY'!B:D,3,0)</f>
        <v>1.4</v>
      </c>
      <c r="L228">
        <v>9.3084936490538901</v>
      </c>
      <c r="M228">
        <v>1.3999999761581401</v>
      </c>
    </row>
    <row r="229" spans="1:13">
      <c r="A229" t="s">
        <v>57</v>
      </c>
      <c r="B229" t="s">
        <v>57</v>
      </c>
      <c r="C229" t="s">
        <v>34</v>
      </c>
      <c r="D229">
        <v>0.7</v>
      </c>
      <c r="E229">
        <v>153.79179382324199</v>
      </c>
      <c r="F229">
        <v>237.83532714843801</v>
      </c>
      <c r="G229">
        <v>237.83532714843801</v>
      </c>
      <c r="H229">
        <v>-0.60434848070144698</v>
      </c>
      <c r="I229">
        <v>65.900802612304702</v>
      </c>
      <c r="J229">
        <v>65.900802612304702</v>
      </c>
      <c r="K229">
        <f>VLOOKUP(B229,'FRAME ASSIGNMENTS SUMMARY'!B:D,3,0)</f>
        <v>1.4</v>
      </c>
      <c r="L229">
        <v>9.3084936490538901</v>
      </c>
      <c r="M229">
        <v>1.3999999761581401</v>
      </c>
    </row>
    <row r="230" spans="1:13">
      <c r="A230" t="s">
        <v>57</v>
      </c>
      <c r="B230" t="s">
        <v>57</v>
      </c>
      <c r="C230" t="s">
        <v>34</v>
      </c>
      <c r="D230">
        <v>1.0249999999999899</v>
      </c>
      <c r="E230">
        <v>96.817687988281307</v>
      </c>
      <c r="F230">
        <v>245.30035400390599</v>
      </c>
      <c r="G230">
        <v>245.30035400390599</v>
      </c>
      <c r="H230">
        <v>-0.21652518212795299</v>
      </c>
      <c r="I230">
        <v>-15.027427673339799</v>
      </c>
      <c r="J230">
        <v>-15.027427673339799</v>
      </c>
      <c r="K230">
        <f>VLOOKUP(B230,'FRAME ASSIGNMENTS SUMMARY'!B:D,3,0)</f>
        <v>1.4</v>
      </c>
      <c r="L230">
        <v>9.3084936490538901</v>
      </c>
      <c r="M230">
        <v>1.3999999761581401</v>
      </c>
    </row>
    <row r="231" spans="1:13">
      <c r="A231" t="s">
        <v>57</v>
      </c>
      <c r="B231" t="s">
        <v>57</v>
      </c>
      <c r="C231" t="s">
        <v>34</v>
      </c>
      <c r="D231">
        <v>1.0249999999999899</v>
      </c>
      <c r="E231">
        <v>121.35581207275401</v>
      </c>
      <c r="F231">
        <v>0.31146964430808999</v>
      </c>
      <c r="G231">
        <v>0.31146964430808999</v>
      </c>
      <c r="H231">
        <v>-0.228604346513748</v>
      </c>
      <c r="I231">
        <v>-9.4973554611206108</v>
      </c>
      <c r="J231">
        <v>-9.4973554611206108</v>
      </c>
      <c r="K231">
        <f>VLOOKUP(B231,'FRAME ASSIGNMENTS SUMMARY'!B:D,3,0)</f>
        <v>1.4</v>
      </c>
      <c r="L231">
        <v>9.3084936490538901</v>
      </c>
      <c r="M231">
        <v>1.3999999761581401</v>
      </c>
    </row>
    <row r="232" spans="1:13">
      <c r="A232" t="s">
        <v>57</v>
      </c>
      <c r="B232" t="s">
        <v>57</v>
      </c>
      <c r="C232" t="s">
        <v>34</v>
      </c>
      <c r="D232">
        <v>1.4</v>
      </c>
      <c r="E232">
        <v>186.88038635253901</v>
      </c>
      <c r="F232">
        <v>-31.379392623901399</v>
      </c>
      <c r="G232">
        <v>-31.379392623901399</v>
      </c>
      <c r="H232">
        <v>-0.14146506786346399</v>
      </c>
      <c r="I232">
        <v>-4.1753187179565403</v>
      </c>
      <c r="J232">
        <v>-4.1753187179565403</v>
      </c>
      <c r="K232">
        <f>VLOOKUP(B232,'FRAME ASSIGNMENTS SUMMARY'!B:D,3,0)</f>
        <v>1.4</v>
      </c>
      <c r="L232">
        <v>9.3084936490538901</v>
      </c>
      <c r="M232">
        <v>1.3999999761581401</v>
      </c>
    </row>
    <row r="233" spans="1:13">
      <c r="A233" t="s">
        <v>57</v>
      </c>
      <c r="B233" t="s">
        <v>57</v>
      </c>
      <c r="C233" t="s">
        <v>34</v>
      </c>
      <c r="D233">
        <v>1.4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f>VLOOKUP(B233,'FRAME ASSIGNMENTS SUMMARY'!B:D,3,0)</f>
        <v>1.4</v>
      </c>
      <c r="L233">
        <v>9.3084936490538901</v>
      </c>
      <c r="M233">
        <v>1.3999999761581401</v>
      </c>
    </row>
    <row r="234" spans="1:13">
      <c r="A234" t="s">
        <v>58</v>
      </c>
      <c r="B234" t="s">
        <v>58</v>
      </c>
      <c r="C234" t="s">
        <v>34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f>VLOOKUP(B234,'FRAME ASSIGNMENTS SUMMARY'!B:D,3,0)</f>
        <v>1.4</v>
      </c>
      <c r="L234">
        <v>9.3084936490538901</v>
      </c>
      <c r="M234">
        <v>1.3999999761581401</v>
      </c>
    </row>
    <row r="235" spans="1:13">
      <c r="A235" t="s">
        <v>58</v>
      </c>
      <c r="B235" t="s">
        <v>58</v>
      </c>
      <c r="C235" t="s">
        <v>34</v>
      </c>
      <c r="D235">
        <v>0</v>
      </c>
      <c r="E235">
        <v>10.290529251098601</v>
      </c>
      <c r="F235">
        <v>5.8318724632263201</v>
      </c>
      <c r="G235">
        <v>5.8318724632263201</v>
      </c>
      <c r="H235">
        <v>-7.9653874039650005E-2</v>
      </c>
      <c r="I235">
        <v>-1.0762760415673299E-2</v>
      </c>
      <c r="J235">
        <v>-1.0762760415673299E-2</v>
      </c>
      <c r="K235">
        <f>VLOOKUP(B235,'FRAME ASSIGNMENTS SUMMARY'!B:D,3,0)</f>
        <v>1.4</v>
      </c>
      <c r="L235">
        <v>9.3084936490538901</v>
      </c>
      <c r="M235">
        <v>1.3999999761581401</v>
      </c>
    </row>
    <row r="236" spans="1:13">
      <c r="A236" t="s">
        <v>58</v>
      </c>
      <c r="B236" t="s">
        <v>58</v>
      </c>
      <c r="C236" t="s">
        <v>34</v>
      </c>
      <c r="D236">
        <v>0.37499999999999201</v>
      </c>
      <c r="E236">
        <v>-10.290529251098601</v>
      </c>
      <c r="F236">
        <v>5.8318724632263201</v>
      </c>
      <c r="G236">
        <v>5.8318724632263201</v>
      </c>
      <c r="H236">
        <v>-0.22203773260116599</v>
      </c>
      <c r="I236">
        <v>-2.1761894226074201</v>
      </c>
      <c r="J236">
        <v>-2.1761894226074201</v>
      </c>
      <c r="K236">
        <f>VLOOKUP(B236,'FRAME ASSIGNMENTS SUMMARY'!B:D,3,0)</f>
        <v>1.4</v>
      </c>
      <c r="L236">
        <v>9.3084936490538901</v>
      </c>
      <c r="M236">
        <v>1.3999999761581401</v>
      </c>
    </row>
    <row r="237" spans="1:13">
      <c r="A237" t="s">
        <v>58</v>
      </c>
      <c r="B237" t="s">
        <v>58</v>
      </c>
      <c r="C237" t="s">
        <v>34</v>
      </c>
      <c r="D237">
        <v>0.37499999999999201</v>
      </c>
      <c r="E237">
        <v>-4.4121470451354998</v>
      </c>
      <c r="F237">
        <v>-543.99603271484398</v>
      </c>
      <c r="G237">
        <v>-543.99603271484398</v>
      </c>
      <c r="H237">
        <v>-0.22397859394550301</v>
      </c>
      <c r="I237">
        <v>-1.24325907230377</v>
      </c>
      <c r="J237">
        <v>-1.24325907230377</v>
      </c>
      <c r="K237">
        <f>VLOOKUP(B237,'FRAME ASSIGNMENTS SUMMARY'!B:D,3,0)</f>
        <v>1.4</v>
      </c>
      <c r="L237">
        <v>9.3084936490538901</v>
      </c>
      <c r="M237">
        <v>1.3999999761581401</v>
      </c>
    </row>
    <row r="238" spans="1:13">
      <c r="A238" t="s">
        <v>58</v>
      </c>
      <c r="B238" t="s">
        <v>58</v>
      </c>
      <c r="C238" t="s">
        <v>34</v>
      </c>
      <c r="D238">
        <v>0.7</v>
      </c>
      <c r="E238">
        <v>180.463302612305</v>
      </c>
      <c r="F238">
        <v>248.30854797363301</v>
      </c>
      <c r="G238">
        <v>248.30854797363301</v>
      </c>
      <c r="H238">
        <v>-5.9646561741828898E-2</v>
      </c>
      <c r="I238">
        <v>70.123710632324205</v>
      </c>
      <c r="J238">
        <v>70.123710632324205</v>
      </c>
      <c r="K238">
        <f>VLOOKUP(B238,'FRAME ASSIGNMENTS SUMMARY'!B:D,3,0)</f>
        <v>1.4</v>
      </c>
      <c r="L238">
        <v>13.4084936490539</v>
      </c>
      <c r="M238">
        <v>1.3999999761581401</v>
      </c>
    </row>
    <row r="239" spans="1:13">
      <c r="A239" t="s">
        <v>58</v>
      </c>
      <c r="B239" t="s">
        <v>58</v>
      </c>
      <c r="C239" t="s">
        <v>34</v>
      </c>
      <c r="D239">
        <v>0.7</v>
      </c>
      <c r="E239">
        <v>180.34024047851599</v>
      </c>
      <c r="F239">
        <v>248.30854797363301</v>
      </c>
      <c r="G239">
        <v>248.30854797363301</v>
      </c>
      <c r="H239">
        <v>-5.0664059817790999E-2</v>
      </c>
      <c r="I239">
        <v>69.1258544921875</v>
      </c>
      <c r="J239">
        <v>69.1258544921875</v>
      </c>
      <c r="K239">
        <f>VLOOKUP(B239,'FRAME ASSIGNMENTS SUMMARY'!B:D,3,0)</f>
        <v>1.4</v>
      </c>
      <c r="L239">
        <v>13.4084936490539</v>
      </c>
      <c r="M239">
        <v>1.3999999761581401</v>
      </c>
    </row>
    <row r="240" spans="1:13">
      <c r="A240" t="s">
        <v>58</v>
      </c>
      <c r="B240" t="s">
        <v>58</v>
      </c>
      <c r="C240" t="s">
        <v>34</v>
      </c>
      <c r="D240">
        <v>1.0249999999999899</v>
      </c>
      <c r="E240">
        <v>198.22579956054699</v>
      </c>
      <c r="F240">
        <v>255.74543762207</v>
      </c>
      <c r="G240">
        <v>255.74543762207</v>
      </c>
      <c r="H240">
        <v>4.0148265659809099E-2</v>
      </c>
      <c r="I240">
        <v>-15.367501258850099</v>
      </c>
      <c r="J240">
        <v>-15.367501258850099</v>
      </c>
      <c r="K240">
        <f>VLOOKUP(B240,'FRAME ASSIGNMENTS SUMMARY'!B:D,3,0)</f>
        <v>1.4</v>
      </c>
      <c r="L240">
        <v>13.4084936490539</v>
      </c>
      <c r="M240">
        <v>1.3999999761581401</v>
      </c>
    </row>
    <row r="241" spans="1:13">
      <c r="A241" t="s">
        <v>58</v>
      </c>
      <c r="B241" t="s">
        <v>58</v>
      </c>
      <c r="C241" t="s">
        <v>34</v>
      </c>
      <c r="D241">
        <v>1.0249999999999899</v>
      </c>
      <c r="E241">
        <v>133.92070007324199</v>
      </c>
      <c r="F241">
        <v>2.9920887947082502</v>
      </c>
      <c r="G241">
        <v>2.9920887947082502</v>
      </c>
      <c r="H241">
        <v>1.6179295256733901E-2</v>
      </c>
      <c r="I241">
        <v>-9.5046653747558594</v>
      </c>
      <c r="J241">
        <v>-9.5046653747558594</v>
      </c>
      <c r="K241">
        <f>VLOOKUP(B241,'FRAME ASSIGNMENTS SUMMARY'!B:D,3,0)</f>
        <v>1.4</v>
      </c>
      <c r="L241">
        <v>13.4084936490539</v>
      </c>
      <c r="M241">
        <v>1.3999999761581401</v>
      </c>
    </row>
    <row r="242" spans="1:13">
      <c r="A242" t="s">
        <v>58</v>
      </c>
      <c r="B242" t="s">
        <v>58</v>
      </c>
      <c r="C242" t="s">
        <v>34</v>
      </c>
      <c r="D242">
        <v>1.4</v>
      </c>
      <c r="E242">
        <v>212.34632873535199</v>
      </c>
      <c r="F242">
        <v>-30.050468444824201</v>
      </c>
      <c r="G242">
        <v>-30.050468444824201</v>
      </c>
      <c r="H242">
        <v>8.0231651663780195E-3</v>
      </c>
      <c r="I242">
        <v>-4.98433542251587</v>
      </c>
      <c r="J242">
        <v>-4.98433542251587</v>
      </c>
      <c r="K242">
        <f>VLOOKUP(B242,'FRAME ASSIGNMENTS SUMMARY'!B:D,3,0)</f>
        <v>1.4</v>
      </c>
      <c r="L242">
        <v>13.4084936490539</v>
      </c>
      <c r="M242">
        <v>1.3999999761581401</v>
      </c>
    </row>
    <row r="243" spans="1:13">
      <c r="A243" t="s">
        <v>58</v>
      </c>
      <c r="B243" t="s">
        <v>58</v>
      </c>
      <c r="C243" t="s">
        <v>34</v>
      </c>
      <c r="D243">
        <v>1.4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f>VLOOKUP(B243,'FRAME ASSIGNMENTS SUMMARY'!B:D,3,0)</f>
        <v>1.4</v>
      </c>
      <c r="L243">
        <v>13.4084936490539</v>
      </c>
      <c r="M243">
        <v>1.3999999761581401</v>
      </c>
    </row>
    <row r="244" spans="1:13">
      <c r="A244" t="s">
        <v>59</v>
      </c>
      <c r="B244" t="s">
        <v>59</v>
      </c>
      <c r="C244" t="s">
        <v>34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f>VLOOKUP(B244,'FRAME ASSIGNMENTS SUMMARY'!B:D,3,0)</f>
        <v>1.4</v>
      </c>
      <c r="L244">
        <v>13.4084936490539</v>
      </c>
      <c r="M244">
        <v>1.3999999761581401</v>
      </c>
    </row>
    <row r="245" spans="1:13">
      <c r="A245" t="s">
        <v>59</v>
      </c>
      <c r="B245" t="s">
        <v>59</v>
      </c>
      <c r="C245" t="s">
        <v>34</v>
      </c>
      <c r="D245">
        <v>0</v>
      </c>
      <c r="E245">
        <v>5.26999759674072</v>
      </c>
      <c r="F245">
        <v>5.8318724632263201</v>
      </c>
      <c r="G245">
        <v>5.8318724632263201</v>
      </c>
      <c r="H245">
        <v>-0.265880107879639</v>
      </c>
      <c r="I245">
        <v>-1.0762761346995799E-2</v>
      </c>
      <c r="J245">
        <v>-1.0762761346995799E-2</v>
      </c>
      <c r="K245">
        <f>VLOOKUP(B245,'FRAME ASSIGNMENTS SUMMARY'!B:D,3,0)</f>
        <v>1.4</v>
      </c>
      <c r="L245">
        <v>13.4084936490539</v>
      </c>
      <c r="M245">
        <v>1.3999999761581401</v>
      </c>
    </row>
    <row r="246" spans="1:13">
      <c r="A246" t="s">
        <v>59</v>
      </c>
      <c r="B246" t="s">
        <v>59</v>
      </c>
      <c r="C246" t="s">
        <v>34</v>
      </c>
      <c r="D246">
        <v>0.37499999999999301</v>
      </c>
      <c r="E246">
        <v>-5.26999759674072</v>
      </c>
      <c r="F246">
        <v>5.8318724632263201</v>
      </c>
      <c r="G246">
        <v>5.8318724632263201</v>
      </c>
      <c r="H246">
        <v>-0.28198558092117298</v>
      </c>
      <c r="I246">
        <v>-2.1761894226074201</v>
      </c>
      <c r="J246">
        <v>-2.1761894226074201</v>
      </c>
      <c r="K246">
        <f>VLOOKUP(B246,'FRAME ASSIGNMENTS SUMMARY'!B:D,3,0)</f>
        <v>1.4</v>
      </c>
      <c r="L246">
        <v>13.4084936490539</v>
      </c>
      <c r="M246">
        <v>1.3999999761581401</v>
      </c>
    </row>
    <row r="247" spans="1:13">
      <c r="A247" t="s">
        <v>59</v>
      </c>
      <c r="B247" t="s">
        <v>59</v>
      </c>
      <c r="C247" t="s">
        <v>34</v>
      </c>
      <c r="D247">
        <v>0.37499999999999301</v>
      </c>
      <c r="E247">
        <v>-6.3350386619567898</v>
      </c>
      <c r="F247">
        <v>-485.44760131835898</v>
      </c>
      <c r="G247">
        <v>-485.44760131835898</v>
      </c>
      <c r="H247">
        <v>-0.27978593111038202</v>
      </c>
      <c r="I247">
        <v>-1.34482550621033</v>
      </c>
      <c r="J247">
        <v>-1.34482550621033</v>
      </c>
      <c r="K247">
        <f>VLOOKUP(B247,'FRAME ASSIGNMENTS SUMMARY'!B:D,3,0)</f>
        <v>1.4</v>
      </c>
      <c r="L247">
        <v>13.4084936490539</v>
      </c>
      <c r="M247">
        <v>1.3999999761581401</v>
      </c>
    </row>
    <row r="248" spans="1:13">
      <c r="A248" t="s">
        <v>59</v>
      </c>
      <c r="B248" t="s">
        <v>59</v>
      </c>
      <c r="C248" t="s">
        <v>34</v>
      </c>
      <c r="D248">
        <v>0.7</v>
      </c>
      <c r="E248">
        <v>239.03814697265599</v>
      </c>
      <c r="F248">
        <v>217.76525878906301</v>
      </c>
      <c r="G248">
        <v>217.76525878906301</v>
      </c>
      <c r="H248">
        <v>-4.4789299368858303E-2</v>
      </c>
      <c r="I248">
        <v>49.327690124511697</v>
      </c>
      <c r="J248">
        <v>49.327690124511697</v>
      </c>
      <c r="K248">
        <f>VLOOKUP(B248,'FRAME ASSIGNMENTS SUMMARY'!B:D,3,0)</f>
        <v>1.4</v>
      </c>
      <c r="L248">
        <v>-0.37500000000044698</v>
      </c>
      <c r="M248">
        <v>1.5</v>
      </c>
    </row>
    <row r="249" spans="1:13">
      <c r="A249" t="s">
        <v>59</v>
      </c>
      <c r="B249" t="s">
        <v>59</v>
      </c>
      <c r="C249" t="s">
        <v>34</v>
      </c>
      <c r="D249">
        <v>0.7</v>
      </c>
      <c r="E249">
        <v>238.21130371093801</v>
      </c>
      <c r="F249">
        <v>217.76525878906301</v>
      </c>
      <c r="G249">
        <v>217.76525878906301</v>
      </c>
      <c r="H249">
        <v>-4.4467959553003297E-2</v>
      </c>
      <c r="I249">
        <v>48.4525756835938</v>
      </c>
      <c r="J249">
        <v>48.4525756835938</v>
      </c>
      <c r="K249">
        <f>VLOOKUP(B249,'FRAME ASSIGNMENTS SUMMARY'!B:D,3,0)</f>
        <v>1.4</v>
      </c>
      <c r="L249">
        <v>-0.37500000000044698</v>
      </c>
      <c r="M249">
        <v>1.5</v>
      </c>
    </row>
    <row r="250" spans="1:13">
      <c r="A250" t="s">
        <v>59</v>
      </c>
      <c r="B250" t="s">
        <v>59</v>
      </c>
      <c r="C250" t="s">
        <v>34</v>
      </c>
      <c r="D250">
        <v>1.0249999999999899</v>
      </c>
      <c r="E250">
        <v>179.93962097168</v>
      </c>
      <c r="F250">
        <v>224.79135131835901</v>
      </c>
      <c r="G250">
        <v>224.79135131835901</v>
      </c>
      <c r="H250">
        <v>1.4892643317580201E-2</v>
      </c>
      <c r="I250">
        <v>-23.8609294891357</v>
      </c>
      <c r="J250">
        <v>-23.8609294891357</v>
      </c>
      <c r="K250">
        <f>VLOOKUP(B250,'FRAME ASSIGNMENTS SUMMARY'!B:D,3,0)</f>
        <v>1.4</v>
      </c>
      <c r="L250">
        <v>-5.5511151231257802E-17</v>
      </c>
      <c r="M250">
        <v>1.5</v>
      </c>
    </row>
    <row r="251" spans="1:13">
      <c r="A251" t="s">
        <v>59</v>
      </c>
      <c r="B251" t="s">
        <v>59</v>
      </c>
      <c r="C251" t="s">
        <v>34</v>
      </c>
      <c r="D251">
        <v>1.0249999999999899</v>
      </c>
      <c r="E251">
        <v>186.54936218261699</v>
      </c>
      <c r="F251">
        <v>-3.5914323329925502</v>
      </c>
      <c r="G251">
        <v>-3.5914323329925502</v>
      </c>
      <c r="H251">
        <v>2.61323805898428E-2</v>
      </c>
      <c r="I251">
        <v>-22.348468780517599</v>
      </c>
      <c r="J251">
        <v>-22.348468780517599</v>
      </c>
      <c r="K251">
        <f>VLOOKUP(B251,'FRAME ASSIGNMENTS SUMMARY'!B:D,3,0)</f>
        <v>1.4</v>
      </c>
      <c r="L251">
        <v>-5.5511151231257802E-17</v>
      </c>
      <c r="M251">
        <v>1.5</v>
      </c>
    </row>
    <row r="252" spans="1:13">
      <c r="A252" t="s">
        <v>59</v>
      </c>
      <c r="B252" t="s">
        <v>59</v>
      </c>
      <c r="C252" t="s">
        <v>34</v>
      </c>
      <c r="D252">
        <v>1.4</v>
      </c>
      <c r="E252">
        <v>286.24447631835898</v>
      </c>
      <c r="F252">
        <v>-33.239204406738303</v>
      </c>
      <c r="G252">
        <v>-33.239204406738303</v>
      </c>
      <c r="H252">
        <v>9.1680601239204407E-2</v>
      </c>
      <c r="I252">
        <v>-12.5556020736694</v>
      </c>
      <c r="J252">
        <v>-12.5556020736694</v>
      </c>
      <c r="K252">
        <f>VLOOKUP(B252,'FRAME ASSIGNMENTS SUMMARY'!B:D,3,0)</f>
        <v>1.4</v>
      </c>
      <c r="L252">
        <v>0.37499999999955302</v>
      </c>
      <c r="M252">
        <v>1.5</v>
      </c>
    </row>
    <row r="253" spans="1:13">
      <c r="A253" t="s">
        <v>59</v>
      </c>
      <c r="B253" t="s">
        <v>59</v>
      </c>
      <c r="C253" t="s">
        <v>34</v>
      </c>
      <c r="D253">
        <v>1.4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f>VLOOKUP(B253,'FRAME ASSIGNMENTS SUMMARY'!B:D,3,0)</f>
        <v>1.4</v>
      </c>
      <c r="L253">
        <v>0.37499999999955302</v>
      </c>
      <c r="M253">
        <v>1.5</v>
      </c>
    </row>
    <row r="254" spans="1:13">
      <c r="A254" t="s">
        <v>60</v>
      </c>
      <c r="B254" t="s">
        <v>60</v>
      </c>
      <c r="C254" t="s">
        <v>34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f>VLOOKUP(B254,'FRAME ASSIGNMENTS SUMMARY'!B:D,3,0)</f>
        <v>1.4</v>
      </c>
      <c r="L254">
        <v>12.708493649053899</v>
      </c>
      <c r="M254">
        <v>1.5</v>
      </c>
    </row>
    <row r="255" spans="1:13">
      <c r="A255" t="s">
        <v>60</v>
      </c>
      <c r="B255" t="s">
        <v>60</v>
      </c>
      <c r="C255" t="s">
        <v>34</v>
      </c>
      <c r="D255">
        <v>0</v>
      </c>
      <c r="E255">
        <v>41.0405464172363</v>
      </c>
      <c r="F255">
        <v>3.0873968601226802</v>
      </c>
      <c r="G255">
        <v>3.0873968601226802</v>
      </c>
      <c r="H255">
        <v>-0.36351791024208102</v>
      </c>
      <c r="I255">
        <v>9.2596626281738299</v>
      </c>
      <c r="J255">
        <v>9.2596626281738299</v>
      </c>
      <c r="K255">
        <f>VLOOKUP(B255,'FRAME ASSIGNMENTS SUMMARY'!B:D,3,0)</f>
        <v>1.4</v>
      </c>
      <c r="L255">
        <v>12.708493649053899</v>
      </c>
      <c r="M255">
        <v>1.5</v>
      </c>
    </row>
    <row r="256" spans="1:13">
      <c r="A256" t="s">
        <v>60</v>
      </c>
      <c r="B256" t="s">
        <v>60</v>
      </c>
      <c r="C256" t="s">
        <v>34</v>
      </c>
      <c r="D256">
        <v>0.37499999999999101</v>
      </c>
      <c r="E256">
        <v>32.244319915771499</v>
      </c>
      <c r="F256">
        <v>3.0873968601226802</v>
      </c>
      <c r="G256">
        <v>3.0873968601226802</v>
      </c>
      <c r="H256">
        <v>-1.5376052856445299</v>
      </c>
      <c r="I256">
        <v>8.1132841110229492</v>
      </c>
      <c r="J256">
        <v>8.1132841110229492</v>
      </c>
      <c r="K256">
        <f>VLOOKUP(B256,'FRAME ASSIGNMENTS SUMMARY'!B:D,3,0)</f>
        <v>1.4</v>
      </c>
      <c r="L256">
        <v>13.083493649053899</v>
      </c>
      <c r="M256">
        <v>1.5</v>
      </c>
    </row>
    <row r="257" spans="1:13">
      <c r="A257" t="s">
        <v>60</v>
      </c>
      <c r="B257" t="s">
        <v>60</v>
      </c>
      <c r="C257" t="s">
        <v>34</v>
      </c>
      <c r="D257">
        <v>0.37499999999999101</v>
      </c>
      <c r="E257">
        <v>30.715520858764599</v>
      </c>
      <c r="F257">
        <v>-456.35861206054699</v>
      </c>
      <c r="G257">
        <v>-456.35861206054699</v>
      </c>
      <c r="H257">
        <v>-1.53512299060822</v>
      </c>
      <c r="I257">
        <v>8.8992509841918892</v>
      </c>
      <c r="J257">
        <v>8.8992509841918892</v>
      </c>
      <c r="K257">
        <f>VLOOKUP(B257,'FRAME ASSIGNMENTS SUMMARY'!B:D,3,0)</f>
        <v>1.4</v>
      </c>
      <c r="L257">
        <v>13.083493649053899</v>
      </c>
      <c r="M257">
        <v>1.5</v>
      </c>
    </row>
    <row r="258" spans="1:13">
      <c r="A258" t="s">
        <v>60</v>
      </c>
      <c r="B258" t="s">
        <v>60</v>
      </c>
      <c r="C258" t="s">
        <v>34</v>
      </c>
      <c r="D258">
        <v>0.69999999999999896</v>
      </c>
      <c r="E258">
        <v>106.13576507568401</v>
      </c>
      <c r="F258">
        <v>210.26692199707</v>
      </c>
      <c r="G258">
        <v>210.26692199707</v>
      </c>
      <c r="H258">
        <v>2.32644891738892</v>
      </c>
      <c r="I258">
        <v>77.007171630859403</v>
      </c>
      <c r="J258">
        <v>77.007171630859403</v>
      </c>
      <c r="K258">
        <f>VLOOKUP(B258,'FRAME ASSIGNMENTS SUMMARY'!B:D,3,0)</f>
        <v>1.4</v>
      </c>
      <c r="L258">
        <v>13.4084936490539</v>
      </c>
      <c r="M258">
        <v>1.5</v>
      </c>
    </row>
    <row r="259" spans="1:13">
      <c r="A259" t="s">
        <v>60</v>
      </c>
      <c r="B259" t="s">
        <v>60</v>
      </c>
      <c r="C259" t="s">
        <v>34</v>
      </c>
      <c r="D259">
        <v>0.69999999999999896</v>
      </c>
      <c r="E259">
        <v>105.83676910400401</v>
      </c>
      <c r="F259">
        <v>210.26692199707</v>
      </c>
      <c r="G259">
        <v>210.26692199707</v>
      </c>
      <c r="H259">
        <v>2.3848743438720699</v>
      </c>
      <c r="I259">
        <v>76.162185668945298</v>
      </c>
      <c r="J259">
        <v>76.162185668945298</v>
      </c>
      <c r="K259">
        <f>VLOOKUP(B259,'FRAME ASSIGNMENTS SUMMARY'!B:D,3,0)</f>
        <v>1.4</v>
      </c>
      <c r="L259">
        <v>13.4084936490539</v>
      </c>
      <c r="M259">
        <v>1.5</v>
      </c>
    </row>
    <row r="260" spans="1:13">
      <c r="A260" t="s">
        <v>60</v>
      </c>
      <c r="B260" t="s">
        <v>60</v>
      </c>
      <c r="C260" t="s">
        <v>34</v>
      </c>
      <c r="D260">
        <v>1.0249999999999899</v>
      </c>
      <c r="E260">
        <v>119.077194213867</v>
      </c>
      <c r="F260">
        <v>217.40946960449199</v>
      </c>
      <c r="G260">
        <v>217.40946960449199</v>
      </c>
      <c r="H260">
        <v>1.2260048389434799</v>
      </c>
      <c r="I260">
        <v>3.5177996158599898</v>
      </c>
      <c r="J260">
        <v>3.5177996158599898</v>
      </c>
      <c r="K260">
        <f>VLOOKUP(B260,'FRAME ASSIGNMENTS SUMMARY'!B:D,3,0)</f>
        <v>1.4</v>
      </c>
      <c r="L260">
        <v>13.7334936490539</v>
      </c>
      <c r="M260">
        <v>1.5</v>
      </c>
    </row>
    <row r="261" spans="1:13">
      <c r="A261" t="s">
        <v>60</v>
      </c>
      <c r="B261" t="s">
        <v>60</v>
      </c>
      <c r="C261" t="s">
        <v>34</v>
      </c>
      <c r="D261">
        <v>1.0249999999999899</v>
      </c>
      <c r="E261">
        <v>80.707412719726605</v>
      </c>
      <c r="F261">
        <v>8.0543632507324201</v>
      </c>
      <c r="G261">
        <v>8.0543632507324201</v>
      </c>
      <c r="H261">
        <v>0.93053871393203702</v>
      </c>
      <c r="I261">
        <v>11.6811981201172</v>
      </c>
      <c r="J261">
        <v>11.6811981201172</v>
      </c>
      <c r="K261">
        <f>VLOOKUP(B261,'FRAME ASSIGNMENTS SUMMARY'!B:D,3,0)</f>
        <v>1.4</v>
      </c>
      <c r="L261">
        <v>13.7334936490539</v>
      </c>
      <c r="M261">
        <v>1.5</v>
      </c>
    </row>
    <row r="262" spans="1:13">
      <c r="A262" t="s">
        <v>60</v>
      </c>
      <c r="B262" t="s">
        <v>60</v>
      </c>
      <c r="C262" t="s">
        <v>34</v>
      </c>
      <c r="D262">
        <v>1.4</v>
      </c>
      <c r="E262">
        <v>126.15813446044901</v>
      </c>
      <c r="F262">
        <v>-20.046058654785199</v>
      </c>
      <c r="G262">
        <v>-20.046058654785199</v>
      </c>
      <c r="H262">
        <v>2.6630470529198601E-2</v>
      </c>
      <c r="I262">
        <v>8.7344675064086896</v>
      </c>
      <c r="J262">
        <v>8.7344675064086896</v>
      </c>
      <c r="K262">
        <f>VLOOKUP(B262,'FRAME ASSIGNMENTS SUMMARY'!B:D,3,0)</f>
        <v>1.4</v>
      </c>
      <c r="L262">
        <v>14.1084936490539</v>
      </c>
      <c r="M262">
        <v>1.5</v>
      </c>
    </row>
    <row r="263" spans="1:13">
      <c r="A263" t="s">
        <v>60</v>
      </c>
      <c r="B263" t="s">
        <v>60</v>
      </c>
      <c r="C263" t="s">
        <v>34</v>
      </c>
      <c r="D263">
        <v>1.4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f>VLOOKUP(B263,'FRAME ASSIGNMENTS SUMMARY'!B:D,3,0)</f>
        <v>1.4</v>
      </c>
      <c r="L263">
        <v>14.1084936490539</v>
      </c>
      <c r="M263">
        <v>1.5</v>
      </c>
    </row>
    <row r="264" spans="1:13">
      <c r="A264" t="s">
        <v>61</v>
      </c>
      <c r="B264" t="s">
        <v>61</v>
      </c>
      <c r="C264" t="s">
        <v>34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f>VLOOKUP(B264,'FRAME ASSIGNMENTS SUMMARY'!B:D,3,0)</f>
        <v>1.4</v>
      </c>
      <c r="L264">
        <v>6.0084936490538903</v>
      </c>
      <c r="M264">
        <v>1.5</v>
      </c>
    </row>
    <row r="265" spans="1:13">
      <c r="A265" t="s">
        <v>61</v>
      </c>
      <c r="B265" t="s">
        <v>61</v>
      </c>
      <c r="C265" t="s">
        <v>34</v>
      </c>
      <c r="D265">
        <v>0</v>
      </c>
      <c r="E265">
        <v>9.7423200607299805</v>
      </c>
      <c r="F265">
        <v>16.7145385742188</v>
      </c>
      <c r="G265">
        <v>16.7145385742188</v>
      </c>
      <c r="H265">
        <v>5.7465221732854802E-2</v>
      </c>
      <c r="I265">
        <v>-2.19477486610413</v>
      </c>
      <c r="J265">
        <v>-2.19477486610413</v>
      </c>
      <c r="K265">
        <f>VLOOKUP(B265,'FRAME ASSIGNMENTS SUMMARY'!B:D,3,0)</f>
        <v>1.4</v>
      </c>
      <c r="L265">
        <v>6.0084936490538903</v>
      </c>
      <c r="M265">
        <v>1.5</v>
      </c>
    </row>
    <row r="266" spans="1:13">
      <c r="A266" t="s">
        <v>61</v>
      </c>
      <c r="B266" t="s">
        <v>61</v>
      </c>
      <c r="C266" t="s">
        <v>34</v>
      </c>
      <c r="D266">
        <v>0.37499999999999101</v>
      </c>
      <c r="E266">
        <v>14.3911027908325</v>
      </c>
      <c r="F266">
        <v>16.7145385742188</v>
      </c>
      <c r="G266">
        <v>16.7145385742188</v>
      </c>
      <c r="H266">
        <v>-0.118038773536682</v>
      </c>
      <c r="I266">
        <v>-8.4010334014892596</v>
      </c>
      <c r="J266">
        <v>-8.4010334014892596</v>
      </c>
      <c r="K266">
        <f>VLOOKUP(B266,'FRAME ASSIGNMENTS SUMMARY'!B:D,3,0)</f>
        <v>1.4</v>
      </c>
      <c r="L266">
        <v>6.3834936490538796</v>
      </c>
      <c r="M266">
        <v>1.5</v>
      </c>
    </row>
    <row r="267" spans="1:13">
      <c r="A267" t="s">
        <v>61</v>
      </c>
      <c r="B267" t="s">
        <v>61</v>
      </c>
      <c r="C267" t="s">
        <v>34</v>
      </c>
      <c r="D267">
        <v>0.37499999999999101</v>
      </c>
      <c r="E267">
        <v>8.9262037277221697</v>
      </c>
      <c r="F267">
        <v>-422.46829223632801</v>
      </c>
      <c r="G267">
        <v>-422.46829223632801</v>
      </c>
      <c r="H267">
        <v>-0.11448110640049</v>
      </c>
      <c r="I267">
        <v>-7.6990065574645996</v>
      </c>
      <c r="J267">
        <v>-7.6990065574645996</v>
      </c>
      <c r="K267">
        <f>VLOOKUP(B267,'FRAME ASSIGNMENTS SUMMARY'!B:D,3,0)</f>
        <v>1.4</v>
      </c>
      <c r="L267">
        <v>6.3834936490538796</v>
      </c>
      <c r="M267">
        <v>1.5</v>
      </c>
    </row>
    <row r="268" spans="1:13">
      <c r="A268" t="s">
        <v>61</v>
      </c>
      <c r="B268" t="s">
        <v>61</v>
      </c>
      <c r="C268" t="s">
        <v>34</v>
      </c>
      <c r="D268">
        <v>0.69999999999999896</v>
      </c>
      <c r="E268">
        <v>71.494674682617202</v>
      </c>
      <c r="F268">
        <v>194.50663757324199</v>
      </c>
      <c r="G268">
        <v>194.50663757324199</v>
      </c>
      <c r="H268">
        <v>0.565490782260895</v>
      </c>
      <c r="I268">
        <v>57.699554443359403</v>
      </c>
      <c r="J268">
        <v>57.699554443359403</v>
      </c>
      <c r="K268">
        <f>VLOOKUP(B268,'FRAME ASSIGNMENTS SUMMARY'!B:D,3,0)</f>
        <v>1.4</v>
      </c>
      <c r="L268">
        <v>6.7084936490538896</v>
      </c>
      <c r="M268">
        <v>1.5</v>
      </c>
    </row>
    <row r="269" spans="1:13">
      <c r="A269" t="s">
        <v>61</v>
      </c>
      <c r="B269" t="s">
        <v>61</v>
      </c>
      <c r="C269" t="s">
        <v>34</v>
      </c>
      <c r="D269">
        <v>0.69999999999999896</v>
      </c>
      <c r="E269">
        <v>70.971374511718807</v>
      </c>
      <c r="F269">
        <v>194.50663757324199</v>
      </c>
      <c r="G269">
        <v>194.50663757324199</v>
      </c>
      <c r="H269">
        <v>0.57331353425979603</v>
      </c>
      <c r="I269">
        <v>56.9179077148438</v>
      </c>
      <c r="J269">
        <v>56.9179077148438</v>
      </c>
      <c r="K269">
        <f>VLOOKUP(B269,'FRAME ASSIGNMENTS SUMMARY'!B:D,3,0)</f>
        <v>1.4</v>
      </c>
      <c r="L269">
        <v>6.7084936490538896</v>
      </c>
      <c r="M269">
        <v>1.5</v>
      </c>
    </row>
    <row r="270" spans="1:13">
      <c r="A270" t="s">
        <v>61</v>
      </c>
      <c r="B270" t="s">
        <v>61</v>
      </c>
      <c r="C270" t="s">
        <v>34</v>
      </c>
      <c r="D270">
        <v>1.0249999999999899</v>
      </c>
      <c r="E270">
        <v>34.200603485107401</v>
      </c>
      <c r="F270">
        <v>199.75379943847699</v>
      </c>
      <c r="G270">
        <v>199.75379943847699</v>
      </c>
      <c r="H270">
        <v>0.227821260690689</v>
      </c>
      <c r="I270">
        <v>-7.11712598800659</v>
      </c>
      <c r="J270">
        <v>-7.11712598800659</v>
      </c>
      <c r="K270">
        <f>VLOOKUP(B270,'FRAME ASSIGNMENTS SUMMARY'!B:D,3,0)</f>
        <v>1.4</v>
      </c>
      <c r="L270">
        <v>7.03349364905388</v>
      </c>
      <c r="M270">
        <v>1.5</v>
      </c>
    </row>
    <row r="271" spans="1:13">
      <c r="A271" t="s">
        <v>61</v>
      </c>
      <c r="B271" t="s">
        <v>61</v>
      </c>
      <c r="C271" t="s">
        <v>34</v>
      </c>
      <c r="D271">
        <v>1.0249999999999899</v>
      </c>
      <c r="E271">
        <v>60.237129211425803</v>
      </c>
      <c r="F271">
        <v>3.5731008052825901</v>
      </c>
      <c r="G271">
        <v>3.5731008052825901</v>
      </c>
      <c r="H271">
        <v>0.20990046858787501</v>
      </c>
      <c r="I271">
        <v>-4.6643323898315403</v>
      </c>
      <c r="J271">
        <v>-4.6643323898315403</v>
      </c>
      <c r="K271">
        <f>VLOOKUP(B271,'FRAME ASSIGNMENTS SUMMARY'!B:D,3,0)</f>
        <v>1.4</v>
      </c>
      <c r="L271">
        <v>7.03349364905388</v>
      </c>
      <c r="M271">
        <v>1.5</v>
      </c>
    </row>
    <row r="272" spans="1:13">
      <c r="A272" t="s">
        <v>61</v>
      </c>
      <c r="B272" t="s">
        <v>61</v>
      </c>
      <c r="C272" t="s">
        <v>34</v>
      </c>
      <c r="D272">
        <v>1.4</v>
      </c>
      <c r="E272">
        <v>87.581802368164105</v>
      </c>
      <c r="F272">
        <v>-24.053638458251999</v>
      </c>
      <c r="G272">
        <v>-24.053638458251999</v>
      </c>
      <c r="H272">
        <v>1.2303039431572E-2</v>
      </c>
      <c r="I272">
        <v>-1.7272583246231099</v>
      </c>
      <c r="J272">
        <v>-1.7272583246231099</v>
      </c>
      <c r="K272">
        <f>VLOOKUP(B272,'FRAME ASSIGNMENTS SUMMARY'!B:D,3,0)</f>
        <v>1.4</v>
      </c>
      <c r="L272">
        <v>7.4084936490538897</v>
      </c>
      <c r="M272">
        <v>1.5</v>
      </c>
    </row>
    <row r="273" spans="1:13">
      <c r="A273" t="s">
        <v>61</v>
      </c>
      <c r="B273" t="s">
        <v>61</v>
      </c>
      <c r="C273" t="s">
        <v>34</v>
      </c>
      <c r="D273">
        <v>1.4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f>VLOOKUP(B273,'FRAME ASSIGNMENTS SUMMARY'!B:D,3,0)</f>
        <v>1.4</v>
      </c>
      <c r="L273">
        <v>7.4084936490538897</v>
      </c>
      <c r="M273">
        <v>1.5</v>
      </c>
    </row>
    <row r="274" spans="1:13">
      <c r="A274" t="s">
        <v>62</v>
      </c>
      <c r="B274" t="s">
        <v>62</v>
      </c>
      <c r="C274" t="s">
        <v>34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f>VLOOKUP(B274,'FRAME ASSIGNMENTS SUMMARY'!B:D,3,0)</f>
        <v>1.4</v>
      </c>
      <c r="L274">
        <v>-0.59150635094611004</v>
      </c>
      <c r="M274">
        <v>1.5</v>
      </c>
    </row>
    <row r="275" spans="1:13">
      <c r="A275" t="s">
        <v>62</v>
      </c>
      <c r="B275" t="s">
        <v>62</v>
      </c>
      <c r="C275" t="s">
        <v>34</v>
      </c>
      <c r="D275">
        <v>0</v>
      </c>
      <c r="E275">
        <v>-13.456056594848601</v>
      </c>
      <c r="F275">
        <v>28.012090682983398</v>
      </c>
      <c r="G275">
        <v>28.012090682983398</v>
      </c>
      <c r="H275">
        <v>1.2281422615051301</v>
      </c>
      <c r="I275">
        <v>2.5653135776519802</v>
      </c>
      <c r="J275">
        <v>2.5653135776519802</v>
      </c>
      <c r="K275">
        <f>VLOOKUP(B275,'FRAME ASSIGNMENTS SUMMARY'!B:D,3,0)</f>
        <v>1.4</v>
      </c>
      <c r="L275">
        <v>-0.59150635094611004</v>
      </c>
      <c r="M275">
        <v>1.5</v>
      </c>
    </row>
    <row r="276" spans="1:13">
      <c r="A276" t="s">
        <v>62</v>
      </c>
      <c r="B276" t="s">
        <v>62</v>
      </c>
      <c r="C276" t="s">
        <v>34</v>
      </c>
      <c r="D276">
        <v>0.37500000000000899</v>
      </c>
      <c r="E276">
        <v>-7.9655022621154803</v>
      </c>
      <c r="F276">
        <v>28.012090682983398</v>
      </c>
      <c r="G276">
        <v>28.012090682983398</v>
      </c>
      <c r="H276">
        <v>1.0625648498535201</v>
      </c>
      <c r="I276">
        <v>-7.8358273506164604</v>
      </c>
      <c r="J276">
        <v>-7.8358273506164604</v>
      </c>
      <c r="K276">
        <f>VLOOKUP(B276,'FRAME ASSIGNMENTS SUMMARY'!B:D,3,0)</f>
        <v>1.4</v>
      </c>
      <c r="L276">
        <v>-0.216506350946117</v>
      </c>
      <c r="M276">
        <v>1.5</v>
      </c>
    </row>
    <row r="277" spans="1:13">
      <c r="A277" t="s">
        <v>62</v>
      </c>
      <c r="B277" t="s">
        <v>62</v>
      </c>
      <c r="C277" t="s">
        <v>34</v>
      </c>
      <c r="D277">
        <v>0.37500000000000899</v>
      </c>
      <c r="E277">
        <v>-1.7554029226303101</v>
      </c>
      <c r="F277">
        <v>-205.90663146972699</v>
      </c>
      <c r="G277">
        <v>-205.90663146972699</v>
      </c>
      <c r="H277">
        <v>1.07455086708069</v>
      </c>
      <c r="I277">
        <v>-13.0943794250488</v>
      </c>
      <c r="J277">
        <v>-13.0943794250488</v>
      </c>
      <c r="K277">
        <f>VLOOKUP(B277,'FRAME ASSIGNMENTS SUMMARY'!B:D,3,0)</f>
        <v>1.4</v>
      </c>
      <c r="L277">
        <v>-0.216506350946117</v>
      </c>
      <c r="M277">
        <v>1.5</v>
      </c>
    </row>
    <row r="278" spans="1:13">
      <c r="A278" t="s">
        <v>62</v>
      </c>
      <c r="B278" t="s">
        <v>62</v>
      </c>
      <c r="C278" t="s">
        <v>34</v>
      </c>
      <c r="D278">
        <v>0.70000000000000095</v>
      </c>
      <c r="E278">
        <v>-7.5918407440185502</v>
      </c>
      <c r="F278">
        <v>-283.30657958984398</v>
      </c>
      <c r="G278">
        <v>-283.30657958984398</v>
      </c>
      <c r="H278">
        <v>1.35179507732391</v>
      </c>
      <c r="I278">
        <v>47.1546630859375</v>
      </c>
      <c r="J278">
        <v>47.1546630859375</v>
      </c>
      <c r="K278">
        <f>VLOOKUP(B278,'FRAME ASSIGNMENTS SUMMARY'!B:D,3,0)</f>
        <v>1.4</v>
      </c>
      <c r="L278">
        <v>0.10849364905389</v>
      </c>
      <c r="M278">
        <v>1.5</v>
      </c>
    </row>
    <row r="279" spans="1:13">
      <c r="A279" t="s">
        <v>62</v>
      </c>
      <c r="B279" t="s">
        <v>62</v>
      </c>
      <c r="C279" t="s">
        <v>34</v>
      </c>
      <c r="D279">
        <v>0.70000000000000095</v>
      </c>
      <c r="E279">
        <v>-7.6643247604370099</v>
      </c>
      <c r="F279">
        <v>-283.30657958984398</v>
      </c>
      <c r="G279">
        <v>-283.30657958984398</v>
      </c>
      <c r="H279">
        <v>1.3284761905670199</v>
      </c>
      <c r="I279">
        <v>48.293159484863303</v>
      </c>
      <c r="J279">
        <v>48.293159484863303</v>
      </c>
      <c r="K279">
        <f>VLOOKUP(B279,'FRAME ASSIGNMENTS SUMMARY'!B:D,3,0)</f>
        <v>1.4</v>
      </c>
      <c r="L279">
        <v>0.10849364905389</v>
      </c>
      <c r="M279">
        <v>1.5</v>
      </c>
    </row>
    <row r="280" spans="1:13">
      <c r="A280" t="s">
        <v>62</v>
      </c>
      <c r="B280" t="s">
        <v>62</v>
      </c>
      <c r="C280" t="s">
        <v>34</v>
      </c>
      <c r="D280">
        <v>1.0250000000000099</v>
      </c>
      <c r="E280">
        <v>60.979335784912102</v>
      </c>
      <c r="F280">
        <v>341.44546508789102</v>
      </c>
      <c r="G280">
        <v>341.44546508789102</v>
      </c>
      <c r="H280">
        <v>-0.14248347282409701</v>
      </c>
      <c r="I280">
        <v>-10.6479940414429</v>
      </c>
      <c r="J280">
        <v>-10.6479940414429</v>
      </c>
      <c r="K280">
        <f>VLOOKUP(B280,'FRAME ASSIGNMENTS SUMMARY'!B:D,3,0)</f>
        <v>1.4</v>
      </c>
      <c r="L280">
        <v>0.43349364905388399</v>
      </c>
      <c r="M280">
        <v>1.5</v>
      </c>
    </row>
    <row r="281" spans="1:13">
      <c r="A281" t="s">
        <v>62</v>
      </c>
      <c r="B281" t="s">
        <v>62</v>
      </c>
      <c r="C281" t="s">
        <v>34</v>
      </c>
      <c r="D281">
        <v>1.0250000000000099</v>
      </c>
      <c r="E281">
        <v>62.432853698730497</v>
      </c>
      <c r="F281">
        <v>14.2052268981934</v>
      </c>
      <c r="G281">
        <v>14.2052268981934</v>
      </c>
      <c r="H281">
        <v>-0.14255221188068401</v>
      </c>
      <c r="I281">
        <v>-3.7865574359893799</v>
      </c>
      <c r="J281">
        <v>-3.7865574359893799</v>
      </c>
      <c r="K281">
        <f>VLOOKUP(B281,'FRAME ASSIGNMENTS SUMMARY'!B:D,3,0)</f>
        <v>1.4</v>
      </c>
      <c r="L281">
        <v>0.43349364905388399</v>
      </c>
      <c r="M281">
        <v>1.5</v>
      </c>
    </row>
    <row r="282" spans="1:13">
      <c r="A282" t="s">
        <v>62</v>
      </c>
      <c r="B282" t="s">
        <v>62</v>
      </c>
      <c r="C282" t="s">
        <v>34</v>
      </c>
      <c r="D282">
        <v>1.4</v>
      </c>
      <c r="E282">
        <v>68.948348999023395</v>
      </c>
      <c r="F282">
        <v>14.2052268981934</v>
      </c>
      <c r="G282">
        <v>14.2052268981934</v>
      </c>
      <c r="H282">
        <v>0.14666247367858901</v>
      </c>
      <c r="I282">
        <v>-9.0610857009887695</v>
      </c>
      <c r="J282">
        <v>-9.0610857009887695</v>
      </c>
      <c r="K282">
        <f>VLOOKUP(B282,'FRAME ASSIGNMENTS SUMMARY'!B:D,3,0)</f>
        <v>1.4</v>
      </c>
      <c r="L282">
        <v>0.80849364905389198</v>
      </c>
      <c r="M282">
        <v>1.5</v>
      </c>
    </row>
    <row r="283" spans="1:13">
      <c r="A283" t="s">
        <v>62</v>
      </c>
      <c r="B283" t="s">
        <v>62</v>
      </c>
      <c r="C283" t="s">
        <v>34</v>
      </c>
      <c r="D283">
        <v>1.4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f>VLOOKUP(B283,'FRAME ASSIGNMENTS SUMMARY'!B:D,3,0)</f>
        <v>1.4</v>
      </c>
      <c r="L283">
        <v>0.80849364905389198</v>
      </c>
      <c r="M283">
        <v>1.5</v>
      </c>
    </row>
    <row r="284" spans="1:13">
      <c r="A284" t="s">
        <v>63</v>
      </c>
      <c r="B284" t="s">
        <v>63</v>
      </c>
      <c r="C284" t="s">
        <v>34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f>VLOOKUP(B284,'FRAME ASSIGNMENTS SUMMARY'!B:D,3,0)</f>
        <v>0.75</v>
      </c>
      <c r="L284">
        <v>-0.59150635094611004</v>
      </c>
      <c r="M284">
        <v>1.5</v>
      </c>
    </row>
    <row r="285" spans="1:13">
      <c r="A285" t="s">
        <v>63</v>
      </c>
      <c r="B285" t="s">
        <v>63</v>
      </c>
      <c r="C285" t="s">
        <v>34</v>
      </c>
      <c r="D285">
        <v>0</v>
      </c>
      <c r="E285">
        <v>92.716636657714801</v>
      </c>
      <c r="F285">
        <v>19.718971252441399</v>
      </c>
      <c r="G285">
        <v>19.718971252441399</v>
      </c>
      <c r="H285">
        <v>-2.3401758670806898</v>
      </c>
      <c r="I285">
        <v>-11.2701253890991</v>
      </c>
      <c r="J285">
        <v>-11.2701253890991</v>
      </c>
      <c r="K285">
        <f>VLOOKUP(B285,'FRAME ASSIGNMENTS SUMMARY'!B:D,3,0)</f>
        <v>0.75</v>
      </c>
      <c r="L285">
        <v>-0.59150635094611004</v>
      </c>
      <c r="M285">
        <v>1.5</v>
      </c>
    </row>
    <row r="286" spans="1:13">
      <c r="A286" t="s">
        <v>63</v>
      </c>
      <c r="B286" t="s">
        <v>63</v>
      </c>
      <c r="C286" t="s">
        <v>34</v>
      </c>
      <c r="D286">
        <v>0.375000000000835</v>
      </c>
      <c r="E286">
        <v>123.459587097168</v>
      </c>
      <c r="F286">
        <v>19.718971252441399</v>
      </c>
      <c r="G286">
        <v>19.718971252441399</v>
      </c>
      <c r="H286">
        <v>-6.2540583312511402E-2</v>
      </c>
      <c r="I286">
        <v>-18.591957092285199</v>
      </c>
      <c r="J286">
        <v>-18.591957092285199</v>
      </c>
      <c r="K286">
        <f>VLOOKUP(B286,'FRAME ASSIGNMENTS SUMMARY'!B:D,3,0)</f>
        <v>0.75</v>
      </c>
      <c r="L286">
        <v>-0.216506350946118</v>
      </c>
      <c r="M286">
        <v>1.5</v>
      </c>
    </row>
    <row r="287" spans="1:13">
      <c r="A287" t="s">
        <v>63</v>
      </c>
      <c r="B287" t="s">
        <v>63</v>
      </c>
      <c r="C287" t="s">
        <v>34</v>
      </c>
      <c r="D287">
        <v>0.375000000000835</v>
      </c>
      <c r="E287">
        <v>18.243930816650401</v>
      </c>
      <c r="F287">
        <v>-5.8318724632263201</v>
      </c>
      <c r="G287">
        <v>-5.8318724632263201</v>
      </c>
      <c r="H287">
        <v>-2.7250155806541401E-2</v>
      </c>
      <c r="I287">
        <v>-2.1761894226074201</v>
      </c>
      <c r="J287">
        <v>-2.1761894226074201</v>
      </c>
      <c r="K287">
        <f>VLOOKUP(B287,'FRAME ASSIGNMENTS SUMMARY'!B:D,3,0)</f>
        <v>0.75</v>
      </c>
      <c r="L287">
        <v>-0.216506350946118</v>
      </c>
      <c r="M287">
        <v>1.5</v>
      </c>
    </row>
    <row r="288" spans="1:13">
      <c r="A288" t="s">
        <v>63</v>
      </c>
      <c r="B288" t="s">
        <v>63</v>
      </c>
      <c r="C288" t="s">
        <v>34</v>
      </c>
      <c r="D288">
        <v>0.75</v>
      </c>
      <c r="E288">
        <v>-18.243930816650401</v>
      </c>
      <c r="F288">
        <v>-5.8318724632263201</v>
      </c>
      <c r="G288">
        <v>-5.8318724632263201</v>
      </c>
      <c r="H288">
        <v>2.2770762443542498</v>
      </c>
      <c r="I288">
        <v>-1.0762760415673299E-2</v>
      </c>
      <c r="J288">
        <v>-1.0762760415673299E-2</v>
      </c>
      <c r="K288">
        <f>VLOOKUP(B288,'FRAME ASSIGNMENTS SUMMARY'!B:D,3,0)</f>
        <v>0.75</v>
      </c>
      <c r="L288">
        <v>0.10849364905389</v>
      </c>
      <c r="M288">
        <v>1.5</v>
      </c>
    </row>
    <row r="289" spans="1:13">
      <c r="A289" t="s">
        <v>63</v>
      </c>
      <c r="B289" t="s">
        <v>63</v>
      </c>
      <c r="C289" t="s">
        <v>34</v>
      </c>
      <c r="D289">
        <v>0.75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f>VLOOKUP(B289,'FRAME ASSIGNMENTS SUMMARY'!B:D,3,0)</f>
        <v>0.75</v>
      </c>
      <c r="L289">
        <v>0.10849364905389</v>
      </c>
      <c r="M289">
        <v>1.5</v>
      </c>
    </row>
    <row r="290" spans="1:13">
      <c r="A290" t="s">
        <v>64</v>
      </c>
      <c r="B290" t="s">
        <v>64</v>
      </c>
      <c r="C290" t="s">
        <v>34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f>VLOOKUP(B290,'FRAME ASSIGNMENTS SUMMARY'!B:D,3,0)</f>
        <v>1.4</v>
      </c>
      <c r="L290">
        <v>0.43349364905388399</v>
      </c>
      <c r="M290">
        <v>1.5</v>
      </c>
    </row>
    <row r="291" spans="1:13">
      <c r="A291" t="s">
        <v>64</v>
      </c>
      <c r="B291" t="s">
        <v>64</v>
      </c>
      <c r="C291" t="s">
        <v>34</v>
      </c>
      <c r="D291">
        <v>0</v>
      </c>
      <c r="E291">
        <v>87.623664855957003</v>
      </c>
      <c r="F291">
        <v>24.202569961547901</v>
      </c>
      <c r="G291">
        <v>24.202569961547901</v>
      </c>
      <c r="H291">
        <v>1.22324554249644E-2</v>
      </c>
      <c r="I291">
        <v>-1.6765434741973899</v>
      </c>
      <c r="J291">
        <v>-1.6765434741973899</v>
      </c>
      <c r="K291">
        <f>VLOOKUP(B291,'FRAME ASSIGNMENTS SUMMARY'!B:D,3,0)</f>
        <v>1.4</v>
      </c>
      <c r="L291">
        <v>0.43349364905388399</v>
      </c>
      <c r="M291">
        <v>1.5</v>
      </c>
    </row>
    <row r="292" spans="1:13">
      <c r="A292" t="s">
        <v>64</v>
      </c>
      <c r="B292" t="s">
        <v>64</v>
      </c>
      <c r="C292" t="s">
        <v>34</v>
      </c>
      <c r="D292">
        <v>0.375000000000005</v>
      </c>
      <c r="E292">
        <v>73.949394226074205</v>
      </c>
      <c r="F292">
        <v>24.202569961547901</v>
      </c>
      <c r="G292">
        <v>24.202569961547901</v>
      </c>
      <c r="H292">
        <v>-5.6390777230262798E-2</v>
      </c>
      <c r="I292">
        <v>-10.663174629211399</v>
      </c>
      <c r="J292">
        <v>-10.663174629211399</v>
      </c>
      <c r="K292">
        <f>VLOOKUP(B292,'FRAME ASSIGNMENTS SUMMARY'!B:D,3,0)</f>
        <v>1.4</v>
      </c>
      <c r="L292">
        <v>0.80849364905389098</v>
      </c>
      <c r="M292">
        <v>1.5</v>
      </c>
    </row>
    <row r="293" spans="1:13">
      <c r="A293" t="s">
        <v>64</v>
      </c>
      <c r="B293" t="s">
        <v>64</v>
      </c>
      <c r="C293" t="s">
        <v>34</v>
      </c>
      <c r="D293">
        <v>0.375000000000005</v>
      </c>
      <c r="E293">
        <v>65.153465270996094</v>
      </c>
      <c r="F293">
        <v>-198.43634033203099</v>
      </c>
      <c r="G293">
        <v>-198.43634033203099</v>
      </c>
      <c r="H293">
        <v>-5.9133689850568799E-2</v>
      </c>
      <c r="I293">
        <v>-18.430820465087901</v>
      </c>
      <c r="J293">
        <v>-18.430820465087901</v>
      </c>
      <c r="K293">
        <f>VLOOKUP(B293,'FRAME ASSIGNMENTS SUMMARY'!B:D,3,0)</f>
        <v>1.4</v>
      </c>
      <c r="L293">
        <v>0.80849364905389098</v>
      </c>
      <c r="M293">
        <v>1.5</v>
      </c>
    </row>
    <row r="294" spans="1:13">
      <c r="A294" t="s">
        <v>64</v>
      </c>
      <c r="B294" t="s">
        <v>64</v>
      </c>
      <c r="C294" t="s">
        <v>34</v>
      </c>
      <c r="D294">
        <v>0.70000000000000095</v>
      </c>
      <c r="E294">
        <v>61.556861877441399</v>
      </c>
      <c r="F294">
        <v>-245.76753234863301</v>
      </c>
      <c r="G294">
        <v>-245.76753234863301</v>
      </c>
      <c r="H294">
        <v>-6.6417478024959606E-2</v>
      </c>
      <c r="I294">
        <v>30.843208312988299</v>
      </c>
      <c r="J294">
        <v>30.843208312988299</v>
      </c>
      <c r="K294">
        <f>VLOOKUP(B294,'FRAME ASSIGNMENTS SUMMARY'!B:D,3,0)</f>
        <v>1.4</v>
      </c>
      <c r="L294">
        <v>-0.59150635094611004</v>
      </c>
      <c r="M294">
        <v>1.5</v>
      </c>
    </row>
    <row r="295" spans="1:13">
      <c r="A295" t="s">
        <v>64</v>
      </c>
      <c r="B295" t="s">
        <v>64</v>
      </c>
      <c r="C295" t="s">
        <v>34</v>
      </c>
      <c r="D295">
        <v>0.70000000000000095</v>
      </c>
      <c r="E295">
        <v>61.554691314697301</v>
      </c>
      <c r="F295">
        <v>-245.76753234863301</v>
      </c>
      <c r="G295">
        <v>-245.76753234863301</v>
      </c>
      <c r="H295">
        <v>-5.6752495467662797E-2</v>
      </c>
      <c r="I295">
        <v>31.830852508544901</v>
      </c>
      <c r="J295">
        <v>31.830852508544901</v>
      </c>
      <c r="K295">
        <f>VLOOKUP(B295,'FRAME ASSIGNMENTS SUMMARY'!B:D,3,0)</f>
        <v>1.4</v>
      </c>
      <c r="L295">
        <v>-0.59150635094611004</v>
      </c>
      <c r="M295">
        <v>1.5</v>
      </c>
    </row>
    <row r="296" spans="1:13">
      <c r="A296" t="s">
        <v>64</v>
      </c>
      <c r="B296" t="s">
        <v>64</v>
      </c>
      <c r="C296" t="s">
        <v>34</v>
      </c>
      <c r="D296">
        <v>1.0250000000000099</v>
      </c>
      <c r="E296">
        <v>-11.6904287338257</v>
      </c>
      <c r="F296">
        <v>323.77380371093801</v>
      </c>
      <c r="G296">
        <v>323.77380371093801</v>
      </c>
      <c r="H296">
        <v>0.52967590093612704</v>
      </c>
      <c r="I296">
        <v>-8.3514928817749006</v>
      </c>
      <c r="J296">
        <v>-8.3514928817749006</v>
      </c>
      <c r="K296">
        <f>VLOOKUP(B296,'FRAME ASSIGNMENTS SUMMARY'!B:D,3,0)</f>
        <v>1.4</v>
      </c>
      <c r="L296">
        <v>-0.216506350946118</v>
      </c>
      <c r="M296">
        <v>1.5</v>
      </c>
    </row>
    <row r="297" spans="1:13">
      <c r="A297" t="s">
        <v>64</v>
      </c>
      <c r="B297" t="s">
        <v>64</v>
      </c>
      <c r="C297" t="s">
        <v>34</v>
      </c>
      <c r="D297">
        <v>1.0250000000000099</v>
      </c>
      <c r="E297">
        <v>2.0433452129364</v>
      </c>
      <c r="F297">
        <v>14.2176856994629</v>
      </c>
      <c r="G297">
        <v>14.2176856994629</v>
      </c>
      <c r="H297">
        <v>0.52741944789886497</v>
      </c>
      <c r="I297">
        <v>-0.93315243721008301</v>
      </c>
      <c r="J297">
        <v>-0.93315243721008301</v>
      </c>
      <c r="K297">
        <f>VLOOKUP(B297,'FRAME ASSIGNMENTS SUMMARY'!B:D,3,0)</f>
        <v>1.4</v>
      </c>
      <c r="L297">
        <v>-0.216506350946118</v>
      </c>
      <c r="M297">
        <v>1.5</v>
      </c>
    </row>
    <row r="298" spans="1:13">
      <c r="A298" t="s">
        <v>64</v>
      </c>
      <c r="B298" t="s">
        <v>64</v>
      </c>
      <c r="C298" t="s">
        <v>34</v>
      </c>
      <c r="D298">
        <v>1.4</v>
      </c>
      <c r="E298">
        <v>5.5935807228088397</v>
      </c>
      <c r="F298">
        <v>14.2176856994629</v>
      </c>
      <c r="G298">
        <v>14.2176856994629</v>
      </c>
      <c r="H298">
        <v>0.217175677418709</v>
      </c>
      <c r="I298">
        <v>-6.2123069763183603</v>
      </c>
      <c r="J298">
        <v>-6.2123069763183603</v>
      </c>
      <c r="K298">
        <f>VLOOKUP(B298,'FRAME ASSIGNMENTS SUMMARY'!B:D,3,0)</f>
        <v>1.4</v>
      </c>
      <c r="L298">
        <v>0.10849364905389</v>
      </c>
      <c r="M298">
        <v>1.5</v>
      </c>
    </row>
    <row r="299" spans="1:13">
      <c r="A299" t="s">
        <v>64</v>
      </c>
      <c r="B299" t="s">
        <v>64</v>
      </c>
      <c r="C299" t="s">
        <v>34</v>
      </c>
      <c r="D299">
        <v>1.4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f>VLOOKUP(B299,'FRAME ASSIGNMENTS SUMMARY'!B:D,3,0)</f>
        <v>1.4</v>
      </c>
      <c r="L299">
        <v>0.10849364905389</v>
      </c>
      <c r="M299">
        <v>1.5</v>
      </c>
    </row>
    <row r="300" spans="1:13">
      <c r="A300" t="s">
        <v>65</v>
      </c>
      <c r="B300" t="s">
        <v>65</v>
      </c>
      <c r="C300" t="s">
        <v>34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f>VLOOKUP(B300,'FRAME ASSIGNMENTS SUMMARY'!B:D,3,0)</f>
        <v>1.4</v>
      </c>
      <c r="L300">
        <v>0.43349364905388399</v>
      </c>
      <c r="M300">
        <v>1.5</v>
      </c>
    </row>
    <row r="301" spans="1:13">
      <c r="A301" t="s">
        <v>65</v>
      </c>
      <c r="B301" t="s">
        <v>65</v>
      </c>
      <c r="C301" t="s">
        <v>34</v>
      </c>
      <c r="D301">
        <v>0</v>
      </c>
      <c r="E301">
        <v>126.14133453369099</v>
      </c>
      <c r="F301">
        <v>20.197544097900401</v>
      </c>
      <c r="G301">
        <v>20.197544097900401</v>
      </c>
      <c r="H301">
        <v>2.6244238018989601E-2</v>
      </c>
      <c r="I301">
        <v>8.7629089355468803</v>
      </c>
      <c r="J301">
        <v>8.7629089355468803</v>
      </c>
      <c r="K301">
        <f>VLOOKUP(B301,'FRAME ASSIGNMENTS SUMMARY'!B:D,3,0)</f>
        <v>1.4</v>
      </c>
      <c r="L301">
        <v>0.43349364905388399</v>
      </c>
      <c r="M301">
        <v>1.5</v>
      </c>
    </row>
    <row r="302" spans="1:13">
      <c r="A302" t="s">
        <v>65</v>
      </c>
      <c r="B302" t="s">
        <v>65</v>
      </c>
      <c r="C302" t="s">
        <v>34</v>
      </c>
      <c r="D302">
        <v>0.375000000000005</v>
      </c>
      <c r="E302">
        <v>105.965980529785</v>
      </c>
      <c r="F302">
        <v>20.197544097900401</v>
      </c>
      <c r="G302">
        <v>20.197544097900401</v>
      </c>
      <c r="H302">
        <v>-0.25138086080551098</v>
      </c>
      <c r="I302">
        <v>1.2633796930313099</v>
      </c>
      <c r="J302">
        <v>1.2633796930313099</v>
      </c>
      <c r="K302">
        <f>VLOOKUP(B302,'FRAME ASSIGNMENTS SUMMARY'!B:D,3,0)</f>
        <v>1.4</v>
      </c>
      <c r="L302">
        <v>0.80849364905389098</v>
      </c>
      <c r="M302">
        <v>1.5</v>
      </c>
    </row>
    <row r="303" spans="1:13">
      <c r="A303" t="s">
        <v>65</v>
      </c>
      <c r="B303" t="s">
        <v>65</v>
      </c>
      <c r="C303" t="s">
        <v>34</v>
      </c>
      <c r="D303">
        <v>0.375000000000005</v>
      </c>
      <c r="E303">
        <v>94.007919311523395</v>
      </c>
      <c r="F303">
        <v>-223.09098815918</v>
      </c>
      <c r="G303">
        <v>-223.09098815918</v>
      </c>
      <c r="H303">
        <v>-0.26068323850631703</v>
      </c>
      <c r="I303">
        <v>-11.7289524078369</v>
      </c>
      <c r="J303">
        <v>-11.7289524078369</v>
      </c>
      <c r="K303">
        <f>VLOOKUP(B303,'FRAME ASSIGNMENTS SUMMARY'!B:D,3,0)</f>
        <v>1.4</v>
      </c>
      <c r="L303">
        <v>0.80849364905389098</v>
      </c>
      <c r="M303">
        <v>1.5</v>
      </c>
    </row>
    <row r="304" spans="1:13">
      <c r="A304" t="s">
        <v>65</v>
      </c>
      <c r="B304" t="s">
        <v>65</v>
      </c>
      <c r="C304" t="s">
        <v>34</v>
      </c>
      <c r="D304">
        <v>0.70000000000000095</v>
      </c>
      <c r="E304">
        <v>85.588912963867202</v>
      </c>
      <c r="F304">
        <v>-295.75067138671898</v>
      </c>
      <c r="G304">
        <v>-295.75067138671898</v>
      </c>
      <c r="H304">
        <v>-0.51095330715179399</v>
      </c>
      <c r="I304">
        <v>47.309940338134801</v>
      </c>
      <c r="J304">
        <v>47.309940338134801</v>
      </c>
      <c r="K304">
        <f>VLOOKUP(B304,'FRAME ASSIGNMENTS SUMMARY'!B:D,3,0)</f>
        <v>1.4</v>
      </c>
      <c r="L304">
        <v>-0.59150635094611004</v>
      </c>
      <c r="M304">
        <v>1.5</v>
      </c>
    </row>
    <row r="305" spans="1:13">
      <c r="A305" t="s">
        <v>65</v>
      </c>
      <c r="B305" t="s">
        <v>65</v>
      </c>
      <c r="C305" t="s">
        <v>34</v>
      </c>
      <c r="D305">
        <v>0.70000000000000095</v>
      </c>
      <c r="E305">
        <v>85.665512084960895</v>
      </c>
      <c r="F305">
        <v>-295.75067138671898</v>
      </c>
      <c r="G305">
        <v>-295.75067138671898</v>
      </c>
      <c r="H305">
        <v>-0.462954431772232</v>
      </c>
      <c r="I305">
        <v>48.498447418212898</v>
      </c>
      <c r="J305">
        <v>48.498447418212898</v>
      </c>
      <c r="K305">
        <f>VLOOKUP(B305,'FRAME ASSIGNMENTS SUMMARY'!B:D,3,0)</f>
        <v>1.4</v>
      </c>
      <c r="L305">
        <v>-0.59150635094611004</v>
      </c>
      <c r="M305">
        <v>1.5</v>
      </c>
    </row>
    <row r="306" spans="1:13">
      <c r="A306" t="s">
        <v>65</v>
      </c>
      <c r="B306" t="s">
        <v>65</v>
      </c>
      <c r="C306" t="s">
        <v>34</v>
      </c>
      <c r="D306">
        <v>1.0250000000000099</v>
      </c>
      <c r="E306">
        <v>8.0280380249023402</v>
      </c>
      <c r="F306">
        <v>378.69741821289102</v>
      </c>
      <c r="G306">
        <v>378.69741821289102</v>
      </c>
      <c r="H306">
        <v>2.3085403442382799</v>
      </c>
      <c r="I306">
        <v>1.78547143936157</v>
      </c>
      <c r="J306">
        <v>1.78547143936157</v>
      </c>
      <c r="K306">
        <f>VLOOKUP(B306,'FRAME ASSIGNMENTS SUMMARY'!B:D,3,0)</f>
        <v>1.4</v>
      </c>
      <c r="L306">
        <v>-0.216506350946117</v>
      </c>
      <c r="M306">
        <v>1.5</v>
      </c>
    </row>
    <row r="307" spans="1:13">
      <c r="A307" t="s">
        <v>65</v>
      </c>
      <c r="B307" t="s">
        <v>65</v>
      </c>
      <c r="C307" t="s">
        <v>34</v>
      </c>
      <c r="D307">
        <v>1.0250000000000099</v>
      </c>
      <c r="E307">
        <v>30.974716186523398</v>
      </c>
      <c r="F307">
        <v>33.921989440917997</v>
      </c>
      <c r="G307">
        <v>33.921989440917997</v>
      </c>
      <c r="H307">
        <v>2.30101871490479</v>
      </c>
      <c r="I307">
        <v>13.3084983825684</v>
      </c>
      <c r="J307">
        <v>13.3084983825684</v>
      </c>
      <c r="K307">
        <f>VLOOKUP(B307,'FRAME ASSIGNMENTS SUMMARY'!B:D,3,0)</f>
        <v>1.4</v>
      </c>
      <c r="L307">
        <v>-0.216506350946117</v>
      </c>
      <c r="M307">
        <v>1.5</v>
      </c>
    </row>
    <row r="308" spans="1:13">
      <c r="A308" t="s">
        <v>65</v>
      </c>
      <c r="B308" t="s">
        <v>65</v>
      </c>
      <c r="C308" t="s">
        <v>34</v>
      </c>
      <c r="D308">
        <v>1.4</v>
      </c>
      <c r="E308">
        <v>36.177188873291001</v>
      </c>
      <c r="F308">
        <v>33.921989440917997</v>
      </c>
      <c r="G308">
        <v>33.921989440917997</v>
      </c>
      <c r="H308">
        <v>0.53233093023300204</v>
      </c>
      <c r="I308">
        <v>0.71295922994613603</v>
      </c>
      <c r="J308">
        <v>0.71295922994613603</v>
      </c>
      <c r="K308">
        <f>VLOOKUP(B308,'FRAME ASSIGNMENTS SUMMARY'!B:D,3,0)</f>
        <v>1.4</v>
      </c>
      <c r="L308">
        <v>0.10849364905389</v>
      </c>
      <c r="M308">
        <v>1.5</v>
      </c>
    </row>
    <row r="309" spans="1:13">
      <c r="A309" t="s">
        <v>65</v>
      </c>
      <c r="B309" t="s">
        <v>65</v>
      </c>
      <c r="C309" t="s">
        <v>34</v>
      </c>
      <c r="D309">
        <v>1.4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f>VLOOKUP(B309,'FRAME ASSIGNMENTS SUMMARY'!B:D,3,0)</f>
        <v>1.4</v>
      </c>
      <c r="L309">
        <v>0.10849364905389</v>
      </c>
      <c r="M309">
        <v>1.5</v>
      </c>
    </row>
    <row r="310" spans="1:13">
      <c r="A310" t="s">
        <v>66</v>
      </c>
      <c r="B310" t="s">
        <v>66</v>
      </c>
      <c r="C310" t="s">
        <v>34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f>VLOOKUP(B310,'FRAME ASSIGNMENTS SUMMARY'!B:D,3,0)</f>
        <v>1.4</v>
      </c>
      <c r="L310">
        <v>0.43349364905388399</v>
      </c>
      <c r="M310">
        <v>1.5</v>
      </c>
    </row>
    <row r="311" spans="1:13">
      <c r="A311" t="s">
        <v>66</v>
      </c>
      <c r="B311" t="s">
        <v>66</v>
      </c>
      <c r="C311" t="s">
        <v>34</v>
      </c>
      <c r="D311">
        <v>0</v>
      </c>
      <c r="E311">
        <v>29.843610763549801</v>
      </c>
      <c r="F311">
        <v>26.8648796081543</v>
      </c>
      <c r="G311">
        <v>26.8648796081543</v>
      </c>
      <c r="H311">
        <v>-0.37260827422142001</v>
      </c>
      <c r="I311">
        <v>15.873911857605</v>
      </c>
      <c r="J311">
        <v>15.873911857605</v>
      </c>
      <c r="K311">
        <f>VLOOKUP(B311,'FRAME ASSIGNMENTS SUMMARY'!B:D,3,0)</f>
        <v>1.4</v>
      </c>
      <c r="L311">
        <v>0.43349364905388399</v>
      </c>
      <c r="M311">
        <v>1.5</v>
      </c>
    </row>
    <row r="312" spans="1:13">
      <c r="A312" t="s">
        <v>66</v>
      </c>
      <c r="B312" t="s">
        <v>66</v>
      </c>
      <c r="C312" t="s">
        <v>34</v>
      </c>
      <c r="D312">
        <v>0.37500000000000799</v>
      </c>
      <c r="E312">
        <v>27.246789932251001</v>
      </c>
      <c r="F312">
        <v>26.8648796081543</v>
      </c>
      <c r="G312">
        <v>26.8648796081543</v>
      </c>
      <c r="H312">
        <v>-0.40511098504066501</v>
      </c>
      <c r="I312">
        <v>5.8987402915954599</v>
      </c>
      <c r="J312">
        <v>5.8987402915954599</v>
      </c>
      <c r="K312">
        <f>VLOOKUP(B312,'FRAME ASSIGNMENTS SUMMARY'!B:D,3,0)</f>
        <v>1.4</v>
      </c>
      <c r="L312">
        <v>0.80849364905389098</v>
      </c>
      <c r="M312">
        <v>1.5</v>
      </c>
    </row>
    <row r="313" spans="1:13">
      <c r="A313" t="s">
        <v>66</v>
      </c>
      <c r="B313" t="s">
        <v>66</v>
      </c>
      <c r="C313" t="s">
        <v>34</v>
      </c>
      <c r="D313">
        <v>0.37500000000000799</v>
      </c>
      <c r="E313">
        <v>6.5203819274902299</v>
      </c>
      <c r="F313">
        <v>-257.06881713867199</v>
      </c>
      <c r="G313">
        <v>-257.06881713867199</v>
      </c>
      <c r="H313">
        <v>-0.40652269124984702</v>
      </c>
      <c r="I313">
        <v>-9.4752101898193395</v>
      </c>
      <c r="J313">
        <v>-9.4752101898193395</v>
      </c>
      <c r="K313">
        <f>VLOOKUP(B313,'FRAME ASSIGNMENTS SUMMARY'!B:D,3,0)</f>
        <v>1.4</v>
      </c>
      <c r="L313">
        <v>0.80849364905389098</v>
      </c>
      <c r="M313">
        <v>1.5</v>
      </c>
    </row>
    <row r="314" spans="1:13">
      <c r="A314" t="s">
        <v>66</v>
      </c>
      <c r="B314" t="s">
        <v>66</v>
      </c>
      <c r="C314" t="s">
        <v>34</v>
      </c>
      <c r="D314">
        <v>0.7</v>
      </c>
      <c r="E314">
        <v>-12.224510192871101</v>
      </c>
      <c r="F314">
        <v>-340.73141479492199</v>
      </c>
      <c r="G314">
        <v>-340.73141479492199</v>
      </c>
      <c r="H314">
        <v>-0.52808064222335804</v>
      </c>
      <c r="I314">
        <v>64.546119689941406</v>
      </c>
      <c r="J314">
        <v>64.546119689941406</v>
      </c>
      <c r="K314">
        <f>VLOOKUP(B314,'FRAME ASSIGNMENTS SUMMARY'!B:D,3,0)</f>
        <v>1.4</v>
      </c>
      <c r="L314">
        <v>8.6084936490538908</v>
      </c>
      <c r="M314">
        <v>1.5</v>
      </c>
    </row>
    <row r="315" spans="1:13">
      <c r="A315" t="s">
        <v>66</v>
      </c>
      <c r="B315" t="s">
        <v>66</v>
      </c>
      <c r="C315" t="s">
        <v>34</v>
      </c>
      <c r="D315">
        <v>0.7</v>
      </c>
      <c r="E315">
        <v>-12.2820329666138</v>
      </c>
      <c r="F315">
        <v>-340.73141479492199</v>
      </c>
      <c r="G315">
        <v>-340.73141479492199</v>
      </c>
      <c r="H315">
        <v>-0.52680516242981001</v>
      </c>
      <c r="I315">
        <v>65.915390014648395</v>
      </c>
      <c r="J315">
        <v>65.915390014648395</v>
      </c>
      <c r="K315">
        <f>VLOOKUP(B315,'FRAME ASSIGNMENTS SUMMARY'!B:D,3,0)</f>
        <v>1.4</v>
      </c>
      <c r="L315">
        <v>8.6084936490538908</v>
      </c>
      <c r="M315">
        <v>1.5</v>
      </c>
    </row>
    <row r="316" spans="1:13">
      <c r="A316" t="s">
        <v>66</v>
      </c>
      <c r="B316" t="s">
        <v>66</v>
      </c>
      <c r="C316" t="s">
        <v>34</v>
      </c>
      <c r="D316">
        <v>1.0250000000000099</v>
      </c>
      <c r="E316">
        <v>92.385444641113295</v>
      </c>
      <c r="F316">
        <v>424.60592651367199</v>
      </c>
      <c r="G316">
        <v>424.60592651367199</v>
      </c>
      <c r="H316">
        <v>-0.40154227614402799</v>
      </c>
      <c r="I316">
        <v>-6.0147728919982901</v>
      </c>
      <c r="J316">
        <v>-6.0147728919982901</v>
      </c>
      <c r="K316">
        <f>VLOOKUP(B316,'FRAME ASSIGNMENTS SUMMARY'!B:D,3,0)</f>
        <v>1.4</v>
      </c>
      <c r="L316">
        <v>8.9834936490538801</v>
      </c>
      <c r="M316">
        <v>1.5</v>
      </c>
    </row>
    <row r="317" spans="1:13">
      <c r="A317" t="s">
        <v>66</v>
      </c>
      <c r="B317" t="s">
        <v>66</v>
      </c>
      <c r="C317" t="s">
        <v>34</v>
      </c>
      <c r="D317">
        <v>1.0250000000000099</v>
      </c>
      <c r="E317">
        <v>109.46637725830099</v>
      </c>
      <c r="F317">
        <v>26.717271804809599</v>
      </c>
      <c r="G317">
        <v>26.717271804809599</v>
      </c>
      <c r="H317">
        <v>-0.40251183509826699</v>
      </c>
      <c r="I317">
        <v>6.3033347129821804</v>
      </c>
      <c r="J317">
        <v>6.3033347129821804</v>
      </c>
      <c r="K317">
        <f>VLOOKUP(B317,'FRAME ASSIGNMENTS SUMMARY'!B:D,3,0)</f>
        <v>1.4</v>
      </c>
      <c r="L317">
        <v>8.9834936490538801</v>
      </c>
      <c r="M317">
        <v>1.5</v>
      </c>
    </row>
    <row r="318" spans="1:13">
      <c r="A318" t="s">
        <v>66</v>
      </c>
      <c r="B318" t="s">
        <v>66</v>
      </c>
      <c r="C318" t="s">
        <v>34</v>
      </c>
      <c r="D318">
        <v>1.4</v>
      </c>
      <c r="E318">
        <v>115.51120758056599</v>
      </c>
      <c r="F318">
        <v>26.717271804809599</v>
      </c>
      <c r="G318">
        <v>26.717271804809599</v>
      </c>
      <c r="H318">
        <v>-0.42562398314476002</v>
      </c>
      <c r="I318">
        <v>-3.6170287132263201</v>
      </c>
      <c r="J318">
        <v>-3.6170287132263201</v>
      </c>
      <c r="K318">
        <f>VLOOKUP(B318,'FRAME ASSIGNMENTS SUMMARY'!B:D,3,0)</f>
        <v>1.4</v>
      </c>
      <c r="L318">
        <v>9.3084936490538901</v>
      </c>
      <c r="M318">
        <v>1.5</v>
      </c>
    </row>
    <row r="319" spans="1:13">
      <c r="A319" t="s">
        <v>66</v>
      </c>
      <c r="B319" t="s">
        <v>66</v>
      </c>
      <c r="C319" t="s">
        <v>34</v>
      </c>
      <c r="D319">
        <v>1.4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f>VLOOKUP(B319,'FRAME ASSIGNMENTS SUMMARY'!B:D,3,0)</f>
        <v>1.4</v>
      </c>
      <c r="L319">
        <v>9.3084936490538901</v>
      </c>
      <c r="M319">
        <v>1.5</v>
      </c>
    </row>
    <row r="320" spans="1:13">
      <c r="A320" t="s">
        <v>67</v>
      </c>
      <c r="B320" t="s">
        <v>67</v>
      </c>
      <c r="C320" t="s">
        <v>34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f>VLOOKUP(B320,'FRAME ASSIGNMENTS SUMMARY'!B:D,3,0)</f>
        <v>1.4</v>
      </c>
      <c r="L320">
        <v>9.6334936490538805</v>
      </c>
      <c r="M320">
        <v>1.5</v>
      </c>
    </row>
    <row r="321" spans="1:13">
      <c r="A321" t="s">
        <v>67</v>
      </c>
      <c r="B321" t="s">
        <v>67</v>
      </c>
      <c r="C321" t="s">
        <v>34</v>
      </c>
      <c r="D321">
        <v>0</v>
      </c>
      <c r="E321">
        <v>115.34942626953099</v>
      </c>
      <c r="F321">
        <v>29.6214084625244</v>
      </c>
      <c r="G321">
        <v>29.6214084625244</v>
      </c>
      <c r="H321">
        <v>-0.33398750424385099</v>
      </c>
      <c r="I321">
        <v>0.84083569049835205</v>
      </c>
      <c r="J321">
        <v>0.84083569049835205</v>
      </c>
      <c r="K321">
        <f>VLOOKUP(B321,'FRAME ASSIGNMENTS SUMMARY'!B:D,3,0)</f>
        <v>1.4</v>
      </c>
      <c r="L321">
        <v>9.6334936490538805</v>
      </c>
      <c r="M321">
        <v>1.5</v>
      </c>
    </row>
    <row r="322" spans="1:13">
      <c r="A322" t="s">
        <v>67</v>
      </c>
      <c r="B322" t="s">
        <v>67</v>
      </c>
      <c r="C322" t="s">
        <v>34</v>
      </c>
      <c r="D322">
        <v>0.37500000000000799</v>
      </c>
      <c r="E322">
        <v>96.689460754394503</v>
      </c>
      <c r="F322">
        <v>29.6214084625244</v>
      </c>
      <c r="G322">
        <v>29.6214084625244</v>
      </c>
      <c r="H322">
        <v>-0.24071823060512501</v>
      </c>
      <c r="I322">
        <v>-10.1578588485718</v>
      </c>
      <c r="J322">
        <v>-10.1578588485718</v>
      </c>
      <c r="K322">
        <f>VLOOKUP(B322,'FRAME ASSIGNMENTS SUMMARY'!B:D,3,0)</f>
        <v>1.4</v>
      </c>
      <c r="L322">
        <v>10.0084936490539</v>
      </c>
      <c r="M322">
        <v>1.5</v>
      </c>
    </row>
    <row r="323" spans="1:13">
      <c r="A323" t="s">
        <v>67</v>
      </c>
      <c r="B323" t="s">
        <v>67</v>
      </c>
      <c r="C323" t="s">
        <v>34</v>
      </c>
      <c r="D323">
        <v>0.37500000000000799</v>
      </c>
      <c r="E323">
        <v>85.187210083007798</v>
      </c>
      <c r="F323">
        <v>-204.05799865722699</v>
      </c>
      <c r="G323">
        <v>-204.05799865722699</v>
      </c>
      <c r="H323">
        <v>-0.23989503085613301</v>
      </c>
      <c r="I323">
        <v>-17.8612766265869</v>
      </c>
      <c r="J323">
        <v>-17.8612766265869</v>
      </c>
      <c r="K323">
        <f>VLOOKUP(B323,'FRAME ASSIGNMENTS SUMMARY'!B:D,3,0)</f>
        <v>1.4</v>
      </c>
      <c r="L323">
        <v>10.0084936490539</v>
      </c>
      <c r="M323">
        <v>1.5</v>
      </c>
    </row>
    <row r="324" spans="1:13">
      <c r="A324" t="s">
        <v>67</v>
      </c>
      <c r="B324" t="s">
        <v>67</v>
      </c>
      <c r="C324" t="s">
        <v>34</v>
      </c>
      <c r="D324">
        <v>0.70000000000000195</v>
      </c>
      <c r="E324">
        <v>79.463623046875</v>
      </c>
      <c r="F324">
        <v>-264.56188964843801</v>
      </c>
      <c r="G324">
        <v>-264.56188964843801</v>
      </c>
      <c r="H324">
        <v>-0.102446384727955</v>
      </c>
      <c r="I324">
        <v>38.031612396240199</v>
      </c>
      <c r="J324">
        <v>38.031612396240199</v>
      </c>
      <c r="K324">
        <f>VLOOKUP(B324,'FRAME ASSIGNMENTS SUMMARY'!B:D,3,0)</f>
        <v>1.4</v>
      </c>
      <c r="L324">
        <v>8.6084936490538908</v>
      </c>
      <c r="M324">
        <v>1.5</v>
      </c>
    </row>
    <row r="325" spans="1:13">
      <c r="A325" t="s">
        <v>67</v>
      </c>
      <c r="B325" t="s">
        <v>67</v>
      </c>
      <c r="C325" t="s">
        <v>34</v>
      </c>
      <c r="D325">
        <v>0.70000000000000195</v>
      </c>
      <c r="E325">
        <v>79.573684692382798</v>
      </c>
      <c r="F325">
        <v>-264.56188964843801</v>
      </c>
      <c r="G325">
        <v>-264.56188964843801</v>
      </c>
      <c r="H325">
        <v>-9.2496931552887005E-2</v>
      </c>
      <c r="I325">
        <v>39.0947875976563</v>
      </c>
      <c r="J325">
        <v>39.0947875976563</v>
      </c>
      <c r="K325">
        <f>VLOOKUP(B325,'FRAME ASSIGNMENTS SUMMARY'!B:D,3,0)</f>
        <v>1.4</v>
      </c>
      <c r="L325">
        <v>8.6084936490538908</v>
      </c>
      <c r="M325">
        <v>1.5</v>
      </c>
    </row>
    <row r="326" spans="1:13">
      <c r="A326" t="s">
        <v>67</v>
      </c>
      <c r="B326" t="s">
        <v>67</v>
      </c>
      <c r="C326" t="s">
        <v>34</v>
      </c>
      <c r="D326">
        <v>1.0250000000000099</v>
      </c>
      <c r="E326">
        <v>-14.5710048675537</v>
      </c>
      <c r="F326">
        <v>337.21200561523398</v>
      </c>
      <c r="G326">
        <v>337.21200561523398</v>
      </c>
      <c r="H326">
        <v>0.32890924811363198</v>
      </c>
      <c r="I326">
        <v>-0.84962356090545699</v>
      </c>
      <c r="J326">
        <v>-0.84962356090545699</v>
      </c>
      <c r="K326">
        <f>VLOOKUP(B326,'FRAME ASSIGNMENTS SUMMARY'!B:D,3,0)</f>
        <v>1.4</v>
      </c>
      <c r="L326">
        <v>8.9834936490538801</v>
      </c>
      <c r="M326">
        <v>1.5</v>
      </c>
    </row>
    <row r="327" spans="1:13">
      <c r="A327" t="s">
        <v>67</v>
      </c>
      <c r="B327" t="s">
        <v>67</v>
      </c>
      <c r="C327" t="s">
        <v>34</v>
      </c>
      <c r="D327">
        <v>1.0250000000000099</v>
      </c>
      <c r="E327">
        <v>-3.8844842910766602</v>
      </c>
      <c r="F327">
        <v>26.7290859222412</v>
      </c>
      <c r="G327">
        <v>26.7290859222412</v>
      </c>
      <c r="H327">
        <v>0.32760190963745101</v>
      </c>
      <c r="I327">
        <v>5.1933636665344203</v>
      </c>
      <c r="J327">
        <v>5.1933636665344203</v>
      </c>
      <c r="K327">
        <f>VLOOKUP(B327,'FRAME ASSIGNMENTS SUMMARY'!B:D,3,0)</f>
        <v>1.4</v>
      </c>
      <c r="L327">
        <v>8.9834936490538801</v>
      </c>
      <c r="M327">
        <v>1.5</v>
      </c>
    </row>
    <row r="328" spans="1:13">
      <c r="A328" t="s">
        <v>67</v>
      </c>
      <c r="B328" t="s">
        <v>67</v>
      </c>
      <c r="C328" t="s">
        <v>34</v>
      </c>
      <c r="D328">
        <v>1.4</v>
      </c>
      <c r="E328">
        <v>-3.4636602401733398</v>
      </c>
      <c r="F328">
        <v>26.7290859222412</v>
      </c>
      <c r="G328">
        <v>26.7290859222412</v>
      </c>
      <c r="H328">
        <v>3.3639814704656601E-2</v>
      </c>
      <c r="I328">
        <v>-4.7313861846923801</v>
      </c>
      <c r="J328">
        <v>-4.7313861846923801</v>
      </c>
      <c r="K328">
        <f>VLOOKUP(B328,'FRAME ASSIGNMENTS SUMMARY'!B:D,3,0)</f>
        <v>1.4</v>
      </c>
      <c r="L328">
        <v>9.3084936490538901</v>
      </c>
      <c r="M328">
        <v>1.5</v>
      </c>
    </row>
    <row r="329" spans="1:13">
      <c r="A329" t="s">
        <v>67</v>
      </c>
      <c r="B329" t="s">
        <v>67</v>
      </c>
      <c r="C329" t="s">
        <v>34</v>
      </c>
      <c r="D329">
        <v>1.4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f>VLOOKUP(B329,'FRAME ASSIGNMENTS SUMMARY'!B:D,3,0)</f>
        <v>1.4</v>
      </c>
      <c r="L329">
        <v>9.3084936490538901</v>
      </c>
      <c r="M329">
        <v>1.5</v>
      </c>
    </row>
    <row r="330" spans="1:13">
      <c r="A330" t="s">
        <v>68</v>
      </c>
      <c r="B330" t="s">
        <v>68</v>
      </c>
      <c r="C330" t="s">
        <v>34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f>VLOOKUP(B330,'FRAME ASSIGNMENTS SUMMARY'!B:D,3,0)</f>
        <v>1.4</v>
      </c>
      <c r="L330">
        <v>9.6334936490538805</v>
      </c>
      <c r="M330">
        <v>1.5</v>
      </c>
    </row>
    <row r="331" spans="1:13">
      <c r="A331" t="s">
        <v>68</v>
      </c>
      <c r="B331" t="s">
        <v>68</v>
      </c>
      <c r="C331" t="s">
        <v>34</v>
      </c>
      <c r="D331">
        <v>0</v>
      </c>
      <c r="E331">
        <v>186.95921325683599</v>
      </c>
      <c r="F331">
        <v>31.550233840942401</v>
      </c>
      <c r="G331">
        <v>31.550233840942401</v>
      </c>
      <c r="H331">
        <v>-0.141346409916878</v>
      </c>
      <c r="I331">
        <v>-4.11419630050659</v>
      </c>
      <c r="J331">
        <v>-4.11419630050659</v>
      </c>
      <c r="K331">
        <f>VLOOKUP(B331,'FRAME ASSIGNMENTS SUMMARY'!B:D,3,0)</f>
        <v>1.4</v>
      </c>
      <c r="L331">
        <v>9.6334936490538805</v>
      </c>
      <c r="M331">
        <v>1.5</v>
      </c>
    </row>
    <row r="332" spans="1:13">
      <c r="A332" t="s">
        <v>68</v>
      </c>
      <c r="B332" t="s">
        <v>68</v>
      </c>
      <c r="C332" t="s">
        <v>34</v>
      </c>
      <c r="D332">
        <v>0.37500000000000699</v>
      </c>
      <c r="E332">
        <v>153.569900512695</v>
      </c>
      <c r="F332">
        <v>31.550233840942401</v>
      </c>
      <c r="G332">
        <v>31.550233840942401</v>
      </c>
      <c r="H332">
        <v>-0.21248850226402299</v>
      </c>
      <c r="I332">
        <v>-15.8290815353394</v>
      </c>
      <c r="J332">
        <v>-15.8290815353394</v>
      </c>
      <c r="K332">
        <f>VLOOKUP(B332,'FRAME ASSIGNMENTS SUMMARY'!B:D,3,0)</f>
        <v>1.4</v>
      </c>
      <c r="L332">
        <v>10.0084936490539</v>
      </c>
      <c r="M332">
        <v>1.5</v>
      </c>
    </row>
    <row r="333" spans="1:13">
      <c r="A333" t="s">
        <v>68</v>
      </c>
      <c r="B333" t="s">
        <v>68</v>
      </c>
      <c r="C333" t="s">
        <v>34</v>
      </c>
      <c r="D333">
        <v>0.37500000000000699</v>
      </c>
      <c r="E333">
        <v>150.16226196289099</v>
      </c>
      <c r="F333">
        <v>-252.32614135742199</v>
      </c>
      <c r="G333">
        <v>-252.32614135742199</v>
      </c>
      <c r="H333">
        <v>-0.21385346353053999</v>
      </c>
      <c r="I333">
        <v>-24.214061737060501</v>
      </c>
      <c r="J333">
        <v>-24.214061737060501</v>
      </c>
      <c r="K333">
        <f>VLOOKUP(B333,'FRAME ASSIGNMENTS SUMMARY'!B:D,3,0)</f>
        <v>1.4</v>
      </c>
      <c r="L333">
        <v>10.0084936490539</v>
      </c>
      <c r="M333">
        <v>1.5</v>
      </c>
    </row>
    <row r="334" spans="1:13">
      <c r="A334" t="s">
        <v>68</v>
      </c>
      <c r="B334" t="s">
        <v>68</v>
      </c>
      <c r="C334" t="s">
        <v>34</v>
      </c>
      <c r="D334">
        <v>0.70000000000000095</v>
      </c>
      <c r="E334">
        <v>154.30239868164099</v>
      </c>
      <c r="F334">
        <v>-334.67544555664102</v>
      </c>
      <c r="G334">
        <v>-334.67544555664102</v>
      </c>
      <c r="H334">
        <v>-0.283445954322815</v>
      </c>
      <c r="I334">
        <v>44.843185424804702</v>
      </c>
      <c r="J334">
        <v>44.843185424804702</v>
      </c>
      <c r="K334">
        <f>VLOOKUP(B334,'FRAME ASSIGNMENTS SUMMARY'!B:D,3,0)</f>
        <v>1.4</v>
      </c>
      <c r="L334">
        <v>14.1084936490539</v>
      </c>
      <c r="M334">
        <v>0.75</v>
      </c>
    </row>
    <row r="335" spans="1:13">
      <c r="A335" t="s">
        <v>68</v>
      </c>
      <c r="B335" t="s">
        <v>68</v>
      </c>
      <c r="C335" t="s">
        <v>34</v>
      </c>
      <c r="D335">
        <v>0.70000000000000095</v>
      </c>
      <c r="E335">
        <v>154.42451477050801</v>
      </c>
      <c r="F335">
        <v>-334.67544555664102</v>
      </c>
      <c r="G335">
        <v>-334.67544555664102</v>
      </c>
      <c r="H335">
        <v>-0.27908894419670099</v>
      </c>
      <c r="I335">
        <v>46.188114166259801</v>
      </c>
      <c r="J335">
        <v>46.188114166259801</v>
      </c>
      <c r="K335">
        <f>VLOOKUP(B335,'FRAME ASSIGNMENTS SUMMARY'!B:D,3,0)</f>
        <v>1.4</v>
      </c>
      <c r="L335">
        <v>14.1084936490539</v>
      </c>
      <c r="M335">
        <v>0.75</v>
      </c>
    </row>
    <row r="336" spans="1:13">
      <c r="A336" t="s">
        <v>68</v>
      </c>
      <c r="B336" t="s">
        <v>68</v>
      </c>
      <c r="C336" t="s">
        <v>34</v>
      </c>
      <c r="D336">
        <v>1.0250000000000099</v>
      </c>
      <c r="E336">
        <v>-39.656684875488303</v>
      </c>
      <c r="F336">
        <v>429.49700927734398</v>
      </c>
      <c r="G336">
        <v>429.49700927734398</v>
      </c>
      <c r="H336">
        <v>-0.109548300504684</v>
      </c>
      <c r="I336">
        <v>2.04399514198303</v>
      </c>
      <c r="J336">
        <v>2.04399514198303</v>
      </c>
      <c r="K336">
        <f>VLOOKUP(B336,'FRAME ASSIGNMENTS SUMMARY'!B:D,3,0)</f>
        <v>1.4</v>
      </c>
      <c r="L336">
        <v>13.7334936490539</v>
      </c>
      <c r="M336">
        <v>0.75</v>
      </c>
    </row>
    <row r="337" spans="1:13">
      <c r="A337" t="s">
        <v>68</v>
      </c>
      <c r="B337" t="s">
        <v>68</v>
      </c>
      <c r="C337" t="s">
        <v>34</v>
      </c>
      <c r="D337">
        <v>1.0250000000000099</v>
      </c>
      <c r="E337">
        <v>-21.980323791503899</v>
      </c>
      <c r="F337">
        <v>35.371528625488303</v>
      </c>
      <c r="G337">
        <v>35.371528625488303</v>
      </c>
      <c r="H337">
        <v>-0.109734587371349</v>
      </c>
      <c r="I337">
        <v>7.48950147628784</v>
      </c>
      <c r="J337">
        <v>7.48950147628784</v>
      </c>
      <c r="K337">
        <f>VLOOKUP(B337,'FRAME ASSIGNMENTS SUMMARY'!B:D,3,0)</f>
        <v>1.4</v>
      </c>
      <c r="L337">
        <v>13.7334936490539</v>
      </c>
      <c r="M337">
        <v>0.75</v>
      </c>
    </row>
    <row r="338" spans="1:13">
      <c r="A338" t="s">
        <v>68</v>
      </c>
      <c r="B338" t="s">
        <v>68</v>
      </c>
      <c r="C338" t="s">
        <v>34</v>
      </c>
      <c r="D338">
        <v>1.4</v>
      </c>
      <c r="E338">
        <v>-10.561190605163601</v>
      </c>
      <c r="F338">
        <v>35.371528625488303</v>
      </c>
      <c r="G338">
        <v>35.371528625488303</v>
      </c>
      <c r="H338">
        <v>-0.111266650259495</v>
      </c>
      <c r="I338">
        <v>-5.64426469802856</v>
      </c>
      <c r="J338">
        <v>-5.64426469802856</v>
      </c>
      <c r="K338">
        <f>VLOOKUP(B338,'FRAME ASSIGNMENTS SUMMARY'!B:D,3,0)</f>
        <v>1.4</v>
      </c>
      <c r="L338">
        <v>13.4084936490539</v>
      </c>
      <c r="M338">
        <v>0.75</v>
      </c>
    </row>
    <row r="339" spans="1:13">
      <c r="A339" t="s">
        <v>68</v>
      </c>
      <c r="B339" t="s">
        <v>68</v>
      </c>
      <c r="C339" t="s">
        <v>34</v>
      </c>
      <c r="D339">
        <v>1.4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f>VLOOKUP(B339,'FRAME ASSIGNMENTS SUMMARY'!B:D,3,0)</f>
        <v>1.4</v>
      </c>
      <c r="L339">
        <v>13.4084936490539</v>
      </c>
      <c r="M339">
        <v>0.75</v>
      </c>
    </row>
    <row r="340" spans="1:13">
      <c r="A340" t="s">
        <v>69</v>
      </c>
      <c r="B340" t="s">
        <v>69</v>
      </c>
      <c r="C340" t="s">
        <v>34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f>VLOOKUP(B340,'FRAME ASSIGNMENTS SUMMARY'!B:D,3,0)</f>
        <v>1.4</v>
      </c>
      <c r="L340">
        <v>13.083493649053899</v>
      </c>
      <c r="M340">
        <v>0.75</v>
      </c>
    </row>
    <row r="341" spans="1:13">
      <c r="A341" t="s">
        <v>69</v>
      </c>
      <c r="B341" t="s">
        <v>69</v>
      </c>
      <c r="C341" t="s">
        <v>34</v>
      </c>
      <c r="D341">
        <v>0</v>
      </c>
      <c r="E341">
        <v>212.32896423339801</v>
      </c>
      <c r="F341">
        <v>30.228595733642599</v>
      </c>
      <c r="G341">
        <v>30.228595733642599</v>
      </c>
      <c r="H341">
        <v>8.0435881391167606E-3</v>
      </c>
      <c r="I341">
        <v>-4.9208121299743697</v>
      </c>
      <c r="J341">
        <v>-4.9208121299743697</v>
      </c>
      <c r="K341">
        <f>VLOOKUP(B341,'FRAME ASSIGNMENTS SUMMARY'!B:D,3,0)</f>
        <v>1.4</v>
      </c>
      <c r="L341">
        <v>13.083493649053899</v>
      </c>
      <c r="M341">
        <v>0.75</v>
      </c>
    </row>
    <row r="342" spans="1:13">
      <c r="A342" t="s">
        <v>69</v>
      </c>
      <c r="B342" t="s">
        <v>69</v>
      </c>
      <c r="C342" t="s">
        <v>34</v>
      </c>
      <c r="D342">
        <v>0.37500000000000699</v>
      </c>
      <c r="E342">
        <v>176.125411987305</v>
      </c>
      <c r="F342">
        <v>30.228595733642599</v>
      </c>
      <c r="G342">
        <v>30.228595733642599</v>
      </c>
      <c r="H342">
        <v>-5.71475550532341E-2</v>
      </c>
      <c r="I342">
        <v>-16.144962310791001</v>
      </c>
      <c r="J342">
        <v>-16.144962310791001</v>
      </c>
      <c r="K342">
        <f>VLOOKUP(B342,'FRAME ASSIGNMENTS SUMMARY'!B:D,3,0)</f>
        <v>1.4</v>
      </c>
      <c r="L342">
        <v>12.708493649053899</v>
      </c>
      <c r="M342">
        <v>0.75</v>
      </c>
    </row>
    <row r="343" spans="1:13">
      <c r="A343" t="s">
        <v>69</v>
      </c>
      <c r="B343" t="s">
        <v>69</v>
      </c>
      <c r="C343" t="s">
        <v>34</v>
      </c>
      <c r="D343">
        <v>0.37500000000000699</v>
      </c>
      <c r="E343">
        <v>164.16651916503901</v>
      </c>
      <c r="F343">
        <v>-262.94760131835898</v>
      </c>
      <c r="G343">
        <v>-262.94760131835898</v>
      </c>
      <c r="H343">
        <v>-5.8521468192338902E-2</v>
      </c>
      <c r="I343">
        <v>-24.9632892608643</v>
      </c>
      <c r="J343">
        <v>-24.9632892608643</v>
      </c>
      <c r="K343">
        <f>VLOOKUP(B343,'FRAME ASSIGNMENTS SUMMARY'!B:D,3,0)</f>
        <v>1.4</v>
      </c>
      <c r="L343">
        <v>12.708493649053899</v>
      </c>
      <c r="M343">
        <v>0.75</v>
      </c>
    </row>
    <row r="344" spans="1:13">
      <c r="A344" t="s">
        <v>69</v>
      </c>
      <c r="B344" t="s">
        <v>69</v>
      </c>
      <c r="C344" t="s">
        <v>34</v>
      </c>
      <c r="D344">
        <v>0.70000000000000095</v>
      </c>
      <c r="E344">
        <v>157.82670593261699</v>
      </c>
      <c r="F344">
        <v>-349.80288696289102</v>
      </c>
      <c r="G344">
        <v>-349.80288696289102</v>
      </c>
      <c r="H344">
        <v>-0.121717981994152</v>
      </c>
      <c r="I344">
        <v>46.896892547607401</v>
      </c>
      <c r="J344">
        <v>46.896892547607401</v>
      </c>
      <c r="K344">
        <f>VLOOKUP(B344,'FRAME ASSIGNMENTS SUMMARY'!B:D,3,0)</f>
        <v>1.4</v>
      </c>
      <c r="L344">
        <v>10.0084936490539</v>
      </c>
      <c r="M344">
        <v>0.75</v>
      </c>
    </row>
    <row r="345" spans="1:13">
      <c r="A345" t="s">
        <v>69</v>
      </c>
      <c r="B345" t="s">
        <v>69</v>
      </c>
      <c r="C345" t="s">
        <v>34</v>
      </c>
      <c r="D345">
        <v>0.70000000000000095</v>
      </c>
      <c r="E345">
        <v>158.03028869628901</v>
      </c>
      <c r="F345">
        <v>-349.80288696289102</v>
      </c>
      <c r="G345">
        <v>-349.80288696289102</v>
      </c>
      <c r="H345">
        <v>-0.117413029074669</v>
      </c>
      <c r="I345">
        <v>48.302616119384801</v>
      </c>
      <c r="J345">
        <v>48.302616119384801</v>
      </c>
      <c r="K345">
        <f>VLOOKUP(B345,'FRAME ASSIGNMENTS SUMMARY'!B:D,3,0)</f>
        <v>1.4</v>
      </c>
      <c r="L345">
        <v>10.0084936490539</v>
      </c>
      <c r="M345">
        <v>0.75</v>
      </c>
    </row>
    <row r="346" spans="1:13">
      <c r="A346" t="s">
        <v>69</v>
      </c>
      <c r="B346" t="s">
        <v>69</v>
      </c>
      <c r="C346" t="s">
        <v>34</v>
      </c>
      <c r="D346">
        <v>1.0250000000000099</v>
      </c>
      <c r="E346">
        <v>-31.435420989990199</v>
      </c>
      <c r="F346">
        <v>448.00592041015602</v>
      </c>
      <c r="G346">
        <v>448.00592041015602</v>
      </c>
      <c r="H346">
        <v>9.8715938627719907E-2</v>
      </c>
      <c r="I346">
        <v>2.5844430923461901</v>
      </c>
      <c r="J346">
        <v>2.5844430923461901</v>
      </c>
      <c r="K346">
        <f>VLOOKUP(B346,'FRAME ASSIGNMENTS SUMMARY'!B:D,3,0)</f>
        <v>1.4</v>
      </c>
      <c r="L346">
        <v>9.6334936490538805</v>
      </c>
      <c r="M346">
        <v>0.75</v>
      </c>
    </row>
    <row r="347" spans="1:13">
      <c r="A347" t="s">
        <v>69</v>
      </c>
      <c r="B347" t="s">
        <v>69</v>
      </c>
      <c r="C347" t="s">
        <v>34</v>
      </c>
      <c r="D347">
        <v>1.0250000000000099</v>
      </c>
      <c r="E347">
        <v>-10.525113105773899</v>
      </c>
      <c r="F347">
        <v>37.170066833496101</v>
      </c>
      <c r="G347">
        <v>37.170066833496101</v>
      </c>
      <c r="H347">
        <v>9.8039366304874406E-2</v>
      </c>
      <c r="I347">
        <v>7.9679245948791504</v>
      </c>
      <c r="J347">
        <v>7.9679245948791504</v>
      </c>
      <c r="K347">
        <f>VLOOKUP(B347,'FRAME ASSIGNMENTS SUMMARY'!B:D,3,0)</f>
        <v>1.4</v>
      </c>
      <c r="L347">
        <v>9.6334936490538805</v>
      </c>
      <c r="M347">
        <v>0.75</v>
      </c>
    </row>
    <row r="348" spans="1:13">
      <c r="A348" t="s">
        <v>69</v>
      </c>
      <c r="B348" t="s">
        <v>69</v>
      </c>
      <c r="C348" t="s">
        <v>34</v>
      </c>
      <c r="D348">
        <v>1.4</v>
      </c>
      <c r="E348">
        <v>-5.9834885597229004</v>
      </c>
      <c r="F348">
        <v>37.170066833496101</v>
      </c>
      <c r="G348">
        <v>37.170066833496101</v>
      </c>
      <c r="H348">
        <v>-1.9252747297287001E-2</v>
      </c>
      <c r="I348">
        <v>-5.8336558341979998</v>
      </c>
      <c r="J348">
        <v>-5.8336558341979998</v>
      </c>
      <c r="K348">
        <f>VLOOKUP(B348,'FRAME ASSIGNMENTS SUMMARY'!B:D,3,0)</f>
        <v>1.4</v>
      </c>
      <c r="L348">
        <v>9.3084936490538901</v>
      </c>
      <c r="M348">
        <v>0.75</v>
      </c>
    </row>
    <row r="349" spans="1:13">
      <c r="A349" t="s">
        <v>69</v>
      </c>
      <c r="B349" t="s">
        <v>69</v>
      </c>
      <c r="C349" t="s">
        <v>34</v>
      </c>
      <c r="D349">
        <v>1.4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f>VLOOKUP(B349,'FRAME ASSIGNMENTS SUMMARY'!B:D,3,0)</f>
        <v>1.4</v>
      </c>
      <c r="L349">
        <v>9.3084936490538901</v>
      </c>
      <c r="M349">
        <v>0.75</v>
      </c>
    </row>
    <row r="350" spans="1:13">
      <c r="A350" t="s">
        <v>70</v>
      </c>
      <c r="B350" t="s">
        <v>70</v>
      </c>
      <c r="C350" t="s">
        <v>34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f>VLOOKUP(B350,'FRAME ASSIGNMENTS SUMMARY'!B:D,3,0)</f>
        <v>1.4</v>
      </c>
      <c r="L350">
        <v>8.9834936490538801</v>
      </c>
      <c r="M350">
        <v>0.75</v>
      </c>
    </row>
    <row r="351" spans="1:13">
      <c r="A351" t="s">
        <v>70</v>
      </c>
      <c r="B351" t="s">
        <v>70</v>
      </c>
      <c r="C351" t="s">
        <v>34</v>
      </c>
      <c r="D351">
        <v>0</v>
      </c>
      <c r="E351">
        <v>286.32424926757801</v>
      </c>
      <c r="F351">
        <v>33.399032592773402</v>
      </c>
      <c r="G351">
        <v>33.399032592773402</v>
      </c>
      <c r="H351">
        <v>9.1717973351478604E-2</v>
      </c>
      <c r="I351">
        <v>-12.4802408218384</v>
      </c>
      <c r="J351">
        <v>-12.4802408218384</v>
      </c>
      <c r="K351">
        <f>VLOOKUP(B351,'FRAME ASSIGNMENTS SUMMARY'!B:D,3,0)</f>
        <v>1.4</v>
      </c>
      <c r="L351">
        <v>8.9834936490538801</v>
      </c>
      <c r="M351">
        <v>0.75</v>
      </c>
    </row>
    <row r="352" spans="1:13">
      <c r="A352" t="s">
        <v>70</v>
      </c>
      <c r="B352" t="s">
        <v>70</v>
      </c>
      <c r="C352" t="s">
        <v>34</v>
      </c>
      <c r="D352">
        <v>0.37500000000000699</v>
      </c>
      <c r="E352">
        <v>237.58917236328099</v>
      </c>
      <c r="F352">
        <v>33.399032592773402</v>
      </c>
      <c r="G352">
        <v>33.399032592773402</v>
      </c>
      <c r="H352">
        <v>1.3397104106843499E-2</v>
      </c>
      <c r="I352">
        <v>-24.8816013336182</v>
      </c>
      <c r="J352">
        <v>-24.8816013336182</v>
      </c>
      <c r="K352">
        <f>VLOOKUP(B352,'FRAME ASSIGNMENTS SUMMARY'!B:D,3,0)</f>
        <v>1.4</v>
      </c>
      <c r="L352">
        <v>8.6084936490538908</v>
      </c>
      <c r="M352">
        <v>0.75</v>
      </c>
    </row>
    <row r="353" spans="1:13">
      <c r="A353" t="s">
        <v>70</v>
      </c>
      <c r="B353" t="s">
        <v>70</v>
      </c>
      <c r="C353" t="s">
        <v>34</v>
      </c>
      <c r="D353">
        <v>0.37500000000000699</v>
      </c>
      <c r="E353">
        <v>226.29624938964801</v>
      </c>
      <c r="F353">
        <v>-229.77871704101599</v>
      </c>
      <c r="G353">
        <v>-229.77871704101599</v>
      </c>
      <c r="H353">
        <v>1.20237451046705E-2</v>
      </c>
      <c r="I353">
        <v>-29.533596038818398</v>
      </c>
      <c r="J353">
        <v>-29.533596038818398</v>
      </c>
      <c r="K353">
        <f>VLOOKUP(B353,'FRAME ASSIGNMENTS SUMMARY'!B:D,3,0)</f>
        <v>1.4</v>
      </c>
      <c r="L353">
        <v>8.6084936490538908</v>
      </c>
      <c r="M353">
        <v>0.75</v>
      </c>
    </row>
    <row r="354" spans="1:13">
      <c r="A354" t="s">
        <v>70</v>
      </c>
      <c r="B354" t="s">
        <v>70</v>
      </c>
      <c r="C354" t="s">
        <v>34</v>
      </c>
      <c r="D354">
        <v>0.70000000000000095</v>
      </c>
      <c r="E354">
        <v>224.79244995117199</v>
      </c>
      <c r="F354">
        <v>-299.31896972656301</v>
      </c>
      <c r="G354">
        <v>-299.31896972656301</v>
      </c>
      <c r="H354">
        <v>-0.111663691699505</v>
      </c>
      <c r="I354">
        <v>30.0352382659912</v>
      </c>
      <c r="J354">
        <v>30.0352382659912</v>
      </c>
      <c r="K354">
        <f>VLOOKUP(B354,'FRAME ASSIGNMENTS SUMMARY'!B:D,3,0)</f>
        <v>1.4</v>
      </c>
      <c r="L354">
        <v>10.0084936490539</v>
      </c>
      <c r="M354">
        <v>0.75</v>
      </c>
    </row>
    <row r="355" spans="1:13">
      <c r="A355" t="s">
        <v>70</v>
      </c>
      <c r="B355" t="s">
        <v>70</v>
      </c>
      <c r="C355" t="s">
        <v>34</v>
      </c>
      <c r="D355">
        <v>0.70000000000000095</v>
      </c>
      <c r="E355">
        <v>224.97381591796901</v>
      </c>
      <c r="F355">
        <v>-299.31896972656301</v>
      </c>
      <c r="G355">
        <v>-299.31896972656301</v>
      </c>
      <c r="H355">
        <v>-0.114399284124374</v>
      </c>
      <c r="I355">
        <v>31.238084793090799</v>
      </c>
      <c r="J355">
        <v>31.238084793090799</v>
      </c>
      <c r="K355">
        <f>VLOOKUP(B355,'FRAME ASSIGNMENTS SUMMARY'!B:D,3,0)</f>
        <v>1.4</v>
      </c>
      <c r="L355">
        <v>10.0084936490539</v>
      </c>
      <c r="M355">
        <v>0.75</v>
      </c>
    </row>
    <row r="356" spans="1:13">
      <c r="A356" t="s">
        <v>70</v>
      </c>
      <c r="B356" t="s">
        <v>70</v>
      </c>
      <c r="C356" t="s">
        <v>34</v>
      </c>
      <c r="D356">
        <v>1.0250000000000099</v>
      </c>
      <c r="E356">
        <v>-62.843509674072301</v>
      </c>
      <c r="F356">
        <v>390.06558227539102</v>
      </c>
      <c r="G356">
        <v>390.06558227539102</v>
      </c>
      <c r="H356">
        <v>-0.151590585708618</v>
      </c>
      <c r="I356">
        <v>3.21735763549805</v>
      </c>
      <c r="J356">
        <v>3.21735763549805</v>
      </c>
      <c r="K356">
        <f>VLOOKUP(B356,'FRAME ASSIGNMENTS SUMMARY'!B:D,3,0)</f>
        <v>1.4</v>
      </c>
      <c r="L356">
        <v>9.6334936490538805</v>
      </c>
      <c r="M356">
        <v>0.75</v>
      </c>
    </row>
    <row r="357" spans="1:13">
      <c r="A357" t="s">
        <v>70</v>
      </c>
      <c r="B357" t="s">
        <v>70</v>
      </c>
      <c r="C357" t="s">
        <v>34</v>
      </c>
      <c r="D357">
        <v>1.0250000000000099</v>
      </c>
      <c r="E357">
        <v>-28.536252975463899</v>
      </c>
      <c r="F357">
        <v>30.734849929809599</v>
      </c>
      <c r="G357">
        <v>30.734849929809599</v>
      </c>
      <c r="H357">
        <v>-0.151073858141899</v>
      </c>
      <c r="I357">
        <v>6.4177227020263699</v>
      </c>
      <c r="J357">
        <v>6.4177227020263699</v>
      </c>
      <c r="K357">
        <f>VLOOKUP(B357,'FRAME ASSIGNMENTS SUMMARY'!B:D,3,0)</f>
        <v>1.4</v>
      </c>
      <c r="L357">
        <v>9.6334936490538805</v>
      </c>
      <c r="M357">
        <v>0.75</v>
      </c>
    </row>
    <row r="358" spans="1:13">
      <c r="A358" t="s">
        <v>70</v>
      </c>
      <c r="B358" t="s">
        <v>70</v>
      </c>
      <c r="C358" t="s">
        <v>34</v>
      </c>
      <c r="D358">
        <v>1.4</v>
      </c>
      <c r="E358">
        <v>-17.515661239623999</v>
      </c>
      <c r="F358">
        <v>30.734849929809599</v>
      </c>
      <c r="G358">
        <v>30.734849929809599</v>
      </c>
      <c r="H358">
        <v>-4.6310476958751699E-2</v>
      </c>
      <c r="I358">
        <v>-4.9944038391113299</v>
      </c>
      <c r="J358">
        <v>-4.9944038391113299</v>
      </c>
      <c r="K358">
        <f>VLOOKUP(B358,'FRAME ASSIGNMENTS SUMMARY'!B:D,3,0)</f>
        <v>1.4</v>
      </c>
      <c r="L358">
        <v>9.3084936490538901</v>
      </c>
      <c r="M358">
        <v>0.75</v>
      </c>
    </row>
    <row r="359" spans="1:13">
      <c r="A359" t="s">
        <v>70</v>
      </c>
      <c r="B359" t="s">
        <v>70</v>
      </c>
      <c r="C359" t="s">
        <v>34</v>
      </c>
      <c r="D359">
        <v>1.4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f>VLOOKUP(B359,'FRAME ASSIGNMENTS SUMMARY'!B:D,3,0)</f>
        <v>1.4</v>
      </c>
      <c r="L359">
        <v>9.3084936490538901</v>
      </c>
      <c r="M359">
        <v>0.75</v>
      </c>
    </row>
    <row r="360" spans="1:13">
      <c r="A360" t="s">
        <v>71</v>
      </c>
      <c r="B360" t="s">
        <v>71</v>
      </c>
      <c r="C360" t="s">
        <v>34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f>VLOOKUP(B360,'FRAME ASSIGNMENTS SUMMARY'!B:D,3,0)</f>
        <v>0.75</v>
      </c>
      <c r="L360">
        <v>8.9834936490538801</v>
      </c>
      <c r="M360">
        <v>0.75</v>
      </c>
    </row>
    <row r="361" spans="1:13">
      <c r="A361" t="s">
        <v>71</v>
      </c>
      <c r="B361" t="s">
        <v>71</v>
      </c>
      <c r="C361" t="s">
        <v>34</v>
      </c>
      <c r="D361">
        <v>0</v>
      </c>
      <c r="E361">
        <v>84.618347167968807</v>
      </c>
      <c r="F361">
        <v>18.9578742980957</v>
      </c>
      <c r="G361">
        <v>18.9578742980957</v>
      </c>
      <c r="H361">
        <v>0.60772317647934004</v>
      </c>
      <c r="I361">
        <v>-17.784063339233398</v>
      </c>
      <c r="J361">
        <v>-17.784063339233398</v>
      </c>
      <c r="K361">
        <f>VLOOKUP(B361,'FRAME ASSIGNMENTS SUMMARY'!B:D,3,0)</f>
        <v>0.75</v>
      </c>
      <c r="L361">
        <v>8.9834936490538801</v>
      </c>
      <c r="M361">
        <v>0.75</v>
      </c>
    </row>
    <row r="362" spans="1:13">
      <c r="A362" t="s">
        <v>71</v>
      </c>
      <c r="B362" t="s">
        <v>71</v>
      </c>
      <c r="C362" t="s">
        <v>34</v>
      </c>
      <c r="D362">
        <v>0.375000000000065</v>
      </c>
      <c r="E362">
        <v>134.75074768066401</v>
      </c>
      <c r="F362">
        <v>18.9578742980957</v>
      </c>
      <c r="G362">
        <v>18.9578742980957</v>
      </c>
      <c r="H362">
        <v>2.3783035278320299</v>
      </c>
      <c r="I362">
        <v>-24.8232936859131</v>
      </c>
      <c r="J362">
        <v>-24.8232936859131</v>
      </c>
      <c r="K362">
        <f>VLOOKUP(B362,'FRAME ASSIGNMENTS SUMMARY'!B:D,3,0)</f>
        <v>0.75</v>
      </c>
      <c r="L362">
        <v>8.6084936490538908</v>
      </c>
      <c r="M362">
        <v>0.75</v>
      </c>
    </row>
    <row r="363" spans="1:13">
      <c r="A363" t="s">
        <v>71</v>
      </c>
      <c r="B363" t="s">
        <v>71</v>
      </c>
      <c r="C363" t="s">
        <v>34</v>
      </c>
      <c r="D363">
        <v>0.375000000000065</v>
      </c>
      <c r="E363">
        <v>-2.9201622009277299</v>
      </c>
      <c r="F363">
        <v>-5.8318724632263201</v>
      </c>
      <c r="G363">
        <v>-5.8318724632263201</v>
      </c>
      <c r="H363">
        <v>2.37851858139038</v>
      </c>
      <c r="I363">
        <v>-2.1761894226074201</v>
      </c>
      <c r="J363">
        <v>-2.1761894226074201</v>
      </c>
      <c r="K363">
        <f>VLOOKUP(B363,'FRAME ASSIGNMENTS SUMMARY'!B:D,3,0)</f>
        <v>0.75</v>
      </c>
      <c r="L363">
        <v>8.6084936490538908</v>
      </c>
      <c r="M363">
        <v>0.75</v>
      </c>
    </row>
    <row r="364" spans="1:13">
      <c r="A364" t="s">
        <v>71</v>
      </c>
      <c r="B364" t="s">
        <v>71</v>
      </c>
      <c r="C364" t="s">
        <v>34</v>
      </c>
      <c r="D364">
        <v>0.75</v>
      </c>
      <c r="E364">
        <v>2.9201622009277299</v>
      </c>
      <c r="F364">
        <v>-5.8318724632263201</v>
      </c>
      <c r="G364">
        <v>-5.8318724632263201</v>
      </c>
      <c r="H364">
        <v>1.5147168636321999</v>
      </c>
      <c r="I364">
        <v>-1.0762760415673299E-2</v>
      </c>
      <c r="J364">
        <v>-1.0762760415673299E-2</v>
      </c>
      <c r="K364">
        <f>VLOOKUP(B364,'FRAME ASSIGNMENTS SUMMARY'!B:D,3,0)</f>
        <v>0.75</v>
      </c>
      <c r="L364">
        <v>7.4084936490538897</v>
      </c>
      <c r="M364">
        <v>0.75</v>
      </c>
    </row>
    <row r="365" spans="1:13">
      <c r="A365" t="s">
        <v>71</v>
      </c>
      <c r="B365" t="s">
        <v>71</v>
      </c>
      <c r="C365" t="s">
        <v>34</v>
      </c>
      <c r="D365">
        <v>0.75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f>VLOOKUP(B365,'FRAME ASSIGNMENTS SUMMARY'!B:D,3,0)</f>
        <v>0.75</v>
      </c>
      <c r="L365">
        <v>7.4084936490538897</v>
      </c>
      <c r="M365">
        <v>0.75</v>
      </c>
    </row>
    <row r="366" spans="1:13">
      <c r="A366" t="s">
        <v>72</v>
      </c>
      <c r="B366" t="s">
        <v>72</v>
      </c>
      <c r="C366" t="s">
        <v>34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f>VLOOKUP(B366,'FRAME ASSIGNMENTS SUMMARY'!B:D,3,0)</f>
        <v>0.75</v>
      </c>
      <c r="L366">
        <v>7.03349364905388</v>
      </c>
      <c r="M366">
        <v>0.75</v>
      </c>
    </row>
    <row r="367" spans="1:13">
      <c r="A367" t="s">
        <v>72</v>
      </c>
      <c r="B367" t="s">
        <v>72</v>
      </c>
      <c r="C367" t="s">
        <v>34</v>
      </c>
      <c r="D367">
        <v>0</v>
      </c>
      <c r="E367">
        <v>15.8355560302734</v>
      </c>
      <c r="F367">
        <v>5.3040633201599103</v>
      </c>
      <c r="G367">
        <v>5.3040633201599103</v>
      </c>
      <c r="H367">
        <v>-0.36762091517448398</v>
      </c>
      <c r="I367">
        <v>22.141355514526399</v>
      </c>
      <c r="J367">
        <v>22.141355514526399</v>
      </c>
      <c r="K367">
        <f>VLOOKUP(B367,'FRAME ASSIGNMENTS SUMMARY'!B:D,3,0)</f>
        <v>0.75</v>
      </c>
      <c r="L367">
        <v>7.03349364905388</v>
      </c>
      <c r="M367">
        <v>0.75</v>
      </c>
    </row>
    <row r="368" spans="1:13">
      <c r="A368" t="s">
        <v>72</v>
      </c>
      <c r="B368" t="s">
        <v>72</v>
      </c>
      <c r="C368" t="s">
        <v>34</v>
      </c>
      <c r="D368">
        <v>0.375</v>
      </c>
      <c r="E368">
        <v>40.900501251220703</v>
      </c>
      <c r="F368">
        <v>5.3040633201599103</v>
      </c>
      <c r="G368">
        <v>5.3040633201599103</v>
      </c>
      <c r="H368">
        <v>-0.22930234670638999</v>
      </c>
      <c r="I368">
        <v>20.171909332275401</v>
      </c>
      <c r="J368">
        <v>20.171909332275401</v>
      </c>
      <c r="K368">
        <f>VLOOKUP(B368,'FRAME ASSIGNMENTS SUMMARY'!B:D,3,0)</f>
        <v>0.75</v>
      </c>
      <c r="L368">
        <v>6.7084936490538896</v>
      </c>
      <c r="M368">
        <v>0.75</v>
      </c>
    </row>
    <row r="369" spans="1:13">
      <c r="A369" t="s">
        <v>72</v>
      </c>
      <c r="B369" t="s">
        <v>72</v>
      </c>
      <c r="C369" t="s">
        <v>34</v>
      </c>
      <c r="D369">
        <v>0.375</v>
      </c>
      <c r="E369">
        <v>64.486923217773395</v>
      </c>
      <c r="F369">
        <v>-4.0704255104064897</v>
      </c>
      <c r="G369">
        <v>-4.0704255104064897</v>
      </c>
      <c r="H369">
        <v>-0.232394725084305</v>
      </c>
      <c r="I369">
        <v>20.388023376464801</v>
      </c>
      <c r="J369">
        <v>20.388023376464801</v>
      </c>
      <c r="K369">
        <f>VLOOKUP(B369,'FRAME ASSIGNMENTS SUMMARY'!B:D,3,0)</f>
        <v>0.75</v>
      </c>
      <c r="L369">
        <v>6.7084936490538896</v>
      </c>
      <c r="M369">
        <v>0.75</v>
      </c>
    </row>
    <row r="370" spans="1:13">
      <c r="A370" t="s">
        <v>72</v>
      </c>
      <c r="B370" t="s">
        <v>72</v>
      </c>
      <c r="C370" t="s">
        <v>34</v>
      </c>
      <c r="D370">
        <v>0.75</v>
      </c>
      <c r="E370">
        <v>49.096046447753899</v>
      </c>
      <c r="F370">
        <v>-4.0704255104064897</v>
      </c>
      <c r="G370">
        <v>-4.0704255104064897</v>
      </c>
      <c r="H370">
        <v>2.24804189056158E-2</v>
      </c>
      <c r="I370">
        <v>21.899410247802699</v>
      </c>
      <c r="J370">
        <v>21.899410247802699</v>
      </c>
      <c r="K370">
        <f>VLOOKUP(B370,'FRAME ASSIGNMENTS SUMMARY'!B:D,3,0)</f>
        <v>0.75</v>
      </c>
      <c r="L370">
        <v>6.3834936490538796</v>
      </c>
      <c r="M370">
        <v>0.75</v>
      </c>
    </row>
    <row r="371" spans="1:13">
      <c r="A371" t="s">
        <v>72</v>
      </c>
      <c r="B371" t="s">
        <v>72</v>
      </c>
      <c r="C371" t="s">
        <v>34</v>
      </c>
      <c r="D371">
        <v>0.75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f>VLOOKUP(B371,'FRAME ASSIGNMENTS SUMMARY'!B:D,3,0)</f>
        <v>0.75</v>
      </c>
      <c r="L371">
        <v>6.3834936490538796</v>
      </c>
      <c r="M371">
        <v>0.75</v>
      </c>
    </row>
    <row r="372" spans="1:13">
      <c r="A372" t="s">
        <v>73</v>
      </c>
      <c r="B372" t="s">
        <v>73</v>
      </c>
      <c r="C372" t="s">
        <v>34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f>VLOOKUP(B372,'FRAME ASSIGNMENTS SUMMARY'!B:D,3,0)</f>
        <v>1.5</v>
      </c>
      <c r="L372">
        <v>6.0084936490538903</v>
      </c>
      <c r="M372">
        <v>0.75</v>
      </c>
    </row>
    <row r="373" spans="1:13">
      <c r="A373" t="s">
        <v>73</v>
      </c>
      <c r="B373" t="s">
        <v>73</v>
      </c>
      <c r="C373" t="s">
        <v>34</v>
      </c>
      <c r="D373">
        <v>0</v>
      </c>
      <c r="E373">
        <v>157.228103637695</v>
      </c>
      <c r="F373">
        <v>17.295742034912099</v>
      </c>
      <c r="G373">
        <v>17.295742034912099</v>
      </c>
      <c r="H373">
        <v>-4.92024123668671E-2</v>
      </c>
      <c r="I373">
        <v>-5.3672924041748002</v>
      </c>
      <c r="J373">
        <v>-5.3672924041748002</v>
      </c>
      <c r="K373">
        <f>VLOOKUP(B373,'FRAME ASSIGNMENTS SUMMARY'!B:D,3,0)</f>
        <v>1.5</v>
      </c>
      <c r="L373">
        <v>6.0084936490538903</v>
      </c>
      <c r="M373">
        <v>0.75</v>
      </c>
    </row>
    <row r="374" spans="1:13">
      <c r="A374" t="s">
        <v>73</v>
      </c>
      <c r="B374" t="s">
        <v>73</v>
      </c>
      <c r="C374" t="s">
        <v>34</v>
      </c>
      <c r="D374">
        <v>0.37499999999999201</v>
      </c>
      <c r="E374">
        <v>156.75151062011699</v>
      </c>
      <c r="F374">
        <v>17.295742034912099</v>
      </c>
      <c r="G374">
        <v>17.295742034912099</v>
      </c>
      <c r="H374">
        <v>5.0239864736795398E-2</v>
      </c>
      <c r="I374">
        <v>-11.7893571853638</v>
      </c>
      <c r="J374">
        <v>-11.7893571853638</v>
      </c>
      <c r="K374">
        <f>VLOOKUP(B374,'FRAME ASSIGNMENTS SUMMARY'!B:D,3,0)</f>
        <v>1.5</v>
      </c>
      <c r="L374">
        <v>0.80849364905389198</v>
      </c>
      <c r="M374">
        <v>0.75</v>
      </c>
    </row>
    <row r="375" spans="1:13">
      <c r="A375" t="s">
        <v>73</v>
      </c>
      <c r="B375" t="s">
        <v>73</v>
      </c>
      <c r="C375" t="s">
        <v>34</v>
      </c>
      <c r="D375">
        <v>0.37499999999999201</v>
      </c>
      <c r="E375">
        <v>151.23074340820301</v>
      </c>
      <c r="F375">
        <v>-459.39974975585898</v>
      </c>
      <c r="G375">
        <v>-459.39974975585898</v>
      </c>
      <c r="H375">
        <v>5.4172668606042897E-2</v>
      </c>
      <c r="I375">
        <v>-10.973451614379901</v>
      </c>
      <c r="J375">
        <v>-10.973451614379901</v>
      </c>
      <c r="K375">
        <f>VLOOKUP(B375,'FRAME ASSIGNMENTS SUMMARY'!B:D,3,0)</f>
        <v>1.5</v>
      </c>
      <c r="L375">
        <v>0.80849364905389198</v>
      </c>
      <c r="M375">
        <v>0.75</v>
      </c>
    </row>
    <row r="376" spans="1:13">
      <c r="A376" t="s">
        <v>73</v>
      </c>
      <c r="B376" t="s">
        <v>73</v>
      </c>
      <c r="C376" t="s">
        <v>34</v>
      </c>
      <c r="D376">
        <v>0.749999999999995</v>
      </c>
      <c r="E376">
        <v>161.93835449218801</v>
      </c>
      <c r="F376">
        <v>-459.39974975585898</v>
      </c>
      <c r="G376">
        <v>-459.39974975585898</v>
      </c>
      <c r="H376">
        <v>0.17350073158741</v>
      </c>
      <c r="I376">
        <v>159.60580444335901</v>
      </c>
      <c r="J376">
        <v>159.60580444335901</v>
      </c>
      <c r="K376">
        <f>VLOOKUP(B376,'FRAME ASSIGNMENTS SUMMARY'!B:D,3,0)</f>
        <v>1.5</v>
      </c>
      <c r="L376">
        <v>0.43349364905388399</v>
      </c>
      <c r="M376">
        <v>0.75</v>
      </c>
    </row>
    <row r="377" spans="1:13">
      <c r="A377" t="s">
        <v>73</v>
      </c>
      <c r="B377" t="s">
        <v>73</v>
      </c>
      <c r="C377" t="s">
        <v>34</v>
      </c>
      <c r="D377">
        <v>0.749999999999995</v>
      </c>
      <c r="E377">
        <v>20.099164962768601</v>
      </c>
      <c r="F377">
        <v>466.34515380859398</v>
      </c>
      <c r="G377">
        <v>466.34515380859398</v>
      </c>
      <c r="H377">
        <v>0.16380345821380601</v>
      </c>
      <c r="I377">
        <v>181.54824829101599</v>
      </c>
      <c r="J377">
        <v>181.54824829101599</v>
      </c>
      <c r="K377">
        <f>VLOOKUP(B377,'FRAME ASSIGNMENTS SUMMARY'!B:D,3,0)</f>
        <v>1.5</v>
      </c>
      <c r="L377">
        <v>0.43349364905388399</v>
      </c>
      <c r="M377">
        <v>0.75</v>
      </c>
    </row>
    <row r="378" spans="1:13">
      <c r="A378" t="s">
        <v>73</v>
      </c>
      <c r="B378" t="s">
        <v>73</v>
      </c>
      <c r="C378" t="s">
        <v>34</v>
      </c>
      <c r="D378">
        <v>1.12499999999999</v>
      </c>
      <c r="E378">
        <v>4.8248472213745099</v>
      </c>
      <c r="F378">
        <v>466.34515380859398</v>
      </c>
      <c r="G378">
        <v>466.34515380859398</v>
      </c>
      <c r="H378">
        <v>2.61430125683546E-2</v>
      </c>
      <c r="I378">
        <v>8.3900947570800799</v>
      </c>
      <c r="J378">
        <v>8.3900947570800799</v>
      </c>
      <c r="K378">
        <f>VLOOKUP(B378,'FRAME ASSIGNMENTS SUMMARY'!B:D,3,0)</f>
        <v>1.5</v>
      </c>
      <c r="L378">
        <v>0.10849364905389</v>
      </c>
      <c r="M378">
        <v>0.75</v>
      </c>
    </row>
    <row r="379" spans="1:13">
      <c r="A379" t="s">
        <v>73</v>
      </c>
      <c r="B379" t="s">
        <v>73</v>
      </c>
      <c r="C379" t="s">
        <v>34</v>
      </c>
      <c r="D379">
        <v>1.12499999999999</v>
      </c>
      <c r="E379">
        <v>5.7653331756591797</v>
      </c>
      <c r="F379">
        <v>-0.82070547342300404</v>
      </c>
      <c r="G379">
        <v>-0.82070547342300404</v>
      </c>
      <c r="H379">
        <v>2.88213714957237E-2</v>
      </c>
      <c r="I379">
        <v>7.53096675872803</v>
      </c>
      <c r="J379">
        <v>7.53096675872803</v>
      </c>
      <c r="K379">
        <f>VLOOKUP(B379,'FRAME ASSIGNMENTS SUMMARY'!B:D,3,0)</f>
        <v>1.5</v>
      </c>
      <c r="L379">
        <v>0.10849364905389</v>
      </c>
      <c r="M379">
        <v>0.75</v>
      </c>
    </row>
    <row r="380" spans="1:13">
      <c r="A380" t="s">
        <v>73</v>
      </c>
      <c r="B380" t="s">
        <v>73</v>
      </c>
      <c r="C380" t="s">
        <v>34</v>
      </c>
      <c r="D380">
        <v>1.5</v>
      </c>
      <c r="E380">
        <v>18.368089675903299</v>
      </c>
      <c r="F380">
        <v>-0.82070547342300404</v>
      </c>
      <c r="G380">
        <v>-0.82070547342300404</v>
      </c>
      <c r="H380">
        <v>0.110258959233761</v>
      </c>
      <c r="I380">
        <v>7.8357019424438503</v>
      </c>
      <c r="J380">
        <v>7.8357019424438503</v>
      </c>
      <c r="K380">
        <f>VLOOKUP(B380,'FRAME ASSIGNMENTS SUMMARY'!B:D,3,0)</f>
        <v>1.5</v>
      </c>
      <c r="L380">
        <v>-0.216506350946117</v>
      </c>
      <c r="M380">
        <v>0.75</v>
      </c>
    </row>
    <row r="381" spans="1:13">
      <c r="A381" t="s">
        <v>73</v>
      </c>
      <c r="B381" t="s">
        <v>73</v>
      </c>
      <c r="C381" t="s">
        <v>34</v>
      </c>
      <c r="D381">
        <v>1.5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f>VLOOKUP(B381,'FRAME ASSIGNMENTS SUMMARY'!B:D,3,0)</f>
        <v>1.5</v>
      </c>
      <c r="L381">
        <v>-0.216506350946117</v>
      </c>
      <c r="M381">
        <v>0.75</v>
      </c>
    </row>
    <row r="382" spans="1:13">
      <c r="A382" t="s">
        <v>74</v>
      </c>
      <c r="B382" t="s">
        <v>74</v>
      </c>
      <c r="C382" t="s">
        <v>34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f>VLOOKUP(B382,'FRAME ASSIGNMENTS SUMMARY'!B:D,3,0)</f>
        <v>1.5</v>
      </c>
      <c r="L382">
        <v>-0.59150635094611004</v>
      </c>
      <c r="M382">
        <v>0.75</v>
      </c>
    </row>
    <row r="383" spans="1:13">
      <c r="A383" t="s">
        <v>74</v>
      </c>
      <c r="B383" t="s">
        <v>74</v>
      </c>
      <c r="C383" t="s">
        <v>34</v>
      </c>
      <c r="D383">
        <v>0</v>
      </c>
      <c r="E383">
        <v>185.20619201660199</v>
      </c>
      <c r="F383">
        <v>19.300514221191399</v>
      </c>
      <c r="G383">
        <v>19.300514221191399</v>
      </c>
      <c r="H383">
        <v>0.22560590505600001</v>
      </c>
      <c r="I383">
        <v>-16.3861293792725</v>
      </c>
      <c r="J383">
        <v>-16.3861293792725</v>
      </c>
      <c r="K383">
        <f>VLOOKUP(B383,'FRAME ASSIGNMENTS SUMMARY'!B:D,3,0)</f>
        <v>1.5</v>
      </c>
      <c r="L383">
        <v>-0.59150635094611004</v>
      </c>
      <c r="M383">
        <v>0.75</v>
      </c>
    </row>
    <row r="384" spans="1:13">
      <c r="A384" t="s">
        <v>74</v>
      </c>
      <c r="B384" t="s">
        <v>74</v>
      </c>
      <c r="C384" t="s">
        <v>34</v>
      </c>
      <c r="D384">
        <v>0.37499999999999301</v>
      </c>
      <c r="E384">
        <v>175.96391296386699</v>
      </c>
      <c r="F384">
        <v>19.300514221191399</v>
      </c>
      <c r="G384">
        <v>19.300514221191399</v>
      </c>
      <c r="H384">
        <v>-0.91699856519699097</v>
      </c>
      <c r="I384">
        <v>-23.552583694458001</v>
      </c>
      <c r="J384">
        <v>-23.552583694458001</v>
      </c>
      <c r="K384">
        <f>VLOOKUP(B384,'FRAME ASSIGNMENTS SUMMARY'!B:D,3,0)</f>
        <v>1.5</v>
      </c>
      <c r="L384">
        <v>0.80849364905389098</v>
      </c>
      <c r="M384">
        <v>0.75</v>
      </c>
    </row>
    <row r="385" spans="1:13">
      <c r="A385" t="s">
        <v>74</v>
      </c>
      <c r="B385" t="s">
        <v>74</v>
      </c>
      <c r="C385" t="s">
        <v>34</v>
      </c>
      <c r="D385">
        <v>0.37499999999999301</v>
      </c>
      <c r="E385">
        <v>170.41981506347699</v>
      </c>
      <c r="F385">
        <v>-461.77688598632801</v>
      </c>
      <c r="G385">
        <v>-461.77688598632801</v>
      </c>
      <c r="H385">
        <v>-0.92108380794525102</v>
      </c>
      <c r="I385">
        <v>-22.735990524291999</v>
      </c>
      <c r="J385">
        <v>-22.735990524291999</v>
      </c>
      <c r="K385">
        <f>VLOOKUP(B385,'FRAME ASSIGNMENTS SUMMARY'!B:D,3,0)</f>
        <v>1.5</v>
      </c>
      <c r="L385">
        <v>0.80849364905389098</v>
      </c>
      <c r="M385">
        <v>0.75</v>
      </c>
    </row>
    <row r="386" spans="1:13">
      <c r="A386" t="s">
        <v>74</v>
      </c>
      <c r="B386" t="s">
        <v>74</v>
      </c>
      <c r="C386" t="s">
        <v>34</v>
      </c>
      <c r="D386">
        <v>0.75</v>
      </c>
      <c r="E386">
        <v>190.20112609863301</v>
      </c>
      <c r="F386">
        <v>-461.77688598632801</v>
      </c>
      <c r="G386">
        <v>-461.77688598632801</v>
      </c>
      <c r="H386">
        <v>0.60173207521438599</v>
      </c>
      <c r="I386">
        <v>148.72590637207</v>
      </c>
      <c r="J386">
        <v>148.72590637207</v>
      </c>
      <c r="K386">
        <f>VLOOKUP(B386,'FRAME ASSIGNMENTS SUMMARY'!B:D,3,0)</f>
        <v>1.5</v>
      </c>
      <c r="L386">
        <v>0.43349364905388399</v>
      </c>
      <c r="M386">
        <v>0.75</v>
      </c>
    </row>
    <row r="387" spans="1:13">
      <c r="A387" t="s">
        <v>74</v>
      </c>
      <c r="B387" t="s">
        <v>74</v>
      </c>
      <c r="C387" t="s">
        <v>34</v>
      </c>
      <c r="D387">
        <v>0.75</v>
      </c>
      <c r="E387">
        <v>43.068359375</v>
      </c>
      <c r="F387">
        <v>461.239990234375</v>
      </c>
      <c r="G387">
        <v>461.239990234375</v>
      </c>
      <c r="H387">
        <v>0.63373321294784501</v>
      </c>
      <c r="I387">
        <v>168.81266784668</v>
      </c>
      <c r="J387">
        <v>168.81266784668</v>
      </c>
      <c r="K387">
        <f>VLOOKUP(B387,'FRAME ASSIGNMENTS SUMMARY'!B:D,3,0)</f>
        <v>1.5</v>
      </c>
      <c r="L387">
        <v>0.43349364905388399</v>
      </c>
      <c r="M387">
        <v>0.75</v>
      </c>
    </row>
    <row r="388" spans="1:13">
      <c r="A388" t="s">
        <v>74</v>
      </c>
      <c r="B388" t="s">
        <v>74</v>
      </c>
      <c r="C388" t="s">
        <v>34</v>
      </c>
      <c r="D388">
        <v>1.12499999999999</v>
      </c>
      <c r="E388">
        <v>30.739810943603501</v>
      </c>
      <c r="F388">
        <v>461.239990234375</v>
      </c>
      <c r="G388">
        <v>461.239990234375</v>
      </c>
      <c r="H388">
        <v>1.4238053560257</v>
      </c>
      <c r="I388">
        <v>-2.44988918304443</v>
      </c>
      <c r="J388">
        <v>-2.44988918304443</v>
      </c>
      <c r="K388">
        <f>VLOOKUP(B388,'FRAME ASSIGNMENTS SUMMARY'!B:D,3,0)</f>
        <v>1.5</v>
      </c>
      <c r="L388">
        <v>0.10849364905389</v>
      </c>
      <c r="M388">
        <v>0.75</v>
      </c>
    </row>
    <row r="389" spans="1:13">
      <c r="A389" t="s">
        <v>74</v>
      </c>
      <c r="B389" t="s">
        <v>74</v>
      </c>
      <c r="C389" t="s">
        <v>34</v>
      </c>
      <c r="D389">
        <v>1.12499999999999</v>
      </c>
      <c r="E389">
        <v>32.701675415039098</v>
      </c>
      <c r="F389">
        <v>-14.447848320007299</v>
      </c>
      <c r="G389">
        <v>-14.447848320007299</v>
      </c>
      <c r="H389">
        <v>1.41608345508575</v>
      </c>
      <c r="I389">
        <v>-3.2744472026825</v>
      </c>
      <c r="J389">
        <v>-3.2744472026825</v>
      </c>
      <c r="K389">
        <f>VLOOKUP(B389,'FRAME ASSIGNMENTS SUMMARY'!B:D,3,0)</f>
        <v>1.5</v>
      </c>
      <c r="L389">
        <v>0.10849364905389</v>
      </c>
      <c r="M389">
        <v>0.75</v>
      </c>
    </row>
    <row r="390" spans="1:13">
      <c r="A390" t="s">
        <v>74</v>
      </c>
      <c r="B390" t="s">
        <v>74</v>
      </c>
      <c r="C390" t="s">
        <v>34</v>
      </c>
      <c r="D390">
        <v>1.5</v>
      </c>
      <c r="E390">
        <v>40.5831909179688</v>
      </c>
      <c r="F390">
        <v>-14.447848320007299</v>
      </c>
      <c r="G390">
        <v>-14.447848320007299</v>
      </c>
      <c r="H390">
        <v>0.20835712552070601</v>
      </c>
      <c r="I390">
        <v>2.0901687145233199</v>
      </c>
      <c r="J390">
        <v>2.0901687145233199</v>
      </c>
      <c r="K390">
        <f>VLOOKUP(B390,'FRAME ASSIGNMENTS SUMMARY'!B:D,3,0)</f>
        <v>1.5</v>
      </c>
      <c r="L390">
        <v>-0.216506350946118</v>
      </c>
      <c r="M390">
        <v>0.75</v>
      </c>
    </row>
    <row r="391" spans="1:13">
      <c r="A391" t="s">
        <v>74</v>
      </c>
      <c r="B391" t="s">
        <v>74</v>
      </c>
      <c r="C391" t="s">
        <v>34</v>
      </c>
      <c r="D391">
        <v>1.5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f>VLOOKUP(B391,'FRAME ASSIGNMENTS SUMMARY'!B:D,3,0)</f>
        <v>1.5</v>
      </c>
      <c r="L391">
        <v>-0.216506350946118</v>
      </c>
      <c r="M391">
        <v>0.75</v>
      </c>
    </row>
    <row r="392" spans="1:13">
      <c r="A392" t="s">
        <v>75</v>
      </c>
      <c r="B392" t="s">
        <v>75</v>
      </c>
      <c r="C392" t="s">
        <v>34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f>VLOOKUP(B392,'FRAME ASSIGNMENTS SUMMARY'!B:D,3,0)</f>
        <v>1.5</v>
      </c>
      <c r="L392">
        <v>-0.59150635094611004</v>
      </c>
      <c r="M392">
        <v>0.75</v>
      </c>
    </row>
    <row r="393" spans="1:13">
      <c r="A393" t="s">
        <v>75</v>
      </c>
      <c r="B393" t="s">
        <v>75</v>
      </c>
      <c r="C393" t="s">
        <v>34</v>
      </c>
      <c r="D393">
        <v>0</v>
      </c>
      <c r="E393">
        <v>250.66261291503901</v>
      </c>
      <c r="F393">
        <v>14.414385795593301</v>
      </c>
      <c r="G393">
        <v>14.414385795593301</v>
      </c>
      <c r="H393">
        <v>-0.21280141174793199</v>
      </c>
      <c r="I393">
        <v>-0.72359788417816195</v>
      </c>
      <c r="J393">
        <v>-0.72359788417816195</v>
      </c>
      <c r="K393">
        <f>VLOOKUP(B393,'FRAME ASSIGNMENTS SUMMARY'!B:D,3,0)</f>
        <v>1.5</v>
      </c>
      <c r="L393">
        <v>-0.59150635094611004</v>
      </c>
      <c r="M393">
        <v>0.75</v>
      </c>
    </row>
    <row r="394" spans="1:13">
      <c r="A394" t="s">
        <v>75</v>
      </c>
      <c r="B394" t="s">
        <v>75</v>
      </c>
      <c r="C394" t="s">
        <v>34</v>
      </c>
      <c r="D394">
        <v>0.374999999999994</v>
      </c>
      <c r="E394">
        <v>233.99224853515599</v>
      </c>
      <c r="F394">
        <v>14.414385795593301</v>
      </c>
      <c r="G394">
        <v>14.414385795593301</v>
      </c>
      <c r="H394">
        <v>-0.61952817440033003</v>
      </c>
      <c r="I394">
        <v>-6.0757889747619602</v>
      </c>
      <c r="J394">
        <v>-6.0757889747619602</v>
      </c>
      <c r="K394">
        <f>VLOOKUP(B394,'FRAME ASSIGNMENTS SUMMARY'!B:D,3,0)</f>
        <v>1.5</v>
      </c>
      <c r="L394">
        <v>0.80849364905389098</v>
      </c>
      <c r="M394">
        <v>0.75</v>
      </c>
    </row>
    <row r="395" spans="1:13">
      <c r="A395" t="s">
        <v>75</v>
      </c>
      <c r="B395" t="s">
        <v>75</v>
      </c>
      <c r="C395" t="s">
        <v>34</v>
      </c>
      <c r="D395">
        <v>0.374999999999994</v>
      </c>
      <c r="E395">
        <v>225.91610717773401</v>
      </c>
      <c r="F395">
        <v>-484.65057373046898</v>
      </c>
      <c r="G395">
        <v>-484.65057373046898</v>
      </c>
      <c r="H395">
        <v>-0.62279117107391402</v>
      </c>
      <c r="I395">
        <v>-5.2079648971557599</v>
      </c>
      <c r="J395">
        <v>-5.2079648971557599</v>
      </c>
      <c r="K395">
        <f>VLOOKUP(B395,'FRAME ASSIGNMENTS SUMMARY'!B:D,3,0)</f>
        <v>1.5</v>
      </c>
      <c r="L395">
        <v>0.80849364905389098</v>
      </c>
      <c r="M395">
        <v>0.75</v>
      </c>
    </row>
    <row r="396" spans="1:13">
      <c r="A396" t="s">
        <v>75</v>
      </c>
      <c r="B396" t="s">
        <v>75</v>
      </c>
      <c r="C396" t="s">
        <v>34</v>
      </c>
      <c r="D396">
        <v>0.750000000000004</v>
      </c>
      <c r="E396">
        <v>252.48060607910199</v>
      </c>
      <c r="F396">
        <v>-484.65057373046898</v>
      </c>
      <c r="G396">
        <v>-484.65057373046898</v>
      </c>
      <c r="H396">
        <v>-0.946813404560089</v>
      </c>
      <c r="I396">
        <v>174.747146606445</v>
      </c>
      <c r="J396">
        <v>174.747146606445</v>
      </c>
      <c r="K396">
        <f>VLOOKUP(B396,'FRAME ASSIGNMENTS SUMMARY'!B:D,3,0)</f>
        <v>1.5</v>
      </c>
      <c r="L396">
        <v>0.43349364905388399</v>
      </c>
      <c r="M396">
        <v>0.75</v>
      </c>
    </row>
    <row r="397" spans="1:13">
      <c r="A397" t="s">
        <v>75</v>
      </c>
      <c r="B397" t="s">
        <v>75</v>
      </c>
      <c r="C397" t="s">
        <v>34</v>
      </c>
      <c r="D397">
        <v>0.750000000000004</v>
      </c>
      <c r="E397">
        <v>114.479843139648</v>
      </c>
      <c r="F397">
        <v>495.12069702148398</v>
      </c>
      <c r="G397">
        <v>495.12069702148398</v>
      </c>
      <c r="H397">
        <v>-0.94523698091507002</v>
      </c>
      <c r="I397">
        <v>194.77517700195301</v>
      </c>
      <c r="J397">
        <v>194.77517700195301</v>
      </c>
      <c r="K397">
        <f>VLOOKUP(B397,'FRAME ASSIGNMENTS SUMMARY'!B:D,3,0)</f>
        <v>1.5</v>
      </c>
      <c r="L397">
        <v>0.43349364905388399</v>
      </c>
      <c r="M397">
        <v>0.75</v>
      </c>
    </row>
    <row r="398" spans="1:13">
      <c r="A398" t="s">
        <v>75</v>
      </c>
      <c r="B398" t="s">
        <v>75</v>
      </c>
      <c r="C398" t="s">
        <v>34</v>
      </c>
      <c r="D398">
        <v>1.12499999999999</v>
      </c>
      <c r="E398">
        <v>102.223037719727</v>
      </c>
      <c r="F398">
        <v>495.12069702148398</v>
      </c>
      <c r="G398">
        <v>495.12069702148398</v>
      </c>
      <c r="H398">
        <v>2.9696140438318301E-2</v>
      </c>
      <c r="I398">
        <v>10.932415008544901</v>
      </c>
      <c r="J398">
        <v>10.932415008544901</v>
      </c>
      <c r="K398">
        <f>VLOOKUP(B398,'FRAME ASSIGNMENTS SUMMARY'!B:D,3,0)</f>
        <v>1.5</v>
      </c>
      <c r="L398">
        <v>0.10849364905389</v>
      </c>
      <c r="M398">
        <v>0.75</v>
      </c>
    </row>
    <row r="399" spans="1:13">
      <c r="A399" t="s">
        <v>75</v>
      </c>
      <c r="B399" t="s">
        <v>75</v>
      </c>
      <c r="C399" t="s">
        <v>34</v>
      </c>
      <c r="D399">
        <v>1.12499999999999</v>
      </c>
      <c r="E399">
        <v>98.316711425781307</v>
      </c>
      <c r="F399">
        <v>-2.01559281349182</v>
      </c>
      <c r="G399">
        <v>-2.01559281349182</v>
      </c>
      <c r="H399">
        <v>3.28147150576115E-2</v>
      </c>
      <c r="I399">
        <v>10.022386550903301</v>
      </c>
      <c r="J399">
        <v>10.022386550903301</v>
      </c>
      <c r="K399">
        <f>VLOOKUP(B399,'FRAME ASSIGNMENTS SUMMARY'!B:D,3,0)</f>
        <v>1.5</v>
      </c>
      <c r="L399">
        <v>0.10849364905389</v>
      </c>
      <c r="M399">
        <v>0.75</v>
      </c>
    </row>
    <row r="400" spans="1:13">
      <c r="A400" t="s">
        <v>75</v>
      </c>
      <c r="B400" t="s">
        <v>75</v>
      </c>
      <c r="C400" t="s">
        <v>34</v>
      </c>
      <c r="D400">
        <v>1.5</v>
      </c>
      <c r="E400">
        <v>112.171875</v>
      </c>
      <c r="F400">
        <v>-2.01559281349182</v>
      </c>
      <c r="G400">
        <v>-2.01559281349182</v>
      </c>
      <c r="H400">
        <v>-0.273481905460358</v>
      </c>
      <c r="I400">
        <v>10.770793914794901</v>
      </c>
      <c r="J400">
        <v>10.770793914794901</v>
      </c>
      <c r="K400">
        <f>VLOOKUP(B400,'FRAME ASSIGNMENTS SUMMARY'!B:D,3,0)</f>
        <v>1.5</v>
      </c>
      <c r="L400">
        <v>-0.216506350946118</v>
      </c>
      <c r="M400">
        <v>0.75</v>
      </c>
    </row>
    <row r="401" spans="1:13">
      <c r="A401" t="s">
        <v>75</v>
      </c>
      <c r="B401" t="s">
        <v>75</v>
      </c>
      <c r="C401" t="s">
        <v>34</v>
      </c>
      <c r="D401">
        <v>1.5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f>VLOOKUP(B401,'FRAME ASSIGNMENTS SUMMARY'!B:D,3,0)</f>
        <v>1.5</v>
      </c>
      <c r="L401">
        <v>-0.216506350946118</v>
      </c>
      <c r="M401">
        <v>0.75</v>
      </c>
    </row>
    <row r="402" spans="1:13">
      <c r="A402" t="s">
        <v>76</v>
      </c>
      <c r="B402" t="s">
        <v>76</v>
      </c>
      <c r="C402" t="s">
        <v>34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f>VLOOKUP(B402,'FRAME ASSIGNMENTS SUMMARY'!B:D,3,0)</f>
        <v>0.75</v>
      </c>
      <c r="L402">
        <v>-0.59150635094611004</v>
      </c>
      <c r="M402">
        <v>0.75</v>
      </c>
    </row>
    <row r="403" spans="1:13">
      <c r="A403" t="s">
        <v>76</v>
      </c>
      <c r="B403" t="s">
        <v>76</v>
      </c>
      <c r="C403" t="s">
        <v>34</v>
      </c>
      <c r="D403">
        <v>0</v>
      </c>
      <c r="E403">
        <v>-31.143623352050799</v>
      </c>
      <c r="F403">
        <v>27.719608306884801</v>
      </c>
      <c r="G403">
        <v>27.719608306884801</v>
      </c>
      <c r="H403">
        <v>-9.5328483581543004</v>
      </c>
      <c r="I403">
        <v>-34.808303833007798</v>
      </c>
      <c r="J403">
        <v>-34.808303833007798</v>
      </c>
      <c r="K403">
        <f>VLOOKUP(B403,'FRAME ASSIGNMENTS SUMMARY'!B:D,3,0)</f>
        <v>0.75</v>
      </c>
      <c r="L403">
        <v>-0.59150635094611004</v>
      </c>
      <c r="M403">
        <v>0.75</v>
      </c>
    </row>
    <row r="404" spans="1:13">
      <c r="A404" t="s">
        <v>76</v>
      </c>
      <c r="B404" t="s">
        <v>76</v>
      </c>
      <c r="C404" t="s">
        <v>34</v>
      </c>
      <c r="D404">
        <v>0.375</v>
      </c>
      <c r="E404">
        <v>-24.7013149261475</v>
      </c>
      <c r="F404">
        <v>27.719608306884801</v>
      </c>
      <c r="G404">
        <v>27.719608306884801</v>
      </c>
      <c r="H404">
        <v>-15.740715026855501</v>
      </c>
      <c r="I404">
        <v>-45.100841522216797</v>
      </c>
      <c r="J404">
        <v>-45.100841522216797</v>
      </c>
      <c r="K404">
        <f>VLOOKUP(B404,'FRAME ASSIGNMENTS SUMMARY'!B:D,3,0)</f>
        <v>0.75</v>
      </c>
      <c r="L404">
        <v>0.80849364905389098</v>
      </c>
      <c r="M404">
        <v>0.75</v>
      </c>
    </row>
    <row r="405" spans="1:13">
      <c r="A405" t="s">
        <v>76</v>
      </c>
      <c r="B405" t="s">
        <v>76</v>
      </c>
      <c r="C405" t="s">
        <v>34</v>
      </c>
      <c r="D405">
        <v>0.375</v>
      </c>
      <c r="E405">
        <v>25.901454925537099</v>
      </c>
      <c r="F405">
        <v>-26.318645477294901</v>
      </c>
      <c r="G405">
        <v>-26.318645477294901</v>
      </c>
      <c r="H405">
        <v>-15.989539146423301</v>
      </c>
      <c r="I405">
        <v>-52.096767425537102</v>
      </c>
      <c r="J405">
        <v>-52.096767425537102</v>
      </c>
      <c r="K405">
        <f>VLOOKUP(B405,'FRAME ASSIGNMENTS SUMMARY'!B:D,3,0)</f>
        <v>0.75</v>
      </c>
      <c r="L405">
        <v>0.80849364905389098</v>
      </c>
      <c r="M405">
        <v>0.75</v>
      </c>
    </row>
    <row r="406" spans="1:13">
      <c r="A406" t="s">
        <v>76</v>
      </c>
      <c r="B406" t="s">
        <v>76</v>
      </c>
      <c r="C406" t="s">
        <v>34</v>
      </c>
      <c r="D406">
        <v>0.75</v>
      </c>
      <c r="E406">
        <v>39.021903991699197</v>
      </c>
      <c r="F406">
        <v>-26.318645477294901</v>
      </c>
      <c r="G406">
        <v>-26.318645477294901</v>
      </c>
      <c r="H406">
        <v>-58.718097686767599</v>
      </c>
      <c r="I406">
        <v>-42.324420928955099</v>
      </c>
      <c r="J406">
        <v>-42.324420928955099</v>
      </c>
      <c r="K406">
        <f>VLOOKUP(B406,'FRAME ASSIGNMENTS SUMMARY'!B:D,3,0)</f>
        <v>0.75</v>
      </c>
      <c r="L406">
        <v>0.43349364905388399</v>
      </c>
      <c r="M406">
        <v>0.75</v>
      </c>
    </row>
    <row r="407" spans="1:13">
      <c r="A407" t="s">
        <v>76</v>
      </c>
      <c r="B407" t="s">
        <v>76</v>
      </c>
      <c r="C407" t="s">
        <v>34</v>
      </c>
      <c r="D407">
        <v>0.75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f>VLOOKUP(B407,'FRAME ASSIGNMENTS SUMMARY'!B:D,3,0)</f>
        <v>0.75</v>
      </c>
      <c r="L407">
        <v>0.43349364905388399</v>
      </c>
      <c r="M407">
        <v>0.75</v>
      </c>
    </row>
    <row r="408" spans="1:13">
      <c r="A408" t="s">
        <v>77</v>
      </c>
      <c r="B408" t="s">
        <v>77</v>
      </c>
      <c r="C408" t="s">
        <v>34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f>VLOOKUP(B408,'FRAME ASSIGNMENTS SUMMARY'!B:D,3,0)</f>
        <v>0.75</v>
      </c>
      <c r="L408">
        <v>0.10849364905389</v>
      </c>
      <c r="M408">
        <v>0.75</v>
      </c>
    </row>
    <row r="409" spans="1:13">
      <c r="A409" t="s">
        <v>77</v>
      </c>
      <c r="B409" t="s">
        <v>77</v>
      </c>
      <c r="C409" t="s">
        <v>34</v>
      </c>
      <c r="D409">
        <v>0</v>
      </c>
      <c r="E409">
        <v>120.80621337890599</v>
      </c>
      <c r="F409">
        <v>20.0130710601807</v>
      </c>
      <c r="G409">
        <v>20.0130710601807</v>
      </c>
      <c r="H409">
        <v>-6.1061915010213901E-2</v>
      </c>
      <c r="I409">
        <v>-13.574851989746101</v>
      </c>
      <c r="J409">
        <v>-13.574851989746101</v>
      </c>
      <c r="K409">
        <f>VLOOKUP(B409,'FRAME ASSIGNMENTS SUMMARY'!B:D,3,0)</f>
        <v>0.75</v>
      </c>
      <c r="L409">
        <v>0.10849364905389</v>
      </c>
      <c r="M409">
        <v>0.75</v>
      </c>
    </row>
    <row r="410" spans="1:13">
      <c r="A410" t="s">
        <v>77</v>
      </c>
      <c r="B410" t="s">
        <v>77</v>
      </c>
      <c r="C410" t="s">
        <v>34</v>
      </c>
      <c r="D410">
        <v>0.375</v>
      </c>
      <c r="E410">
        <v>146.594970703125</v>
      </c>
      <c r="F410">
        <v>20.0130710601807</v>
      </c>
      <c r="G410">
        <v>20.0130710601807</v>
      </c>
      <c r="H410">
        <v>0.65023040771484397</v>
      </c>
      <c r="I410">
        <v>-21.005884170532202</v>
      </c>
      <c r="J410">
        <v>-21.005884170532202</v>
      </c>
      <c r="K410">
        <f>VLOOKUP(B410,'FRAME ASSIGNMENTS SUMMARY'!B:D,3,0)</f>
        <v>0.75</v>
      </c>
      <c r="L410">
        <v>-0.216506350946117</v>
      </c>
      <c r="M410">
        <v>0.75</v>
      </c>
    </row>
    <row r="411" spans="1:13">
      <c r="A411" t="s">
        <v>77</v>
      </c>
      <c r="B411" t="s">
        <v>77</v>
      </c>
      <c r="C411" t="s">
        <v>34</v>
      </c>
      <c r="D411">
        <v>0.375</v>
      </c>
      <c r="E411">
        <v>6.7289996147155797</v>
      </c>
      <c r="F411">
        <v>-5.8318724632263201</v>
      </c>
      <c r="G411">
        <v>-5.8318724632263201</v>
      </c>
      <c r="H411">
        <v>0.64842998981475797</v>
      </c>
      <c r="I411">
        <v>-2.1761894226074201</v>
      </c>
      <c r="J411">
        <v>-2.1761894226074201</v>
      </c>
      <c r="K411">
        <f>VLOOKUP(B411,'FRAME ASSIGNMENTS SUMMARY'!B:D,3,0)</f>
        <v>0.75</v>
      </c>
      <c r="L411">
        <v>-0.216506350946117</v>
      </c>
      <c r="M411">
        <v>0.75</v>
      </c>
    </row>
    <row r="412" spans="1:13">
      <c r="A412" t="s">
        <v>77</v>
      </c>
      <c r="B412" t="s">
        <v>77</v>
      </c>
      <c r="C412" t="s">
        <v>34</v>
      </c>
      <c r="D412">
        <v>0.75</v>
      </c>
      <c r="E412">
        <v>-6.7289996147155797</v>
      </c>
      <c r="F412">
        <v>-5.8318724632263201</v>
      </c>
      <c r="G412">
        <v>-5.8318724632263201</v>
      </c>
      <c r="H412">
        <v>0.57886081933975198</v>
      </c>
      <c r="I412">
        <v>-1.0762760415673299E-2</v>
      </c>
      <c r="J412">
        <v>-1.0762760415673299E-2</v>
      </c>
      <c r="K412">
        <f>VLOOKUP(B412,'FRAME ASSIGNMENTS SUMMARY'!B:D,3,0)</f>
        <v>0.75</v>
      </c>
      <c r="L412">
        <v>-0.59150635094611004</v>
      </c>
      <c r="M412">
        <v>0.75</v>
      </c>
    </row>
    <row r="413" spans="1:13">
      <c r="A413" t="s">
        <v>77</v>
      </c>
      <c r="B413" t="s">
        <v>77</v>
      </c>
      <c r="C413" t="s">
        <v>34</v>
      </c>
      <c r="D413">
        <v>0.75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f>VLOOKUP(B413,'FRAME ASSIGNMENTS SUMMARY'!B:D,3,0)</f>
        <v>0.75</v>
      </c>
      <c r="L413">
        <v>-0.59150635094611004</v>
      </c>
      <c r="M413">
        <v>0.75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499984740745262"/>
  </sheetPr>
  <dimension ref="A1:H45"/>
  <sheetViews>
    <sheetView workbookViewId="0">
      <selection activeCell="A2" sqref="A2:H45"/>
    </sheetView>
  </sheetViews>
  <sheetFormatPr defaultColWidth="9" defaultRowHeight="14.25"/>
  <cols>
    <col min="1" max="1" width="8.25" customWidth="1"/>
    <col min="2" max="2" width="7.125" customWidth="1"/>
    <col min="3" max="3" width="19" customWidth="1"/>
    <col min="4" max="5" width="4.875" customWidth="1"/>
    <col min="6" max="6" width="6.875" customWidth="1"/>
    <col min="7" max="8" width="4.875" customWidth="1"/>
    <col min="9" max="13" width="11.875" customWidth="1"/>
    <col min="14" max="14" width="8.875" customWidth="1"/>
    <col min="15" max="15" width="9.875" customWidth="1"/>
    <col min="16" max="17" width="11.875" customWidth="1"/>
  </cols>
  <sheetData>
    <row r="1" spans="1:8">
      <c r="A1" t="s">
        <v>78</v>
      </c>
      <c r="D1" t="s">
        <v>79</v>
      </c>
      <c r="E1" t="s">
        <v>80</v>
      </c>
      <c r="G1" t="s">
        <v>79</v>
      </c>
      <c r="H1" t="s">
        <v>80</v>
      </c>
    </row>
    <row r="2" spans="1:8">
      <c r="A2" t="s">
        <v>33</v>
      </c>
      <c r="B2" t="s">
        <v>33</v>
      </c>
      <c r="C2" t="s">
        <v>33</v>
      </c>
      <c r="D2">
        <v>1</v>
      </c>
      <c r="E2">
        <v>0.75</v>
      </c>
      <c r="F2" t="s">
        <v>33</v>
      </c>
      <c r="G2">
        <v>1</v>
      </c>
      <c r="H2">
        <v>0.75</v>
      </c>
    </row>
    <row r="3" spans="1:8">
      <c r="A3" t="s">
        <v>35</v>
      </c>
      <c r="B3" t="s">
        <v>35</v>
      </c>
      <c r="C3" t="s">
        <v>35</v>
      </c>
      <c r="D3">
        <v>1</v>
      </c>
      <c r="E3">
        <v>0.75</v>
      </c>
      <c r="F3" t="s">
        <v>35</v>
      </c>
      <c r="G3">
        <v>1</v>
      </c>
      <c r="H3">
        <v>0.75</v>
      </c>
    </row>
    <row r="4" spans="1:8">
      <c r="A4" t="s">
        <v>36</v>
      </c>
      <c r="B4" t="s">
        <v>36</v>
      </c>
      <c r="C4" t="s">
        <v>36</v>
      </c>
      <c r="D4">
        <v>1</v>
      </c>
      <c r="E4">
        <v>1.4</v>
      </c>
      <c r="F4" t="s">
        <v>36</v>
      </c>
      <c r="G4">
        <v>1</v>
      </c>
      <c r="H4">
        <v>1.4</v>
      </c>
    </row>
    <row r="5" spans="1:8">
      <c r="A5" t="s">
        <v>37</v>
      </c>
      <c r="B5" t="s">
        <v>37</v>
      </c>
      <c r="C5" t="s">
        <v>37</v>
      </c>
      <c r="D5">
        <v>1</v>
      </c>
      <c r="E5">
        <v>1.4</v>
      </c>
      <c r="F5" t="s">
        <v>37</v>
      </c>
      <c r="G5">
        <v>1</v>
      </c>
      <c r="H5">
        <v>1.4</v>
      </c>
    </row>
    <row r="6" spans="1:8">
      <c r="A6" t="s">
        <v>38</v>
      </c>
      <c r="B6" t="s">
        <v>38</v>
      </c>
      <c r="C6" t="s">
        <v>38</v>
      </c>
      <c r="D6">
        <v>1</v>
      </c>
      <c r="E6">
        <v>1.4</v>
      </c>
      <c r="F6" t="s">
        <v>38</v>
      </c>
      <c r="G6">
        <v>1</v>
      </c>
      <c r="H6">
        <v>1.4</v>
      </c>
    </row>
    <row r="7" spans="1:8">
      <c r="A7" t="s">
        <v>39</v>
      </c>
      <c r="B7" t="s">
        <v>39</v>
      </c>
      <c r="C7" t="s">
        <v>39</v>
      </c>
      <c r="D7">
        <v>1</v>
      </c>
      <c r="E7">
        <v>1.4</v>
      </c>
      <c r="F7" t="s">
        <v>39</v>
      </c>
      <c r="G7">
        <v>1</v>
      </c>
      <c r="H7">
        <v>1.4</v>
      </c>
    </row>
    <row r="8" spans="1:8">
      <c r="A8" t="s">
        <v>40</v>
      </c>
      <c r="B8" t="s">
        <v>40</v>
      </c>
      <c r="C8" t="s">
        <v>40</v>
      </c>
      <c r="D8">
        <v>1</v>
      </c>
      <c r="E8">
        <v>1.4</v>
      </c>
      <c r="F8" t="s">
        <v>40</v>
      </c>
      <c r="G8">
        <v>1</v>
      </c>
      <c r="H8">
        <v>1.4</v>
      </c>
    </row>
    <row r="9" spans="1:8">
      <c r="A9" t="s">
        <v>41</v>
      </c>
      <c r="B9" t="s">
        <v>41</v>
      </c>
      <c r="C9" t="s">
        <v>41</v>
      </c>
      <c r="D9">
        <v>1</v>
      </c>
      <c r="E9">
        <v>1.4</v>
      </c>
      <c r="F9" t="s">
        <v>41</v>
      </c>
      <c r="G9">
        <v>1</v>
      </c>
      <c r="H9">
        <v>1.4</v>
      </c>
    </row>
    <row r="10" spans="1:8">
      <c r="A10" t="s">
        <v>42</v>
      </c>
      <c r="B10" t="s">
        <v>42</v>
      </c>
      <c r="C10" t="s">
        <v>42</v>
      </c>
      <c r="D10">
        <v>1</v>
      </c>
      <c r="E10">
        <v>1.4</v>
      </c>
      <c r="F10" t="s">
        <v>42</v>
      </c>
      <c r="G10">
        <v>1</v>
      </c>
      <c r="H10">
        <v>1.4</v>
      </c>
    </row>
    <row r="11" spans="1:8">
      <c r="A11" t="s">
        <v>43</v>
      </c>
      <c r="B11" t="s">
        <v>43</v>
      </c>
      <c r="C11" t="s">
        <v>43</v>
      </c>
      <c r="D11">
        <v>1</v>
      </c>
      <c r="E11">
        <v>0.75</v>
      </c>
      <c r="F11" t="s">
        <v>43</v>
      </c>
      <c r="G11">
        <v>1</v>
      </c>
      <c r="H11">
        <v>0.75</v>
      </c>
    </row>
    <row r="12" spans="1:8">
      <c r="A12" t="s">
        <v>44</v>
      </c>
      <c r="B12" t="s">
        <v>44</v>
      </c>
      <c r="C12" t="s">
        <v>44</v>
      </c>
      <c r="D12">
        <v>1</v>
      </c>
      <c r="E12">
        <v>1.4</v>
      </c>
      <c r="F12" t="s">
        <v>44</v>
      </c>
      <c r="G12">
        <v>1</v>
      </c>
      <c r="H12">
        <v>1.4</v>
      </c>
    </row>
    <row r="13" spans="1:8">
      <c r="A13" t="s">
        <v>45</v>
      </c>
      <c r="B13" t="s">
        <v>45</v>
      </c>
      <c r="C13" t="s">
        <v>45</v>
      </c>
      <c r="D13">
        <v>1</v>
      </c>
      <c r="E13">
        <v>0.75</v>
      </c>
      <c r="F13" t="s">
        <v>45</v>
      </c>
      <c r="G13">
        <v>1</v>
      </c>
      <c r="H13">
        <v>0.75</v>
      </c>
    </row>
    <row r="14" spans="1:8">
      <c r="A14" t="s">
        <v>46</v>
      </c>
      <c r="B14" t="s">
        <v>46</v>
      </c>
      <c r="C14" t="s">
        <v>46</v>
      </c>
      <c r="D14">
        <v>1</v>
      </c>
      <c r="E14">
        <v>0.75</v>
      </c>
      <c r="F14" t="s">
        <v>46</v>
      </c>
      <c r="G14">
        <v>1</v>
      </c>
      <c r="H14">
        <v>0.75</v>
      </c>
    </row>
    <row r="15" spans="1:8">
      <c r="A15" t="s">
        <v>47</v>
      </c>
      <c r="B15" t="s">
        <v>47</v>
      </c>
      <c r="C15" t="s">
        <v>47</v>
      </c>
      <c r="D15">
        <v>1</v>
      </c>
      <c r="E15">
        <v>0.75</v>
      </c>
      <c r="F15" t="s">
        <v>47</v>
      </c>
      <c r="G15">
        <v>1</v>
      </c>
      <c r="H15">
        <v>0.75</v>
      </c>
    </row>
    <row r="16" spans="1:8">
      <c r="A16" t="s">
        <v>48</v>
      </c>
      <c r="B16" t="s">
        <v>48</v>
      </c>
      <c r="C16" t="s">
        <v>48</v>
      </c>
      <c r="D16">
        <v>1</v>
      </c>
      <c r="E16">
        <v>0.75</v>
      </c>
      <c r="F16" t="s">
        <v>48</v>
      </c>
      <c r="G16">
        <v>1</v>
      </c>
      <c r="H16">
        <v>0.75</v>
      </c>
    </row>
    <row r="17" spans="1:8">
      <c r="A17" t="s">
        <v>49</v>
      </c>
      <c r="B17" t="s">
        <v>49</v>
      </c>
      <c r="C17" t="s">
        <v>49</v>
      </c>
      <c r="D17">
        <v>1</v>
      </c>
      <c r="E17">
        <v>1.5</v>
      </c>
      <c r="F17" t="s">
        <v>49</v>
      </c>
      <c r="G17">
        <v>1</v>
      </c>
      <c r="H17">
        <v>1.5</v>
      </c>
    </row>
    <row r="18" spans="1:8">
      <c r="A18" t="s">
        <v>50</v>
      </c>
      <c r="B18" t="s">
        <v>50</v>
      </c>
      <c r="C18" t="s">
        <v>50</v>
      </c>
      <c r="D18">
        <v>1</v>
      </c>
      <c r="E18">
        <v>1.5</v>
      </c>
      <c r="F18" t="s">
        <v>50</v>
      </c>
      <c r="G18">
        <v>1</v>
      </c>
      <c r="H18">
        <v>1.5</v>
      </c>
    </row>
    <row r="19" spans="1:8">
      <c r="A19" t="s">
        <v>51</v>
      </c>
      <c r="B19" t="s">
        <v>51</v>
      </c>
      <c r="C19" t="s">
        <v>51</v>
      </c>
      <c r="D19">
        <v>1</v>
      </c>
      <c r="E19">
        <v>1.5</v>
      </c>
      <c r="F19" t="s">
        <v>51</v>
      </c>
      <c r="G19">
        <v>1</v>
      </c>
      <c r="H19">
        <v>1.5</v>
      </c>
    </row>
    <row r="20" spans="1:8">
      <c r="A20" t="s">
        <v>52</v>
      </c>
      <c r="B20" t="s">
        <v>52</v>
      </c>
      <c r="C20" t="s">
        <v>52</v>
      </c>
      <c r="D20">
        <v>1</v>
      </c>
      <c r="E20">
        <v>1.5</v>
      </c>
      <c r="F20" t="s">
        <v>52</v>
      </c>
      <c r="G20">
        <v>1</v>
      </c>
      <c r="H20">
        <v>1.5</v>
      </c>
    </row>
    <row r="21" spans="1:8">
      <c r="A21" t="s">
        <v>53</v>
      </c>
      <c r="B21" t="s">
        <v>53</v>
      </c>
      <c r="C21" t="s">
        <v>53</v>
      </c>
      <c r="D21">
        <v>1</v>
      </c>
      <c r="E21">
        <v>1.5</v>
      </c>
      <c r="F21" t="s">
        <v>53</v>
      </c>
      <c r="G21">
        <v>1</v>
      </c>
      <c r="H21">
        <v>1.5</v>
      </c>
    </row>
    <row r="22" spans="1:8">
      <c r="A22" t="s">
        <v>54</v>
      </c>
      <c r="B22" t="s">
        <v>54</v>
      </c>
      <c r="C22" t="s">
        <v>54</v>
      </c>
      <c r="D22">
        <v>1</v>
      </c>
      <c r="E22">
        <v>1.5</v>
      </c>
      <c r="F22" t="s">
        <v>54</v>
      </c>
      <c r="G22">
        <v>1</v>
      </c>
      <c r="H22">
        <v>1.5</v>
      </c>
    </row>
    <row r="23" spans="1:8">
      <c r="A23" t="s">
        <v>55</v>
      </c>
      <c r="B23" t="s">
        <v>55</v>
      </c>
      <c r="C23" t="s">
        <v>55</v>
      </c>
      <c r="D23">
        <v>1</v>
      </c>
      <c r="E23">
        <v>1.5</v>
      </c>
      <c r="F23" t="s">
        <v>55</v>
      </c>
      <c r="G23">
        <v>1</v>
      </c>
      <c r="H23">
        <v>1.5</v>
      </c>
    </row>
    <row r="24" spans="1:8">
      <c r="A24" t="s">
        <v>56</v>
      </c>
      <c r="B24" t="s">
        <v>56</v>
      </c>
      <c r="C24" t="s">
        <v>56</v>
      </c>
      <c r="D24">
        <v>1</v>
      </c>
      <c r="E24">
        <v>1.5</v>
      </c>
      <c r="F24" t="s">
        <v>56</v>
      </c>
      <c r="G24">
        <v>1</v>
      </c>
      <c r="H24">
        <v>1.5</v>
      </c>
    </row>
    <row r="25" spans="1:8">
      <c r="A25" t="s">
        <v>57</v>
      </c>
      <c r="B25" t="s">
        <v>57</v>
      </c>
      <c r="C25" t="s">
        <v>57</v>
      </c>
      <c r="D25">
        <v>1</v>
      </c>
      <c r="E25">
        <v>1.5</v>
      </c>
      <c r="F25" t="s">
        <v>57</v>
      </c>
      <c r="G25">
        <v>1</v>
      </c>
      <c r="H25">
        <v>1.5</v>
      </c>
    </row>
    <row r="26" spans="1:8">
      <c r="A26" t="s">
        <v>58</v>
      </c>
      <c r="B26" t="s">
        <v>58</v>
      </c>
      <c r="C26" t="s">
        <v>58</v>
      </c>
      <c r="D26">
        <v>1</v>
      </c>
      <c r="E26">
        <v>1.5</v>
      </c>
      <c r="F26" t="s">
        <v>58</v>
      </c>
      <c r="G26">
        <v>1</v>
      </c>
      <c r="H26">
        <v>1.5</v>
      </c>
    </row>
    <row r="27" spans="1:8">
      <c r="A27" t="s">
        <v>59</v>
      </c>
      <c r="B27" t="s">
        <v>59</v>
      </c>
      <c r="C27" t="s">
        <v>59</v>
      </c>
      <c r="D27">
        <v>1</v>
      </c>
      <c r="E27">
        <v>1.5</v>
      </c>
      <c r="F27" t="s">
        <v>59</v>
      </c>
      <c r="G27">
        <v>1</v>
      </c>
      <c r="H27">
        <v>1.5</v>
      </c>
    </row>
    <row r="28" spans="1:8">
      <c r="A28" t="s">
        <v>60</v>
      </c>
      <c r="B28" t="s">
        <v>60</v>
      </c>
      <c r="C28" t="s">
        <v>60</v>
      </c>
      <c r="D28">
        <v>1</v>
      </c>
      <c r="E28">
        <v>1.5</v>
      </c>
      <c r="F28" t="s">
        <v>60</v>
      </c>
      <c r="G28">
        <v>1</v>
      </c>
      <c r="H28">
        <v>1.5</v>
      </c>
    </row>
    <row r="29" spans="1:8">
      <c r="A29" t="s">
        <v>61</v>
      </c>
      <c r="B29" t="s">
        <v>61</v>
      </c>
      <c r="C29" t="s">
        <v>61</v>
      </c>
      <c r="D29">
        <v>1</v>
      </c>
      <c r="E29">
        <v>1.5</v>
      </c>
      <c r="F29" t="s">
        <v>61</v>
      </c>
      <c r="G29">
        <v>1</v>
      </c>
      <c r="H29">
        <v>1.5</v>
      </c>
    </row>
    <row r="30" spans="1:8">
      <c r="A30" t="s">
        <v>62</v>
      </c>
      <c r="B30" t="s">
        <v>62</v>
      </c>
      <c r="C30" t="s">
        <v>62</v>
      </c>
      <c r="D30">
        <v>1</v>
      </c>
      <c r="E30">
        <v>0.75</v>
      </c>
      <c r="F30" t="s">
        <v>62</v>
      </c>
      <c r="G30">
        <v>1</v>
      </c>
      <c r="H30">
        <v>0.75</v>
      </c>
    </row>
    <row r="31" spans="1:8">
      <c r="A31" t="s">
        <v>63</v>
      </c>
      <c r="B31" t="s">
        <v>63</v>
      </c>
      <c r="C31" t="s">
        <v>63</v>
      </c>
      <c r="D31">
        <v>1</v>
      </c>
      <c r="E31">
        <v>1.5</v>
      </c>
      <c r="F31" t="s">
        <v>63</v>
      </c>
      <c r="G31">
        <v>1</v>
      </c>
      <c r="H31">
        <v>1.5</v>
      </c>
    </row>
    <row r="32" spans="1:8">
      <c r="A32" t="s">
        <v>64</v>
      </c>
      <c r="B32" t="s">
        <v>64</v>
      </c>
      <c r="C32" t="s">
        <v>64</v>
      </c>
      <c r="D32">
        <v>1</v>
      </c>
      <c r="E32">
        <v>0.75</v>
      </c>
      <c r="F32" t="s">
        <v>64</v>
      </c>
      <c r="G32">
        <v>1</v>
      </c>
      <c r="H32">
        <v>0.75</v>
      </c>
    </row>
    <row r="33" spans="1:8">
      <c r="A33" t="s">
        <v>65</v>
      </c>
      <c r="B33" t="s">
        <v>65</v>
      </c>
      <c r="C33" t="s">
        <v>65</v>
      </c>
      <c r="D33">
        <v>1</v>
      </c>
      <c r="E33">
        <v>0.75</v>
      </c>
      <c r="F33" t="s">
        <v>65</v>
      </c>
      <c r="G33">
        <v>1</v>
      </c>
      <c r="H33">
        <v>0.75</v>
      </c>
    </row>
    <row r="34" spans="1:8">
      <c r="A34" t="s">
        <v>66</v>
      </c>
      <c r="B34" t="s">
        <v>66</v>
      </c>
      <c r="C34" t="s">
        <v>66</v>
      </c>
      <c r="D34">
        <v>1</v>
      </c>
      <c r="E34">
        <v>0.75</v>
      </c>
      <c r="F34" t="s">
        <v>66</v>
      </c>
      <c r="G34">
        <v>1</v>
      </c>
      <c r="H34">
        <v>0.75</v>
      </c>
    </row>
    <row r="35" spans="1:8">
      <c r="A35" t="s">
        <v>67</v>
      </c>
      <c r="B35" t="s">
        <v>67</v>
      </c>
      <c r="C35" t="s">
        <v>67</v>
      </c>
      <c r="D35">
        <v>1</v>
      </c>
      <c r="E35">
        <v>0.75</v>
      </c>
      <c r="F35" t="s">
        <v>67</v>
      </c>
      <c r="G35">
        <v>1</v>
      </c>
      <c r="H35">
        <v>0.75</v>
      </c>
    </row>
    <row r="36" spans="1:8">
      <c r="A36" t="s">
        <v>68</v>
      </c>
      <c r="B36" t="s">
        <v>68</v>
      </c>
      <c r="C36" t="s">
        <v>68</v>
      </c>
      <c r="D36">
        <v>1</v>
      </c>
      <c r="E36">
        <v>0.75</v>
      </c>
      <c r="F36" t="s">
        <v>68</v>
      </c>
      <c r="G36">
        <v>1</v>
      </c>
      <c r="H36">
        <v>0.75</v>
      </c>
    </row>
    <row r="37" spans="1:8">
      <c r="A37" t="s">
        <v>69</v>
      </c>
      <c r="B37" t="s">
        <v>69</v>
      </c>
      <c r="C37" t="s">
        <v>69</v>
      </c>
      <c r="D37">
        <v>1</v>
      </c>
      <c r="E37">
        <v>0.75</v>
      </c>
      <c r="F37" t="s">
        <v>69</v>
      </c>
      <c r="G37">
        <v>1</v>
      </c>
      <c r="H37">
        <v>0.75</v>
      </c>
    </row>
    <row r="38" spans="1:8">
      <c r="A38" t="s">
        <v>70</v>
      </c>
      <c r="B38" t="s">
        <v>70</v>
      </c>
      <c r="C38" t="s">
        <v>70</v>
      </c>
      <c r="D38">
        <v>1</v>
      </c>
      <c r="E38">
        <v>0.75</v>
      </c>
      <c r="F38" t="s">
        <v>70</v>
      </c>
      <c r="G38">
        <v>1</v>
      </c>
      <c r="H38">
        <v>0.75</v>
      </c>
    </row>
    <row r="39" spans="1:8">
      <c r="A39" t="s">
        <v>71</v>
      </c>
      <c r="B39" t="s">
        <v>71</v>
      </c>
      <c r="C39" t="s">
        <v>71</v>
      </c>
      <c r="D39">
        <v>1</v>
      </c>
      <c r="E39">
        <v>1.5</v>
      </c>
      <c r="F39" t="s">
        <v>71</v>
      </c>
      <c r="G39">
        <v>1</v>
      </c>
      <c r="H39">
        <v>1.5</v>
      </c>
    </row>
    <row r="40" spans="1:8">
      <c r="A40" t="s">
        <v>72</v>
      </c>
      <c r="B40" t="s">
        <v>72</v>
      </c>
      <c r="C40" t="s">
        <v>72</v>
      </c>
      <c r="D40">
        <v>1</v>
      </c>
      <c r="E40">
        <v>1.5</v>
      </c>
      <c r="F40" t="s">
        <v>72</v>
      </c>
      <c r="G40">
        <v>1</v>
      </c>
      <c r="H40">
        <v>1.5</v>
      </c>
    </row>
    <row r="41" spans="1:8">
      <c r="A41" t="s">
        <v>73</v>
      </c>
      <c r="B41" t="s">
        <v>73</v>
      </c>
      <c r="C41" t="s">
        <v>73</v>
      </c>
      <c r="D41">
        <v>1</v>
      </c>
      <c r="E41">
        <v>1.5</v>
      </c>
      <c r="F41" t="s">
        <v>73</v>
      </c>
      <c r="G41">
        <v>1</v>
      </c>
      <c r="H41">
        <v>1.5</v>
      </c>
    </row>
    <row r="42" spans="1:8">
      <c r="A42" t="s">
        <v>74</v>
      </c>
      <c r="B42" t="s">
        <v>74</v>
      </c>
      <c r="C42" t="s">
        <v>74</v>
      </c>
      <c r="D42">
        <v>1</v>
      </c>
      <c r="E42">
        <v>1.5</v>
      </c>
      <c r="F42" t="s">
        <v>74</v>
      </c>
      <c r="G42">
        <v>1</v>
      </c>
      <c r="H42">
        <v>1.5</v>
      </c>
    </row>
    <row r="43" spans="1:8">
      <c r="A43" t="s">
        <v>75</v>
      </c>
      <c r="B43" t="s">
        <v>75</v>
      </c>
      <c r="C43" t="s">
        <v>75</v>
      </c>
      <c r="D43">
        <v>1</v>
      </c>
      <c r="E43">
        <v>1.5</v>
      </c>
      <c r="F43" t="s">
        <v>75</v>
      </c>
      <c r="G43">
        <v>1</v>
      </c>
      <c r="H43">
        <v>1.5</v>
      </c>
    </row>
    <row r="44" spans="1:8">
      <c r="A44" t="s">
        <v>76</v>
      </c>
      <c r="B44" t="s">
        <v>76</v>
      </c>
      <c r="C44" t="s">
        <v>76</v>
      </c>
      <c r="D44">
        <v>1</v>
      </c>
      <c r="E44">
        <v>1.5</v>
      </c>
      <c r="F44" t="s">
        <v>76</v>
      </c>
      <c r="G44">
        <v>1</v>
      </c>
      <c r="H44">
        <v>1.5</v>
      </c>
    </row>
    <row r="45" spans="1:8">
      <c r="A45" t="s">
        <v>77</v>
      </c>
      <c r="B45" t="s">
        <v>77</v>
      </c>
      <c r="C45" t="s">
        <v>77</v>
      </c>
      <c r="D45">
        <v>1</v>
      </c>
      <c r="E45">
        <v>1.5</v>
      </c>
      <c r="F45" t="s">
        <v>77</v>
      </c>
      <c r="G45">
        <v>1</v>
      </c>
      <c r="H45">
        <v>1.5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499984740745262"/>
  </sheetPr>
  <dimension ref="A1:N45"/>
  <sheetViews>
    <sheetView workbookViewId="0">
      <selection activeCell="A2" sqref="A2:J45"/>
    </sheetView>
  </sheetViews>
  <sheetFormatPr defaultColWidth="9" defaultRowHeight="14.25"/>
  <cols>
    <col min="1" max="1" width="7.25" customWidth="1"/>
    <col min="2" max="2" width="5.25" customWidth="1"/>
    <col min="3" max="3" width="5.75" customWidth="1"/>
    <col min="4" max="4" width="6.375" customWidth="1"/>
    <col min="5" max="5" width="11.375" customWidth="1"/>
    <col min="6" max="6" width="10.375" customWidth="1"/>
    <col min="7" max="7" width="11.375" customWidth="1"/>
    <col min="8" max="8" width="10.25" customWidth="1"/>
  </cols>
  <sheetData>
    <row r="1" spans="1:14">
      <c r="A1" t="s">
        <v>20</v>
      </c>
      <c r="B1" t="s">
        <v>21</v>
      </c>
      <c r="C1" t="s">
        <v>81</v>
      </c>
      <c r="D1" t="s">
        <v>82</v>
      </c>
      <c r="E1" t="s">
        <v>83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>
      <c r="A2" t="s">
        <v>33</v>
      </c>
      <c r="B2" t="s">
        <v>33</v>
      </c>
      <c r="C2" t="s">
        <v>81</v>
      </c>
      <c r="D2">
        <v>1.5</v>
      </c>
      <c r="E2" t="s">
        <v>33</v>
      </c>
      <c r="F2" t="s">
        <v>33</v>
      </c>
      <c r="G2" t="s">
        <v>33</v>
      </c>
      <c r="H2" t="s">
        <v>91</v>
      </c>
      <c r="I2">
        <v>3.55</v>
      </c>
      <c r="J2">
        <v>13.900000000000899</v>
      </c>
      <c r="K2" t="s">
        <v>92</v>
      </c>
      <c r="L2">
        <v>5.05</v>
      </c>
      <c r="M2">
        <v>13.900000000000899</v>
      </c>
      <c r="N2">
        <v>0.75</v>
      </c>
    </row>
    <row r="3" spans="1:14">
      <c r="A3" t="s">
        <v>35</v>
      </c>
      <c r="B3" t="s">
        <v>35</v>
      </c>
      <c r="C3" t="s">
        <v>81</v>
      </c>
      <c r="D3">
        <v>1.5</v>
      </c>
      <c r="E3" t="s">
        <v>35</v>
      </c>
      <c r="F3" t="s">
        <v>35</v>
      </c>
      <c r="G3" t="s">
        <v>35</v>
      </c>
      <c r="H3" t="s">
        <v>93</v>
      </c>
      <c r="I3">
        <v>-0.749999999999996</v>
      </c>
      <c r="J3">
        <v>9.1999999999999993</v>
      </c>
      <c r="K3" t="s">
        <v>94</v>
      </c>
      <c r="L3">
        <v>7.15</v>
      </c>
      <c r="M3">
        <v>13.9000000000008</v>
      </c>
      <c r="N3">
        <v>0.75</v>
      </c>
    </row>
    <row r="4" spans="1:14">
      <c r="A4" t="s">
        <v>36</v>
      </c>
      <c r="B4" t="s">
        <v>36</v>
      </c>
      <c r="C4" t="s">
        <v>81</v>
      </c>
      <c r="D4">
        <v>1.5</v>
      </c>
      <c r="E4" t="s">
        <v>36</v>
      </c>
      <c r="F4" t="s">
        <v>36</v>
      </c>
      <c r="G4" t="s">
        <v>36</v>
      </c>
      <c r="H4" t="s">
        <v>95</v>
      </c>
      <c r="I4">
        <v>-0.749999999999996</v>
      </c>
      <c r="J4">
        <v>0.10849364905389</v>
      </c>
      <c r="K4" t="s">
        <v>96</v>
      </c>
      <c r="L4">
        <v>12.25</v>
      </c>
      <c r="M4">
        <v>13.9</v>
      </c>
      <c r="N4">
        <v>0.75</v>
      </c>
    </row>
    <row r="5" spans="1:14">
      <c r="A5" t="s">
        <v>37</v>
      </c>
      <c r="B5" t="s">
        <v>37</v>
      </c>
      <c r="C5" t="s">
        <v>81</v>
      </c>
      <c r="D5">
        <v>1.5</v>
      </c>
      <c r="E5" t="s">
        <v>37</v>
      </c>
      <c r="F5" t="s">
        <v>37</v>
      </c>
      <c r="G5" t="s">
        <v>37</v>
      </c>
      <c r="H5" t="s">
        <v>97</v>
      </c>
      <c r="I5">
        <v>3.55</v>
      </c>
      <c r="J5">
        <v>0.10849364905389</v>
      </c>
      <c r="K5" t="s">
        <v>98</v>
      </c>
      <c r="L5">
        <v>14.099</v>
      </c>
      <c r="M5">
        <v>9.1999999999999993</v>
      </c>
      <c r="N5">
        <v>0.75</v>
      </c>
    </row>
    <row r="6" spans="1:14">
      <c r="A6" t="s">
        <v>38</v>
      </c>
      <c r="B6" t="s">
        <v>38</v>
      </c>
      <c r="C6" t="s">
        <v>81</v>
      </c>
      <c r="D6">
        <v>1.5</v>
      </c>
      <c r="E6" t="s">
        <v>38</v>
      </c>
      <c r="F6" t="s">
        <v>38</v>
      </c>
      <c r="G6" t="s">
        <v>38</v>
      </c>
      <c r="H6" t="s">
        <v>99</v>
      </c>
      <c r="I6">
        <v>5.65</v>
      </c>
      <c r="J6">
        <v>0.10849364905389</v>
      </c>
      <c r="K6" t="s">
        <v>100</v>
      </c>
      <c r="L6">
        <v>17.25</v>
      </c>
      <c r="M6">
        <v>6.6</v>
      </c>
      <c r="N6">
        <v>0.75</v>
      </c>
    </row>
    <row r="7" spans="1:14">
      <c r="A7" t="s">
        <v>39</v>
      </c>
      <c r="B7" t="s">
        <v>39</v>
      </c>
      <c r="C7" t="s">
        <v>81</v>
      </c>
      <c r="D7">
        <v>1.5</v>
      </c>
      <c r="E7" t="s">
        <v>39</v>
      </c>
      <c r="F7" t="s">
        <v>39</v>
      </c>
      <c r="G7" t="s">
        <v>39</v>
      </c>
      <c r="H7" t="s">
        <v>101</v>
      </c>
      <c r="I7">
        <v>10.75</v>
      </c>
      <c r="J7">
        <v>0.10849364905389</v>
      </c>
      <c r="K7" t="s">
        <v>102</v>
      </c>
      <c r="L7">
        <v>17.2499999999987</v>
      </c>
      <c r="M7">
        <v>0</v>
      </c>
      <c r="N7">
        <v>0.75</v>
      </c>
    </row>
    <row r="8" spans="1:14">
      <c r="A8" t="s">
        <v>40</v>
      </c>
      <c r="B8" t="s">
        <v>40</v>
      </c>
      <c r="C8" t="s">
        <v>81</v>
      </c>
      <c r="D8">
        <v>1.5</v>
      </c>
      <c r="E8" t="s">
        <v>40</v>
      </c>
      <c r="F8" t="s">
        <v>40</v>
      </c>
      <c r="G8" t="s">
        <v>40</v>
      </c>
      <c r="H8" t="s">
        <v>103</v>
      </c>
      <c r="I8">
        <v>-0.749999999999996</v>
      </c>
      <c r="J8">
        <v>6.7084936490538896</v>
      </c>
      <c r="K8" t="s">
        <v>104</v>
      </c>
      <c r="L8">
        <v>5.05</v>
      </c>
      <c r="M8">
        <v>6.6</v>
      </c>
      <c r="N8">
        <v>1.5</v>
      </c>
    </row>
    <row r="9" spans="1:14">
      <c r="A9" t="s">
        <v>41</v>
      </c>
      <c r="B9" t="s">
        <v>41</v>
      </c>
      <c r="C9" t="s">
        <v>81</v>
      </c>
      <c r="D9">
        <v>1.5</v>
      </c>
      <c r="E9" t="s">
        <v>41</v>
      </c>
      <c r="F9" t="s">
        <v>41</v>
      </c>
      <c r="G9" t="s">
        <v>41</v>
      </c>
      <c r="H9" t="s">
        <v>105</v>
      </c>
      <c r="I9">
        <v>3.55</v>
      </c>
      <c r="J9">
        <v>9.3084936490538901</v>
      </c>
      <c r="K9" t="s">
        <v>106</v>
      </c>
      <c r="L9">
        <v>7.15</v>
      </c>
      <c r="M9">
        <v>6.6</v>
      </c>
      <c r="N9">
        <v>1.5</v>
      </c>
    </row>
    <row r="10" spans="1:14">
      <c r="A10" t="s">
        <v>42</v>
      </c>
      <c r="B10" t="s">
        <v>42</v>
      </c>
      <c r="C10" t="s">
        <v>81</v>
      </c>
      <c r="D10">
        <v>1.5</v>
      </c>
      <c r="E10" t="s">
        <v>42</v>
      </c>
      <c r="F10" t="s">
        <v>42</v>
      </c>
      <c r="G10" t="s">
        <v>42</v>
      </c>
      <c r="H10" t="s">
        <v>107</v>
      </c>
      <c r="I10">
        <v>5.65</v>
      </c>
      <c r="J10">
        <v>9.3084936490538901</v>
      </c>
      <c r="K10" t="s">
        <v>108</v>
      </c>
      <c r="L10">
        <v>12.25</v>
      </c>
      <c r="M10">
        <v>6.6</v>
      </c>
      <c r="N10">
        <v>1.5</v>
      </c>
    </row>
    <row r="11" spans="1:14">
      <c r="A11" t="s">
        <v>43</v>
      </c>
      <c r="B11" t="s">
        <v>43</v>
      </c>
      <c r="C11" t="s">
        <v>81</v>
      </c>
      <c r="D11">
        <v>1.5</v>
      </c>
      <c r="E11" t="s">
        <v>43</v>
      </c>
      <c r="F11" t="s">
        <v>43</v>
      </c>
      <c r="G11" t="s">
        <v>43</v>
      </c>
      <c r="H11" t="s">
        <v>109</v>
      </c>
      <c r="I11">
        <v>5.65</v>
      </c>
      <c r="J11">
        <v>13.900000000000899</v>
      </c>
      <c r="K11" t="s">
        <v>110</v>
      </c>
      <c r="L11">
        <v>4.3</v>
      </c>
      <c r="M11">
        <v>14.275</v>
      </c>
      <c r="N11">
        <v>1.5</v>
      </c>
    </row>
    <row r="12" spans="1:14">
      <c r="A12" t="s">
        <v>44</v>
      </c>
      <c r="B12" t="s">
        <v>44</v>
      </c>
      <c r="C12" t="s">
        <v>81</v>
      </c>
      <c r="D12">
        <v>1.5</v>
      </c>
      <c r="E12" t="s">
        <v>44</v>
      </c>
      <c r="F12" t="s">
        <v>44</v>
      </c>
      <c r="G12" t="s">
        <v>44</v>
      </c>
      <c r="H12" t="s">
        <v>111</v>
      </c>
      <c r="I12">
        <v>-0.749999999999996</v>
      </c>
      <c r="J12">
        <v>13.4084936490539</v>
      </c>
      <c r="K12" t="s">
        <v>112</v>
      </c>
      <c r="L12">
        <v>6.4</v>
      </c>
      <c r="M12">
        <v>14.275</v>
      </c>
      <c r="N12">
        <v>1.5</v>
      </c>
    </row>
    <row r="13" spans="1:14">
      <c r="A13" t="s">
        <v>45</v>
      </c>
      <c r="B13" t="s">
        <v>45</v>
      </c>
      <c r="C13" t="s">
        <v>81</v>
      </c>
      <c r="D13">
        <v>1.5</v>
      </c>
      <c r="E13" t="s">
        <v>45</v>
      </c>
      <c r="F13" t="s">
        <v>45</v>
      </c>
      <c r="G13" t="s">
        <v>45</v>
      </c>
      <c r="H13" t="s">
        <v>113</v>
      </c>
      <c r="I13">
        <v>10.75</v>
      </c>
      <c r="J13">
        <v>13.9000000000001</v>
      </c>
      <c r="K13" t="s">
        <v>114</v>
      </c>
      <c r="L13">
        <v>11.5</v>
      </c>
      <c r="M13">
        <v>14.275</v>
      </c>
      <c r="N13">
        <v>1.5</v>
      </c>
    </row>
    <row r="14" spans="1:14">
      <c r="A14" t="s">
        <v>46</v>
      </c>
      <c r="B14" t="s">
        <v>46</v>
      </c>
      <c r="C14" t="s">
        <v>81</v>
      </c>
      <c r="D14">
        <v>1.5</v>
      </c>
      <c r="E14" t="s">
        <v>46</v>
      </c>
      <c r="F14" t="s">
        <v>46</v>
      </c>
      <c r="G14" t="s">
        <v>46</v>
      </c>
      <c r="H14" t="s">
        <v>115</v>
      </c>
      <c r="I14">
        <v>12.599</v>
      </c>
      <c r="J14">
        <v>9.1999999999999993</v>
      </c>
      <c r="K14" t="s">
        <v>116</v>
      </c>
      <c r="L14">
        <v>0</v>
      </c>
      <c r="M14">
        <v>9.5749999999999993</v>
      </c>
      <c r="N14">
        <v>1.5</v>
      </c>
    </row>
    <row r="15" spans="1:14">
      <c r="A15" t="s">
        <v>47</v>
      </c>
      <c r="B15" t="s">
        <v>47</v>
      </c>
      <c r="C15" t="s">
        <v>81</v>
      </c>
      <c r="D15">
        <v>1.5</v>
      </c>
      <c r="E15" t="s">
        <v>47</v>
      </c>
      <c r="F15" t="s">
        <v>47</v>
      </c>
      <c r="G15" t="s">
        <v>47</v>
      </c>
      <c r="H15" t="s">
        <v>117</v>
      </c>
      <c r="I15">
        <v>15.75</v>
      </c>
      <c r="J15">
        <v>6.6</v>
      </c>
      <c r="K15" t="s">
        <v>118</v>
      </c>
      <c r="L15">
        <v>4.3</v>
      </c>
      <c r="M15">
        <v>7.35</v>
      </c>
      <c r="N15">
        <v>1.5</v>
      </c>
    </row>
    <row r="16" spans="1:14">
      <c r="A16" t="s">
        <v>48</v>
      </c>
      <c r="B16" t="s">
        <v>48</v>
      </c>
      <c r="C16" t="s">
        <v>81</v>
      </c>
      <c r="D16">
        <v>1.5</v>
      </c>
      <c r="E16" t="s">
        <v>48</v>
      </c>
      <c r="F16" t="s">
        <v>48</v>
      </c>
      <c r="G16" t="s">
        <v>48</v>
      </c>
      <c r="H16" t="s">
        <v>119</v>
      </c>
      <c r="I16">
        <v>15.7499999999987</v>
      </c>
      <c r="J16">
        <v>0</v>
      </c>
      <c r="K16" t="s">
        <v>120</v>
      </c>
      <c r="L16">
        <v>6.4</v>
      </c>
      <c r="M16">
        <v>7.35</v>
      </c>
      <c r="N16">
        <v>1.5</v>
      </c>
    </row>
    <row r="17" spans="1:14">
      <c r="A17" t="s">
        <v>49</v>
      </c>
      <c r="B17" t="s">
        <v>49</v>
      </c>
      <c r="C17" t="s">
        <v>81</v>
      </c>
      <c r="D17">
        <v>1.5</v>
      </c>
      <c r="E17" t="s">
        <v>49</v>
      </c>
      <c r="F17" t="s">
        <v>49</v>
      </c>
      <c r="G17" t="s">
        <v>49</v>
      </c>
      <c r="H17" t="s">
        <v>121</v>
      </c>
      <c r="I17">
        <v>3.55</v>
      </c>
      <c r="J17">
        <v>6.5999999999999899</v>
      </c>
      <c r="K17" t="s">
        <v>122</v>
      </c>
      <c r="L17">
        <v>11.5</v>
      </c>
      <c r="M17">
        <v>7.35</v>
      </c>
      <c r="N17">
        <v>1.5</v>
      </c>
    </row>
    <row r="18" spans="1:14">
      <c r="A18" t="s">
        <v>50</v>
      </c>
      <c r="B18" t="s">
        <v>50</v>
      </c>
      <c r="C18" t="s">
        <v>81</v>
      </c>
      <c r="D18">
        <v>1.5</v>
      </c>
      <c r="E18" t="s">
        <v>50</v>
      </c>
      <c r="F18" t="s">
        <v>50</v>
      </c>
      <c r="G18" t="s">
        <v>50</v>
      </c>
      <c r="H18" t="s">
        <v>123</v>
      </c>
      <c r="I18">
        <v>5.65</v>
      </c>
      <c r="J18">
        <v>6.6</v>
      </c>
      <c r="K18" t="s">
        <v>124</v>
      </c>
      <c r="L18">
        <v>13.349</v>
      </c>
      <c r="M18">
        <v>9.5749999999999993</v>
      </c>
      <c r="N18">
        <v>1.5</v>
      </c>
    </row>
    <row r="19" spans="1:14">
      <c r="A19" t="s">
        <v>51</v>
      </c>
      <c r="B19" t="s">
        <v>51</v>
      </c>
      <c r="C19" t="s">
        <v>81</v>
      </c>
      <c r="D19">
        <v>1.5</v>
      </c>
      <c r="E19" t="s">
        <v>51</v>
      </c>
      <c r="F19" t="s">
        <v>51</v>
      </c>
      <c r="G19" t="s">
        <v>51</v>
      </c>
      <c r="H19" t="s">
        <v>125</v>
      </c>
      <c r="I19">
        <v>10.75</v>
      </c>
      <c r="J19">
        <v>6.6</v>
      </c>
      <c r="K19" t="s">
        <v>126</v>
      </c>
      <c r="L19">
        <v>16.5</v>
      </c>
      <c r="M19">
        <v>6.9749999999999996</v>
      </c>
      <c r="N19">
        <v>1.5</v>
      </c>
    </row>
    <row r="20" spans="1:14">
      <c r="A20" t="s">
        <v>52</v>
      </c>
      <c r="B20" t="s">
        <v>52</v>
      </c>
      <c r="C20" t="s">
        <v>81</v>
      </c>
      <c r="D20">
        <v>0.75</v>
      </c>
      <c r="E20" t="s">
        <v>52</v>
      </c>
      <c r="F20" t="s">
        <v>52</v>
      </c>
      <c r="G20" t="s">
        <v>52</v>
      </c>
      <c r="H20" t="s">
        <v>127</v>
      </c>
      <c r="I20">
        <v>4.3</v>
      </c>
      <c r="J20">
        <v>13.525</v>
      </c>
      <c r="K20" t="s">
        <v>128</v>
      </c>
      <c r="L20">
        <v>0.750000000000004</v>
      </c>
      <c r="M20">
        <v>9.1999999999999993</v>
      </c>
      <c r="N20">
        <v>0.75</v>
      </c>
    </row>
    <row r="21" spans="1:14">
      <c r="A21" t="s">
        <v>53</v>
      </c>
      <c r="B21" t="s">
        <v>53</v>
      </c>
      <c r="C21" t="s">
        <v>81</v>
      </c>
      <c r="D21">
        <v>0.75</v>
      </c>
      <c r="E21" t="s">
        <v>53</v>
      </c>
      <c r="F21" t="s">
        <v>53</v>
      </c>
      <c r="G21" t="s">
        <v>53</v>
      </c>
      <c r="H21" t="s">
        <v>129</v>
      </c>
      <c r="I21">
        <v>16.4999999999987</v>
      </c>
      <c r="J21">
        <v>-0.37500000000044698</v>
      </c>
      <c r="K21" t="s">
        <v>130</v>
      </c>
      <c r="L21">
        <v>0.750000000000004</v>
      </c>
      <c r="M21">
        <v>0.10849364905389</v>
      </c>
      <c r="N21">
        <v>1.3999999761581401</v>
      </c>
    </row>
    <row r="22" spans="1:14">
      <c r="A22" t="s">
        <v>54</v>
      </c>
      <c r="B22" t="s">
        <v>54</v>
      </c>
      <c r="C22" t="s">
        <v>81</v>
      </c>
      <c r="D22">
        <v>1.4</v>
      </c>
      <c r="E22" t="s">
        <v>54</v>
      </c>
      <c r="F22" t="s">
        <v>54</v>
      </c>
      <c r="G22" t="s">
        <v>54</v>
      </c>
      <c r="H22" t="s">
        <v>131</v>
      </c>
      <c r="I22">
        <v>0</v>
      </c>
      <c r="J22">
        <v>12.708493649053899</v>
      </c>
      <c r="K22" t="s">
        <v>132</v>
      </c>
      <c r="L22">
        <v>5.05</v>
      </c>
      <c r="M22">
        <v>0.10849364905389</v>
      </c>
      <c r="N22">
        <v>1.3999999761581401</v>
      </c>
    </row>
    <row r="23" spans="1:14">
      <c r="A23" t="s">
        <v>55</v>
      </c>
      <c r="B23" t="s">
        <v>55</v>
      </c>
      <c r="C23" t="s">
        <v>81</v>
      </c>
      <c r="D23">
        <v>1.4</v>
      </c>
      <c r="E23" t="s">
        <v>55</v>
      </c>
      <c r="F23" t="s">
        <v>55</v>
      </c>
      <c r="G23" t="s">
        <v>55</v>
      </c>
      <c r="H23" t="s">
        <v>133</v>
      </c>
      <c r="I23">
        <v>0</v>
      </c>
      <c r="J23">
        <v>6.0084936490538903</v>
      </c>
      <c r="K23" t="s">
        <v>134</v>
      </c>
      <c r="L23">
        <v>7.15</v>
      </c>
      <c r="M23">
        <v>0.10849364905389</v>
      </c>
      <c r="N23">
        <v>1.3999999761581401</v>
      </c>
    </row>
    <row r="24" spans="1:14">
      <c r="A24" t="s">
        <v>56</v>
      </c>
      <c r="B24" t="s">
        <v>56</v>
      </c>
      <c r="C24" t="s">
        <v>81</v>
      </c>
      <c r="D24">
        <v>1.4</v>
      </c>
      <c r="E24" t="s">
        <v>56</v>
      </c>
      <c r="F24" t="s">
        <v>56</v>
      </c>
      <c r="G24" t="s">
        <v>56</v>
      </c>
      <c r="H24" t="s">
        <v>135</v>
      </c>
      <c r="I24">
        <v>0</v>
      </c>
      <c r="J24">
        <v>-0.59150635094611004</v>
      </c>
      <c r="K24" t="s">
        <v>136</v>
      </c>
      <c r="L24">
        <v>12.25</v>
      </c>
      <c r="M24">
        <v>0.10849364905389</v>
      </c>
      <c r="N24">
        <v>1.3999999761581401</v>
      </c>
    </row>
    <row r="25" spans="1:14">
      <c r="A25" t="s">
        <v>57</v>
      </c>
      <c r="B25" t="s">
        <v>57</v>
      </c>
      <c r="C25" t="s">
        <v>81</v>
      </c>
      <c r="D25">
        <v>1.4</v>
      </c>
      <c r="E25" t="s">
        <v>57</v>
      </c>
      <c r="F25" t="s">
        <v>57</v>
      </c>
      <c r="G25" t="s">
        <v>57</v>
      </c>
      <c r="H25" t="s">
        <v>137</v>
      </c>
      <c r="I25">
        <v>4.3</v>
      </c>
      <c r="J25">
        <v>-0.59150635094611004</v>
      </c>
      <c r="K25" t="s">
        <v>138</v>
      </c>
      <c r="L25">
        <v>0.750000000000004</v>
      </c>
      <c r="M25">
        <v>6.7084936490538896</v>
      </c>
      <c r="N25">
        <v>1.3999999761581401</v>
      </c>
    </row>
    <row r="26" spans="1:14">
      <c r="A26" t="s">
        <v>58</v>
      </c>
      <c r="B26" t="s">
        <v>58</v>
      </c>
      <c r="C26" t="s">
        <v>81</v>
      </c>
      <c r="D26">
        <v>1.4</v>
      </c>
      <c r="E26" t="s">
        <v>58</v>
      </c>
      <c r="F26" t="s">
        <v>58</v>
      </c>
      <c r="G26" t="s">
        <v>58</v>
      </c>
      <c r="H26" t="s">
        <v>139</v>
      </c>
      <c r="I26">
        <v>6.4</v>
      </c>
      <c r="J26">
        <v>-0.59150635094611004</v>
      </c>
      <c r="K26" t="s">
        <v>140</v>
      </c>
      <c r="L26">
        <v>5.05</v>
      </c>
      <c r="M26">
        <v>9.3084936490538901</v>
      </c>
      <c r="N26">
        <v>1.3999999761581401</v>
      </c>
    </row>
    <row r="27" spans="1:14">
      <c r="A27" t="s">
        <v>59</v>
      </c>
      <c r="B27" t="s">
        <v>59</v>
      </c>
      <c r="C27" t="s">
        <v>81</v>
      </c>
      <c r="D27">
        <v>1.4</v>
      </c>
      <c r="E27" t="s">
        <v>59</v>
      </c>
      <c r="F27" t="s">
        <v>59</v>
      </c>
      <c r="G27" t="s">
        <v>59</v>
      </c>
      <c r="H27" t="s">
        <v>141</v>
      </c>
      <c r="I27">
        <v>11.5</v>
      </c>
      <c r="J27">
        <v>-0.59150635094611004</v>
      </c>
      <c r="K27" t="s">
        <v>142</v>
      </c>
      <c r="L27">
        <v>7.15</v>
      </c>
      <c r="M27">
        <v>9.3084936490538901</v>
      </c>
      <c r="N27">
        <v>1.3999999761581401</v>
      </c>
    </row>
    <row r="28" spans="1:14">
      <c r="A28" t="s">
        <v>60</v>
      </c>
      <c r="B28" t="s">
        <v>60</v>
      </c>
      <c r="C28" t="s">
        <v>81</v>
      </c>
      <c r="D28">
        <v>1.4</v>
      </c>
      <c r="E28" t="s">
        <v>60</v>
      </c>
      <c r="F28" t="s">
        <v>60</v>
      </c>
      <c r="G28" t="s">
        <v>60</v>
      </c>
      <c r="H28" t="s">
        <v>143</v>
      </c>
      <c r="I28">
        <v>6.4</v>
      </c>
      <c r="J28">
        <v>8.6084936490538908</v>
      </c>
      <c r="K28" t="s">
        <v>144</v>
      </c>
      <c r="L28">
        <v>0.750000000000004</v>
      </c>
      <c r="M28">
        <v>13.4084936490539</v>
      </c>
      <c r="N28">
        <v>1.3999999761581401</v>
      </c>
    </row>
    <row r="29" spans="1:14">
      <c r="A29" t="s">
        <v>61</v>
      </c>
      <c r="B29" t="s">
        <v>61</v>
      </c>
      <c r="C29" t="s">
        <v>81</v>
      </c>
      <c r="D29">
        <v>1.4</v>
      </c>
      <c r="E29" t="s">
        <v>61</v>
      </c>
      <c r="F29" t="s">
        <v>61</v>
      </c>
      <c r="G29" t="s">
        <v>61</v>
      </c>
      <c r="H29" t="s">
        <v>145</v>
      </c>
      <c r="I29">
        <v>4.3</v>
      </c>
      <c r="J29">
        <v>8.6084936490538908</v>
      </c>
      <c r="K29" t="s">
        <v>146</v>
      </c>
      <c r="L29">
        <v>16.5</v>
      </c>
      <c r="M29">
        <v>0.37499999999955302</v>
      </c>
      <c r="N29">
        <v>1.5</v>
      </c>
    </row>
    <row r="30" spans="1:14">
      <c r="A30" t="s">
        <v>62</v>
      </c>
      <c r="B30" t="s">
        <v>62</v>
      </c>
      <c r="C30" t="s">
        <v>81</v>
      </c>
      <c r="D30">
        <v>1.4</v>
      </c>
      <c r="E30" t="s">
        <v>62</v>
      </c>
      <c r="F30" t="s">
        <v>62</v>
      </c>
      <c r="G30" t="s">
        <v>62</v>
      </c>
      <c r="H30" t="s">
        <v>147</v>
      </c>
      <c r="I30">
        <v>0</v>
      </c>
      <c r="J30">
        <v>14.1084936490539</v>
      </c>
      <c r="K30" t="s">
        <v>148</v>
      </c>
      <c r="L30">
        <v>0</v>
      </c>
      <c r="M30">
        <v>14.1084936490539</v>
      </c>
      <c r="N30">
        <v>1.5</v>
      </c>
    </row>
    <row r="31" spans="1:14">
      <c r="A31" t="s">
        <v>63</v>
      </c>
      <c r="B31" t="s">
        <v>63</v>
      </c>
      <c r="C31" t="s">
        <v>81</v>
      </c>
      <c r="D31">
        <v>0.75</v>
      </c>
      <c r="E31" t="s">
        <v>63</v>
      </c>
      <c r="F31" t="s">
        <v>63</v>
      </c>
      <c r="G31" t="s">
        <v>63</v>
      </c>
      <c r="H31" t="s">
        <v>149</v>
      </c>
      <c r="I31">
        <v>6.4</v>
      </c>
      <c r="J31">
        <v>13.525</v>
      </c>
      <c r="K31" t="s">
        <v>150</v>
      </c>
      <c r="L31">
        <v>0</v>
      </c>
      <c r="M31">
        <v>7.4084936490538897</v>
      </c>
      <c r="N31">
        <v>1.5</v>
      </c>
    </row>
    <row r="32" spans="1:14">
      <c r="A32" t="s">
        <v>64</v>
      </c>
      <c r="B32" t="s">
        <v>64</v>
      </c>
      <c r="C32" t="s">
        <v>81</v>
      </c>
      <c r="D32">
        <v>1.4</v>
      </c>
      <c r="E32" t="s">
        <v>64</v>
      </c>
      <c r="F32" t="s">
        <v>64</v>
      </c>
      <c r="G32" t="s">
        <v>64</v>
      </c>
      <c r="H32" t="s">
        <v>151</v>
      </c>
      <c r="I32">
        <v>4.3</v>
      </c>
      <c r="J32">
        <v>10.0084936490539</v>
      </c>
      <c r="K32" t="s">
        <v>152</v>
      </c>
      <c r="L32">
        <v>0</v>
      </c>
      <c r="M32">
        <v>0.80849364905389198</v>
      </c>
      <c r="N32">
        <v>1.5</v>
      </c>
    </row>
    <row r="33" spans="1:14">
      <c r="A33" t="s">
        <v>65</v>
      </c>
      <c r="B33" t="s">
        <v>65</v>
      </c>
      <c r="C33" t="s">
        <v>81</v>
      </c>
      <c r="D33">
        <v>1.4</v>
      </c>
      <c r="E33" t="s">
        <v>65</v>
      </c>
      <c r="F33" t="s">
        <v>65</v>
      </c>
      <c r="G33" t="s">
        <v>65</v>
      </c>
      <c r="H33" t="s">
        <v>153</v>
      </c>
      <c r="I33">
        <v>6.4</v>
      </c>
      <c r="J33">
        <v>10.0084936490539</v>
      </c>
      <c r="K33" t="s">
        <v>154</v>
      </c>
      <c r="L33">
        <v>4.3</v>
      </c>
      <c r="M33">
        <v>0.80849364905389098</v>
      </c>
      <c r="N33">
        <v>1.5</v>
      </c>
    </row>
    <row r="34" spans="1:14">
      <c r="A34" t="s">
        <v>66</v>
      </c>
      <c r="B34" t="s">
        <v>66</v>
      </c>
      <c r="C34" t="s">
        <v>81</v>
      </c>
      <c r="D34">
        <v>1.4</v>
      </c>
      <c r="E34" t="s">
        <v>66</v>
      </c>
      <c r="F34" t="s">
        <v>66</v>
      </c>
      <c r="G34" t="s">
        <v>66</v>
      </c>
      <c r="H34" t="s">
        <v>155</v>
      </c>
      <c r="I34">
        <v>0</v>
      </c>
      <c r="J34">
        <v>7.4084936490538897</v>
      </c>
      <c r="K34" t="s">
        <v>156</v>
      </c>
      <c r="L34">
        <v>6.4</v>
      </c>
      <c r="M34">
        <v>0.80849364905389098</v>
      </c>
      <c r="N34">
        <v>1.5</v>
      </c>
    </row>
    <row r="35" spans="1:14">
      <c r="A35" t="s">
        <v>67</v>
      </c>
      <c r="B35" t="s">
        <v>67</v>
      </c>
      <c r="C35" t="s">
        <v>81</v>
      </c>
      <c r="D35">
        <v>1.4</v>
      </c>
      <c r="E35" t="s">
        <v>67</v>
      </c>
      <c r="F35" t="s">
        <v>67</v>
      </c>
      <c r="G35" t="s">
        <v>67</v>
      </c>
      <c r="H35" t="s">
        <v>157</v>
      </c>
      <c r="I35">
        <v>0</v>
      </c>
      <c r="J35">
        <v>0.80849364905389198</v>
      </c>
      <c r="K35" t="s">
        <v>158</v>
      </c>
      <c r="L35">
        <v>11.5</v>
      </c>
      <c r="M35">
        <v>0.80849364905389098</v>
      </c>
      <c r="N35">
        <v>1.5</v>
      </c>
    </row>
    <row r="36" spans="1:14">
      <c r="A36" t="s">
        <v>68</v>
      </c>
      <c r="B36" t="s">
        <v>68</v>
      </c>
      <c r="C36" t="s">
        <v>81</v>
      </c>
      <c r="D36">
        <v>1.4</v>
      </c>
      <c r="E36" t="s">
        <v>68</v>
      </c>
      <c r="F36" t="s">
        <v>68</v>
      </c>
      <c r="G36" t="s">
        <v>68</v>
      </c>
      <c r="H36" t="s">
        <v>159</v>
      </c>
      <c r="I36">
        <v>4.3</v>
      </c>
      <c r="J36">
        <v>0.80849364905389098</v>
      </c>
      <c r="K36" t="s">
        <v>160</v>
      </c>
      <c r="L36">
        <v>6.4</v>
      </c>
      <c r="M36">
        <v>10.0084936490539</v>
      </c>
      <c r="N36">
        <v>1.5</v>
      </c>
    </row>
    <row r="37" spans="1:14">
      <c r="A37" t="s">
        <v>69</v>
      </c>
      <c r="B37" t="s">
        <v>69</v>
      </c>
      <c r="C37" t="s">
        <v>81</v>
      </c>
      <c r="D37">
        <v>1.4</v>
      </c>
      <c r="E37" t="s">
        <v>69</v>
      </c>
      <c r="F37" t="s">
        <v>69</v>
      </c>
      <c r="G37" t="s">
        <v>69</v>
      </c>
      <c r="H37" t="s">
        <v>161</v>
      </c>
      <c r="I37">
        <v>6.4</v>
      </c>
      <c r="J37">
        <v>0.80849364905389098</v>
      </c>
      <c r="K37" t="s">
        <v>162</v>
      </c>
      <c r="L37">
        <v>4.3</v>
      </c>
      <c r="M37">
        <v>10.0084936490539</v>
      </c>
      <c r="N37">
        <v>1.5</v>
      </c>
    </row>
    <row r="38" spans="1:14">
      <c r="A38" t="s">
        <v>70</v>
      </c>
      <c r="B38" t="s">
        <v>70</v>
      </c>
      <c r="C38" t="s">
        <v>81</v>
      </c>
      <c r="D38">
        <v>1.4</v>
      </c>
      <c r="E38" t="s">
        <v>70</v>
      </c>
      <c r="F38" t="s">
        <v>70</v>
      </c>
      <c r="G38" t="s">
        <v>70</v>
      </c>
      <c r="H38" t="s">
        <v>163</v>
      </c>
      <c r="I38">
        <v>11.5</v>
      </c>
      <c r="J38">
        <v>0.80849364905389098</v>
      </c>
      <c r="K38" t="s">
        <v>164</v>
      </c>
      <c r="L38">
        <v>0</v>
      </c>
      <c r="M38">
        <v>12.708493649053899</v>
      </c>
      <c r="N38">
        <v>0.75</v>
      </c>
    </row>
    <row r="39" spans="1:14">
      <c r="A39" t="s">
        <v>71</v>
      </c>
      <c r="B39" t="s">
        <v>71</v>
      </c>
      <c r="C39" t="s">
        <v>81</v>
      </c>
      <c r="D39">
        <v>0.75</v>
      </c>
      <c r="E39" t="s">
        <v>71</v>
      </c>
      <c r="F39" t="s">
        <v>71</v>
      </c>
      <c r="G39" t="s">
        <v>71</v>
      </c>
      <c r="H39" t="s">
        <v>165</v>
      </c>
      <c r="I39">
        <v>11.5</v>
      </c>
      <c r="J39">
        <v>13.525</v>
      </c>
      <c r="K39" t="s">
        <v>166</v>
      </c>
      <c r="L39">
        <v>4.3</v>
      </c>
      <c r="M39">
        <v>8.6084936490538908</v>
      </c>
      <c r="N39">
        <v>0.75</v>
      </c>
    </row>
    <row r="40" spans="1:14">
      <c r="A40" t="s">
        <v>72</v>
      </c>
      <c r="B40" t="s">
        <v>72</v>
      </c>
      <c r="C40" t="s">
        <v>81</v>
      </c>
      <c r="D40">
        <v>0.75</v>
      </c>
      <c r="E40" t="s">
        <v>72</v>
      </c>
      <c r="F40" t="s">
        <v>72</v>
      </c>
      <c r="G40" t="s">
        <v>72</v>
      </c>
      <c r="H40" t="s">
        <v>167</v>
      </c>
      <c r="I40">
        <v>0</v>
      </c>
      <c r="J40">
        <v>8.8249999999999993</v>
      </c>
      <c r="K40" t="s">
        <v>168</v>
      </c>
      <c r="L40">
        <v>6.4</v>
      </c>
      <c r="M40">
        <v>8.6084936490538908</v>
      </c>
      <c r="N40">
        <v>0.75</v>
      </c>
    </row>
    <row r="41" spans="1:14">
      <c r="A41" t="s">
        <v>73</v>
      </c>
      <c r="B41" t="s">
        <v>73</v>
      </c>
      <c r="C41" t="s">
        <v>81</v>
      </c>
      <c r="D41">
        <v>1.5</v>
      </c>
      <c r="E41" t="s">
        <v>73</v>
      </c>
      <c r="F41" t="s">
        <v>73</v>
      </c>
      <c r="G41" t="s">
        <v>73</v>
      </c>
      <c r="H41" t="s">
        <v>169</v>
      </c>
      <c r="I41">
        <v>4.3</v>
      </c>
      <c r="J41">
        <v>5.85</v>
      </c>
      <c r="K41" t="s">
        <v>170</v>
      </c>
      <c r="L41">
        <v>0</v>
      </c>
      <c r="M41">
        <v>6.0084936490538903</v>
      </c>
      <c r="N41">
        <v>0.75</v>
      </c>
    </row>
    <row r="42" spans="1:14">
      <c r="A42" t="s">
        <v>74</v>
      </c>
      <c r="B42" t="s">
        <v>74</v>
      </c>
      <c r="C42" t="s">
        <v>81</v>
      </c>
      <c r="D42">
        <v>1.5</v>
      </c>
      <c r="E42" t="s">
        <v>74</v>
      </c>
      <c r="F42" t="s">
        <v>74</v>
      </c>
      <c r="G42" t="s">
        <v>74</v>
      </c>
      <c r="H42" t="s">
        <v>171</v>
      </c>
      <c r="I42">
        <v>6.4</v>
      </c>
      <c r="J42">
        <v>5.85</v>
      </c>
      <c r="K42" t="s">
        <v>172</v>
      </c>
      <c r="L42">
        <v>0</v>
      </c>
      <c r="M42">
        <v>-0.59150635094611004</v>
      </c>
      <c r="N42">
        <v>0.75</v>
      </c>
    </row>
    <row r="43" spans="1:14">
      <c r="A43" t="s">
        <v>75</v>
      </c>
      <c r="B43" t="s">
        <v>75</v>
      </c>
      <c r="C43" t="s">
        <v>81</v>
      </c>
      <c r="D43">
        <v>1.5</v>
      </c>
      <c r="E43" t="s">
        <v>75</v>
      </c>
      <c r="F43" t="s">
        <v>75</v>
      </c>
      <c r="G43" t="s">
        <v>75</v>
      </c>
      <c r="H43" t="s">
        <v>173</v>
      </c>
      <c r="I43">
        <v>11.5</v>
      </c>
      <c r="J43">
        <v>5.85</v>
      </c>
      <c r="K43" t="s">
        <v>174</v>
      </c>
      <c r="L43">
        <v>4.3</v>
      </c>
      <c r="M43">
        <v>-0.59150635094611004</v>
      </c>
      <c r="N43">
        <v>0.75</v>
      </c>
    </row>
    <row r="44" spans="1:14">
      <c r="A44" t="s">
        <v>76</v>
      </c>
      <c r="B44" t="s">
        <v>76</v>
      </c>
      <c r="C44" t="s">
        <v>81</v>
      </c>
      <c r="D44">
        <v>0.75</v>
      </c>
      <c r="E44" t="s">
        <v>76</v>
      </c>
      <c r="F44" t="s">
        <v>76</v>
      </c>
      <c r="G44" t="s">
        <v>76</v>
      </c>
      <c r="H44" t="s">
        <v>175</v>
      </c>
      <c r="I44">
        <v>13.349</v>
      </c>
      <c r="J44">
        <v>8.8249999999999993</v>
      </c>
      <c r="K44" t="s">
        <v>176</v>
      </c>
      <c r="L44">
        <v>6.4</v>
      </c>
      <c r="M44">
        <v>-0.59150635094611004</v>
      </c>
      <c r="N44">
        <v>0.75</v>
      </c>
    </row>
    <row r="45" spans="1:14">
      <c r="A45" t="s">
        <v>77</v>
      </c>
      <c r="B45" t="s">
        <v>77</v>
      </c>
      <c r="C45" t="s">
        <v>81</v>
      </c>
      <c r="D45">
        <v>0.75</v>
      </c>
      <c r="E45" t="s">
        <v>77</v>
      </c>
      <c r="F45" t="s">
        <v>77</v>
      </c>
      <c r="G45" t="s">
        <v>77</v>
      </c>
      <c r="H45" t="s">
        <v>177</v>
      </c>
      <c r="I45">
        <v>16.5</v>
      </c>
      <c r="J45">
        <v>6.2249999999999996</v>
      </c>
      <c r="K45" t="s">
        <v>178</v>
      </c>
      <c r="L45">
        <v>11.5</v>
      </c>
      <c r="M45">
        <v>-0.59150635094611004</v>
      </c>
      <c r="N45">
        <v>0.75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499984740745262"/>
  </sheetPr>
  <dimension ref="A1:D180"/>
  <sheetViews>
    <sheetView workbookViewId="0">
      <selection activeCell="L5" sqref="L5"/>
    </sheetView>
  </sheetViews>
  <sheetFormatPr defaultColWidth="9" defaultRowHeight="14.25"/>
  <sheetData>
    <row r="1" spans="1:4">
      <c r="A1" t="s">
        <v>179</v>
      </c>
      <c r="B1" t="s">
        <v>180</v>
      </c>
      <c r="C1" t="s">
        <v>181</v>
      </c>
      <c r="D1" t="s">
        <v>182</v>
      </c>
    </row>
    <row r="2" spans="1:4">
      <c r="A2" t="s">
        <v>91</v>
      </c>
      <c r="B2">
        <v>3.55</v>
      </c>
      <c r="C2">
        <v>13.900000000000899</v>
      </c>
      <c r="D2">
        <v>0</v>
      </c>
    </row>
    <row r="3" spans="1:4">
      <c r="A3" t="s">
        <v>109</v>
      </c>
      <c r="B3">
        <v>5.65</v>
      </c>
      <c r="C3">
        <v>13.900000000000899</v>
      </c>
      <c r="D3">
        <v>0</v>
      </c>
    </row>
    <row r="4" spans="1:4">
      <c r="A4" t="s">
        <v>113</v>
      </c>
      <c r="B4">
        <v>10.75</v>
      </c>
      <c r="C4">
        <v>13.9000000000001</v>
      </c>
      <c r="D4">
        <v>0</v>
      </c>
    </row>
    <row r="5" spans="1:4">
      <c r="A5" t="s">
        <v>115</v>
      </c>
      <c r="B5">
        <v>12.599</v>
      </c>
      <c r="C5">
        <v>9.1999999999999993</v>
      </c>
      <c r="D5">
        <v>0</v>
      </c>
    </row>
    <row r="6" spans="1:4">
      <c r="A6" t="s">
        <v>117</v>
      </c>
      <c r="B6">
        <v>15.75</v>
      </c>
      <c r="C6">
        <v>6.6</v>
      </c>
      <c r="D6">
        <v>0</v>
      </c>
    </row>
    <row r="7" spans="1:4">
      <c r="A7" t="s">
        <v>119</v>
      </c>
      <c r="B7">
        <v>15.7499999999987</v>
      </c>
      <c r="C7">
        <v>0</v>
      </c>
      <c r="D7">
        <v>0</v>
      </c>
    </row>
    <row r="8" spans="1:4">
      <c r="A8" t="s">
        <v>121</v>
      </c>
      <c r="B8">
        <v>3.55</v>
      </c>
      <c r="C8">
        <v>6.5999999999999899</v>
      </c>
      <c r="D8">
        <v>0</v>
      </c>
    </row>
    <row r="9" spans="1:4">
      <c r="A9" t="s">
        <v>123</v>
      </c>
      <c r="B9">
        <v>5.65</v>
      </c>
      <c r="C9">
        <v>6.6</v>
      </c>
      <c r="D9">
        <v>0</v>
      </c>
    </row>
    <row r="10" spans="1:4">
      <c r="A10" t="s">
        <v>125</v>
      </c>
      <c r="B10">
        <v>10.75</v>
      </c>
      <c r="C10">
        <v>6.6</v>
      </c>
      <c r="D10">
        <v>0</v>
      </c>
    </row>
    <row r="11" spans="1:4">
      <c r="A11" t="s">
        <v>127</v>
      </c>
      <c r="B11">
        <v>4.3</v>
      </c>
      <c r="C11">
        <v>13.525</v>
      </c>
      <c r="D11">
        <v>0</v>
      </c>
    </row>
    <row r="12" spans="1:4">
      <c r="A12" t="s">
        <v>149</v>
      </c>
      <c r="B12">
        <v>6.4</v>
      </c>
      <c r="C12">
        <v>13.525</v>
      </c>
      <c r="D12">
        <v>0</v>
      </c>
    </row>
    <row r="13" spans="1:4">
      <c r="A13" t="s">
        <v>165</v>
      </c>
      <c r="B13">
        <v>11.5</v>
      </c>
      <c r="C13">
        <v>13.525</v>
      </c>
      <c r="D13">
        <v>0</v>
      </c>
    </row>
    <row r="14" spans="1:4">
      <c r="A14" t="s">
        <v>167</v>
      </c>
      <c r="B14">
        <v>0</v>
      </c>
      <c r="C14">
        <v>8.8249999999999993</v>
      </c>
      <c r="D14">
        <v>0</v>
      </c>
    </row>
    <row r="15" spans="1:4">
      <c r="A15" t="s">
        <v>169</v>
      </c>
      <c r="B15">
        <v>4.3</v>
      </c>
      <c r="C15">
        <v>5.85</v>
      </c>
      <c r="D15">
        <v>0</v>
      </c>
    </row>
    <row r="16" spans="1:4">
      <c r="A16" t="s">
        <v>171</v>
      </c>
      <c r="B16">
        <v>6.4</v>
      </c>
      <c r="C16">
        <v>5.85</v>
      </c>
      <c r="D16">
        <v>0</v>
      </c>
    </row>
    <row r="17" spans="1:4">
      <c r="A17" t="s">
        <v>173</v>
      </c>
      <c r="B17">
        <v>11.5</v>
      </c>
      <c r="C17">
        <v>5.85</v>
      </c>
      <c r="D17">
        <v>0</v>
      </c>
    </row>
    <row r="18" spans="1:4">
      <c r="A18" t="s">
        <v>175</v>
      </c>
      <c r="B18">
        <v>13.349</v>
      </c>
      <c r="C18">
        <v>8.8249999999999993</v>
      </c>
      <c r="D18">
        <v>0</v>
      </c>
    </row>
    <row r="19" spans="1:4">
      <c r="A19" t="s">
        <v>177</v>
      </c>
      <c r="B19">
        <v>16.5</v>
      </c>
      <c r="C19">
        <v>6.2249999999999996</v>
      </c>
      <c r="D19">
        <v>0</v>
      </c>
    </row>
    <row r="20" spans="1:4">
      <c r="A20" t="s">
        <v>93</v>
      </c>
      <c r="B20">
        <v>-0.749999999999996</v>
      </c>
      <c r="C20">
        <v>9.1999999999999993</v>
      </c>
      <c r="D20">
        <v>0</v>
      </c>
    </row>
    <row r="21" spans="1:4">
      <c r="A21" t="s">
        <v>95</v>
      </c>
      <c r="B21">
        <v>-0.749999999999996</v>
      </c>
      <c r="C21">
        <v>0.10849364905389</v>
      </c>
      <c r="D21">
        <v>0</v>
      </c>
    </row>
    <row r="22" spans="1:4">
      <c r="A22" t="s">
        <v>97</v>
      </c>
      <c r="B22">
        <v>3.55</v>
      </c>
      <c r="C22">
        <v>0.10849364905389</v>
      </c>
      <c r="D22">
        <v>0</v>
      </c>
    </row>
    <row r="23" spans="1:4">
      <c r="A23" t="s">
        <v>99</v>
      </c>
      <c r="B23">
        <v>5.65</v>
      </c>
      <c r="C23">
        <v>0.10849364905389</v>
      </c>
      <c r="D23">
        <v>0</v>
      </c>
    </row>
    <row r="24" spans="1:4">
      <c r="A24" t="s">
        <v>101</v>
      </c>
      <c r="B24">
        <v>10.75</v>
      </c>
      <c r="C24">
        <v>0.10849364905389</v>
      </c>
      <c r="D24">
        <v>0</v>
      </c>
    </row>
    <row r="25" spans="1:4">
      <c r="A25" t="s">
        <v>103</v>
      </c>
      <c r="B25">
        <v>-0.749999999999996</v>
      </c>
      <c r="C25">
        <v>6.7084936490538896</v>
      </c>
      <c r="D25">
        <v>0</v>
      </c>
    </row>
    <row r="26" spans="1:4">
      <c r="A26" t="s">
        <v>105</v>
      </c>
      <c r="B26">
        <v>3.55</v>
      </c>
      <c r="C26">
        <v>9.3084936490538901</v>
      </c>
      <c r="D26">
        <v>0</v>
      </c>
    </row>
    <row r="27" spans="1:4">
      <c r="A27" t="s">
        <v>107</v>
      </c>
      <c r="B27">
        <v>5.65</v>
      </c>
      <c r="C27">
        <v>9.3084936490538901</v>
      </c>
      <c r="D27">
        <v>0</v>
      </c>
    </row>
    <row r="28" spans="1:4">
      <c r="A28" t="s">
        <v>111</v>
      </c>
      <c r="B28">
        <v>-0.749999999999996</v>
      </c>
      <c r="C28">
        <v>13.4084936490539</v>
      </c>
      <c r="D28">
        <v>0</v>
      </c>
    </row>
    <row r="29" spans="1:4">
      <c r="A29" t="s">
        <v>129</v>
      </c>
      <c r="B29">
        <v>16.4999999999987</v>
      </c>
      <c r="C29">
        <v>-0.37500000000044698</v>
      </c>
      <c r="D29">
        <v>0</v>
      </c>
    </row>
    <row r="30" spans="1:4">
      <c r="A30" t="s">
        <v>131</v>
      </c>
      <c r="B30">
        <v>0</v>
      </c>
      <c r="C30">
        <v>12.708493649053899</v>
      </c>
      <c r="D30">
        <v>0</v>
      </c>
    </row>
    <row r="31" spans="1:4">
      <c r="A31" t="s">
        <v>133</v>
      </c>
      <c r="B31">
        <v>0</v>
      </c>
      <c r="C31">
        <v>6.0084936490538903</v>
      </c>
      <c r="D31">
        <v>0</v>
      </c>
    </row>
    <row r="32" spans="1:4">
      <c r="A32" t="s">
        <v>135</v>
      </c>
      <c r="B32">
        <v>0</v>
      </c>
      <c r="C32">
        <v>-0.59150635094611004</v>
      </c>
      <c r="D32">
        <v>0</v>
      </c>
    </row>
    <row r="33" spans="1:4">
      <c r="A33" t="s">
        <v>137</v>
      </c>
      <c r="B33">
        <v>4.3</v>
      </c>
      <c r="C33">
        <v>-0.59150635094611004</v>
      </c>
      <c r="D33">
        <v>0</v>
      </c>
    </row>
    <row r="34" spans="1:4">
      <c r="A34" t="s">
        <v>139</v>
      </c>
      <c r="B34">
        <v>6.4</v>
      </c>
      <c r="C34">
        <v>-0.59150635094611004</v>
      </c>
      <c r="D34">
        <v>0</v>
      </c>
    </row>
    <row r="35" spans="1:4">
      <c r="A35" t="s">
        <v>141</v>
      </c>
      <c r="B35">
        <v>11.5</v>
      </c>
      <c r="C35">
        <v>-0.59150635094611004</v>
      </c>
      <c r="D35">
        <v>0</v>
      </c>
    </row>
    <row r="36" spans="1:4">
      <c r="A36" t="s">
        <v>143</v>
      </c>
      <c r="B36">
        <v>6.4</v>
      </c>
      <c r="C36">
        <v>8.6084936490538908</v>
      </c>
      <c r="D36">
        <v>0</v>
      </c>
    </row>
    <row r="37" spans="1:4">
      <c r="A37" t="s">
        <v>145</v>
      </c>
      <c r="B37">
        <v>4.3</v>
      </c>
      <c r="C37">
        <v>8.6084936490538908</v>
      </c>
      <c r="D37">
        <v>0</v>
      </c>
    </row>
    <row r="38" spans="1:4">
      <c r="A38" t="s">
        <v>147</v>
      </c>
      <c r="B38">
        <v>0</v>
      </c>
      <c r="C38">
        <v>14.1084936490539</v>
      </c>
      <c r="D38">
        <v>0</v>
      </c>
    </row>
    <row r="39" spans="1:4">
      <c r="A39" t="s">
        <v>151</v>
      </c>
      <c r="B39">
        <v>4.3</v>
      </c>
      <c r="C39">
        <v>10.0084936490539</v>
      </c>
      <c r="D39">
        <v>0</v>
      </c>
    </row>
    <row r="40" spans="1:4">
      <c r="A40" t="s">
        <v>153</v>
      </c>
      <c r="B40">
        <v>6.4</v>
      </c>
      <c r="C40">
        <v>10.0084936490539</v>
      </c>
      <c r="D40">
        <v>0</v>
      </c>
    </row>
    <row r="41" spans="1:4">
      <c r="A41" t="s">
        <v>155</v>
      </c>
      <c r="B41">
        <v>0</v>
      </c>
      <c r="C41">
        <v>7.4084936490538897</v>
      </c>
      <c r="D41">
        <v>0</v>
      </c>
    </row>
    <row r="42" spans="1:4">
      <c r="A42" t="s">
        <v>157</v>
      </c>
      <c r="B42">
        <v>0</v>
      </c>
      <c r="C42">
        <v>0.80849364905389198</v>
      </c>
      <c r="D42">
        <v>0</v>
      </c>
    </row>
    <row r="43" spans="1:4">
      <c r="A43" t="s">
        <v>159</v>
      </c>
      <c r="B43">
        <v>4.3</v>
      </c>
      <c r="C43">
        <v>0.80849364905389098</v>
      </c>
      <c r="D43">
        <v>0</v>
      </c>
    </row>
    <row r="44" spans="1:4">
      <c r="A44" t="s">
        <v>161</v>
      </c>
      <c r="B44">
        <v>6.4</v>
      </c>
      <c r="C44">
        <v>0.80849364905389098</v>
      </c>
      <c r="D44">
        <v>0</v>
      </c>
    </row>
    <row r="45" spans="1:4">
      <c r="A45" t="s">
        <v>163</v>
      </c>
      <c r="B45">
        <v>11.5</v>
      </c>
      <c r="C45">
        <v>0.80849364905389098</v>
      </c>
      <c r="D45">
        <v>0</v>
      </c>
    </row>
    <row r="46" spans="1:4">
      <c r="A46" t="s">
        <v>87</v>
      </c>
      <c r="B46" t="s">
        <v>88</v>
      </c>
      <c r="C46" t="s">
        <v>89</v>
      </c>
      <c r="D46">
        <v>0</v>
      </c>
    </row>
    <row r="47" spans="1:4">
      <c r="A47" t="s">
        <v>92</v>
      </c>
      <c r="B47">
        <v>5.05</v>
      </c>
      <c r="C47">
        <v>13.900000000000899</v>
      </c>
      <c r="D47">
        <v>0</v>
      </c>
    </row>
    <row r="48" spans="1:4">
      <c r="A48" t="s">
        <v>94</v>
      </c>
      <c r="B48">
        <v>7.15</v>
      </c>
      <c r="C48">
        <v>13.9000000000008</v>
      </c>
      <c r="D48">
        <v>0</v>
      </c>
    </row>
    <row r="49" spans="1:4">
      <c r="A49" t="s">
        <v>96</v>
      </c>
      <c r="B49">
        <v>12.25</v>
      </c>
      <c r="C49">
        <v>13.9</v>
      </c>
      <c r="D49">
        <v>0</v>
      </c>
    </row>
    <row r="50" spans="1:4">
      <c r="A50" t="s">
        <v>98</v>
      </c>
      <c r="B50">
        <v>14.099</v>
      </c>
      <c r="C50">
        <v>9.1999999999999993</v>
      </c>
      <c r="D50">
        <v>0</v>
      </c>
    </row>
    <row r="51" spans="1:4">
      <c r="A51" t="s">
        <v>100</v>
      </c>
      <c r="B51">
        <v>17.25</v>
      </c>
      <c r="C51">
        <v>6.6</v>
      </c>
      <c r="D51">
        <v>0</v>
      </c>
    </row>
    <row r="52" spans="1:4">
      <c r="A52" t="s">
        <v>102</v>
      </c>
      <c r="B52">
        <v>17.2499999999987</v>
      </c>
      <c r="C52">
        <v>0</v>
      </c>
      <c r="D52">
        <v>0</v>
      </c>
    </row>
    <row r="53" spans="1:4">
      <c r="A53" t="s">
        <v>104</v>
      </c>
      <c r="B53">
        <v>5.05</v>
      </c>
      <c r="C53">
        <v>6.6</v>
      </c>
      <c r="D53">
        <v>0</v>
      </c>
    </row>
    <row r="54" spans="1:4">
      <c r="A54" t="s">
        <v>106</v>
      </c>
      <c r="B54">
        <v>7.15</v>
      </c>
      <c r="C54">
        <v>6.6</v>
      </c>
      <c r="D54">
        <v>0</v>
      </c>
    </row>
    <row r="55" spans="1:4">
      <c r="A55" t="s">
        <v>108</v>
      </c>
      <c r="B55">
        <v>12.25</v>
      </c>
      <c r="C55">
        <v>6.6</v>
      </c>
      <c r="D55">
        <v>0</v>
      </c>
    </row>
    <row r="56" spans="1:4">
      <c r="A56" t="s">
        <v>110</v>
      </c>
      <c r="B56">
        <v>4.3</v>
      </c>
      <c r="C56">
        <v>14.275</v>
      </c>
      <c r="D56">
        <v>0</v>
      </c>
    </row>
    <row r="57" spans="1:4">
      <c r="A57" t="s">
        <v>112</v>
      </c>
      <c r="B57">
        <v>6.4</v>
      </c>
      <c r="C57">
        <v>14.275</v>
      </c>
      <c r="D57">
        <v>0</v>
      </c>
    </row>
    <row r="58" spans="1:4">
      <c r="A58" t="s">
        <v>114</v>
      </c>
      <c r="B58">
        <v>11.5</v>
      </c>
      <c r="C58">
        <v>14.275</v>
      </c>
      <c r="D58">
        <v>0</v>
      </c>
    </row>
    <row r="59" spans="1:4">
      <c r="A59" t="s">
        <v>116</v>
      </c>
      <c r="B59">
        <v>0</v>
      </c>
      <c r="C59">
        <v>9.5749999999999993</v>
      </c>
      <c r="D59">
        <v>0</v>
      </c>
    </row>
    <row r="60" spans="1:4">
      <c r="A60" t="s">
        <v>118</v>
      </c>
      <c r="B60">
        <v>4.3</v>
      </c>
      <c r="C60">
        <v>7.35</v>
      </c>
      <c r="D60">
        <v>0</v>
      </c>
    </row>
    <row r="61" spans="1:4">
      <c r="A61" t="s">
        <v>120</v>
      </c>
      <c r="B61">
        <v>6.4</v>
      </c>
      <c r="C61">
        <v>7.35</v>
      </c>
      <c r="D61">
        <v>0</v>
      </c>
    </row>
    <row r="62" spans="1:4">
      <c r="A62" t="s">
        <v>122</v>
      </c>
      <c r="B62">
        <v>11.5</v>
      </c>
      <c r="C62">
        <v>7.35</v>
      </c>
      <c r="D62">
        <v>0</v>
      </c>
    </row>
    <row r="63" spans="1:4">
      <c r="A63" t="s">
        <v>124</v>
      </c>
      <c r="B63">
        <v>13.349</v>
      </c>
      <c r="C63">
        <v>9.5749999999999993</v>
      </c>
      <c r="D63">
        <v>0</v>
      </c>
    </row>
    <row r="64" spans="1:4">
      <c r="A64" t="s">
        <v>126</v>
      </c>
      <c r="B64">
        <v>16.5</v>
      </c>
      <c r="C64">
        <v>6.9749999999999996</v>
      </c>
      <c r="D64">
        <v>0</v>
      </c>
    </row>
    <row r="65" spans="1:4">
      <c r="A65" t="s">
        <v>128</v>
      </c>
      <c r="B65">
        <v>0.750000000000004</v>
      </c>
      <c r="C65">
        <v>9.1999999999999993</v>
      </c>
      <c r="D65">
        <v>0</v>
      </c>
    </row>
    <row r="66" spans="1:4">
      <c r="A66" t="s">
        <v>130</v>
      </c>
      <c r="B66">
        <v>0.750000000000004</v>
      </c>
      <c r="C66">
        <v>0.10849364905389</v>
      </c>
      <c r="D66">
        <v>0</v>
      </c>
    </row>
    <row r="67" spans="1:4">
      <c r="A67" t="s">
        <v>132</v>
      </c>
      <c r="B67">
        <v>5.05</v>
      </c>
      <c r="C67">
        <v>0.10849364905389</v>
      </c>
      <c r="D67">
        <v>0</v>
      </c>
    </row>
    <row r="68" spans="1:4">
      <c r="A68" t="s">
        <v>134</v>
      </c>
      <c r="B68">
        <v>7.15</v>
      </c>
      <c r="C68">
        <v>0.10849364905389</v>
      </c>
      <c r="D68">
        <v>0</v>
      </c>
    </row>
    <row r="69" spans="1:4">
      <c r="A69" t="s">
        <v>136</v>
      </c>
      <c r="B69">
        <v>12.25</v>
      </c>
      <c r="C69">
        <v>0.10849364905389</v>
      </c>
      <c r="D69">
        <v>0</v>
      </c>
    </row>
    <row r="70" spans="1:4">
      <c r="A70" t="s">
        <v>138</v>
      </c>
      <c r="B70">
        <v>0.750000000000004</v>
      </c>
      <c r="C70">
        <v>6.7084936490538896</v>
      </c>
      <c r="D70">
        <v>0</v>
      </c>
    </row>
    <row r="71" spans="1:4">
      <c r="A71" t="s">
        <v>140</v>
      </c>
      <c r="B71">
        <v>5.05</v>
      </c>
      <c r="C71">
        <v>9.3084936490538901</v>
      </c>
      <c r="D71">
        <v>0</v>
      </c>
    </row>
    <row r="72" spans="1:4">
      <c r="A72" t="s">
        <v>142</v>
      </c>
      <c r="B72">
        <v>7.15</v>
      </c>
      <c r="C72">
        <v>9.3084936490538901</v>
      </c>
      <c r="D72">
        <v>0</v>
      </c>
    </row>
    <row r="73" spans="1:4">
      <c r="A73" t="s">
        <v>144</v>
      </c>
      <c r="B73">
        <v>0.750000000000004</v>
      </c>
      <c r="C73">
        <v>13.4084936490539</v>
      </c>
      <c r="D73">
        <v>0</v>
      </c>
    </row>
    <row r="74" spans="1:4">
      <c r="A74" t="s">
        <v>146</v>
      </c>
      <c r="B74">
        <v>16.5</v>
      </c>
      <c r="C74">
        <v>0.37499999999955302</v>
      </c>
      <c r="D74">
        <v>0</v>
      </c>
    </row>
    <row r="75" spans="1:4">
      <c r="A75" t="s">
        <v>148</v>
      </c>
      <c r="B75">
        <v>0</v>
      </c>
      <c r="C75">
        <v>14.1084936490539</v>
      </c>
      <c r="D75">
        <v>0</v>
      </c>
    </row>
    <row r="76" spans="1:4">
      <c r="A76" t="s">
        <v>150</v>
      </c>
      <c r="B76">
        <v>0</v>
      </c>
      <c r="C76">
        <v>7.4084936490538897</v>
      </c>
      <c r="D76">
        <v>0</v>
      </c>
    </row>
    <row r="77" spans="1:4">
      <c r="A77" t="s">
        <v>152</v>
      </c>
      <c r="B77">
        <v>0</v>
      </c>
      <c r="C77">
        <v>0.80849364905389198</v>
      </c>
      <c r="D77">
        <v>0</v>
      </c>
    </row>
    <row r="78" spans="1:4">
      <c r="A78" t="s">
        <v>154</v>
      </c>
      <c r="B78">
        <v>4.3</v>
      </c>
      <c r="C78">
        <v>0.80849364905389098</v>
      </c>
      <c r="D78">
        <v>0</v>
      </c>
    </row>
    <row r="79" spans="1:4">
      <c r="A79" t="s">
        <v>156</v>
      </c>
      <c r="B79">
        <v>6.4</v>
      </c>
      <c r="C79">
        <v>0.80849364905389098</v>
      </c>
      <c r="D79">
        <v>0</v>
      </c>
    </row>
    <row r="80" spans="1:4">
      <c r="A80" t="s">
        <v>158</v>
      </c>
      <c r="B80">
        <v>11.5</v>
      </c>
      <c r="C80">
        <v>0.80849364905389098</v>
      </c>
      <c r="D80">
        <v>0</v>
      </c>
    </row>
    <row r="81" spans="1:4">
      <c r="A81" t="s">
        <v>160</v>
      </c>
      <c r="B81">
        <v>6.4</v>
      </c>
      <c r="C81">
        <v>10.0084936490539</v>
      </c>
      <c r="D81">
        <v>0</v>
      </c>
    </row>
    <row r="82" spans="1:4">
      <c r="A82" t="s">
        <v>162</v>
      </c>
      <c r="B82">
        <v>4.3</v>
      </c>
      <c r="C82">
        <v>10.0084936490539</v>
      </c>
      <c r="D82">
        <v>0</v>
      </c>
    </row>
    <row r="83" spans="1:4">
      <c r="A83" t="s">
        <v>164</v>
      </c>
      <c r="B83">
        <v>0</v>
      </c>
      <c r="C83">
        <v>12.708493649053899</v>
      </c>
      <c r="D83">
        <v>0</v>
      </c>
    </row>
    <row r="84" spans="1:4">
      <c r="A84" t="s">
        <v>166</v>
      </c>
      <c r="B84">
        <v>4.3</v>
      </c>
      <c r="C84">
        <v>8.6084936490538908</v>
      </c>
      <c r="D84">
        <v>0</v>
      </c>
    </row>
    <row r="85" spans="1:4">
      <c r="A85" t="s">
        <v>168</v>
      </c>
      <c r="B85">
        <v>6.4</v>
      </c>
      <c r="C85">
        <v>8.6084936490538908</v>
      </c>
      <c r="D85">
        <v>0</v>
      </c>
    </row>
    <row r="86" spans="1:4">
      <c r="A86" t="s">
        <v>170</v>
      </c>
      <c r="B86">
        <v>0</v>
      </c>
      <c r="C86">
        <v>6.0084936490538903</v>
      </c>
      <c r="D86">
        <v>0</v>
      </c>
    </row>
    <row r="87" spans="1:4">
      <c r="A87" t="s">
        <v>172</v>
      </c>
      <c r="B87">
        <v>0</v>
      </c>
      <c r="C87">
        <v>-0.59150635094611004</v>
      </c>
      <c r="D87">
        <v>0</v>
      </c>
    </row>
    <row r="88" spans="1:4">
      <c r="A88" t="s">
        <v>174</v>
      </c>
      <c r="B88">
        <v>4.3</v>
      </c>
      <c r="C88">
        <v>-0.59150635094611004</v>
      </c>
      <c r="D88">
        <v>0</v>
      </c>
    </row>
    <row r="89" spans="1:4">
      <c r="A89" t="s">
        <v>176</v>
      </c>
      <c r="B89">
        <v>6.4</v>
      </c>
      <c r="C89">
        <v>-0.59150635094611004</v>
      </c>
      <c r="D89">
        <v>0</v>
      </c>
    </row>
    <row r="90" spans="1:4">
      <c r="A90" t="s">
        <v>178</v>
      </c>
      <c r="B90">
        <v>11.5</v>
      </c>
      <c r="C90">
        <v>-0.59150635094611004</v>
      </c>
      <c r="D90">
        <v>0</v>
      </c>
    </row>
    <row r="91" spans="1:4">
      <c r="D91">
        <v>0</v>
      </c>
    </row>
    <row r="92" spans="1:4">
      <c r="D92">
        <v>0</v>
      </c>
    </row>
    <row r="93" spans="1:4">
      <c r="D93">
        <v>0</v>
      </c>
    </row>
    <row r="94" spans="1:4">
      <c r="D94">
        <v>0</v>
      </c>
    </row>
    <row r="95" spans="1:4">
      <c r="D95">
        <v>0</v>
      </c>
    </row>
    <row r="96" spans="1:4">
      <c r="D96">
        <v>0</v>
      </c>
    </row>
    <row r="97" spans="4:4">
      <c r="D97">
        <v>0</v>
      </c>
    </row>
    <row r="98" spans="4:4">
      <c r="D98">
        <v>0</v>
      </c>
    </row>
    <row r="99" spans="4:4">
      <c r="D99">
        <v>0</v>
      </c>
    </row>
    <row r="100" spans="4:4">
      <c r="D100">
        <v>0</v>
      </c>
    </row>
    <row r="101" spans="4:4">
      <c r="D101">
        <v>0</v>
      </c>
    </row>
    <row r="102" spans="4:4">
      <c r="D102">
        <v>0</v>
      </c>
    </row>
    <row r="103" spans="4:4">
      <c r="D103">
        <v>0</v>
      </c>
    </row>
    <row r="104" spans="4:4">
      <c r="D104">
        <v>0</v>
      </c>
    </row>
    <row r="105" spans="4:4">
      <c r="D105">
        <v>0</v>
      </c>
    </row>
    <row r="106" spans="4:4">
      <c r="D106">
        <v>0</v>
      </c>
    </row>
    <row r="107" spans="4:4">
      <c r="D107">
        <v>0</v>
      </c>
    </row>
    <row r="108" spans="4:4">
      <c r="D108">
        <v>0</v>
      </c>
    </row>
    <row r="109" spans="4:4">
      <c r="D109">
        <v>0</v>
      </c>
    </row>
    <row r="110" spans="4:4">
      <c r="D110">
        <v>0</v>
      </c>
    </row>
    <row r="111" spans="4:4">
      <c r="D111">
        <v>0</v>
      </c>
    </row>
    <row r="112" spans="4:4">
      <c r="D112">
        <v>0</v>
      </c>
    </row>
    <row r="113" spans="4:4">
      <c r="D113">
        <v>0</v>
      </c>
    </row>
    <row r="114" spans="4:4">
      <c r="D114">
        <v>0</v>
      </c>
    </row>
    <row r="115" spans="4:4">
      <c r="D115">
        <v>0</v>
      </c>
    </row>
    <row r="116" spans="4:4">
      <c r="D116">
        <v>0</v>
      </c>
    </row>
    <row r="117" spans="4:4">
      <c r="D117">
        <v>0</v>
      </c>
    </row>
    <row r="118" spans="4:4">
      <c r="D118">
        <v>0</v>
      </c>
    </row>
    <row r="119" spans="4:4">
      <c r="D119">
        <v>0</v>
      </c>
    </row>
    <row r="120" spans="4:4">
      <c r="D120">
        <v>0</v>
      </c>
    </row>
    <row r="121" spans="4:4">
      <c r="D121">
        <v>0</v>
      </c>
    </row>
    <row r="122" spans="4:4">
      <c r="D122">
        <v>0</v>
      </c>
    </row>
    <row r="123" spans="4:4">
      <c r="D123">
        <v>0</v>
      </c>
    </row>
    <row r="124" spans="4:4">
      <c r="D124">
        <v>0</v>
      </c>
    </row>
    <row r="125" spans="4:4">
      <c r="D125">
        <v>0</v>
      </c>
    </row>
    <row r="126" spans="4:4">
      <c r="D126">
        <v>0</v>
      </c>
    </row>
    <row r="127" spans="4:4">
      <c r="D127">
        <v>0</v>
      </c>
    </row>
    <row r="128" spans="4:4">
      <c r="D128">
        <v>0</v>
      </c>
    </row>
    <row r="129" spans="4:4">
      <c r="D129">
        <v>0</v>
      </c>
    </row>
    <row r="130" spans="4:4">
      <c r="D130">
        <v>0</v>
      </c>
    </row>
    <row r="131" spans="4:4">
      <c r="D131">
        <v>0</v>
      </c>
    </row>
    <row r="132" spans="4:4">
      <c r="D132">
        <v>0</v>
      </c>
    </row>
    <row r="133" spans="4:4">
      <c r="D133">
        <v>0</v>
      </c>
    </row>
    <row r="134" spans="4:4">
      <c r="D134">
        <v>0</v>
      </c>
    </row>
    <row r="135" spans="4:4">
      <c r="D135">
        <v>0</v>
      </c>
    </row>
    <row r="136" spans="4:4">
      <c r="D136">
        <v>0</v>
      </c>
    </row>
    <row r="137" spans="4:4">
      <c r="D137">
        <v>0</v>
      </c>
    </row>
    <row r="138" spans="4:4">
      <c r="D138">
        <v>0</v>
      </c>
    </row>
    <row r="139" spans="4:4">
      <c r="D139">
        <v>0</v>
      </c>
    </row>
    <row r="140" spans="4:4">
      <c r="D140">
        <v>0</v>
      </c>
    </row>
    <row r="141" spans="4:4">
      <c r="D141">
        <v>0</v>
      </c>
    </row>
    <row r="142" spans="4:4">
      <c r="D142">
        <v>0</v>
      </c>
    </row>
    <row r="143" spans="4:4">
      <c r="D143">
        <v>0</v>
      </c>
    </row>
    <row r="144" spans="4:4">
      <c r="D144">
        <v>0</v>
      </c>
    </row>
    <row r="145" spans="4:4">
      <c r="D145">
        <v>0</v>
      </c>
    </row>
    <row r="146" spans="4:4">
      <c r="D146">
        <v>0</v>
      </c>
    </row>
    <row r="147" spans="4:4">
      <c r="D147">
        <v>0</v>
      </c>
    </row>
    <row r="148" spans="4:4">
      <c r="D148">
        <v>0</v>
      </c>
    </row>
    <row r="149" spans="4:4">
      <c r="D149">
        <v>0</v>
      </c>
    </row>
    <row r="150" spans="4:4">
      <c r="D150">
        <v>0</v>
      </c>
    </row>
    <row r="151" spans="4:4">
      <c r="D151">
        <v>0</v>
      </c>
    </row>
    <row r="152" spans="4:4">
      <c r="D152">
        <v>0</v>
      </c>
    </row>
    <row r="153" spans="4:4">
      <c r="D153">
        <v>0</v>
      </c>
    </row>
    <row r="154" spans="4:4">
      <c r="D154">
        <v>0</v>
      </c>
    </row>
    <row r="155" spans="4:4">
      <c r="D155">
        <v>0</v>
      </c>
    </row>
    <row r="156" spans="4:4">
      <c r="D156">
        <v>0</v>
      </c>
    </row>
    <row r="157" spans="4:4">
      <c r="D157">
        <v>0</v>
      </c>
    </row>
    <row r="158" spans="4:4">
      <c r="D158">
        <v>0</v>
      </c>
    </row>
    <row r="159" spans="4:4">
      <c r="D159">
        <v>0</v>
      </c>
    </row>
    <row r="160" spans="4:4">
      <c r="D160">
        <v>0</v>
      </c>
    </row>
    <row r="161" spans="4:4">
      <c r="D161">
        <v>0</v>
      </c>
    </row>
    <row r="162" spans="4:4">
      <c r="D162">
        <v>0</v>
      </c>
    </row>
    <row r="163" spans="4:4">
      <c r="D163">
        <v>0</v>
      </c>
    </row>
    <row r="164" spans="4:4">
      <c r="D164">
        <v>0</v>
      </c>
    </row>
    <row r="165" spans="4:4">
      <c r="D165">
        <v>0</v>
      </c>
    </row>
    <row r="166" spans="4:4">
      <c r="D166">
        <v>0</v>
      </c>
    </row>
    <row r="167" spans="4:4">
      <c r="D167">
        <v>0</v>
      </c>
    </row>
    <row r="168" spans="4:4">
      <c r="D168">
        <v>0</v>
      </c>
    </row>
    <row r="169" spans="4:4">
      <c r="D169">
        <v>0</v>
      </c>
    </row>
    <row r="170" spans="4:4">
      <c r="D170">
        <v>0</v>
      </c>
    </row>
    <row r="171" spans="4:4">
      <c r="D171">
        <v>0</v>
      </c>
    </row>
    <row r="172" spans="4:4">
      <c r="D172">
        <v>0</v>
      </c>
    </row>
    <row r="173" spans="4:4">
      <c r="D173">
        <v>0</v>
      </c>
    </row>
    <row r="174" spans="4:4">
      <c r="D174">
        <v>0</v>
      </c>
    </row>
    <row r="175" spans="4:4">
      <c r="D175">
        <v>0</v>
      </c>
    </row>
    <row r="176" spans="4:4">
      <c r="D176">
        <v>0</v>
      </c>
    </row>
    <row r="177" spans="4:4">
      <c r="D177">
        <v>0</v>
      </c>
    </row>
    <row r="178" spans="4:4">
      <c r="D178">
        <v>0</v>
      </c>
    </row>
    <row r="179" spans="4:4">
      <c r="D179">
        <v>0</v>
      </c>
    </row>
    <row r="180" spans="4:4">
      <c r="D18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-0.499984740745262"/>
  </sheetPr>
  <dimension ref="A1:J45"/>
  <sheetViews>
    <sheetView workbookViewId="0">
      <selection activeCell="A2" sqref="A2:J45"/>
    </sheetView>
  </sheetViews>
  <sheetFormatPr defaultColWidth="9" defaultRowHeight="14.25"/>
  <sheetData>
    <row r="1" spans="1:10">
      <c r="A1" t="s">
        <v>179</v>
      </c>
      <c r="B1" t="s">
        <v>183</v>
      </c>
      <c r="C1" t="s">
        <v>184</v>
      </c>
    </row>
    <row r="2" spans="1:10">
      <c r="A2" t="s">
        <v>33</v>
      </c>
      <c r="B2" t="s">
        <v>91</v>
      </c>
      <c r="C2" t="s">
        <v>92</v>
      </c>
      <c r="J2">
        <f>VLOOKUP(B2,'POINT COORDINATES'!A:D,4,0)</f>
        <v>0</v>
      </c>
    </row>
    <row r="3" spans="1:10">
      <c r="A3" t="s">
        <v>35</v>
      </c>
      <c r="B3" t="s">
        <v>93</v>
      </c>
      <c r="C3" t="s">
        <v>128</v>
      </c>
      <c r="J3">
        <f>VLOOKUP(B3,'POINT COORDINATES'!A:D,4,0)</f>
        <v>0</v>
      </c>
    </row>
    <row r="4" spans="1:10">
      <c r="A4" t="s">
        <v>36</v>
      </c>
      <c r="B4" t="s">
        <v>95</v>
      </c>
      <c r="C4" t="s">
        <v>130</v>
      </c>
      <c r="J4">
        <f>VLOOKUP(B4,'POINT COORDINATES'!A:D,4,0)</f>
        <v>0</v>
      </c>
    </row>
    <row r="5" spans="1:10">
      <c r="A5" t="s">
        <v>37</v>
      </c>
      <c r="B5" t="s">
        <v>97</v>
      </c>
      <c r="C5" t="s">
        <v>132</v>
      </c>
      <c r="J5">
        <f>VLOOKUP(B5,'POINT COORDINATES'!A:D,4,0)</f>
        <v>0</v>
      </c>
    </row>
    <row r="6" spans="1:10">
      <c r="A6" t="s">
        <v>38</v>
      </c>
      <c r="B6" t="s">
        <v>99</v>
      </c>
      <c r="C6" t="s">
        <v>134</v>
      </c>
      <c r="J6">
        <f>VLOOKUP(B6,'POINT COORDINATES'!A:D,4,0)</f>
        <v>0</v>
      </c>
    </row>
    <row r="7" spans="1:10">
      <c r="A7" t="s">
        <v>39</v>
      </c>
      <c r="B7" t="s">
        <v>101</v>
      </c>
      <c r="C7" t="s">
        <v>136</v>
      </c>
      <c r="J7">
        <f>VLOOKUP(B7,'POINT COORDINATES'!A:D,4,0)</f>
        <v>0</v>
      </c>
    </row>
    <row r="8" spans="1:10">
      <c r="A8" t="s">
        <v>40</v>
      </c>
      <c r="B8" t="s">
        <v>103</v>
      </c>
      <c r="C8" t="s">
        <v>138</v>
      </c>
      <c r="J8">
        <f>VLOOKUP(B8,'POINT COORDINATES'!A:D,4,0)</f>
        <v>0</v>
      </c>
    </row>
    <row r="9" spans="1:10">
      <c r="A9" t="s">
        <v>41</v>
      </c>
      <c r="B9" t="s">
        <v>105</v>
      </c>
      <c r="C9" t="s">
        <v>140</v>
      </c>
      <c r="J9">
        <f>VLOOKUP(B9,'POINT COORDINATES'!A:D,4,0)</f>
        <v>0</v>
      </c>
    </row>
    <row r="10" spans="1:10">
      <c r="A10" t="s">
        <v>42</v>
      </c>
      <c r="B10" t="s">
        <v>107</v>
      </c>
      <c r="C10" t="s">
        <v>142</v>
      </c>
      <c r="J10">
        <f>VLOOKUP(B10,'POINT COORDINATES'!A:D,4,0)</f>
        <v>0</v>
      </c>
    </row>
    <row r="11" spans="1:10">
      <c r="A11" t="s">
        <v>43</v>
      </c>
      <c r="B11" t="s">
        <v>109</v>
      </c>
      <c r="C11" t="s">
        <v>94</v>
      </c>
      <c r="J11">
        <f>VLOOKUP(B11,'POINT COORDINATES'!A:D,4,0)</f>
        <v>0</v>
      </c>
    </row>
    <row r="12" spans="1:10">
      <c r="A12" t="s">
        <v>44</v>
      </c>
      <c r="B12" t="s">
        <v>111</v>
      </c>
      <c r="C12" t="s">
        <v>144</v>
      </c>
      <c r="J12">
        <f>VLOOKUP(B12,'POINT COORDINATES'!A:D,4,0)</f>
        <v>0</v>
      </c>
    </row>
    <row r="13" spans="1:10">
      <c r="A13" t="s">
        <v>45</v>
      </c>
      <c r="B13" t="s">
        <v>113</v>
      </c>
      <c r="C13" t="s">
        <v>96</v>
      </c>
      <c r="J13">
        <f>VLOOKUP(B13,'POINT COORDINATES'!A:D,4,0)</f>
        <v>0</v>
      </c>
    </row>
    <row r="14" spans="1:10">
      <c r="A14" t="s">
        <v>46</v>
      </c>
      <c r="B14" t="s">
        <v>115</v>
      </c>
      <c r="C14" t="s">
        <v>98</v>
      </c>
      <c r="J14">
        <f>VLOOKUP(B14,'POINT COORDINATES'!A:D,4,0)</f>
        <v>0</v>
      </c>
    </row>
    <row r="15" spans="1:10">
      <c r="A15" t="s">
        <v>47</v>
      </c>
      <c r="B15" t="s">
        <v>117</v>
      </c>
      <c r="C15" t="s">
        <v>100</v>
      </c>
      <c r="J15">
        <f>VLOOKUP(B15,'POINT COORDINATES'!A:D,4,0)</f>
        <v>0</v>
      </c>
    </row>
    <row r="16" spans="1:10">
      <c r="A16" t="s">
        <v>48</v>
      </c>
      <c r="B16" t="s">
        <v>119</v>
      </c>
      <c r="C16" t="s">
        <v>102</v>
      </c>
      <c r="J16">
        <f>VLOOKUP(B16,'POINT COORDINATES'!A:D,4,0)</f>
        <v>0</v>
      </c>
    </row>
    <row r="17" spans="1:10">
      <c r="A17" t="s">
        <v>49</v>
      </c>
      <c r="B17" t="s">
        <v>121</v>
      </c>
      <c r="C17" t="s">
        <v>104</v>
      </c>
      <c r="J17">
        <f>VLOOKUP(B17,'POINT COORDINATES'!A:D,4,0)</f>
        <v>0</v>
      </c>
    </row>
    <row r="18" spans="1:10">
      <c r="A18" t="s">
        <v>50</v>
      </c>
      <c r="B18" t="s">
        <v>123</v>
      </c>
      <c r="C18" t="s">
        <v>106</v>
      </c>
      <c r="J18">
        <f>VLOOKUP(B18,'POINT COORDINATES'!A:D,4,0)</f>
        <v>0</v>
      </c>
    </row>
    <row r="19" spans="1:10">
      <c r="A19" t="s">
        <v>51</v>
      </c>
      <c r="B19" t="s">
        <v>125</v>
      </c>
      <c r="C19" t="s">
        <v>108</v>
      </c>
      <c r="J19">
        <f>VLOOKUP(B19,'POINT COORDINATES'!A:D,4,0)</f>
        <v>0</v>
      </c>
    </row>
    <row r="20" spans="1:10">
      <c r="A20" t="s">
        <v>52</v>
      </c>
      <c r="B20" t="s">
        <v>127</v>
      </c>
      <c r="C20" t="s">
        <v>110</v>
      </c>
      <c r="J20">
        <f>VLOOKUP(B20,'POINT COORDINATES'!A:D,4,0)</f>
        <v>0</v>
      </c>
    </row>
    <row r="21" spans="1:10">
      <c r="A21" t="s">
        <v>53</v>
      </c>
      <c r="B21" t="s">
        <v>129</v>
      </c>
      <c r="C21" t="s">
        <v>146</v>
      </c>
      <c r="J21">
        <f>VLOOKUP(B21,'POINT COORDINATES'!A:D,4,0)</f>
        <v>0</v>
      </c>
    </row>
    <row r="22" spans="1:10">
      <c r="A22" t="s">
        <v>54</v>
      </c>
      <c r="B22" t="s">
        <v>131</v>
      </c>
      <c r="C22" t="s">
        <v>148</v>
      </c>
      <c r="J22">
        <f>VLOOKUP(B22,'POINT COORDINATES'!A:D,4,0)</f>
        <v>0</v>
      </c>
    </row>
    <row r="23" spans="1:10">
      <c r="A23" t="s">
        <v>55</v>
      </c>
      <c r="B23" t="s">
        <v>133</v>
      </c>
      <c r="C23" t="s">
        <v>150</v>
      </c>
      <c r="J23">
        <f>VLOOKUP(B23,'POINT COORDINATES'!A:D,4,0)</f>
        <v>0</v>
      </c>
    </row>
    <row r="24" spans="1:10">
      <c r="A24" t="s">
        <v>56</v>
      </c>
      <c r="B24" t="s">
        <v>135</v>
      </c>
      <c r="C24" t="s">
        <v>152</v>
      </c>
      <c r="J24">
        <f>VLOOKUP(B24,'POINT COORDINATES'!A:D,4,0)</f>
        <v>0</v>
      </c>
    </row>
    <row r="25" spans="1:10">
      <c r="A25" t="s">
        <v>57</v>
      </c>
      <c r="B25" t="s">
        <v>137</v>
      </c>
      <c r="C25" t="s">
        <v>154</v>
      </c>
      <c r="J25">
        <f>VLOOKUP(B25,'POINT COORDINATES'!A:D,4,0)</f>
        <v>0</v>
      </c>
    </row>
    <row r="26" spans="1:10">
      <c r="A26" t="s">
        <v>58</v>
      </c>
      <c r="B26" t="s">
        <v>139</v>
      </c>
      <c r="C26" t="s">
        <v>156</v>
      </c>
      <c r="J26">
        <f>VLOOKUP(B26,'POINT COORDINATES'!A:D,4,0)</f>
        <v>0</v>
      </c>
    </row>
    <row r="27" spans="1:10">
      <c r="A27" t="s">
        <v>59</v>
      </c>
      <c r="B27" t="s">
        <v>141</v>
      </c>
      <c r="C27" t="s">
        <v>158</v>
      </c>
      <c r="J27">
        <f>VLOOKUP(B27,'POINT COORDINATES'!A:D,4,0)</f>
        <v>0</v>
      </c>
    </row>
    <row r="28" spans="1:10">
      <c r="A28" t="s">
        <v>60</v>
      </c>
      <c r="B28" t="s">
        <v>143</v>
      </c>
      <c r="C28" t="s">
        <v>160</v>
      </c>
      <c r="J28">
        <f>VLOOKUP(B28,'POINT COORDINATES'!A:D,4,0)</f>
        <v>0</v>
      </c>
    </row>
    <row r="29" spans="1:10">
      <c r="A29" t="s">
        <v>61</v>
      </c>
      <c r="B29" t="s">
        <v>145</v>
      </c>
      <c r="C29" t="s">
        <v>162</v>
      </c>
      <c r="J29">
        <f>VLOOKUP(B29,'POINT COORDINATES'!A:D,4,0)</f>
        <v>0</v>
      </c>
    </row>
    <row r="30" spans="1:10">
      <c r="A30" t="s">
        <v>62</v>
      </c>
      <c r="B30" t="s">
        <v>147</v>
      </c>
      <c r="C30" t="s">
        <v>164</v>
      </c>
      <c r="J30">
        <f>VLOOKUP(B30,'POINT COORDINATES'!A:D,4,0)</f>
        <v>0</v>
      </c>
    </row>
    <row r="31" spans="1:10">
      <c r="A31" t="s">
        <v>63</v>
      </c>
      <c r="B31" t="s">
        <v>149</v>
      </c>
      <c r="C31" t="s">
        <v>112</v>
      </c>
      <c r="J31">
        <f>VLOOKUP(B31,'POINT COORDINATES'!A:D,4,0)</f>
        <v>0</v>
      </c>
    </row>
    <row r="32" spans="1:10">
      <c r="A32" t="s">
        <v>64</v>
      </c>
      <c r="B32" t="s">
        <v>151</v>
      </c>
      <c r="C32" t="s">
        <v>166</v>
      </c>
      <c r="J32">
        <f>VLOOKUP(B32,'POINT COORDINATES'!A:D,4,0)</f>
        <v>0</v>
      </c>
    </row>
    <row r="33" spans="1:10">
      <c r="A33" t="s">
        <v>65</v>
      </c>
      <c r="B33" t="s">
        <v>153</v>
      </c>
      <c r="C33" t="s">
        <v>168</v>
      </c>
      <c r="J33">
        <f>VLOOKUP(B33,'POINT COORDINATES'!A:D,4,0)</f>
        <v>0</v>
      </c>
    </row>
    <row r="34" spans="1:10">
      <c r="A34" t="s">
        <v>66</v>
      </c>
      <c r="B34" t="s">
        <v>155</v>
      </c>
      <c r="C34" t="s">
        <v>170</v>
      </c>
      <c r="J34">
        <f>VLOOKUP(B34,'POINT COORDINATES'!A:D,4,0)</f>
        <v>0</v>
      </c>
    </row>
    <row r="35" spans="1:10">
      <c r="A35" t="s">
        <v>67</v>
      </c>
      <c r="B35" t="s">
        <v>157</v>
      </c>
      <c r="C35" t="s">
        <v>172</v>
      </c>
      <c r="J35">
        <f>VLOOKUP(B35,'POINT COORDINATES'!A:D,4,0)</f>
        <v>0</v>
      </c>
    </row>
    <row r="36" spans="1:10">
      <c r="A36" t="s">
        <v>68</v>
      </c>
      <c r="B36" t="s">
        <v>159</v>
      </c>
      <c r="C36" t="s">
        <v>174</v>
      </c>
      <c r="J36">
        <f>VLOOKUP(B36,'POINT COORDINATES'!A:D,4,0)</f>
        <v>0</v>
      </c>
    </row>
    <row r="37" spans="1:10">
      <c r="A37" t="s">
        <v>69</v>
      </c>
      <c r="B37" t="s">
        <v>161</v>
      </c>
      <c r="C37" t="s">
        <v>176</v>
      </c>
      <c r="J37">
        <f>VLOOKUP(B37,'POINT COORDINATES'!A:D,4,0)</f>
        <v>0</v>
      </c>
    </row>
    <row r="38" spans="1:10">
      <c r="A38" t="s">
        <v>70</v>
      </c>
      <c r="B38" t="s">
        <v>163</v>
      </c>
      <c r="C38" t="s">
        <v>178</v>
      </c>
      <c r="J38">
        <f>VLOOKUP(B38,'POINT COORDINATES'!A:D,4,0)</f>
        <v>0</v>
      </c>
    </row>
    <row r="39" spans="1:10">
      <c r="A39" t="s">
        <v>71</v>
      </c>
      <c r="B39" t="s">
        <v>165</v>
      </c>
      <c r="C39" t="s">
        <v>114</v>
      </c>
      <c r="J39">
        <f>VLOOKUP(B39,'POINT COORDINATES'!A:D,4,0)</f>
        <v>0</v>
      </c>
    </row>
    <row r="40" spans="1:10">
      <c r="A40" t="s">
        <v>72</v>
      </c>
      <c r="B40" t="s">
        <v>167</v>
      </c>
      <c r="C40" t="s">
        <v>116</v>
      </c>
      <c r="J40">
        <f>VLOOKUP(B40,'POINT COORDINATES'!A:D,4,0)</f>
        <v>0</v>
      </c>
    </row>
    <row r="41" spans="1:10">
      <c r="A41" t="s">
        <v>73</v>
      </c>
      <c r="B41" t="s">
        <v>169</v>
      </c>
      <c r="C41" t="s">
        <v>118</v>
      </c>
      <c r="J41">
        <f>VLOOKUP(B41,'POINT COORDINATES'!A:D,4,0)</f>
        <v>0</v>
      </c>
    </row>
    <row r="42" spans="1:10">
      <c r="A42" t="s">
        <v>74</v>
      </c>
      <c r="B42" t="s">
        <v>171</v>
      </c>
      <c r="C42" t="s">
        <v>120</v>
      </c>
      <c r="J42">
        <f>VLOOKUP(B42,'POINT COORDINATES'!A:D,4,0)</f>
        <v>0</v>
      </c>
    </row>
    <row r="43" spans="1:10">
      <c r="A43" t="s">
        <v>75</v>
      </c>
      <c r="B43" t="s">
        <v>173</v>
      </c>
      <c r="C43" t="s">
        <v>122</v>
      </c>
      <c r="J43">
        <f>VLOOKUP(B43,'POINT COORDINATES'!A:D,4,0)</f>
        <v>0</v>
      </c>
    </row>
    <row r="44" spans="1:10">
      <c r="A44" t="s">
        <v>76</v>
      </c>
      <c r="B44" t="s">
        <v>175</v>
      </c>
      <c r="C44" t="s">
        <v>124</v>
      </c>
      <c r="J44">
        <f>VLOOKUP(B44,'POINT COORDINATES'!A:D,4,0)</f>
        <v>0</v>
      </c>
    </row>
    <row r="45" spans="1:10">
      <c r="A45" t="s">
        <v>77</v>
      </c>
      <c r="B45" t="s">
        <v>177</v>
      </c>
      <c r="C45" t="s">
        <v>126</v>
      </c>
      <c r="J45">
        <f>VLOOKUP(B45,'POINT COORDINATES'!A:D,4,0)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00FF"/>
  </sheetPr>
  <dimension ref="A1:BK47"/>
  <sheetViews>
    <sheetView zoomScale="85" zoomScaleNormal="85" workbookViewId="0">
      <pane ySplit="3" topLeftCell="A4" activePane="bottomLeft" state="frozen"/>
      <selection pane="bottomLeft" activeCell="AI42" sqref="AI42"/>
    </sheetView>
  </sheetViews>
  <sheetFormatPr defaultColWidth="6.75" defaultRowHeight="12.75" outlineLevelCol="1"/>
  <cols>
    <col min="1" max="1" width="9.25" style="238" customWidth="1"/>
    <col min="2" max="2" width="6" style="6" customWidth="1"/>
    <col min="3" max="3" width="3.125" style="238" customWidth="1"/>
    <col min="4" max="5" width="4.5" style="2" customWidth="1"/>
    <col min="6" max="6" width="5.625" style="239" customWidth="1"/>
    <col min="7" max="7" width="5" style="240" customWidth="1"/>
    <col min="8" max="8" width="5.875" style="239" customWidth="1"/>
    <col min="9" max="9" width="5" style="240" customWidth="1"/>
    <col min="10" max="10" width="5.875" style="4" customWidth="1"/>
    <col min="11" max="11" width="4.125" style="5" customWidth="1"/>
    <col min="12" max="12" width="6.75" style="232"/>
    <col min="13" max="26" width="6.75" style="232" hidden="1" customWidth="1" outlineLevel="1"/>
    <col min="27" max="27" width="9.25" style="238" customWidth="1" collapsed="1"/>
    <col min="28" max="28" width="6" style="6" customWidth="1"/>
    <col min="29" max="29" width="3.125" style="238" customWidth="1"/>
    <col min="30" max="31" width="4.5" style="2" customWidth="1"/>
    <col min="32" max="32" width="5.625" style="239" customWidth="1"/>
    <col min="33" max="33" width="5" style="240" customWidth="1"/>
    <col min="34" max="34" width="5.875" style="239" customWidth="1"/>
    <col min="35" max="35" width="5" style="240" customWidth="1"/>
    <col min="36" max="36" width="5.875" style="4" customWidth="1"/>
    <col min="37" max="37" width="4.125" style="5" customWidth="1"/>
    <col min="38" max="38" width="6.75" style="232"/>
    <col min="39" max="52" width="6.75" style="232" hidden="1" customWidth="1" outlineLevel="1"/>
    <col min="53" max="53" width="6.75" style="231" collapsed="1"/>
    <col min="54" max="63" width="6.75" style="231"/>
    <col min="64" max="16384" width="6.75" style="232"/>
  </cols>
  <sheetData>
    <row r="1" spans="1:63" s="236" customFormat="1" ht="14.25">
      <c r="A1" s="252" t="s">
        <v>185</v>
      </c>
      <c r="B1" s="253"/>
      <c r="C1" s="254"/>
      <c r="D1" s="255" t="s">
        <v>83</v>
      </c>
      <c r="E1" s="256"/>
      <c r="F1" s="249" t="s">
        <v>186</v>
      </c>
      <c r="G1" s="250"/>
      <c r="H1" s="251" t="s">
        <v>187</v>
      </c>
      <c r="I1" s="250"/>
      <c r="J1" s="251" t="s">
        <v>188</v>
      </c>
      <c r="K1" s="250"/>
      <c r="AA1" s="252" t="s">
        <v>189</v>
      </c>
      <c r="AB1" s="253"/>
      <c r="AC1" s="254"/>
      <c r="AD1" s="255" t="s">
        <v>83</v>
      </c>
      <c r="AE1" s="256"/>
      <c r="AF1" s="249" t="s">
        <v>186</v>
      </c>
      <c r="AG1" s="250"/>
      <c r="AH1" s="251" t="s">
        <v>187</v>
      </c>
      <c r="AI1" s="250"/>
      <c r="AJ1" s="251" t="s">
        <v>188</v>
      </c>
      <c r="AK1" s="250"/>
      <c r="BA1" s="259" t="s">
        <v>190</v>
      </c>
      <c r="BB1" s="259"/>
      <c r="BC1" s="259"/>
      <c r="BD1" s="249" t="s">
        <v>83</v>
      </c>
      <c r="BE1" s="249"/>
      <c r="BF1" s="249" t="s">
        <v>186</v>
      </c>
      <c r="BG1" s="250"/>
      <c r="BH1" s="251" t="s">
        <v>187</v>
      </c>
      <c r="BI1" s="250"/>
      <c r="BJ1" s="251" t="s">
        <v>188</v>
      </c>
      <c r="BK1" s="250"/>
    </row>
    <row r="2" spans="1:63" s="237" customFormat="1" ht="14.25">
      <c r="A2" s="244" t="s">
        <v>191</v>
      </c>
      <c r="B2" s="245" t="s">
        <v>81</v>
      </c>
      <c r="C2" s="257" t="s">
        <v>192</v>
      </c>
      <c r="D2" s="246" t="s">
        <v>193</v>
      </c>
      <c r="E2" s="246" t="s">
        <v>194</v>
      </c>
      <c r="F2" s="243" t="s">
        <v>195</v>
      </c>
      <c r="G2" s="242" t="s">
        <v>196</v>
      </c>
      <c r="H2" s="243" t="s">
        <v>195</v>
      </c>
      <c r="I2" s="242" t="s">
        <v>196</v>
      </c>
      <c r="J2" s="243" t="s">
        <v>197</v>
      </c>
      <c r="K2" s="242" t="s">
        <v>196</v>
      </c>
      <c r="AA2" s="244" t="s">
        <v>191</v>
      </c>
      <c r="AB2" s="245" t="s">
        <v>81</v>
      </c>
      <c r="AC2" s="257" t="s">
        <v>192</v>
      </c>
      <c r="AD2" s="246" t="s">
        <v>193</v>
      </c>
      <c r="AE2" s="246" t="s">
        <v>194</v>
      </c>
      <c r="AF2" s="243" t="s">
        <v>195</v>
      </c>
      <c r="AG2" s="242" t="s">
        <v>196</v>
      </c>
      <c r="AH2" s="243" t="s">
        <v>195</v>
      </c>
      <c r="AI2" s="242" t="s">
        <v>196</v>
      </c>
      <c r="AJ2" s="243" t="s">
        <v>197</v>
      </c>
      <c r="AK2" s="242" t="s">
        <v>196</v>
      </c>
      <c r="BA2" s="244" t="s">
        <v>191</v>
      </c>
      <c r="BB2" s="245" t="s">
        <v>81</v>
      </c>
      <c r="BC2" s="259" t="s">
        <v>192</v>
      </c>
      <c r="BD2" s="246" t="s">
        <v>193</v>
      </c>
      <c r="BE2" s="246" t="s">
        <v>194</v>
      </c>
      <c r="BF2" s="243" t="s">
        <v>195</v>
      </c>
      <c r="BG2" s="242" t="s">
        <v>196</v>
      </c>
      <c r="BH2" s="243" t="s">
        <v>195</v>
      </c>
      <c r="BI2" s="242" t="s">
        <v>196</v>
      </c>
      <c r="BJ2" s="243" t="s">
        <v>197</v>
      </c>
      <c r="BK2" s="242" t="s">
        <v>196</v>
      </c>
    </row>
    <row r="3" spans="1:63" s="236" customFormat="1">
      <c r="A3" s="241" t="s">
        <v>198</v>
      </c>
      <c r="B3" s="245" t="s">
        <v>198</v>
      </c>
      <c r="C3" s="258"/>
      <c r="D3" s="246" t="s">
        <v>199</v>
      </c>
      <c r="E3" s="246" t="s">
        <v>199</v>
      </c>
      <c r="F3" s="243" t="s">
        <v>200</v>
      </c>
      <c r="G3" s="242" t="s">
        <v>201</v>
      </c>
      <c r="H3" s="243" t="s">
        <v>200</v>
      </c>
      <c r="I3" s="242" t="s">
        <v>201</v>
      </c>
      <c r="J3" s="242" t="s">
        <v>202</v>
      </c>
      <c r="K3" s="242" t="s">
        <v>201</v>
      </c>
      <c r="AA3" s="241" t="s">
        <v>198</v>
      </c>
      <c r="AB3" s="245" t="s">
        <v>198</v>
      </c>
      <c r="AC3" s="258"/>
      <c r="AD3" s="246" t="s">
        <v>199</v>
      </c>
      <c r="AE3" s="246" t="s">
        <v>199</v>
      </c>
      <c r="AF3" s="243" t="s">
        <v>200</v>
      </c>
      <c r="AG3" s="242" t="s">
        <v>201</v>
      </c>
      <c r="AH3" s="243" t="s">
        <v>200</v>
      </c>
      <c r="AI3" s="242" t="s">
        <v>201</v>
      </c>
      <c r="AJ3" s="242" t="s">
        <v>202</v>
      </c>
      <c r="AK3" s="242" t="s">
        <v>201</v>
      </c>
      <c r="BA3" s="241" t="s">
        <v>198</v>
      </c>
      <c r="BB3" s="245" t="s">
        <v>198</v>
      </c>
      <c r="BC3" s="259"/>
      <c r="BD3" s="246" t="s">
        <v>199</v>
      </c>
      <c r="BE3" s="246" t="s">
        <v>199</v>
      </c>
      <c r="BF3" s="243" t="s">
        <v>200</v>
      </c>
      <c r="BG3" s="242" t="s">
        <v>201</v>
      </c>
      <c r="BH3" s="243" t="s">
        <v>200</v>
      </c>
      <c r="BI3" s="242" t="s">
        <v>201</v>
      </c>
      <c r="BJ3" s="242" t="s">
        <v>202</v>
      </c>
      <c r="BK3" s="242" t="s">
        <v>201</v>
      </c>
    </row>
    <row r="4" spans="1:63">
      <c r="A4" s="238" t="s">
        <v>33</v>
      </c>
      <c r="B4" s="6" t="str">
        <f>VLOOKUP(A4,'FRAME ASSIGNMENTS SUMMARY'!B:E,4,0)</f>
        <v>CSA1</v>
      </c>
      <c r="C4" s="238">
        <v>1.5</v>
      </c>
      <c r="D4" s="2">
        <f>VLOOKUP(B4,'FRAME SECTION PROPERTIES'!A:E,5,0)*1000</f>
        <v>750</v>
      </c>
      <c r="E4" s="2">
        <f>VLOOKUP(B4,'FRAME SECTION PROPERTIES'!A:E,4,0)*1000</f>
        <v>1000</v>
      </c>
      <c r="F4" s="239">
        <v>-48.059349060058601</v>
      </c>
      <c r="G4" s="240">
        <v>0.37499999999998601</v>
      </c>
      <c r="H4" s="239">
        <v>16.100709915161101</v>
      </c>
      <c r="I4" s="240">
        <v>0.749999999999998</v>
      </c>
      <c r="J4" s="4">
        <v>160.46424865722699</v>
      </c>
      <c r="K4" s="5">
        <v>1.12499999999998</v>
      </c>
      <c r="AA4" s="238" t="s">
        <v>33</v>
      </c>
      <c r="AB4" s="6" t="str">
        <f>VLOOKUP(A4,'FRAME ASSIGNMENTS SUMMARY'!B:E,4,0)</f>
        <v>CSA1</v>
      </c>
      <c r="AC4" s="238">
        <v>1.5</v>
      </c>
      <c r="AD4" s="2">
        <f>VLOOKUP(B4,'FRAME SECTION PROPERTIES'!A:E,5,0)*1000</f>
        <v>750</v>
      </c>
      <c r="AE4" s="2">
        <f>VLOOKUP(B4,'FRAME SECTION PROPERTIES'!A:E,4,0)*1000</f>
        <v>1000</v>
      </c>
      <c r="AF4" s="239">
        <v>-48.059349060058601</v>
      </c>
      <c r="AG4" s="240">
        <v>0.37499999999998601</v>
      </c>
      <c r="AH4" s="239">
        <v>16.100709915161101</v>
      </c>
      <c r="AI4" s="240">
        <v>0.749999999999998</v>
      </c>
      <c r="AJ4" s="4">
        <v>160.46424865722699</v>
      </c>
      <c r="AK4" s="5">
        <v>1.12499999999998</v>
      </c>
      <c r="BA4" s="238" t="s">
        <v>33</v>
      </c>
      <c r="BB4" s="6" t="str">
        <f>VLOOKUP(A4,'FRAME ASSIGNMENTS SUMMARY'!B:E,4,0)</f>
        <v>CSA1</v>
      </c>
      <c r="BC4" s="238">
        <v>1.5</v>
      </c>
      <c r="BD4" s="2">
        <f>VLOOKUP(B4,'FRAME SECTION PROPERTIES'!A:E,5,0)*1000</f>
        <v>750</v>
      </c>
      <c r="BE4" s="2">
        <f>VLOOKUP(B4,'FRAME SECTION PROPERTIES'!A:E,4,0)*1000</f>
        <v>1000</v>
      </c>
      <c r="BF4" s="239">
        <v>-48.059349060058601</v>
      </c>
      <c r="BG4" s="240">
        <v>0.37499999999998601</v>
      </c>
      <c r="BH4" s="239">
        <v>16.100709915161101</v>
      </c>
      <c r="BI4" s="240">
        <v>0.749999999999998</v>
      </c>
      <c r="BJ4" s="4">
        <v>160.46424865722699</v>
      </c>
      <c r="BK4" s="5">
        <v>1.12499999999998</v>
      </c>
    </row>
    <row r="5" spans="1:63">
      <c r="A5" s="238" t="s">
        <v>35</v>
      </c>
      <c r="B5" s="6" t="str">
        <f>VLOOKUP(A5,'FRAME ASSIGNMENTS SUMMARY'!B:E,4,0)</f>
        <v>CSA10</v>
      </c>
      <c r="C5" s="238">
        <v>1.5</v>
      </c>
      <c r="D5" s="2">
        <f>VLOOKUP(B5,'FRAME SECTION PROPERTIES'!A:E,5,0)*1000</f>
        <v>750</v>
      </c>
      <c r="E5" s="2">
        <f>VLOOKUP(B5,'FRAME SECTION PROPERTIES'!A:E,4,0)*1000</f>
        <v>1000</v>
      </c>
      <c r="F5" s="239">
        <v>-2.5851788520813002</v>
      </c>
      <c r="G5" s="240">
        <v>1.5</v>
      </c>
      <c r="H5" s="239">
        <v>99.593414306640597</v>
      </c>
      <c r="I5" s="240">
        <v>0.749999999999996</v>
      </c>
      <c r="J5" s="4">
        <v>262.82681274414102</v>
      </c>
      <c r="K5" s="5">
        <v>1.12499999999999</v>
      </c>
      <c r="AA5" s="238" t="s">
        <v>35</v>
      </c>
      <c r="AB5" s="6" t="str">
        <f>VLOOKUP(A5,'FRAME ASSIGNMENTS SUMMARY'!B:E,4,0)</f>
        <v>CSA10</v>
      </c>
      <c r="AC5" s="238">
        <v>1.5</v>
      </c>
      <c r="AD5" s="2">
        <f>VLOOKUP(B5,'FRAME SECTION PROPERTIES'!A:E,5,0)*1000</f>
        <v>750</v>
      </c>
      <c r="AE5" s="2">
        <f>VLOOKUP(B5,'FRAME SECTION PROPERTIES'!A:E,4,0)*1000</f>
        <v>1000</v>
      </c>
      <c r="AF5" s="239">
        <v>-2.5851788520813002</v>
      </c>
      <c r="AG5" s="240">
        <v>1.5</v>
      </c>
      <c r="AH5" s="239">
        <v>99.593414306640597</v>
      </c>
      <c r="AI5" s="240">
        <v>0.749999999999996</v>
      </c>
      <c r="AJ5" s="4">
        <v>262.82681274414102</v>
      </c>
      <c r="AK5" s="5">
        <v>1.12499999999999</v>
      </c>
      <c r="BA5" s="238" t="s">
        <v>35</v>
      </c>
      <c r="BB5" s="6" t="str">
        <f>VLOOKUP(A5,'FRAME ASSIGNMENTS SUMMARY'!B:E,4,0)</f>
        <v>CSA10</v>
      </c>
      <c r="BC5" s="238">
        <v>1.5</v>
      </c>
      <c r="BD5" s="2">
        <f>VLOOKUP(B5,'FRAME SECTION PROPERTIES'!A:E,5,0)*1000</f>
        <v>750</v>
      </c>
      <c r="BE5" s="2">
        <f>VLOOKUP(B5,'FRAME SECTION PROPERTIES'!A:E,4,0)*1000</f>
        <v>1000</v>
      </c>
      <c r="BF5" s="239">
        <v>-2.5851788520813002</v>
      </c>
      <c r="BG5" s="240">
        <v>1.5</v>
      </c>
      <c r="BH5" s="239">
        <v>99.593414306640597</v>
      </c>
      <c r="BI5" s="240">
        <v>0.749999999999996</v>
      </c>
      <c r="BJ5" s="4">
        <v>262.82681274414102</v>
      </c>
      <c r="BK5" s="5">
        <v>1.12499999999999</v>
      </c>
    </row>
    <row r="6" spans="1:63">
      <c r="A6" s="238" t="s">
        <v>36</v>
      </c>
      <c r="B6" s="6" t="str">
        <f>VLOOKUP(A6,'FRAME ASSIGNMENTS SUMMARY'!B:E,4,0)</f>
        <v>CSA11</v>
      </c>
      <c r="C6" s="238">
        <v>1.5</v>
      </c>
      <c r="D6" s="2">
        <f>VLOOKUP(B6,'FRAME SECTION PROPERTIES'!A:E,5,0)*1000</f>
        <v>1400</v>
      </c>
      <c r="E6" s="2">
        <f>VLOOKUP(B6,'FRAME SECTION PROPERTIES'!A:E,4,0)*1000</f>
        <v>1000</v>
      </c>
      <c r="F6" s="239">
        <v>-1.75952172279358</v>
      </c>
      <c r="G6" s="240">
        <v>0</v>
      </c>
      <c r="H6" s="239">
        <v>71.438308715820298</v>
      </c>
      <c r="I6" s="240">
        <v>0.749999999999996</v>
      </c>
      <c r="J6" s="4">
        <v>195.27061462402301</v>
      </c>
      <c r="K6" s="5">
        <v>0.749999999999996</v>
      </c>
      <c r="AA6" s="238" t="s">
        <v>36</v>
      </c>
      <c r="AB6" s="6" t="str">
        <f>VLOOKUP(A6,'FRAME ASSIGNMENTS SUMMARY'!B:E,4,0)</f>
        <v>CSA11</v>
      </c>
      <c r="AC6" s="238">
        <v>1.5</v>
      </c>
      <c r="AD6" s="2">
        <f>VLOOKUP(B6,'FRAME SECTION PROPERTIES'!A:E,5,0)*1000</f>
        <v>1400</v>
      </c>
      <c r="AE6" s="2">
        <f>VLOOKUP(B6,'FRAME SECTION PROPERTIES'!A:E,4,0)*1000</f>
        <v>1000</v>
      </c>
      <c r="AF6" s="239">
        <v>-1.75952172279358</v>
      </c>
      <c r="AG6" s="240">
        <v>0</v>
      </c>
      <c r="AH6" s="239">
        <v>71.438308715820298</v>
      </c>
      <c r="AI6" s="240">
        <v>0.749999999999996</v>
      </c>
      <c r="AJ6" s="4">
        <v>195.27061462402301</v>
      </c>
      <c r="AK6" s="5">
        <v>0.749999999999996</v>
      </c>
      <c r="BA6" s="238" t="s">
        <v>36</v>
      </c>
      <c r="BB6" s="6" t="str">
        <f>VLOOKUP(A6,'FRAME ASSIGNMENTS SUMMARY'!B:E,4,0)</f>
        <v>CSA11</v>
      </c>
      <c r="BC6" s="238">
        <v>1.5</v>
      </c>
      <c r="BD6" s="2">
        <f>VLOOKUP(B6,'FRAME SECTION PROPERTIES'!A:E,5,0)*1000</f>
        <v>1400</v>
      </c>
      <c r="BE6" s="2">
        <f>VLOOKUP(B6,'FRAME SECTION PROPERTIES'!A:E,4,0)*1000</f>
        <v>1000</v>
      </c>
      <c r="BF6" s="239">
        <v>-1.75952172279358</v>
      </c>
      <c r="BG6" s="240">
        <v>0</v>
      </c>
      <c r="BH6" s="239">
        <v>71.438308715820298</v>
      </c>
      <c r="BI6" s="240">
        <v>0.749999999999996</v>
      </c>
      <c r="BJ6" s="4">
        <v>195.27061462402301</v>
      </c>
      <c r="BK6" s="5">
        <v>0.749999999999996</v>
      </c>
    </row>
    <row r="7" spans="1:63">
      <c r="A7" s="238" t="s">
        <v>37</v>
      </c>
      <c r="B7" s="6" t="str">
        <f>VLOOKUP(A7,'FRAME ASSIGNMENTS SUMMARY'!B:E,4,0)</f>
        <v>CSA12</v>
      </c>
      <c r="C7" s="238">
        <v>1.5</v>
      </c>
      <c r="D7" s="2">
        <f>VLOOKUP(B7,'FRAME SECTION PROPERTIES'!A:E,5,0)*1000</f>
        <v>1400</v>
      </c>
      <c r="E7" s="2">
        <f>VLOOKUP(B7,'FRAME SECTION PROPERTIES'!A:E,4,0)*1000</f>
        <v>1000</v>
      </c>
      <c r="F7" s="239">
        <v>-1</v>
      </c>
      <c r="G7" s="240" t="s">
        <v>203</v>
      </c>
      <c r="H7" s="239">
        <v>112.561088562012</v>
      </c>
      <c r="I7" s="240">
        <v>0.749999999999998</v>
      </c>
      <c r="J7" s="4">
        <v>254.38998413085901</v>
      </c>
      <c r="K7" s="5">
        <v>1.12499999999998</v>
      </c>
      <c r="AA7" s="238" t="s">
        <v>37</v>
      </c>
      <c r="AB7" s="6" t="str">
        <f>VLOOKUP(A7,'FRAME ASSIGNMENTS SUMMARY'!B:E,4,0)</f>
        <v>CSA12</v>
      </c>
      <c r="AC7" s="238">
        <v>1.5</v>
      </c>
      <c r="AD7" s="2">
        <f>VLOOKUP(B7,'FRAME SECTION PROPERTIES'!A:E,5,0)*1000</f>
        <v>1400</v>
      </c>
      <c r="AE7" s="2">
        <f>VLOOKUP(B7,'FRAME SECTION PROPERTIES'!A:E,4,0)*1000</f>
        <v>1000</v>
      </c>
      <c r="AF7" s="239">
        <v>-1</v>
      </c>
      <c r="AG7" s="240" t="s">
        <v>203</v>
      </c>
      <c r="AH7" s="239">
        <v>112.561088562012</v>
      </c>
      <c r="AI7" s="240">
        <v>0.749999999999998</v>
      </c>
      <c r="AJ7" s="4">
        <v>254.38998413085901</v>
      </c>
      <c r="AK7" s="5">
        <v>1.12499999999998</v>
      </c>
      <c r="BA7" s="238" t="s">
        <v>37</v>
      </c>
      <c r="BB7" s="6" t="str">
        <f>VLOOKUP(A7,'FRAME ASSIGNMENTS SUMMARY'!B:E,4,0)</f>
        <v>CSA12</v>
      </c>
      <c r="BC7" s="238">
        <v>1.5</v>
      </c>
      <c r="BD7" s="2">
        <f>VLOOKUP(B7,'FRAME SECTION PROPERTIES'!A:E,5,0)*1000</f>
        <v>1400</v>
      </c>
      <c r="BE7" s="2">
        <f>VLOOKUP(B7,'FRAME SECTION PROPERTIES'!A:E,4,0)*1000</f>
        <v>1000</v>
      </c>
      <c r="BF7" s="239">
        <v>-1</v>
      </c>
      <c r="BG7" s="240" t="s">
        <v>203</v>
      </c>
      <c r="BH7" s="239">
        <v>112.561088562012</v>
      </c>
      <c r="BI7" s="240">
        <v>0.749999999999998</v>
      </c>
      <c r="BJ7" s="4">
        <v>254.38998413085901</v>
      </c>
      <c r="BK7" s="5">
        <v>1.12499999999998</v>
      </c>
    </row>
    <row r="8" spans="1:63">
      <c r="A8" s="238" t="s">
        <v>38</v>
      </c>
      <c r="B8" s="6" t="str">
        <f>VLOOKUP(A8,'FRAME ASSIGNMENTS SUMMARY'!B:E,4,0)</f>
        <v>CSA13</v>
      </c>
      <c r="C8" s="238">
        <v>1.5</v>
      </c>
      <c r="D8" s="2">
        <f>VLOOKUP(B8,'FRAME SECTION PROPERTIES'!A:E,5,0)*1000</f>
        <v>1400</v>
      </c>
      <c r="E8" s="2">
        <f>VLOOKUP(B8,'FRAME SECTION PROPERTIES'!A:E,4,0)*1000</f>
        <v>1000</v>
      </c>
      <c r="F8" s="239">
        <v>-1</v>
      </c>
      <c r="G8" s="240" t="s">
        <v>203</v>
      </c>
      <c r="H8" s="239">
        <v>119.574668884277</v>
      </c>
      <c r="I8" s="240">
        <v>0.749999999999999</v>
      </c>
      <c r="J8" s="4">
        <v>265.12466430664102</v>
      </c>
      <c r="K8" s="5">
        <v>0.749999999999999</v>
      </c>
      <c r="AA8" s="238" t="s">
        <v>38</v>
      </c>
      <c r="AB8" s="6" t="str">
        <f>VLOOKUP(A8,'FRAME ASSIGNMENTS SUMMARY'!B:E,4,0)</f>
        <v>CSA13</v>
      </c>
      <c r="AC8" s="238">
        <v>1.5</v>
      </c>
      <c r="AD8" s="2">
        <f>VLOOKUP(B8,'FRAME SECTION PROPERTIES'!A:E,5,0)*1000</f>
        <v>1400</v>
      </c>
      <c r="AE8" s="2">
        <f>VLOOKUP(B8,'FRAME SECTION PROPERTIES'!A:E,4,0)*1000</f>
        <v>1000</v>
      </c>
      <c r="AF8" s="239">
        <v>-1</v>
      </c>
      <c r="AG8" s="240" t="s">
        <v>203</v>
      </c>
      <c r="AH8" s="239">
        <v>119.574668884277</v>
      </c>
      <c r="AI8" s="240">
        <v>0.749999999999999</v>
      </c>
      <c r="AJ8" s="4">
        <v>265.12466430664102</v>
      </c>
      <c r="AK8" s="5">
        <v>0.749999999999999</v>
      </c>
      <c r="BA8" s="238" t="s">
        <v>38</v>
      </c>
      <c r="BB8" s="6" t="str">
        <f>VLOOKUP(A8,'FRAME ASSIGNMENTS SUMMARY'!B:E,4,0)</f>
        <v>CSA13</v>
      </c>
      <c r="BC8" s="238">
        <v>1.5</v>
      </c>
      <c r="BD8" s="2">
        <f>VLOOKUP(B8,'FRAME SECTION PROPERTIES'!A:E,5,0)*1000</f>
        <v>1400</v>
      </c>
      <c r="BE8" s="2">
        <f>VLOOKUP(B8,'FRAME SECTION PROPERTIES'!A:E,4,0)*1000</f>
        <v>1000</v>
      </c>
      <c r="BF8" s="239">
        <v>-1</v>
      </c>
      <c r="BG8" s="240" t="s">
        <v>203</v>
      </c>
      <c r="BH8" s="239">
        <v>119.574668884277</v>
      </c>
      <c r="BI8" s="240">
        <v>0.749999999999999</v>
      </c>
      <c r="BJ8" s="4">
        <v>265.12466430664102</v>
      </c>
      <c r="BK8" s="5">
        <v>0.749999999999999</v>
      </c>
    </row>
    <row r="9" spans="1:63">
      <c r="A9" s="238" t="s">
        <v>39</v>
      </c>
      <c r="B9" s="6" t="str">
        <f>VLOOKUP(A9,'FRAME ASSIGNMENTS SUMMARY'!B:E,4,0)</f>
        <v>CSA14</v>
      </c>
      <c r="C9" s="238">
        <v>1.5</v>
      </c>
      <c r="D9" s="2">
        <f>VLOOKUP(B9,'FRAME SECTION PROPERTIES'!A:E,5,0)*1000</f>
        <v>1400</v>
      </c>
      <c r="E9" s="2">
        <f>VLOOKUP(B9,'FRAME SECTION PROPERTIES'!A:E,4,0)*1000</f>
        <v>1000</v>
      </c>
      <c r="F9" s="239">
        <v>-1.43416965007782</v>
      </c>
      <c r="G9" s="240">
        <v>0.37499999999999101</v>
      </c>
      <c r="H9" s="239">
        <v>83.540199279785199</v>
      </c>
      <c r="I9" s="240">
        <v>0.75</v>
      </c>
      <c r="J9" s="4">
        <v>227.09750366210901</v>
      </c>
      <c r="K9" s="5">
        <v>0.75</v>
      </c>
      <c r="AA9" s="238" t="s">
        <v>39</v>
      </c>
      <c r="AB9" s="6" t="str">
        <f>VLOOKUP(A9,'FRAME ASSIGNMENTS SUMMARY'!B:E,4,0)</f>
        <v>CSA14</v>
      </c>
      <c r="AC9" s="238">
        <v>1.5</v>
      </c>
      <c r="AD9" s="2">
        <f>VLOOKUP(B9,'FRAME SECTION PROPERTIES'!A:E,5,0)*1000</f>
        <v>1400</v>
      </c>
      <c r="AE9" s="2">
        <f>VLOOKUP(B9,'FRAME SECTION PROPERTIES'!A:E,4,0)*1000</f>
        <v>1000</v>
      </c>
      <c r="AF9" s="239">
        <v>-1.43416965007782</v>
      </c>
      <c r="AG9" s="240">
        <v>0.37499999999999101</v>
      </c>
      <c r="AH9" s="239">
        <v>83.540199279785199</v>
      </c>
      <c r="AI9" s="240">
        <v>0.75</v>
      </c>
      <c r="AJ9" s="4">
        <v>227.09750366210901</v>
      </c>
      <c r="AK9" s="5">
        <v>0.75</v>
      </c>
      <c r="BA9" s="238" t="s">
        <v>39</v>
      </c>
      <c r="BB9" s="6" t="str">
        <f>VLOOKUP(A9,'FRAME ASSIGNMENTS SUMMARY'!B:E,4,0)</f>
        <v>CSA14</v>
      </c>
      <c r="BC9" s="238">
        <v>1.5</v>
      </c>
      <c r="BD9" s="2">
        <f>VLOOKUP(B9,'FRAME SECTION PROPERTIES'!A:E,5,0)*1000</f>
        <v>1400</v>
      </c>
      <c r="BE9" s="2">
        <f>VLOOKUP(B9,'FRAME SECTION PROPERTIES'!A:E,4,0)*1000</f>
        <v>1000</v>
      </c>
      <c r="BF9" s="239">
        <v>-1.43416965007782</v>
      </c>
      <c r="BG9" s="240">
        <v>0.37499999999999101</v>
      </c>
      <c r="BH9" s="239">
        <v>83.540199279785199</v>
      </c>
      <c r="BI9" s="240">
        <v>0.75</v>
      </c>
      <c r="BJ9" s="4">
        <v>227.09750366210901</v>
      </c>
      <c r="BK9" s="5">
        <v>0.75</v>
      </c>
    </row>
    <row r="10" spans="1:63">
      <c r="A10" s="238" t="s">
        <v>40</v>
      </c>
      <c r="B10" s="6" t="str">
        <f>VLOOKUP(A10,'FRAME ASSIGNMENTS SUMMARY'!B:E,4,0)</f>
        <v>CSA15</v>
      </c>
      <c r="C10" s="238">
        <v>1.5</v>
      </c>
      <c r="D10" s="2">
        <f>VLOOKUP(B10,'FRAME SECTION PROPERTIES'!A:E,5,0)*1000</f>
        <v>1400</v>
      </c>
      <c r="E10" s="2">
        <f>VLOOKUP(B10,'FRAME SECTION PROPERTIES'!A:E,4,0)*1000</f>
        <v>1000</v>
      </c>
      <c r="F10" s="239">
        <v>-2.1805908679962198</v>
      </c>
      <c r="G10" s="240">
        <v>1.5</v>
      </c>
      <c r="H10" s="239">
        <v>96.268730163574205</v>
      </c>
      <c r="I10" s="240">
        <v>0.749999999999996</v>
      </c>
      <c r="J10" s="4">
        <v>256.93539428710898</v>
      </c>
      <c r="K10" s="5">
        <v>0.749999999999996</v>
      </c>
      <c r="AA10" s="238" t="s">
        <v>40</v>
      </c>
      <c r="AB10" s="6" t="str">
        <f>VLOOKUP(A10,'FRAME ASSIGNMENTS SUMMARY'!B:E,4,0)</f>
        <v>CSA15</v>
      </c>
      <c r="AC10" s="238">
        <v>1.5</v>
      </c>
      <c r="AD10" s="2">
        <f>VLOOKUP(B10,'FRAME SECTION PROPERTIES'!A:E,5,0)*1000</f>
        <v>1400</v>
      </c>
      <c r="AE10" s="2">
        <f>VLOOKUP(B10,'FRAME SECTION PROPERTIES'!A:E,4,0)*1000</f>
        <v>1000</v>
      </c>
      <c r="AF10" s="239">
        <v>-2.1805908679962198</v>
      </c>
      <c r="AG10" s="240">
        <v>1.5</v>
      </c>
      <c r="AH10" s="239">
        <v>96.268730163574205</v>
      </c>
      <c r="AI10" s="240">
        <v>0.749999999999996</v>
      </c>
      <c r="AJ10" s="4">
        <v>256.93539428710898</v>
      </c>
      <c r="AK10" s="5">
        <v>0.749999999999996</v>
      </c>
      <c r="BA10" s="238" t="s">
        <v>40</v>
      </c>
      <c r="BB10" s="6" t="str">
        <f>VLOOKUP(A10,'FRAME ASSIGNMENTS SUMMARY'!B:E,4,0)</f>
        <v>CSA15</v>
      </c>
      <c r="BC10" s="238">
        <v>1.5</v>
      </c>
      <c r="BD10" s="2">
        <f>VLOOKUP(B10,'FRAME SECTION PROPERTIES'!A:E,5,0)*1000</f>
        <v>1400</v>
      </c>
      <c r="BE10" s="2">
        <f>VLOOKUP(B10,'FRAME SECTION PROPERTIES'!A:E,4,0)*1000</f>
        <v>1000</v>
      </c>
      <c r="BF10" s="239">
        <v>-2.1805908679962198</v>
      </c>
      <c r="BG10" s="240">
        <v>1.5</v>
      </c>
      <c r="BH10" s="239">
        <v>96.268730163574205</v>
      </c>
      <c r="BI10" s="240">
        <v>0.749999999999996</v>
      </c>
      <c r="BJ10" s="4">
        <v>256.93539428710898</v>
      </c>
      <c r="BK10" s="5">
        <v>0.749999999999996</v>
      </c>
    </row>
    <row r="11" spans="1:63">
      <c r="A11" s="238" t="s">
        <v>41</v>
      </c>
      <c r="B11" s="6" t="str">
        <f>VLOOKUP(A11,'FRAME ASSIGNMENTS SUMMARY'!B:E,4,0)</f>
        <v>CSA17</v>
      </c>
      <c r="C11" s="238">
        <v>1.5</v>
      </c>
      <c r="D11" s="2">
        <f>VLOOKUP(B11,'FRAME SECTION PROPERTIES'!A:E,5,0)*1000</f>
        <v>1400</v>
      </c>
      <c r="E11" s="2">
        <f>VLOOKUP(B11,'FRAME SECTION PROPERTIES'!A:E,4,0)*1000</f>
        <v>1000</v>
      </c>
      <c r="F11" s="239">
        <v>-71.021011352539105</v>
      </c>
      <c r="G11" s="240">
        <v>0.37499999999998601</v>
      </c>
      <c r="H11" s="239">
        <v>1</v>
      </c>
      <c r="I11" s="240" t="s">
        <v>203</v>
      </c>
      <c r="J11" s="4">
        <v>184.58644104003901</v>
      </c>
      <c r="K11" s="5">
        <v>1.12499999999998</v>
      </c>
      <c r="AA11" s="238" t="s">
        <v>41</v>
      </c>
      <c r="AB11" s="6" t="str">
        <f>VLOOKUP(A11,'FRAME ASSIGNMENTS SUMMARY'!B:E,4,0)</f>
        <v>CSA17</v>
      </c>
      <c r="AC11" s="238">
        <v>1.5</v>
      </c>
      <c r="AD11" s="2">
        <f>VLOOKUP(B11,'FRAME SECTION PROPERTIES'!A:E,5,0)*1000</f>
        <v>1400</v>
      </c>
      <c r="AE11" s="2">
        <f>VLOOKUP(B11,'FRAME SECTION PROPERTIES'!A:E,4,0)*1000</f>
        <v>1000</v>
      </c>
      <c r="AF11" s="239">
        <v>-71.021011352539105</v>
      </c>
      <c r="AG11" s="240">
        <v>0.37499999999998601</v>
      </c>
      <c r="AH11" s="239">
        <v>1</v>
      </c>
      <c r="AI11" s="240" t="s">
        <v>203</v>
      </c>
      <c r="AJ11" s="4">
        <v>184.58644104003901</v>
      </c>
      <c r="AK11" s="5">
        <v>1.12499999999998</v>
      </c>
      <c r="BA11" s="238" t="s">
        <v>41</v>
      </c>
      <c r="BB11" s="6" t="str">
        <f>VLOOKUP(A11,'FRAME ASSIGNMENTS SUMMARY'!B:E,4,0)</f>
        <v>CSA17</v>
      </c>
      <c r="BC11" s="238">
        <v>1.5</v>
      </c>
      <c r="BD11" s="2">
        <f>VLOOKUP(B11,'FRAME SECTION PROPERTIES'!A:E,5,0)*1000</f>
        <v>1400</v>
      </c>
      <c r="BE11" s="2">
        <f>VLOOKUP(B11,'FRAME SECTION PROPERTIES'!A:E,4,0)*1000</f>
        <v>1000</v>
      </c>
      <c r="BF11" s="239">
        <v>-71.021011352539105</v>
      </c>
      <c r="BG11" s="240">
        <v>0.37499999999998601</v>
      </c>
      <c r="BH11" s="239">
        <v>1</v>
      </c>
      <c r="BI11" s="240" t="s">
        <v>203</v>
      </c>
      <c r="BJ11" s="4">
        <v>184.58644104003901</v>
      </c>
      <c r="BK11" s="5">
        <v>1.12499999999998</v>
      </c>
    </row>
    <row r="12" spans="1:63">
      <c r="A12" s="238" t="s">
        <v>42</v>
      </c>
      <c r="B12" s="6" t="str">
        <f>VLOOKUP(A12,'FRAME ASSIGNMENTS SUMMARY'!B:E,4,0)</f>
        <v>CSA19</v>
      </c>
      <c r="C12" s="238">
        <v>1.5</v>
      </c>
      <c r="D12" s="2">
        <f>VLOOKUP(B12,'FRAME SECTION PROPERTIES'!A:E,5,0)*1000</f>
        <v>1400</v>
      </c>
      <c r="E12" s="2">
        <f>VLOOKUP(B12,'FRAME SECTION PROPERTIES'!A:E,4,0)*1000</f>
        <v>1000</v>
      </c>
      <c r="F12" s="239">
        <v>-34.2562065124512</v>
      </c>
      <c r="G12" s="240">
        <v>0.37499999999998601</v>
      </c>
      <c r="H12" s="239">
        <v>57.182979583740199</v>
      </c>
      <c r="I12" s="240">
        <v>0.749999999999996</v>
      </c>
      <c r="J12" s="4">
        <v>240.76585388183599</v>
      </c>
      <c r="K12" s="5">
        <v>0.749999999999996</v>
      </c>
      <c r="AA12" s="238" t="s">
        <v>42</v>
      </c>
      <c r="AB12" s="6" t="str">
        <f>VLOOKUP(A12,'FRAME ASSIGNMENTS SUMMARY'!B:E,4,0)</f>
        <v>CSA19</v>
      </c>
      <c r="AC12" s="238">
        <v>1.5</v>
      </c>
      <c r="AD12" s="2">
        <f>VLOOKUP(B12,'FRAME SECTION PROPERTIES'!A:E,5,0)*1000</f>
        <v>1400</v>
      </c>
      <c r="AE12" s="2">
        <f>VLOOKUP(B12,'FRAME SECTION PROPERTIES'!A:E,4,0)*1000</f>
        <v>1000</v>
      </c>
      <c r="AF12" s="239">
        <v>-34.2562065124512</v>
      </c>
      <c r="AG12" s="240">
        <v>0.37499999999998601</v>
      </c>
      <c r="AH12" s="239">
        <v>57.182979583740199</v>
      </c>
      <c r="AI12" s="240">
        <v>0.749999999999996</v>
      </c>
      <c r="AJ12" s="4">
        <v>240.76585388183599</v>
      </c>
      <c r="AK12" s="5">
        <v>0.749999999999996</v>
      </c>
      <c r="BA12" s="238" t="s">
        <v>42</v>
      </c>
      <c r="BB12" s="6" t="str">
        <f>VLOOKUP(A12,'FRAME ASSIGNMENTS SUMMARY'!B:E,4,0)</f>
        <v>CSA19</v>
      </c>
      <c r="BC12" s="238">
        <v>1.5</v>
      </c>
      <c r="BD12" s="2">
        <f>VLOOKUP(B12,'FRAME SECTION PROPERTIES'!A:E,5,0)*1000</f>
        <v>1400</v>
      </c>
      <c r="BE12" s="2">
        <f>VLOOKUP(B12,'FRAME SECTION PROPERTIES'!A:E,4,0)*1000</f>
        <v>1000</v>
      </c>
      <c r="BF12" s="239">
        <v>-34.2562065124512</v>
      </c>
      <c r="BG12" s="240">
        <v>0.37499999999998601</v>
      </c>
      <c r="BH12" s="239">
        <v>57.182979583740199</v>
      </c>
      <c r="BI12" s="240">
        <v>0.749999999999996</v>
      </c>
      <c r="BJ12" s="4">
        <v>240.76585388183599</v>
      </c>
      <c r="BK12" s="5">
        <v>0.749999999999996</v>
      </c>
    </row>
    <row r="13" spans="1:63">
      <c r="A13" s="238" t="s">
        <v>43</v>
      </c>
      <c r="B13" s="6" t="str">
        <f>VLOOKUP(A13,'FRAME ASSIGNMENTS SUMMARY'!B:E,4,0)</f>
        <v>CSA2</v>
      </c>
      <c r="C13" s="238">
        <v>1.5</v>
      </c>
      <c r="D13" s="2">
        <f>VLOOKUP(B13,'FRAME SECTION PROPERTIES'!A:E,5,0)*1000</f>
        <v>750</v>
      </c>
      <c r="E13" s="2">
        <f>VLOOKUP(B13,'FRAME SECTION PROPERTIES'!A:E,4,0)*1000</f>
        <v>1000</v>
      </c>
      <c r="F13" s="239">
        <v>-27.5015773773193</v>
      </c>
      <c r="G13" s="240">
        <v>0</v>
      </c>
      <c r="H13" s="239">
        <v>54.290317535400398</v>
      </c>
      <c r="I13" s="240">
        <v>0.749999999999999</v>
      </c>
      <c r="J13" s="4">
        <v>196.16807556152301</v>
      </c>
      <c r="K13" s="5">
        <v>0.749999999999999</v>
      </c>
      <c r="AA13" s="238" t="s">
        <v>43</v>
      </c>
      <c r="AB13" s="6" t="str">
        <f>VLOOKUP(A13,'FRAME ASSIGNMENTS SUMMARY'!B:E,4,0)</f>
        <v>CSA2</v>
      </c>
      <c r="AC13" s="238">
        <v>1.5</v>
      </c>
      <c r="AD13" s="2">
        <f>VLOOKUP(B13,'FRAME SECTION PROPERTIES'!A:E,5,0)*1000</f>
        <v>750</v>
      </c>
      <c r="AE13" s="2">
        <f>VLOOKUP(B13,'FRAME SECTION PROPERTIES'!A:E,4,0)*1000</f>
        <v>1000</v>
      </c>
      <c r="AF13" s="239">
        <v>-27.5015773773193</v>
      </c>
      <c r="AG13" s="240">
        <v>0</v>
      </c>
      <c r="AH13" s="239">
        <v>54.290317535400398</v>
      </c>
      <c r="AI13" s="240">
        <v>0.749999999999999</v>
      </c>
      <c r="AJ13" s="4">
        <v>196.16807556152301</v>
      </c>
      <c r="AK13" s="5">
        <v>0.749999999999999</v>
      </c>
      <c r="BA13" s="238" t="s">
        <v>43</v>
      </c>
      <c r="BB13" s="6" t="str">
        <f>VLOOKUP(A13,'FRAME ASSIGNMENTS SUMMARY'!B:E,4,0)</f>
        <v>CSA2</v>
      </c>
      <c r="BC13" s="238">
        <v>1.5</v>
      </c>
      <c r="BD13" s="2">
        <f>VLOOKUP(B13,'FRAME SECTION PROPERTIES'!A:E,5,0)*1000</f>
        <v>750</v>
      </c>
      <c r="BE13" s="2">
        <f>VLOOKUP(B13,'FRAME SECTION PROPERTIES'!A:E,4,0)*1000</f>
        <v>1000</v>
      </c>
      <c r="BF13" s="239">
        <v>-27.5015773773193</v>
      </c>
      <c r="BG13" s="240">
        <v>0</v>
      </c>
      <c r="BH13" s="239">
        <v>54.290317535400398</v>
      </c>
      <c r="BI13" s="240">
        <v>0.749999999999999</v>
      </c>
      <c r="BJ13" s="4">
        <v>196.16807556152301</v>
      </c>
      <c r="BK13" s="5">
        <v>0.749999999999999</v>
      </c>
    </row>
    <row r="14" spans="1:63">
      <c r="A14" s="238" t="s">
        <v>44</v>
      </c>
      <c r="B14" s="6" t="str">
        <f>VLOOKUP(A14,'FRAME ASSIGNMENTS SUMMARY'!B:E,4,0)</f>
        <v>CSA20</v>
      </c>
      <c r="C14" s="238">
        <v>1.5</v>
      </c>
      <c r="D14" s="2">
        <f>VLOOKUP(B14,'FRAME SECTION PROPERTIES'!A:E,5,0)*1000</f>
        <v>1400</v>
      </c>
      <c r="E14" s="2">
        <f>VLOOKUP(B14,'FRAME SECTION PROPERTIES'!A:E,4,0)*1000</f>
        <v>1000</v>
      </c>
      <c r="F14" s="239">
        <v>-13.6271924972534</v>
      </c>
      <c r="G14" s="240">
        <v>1.12499999999999</v>
      </c>
      <c r="H14" s="239">
        <v>78.448112487792997</v>
      </c>
      <c r="I14" s="240">
        <v>0.749999999999996</v>
      </c>
      <c r="J14" s="4">
        <v>214.05863952636699</v>
      </c>
      <c r="K14" s="5">
        <v>0.749999999999996</v>
      </c>
      <c r="AA14" s="238" t="s">
        <v>44</v>
      </c>
      <c r="AB14" s="6" t="str">
        <f>VLOOKUP(A14,'FRAME ASSIGNMENTS SUMMARY'!B:E,4,0)</f>
        <v>CSA20</v>
      </c>
      <c r="AC14" s="238">
        <v>1.5</v>
      </c>
      <c r="AD14" s="2">
        <f>VLOOKUP(B14,'FRAME SECTION PROPERTIES'!A:E,5,0)*1000</f>
        <v>1400</v>
      </c>
      <c r="AE14" s="2">
        <f>VLOOKUP(B14,'FRAME SECTION PROPERTIES'!A:E,4,0)*1000</f>
        <v>1000</v>
      </c>
      <c r="AF14" s="239">
        <v>-13.6271924972534</v>
      </c>
      <c r="AG14" s="240">
        <v>1.12499999999999</v>
      </c>
      <c r="AH14" s="239">
        <v>78.448112487792997</v>
      </c>
      <c r="AI14" s="240">
        <v>0.749999999999996</v>
      </c>
      <c r="AJ14" s="4">
        <v>214.05863952636699</v>
      </c>
      <c r="AK14" s="5">
        <v>0.749999999999996</v>
      </c>
      <c r="BA14" s="238" t="s">
        <v>44</v>
      </c>
      <c r="BB14" s="6" t="str">
        <f>VLOOKUP(A14,'FRAME ASSIGNMENTS SUMMARY'!B:E,4,0)</f>
        <v>CSA20</v>
      </c>
      <c r="BC14" s="238">
        <v>1.5</v>
      </c>
      <c r="BD14" s="2">
        <f>VLOOKUP(B14,'FRAME SECTION PROPERTIES'!A:E,5,0)*1000</f>
        <v>1400</v>
      </c>
      <c r="BE14" s="2">
        <f>VLOOKUP(B14,'FRAME SECTION PROPERTIES'!A:E,4,0)*1000</f>
        <v>1000</v>
      </c>
      <c r="BF14" s="239">
        <v>-13.6271924972534</v>
      </c>
      <c r="BG14" s="240">
        <v>1.12499999999999</v>
      </c>
      <c r="BH14" s="239">
        <v>78.448112487792997</v>
      </c>
      <c r="BI14" s="240">
        <v>0.749999999999996</v>
      </c>
      <c r="BJ14" s="4">
        <v>214.05863952636699</v>
      </c>
      <c r="BK14" s="5">
        <v>0.749999999999996</v>
      </c>
    </row>
    <row r="15" spans="1:63">
      <c r="A15" s="238" t="s">
        <v>45</v>
      </c>
      <c r="B15" s="6" t="str">
        <f>VLOOKUP(A15,'FRAME ASSIGNMENTS SUMMARY'!B:E,4,0)</f>
        <v>CSA3</v>
      </c>
      <c r="C15" s="238">
        <v>1.5</v>
      </c>
      <c r="D15" s="2">
        <f>VLOOKUP(B15,'FRAME SECTION PROPERTIES'!A:E,5,0)*1000</f>
        <v>750</v>
      </c>
      <c r="E15" s="2">
        <f>VLOOKUP(B15,'FRAME SECTION PROPERTIES'!A:E,4,0)*1000</f>
        <v>1000</v>
      </c>
      <c r="F15" s="239">
        <v>-18.8439025878906</v>
      </c>
      <c r="G15" s="240">
        <v>0.37499999999999101</v>
      </c>
      <c r="H15" s="239">
        <v>64.933166503906307</v>
      </c>
      <c r="I15" s="240">
        <v>0.75</v>
      </c>
      <c r="J15" s="4">
        <v>219.555099487305</v>
      </c>
      <c r="K15" s="5">
        <v>1.12499999999999</v>
      </c>
      <c r="AA15" s="238" t="s">
        <v>45</v>
      </c>
      <c r="AB15" s="6" t="str">
        <f>VLOOKUP(A15,'FRAME ASSIGNMENTS SUMMARY'!B:E,4,0)</f>
        <v>CSA3</v>
      </c>
      <c r="AC15" s="238">
        <v>1.5</v>
      </c>
      <c r="AD15" s="2">
        <f>VLOOKUP(B15,'FRAME SECTION PROPERTIES'!A:E,5,0)*1000</f>
        <v>750</v>
      </c>
      <c r="AE15" s="2">
        <f>VLOOKUP(B15,'FRAME SECTION PROPERTIES'!A:E,4,0)*1000</f>
        <v>1000</v>
      </c>
      <c r="AF15" s="239">
        <v>-18.8439025878906</v>
      </c>
      <c r="AG15" s="240">
        <v>0.37499999999999101</v>
      </c>
      <c r="AH15" s="239">
        <v>64.933166503906307</v>
      </c>
      <c r="AI15" s="240">
        <v>0.75</v>
      </c>
      <c r="AJ15" s="4">
        <v>219.555099487305</v>
      </c>
      <c r="AK15" s="5">
        <v>1.12499999999999</v>
      </c>
      <c r="BA15" s="238" t="s">
        <v>45</v>
      </c>
      <c r="BB15" s="6" t="str">
        <f>VLOOKUP(A15,'FRAME ASSIGNMENTS SUMMARY'!B:E,4,0)</f>
        <v>CSA3</v>
      </c>
      <c r="BC15" s="238">
        <v>1.5</v>
      </c>
      <c r="BD15" s="2">
        <f>VLOOKUP(B15,'FRAME SECTION PROPERTIES'!A:E,5,0)*1000</f>
        <v>750</v>
      </c>
      <c r="BE15" s="2">
        <f>VLOOKUP(B15,'FRAME SECTION PROPERTIES'!A:E,4,0)*1000</f>
        <v>1000</v>
      </c>
      <c r="BF15" s="239">
        <v>-18.8439025878906</v>
      </c>
      <c r="BG15" s="240">
        <v>0.37499999999999101</v>
      </c>
      <c r="BH15" s="239">
        <v>64.933166503906307</v>
      </c>
      <c r="BI15" s="240">
        <v>0.75</v>
      </c>
      <c r="BJ15" s="4">
        <v>219.555099487305</v>
      </c>
      <c r="BK15" s="5">
        <v>1.12499999999999</v>
      </c>
    </row>
    <row r="16" spans="1:63">
      <c r="A16" s="238" t="s">
        <v>46</v>
      </c>
      <c r="B16" s="6" t="str">
        <f>VLOOKUP(A16,'FRAME ASSIGNMENTS SUMMARY'!B:E,4,0)</f>
        <v>CSA4</v>
      </c>
      <c r="C16" s="238">
        <v>1.5</v>
      </c>
      <c r="D16" s="2">
        <f>VLOOKUP(B16,'FRAME SECTION PROPERTIES'!A:E,5,0)*1000</f>
        <v>750</v>
      </c>
      <c r="E16" s="2">
        <f>VLOOKUP(B16,'FRAME SECTION PROPERTIES'!A:E,4,0)*1000</f>
        <v>1000</v>
      </c>
      <c r="F16" s="239">
        <v>-1.08809471130371</v>
      </c>
      <c r="G16" s="240">
        <v>1.12499999999999</v>
      </c>
      <c r="H16" s="239">
        <v>73.139900207519503</v>
      </c>
      <c r="I16" s="240">
        <v>0.75</v>
      </c>
      <c r="J16" s="4">
        <v>198.93469238281301</v>
      </c>
      <c r="K16" s="5">
        <v>1.12499999999999</v>
      </c>
      <c r="AA16" s="238" t="s">
        <v>46</v>
      </c>
      <c r="AB16" s="6" t="str">
        <f>VLOOKUP(A16,'FRAME ASSIGNMENTS SUMMARY'!B:E,4,0)</f>
        <v>CSA4</v>
      </c>
      <c r="AC16" s="238">
        <v>1.5</v>
      </c>
      <c r="AD16" s="2">
        <f>VLOOKUP(B16,'FRAME SECTION PROPERTIES'!A:E,5,0)*1000</f>
        <v>750</v>
      </c>
      <c r="AE16" s="2">
        <f>VLOOKUP(B16,'FRAME SECTION PROPERTIES'!A:E,4,0)*1000</f>
        <v>1000</v>
      </c>
      <c r="AF16" s="239">
        <v>-1.08809471130371</v>
      </c>
      <c r="AG16" s="240">
        <v>1.12499999999999</v>
      </c>
      <c r="AH16" s="239">
        <v>73.139900207519503</v>
      </c>
      <c r="AI16" s="240">
        <v>0.75</v>
      </c>
      <c r="AJ16" s="4">
        <v>198.93469238281301</v>
      </c>
      <c r="AK16" s="5">
        <v>1.12499999999999</v>
      </c>
      <c r="BA16" s="238" t="s">
        <v>46</v>
      </c>
      <c r="BB16" s="6" t="str">
        <f>VLOOKUP(A16,'FRAME ASSIGNMENTS SUMMARY'!B:E,4,0)</f>
        <v>CSA4</v>
      </c>
      <c r="BC16" s="238">
        <v>1.5</v>
      </c>
      <c r="BD16" s="2">
        <f>VLOOKUP(B16,'FRAME SECTION PROPERTIES'!A:E,5,0)*1000</f>
        <v>750</v>
      </c>
      <c r="BE16" s="2">
        <f>VLOOKUP(B16,'FRAME SECTION PROPERTIES'!A:E,4,0)*1000</f>
        <v>1000</v>
      </c>
      <c r="BF16" s="239">
        <v>-1.08809471130371</v>
      </c>
      <c r="BG16" s="240">
        <v>1.12499999999999</v>
      </c>
      <c r="BH16" s="239">
        <v>73.139900207519503</v>
      </c>
      <c r="BI16" s="240">
        <v>0.75</v>
      </c>
      <c r="BJ16" s="4">
        <v>198.93469238281301</v>
      </c>
      <c r="BK16" s="5">
        <v>1.12499999999999</v>
      </c>
    </row>
    <row r="17" spans="1:63">
      <c r="A17" s="238" t="s">
        <v>47</v>
      </c>
      <c r="B17" s="6" t="str">
        <f>VLOOKUP(A17,'FRAME ASSIGNMENTS SUMMARY'!B:E,4,0)</f>
        <v>CSA5</v>
      </c>
      <c r="C17" s="238">
        <v>1.5</v>
      </c>
      <c r="D17" s="2">
        <f>VLOOKUP(B17,'FRAME SECTION PROPERTIES'!A:E,5,0)*1000</f>
        <v>750</v>
      </c>
      <c r="E17" s="2">
        <f>VLOOKUP(B17,'FRAME SECTION PROPERTIES'!A:E,4,0)*1000</f>
        <v>1000</v>
      </c>
      <c r="F17" s="239">
        <v>-4.3915109634399396</v>
      </c>
      <c r="G17" s="240">
        <v>0.37499999999998901</v>
      </c>
      <c r="H17" s="239">
        <v>66.140800476074205</v>
      </c>
      <c r="I17" s="240">
        <v>0.75</v>
      </c>
      <c r="J17" s="4">
        <v>180.17811584472699</v>
      </c>
      <c r="K17" s="5">
        <v>1.12499999999999</v>
      </c>
      <c r="AA17" s="238" t="s">
        <v>47</v>
      </c>
      <c r="AB17" s="6" t="str">
        <f>VLOOKUP(A17,'FRAME ASSIGNMENTS SUMMARY'!B:E,4,0)</f>
        <v>CSA5</v>
      </c>
      <c r="AC17" s="238">
        <v>1.5</v>
      </c>
      <c r="AD17" s="2">
        <f>VLOOKUP(B17,'FRAME SECTION PROPERTIES'!A:E,5,0)*1000</f>
        <v>750</v>
      </c>
      <c r="AE17" s="2">
        <f>VLOOKUP(B17,'FRAME SECTION PROPERTIES'!A:E,4,0)*1000</f>
        <v>1000</v>
      </c>
      <c r="AF17" s="239">
        <v>-4.3915109634399396</v>
      </c>
      <c r="AG17" s="240">
        <v>0.37499999999998901</v>
      </c>
      <c r="AH17" s="239">
        <v>66.140800476074205</v>
      </c>
      <c r="AI17" s="240">
        <v>0.75</v>
      </c>
      <c r="AJ17" s="4">
        <v>180.17811584472699</v>
      </c>
      <c r="AK17" s="5">
        <v>1.12499999999999</v>
      </c>
      <c r="BA17" s="238" t="s">
        <v>47</v>
      </c>
      <c r="BB17" s="6" t="str">
        <f>VLOOKUP(A17,'FRAME ASSIGNMENTS SUMMARY'!B:E,4,0)</f>
        <v>CSA5</v>
      </c>
      <c r="BC17" s="238">
        <v>1.5</v>
      </c>
      <c r="BD17" s="2">
        <f>VLOOKUP(B17,'FRAME SECTION PROPERTIES'!A:E,5,0)*1000</f>
        <v>750</v>
      </c>
      <c r="BE17" s="2">
        <f>VLOOKUP(B17,'FRAME SECTION PROPERTIES'!A:E,4,0)*1000</f>
        <v>1000</v>
      </c>
      <c r="BF17" s="239">
        <v>-4.3915109634399396</v>
      </c>
      <c r="BG17" s="240">
        <v>0.37499999999998901</v>
      </c>
      <c r="BH17" s="239">
        <v>66.140800476074205</v>
      </c>
      <c r="BI17" s="240">
        <v>0.75</v>
      </c>
      <c r="BJ17" s="4">
        <v>180.17811584472699</v>
      </c>
      <c r="BK17" s="5">
        <v>1.12499999999999</v>
      </c>
    </row>
    <row r="18" spans="1:63">
      <c r="A18" s="238" t="s">
        <v>48</v>
      </c>
      <c r="B18" s="6" t="str">
        <f>VLOOKUP(A18,'FRAME ASSIGNMENTS SUMMARY'!B:E,4,0)</f>
        <v>CSA6</v>
      </c>
      <c r="C18" s="238">
        <v>1.5</v>
      </c>
      <c r="D18" s="2">
        <f>VLOOKUP(B18,'FRAME SECTION PROPERTIES'!A:E,5,0)*1000</f>
        <v>750</v>
      </c>
      <c r="E18" s="2">
        <f>VLOOKUP(B18,'FRAME SECTION PROPERTIES'!A:E,4,0)*1000</f>
        <v>1000</v>
      </c>
      <c r="F18" s="239">
        <v>-3.9234483242034899</v>
      </c>
      <c r="G18" s="240">
        <v>0.37499999999997902</v>
      </c>
      <c r="H18" s="239">
        <v>59.755470275878899</v>
      </c>
      <c r="I18" s="240">
        <v>0.75000000000067502</v>
      </c>
      <c r="J18" s="4">
        <v>166.65498352050801</v>
      </c>
      <c r="K18" s="5">
        <v>0.75000000000067502</v>
      </c>
      <c r="AA18" s="238" t="s">
        <v>48</v>
      </c>
      <c r="AB18" s="6" t="str">
        <f>VLOOKUP(A18,'FRAME ASSIGNMENTS SUMMARY'!B:E,4,0)</f>
        <v>CSA6</v>
      </c>
      <c r="AC18" s="238">
        <v>1.5</v>
      </c>
      <c r="AD18" s="2">
        <f>VLOOKUP(B18,'FRAME SECTION PROPERTIES'!A:E,5,0)*1000</f>
        <v>750</v>
      </c>
      <c r="AE18" s="2">
        <f>VLOOKUP(B18,'FRAME SECTION PROPERTIES'!A:E,4,0)*1000</f>
        <v>1000</v>
      </c>
      <c r="AF18" s="239">
        <v>-3.9234483242034899</v>
      </c>
      <c r="AG18" s="240">
        <v>0.37499999999997902</v>
      </c>
      <c r="AH18" s="239">
        <v>59.755470275878899</v>
      </c>
      <c r="AI18" s="240">
        <v>0.75000000000067502</v>
      </c>
      <c r="AJ18" s="4">
        <v>166.65498352050801</v>
      </c>
      <c r="AK18" s="5">
        <v>0.75000000000067502</v>
      </c>
      <c r="BA18" s="238" t="s">
        <v>48</v>
      </c>
      <c r="BB18" s="6" t="str">
        <f>VLOOKUP(A18,'FRAME ASSIGNMENTS SUMMARY'!B:E,4,0)</f>
        <v>CSA6</v>
      </c>
      <c r="BC18" s="238">
        <v>1.5</v>
      </c>
      <c r="BD18" s="2">
        <f>VLOOKUP(B18,'FRAME SECTION PROPERTIES'!A:E,5,0)*1000</f>
        <v>750</v>
      </c>
      <c r="BE18" s="2">
        <f>VLOOKUP(B18,'FRAME SECTION PROPERTIES'!A:E,4,0)*1000</f>
        <v>1000</v>
      </c>
      <c r="BF18" s="239">
        <v>-3.9234483242034899</v>
      </c>
      <c r="BG18" s="240">
        <v>0.37499999999997902</v>
      </c>
      <c r="BH18" s="239">
        <v>59.755470275878899</v>
      </c>
      <c r="BI18" s="240">
        <v>0.75000000000067502</v>
      </c>
      <c r="BJ18" s="4">
        <v>166.65498352050801</v>
      </c>
      <c r="BK18" s="5">
        <v>0.75000000000067502</v>
      </c>
    </row>
    <row r="19" spans="1:63">
      <c r="A19" s="238" t="s">
        <v>49</v>
      </c>
      <c r="B19" s="6" t="str">
        <f>VLOOKUP(A19,'FRAME ASSIGNMENTS SUMMARY'!B:E,4,0)</f>
        <v>CSA7</v>
      </c>
      <c r="C19" s="238">
        <v>1.5</v>
      </c>
      <c r="D19" s="2">
        <f>VLOOKUP(B19,'FRAME SECTION PROPERTIES'!A:E,5,0)*1000</f>
        <v>1500</v>
      </c>
      <c r="E19" s="2">
        <f>VLOOKUP(B19,'FRAME SECTION PROPERTIES'!A:E,4,0)*1000</f>
        <v>1000</v>
      </c>
      <c r="F19" s="239">
        <v>-43.485214233398402</v>
      </c>
      <c r="G19" s="240">
        <v>1.12499999999998</v>
      </c>
      <c r="H19" s="239">
        <v>127.548667907715</v>
      </c>
      <c r="I19" s="240">
        <v>0.750000000000002</v>
      </c>
      <c r="J19" s="4">
        <v>458.40945434570301</v>
      </c>
      <c r="K19" s="5">
        <v>1.12499999999998</v>
      </c>
      <c r="AA19" s="238" t="s">
        <v>49</v>
      </c>
      <c r="AB19" s="6" t="str">
        <f>VLOOKUP(A19,'FRAME ASSIGNMENTS SUMMARY'!B:E,4,0)</f>
        <v>CSA7</v>
      </c>
      <c r="AC19" s="238">
        <v>1.5</v>
      </c>
      <c r="AD19" s="2">
        <f>VLOOKUP(B19,'FRAME SECTION PROPERTIES'!A:E,5,0)*1000</f>
        <v>1500</v>
      </c>
      <c r="AE19" s="2">
        <f>VLOOKUP(B19,'FRAME SECTION PROPERTIES'!A:E,4,0)*1000</f>
        <v>1000</v>
      </c>
      <c r="AF19" s="239">
        <v>-43.485214233398402</v>
      </c>
      <c r="AG19" s="240">
        <v>1.12499999999998</v>
      </c>
      <c r="AH19" s="239">
        <v>127.548667907715</v>
      </c>
      <c r="AI19" s="240">
        <v>0.750000000000002</v>
      </c>
      <c r="AJ19" s="4">
        <v>458.40945434570301</v>
      </c>
      <c r="AK19" s="5">
        <v>1.12499999999998</v>
      </c>
      <c r="BA19" s="238" t="s">
        <v>49</v>
      </c>
      <c r="BB19" s="6" t="str">
        <f>VLOOKUP(A19,'FRAME ASSIGNMENTS SUMMARY'!B:E,4,0)</f>
        <v>CSA7</v>
      </c>
      <c r="BC19" s="238">
        <v>1.5</v>
      </c>
      <c r="BD19" s="2">
        <f>VLOOKUP(B19,'FRAME SECTION PROPERTIES'!A:E,5,0)*1000</f>
        <v>1500</v>
      </c>
      <c r="BE19" s="2">
        <f>VLOOKUP(B19,'FRAME SECTION PROPERTIES'!A:E,4,0)*1000</f>
        <v>1000</v>
      </c>
      <c r="BF19" s="239">
        <v>-43.485214233398402</v>
      </c>
      <c r="BG19" s="240">
        <v>1.12499999999998</v>
      </c>
      <c r="BH19" s="239">
        <v>127.548667907715</v>
      </c>
      <c r="BI19" s="240">
        <v>0.750000000000002</v>
      </c>
      <c r="BJ19" s="4">
        <v>458.40945434570301</v>
      </c>
      <c r="BK19" s="5">
        <v>1.12499999999998</v>
      </c>
    </row>
    <row r="20" spans="1:63">
      <c r="A20" s="238" t="s">
        <v>50</v>
      </c>
      <c r="B20" s="6" t="str">
        <f>VLOOKUP(A20,'FRAME ASSIGNMENTS SUMMARY'!B:E,4,0)</f>
        <v>CSA8</v>
      </c>
      <c r="C20" s="238">
        <v>1.5</v>
      </c>
      <c r="D20" s="2">
        <f>VLOOKUP(B20,'FRAME SECTION PROPERTIES'!A:E,5,0)*1000</f>
        <v>1500</v>
      </c>
      <c r="E20" s="2">
        <f>VLOOKUP(B20,'FRAME SECTION PROPERTIES'!A:E,4,0)*1000</f>
        <v>1000</v>
      </c>
      <c r="F20" s="239">
        <v>-35.954181671142599</v>
      </c>
      <c r="G20" s="240">
        <v>0.37499999999998401</v>
      </c>
      <c r="H20" s="239">
        <v>143.26818847656301</v>
      </c>
      <c r="I20" s="240">
        <v>0.750000000000003</v>
      </c>
      <c r="J20" s="4">
        <v>473.89276123046898</v>
      </c>
      <c r="K20" s="5">
        <v>0.750000000000003</v>
      </c>
      <c r="AA20" s="238" t="s">
        <v>50</v>
      </c>
      <c r="AB20" s="6" t="str">
        <f>VLOOKUP(A20,'FRAME ASSIGNMENTS SUMMARY'!B:E,4,0)</f>
        <v>CSA8</v>
      </c>
      <c r="AC20" s="238">
        <v>1.5</v>
      </c>
      <c r="AD20" s="2">
        <f>VLOOKUP(B20,'FRAME SECTION PROPERTIES'!A:E,5,0)*1000</f>
        <v>1500</v>
      </c>
      <c r="AE20" s="2">
        <f>VLOOKUP(B20,'FRAME SECTION PROPERTIES'!A:E,4,0)*1000</f>
        <v>1000</v>
      </c>
      <c r="AF20" s="239">
        <v>-35.954181671142599</v>
      </c>
      <c r="AG20" s="240">
        <v>0.37499999999998401</v>
      </c>
      <c r="AH20" s="239">
        <v>143.26818847656301</v>
      </c>
      <c r="AI20" s="240">
        <v>0.750000000000003</v>
      </c>
      <c r="AJ20" s="4">
        <v>473.89276123046898</v>
      </c>
      <c r="AK20" s="5">
        <v>0.750000000000003</v>
      </c>
      <c r="BA20" s="238" t="s">
        <v>50</v>
      </c>
      <c r="BB20" s="6" t="str">
        <f>VLOOKUP(A20,'FRAME ASSIGNMENTS SUMMARY'!B:E,4,0)</f>
        <v>CSA8</v>
      </c>
      <c r="BC20" s="238">
        <v>1.5</v>
      </c>
      <c r="BD20" s="2">
        <f>VLOOKUP(B20,'FRAME SECTION PROPERTIES'!A:E,5,0)*1000</f>
        <v>1500</v>
      </c>
      <c r="BE20" s="2">
        <f>VLOOKUP(B20,'FRAME SECTION PROPERTIES'!A:E,4,0)*1000</f>
        <v>1000</v>
      </c>
      <c r="BF20" s="239">
        <v>-35.954181671142599</v>
      </c>
      <c r="BG20" s="240">
        <v>0.37499999999998401</v>
      </c>
      <c r="BH20" s="239">
        <v>143.26818847656301</v>
      </c>
      <c r="BI20" s="240">
        <v>0.750000000000003</v>
      </c>
      <c r="BJ20" s="4">
        <v>473.89276123046898</v>
      </c>
      <c r="BK20" s="5">
        <v>0.750000000000003</v>
      </c>
    </row>
    <row r="21" spans="1:63">
      <c r="A21" s="238" t="s">
        <v>51</v>
      </c>
      <c r="B21" s="6" t="str">
        <f>VLOOKUP(A21,'FRAME ASSIGNMENTS SUMMARY'!B:E,4,0)</f>
        <v>CSA9</v>
      </c>
      <c r="C21" s="238">
        <v>1.5</v>
      </c>
      <c r="D21" s="2">
        <f>VLOOKUP(B21,'FRAME SECTION PROPERTIES'!A:E,5,0)*1000</f>
        <v>1500</v>
      </c>
      <c r="E21" s="2">
        <f>VLOOKUP(B21,'FRAME SECTION PROPERTIES'!A:E,4,0)*1000</f>
        <v>1000</v>
      </c>
      <c r="F21" s="239">
        <v>-1</v>
      </c>
      <c r="G21" s="240" t="s">
        <v>203</v>
      </c>
      <c r="H21" s="239">
        <v>215.76348876953099</v>
      </c>
      <c r="I21" s="240">
        <v>0.75</v>
      </c>
      <c r="J21" s="4">
        <v>499.53607177734398</v>
      </c>
      <c r="K21" s="5">
        <v>0.75</v>
      </c>
      <c r="AA21" s="238" t="s">
        <v>51</v>
      </c>
      <c r="AB21" s="6" t="str">
        <f>VLOOKUP(A21,'FRAME ASSIGNMENTS SUMMARY'!B:E,4,0)</f>
        <v>CSA9</v>
      </c>
      <c r="AC21" s="238">
        <v>1.5</v>
      </c>
      <c r="AD21" s="2">
        <f>VLOOKUP(B21,'FRAME SECTION PROPERTIES'!A:E,5,0)*1000</f>
        <v>1500</v>
      </c>
      <c r="AE21" s="2">
        <f>VLOOKUP(B21,'FRAME SECTION PROPERTIES'!A:E,4,0)*1000</f>
        <v>1000</v>
      </c>
      <c r="AF21" s="239">
        <v>-1</v>
      </c>
      <c r="AG21" s="240" t="s">
        <v>203</v>
      </c>
      <c r="AH21" s="239">
        <v>215.76348876953099</v>
      </c>
      <c r="AI21" s="240">
        <v>0.75</v>
      </c>
      <c r="AJ21" s="4">
        <v>499.53607177734398</v>
      </c>
      <c r="AK21" s="5">
        <v>0.75</v>
      </c>
      <c r="BA21" s="238" t="s">
        <v>51</v>
      </c>
      <c r="BB21" s="6" t="str">
        <f>VLOOKUP(A21,'FRAME ASSIGNMENTS SUMMARY'!B:E,4,0)</f>
        <v>CSA9</v>
      </c>
      <c r="BC21" s="238">
        <v>1.5</v>
      </c>
      <c r="BD21" s="2">
        <f>VLOOKUP(B21,'FRAME SECTION PROPERTIES'!A:E,5,0)*1000</f>
        <v>1500</v>
      </c>
      <c r="BE21" s="2">
        <f>VLOOKUP(B21,'FRAME SECTION PROPERTIES'!A:E,4,0)*1000</f>
        <v>1000</v>
      </c>
      <c r="BF21" s="239">
        <v>-1</v>
      </c>
      <c r="BG21" s="240" t="s">
        <v>203</v>
      </c>
      <c r="BH21" s="239">
        <v>215.76348876953099</v>
      </c>
      <c r="BI21" s="240">
        <v>0.75</v>
      </c>
      <c r="BJ21" s="4">
        <v>499.53607177734398</v>
      </c>
      <c r="BK21" s="5">
        <v>0.75</v>
      </c>
    </row>
    <row r="22" spans="1:63">
      <c r="A22" s="238" t="s">
        <v>52</v>
      </c>
      <c r="B22" s="6" t="str">
        <f>VLOOKUP(A22,'FRAME ASSIGNMENTS SUMMARY'!B:E,4,0)</f>
        <v>CSB1</v>
      </c>
      <c r="C22" s="238">
        <v>0.75</v>
      </c>
      <c r="D22" s="2">
        <f>VLOOKUP(B22,'FRAME SECTION PROPERTIES'!A:E,5,0)*1000</f>
        <v>1500</v>
      </c>
      <c r="E22" s="2">
        <f>VLOOKUP(B22,'FRAME SECTION PROPERTIES'!A:E,4,0)*1000</f>
        <v>1000</v>
      </c>
      <c r="F22" s="239">
        <v>-14.646939277648899</v>
      </c>
      <c r="G22" s="240">
        <v>0.375000000000901</v>
      </c>
      <c r="H22" s="239">
        <v>1</v>
      </c>
      <c r="I22" s="240" t="s">
        <v>203</v>
      </c>
      <c r="J22" s="4">
        <v>15.474551200866699</v>
      </c>
      <c r="K22" s="5">
        <v>0.375000000000901</v>
      </c>
      <c r="AA22" s="238" t="s">
        <v>52</v>
      </c>
      <c r="AB22" s="6" t="str">
        <f>VLOOKUP(A22,'FRAME ASSIGNMENTS SUMMARY'!B:E,4,0)</f>
        <v>CSB1</v>
      </c>
      <c r="AC22" s="238">
        <v>0.75</v>
      </c>
      <c r="AD22" s="2">
        <f>VLOOKUP(B22,'FRAME SECTION PROPERTIES'!A:E,5,0)*1000</f>
        <v>1500</v>
      </c>
      <c r="AE22" s="2">
        <f>VLOOKUP(B22,'FRAME SECTION PROPERTIES'!A:E,4,0)*1000</f>
        <v>1000</v>
      </c>
      <c r="AF22" s="239">
        <v>-14.646939277648899</v>
      </c>
      <c r="AG22" s="240">
        <v>0.375000000000901</v>
      </c>
      <c r="AH22" s="239">
        <v>1</v>
      </c>
      <c r="AI22" s="240" t="s">
        <v>203</v>
      </c>
      <c r="AJ22" s="4">
        <v>15.474551200866699</v>
      </c>
      <c r="AK22" s="5">
        <v>0.375000000000901</v>
      </c>
      <c r="BA22" s="238" t="s">
        <v>52</v>
      </c>
      <c r="BB22" s="6" t="str">
        <f>VLOOKUP(A22,'FRAME ASSIGNMENTS SUMMARY'!B:E,4,0)</f>
        <v>CSB1</v>
      </c>
      <c r="BC22" s="238">
        <v>0.75</v>
      </c>
      <c r="BD22" s="2">
        <f>VLOOKUP(B22,'FRAME SECTION PROPERTIES'!A:E,5,0)*1000</f>
        <v>1500</v>
      </c>
      <c r="BE22" s="2">
        <f>VLOOKUP(B22,'FRAME SECTION PROPERTIES'!A:E,4,0)*1000</f>
        <v>1000</v>
      </c>
      <c r="BF22" s="239">
        <v>-14.646939277648899</v>
      </c>
      <c r="BG22" s="240">
        <v>0.375000000000901</v>
      </c>
      <c r="BH22" s="239">
        <v>1</v>
      </c>
      <c r="BI22" s="240" t="s">
        <v>203</v>
      </c>
      <c r="BJ22" s="4">
        <v>15.474551200866699</v>
      </c>
      <c r="BK22" s="5">
        <v>0.375000000000901</v>
      </c>
    </row>
    <row r="23" spans="1:63">
      <c r="A23" s="238" t="s">
        <v>53</v>
      </c>
      <c r="B23" s="6" t="str">
        <f>VLOOKUP(A23,'FRAME ASSIGNMENTS SUMMARY'!B:E,4,0)</f>
        <v>CSB10</v>
      </c>
      <c r="C23" s="238">
        <v>0.75</v>
      </c>
      <c r="D23" s="2">
        <f>VLOOKUP(B23,'FRAME SECTION PROPERTIES'!A:E,5,0)*1000</f>
        <v>1500</v>
      </c>
      <c r="E23" s="2">
        <f>VLOOKUP(B23,'FRAME SECTION PROPERTIES'!A:E,4,0)*1000</f>
        <v>1000</v>
      </c>
      <c r="F23" s="239">
        <v>-17.479387283325199</v>
      </c>
      <c r="G23" s="240">
        <v>0.37500000000044698</v>
      </c>
      <c r="H23" s="239">
        <v>1</v>
      </c>
      <c r="I23" s="240" t="s">
        <v>203</v>
      </c>
      <c r="J23" s="4">
        <v>18.9438381195068</v>
      </c>
      <c r="K23" s="5">
        <v>0.75</v>
      </c>
      <c r="AA23" s="238" t="s">
        <v>53</v>
      </c>
      <c r="AB23" s="6" t="str">
        <f>VLOOKUP(A23,'FRAME ASSIGNMENTS SUMMARY'!B:E,4,0)</f>
        <v>CSB10</v>
      </c>
      <c r="AC23" s="238">
        <v>0.75</v>
      </c>
      <c r="AD23" s="2">
        <f>VLOOKUP(B23,'FRAME SECTION PROPERTIES'!A:E,5,0)*1000</f>
        <v>1500</v>
      </c>
      <c r="AE23" s="2">
        <f>VLOOKUP(B23,'FRAME SECTION PROPERTIES'!A:E,4,0)*1000</f>
        <v>1000</v>
      </c>
      <c r="AF23" s="239">
        <v>-17.479387283325199</v>
      </c>
      <c r="AG23" s="240">
        <v>0.37500000000044698</v>
      </c>
      <c r="AH23" s="239">
        <v>1</v>
      </c>
      <c r="AI23" s="240" t="s">
        <v>203</v>
      </c>
      <c r="AJ23" s="4">
        <v>18.9438381195068</v>
      </c>
      <c r="AK23" s="5">
        <v>0.75</v>
      </c>
      <c r="BA23" s="238" t="s">
        <v>53</v>
      </c>
      <c r="BB23" s="6" t="str">
        <f>VLOOKUP(A23,'FRAME ASSIGNMENTS SUMMARY'!B:E,4,0)</f>
        <v>CSB10</v>
      </c>
      <c r="BC23" s="238">
        <v>0.75</v>
      </c>
      <c r="BD23" s="2">
        <f>VLOOKUP(B23,'FRAME SECTION PROPERTIES'!A:E,5,0)*1000</f>
        <v>1500</v>
      </c>
      <c r="BE23" s="2">
        <f>VLOOKUP(B23,'FRAME SECTION PROPERTIES'!A:E,4,0)*1000</f>
        <v>1000</v>
      </c>
      <c r="BF23" s="239">
        <v>-17.479387283325199</v>
      </c>
      <c r="BG23" s="240">
        <v>0.37500000000044698</v>
      </c>
      <c r="BH23" s="239">
        <v>1</v>
      </c>
      <c r="BI23" s="240" t="s">
        <v>203</v>
      </c>
      <c r="BJ23" s="4">
        <v>18.9438381195068</v>
      </c>
      <c r="BK23" s="5">
        <v>0.75</v>
      </c>
    </row>
    <row r="24" spans="1:63">
      <c r="A24" s="238" t="s">
        <v>54</v>
      </c>
      <c r="B24" s="6" t="str">
        <f>VLOOKUP(A24,'FRAME ASSIGNMENTS SUMMARY'!B:E,4,0)</f>
        <v>CSB11</v>
      </c>
      <c r="C24" s="238">
        <v>1.3999999761581401</v>
      </c>
      <c r="D24" s="2">
        <f>VLOOKUP(B24,'FRAME SECTION PROPERTIES'!A:E,5,0)*1000</f>
        <v>1500</v>
      </c>
      <c r="E24" s="2">
        <f>VLOOKUP(B24,'FRAME SECTION PROPERTIES'!A:E,4,0)*1000</f>
        <v>1000</v>
      </c>
      <c r="F24" s="239">
        <v>-14.806058883666999</v>
      </c>
      <c r="G24" s="240">
        <v>0.37499999999999101</v>
      </c>
      <c r="H24" s="239">
        <v>66.319984436035199</v>
      </c>
      <c r="I24" s="240">
        <v>0.69999999999999896</v>
      </c>
      <c r="J24" s="4">
        <v>415.28646850585898</v>
      </c>
      <c r="K24" s="5">
        <v>0.37499999999999101</v>
      </c>
      <c r="AA24" s="238" t="s">
        <v>54</v>
      </c>
      <c r="AB24" s="6" t="str">
        <f>VLOOKUP(A24,'FRAME ASSIGNMENTS SUMMARY'!B:E,4,0)</f>
        <v>CSB11</v>
      </c>
      <c r="AC24" s="238">
        <v>1.3999999761581401</v>
      </c>
      <c r="AD24" s="2">
        <f>VLOOKUP(B24,'FRAME SECTION PROPERTIES'!A:E,5,0)*1000</f>
        <v>1500</v>
      </c>
      <c r="AE24" s="2">
        <f>VLOOKUP(B24,'FRAME SECTION PROPERTIES'!A:E,4,0)*1000</f>
        <v>1000</v>
      </c>
      <c r="AF24" s="239">
        <v>-14.806058883666999</v>
      </c>
      <c r="AG24" s="240">
        <v>0.37499999999999101</v>
      </c>
      <c r="AH24" s="239">
        <v>66.319984436035199</v>
      </c>
      <c r="AI24" s="240">
        <v>0.69999999999999896</v>
      </c>
      <c r="AJ24" s="4">
        <v>415.28646850585898</v>
      </c>
      <c r="AK24" s="5">
        <v>0.37499999999999101</v>
      </c>
      <c r="BA24" s="238" t="s">
        <v>54</v>
      </c>
      <c r="BB24" s="6" t="str">
        <f>VLOOKUP(A24,'FRAME ASSIGNMENTS SUMMARY'!B:E,4,0)</f>
        <v>CSB11</v>
      </c>
      <c r="BC24" s="238">
        <v>1.3999999761581401</v>
      </c>
      <c r="BD24" s="2">
        <f>VLOOKUP(B24,'FRAME SECTION PROPERTIES'!A:E,5,0)*1000</f>
        <v>1500</v>
      </c>
      <c r="BE24" s="2">
        <f>VLOOKUP(B24,'FRAME SECTION PROPERTIES'!A:E,4,0)*1000</f>
        <v>1000</v>
      </c>
      <c r="BF24" s="239">
        <v>-14.806058883666999</v>
      </c>
      <c r="BG24" s="240">
        <v>0.37499999999999101</v>
      </c>
      <c r="BH24" s="239">
        <v>66.319984436035199</v>
      </c>
      <c r="BI24" s="240">
        <v>0.69999999999999896</v>
      </c>
      <c r="BJ24" s="4">
        <v>415.28646850585898</v>
      </c>
      <c r="BK24" s="5">
        <v>0.37499999999999101</v>
      </c>
    </row>
    <row r="25" spans="1:63">
      <c r="A25" s="238" t="s">
        <v>55</v>
      </c>
      <c r="B25" s="6" t="str">
        <f>VLOOKUP(A25,'FRAME ASSIGNMENTS SUMMARY'!B:E,4,0)</f>
        <v>CSB12</v>
      </c>
      <c r="C25" s="238">
        <v>1.3999999761581401</v>
      </c>
      <c r="D25" s="2">
        <f>VLOOKUP(B25,'FRAME SECTION PROPERTIES'!A:E,5,0)*1000</f>
        <v>1500</v>
      </c>
      <c r="E25" s="2">
        <f>VLOOKUP(B25,'FRAME SECTION PROPERTIES'!A:E,4,0)*1000</f>
        <v>1000</v>
      </c>
      <c r="F25" s="239">
        <v>-3.2429239749908398</v>
      </c>
      <c r="G25" s="240">
        <v>0.37499999999999301</v>
      </c>
      <c r="H25" s="239">
        <v>94.093032836914105</v>
      </c>
      <c r="I25" s="240">
        <v>0.70000000000000095</v>
      </c>
      <c r="J25" s="4">
        <v>508.759033203125</v>
      </c>
      <c r="K25" s="5">
        <v>0.37499999999999301</v>
      </c>
      <c r="AA25" s="238" t="s">
        <v>55</v>
      </c>
      <c r="AB25" s="6" t="str">
        <f>VLOOKUP(A25,'FRAME ASSIGNMENTS SUMMARY'!B:E,4,0)</f>
        <v>CSB12</v>
      </c>
      <c r="AC25" s="238">
        <v>1.3999999761581401</v>
      </c>
      <c r="AD25" s="2">
        <f>VLOOKUP(B25,'FRAME SECTION PROPERTIES'!A:E,5,0)*1000</f>
        <v>1500</v>
      </c>
      <c r="AE25" s="2">
        <f>VLOOKUP(B25,'FRAME SECTION PROPERTIES'!A:E,4,0)*1000</f>
        <v>1000</v>
      </c>
      <c r="AF25" s="239">
        <v>-3.2429239749908398</v>
      </c>
      <c r="AG25" s="240">
        <v>0.37499999999999301</v>
      </c>
      <c r="AH25" s="239">
        <v>94.093032836914105</v>
      </c>
      <c r="AI25" s="240">
        <v>0.70000000000000095</v>
      </c>
      <c r="AJ25" s="4">
        <v>508.759033203125</v>
      </c>
      <c r="AK25" s="5">
        <v>0.37499999999999301</v>
      </c>
      <c r="BA25" s="238" t="s">
        <v>55</v>
      </c>
      <c r="BB25" s="6" t="str">
        <f>VLOOKUP(A25,'FRAME ASSIGNMENTS SUMMARY'!B:E,4,0)</f>
        <v>CSB12</v>
      </c>
      <c r="BC25" s="238">
        <v>1.3999999761581401</v>
      </c>
      <c r="BD25" s="2">
        <f>VLOOKUP(B25,'FRAME SECTION PROPERTIES'!A:E,5,0)*1000</f>
        <v>1500</v>
      </c>
      <c r="BE25" s="2">
        <f>VLOOKUP(B25,'FRAME SECTION PROPERTIES'!A:E,4,0)*1000</f>
        <v>1000</v>
      </c>
      <c r="BF25" s="239">
        <v>-3.2429239749908398</v>
      </c>
      <c r="BG25" s="240">
        <v>0.37499999999999301</v>
      </c>
      <c r="BH25" s="239">
        <v>94.093032836914105</v>
      </c>
      <c r="BI25" s="240">
        <v>0.70000000000000095</v>
      </c>
      <c r="BJ25" s="4">
        <v>508.759033203125</v>
      </c>
      <c r="BK25" s="5">
        <v>0.37499999999999301</v>
      </c>
    </row>
    <row r="26" spans="1:63">
      <c r="A26" s="238" t="s">
        <v>56</v>
      </c>
      <c r="B26" s="6" t="str">
        <f>VLOOKUP(A26,'FRAME ASSIGNMENTS SUMMARY'!B:E,4,0)</f>
        <v>CSB13</v>
      </c>
      <c r="C26" s="238">
        <v>1.3999999761581401</v>
      </c>
      <c r="D26" s="2">
        <f>VLOOKUP(B26,'FRAME SECTION PROPERTIES'!A:E,5,0)*1000</f>
        <v>1500</v>
      </c>
      <c r="E26" s="2">
        <f>VLOOKUP(B26,'FRAME SECTION PROPERTIES'!A:E,4,0)*1000</f>
        <v>1000</v>
      </c>
      <c r="F26" s="239">
        <v>-8.8704957962036097</v>
      </c>
      <c r="G26" s="240">
        <v>1.0249999999999899</v>
      </c>
      <c r="H26" s="239">
        <v>57.792503356933601</v>
      </c>
      <c r="I26" s="240">
        <v>0.7</v>
      </c>
      <c r="J26" s="4">
        <v>414.82720947265602</v>
      </c>
      <c r="K26" s="5">
        <v>0.37499999999999301</v>
      </c>
      <c r="AA26" s="238" t="s">
        <v>56</v>
      </c>
      <c r="AB26" s="6" t="str">
        <f>VLOOKUP(A26,'FRAME ASSIGNMENTS SUMMARY'!B:E,4,0)</f>
        <v>CSB13</v>
      </c>
      <c r="AC26" s="238">
        <v>1.3999999761581401</v>
      </c>
      <c r="AD26" s="2">
        <f>VLOOKUP(B26,'FRAME SECTION PROPERTIES'!A:E,5,0)*1000</f>
        <v>1500</v>
      </c>
      <c r="AE26" s="2">
        <f>VLOOKUP(B26,'FRAME SECTION PROPERTIES'!A:E,4,0)*1000</f>
        <v>1000</v>
      </c>
      <c r="AF26" s="239">
        <v>-8.8704957962036097</v>
      </c>
      <c r="AG26" s="240">
        <v>1.0249999999999899</v>
      </c>
      <c r="AH26" s="239">
        <v>57.792503356933601</v>
      </c>
      <c r="AI26" s="240">
        <v>0.7</v>
      </c>
      <c r="AJ26" s="4">
        <v>414.82720947265602</v>
      </c>
      <c r="AK26" s="5">
        <v>0.37499999999999301</v>
      </c>
      <c r="BA26" s="238" t="s">
        <v>56</v>
      </c>
      <c r="BB26" s="6" t="str">
        <f>VLOOKUP(A26,'FRAME ASSIGNMENTS SUMMARY'!B:E,4,0)</f>
        <v>CSB13</v>
      </c>
      <c r="BC26" s="238">
        <v>1.3999999761581401</v>
      </c>
      <c r="BD26" s="2">
        <f>VLOOKUP(B26,'FRAME SECTION PROPERTIES'!A:E,5,0)*1000</f>
        <v>1500</v>
      </c>
      <c r="BE26" s="2">
        <f>VLOOKUP(B26,'FRAME SECTION PROPERTIES'!A:E,4,0)*1000</f>
        <v>1000</v>
      </c>
      <c r="BF26" s="239">
        <v>-8.8704957962036097</v>
      </c>
      <c r="BG26" s="240">
        <v>1.0249999999999899</v>
      </c>
      <c r="BH26" s="239">
        <v>57.792503356933601</v>
      </c>
      <c r="BI26" s="240">
        <v>0.7</v>
      </c>
      <c r="BJ26" s="4">
        <v>414.82720947265602</v>
      </c>
      <c r="BK26" s="5">
        <v>0.37499999999999301</v>
      </c>
    </row>
    <row r="27" spans="1:63">
      <c r="A27" s="238" t="s">
        <v>57</v>
      </c>
      <c r="B27" s="6" t="str">
        <f>VLOOKUP(A27,'FRAME ASSIGNMENTS SUMMARY'!B:E,4,0)</f>
        <v>CSB14</v>
      </c>
      <c r="C27" s="238">
        <v>1.3999999761581401</v>
      </c>
      <c r="D27" s="2">
        <f>VLOOKUP(B27,'FRAME SECTION PROPERTIES'!A:E,5,0)*1000</f>
        <v>1500</v>
      </c>
      <c r="E27" s="2">
        <f>VLOOKUP(B27,'FRAME SECTION PROPERTIES'!A:E,4,0)*1000</f>
        <v>1000</v>
      </c>
      <c r="F27" s="239">
        <v>-15.027427673339799</v>
      </c>
      <c r="G27" s="240">
        <v>1.0249999999999899</v>
      </c>
      <c r="H27" s="239">
        <v>66.8565673828125</v>
      </c>
      <c r="I27" s="240">
        <v>0.7</v>
      </c>
      <c r="J27" s="4">
        <v>522.87652587890602</v>
      </c>
      <c r="K27" s="5">
        <v>0.37499999999999201</v>
      </c>
      <c r="AA27" s="238" t="s">
        <v>57</v>
      </c>
      <c r="AB27" s="6" t="str">
        <f>VLOOKUP(A27,'FRAME ASSIGNMENTS SUMMARY'!B:E,4,0)</f>
        <v>CSB14</v>
      </c>
      <c r="AC27" s="238">
        <v>1.3999999761581401</v>
      </c>
      <c r="AD27" s="2">
        <f>VLOOKUP(B27,'FRAME SECTION PROPERTIES'!A:E,5,0)*1000</f>
        <v>1500</v>
      </c>
      <c r="AE27" s="2">
        <f>VLOOKUP(B27,'FRAME SECTION PROPERTIES'!A:E,4,0)*1000</f>
        <v>1000</v>
      </c>
      <c r="AF27" s="239">
        <v>-15.027427673339799</v>
      </c>
      <c r="AG27" s="240">
        <v>1.0249999999999899</v>
      </c>
      <c r="AH27" s="239">
        <v>66.8565673828125</v>
      </c>
      <c r="AI27" s="240">
        <v>0.7</v>
      </c>
      <c r="AJ27" s="4">
        <v>522.87652587890602</v>
      </c>
      <c r="AK27" s="5">
        <v>0.37499999999999201</v>
      </c>
      <c r="BA27" s="238" t="s">
        <v>57</v>
      </c>
      <c r="BB27" s="6" t="str">
        <f>VLOOKUP(A27,'FRAME ASSIGNMENTS SUMMARY'!B:E,4,0)</f>
        <v>CSB14</v>
      </c>
      <c r="BC27" s="238">
        <v>1.3999999761581401</v>
      </c>
      <c r="BD27" s="2">
        <f>VLOOKUP(B27,'FRAME SECTION PROPERTIES'!A:E,5,0)*1000</f>
        <v>1500</v>
      </c>
      <c r="BE27" s="2">
        <f>VLOOKUP(B27,'FRAME SECTION PROPERTIES'!A:E,4,0)*1000</f>
        <v>1000</v>
      </c>
      <c r="BF27" s="239">
        <v>-15.027427673339799</v>
      </c>
      <c r="BG27" s="240">
        <v>1.0249999999999899</v>
      </c>
      <c r="BH27" s="239">
        <v>66.8565673828125</v>
      </c>
      <c r="BI27" s="240">
        <v>0.7</v>
      </c>
      <c r="BJ27" s="4">
        <v>522.87652587890602</v>
      </c>
      <c r="BK27" s="5">
        <v>0.37499999999999201</v>
      </c>
    </row>
    <row r="28" spans="1:63">
      <c r="A28" s="238" t="s">
        <v>58</v>
      </c>
      <c r="B28" s="6" t="str">
        <f>VLOOKUP(A28,'FRAME ASSIGNMENTS SUMMARY'!B:E,4,0)</f>
        <v>CSB15</v>
      </c>
      <c r="C28" s="238">
        <v>1.3999999761581401</v>
      </c>
      <c r="D28" s="2">
        <f>VLOOKUP(B28,'FRAME SECTION PROPERTIES'!A:E,5,0)*1000</f>
        <v>1500</v>
      </c>
      <c r="E28" s="2">
        <f>VLOOKUP(B28,'FRAME SECTION PROPERTIES'!A:E,4,0)*1000</f>
        <v>1000</v>
      </c>
      <c r="F28" s="239">
        <v>-15.367501258850099</v>
      </c>
      <c r="G28" s="240">
        <v>1.0249999999999899</v>
      </c>
      <c r="H28" s="239">
        <v>70.123710632324205</v>
      </c>
      <c r="I28" s="240">
        <v>0.7</v>
      </c>
      <c r="J28" s="4">
        <v>543.99603271484398</v>
      </c>
      <c r="K28" s="5">
        <v>0.37499999999999201</v>
      </c>
      <c r="AA28" s="238" t="s">
        <v>58</v>
      </c>
      <c r="AB28" s="6" t="str">
        <f>VLOOKUP(A28,'FRAME ASSIGNMENTS SUMMARY'!B:E,4,0)</f>
        <v>CSB15</v>
      </c>
      <c r="AC28" s="238">
        <v>1.3999999761581401</v>
      </c>
      <c r="AD28" s="2">
        <f>VLOOKUP(B28,'FRAME SECTION PROPERTIES'!A:E,5,0)*1000</f>
        <v>1500</v>
      </c>
      <c r="AE28" s="2">
        <f>VLOOKUP(B28,'FRAME SECTION PROPERTIES'!A:E,4,0)*1000</f>
        <v>1000</v>
      </c>
      <c r="AF28" s="239">
        <v>-15.367501258850099</v>
      </c>
      <c r="AG28" s="240">
        <v>1.0249999999999899</v>
      </c>
      <c r="AH28" s="239">
        <v>70.123710632324205</v>
      </c>
      <c r="AI28" s="240">
        <v>0.7</v>
      </c>
      <c r="AJ28" s="4">
        <v>543.99603271484398</v>
      </c>
      <c r="AK28" s="5">
        <v>0.37499999999999201</v>
      </c>
      <c r="BA28" s="238" t="s">
        <v>58</v>
      </c>
      <c r="BB28" s="6" t="str">
        <f>VLOOKUP(A28,'FRAME ASSIGNMENTS SUMMARY'!B:E,4,0)</f>
        <v>CSB15</v>
      </c>
      <c r="BC28" s="238">
        <v>1.3999999761581401</v>
      </c>
      <c r="BD28" s="2">
        <f>VLOOKUP(B28,'FRAME SECTION PROPERTIES'!A:E,5,0)*1000</f>
        <v>1500</v>
      </c>
      <c r="BE28" s="2">
        <f>VLOOKUP(B28,'FRAME SECTION PROPERTIES'!A:E,4,0)*1000</f>
        <v>1000</v>
      </c>
      <c r="BF28" s="239">
        <v>-15.367501258850099</v>
      </c>
      <c r="BG28" s="240">
        <v>1.0249999999999899</v>
      </c>
      <c r="BH28" s="239">
        <v>70.123710632324205</v>
      </c>
      <c r="BI28" s="240">
        <v>0.7</v>
      </c>
      <c r="BJ28" s="4">
        <v>543.99603271484398</v>
      </c>
      <c r="BK28" s="5">
        <v>0.37499999999999201</v>
      </c>
    </row>
    <row r="29" spans="1:63">
      <c r="A29" s="238" t="s">
        <v>59</v>
      </c>
      <c r="B29" s="6" t="str">
        <f>VLOOKUP(A29,'FRAME ASSIGNMENTS SUMMARY'!B:E,4,0)</f>
        <v>CSB16</v>
      </c>
      <c r="C29" s="238">
        <v>1.3999999761581401</v>
      </c>
      <c r="D29" s="2">
        <f>VLOOKUP(B29,'FRAME SECTION PROPERTIES'!A:E,5,0)*1000</f>
        <v>1500</v>
      </c>
      <c r="E29" s="2">
        <f>VLOOKUP(B29,'FRAME SECTION PROPERTIES'!A:E,4,0)*1000</f>
        <v>1000</v>
      </c>
      <c r="F29" s="239">
        <v>-23.8609294891357</v>
      </c>
      <c r="G29" s="240">
        <v>1.0249999999999899</v>
      </c>
      <c r="H29" s="239">
        <v>49.327690124511697</v>
      </c>
      <c r="I29" s="240">
        <v>0.7</v>
      </c>
      <c r="J29" s="4">
        <v>485.44760131835898</v>
      </c>
      <c r="K29" s="5">
        <v>0.37499999999999301</v>
      </c>
      <c r="AA29" s="238" t="s">
        <v>59</v>
      </c>
      <c r="AB29" s="6" t="str">
        <f>VLOOKUP(A29,'FRAME ASSIGNMENTS SUMMARY'!B:E,4,0)</f>
        <v>CSB16</v>
      </c>
      <c r="AC29" s="238">
        <v>1.3999999761581401</v>
      </c>
      <c r="AD29" s="2">
        <f>VLOOKUP(B29,'FRAME SECTION PROPERTIES'!A:E,5,0)*1000</f>
        <v>1500</v>
      </c>
      <c r="AE29" s="2">
        <f>VLOOKUP(B29,'FRAME SECTION PROPERTIES'!A:E,4,0)*1000</f>
        <v>1000</v>
      </c>
      <c r="AF29" s="239">
        <v>-23.8609294891357</v>
      </c>
      <c r="AG29" s="240">
        <v>1.0249999999999899</v>
      </c>
      <c r="AH29" s="239">
        <v>49.327690124511697</v>
      </c>
      <c r="AI29" s="240">
        <v>0.7</v>
      </c>
      <c r="AJ29" s="4">
        <v>485.44760131835898</v>
      </c>
      <c r="AK29" s="5">
        <v>0.37499999999999301</v>
      </c>
      <c r="BA29" s="238" t="s">
        <v>59</v>
      </c>
      <c r="BB29" s="6" t="str">
        <f>VLOOKUP(A29,'FRAME ASSIGNMENTS SUMMARY'!B:E,4,0)</f>
        <v>CSB16</v>
      </c>
      <c r="BC29" s="238">
        <v>1.3999999761581401</v>
      </c>
      <c r="BD29" s="2">
        <f>VLOOKUP(B29,'FRAME SECTION PROPERTIES'!A:E,5,0)*1000</f>
        <v>1500</v>
      </c>
      <c r="BE29" s="2">
        <f>VLOOKUP(B29,'FRAME SECTION PROPERTIES'!A:E,4,0)*1000</f>
        <v>1000</v>
      </c>
      <c r="BF29" s="239">
        <v>-23.8609294891357</v>
      </c>
      <c r="BG29" s="240">
        <v>1.0249999999999899</v>
      </c>
      <c r="BH29" s="239">
        <v>49.327690124511697</v>
      </c>
      <c r="BI29" s="240">
        <v>0.7</v>
      </c>
      <c r="BJ29" s="4">
        <v>485.44760131835898</v>
      </c>
      <c r="BK29" s="5">
        <v>0.37499999999999301</v>
      </c>
    </row>
    <row r="30" spans="1:63">
      <c r="A30" s="238" t="s">
        <v>60</v>
      </c>
      <c r="B30" s="6" t="str">
        <f>VLOOKUP(A30,'FRAME ASSIGNMENTS SUMMARY'!B:E,4,0)</f>
        <v>CSB17</v>
      </c>
      <c r="C30" s="238">
        <v>1.3999999761581401</v>
      </c>
      <c r="D30" s="2">
        <f>VLOOKUP(B30,'FRAME SECTION PROPERTIES'!A:E,5,0)*1000</f>
        <v>1500</v>
      </c>
      <c r="E30" s="2">
        <f>VLOOKUP(B30,'FRAME SECTION PROPERTIES'!A:E,4,0)*1000</f>
        <v>1000</v>
      </c>
      <c r="F30" s="239">
        <v>-1</v>
      </c>
      <c r="G30" s="240" t="s">
        <v>203</v>
      </c>
      <c r="H30" s="239">
        <v>77.007171630859403</v>
      </c>
      <c r="I30" s="240">
        <v>0.69999999999999896</v>
      </c>
      <c r="J30" s="4">
        <v>456.35861206054699</v>
      </c>
      <c r="K30" s="5">
        <v>0.37499999999999101</v>
      </c>
      <c r="AA30" s="238" t="s">
        <v>60</v>
      </c>
      <c r="AB30" s="6" t="str">
        <f>VLOOKUP(A30,'FRAME ASSIGNMENTS SUMMARY'!B:E,4,0)</f>
        <v>CSB17</v>
      </c>
      <c r="AC30" s="238">
        <v>1.3999999761581401</v>
      </c>
      <c r="AD30" s="2">
        <f>VLOOKUP(B30,'FRAME SECTION PROPERTIES'!A:E,5,0)*1000</f>
        <v>1500</v>
      </c>
      <c r="AE30" s="2">
        <f>VLOOKUP(B30,'FRAME SECTION PROPERTIES'!A:E,4,0)*1000</f>
        <v>1000</v>
      </c>
      <c r="AF30" s="239">
        <v>-1</v>
      </c>
      <c r="AG30" s="240" t="s">
        <v>203</v>
      </c>
      <c r="AH30" s="239">
        <v>77.007171630859403</v>
      </c>
      <c r="AI30" s="240">
        <v>0.69999999999999896</v>
      </c>
      <c r="AJ30" s="4">
        <v>456.35861206054699</v>
      </c>
      <c r="AK30" s="5">
        <v>0.37499999999999101</v>
      </c>
      <c r="BA30" s="238" t="s">
        <v>60</v>
      </c>
      <c r="BB30" s="6" t="str">
        <f>VLOOKUP(A30,'FRAME ASSIGNMENTS SUMMARY'!B:E,4,0)</f>
        <v>CSB17</v>
      </c>
      <c r="BC30" s="238">
        <v>1.3999999761581401</v>
      </c>
      <c r="BD30" s="2">
        <f>VLOOKUP(B30,'FRAME SECTION PROPERTIES'!A:E,5,0)*1000</f>
        <v>1500</v>
      </c>
      <c r="BE30" s="2">
        <f>VLOOKUP(B30,'FRAME SECTION PROPERTIES'!A:E,4,0)*1000</f>
        <v>1000</v>
      </c>
      <c r="BF30" s="239">
        <v>-1</v>
      </c>
      <c r="BG30" s="240" t="s">
        <v>203</v>
      </c>
      <c r="BH30" s="239">
        <v>77.007171630859403</v>
      </c>
      <c r="BI30" s="240">
        <v>0.69999999999999896</v>
      </c>
      <c r="BJ30" s="4">
        <v>456.35861206054699</v>
      </c>
      <c r="BK30" s="5">
        <v>0.37499999999999101</v>
      </c>
    </row>
    <row r="31" spans="1:63">
      <c r="A31" s="238" t="s">
        <v>61</v>
      </c>
      <c r="B31" s="6" t="str">
        <f>VLOOKUP(A31,'FRAME ASSIGNMENTS SUMMARY'!B:E,4,0)</f>
        <v>CSB18</v>
      </c>
      <c r="C31" s="238">
        <v>1.3999999761581401</v>
      </c>
      <c r="D31" s="2">
        <f>VLOOKUP(B31,'FRAME SECTION PROPERTIES'!A:E,5,0)*1000</f>
        <v>1500</v>
      </c>
      <c r="E31" s="2">
        <f>VLOOKUP(B31,'FRAME SECTION PROPERTIES'!A:E,4,0)*1000</f>
        <v>1000</v>
      </c>
      <c r="F31" s="239">
        <v>-8.4010334014892596</v>
      </c>
      <c r="G31" s="240">
        <v>0.37499999999999101</v>
      </c>
      <c r="H31" s="239">
        <v>57.699554443359403</v>
      </c>
      <c r="I31" s="240">
        <v>0.69999999999999896</v>
      </c>
      <c r="J31" s="4">
        <v>422.46829223632801</v>
      </c>
      <c r="K31" s="5">
        <v>0.37499999999999101</v>
      </c>
      <c r="AA31" s="238" t="s">
        <v>61</v>
      </c>
      <c r="AB31" s="6" t="str">
        <f>VLOOKUP(A31,'FRAME ASSIGNMENTS SUMMARY'!B:E,4,0)</f>
        <v>CSB18</v>
      </c>
      <c r="AC31" s="238">
        <v>1.3999999761581401</v>
      </c>
      <c r="AD31" s="2">
        <f>VLOOKUP(B31,'FRAME SECTION PROPERTIES'!A:E,5,0)*1000</f>
        <v>1500</v>
      </c>
      <c r="AE31" s="2">
        <f>VLOOKUP(B31,'FRAME SECTION PROPERTIES'!A:E,4,0)*1000</f>
        <v>1000</v>
      </c>
      <c r="AF31" s="239">
        <v>-8.4010334014892596</v>
      </c>
      <c r="AG31" s="240">
        <v>0.37499999999999101</v>
      </c>
      <c r="AH31" s="239">
        <v>57.699554443359403</v>
      </c>
      <c r="AI31" s="240">
        <v>0.69999999999999896</v>
      </c>
      <c r="AJ31" s="4">
        <v>422.46829223632801</v>
      </c>
      <c r="AK31" s="5">
        <v>0.37499999999999101</v>
      </c>
      <c r="BA31" s="238" t="s">
        <v>61</v>
      </c>
      <c r="BB31" s="6" t="str">
        <f>VLOOKUP(A31,'FRAME ASSIGNMENTS SUMMARY'!B:E,4,0)</f>
        <v>CSB18</v>
      </c>
      <c r="BC31" s="238">
        <v>1.3999999761581401</v>
      </c>
      <c r="BD31" s="2">
        <f>VLOOKUP(B31,'FRAME SECTION PROPERTIES'!A:E,5,0)*1000</f>
        <v>1500</v>
      </c>
      <c r="BE31" s="2">
        <f>VLOOKUP(B31,'FRAME SECTION PROPERTIES'!A:E,4,0)*1000</f>
        <v>1000</v>
      </c>
      <c r="BF31" s="239">
        <v>-8.4010334014892596</v>
      </c>
      <c r="BG31" s="240">
        <v>0.37499999999999101</v>
      </c>
      <c r="BH31" s="239">
        <v>57.699554443359403</v>
      </c>
      <c r="BI31" s="240">
        <v>0.69999999999999896</v>
      </c>
      <c r="BJ31" s="4">
        <v>422.46829223632801</v>
      </c>
      <c r="BK31" s="5">
        <v>0.37499999999999101</v>
      </c>
    </row>
    <row r="32" spans="1:63">
      <c r="A32" s="238" t="s">
        <v>62</v>
      </c>
      <c r="B32" s="6" t="str">
        <f>VLOOKUP(A32,'FRAME ASSIGNMENTS SUMMARY'!B:E,4,0)</f>
        <v>CSB19</v>
      </c>
      <c r="C32" s="238">
        <v>1.3999999761581401</v>
      </c>
      <c r="D32" s="2">
        <f>VLOOKUP(B32,'FRAME SECTION PROPERTIES'!A:E,5,0)*1000</f>
        <v>750</v>
      </c>
      <c r="E32" s="2">
        <f>VLOOKUP(B32,'FRAME SECTION PROPERTIES'!A:E,4,0)*1000</f>
        <v>1000</v>
      </c>
      <c r="F32" s="239">
        <v>-13.0943794250488</v>
      </c>
      <c r="G32" s="240">
        <v>0.37500000000000899</v>
      </c>
      <c r="H32" s="239">
        <v>48.293159484863303</v>
      </c>
      <c r="I32" s="240">
        <v>0.70000000000000095</v>
      </c>
      <c r="J32" s="4">
        <v>341.44546508789102</v>
      </c>
      <c r="K32" s="5">
        <v>1.0250000000000099</v>
      </c>
      <c r="AA32" s="238" t="s">
        <v>62</v>
      </c>
      <c r="AB32" s="6" t="str">
        <f>VLOOKUP(A32,'FRAME ASSIGNMENTS SUMMARY'!B:E,4,0)</f>
        <v>CSB19</v>
      </c>
      <c r="AC32" s="238">
        <v>1.3999999761581401</v>
      </c>
      <c r="AD32" s="2">
        <f>VLOOKUP(B32,'FRAME SECTION PROPERTIES'!A:E,5,0)*1000</f>
        <v>750</v>
      </c>
      <c r="AE32" s="2">
        <f>VLOOKUP(B32,'FRAME SECTION PROPERTIES'!A:E,4,0)*1000</f>
        <v>1000</v>
      </c>
      <c r="AF32" s="239">
        <v>-13.0943794250488</v>
      </c>
      <c r="AG32" s="240">
        <v>0.37500000000000899</v>
      </c>
      <c r="AH32" s="239">
        <v>48.293159484863303</v>
      </c>
      <c r="AI32" s="240">
        <v>0.70000000000000095</v>
      </c>
      <c r="AJ32" s="4">
        <v>341.44546508789102</v>
      </c>
      <c r="AK32" s="5">
        <v>1.0250000000000099</v>
      </c>
      <c r="BA32" s="238" t="s">
        <v>62</v>
      </c>
      <c r="BB32" s="6" t="str">
        <f>VLOOKUP(A32,'FRAME ASSIGNMENTS SUMMARY'!B:E,4,0)</f>
        <v>CSB19</v>
      </c>
      <c r="BC32" s="238">
        <v>1.3999999761581401</v>
      </c>
      <c r="BD32" s="2">
        <f>VLOOKUP(B32,'FRAME SECTION PROPERTIES'!A:E,5,0)*1000</f>
        <v>750</v>
      </c>
      <c r="BE32" s="2">
        <f>VLOOKUP(B32,'FRAME SECTION PROPERTIES'!A:E,4,0)*1000</f>
        <v>1000</v>
      </c>
      <c r="BF32" s="239">
        <v>-13.0943794250488</v>
      </c>
      <c r="BG32" s="240">
        <v>0.37500000000000899</v>
      </c>
      <c r="BH32" s="239">
        <v>48.293159484863303</v>
      </c>
      <c r="BI32" s="240">
        <v>0.70000000000000095</v>
      </c>
      <c r="BJ32" s="4">
        <v>341.44546508789102</v>
      </c>
      <c r="BK32" s="5">
        <v>1.0250000000000099</v>
      </c>
    </row>
    <row r="33" spans="1:63">
      <c r="A33" s="238" t="s">
        <v>63</v>
      </c>
      <c r="B33" s="6" t="str">
        <f>VLOOKUP(A33,'FRAME ASSIGNMENTS SUMMARY'!B:E,4,0)</f>
        <v>CSB2</v>
      </c>
      <c r="C33" s="238">
        <v>0.75</v>
      </c>
      <c r="D33" s="2">
        <f>VLOOKUP(B33,'FRAME SECTION PROPERTIES'!A:E,5,0)*1000</f>
        <v>1500</v>
      </c>
      <c r="E33" s="2">
        <f>VLOOKUP(B33,'FRAME SECTION PROPERTIES'!A:E,4,0)*1000</f>
        <v>1000</v>
      </c>
      <c r="F33" s="239">
        <v>-18.591957092285199</v>
      </c>
      <c r="G33" s="240">
        <v>0.375000000000835</v>
      </c>
      <c r="H33" s="239">
        <v>1</v>
      </c>
      <c r="I33" s="240" t="s">
        <v>203</v>
      </c>
      <c r="J33" s="4">
        <v>19.718971252441399</v>
      </c>
      <c r="K33" s="5">
        <v>0.375000000000835</v>
      </c>
      <c r="AA33" s="238" t="s">
        <v>63</v>
      </c>
      <c r="AB33" s="6" t="str">
        <f>VLOOKUP(A33,'FRAME ASSIGNMENTS SUMMARY'!B:E,4,0)</f>
        <v>CSB2</v>
      </c>
      <c r="AC33" s="238">
        <v>0.75</v>
      </c>
      <c r="AD33" s="2">
        <f>VLOOKUP(B33,'FRAME SECTION PROPERTIES'!A:E,5,0)*1000</f>
        <v>1500</v>
      </c>
      <c r="AE33" s="2">
        <f>VLOOKUP(B33,'FRAME SECTION PROPERTIES'!A:E,4,0)*1000</f>
        <v>1000</v>
      </c>
      <c r="AF33" s="239">
        <v>-18.591957092285199</v>
      </c>
      <c r="AG33" s="240">
        <v>0.375000000000835</v>
      </c>
      <c r="AH33" s="239">
        <v>1</v>
      </c>
      <c r="AI33" s="240" t="s">
        <v>203</v>
      </c>
      <c r="AJ33" s="4">
        <v>19.718971252441399</v>
      </c>
      <c r="AK33" s="5">
        <v>0.375000000000835</v>
      </c>
      <c r="BA33" s="238" t="s">
        <v>63</v>
      </c>
      <c r="BB33" s="6" t="str">
        <f>VLOOKUP(A33,'FRAME ASSIGNMENTS SUMMARY'!B:E,4,0)</f>
        <v>CSB2</v>
      </c>
      <c r="BC33" s="238">
        <v>0.75</v>
      </c>
      <c r="BD33" s="2">
        <f>VLOOKUP(B33,'FRAME SECTION PROPERTIES'!A:E,5,0)*1000</f>
        <v>1500</v>
      </c>
      <c r="BE33" s="2">
        <f>VLOOKUP(B33,'FRAME SECTION PROPERTIES'!A:E,4,0)*1000</f>
        <v>1000</v>
      </c>
      <c r="BF33" s="239">
        <v>-18.591957092285199</v>
      </c>
      <c r="BG33" s="240">
        <v>0.375000000000835</v>
      </c>
      <c r="BH33" s="239">
        <v>1</v>
      </c>
      <c r="BI33" s="240" t="s">
        <v>203</v>
      </c>
      <c r="BJ33" s="4">
        <v>19.718971252441399</v>
      </c>
      <c r="BK33" s="5">
        <v>0.375000000000835</v>
      </c>
    </row>
    <row r="34" spans="1:63">
      <c r="A34" s="238" t="s">
        <v>64</v>
      </c>
      <c r="B34" s="6" t="str">
        <f>VLOOKUP(A34,'FRAME ASSIGNMENTS SUMMARY'!B:E,4,0)</f>
        <v>CSB20</v>
      </c>
      <c r="C34" s="238">
        <v>1.3999999761581401</v>
      </c>
      <c r="D34" s="2">
        <f>VLOOKUP(B34,'FRAME SECTION PROPERTIES'!A:E,5,0)*1000</f>
        <v>750</v>
      </c>
      <c r="E34" s="2">
        <f>VLOOKUP(B34,'FRAME SECTION PROPERTIES'!A:E,4,0)*1000</f>
        <v>1000</v>
      </c>
      <c r="F34" s="239">
        <v>-18.430820465087901</v>
      </c>
      <c r="G34" s="240">
        <v>0.375000000000005</v>
      </c>
      <c r="H34" s="239">
        <v>31.830852508544901</v>
      </c>
      <c r="I34" s="240">
        <v>0.70000000000000095</v>
      </c>
      <c r="J34" s="4">
        <v>323.77380371093801</v>
      </c>
      <c r="K34" s="5">
        <v>1.0250000000000099</v>
      </c>
      <c r="AA34" s="238" t="s">
        <v>64</v>
      </c>
      <c r="AB34" s="6" t="str">
        <f>VLOOKUP(A34,'FRAME ASSIGNMENTS SUMMARY'!B:E,4,0)</f>
        <v>CSB20</v>
      </c>
      <c r="AC34" s="238">
        <v>1.3999999761581401</v>
      </c>
      <c r="AD34" s="2">
        <f>VLOOKUP(B34,'FRAME SECTION PROPERTIES'!A:E,5,0)*1000</f>
        <v>750</v>
      </c>
      <c r="AE34" s="2">
        <f>VLOOKUP(B34,'FRAME SECTION PROPERTIES'!A:E,4,0)*1000</f>
        <v>1000</v>
      </c>
      <c r="AF34" s="239">
        <v>-18.430820465087901</v>
      </c>
      <c r="AG34" s="240">
        <v>0.375000000000005</v>
      </c>
      <c r="AH34" s="239">
        <v>31.830852508544901</v>
      </c>
      <c r="AI34" s="240">
        <v>0.70000000000000095</v>
      </c>
      <c r="AJ34" s="4">
        <v>323.77380371093801</v>
      </c>
      <c r="AK34" s="5">
        <v>1.0250000000000099</v>
      </c>
      <c r="BA34" s="238" t="s">
        <v>64</v>
      </c>
      <c r="BB34" s="6" t="str">
        <f>VLOOKUP(A34,'FRAME ASSIGNMENTS SUMMARY'!B:E,4,0)</f>
        <v>CSB20</v>
      </c>
      <c r="BC34" s="238">
        <v>1.3999999761581401</v>
      </c>
      <c r="BD34" s="2">
        <f>VLOOKUP(B34,'FRAME SECTION PROPERTIES'!A:E,5,0)*1000</f>
        <v>750</v>
      </c>
      <c r="BE34" s="2">
        <f>VLOOKUP(B34,'FRAME SECTION PROPERTIES'!A:E,4,0)*1000</f>
        <v>1000</v>
      </c>
      <c r="BF34" s="239">
        <v>-18.430820465087901</v>
      </c>
      <c r="BG34" s="240">
        <v>0.375000000000005</v>
      </c>
      <c r="BH34" s="239">
        <v>31.830852508544901</v>
      </c>
      <c r="BI34" s="240">
        <v>0.70000000000000095</v>
      </c>
      <c r="BJ34" s="4">
        <v>323.77380371093801</v>
      </c>
      <c r="BK34" s="5">
        <v>1.0250000000000099</v>
      </c>
    </row>
    <row r="35" spans="1:63">
      <c r="A35" s="238" t="s">
        <v>65</v>
      </c>
      <c r="B35" s="6" t="str">
        <f>VLOOKUP(A35,'FRAME ASSIGNMENTS SUMMARY'!B:E,4,0)</f>
        <v>CSB21</v>
      </c>
      <c r="C35" s="238">
        <v>1.3999999761581401</v>
      </c>
      <c r="D35" s="2">
        <f>VLOOKUP(B35,'FRAME SECTION PROPERTIES'!A:E,5,0)*1000</f>
        <v>750</v>
      </c>
      <c r="E35" s="2">
        <f>VLOOKUP(B35,'FRAME SECTION PROPERTIES'!A:E,4,0)*1000</f>
        <v>1000</v>
      </c>
      <c r="F35" s="239">
        <v>-11.7289524078369</v>
      </c>
      <c r="G35" s="240">
        <v>0.375000000000005</v>
      </c>
      <c r="H35" s="239">
        <v>48.498447418212898</v>
      </c>
      <c r="I35" s="240">
        <v>0.70000000000000095</v>
      </c>
      <c r="J35" s="4">
        <v>378.69741821289102</v>
      </c>
      <c r="K35" s="5">
        <v>1.0250000000000099</v>
      </c>
      <c r="AA35" s="238" t="s">
        <v>65</v>
      </c>
      <c r="AB35" s="6" t="str">
        <f>VLOOKUP(A35,'FRAME ASSIGNMENTS SUMMARY'!B:E,4,0)</f>
        <v>CSB21</v>
      </c>
      <c r="AC35" s="238">
        <v>1.3999999761581401</v>
      </c>
      <c r="AD35" s="2">
        <f>VLOOKUP(B35,'FRAME SECTION PROPERTIES'!A:E,5,0)*1000</f>
        <v>750</v>
      </c>
      <c r="AE35" s="2">
        <f>VLOOKUP(B35,'FRAME SECTION PROPERTIES'!A:E,4,0)*1000</f>
        <v>1000</v>
      </c>
      <c r="AF35" s="239">
        <v>-11.7289524078369</v>
      </c>
      <c r="AG35" s="240">
        <v>0.375000000000005</v>
      </c>
      <c r="AH35" s="239">
        <v>48.498447418212898</v>
      </c>
      <c r="AI35" s="240">
        <v>0.70000000000000095</v>
      </c>
      <c r="AJ35" s="4">
        <v>378.69741821289102</v>
      </c>
      <c r="AK35" s="5">
        <v>1.0250000000000099</v>
      </c>
      <c r="BA35" s="238" t="s">
        <v>65</v>
      </c>
      <c r="BB35" s="6" t="str">
        <f>VLOOKUP(A35,'FRAME ASSIGNMENTS SUMMARY'!B:E,4,0)</f>
        <v>CSB21</v>
      </c>
      <c r="BC35" s="238">
        <v>1.3999999761581401</v>
      </c>
      <c r="BD35" s="2">
        <f>VLOOKUP(B35,'FRAME SECTION PROPERTIES'!A:E,5,0)*1000</f>
        <v>750</v>
      </c>
      <c r="BE35" s="2">
        <f>VLOOKUP(B35,'FRAME SECTION PROPERTIES'!A:E,4,0)*1000</f>
        <v>1000</v>
      </c>
      <c r="BF35" s="239">
        <v>-11.7289524078369</v>
      </c>
      <c r="BG35" s="240">
        <v>0.375000000000005</v>
      </c>
      <c r="BH35" s="239">
        <v>48.498447418212898</v>
      </c>
      <c r="BI35" s="240">
        <v>0.70000000000000095</v>
      </c>
      <c r="BJ35" s="4">
        <v>378.69741821289102</v>
      </c>
      <c r="BK35" s="5">
        <v>1.0250000000000099</v>
      </c>
    </row>
    <row r="36" spans="1:63">
      <c r="A36" s="238" t="s">
        <v>66</v>
      </c>
      <c r="B36" s="6" t="str">
        <f>VLOOKUP(A36,'FRAME ASSIGNMENTS SUMMARY'!B:E,4,0)</f>
        <v>CSB22</v>
      </c>
      <c r="C36" s="238">
        <v>1.3999999761581401</v>
      </c>
      <c r="D36" s="2">
        <f>VLOOKUP(B36,'FRAME SECTION PROPERTIES'!A:E,5,0)*1000</f>
        <v>750</v>
      </c>
      <c r="E36" s="2">
        <f>VLOOKUP(B36,'FRAME SECTION PROPERTIES'!A:E,4,0)*1000</f>
        <v>1000</v>
      </c>
      <c r="F36" s="239">
        <v>-9.4752101898193395</v>
      </c>
      <c r="G36" s="240">
        <v>0.37500000000000799</v>
      </c>
      <c r="H36" s="239">
        <v>65.915390014648395</v>
      </c>
      <c r="I36" s="240">
        <v>0.7</v>
      </c>
      <c r="J36" s="4">
        <v>424.60592651367199</v>
      </c>
      <c r="K36" s="5">
        <v>1.0250000000000099</v>
      </c>
      <c r="AA36" s="238" t="s">
        <v>66</v>
      </c>
      <c r="AB36" s="6" t="str">
        <f>VLOOKUP(A36,'FRAME ASSIGNMENTS SUMMARY'!B:E,4,0)</f>
        <v>CSB22</v>
      </c>
      <c r="AC36" s="238">
        <v>1.3999999761581401</v>
      </c>
      <c r="AD36" s="2">
        <f>VLOOKUP(B36,'FRAME SECTION PROPERTIES'!A:E,5,0)*1000</f>
        <v>750</v>
      </c>
      <c r="AE36" s="2">
        <f>VLOOKUP(B36,'FRAME SECTION PROPERTIES'!A:E,4,0)*1000</f>
        <v>1000</v>
      </c>
      <c r="AF36" s="239">
        <v>-9.4752101898193395</v>
      </c>
      <c r="AG36" s="240">
        <v>0.37500000000000799</v>
      </c>
      <c r="AH36" s="239">
        <v>65.915390014648395</v>
      </c>
      <c r="AI36" s="240">
        <v>0.7</v>
      </c>
      <c r="AJ36" s="4">
        <v>424.60592651367199</v>
      </c>
      <c r="AK36" s="5">
        <v>1.0250000000000099</v>
      </c>
      <c r="BA36" s="238" t="s">
        <v>66</v>
      </c>
      <c r="BB36" s="6" t="str">
        <f>VLOOKUP(A36,'FRAME ASSIGNMENTS SUMMARY'!B:E,4,0)</f>
        <v>CSB22</v>
      </c>
      <c r="BC36" s="238">
        <v>1.3999999761581401</v>
      </c>
      <c r="BD36" s="2">
        <f>VLOOKUP(B36,'FRAME SECTION PROPERTIES'!A:E,5,0)*1000</f>
        <v>750</v>
      </c>
      <c r="BE36" s="2">
        <f>VLOOKUP(B36,'FRAME SECTION PROPERTIES'!A:E,4,0)*1000</f>
        <v>1000</v>
      </c>
      <c r="BF36" s="239">
        <v>-9.4752101898193395</v>
      </c>
      <c r="BG36" s="240">
        <v>0.37500000000000799</v>
      </c>
      <c r="BH36" s="239">
        <v>65.915390014648395</v>
      </c>
      <c r="BI36" s="240">
        <v>0.7</v>
      </c>
      <c r="BJ36" s="4">
        <v>424.60592651367199</v>
      </c>
      <c r="BK36" s="5">
        <v>1.0250000000000099</v>
      </c>
    </row>
    <row r="37" spans="1:63">
      <c r="A37" s="238" t="s">
        <v>67</v>
      </c>
      <c r="B37" s="6" t="str">
        <f>VLOOKUP(A37,'FRAME ASSIGNMENTS SUMMARY'!B:E,4,0)</f>
        <v>CSB23</v>
      </c>
      <c r="C37" s="238">
        <v>1.3999999761581401</v>
      </c>
      <c r="D37" s="2">
        <f>VLOOKUP(B37,'FRAME SECTION PROPERTIES'!A:E,5,0)*1000</f>
        <v>750</v>
      </c>
      <c r="E37" s="2">
        <f>VLOOKUP(B37,'FRAME SECTION PROPERTIES'!A:E,4,0)*1000</f>
        <v>1000</v>
      </c>
      <c r="F37" s="239">
        <v>-17.8612766265869</v>
      </c>
      <c r="G37" s="240">
        <v>0.37500000000000799</v>
      </c>
      <c r="H37" s="239">
        <v>39.0947875976563</v>
      </c>
      <c r="I37" s="240">
        <v>0.70000000000000195</v>
      </c>
      <c r="J37" s="4">
        <v>337.21200561523398</v>
      </c>
      <c r="K37" s="5">
        <v>1.0250000000000099</v>
      </c>
      <c r="AA37" s="238" t="s">
        <v>67</v>
      </c>
      <c r="AB37" s="6" t="str">
        <f>VLOOKUP(A37,'FRAME ASSIGNMENTS SUMMARY'!B:E,4,0)</f>
        <v>CSB23</v>
      </c>
      <c r="AC37" s="238">
        <v>1.3999999761581401</v>
      </c>
      <c r="AD37" s="2">
        <f>VLOOKUP(B37,'FRAME SECTION PROPERTIES'!A:E,5,0)*1000</f>
        <v>750</v>
      </c>
      <c r="AE37" s="2">
        <f>VLOOKUP(B37,'FRAME SECTION PROPERTIES'!A:E,4,0)*1000</f>
        <v>1000</v>
      </c>
      <c r="AF37" s="239">
        <v>-17.8612766265869</v>
      </c>
      <c r="AG37" s="240">
        <v>0.37500000000000799</v>
      </c>
      <c r="AH37" s="239">
        <v>39.0947875976563</v>
      </c>
      <c r="AI37" s="240">
        <v>0.70000000000000195</v>
      </c>
      <c r="AJ37" s="4">
        <v>337.21200561523398</v>
      </c>
      <c r="AK37" s="5">
        <v>1.0250000000000099</v>
      </c>
      <c r="BA37" s="238" t="s">
        <v>67</v>
      </c>
      <c r="BB37" s="6" t="str">
        <f>VLOOKUP(A37,'FRAME ASSIGNMENTS SUMMARY'!B:E,4,0)</f>
        <v>CSB23</v>
      </c>
      <c r="BC37" s="238">
        <v>1.3999999761581401</v>
      </c>
      <c r="BD37" s="2">
        <f>VLOOKUP(B37,'FRAME SECTION PROPERTIES'!A:E,5,0)*1000</f>
        <v>750</v>
      </c>
      <c r="BE37" s="2">
        <f>VLOOKUP(B37,'FRAME SECTION PROPERTIES'!A:E,4,0)*1000</f>
        <v>1000</v>
      </c>
      <c r="BF37" s="239">
        <v>-17.8612766265869</v>
      </c>
      <c r="BG37" s="240">
        <v>0.37500000000000799</v>
      </c>
      <c r="BH37" s="239">
        <v>39.0947875976563</v>
      </c>
      <c r="BI37" s="240">
        <v>0.70000000000000195</v>
      </c>
      <c r="BJ37" s="4">
        <v>337.21200561523398</v>
      </c>
      <c r="BK37" s="5">
        <v>1.0250000000000099</v>
      </c>
    </row>
    <row r="38" spans="1:63">
      <c r="A38" s="238" t="s">
        <v>68</v>
      </c>
      <c r="B38" s="6" t="str">
        <f>VLOOKUP(A38,'FRAME ASSIGNMENTS SUMMARY'!B:E,4,0)</f>
        <v>CSB24</v>
      </c>
      <c r="C38" s="238">
        <v>1.3999999761581401</v>
      </c>
      <c r="D38" s="2">
        <f>VLOOKUP(B38,'FRAME SECTION PROPERTIES'!A:E,5,0)*1000</f>
        <v>750</v>
      </c>
      <c r="E38" s="2">
        <f>VLOOKUP(B38,'FRAME SECTION PROPERTIES'!A:E,4,0)*1000</f>
        <v>1000</v>
      </c>
      <c r="F38" s="239">
        <v>-24.214061737060501</v>
      </c>
      <c r="G38" s="240">
        <v>0.37500000000000699</v>
      </c>
      <c r="H38" s="239">
        <v>46.188114166259801</v>
      </c>
      <c r="I38" s="240">
        <v>0.70000000000000095</v>
      </c>
      <c r="J38" s="4">
        <v>429.49700927734398</v>
      </c>
      <c r="K38" s="5">
        <v>1.0250000000000099</v>
      </c>
      <c r="AA38" s="238" t="s">
        <v>68</v>
      </c>
      <c r="AB38" s="6" t="str">
        <f>VLOOKUP(A38,'FRAME ASSIGNMENTS SUMMARY'!B:E,4,0)</f>
        <v>CSB24</v>
      </c>
      <c r="AC38" s="238">
        <v>1.3999999761581401</v>
      </c>
      <c r="AD38" s="2">
        <f>VLOOKUP(B38,'FRAME SECTION PROPERTIES'!A:E,5,0)*1000</f>
        <v>750</v>
      </c>
      <c r="AE38" s="2">
        <f>VLOOKUP(B38,'FRAME SECTION PROPERTIES'!A:E,4,0)*1000</f>
        <v>1000</v>
      </c>
      <c r="AF38" s="239">
        <v>-24.214061737060501</v>
      </c>
      <c r="AG38" s="240">
        <v>0.37500000000000699</v>
      </c>
      <c r="AH38" s="239">
        <v>46.188114166259801</v>
      </c>
      <c r="AI38" s="240">
        <v>0.70000000000000095</v>
      </c>
      <c r="AJ38" s="4">
        <v>429.49700927734398</v>
      </c>
      <c r="AK38" s="5">
        <v>1.0250000000000099</v>
      </c>
      <c r="BA38" s="238" t="s">
        <v>68</v>
      </c>
      <c r="BB38" s="6" t="str">
        <f>VLOOKUP(A38,'FRAME ASSIGNMENTS SUMMARY'!B:E,4,0)</f>
        <v>CSB24</v>
      </c>
      <c r="BC38" s="238">
        <v>1.3999999761581401</v>
      </c>
      <c r="BD38" s="2">
        <f>VLOOKUP(B38,'FRAME SECTION PROPERTIES'!A:E,5,0)*1000</f>
        <v>750</v>
      </c>
      <c r="BE38" s="2">
        <f>VLOOKUP(B38,'FRAME SECTION PROPERTIES'!A:E,4,0)*1000</f>
        <v>1000</v>
      </c>
      <c r="BF38" s="239">
        <v>-24.214061737060501</v>
      </c>
      <c r="BG38" s="240">
        <v>0.37500000000000699</v>
      </c>
      <c r="BH38" s="239">
        <v>46.188114166259801</v>
      </c>
      <c r="BI38" s="240">
        <v>0.70000000000000095</v>
      </c>
      <c r="BJ38" s="4">
        <v>429.49700927734398</v>
      </c>
      <c r="BK38" s="5">
        <v>1.0250000000000099</v>
      </c>
    </row>
    <row r="39" spans="1:63">
      <c r="A39" s="238" t="s">
        <v>69</v>
      </c>
      <c r="B39" s="6" t="str">
        <f>VLOOKUP(A39,'FRAME ASSIGNMENTS SUMMARY'!B:E,4,0)</f>
        <v>CSB25</v>
      </c>
      <c r="C39" s="238">
        <v>1.3999999761581401</v>
      </c>
      <c r="D39" s="2">
        <f>VLOOKUP(B39,'FRAME SECTION PROPERTIES'!A:E,5,0)*1000</f>
        <v>750</v>
      </c>
      <c r="E39" s="2">
        <f>VLOOKUP(B39,'FRAME SECTION PROPERTIES'!A:E,4,0)*1000</f>
        <v>1000</v>
      </c>
      <c r="F39" s="239">
        <v>-24.9632892608643</v>
      </c>
      <c r="G39" s="240">
        <v>0.37500000000000699</v>
      </c>
      <c r="H39" s="239">
        <v>48.302616119384801</v>
      </c>
      <c r="I39" s="240">
        <v>0.70000000000000095</v>
      </c>
      <c r="J39" s="4">
        <v>448.00592041015602</v>
      </c>
      <c r="K39" s="5">
        <v>1.0250000000000099</v>
      </c>
      <c r="AA39" s="238" t="s">
        <v>69</v>
      </c>
      <c r="AB39" s="6" t="str">
        <f>VLOOKUP(A39,'FRAME ASSIGNMENTS SUMMARY'!B:E,4,0)</f>
        <v>CSB25</v>
      </c>
      <c r="AC39" s="238">
        <v>1.3999999761581401</v>
      </c>
      <c r="AD39" s="2">
        <f>VLOOKUP(B39,'FRAME SECTION PROPERTIES'!A:E,5,0)*1000</f>
        <v>750</v>
      </c>
      <c r="AE39" s="2">
        <f>VLOOKUP(B39,'FRAME SECTION PROPERTIES'!A:E,4,0)*1000</f>
        <v>1000</v>
      </c>
      <c r="AF39" s="239">
        <v>-24.9632892608643</v>
      </c>
      <c r="AG39" s="240">
        <v>0.37500000000000699</v>
      </c>
      <c r="AH39" s="239">
        <v>48.302616119384801</v>
      </c>
      <c r="AI39" s="240">
        <v>0.70000000000000095</v>
      </c>
      <c r="AJ39" s="4">
        <v>448.00592041015602</v>
      </c>
      <c r="AK39" s="5">
        <v>1.0250000000000099</v>
      </c>
      <c r="BA39" s="238" t="s">
        <v>69</v>
      </c>
      <c r="BB39" s="6" t="str">
        <f>VLOOKUP(A39,'FRAME ASSIGNMENTS SUMMARY'!B:E,4,0)</f>
        <v>CSB25</v>
      </c>
      <c r="BC39" s="238">
        <v>1.3999999761581401</v>
      </c>
      <c r="BD39" s="2">
        <f>VLOOKUP(B39,'FRAME SECTION PROPERTIES'!A:E,5,0)*1000</f>
        <v>750</v>
      </c>
      <c r="BE39" s="2">
        <f>VLOOKUP(B39,'FRAME SECTION PROPERTIES'!A:E,4,0)*1000</f>
        <v>1000</v>
      </c>
      <c r="BF39" s="239">
        <v>-24.9632892608643</v>
      </c>
      <c r="BG39" s="240">
        <v>0.37500000000000699</v>
      </c>
      <c r="BH39" s="239">
        <v>48.302616119384801</v>
      </c>
      <c r="BI39" s="240">
        <v>0.70000000000000095</v>
      </c>
      <c r="BJ39" s="4">
        <v>448.00592041015602</v>
      </c>
      <c r="BK39" s="5">
        <v>1.0250000000000099</v>
      </c>
    </row>
    <row r="40" spans="1:63">
      <c r="A40" s="238" t="s">
        <v>70</v>
      </c>
      <c r="B40" s="6" t="str">
        <f>VLOOKUP(A40,'FRAME ASSIGNMENTS SUMMARY'!B:E,4,0)</f>
        <v>CSB26</v>
      </c>
      <c r="C40" s="238">
        <v>1.3999999761581401</v>
      </c>
      <c r="D40" s="2">
        <f>VLOOKUP(B40,'FRAME SECTION PROPERTIES'!A:E,5,0)*1000</f>
        <v>750</v>
      </c>
      <c r="E40" s="2">
        <f>VLOOKUP(B40,'FRAME SECTION PROPERTIES'!A:E,4,0)*1000</f>
        <v>1000</v>
      </c>
      <c r="F40" s="239">
        <v>-29.533596038818398</v>
      </c>
      <c r="G40" s="240">
        <v>0.37500000000000699</v>
      </c>
      <c r="H40" s="239">
        <v>31.238084793090799</v>
      </c>
      <c r="I40" s="240">
        <v>0.70000000000000095</v>
      </c>
      <c r="J40" s="4">
        <v>390.06558227539102</v>
      </c>
      <c r="K40" s="5">
        <v>1.0250000000000099</v>
      </c>
      <c r="AA40" s="238" t="s">
        <v>70</v>
      </c>
      <c r="AB40" s="6" t="str">
        <f>VLOOKUP(A40,'FRAME ASSIGNMENTS SUMMARY'!B:E,4,0)</f>
        <v>CSB26</v>
      </c>
      <c r="AC40" s="238">
        <v>1.3999999761581401</v>
      </c>
      <c r="AD40" s="2">
        <f>VLOOKUP(B40,'FRAME SECTION PROPERTIES'!A:E,5,0)*1000</f>
        <v>750</v>
      </c>
      <c r="AE40" s="2">
        <f>VLOOKUP(B40,'FRAME SECTION PROPERTIES'!A:E,4,0)*1000</f>
        <v>1000</v>
      </c>
      <c r="AF40" s="239">
        <v>-29.533596038818398</v>
      </c>
      <c r="AG40" s="240">
        <v>0.37500000000000699</v>
      </c>
      <c r="AH40" s="239">
        <v>31.238084793090799</v>
      </c>
      <c r="AI40" s="240">
        <v>0.70000000000000095</v>
      </c>
      <c r="AJ40" s="4">
        <v>390.06558227539102</v>
      </c>
      <c r="AK40" s="5">
        <v>1.0250000000000099</v>
      </c>
      <c r="BA40" s="238" t="s">
        <v>70</v>
      </c>
      <c r="BB40" s="6" t="str">
        <f>VLOOKUP(A40,'FRAME ASSIGNMENTS SUMMARY'!B:E,4,0)</f>
        <v>CSB26</v>
      </c>
      <c r="BC40" s="238">
        <v>1.3999999761581401</v>
      </c>
      <c r="BD40" s="2">
        <f>VLOOKUP(B40,'FRAME SECTION PROPERTIES'!A:E,5,0)*1000</f>
        <v>750</v>
      </c>
      <c r="BE40" s="2">
        <f>VLOOKUP(B40,'FRAME SECTION PROPERTIES'!A:E,4,0)*1000</f>
        <v>1000</v>
      </c>
      <c r="BF40" s="239">
        <v>-29.533596038818398</v>
      </c>
      <c r="BG40" s="240">
        <v>0.37500000000000699</v>
      </c>
      <c r="BH40" s="239">
        <v>31.238084793090799</v>
      </c>
      <c r="BI40" s="240">
        <v>0.70000000000000095</v>
      </c>
      <c r="BJ40" s="4">
        <v>390.06558227539102</v>
      </c>
      <c r="BK40" s="5">
        <v>1.0250000000000099</v>
      </c>
    </row>
    <row r="41" spans="1:63">
      <c r="A41" s="238" t="s">
        <v>71</v>
      </c>
      <c r="B41" s="6" t="str">
        <f>VLOOKUP(A41,'FRAME ASSIGNMENTS SUMMARY'!B:E,4,0)</f>
        <v>CSB3</v>
      </c>
      <c r="C41" s="238">
        <v>0.75</v>
      </c>
      <c r="D41" s="2">
        <f>VLOOKUP(B41,'FRAME SECTION PROPERTIES'!A:E,5,0)*1000</f>
        <v>1500</v>
      </c>
      <c r="E41" s="2">
        <f>VLOOKUP(B41,'FRAME SECTION PROPERTIES'!A:E,4,0)*1000</f>
        <v>1000</v>
      </c>
      <c r="F41" s="239">
        <v>-24.8232936859131</v>
      </c>
      <c r="G41" s="240">
        <v>0.375000000000065</v>
      </c>
      <c r="H41" s="239">
        <v>1</v>
      </c>
      <c r="I41" s="240" t="s">
        <v>203</v>
      </c>
      <c r="J41" s="4">
        <v>18.9578742980957</v>
      </c>
      <c r="K41" s="5">
        <v>0.375000000000065</v>
      </c>
      <c r="AA41" s="238" t="s">
        <v>71</v>
      </c>
      <c r="AB41" s="6" t="str">
        <f>VLOOKUP(A41,'FRAME ASSIGNMENTS SUMMARY'!B:E,4,0)</f>
        <v>CSB3</v>
      </c>
      <c r="AC41" s="238">
        <v>0.75</v>
      </c>
      <c r="AD41" s="2">
        <f>VLOOKUP(B41,'FRAME SECTION PROPERTIES'!A:E,5,0)*1000</f>
        <v>1500</v>
      </c>
      <c r="AE41" s="2">
        <f>VLOOKUP(B41,'FRAME SECTION PROPERTIES'!A:E,4,0)*1000</f>
        <v>1000</v>
      </c>
      <c r="AF41" s="239">
        <v>-24.8232936859131</v>
      </c>
      <c r="AG41" s="240">
        <v>0.375000000000065</v>
      </c>
      <c r="AH41" s="239">
        <v>1</v>
      </c>
      <c r="AI41" s="240" t="s">
        <v>203</v>
      </c>
      <c r="AJ41" s="4">
        <v>18.9578742980957</v>
      </c>
      <c r="AK41" s="5">
        <v>0.375000000000065</v>
      </c>
      <c r="BA41" s="238" t="s">
        <v>71</v>
      </c>
      <c r="BB41" s="6" t="str">
        <f>VLOOKUP(A41,'FRAME ASSIGNMENTS SUMMARY'!B:E,4,0)</f>
        <v>CSB3</v>
      </c>
      <c r="BC41" s="238">
        <v>0.75</v>
      </c>
      <c r="BD41" s="2">
        <f>VLOOKUP(B41,'FRAME SECTION PROPERTIES'!A:E,5,0)*1000</f>
        <v>1500</v>
      </c>
      <c r="BE41" s="2">
        <f>VLOOKUP(B41,'FRAME SECTION PROPERTIES'!A:E,4,0)*1000</f>
        <v>1000</v>
      </c>
      <c r="BF41" s="239">
        <v>-24.8232936859131</v>
      </c>
      <c r="BG41" s="240">
        <v>0.375000000000065</v>
      </c>
      <c r="BH41" s="239">
        <v>1</v>
      </c>
      <c r="BI41" s="240" t="s">
        <v>203</v>
      </c>
      <c r="BJ41" s="4">
        <v>18.9578742980957</v>
      </c>
      <c r="BK41" s="5">
        <v>0.375000000000065</v>
      </c>
    </row>
    <row r="42" spans="1:63">
      <c r="A42" s="238" t="s">
        <v>72</v>
      </c>
      <c r="B42" s="6" t="str">
        <f>VLOOKUP(A42,'FRAME ASSIGNMENTS SUMMARY'!B:E,4,0)</f>
        <v>CSB4</v>
      </c>
      <c r="C42" s="238">
        <v>0.75</v>
      </c>
      <c r="D42" s="2">
        <f>VLOOKUP(B42,'FRAME SECTION PROPERTIES'!A:E,5,0)*1000</f>
        <v>1500</v>
      </c>
      <c r="E42" s="2">
        <f>VLOOKUP(B42,'FRAME SECTION PROPERTIES'!A:E,4,0)*1000</f>
        <v>1000</v>
      </c>
      <c r="F42" s="239">
        <v>-1</v>
      </c>
      <c r="G42" s="240" t="s">
        <v>203</v>
      </c>
      <c r="H42" s="239">
        <v>22.141355514526399</v>
      </c>
      <c r="I42" s="240">
        <v>0</v>
      </c>
      <c r="J42" s="4">
        <v>5.3040633201599103</v>
      </c>
      <c r="K42" s="5">
        <v>0.375</v>
      </c>
      <c r="AA42" s="238" t="s">
        <v>72</v>
      </c>
      <c r="AB42" s="6" t="str">
        <f>VLOOKUP(A42,'FRAME ASSIGNMENTS SUMMARY'!B:E,4,0)</f>
        <v>CSB4</v>
      </c>
      <c r="AC42" s="238">
        <v>0.75</v>
      </c>
      <c r="AD42" s="2">
        <f>VLOOKUP(B42,'FRAME SECTION PROPERTIES'!A:E,5,0)*1000</f>
        <v>1500</v>
      </c>
      <c r="AE42" s="2">
        <f>VLOOKUP(B42,'FRAME SECTION PROPERTIES'!A:E,4,0)*1000</f>
        <v>1000</v>
      </c>
      <c r="AF42" s="239">
        <v>-1</v>
      </c>
      <c r="AG42" s="240" t="s">
        <v>203</v>
      </c>
      <c r="AH42" s="239">
        <v>22.141355514526399</v>
      </c>
      <c r="AI42" s="240">
        <v>0</v>
      </c>
      <c r="AJ42" s="4">
        <v>5.3040633201599103</v>
      </c>
      <c r="AK42" s="5">
        <v>0.375</v>
      </c>
      <c r="BA42" s="231" t="s">
        <v>72</v>
      </c>
      <c r="BB42" s="6" t="str">
        <f>VLOOKUP(A42,'FRAME ASSIGNMENTS SUMMARY'!B:E,4,0)</f>
        <v>CSB4</v>
      </c>
      <c r="BC42" s="231">
        <v>0.75</v>
      </c>
      <c r="BD42" s="2">
        <f>VLOOKUP(B42,'FRAME SECTION PROPERTIES'!A:E,5,0)*1000</f>
        <v>1500</v>
      </c>
      <c r="BE42" s="2">
        <f>VLOOKUP(B42,'FRAME SECTION PROPERTIES'!A:E,4,0)*1000</f>
        <v>1000</v>
      </c>
      <c r="BF42" s="231">
        <v>-1</v>
      </c>
      <c r="BG42" s="231" t="s">
        <v>203</v>
      </c>
      <c r="BH42" s="231">
        <v>22.141355514526399</v>
      </c>
      <c r="BI42" s="231">
        <v>0</v>
      </c>
      <c r="BJ42" s="231">
        <v>5.3040633201599103</v>
      </c>
      <c r="BK42" s="231">
        <v>0.375</v>
      </c>
    </row>
    <row r="43" spans="1:63">
      <c r="A43" s="238" t="s">
        <v>73</v>
      </c>
      <c r="B43" s="6" t="str">
        <f>VLOOKUP(A43,'FRAME ASSIGNMENTS SUMMARY'!B:E,4,0)</f>
        <v>CSB5</v>
      </c>
      <c r="C43" s="238">
        <v>1.5</v>
      </c>
      <c r="D43" s="2">
        <f>VLOOKUP(B43,'FRAME SECTION PROPERTIES'!A:E,5,0)*1000</f>
        <v>1500</v>
      </c>
      <c r="E43" s="2">
        <f>VLOOKUP(B43,'FRAME SECTION PROPERTIES'!A:E,4,0)*1000</f>
        <v>1000</v>
      </c>
      <c r="F43" s="239">
        <v>-11.7893571853638</v>
      </c>
      <c r="G43" s="240">
        <v>0.37499999999999201</v>
      </c>
      <c r="H43" s="239">
        <v>181.54824829101599</v>
      </c>
      <c r="I43" s="240">
        <v>0.749999999999995</v>
      </c>
      <c r="J43" s="4">
        <v>466.34515380859398</v>
      </c>
      <c r="K43" s="5">
        <v>1.12499999999999</v>
      </c>
      <c r="AA43" s="238" t="s">
        <v>73</v>
      </c>
      <c r="AB43" s="6" t="str">
        <f>VLOOKUP(A43,'FRAME ASSIGNMENTS SUMMARY'!B:E,4,0)</f>
        <v>CSB5</v>
      </c>
      <c r="AC43" s="238">
        <v>1.5</v>
      </c>
      <c r="AD43" s="2">
        <f>VLOOKUP(B43,'FRAME SECTION PROPERTIES'!A:E,5,0)*1000</f>
        <v>1500</v>
      </c>
      <c r="AE43" s="2">
        <f>VLOOKUP(B43,'FRAME SECTION PROPERTIES'!A:E,4,0)*1000</f>
        <v>1000</v>
      </c>
      <c r="AF43" s="239">
        <v>-11.7893571853638</v>
      </c>
      <c r="AG43" s="240">
        <v>0.37499999999999201</v>
      </c>
      <c r="AH43" s="239">
        <v>181.54824829101599</v>
      </c>
      <c r="AI43" s="240">
        <v>0.749999999999995</v>
      </c>
      <c r="AJ43" s="4">
        <v>466.34515380859398</v>
      </c>
      <c r="AK43" s="5">
        <v>1.12499999999999</v>
      </c>
      <c r="BA43" s="231" t="s">
        <v>73</v>
      </c>
      <c r="BB43" s="6" t="str">
        <f>VLOOKUP(A43,'FRAME ASSIGNMENTS SUMMARY'!B:E,4,0)</f>
        <v>CSB5</v>
      </c>
      <c r="BC43" s="231">
        <v>1.5</v>
      </c>
      <c r="BD43" s="2">
        <f>VLOOKUP(B43,'FRAME SECTION PROPERTIES'!A:E,5,0)*1000</f>
        <v>1500</v>
      </c>
      <c r="BE43" s="2">
        <f>VLOOKUP(B43,'FRAME SECTION PROPERTIES'!A:E,4,0)*1000</f>
        <v>1000</v>
      </c>
      <c r="BF43" s="231">
        <v>-11.7893571853638</v>
      </c>
      <c r="BG43" s="231">
        <v>0.37499999999999201</v>
      </c>
      <c r="BH43" s="231">
        <v>181.54824829101599</v>
      </c>
      <c r="BI43" s="231">
        <v>0.749999999999995</v>
      </c>
      <c r="BJ43" s="231">
        <v>466.34515380859398</v>
      </c>
      <c r="BK43" s="231">
        <v>1.12499999999999</v>
      </c>
    </row>
    <row r="44" spans="1:63">
      <c r="A44" s="238" t="s">
        <v>74</v>
      </c>
      <c r="B44" s="6" t="str">
        <f>VLOOKUP(A44,'FRAME ASSIGNMENTS SUMMARY'!B:E,4,0)</f>
        <v>CSB6</v>
      </c>
      <c r="C44" s="238">
        <v>1.5</v>
      </c>
      <c r="D44" s="2">
        <f>VLOOKUP(B44,'FRAME SECTION PROPERTIES'!A:E,5,0)*1000</f>
        <v>1500</v>
      </c>
      <c r="E44" s="2">
        <f>VLOOKUP(B44,'FRAME SECTION PROPERTIES'!A:E,4,0)*1000</f>
        <v>1000</v>
      </c>
      <c r="F44" s="239">
        <v>-23.552583694458001</v>
      </c>
      <c r="G44" s="240">
        <v>0.37499999999999301</v>
      </c>
      <c r="H44" s="239">
        <v>168.81266784668</v>
      </c>
      <c r="I44" s="240">
        <v>0.75</v>
      </c>
      <c r="J44" s="4">
        <v>461.77688598632801</v>
      </c>
      <c r="K44" s="5">
        <v>0.75</v>
      </c>
      <c r="AA44" s="238" t="s">
        <v>74</v>
      </c>
      <c r="AB44" s="6" t="str">
        <f>VLOOKUP(A44,'FRAME ASSIGNMENTS SUMMARY'!B:E,4,0)</f>
        <v>CSB6</v>
      </c>
      <c r="AC44" s="238">
        <v>1.5</v>
      </c>
      <c r="AD44" s="2">
        <f>VLOOKUP(B44,'FRAME SECTION PROPERTIES'!A:E,5,0)*1000</f>
        <v>1500</v>
      </c>
      <c r="AE44" s="2">
        <f>VLOOKUP(B44,'FRAME SECTION PROPERTIES'!A:E,4,0)*1000</f>
        <v>1000</v>
      </c>
      <c r="AF44" s="239">
        <v>-23.552583694458001</v>
      </c>
      <c r="AG44" s="240">
        <v>0.37499999999999301</v>
      </c>
      <c r="AH44" s="239">
        <v>168.81266784668</v>
      </c>
      <c r="AI44" s="240">
        <v>0.75</v>
      </c>
      <c r="AJ44" s="4">
        <v>461.77688598632801</v>
      </c>
      <c r="AK44" s="5">
        <v>0.75</v>
      </c>
      <c r="BA44" s="231" t="s">
        <v>74</v>
      </c>
      <c r="BB44" s="6" t="str">
        <f>VLOOKUP(A44,'FRAME ASSIGNMENTS SUMMARY'!B:E,4,0)</f>
        <v>CSB6</v>
      </c>
      <c r="BC44" s="231">
        <v>1.5</v>
      </c>
      <c r="BD44" s="2">
        <f>VLOOKUP(B44,'FRAME SECTION PROPERTIES'!A:E,5,0)*1000</f>
        <v>1500</v>
      </c>
      <c r="BE44" s="2">
        <f>VLOOKUP(B44,'FRAME SECTION PROPERTIES'!A:E,4,0)*1000</f>
        <v>1000</v>
      </c>
      <c r="BF44" s="231">
        <v>-23.552583694458001</v>
      </c>
      <c r="BG44" s="231">
        <v>0.37499999999999301</v>
      </c>
      <c r="BH44" s="231">
        <v>168.81266784668</v>
      </c>
      <c r="BI44" s="231">
        <v>0.75</v>
      </c>
      <c r="BJ44" s="231">
        <v>461.77688598632801</v>
      </c>
      <c r="BK44" s="231">
        <v>0.75</v>
      </c>
    </row>
    <row r="45" spans="1:63">
      <c r="A45" s="238" t="s">
        <v>75</v>
      </c>
      <c r="B45" s="6" t="str">
        <f>VLOOKUP(A45,'FRAME ASSIGNMENTS SUMMARY'!B:E,4,0)</f>
        <v>CSB7</v>
      </c>
      <c r="C45" s="238">
        <v>1.5</v>
      </c>
      <c r="D45" s="2">
        <f>VLOOKUP(B45,'FRAME SECTION PROPERTIES'!A:E,5,0)*1000</f>
        <v>1500</v>
      </c>
      <c r="E45" s="2">
        <f>VLOOKUP(B45,'FRAME SECTION PROPERTIES'!A:E,4,0)*1000</f>
        <v>1000</v>
      </c>
      <c r="F45" s="239">
        <v>-6.0757889747619602</v>
      </c>
      <c r="G45" s="240">
        <v>0.374999999999994</v>
      </c>
      <c r="H45" s="239">
        <v>194.77517700195301</v>
      </c>
      <c r="I45" s="240">
        <v>0.750000000000004</v>
      </c>
      <c r="J45" s="4">
        <v>495.12069702148398</v>
      </c>
      <c r="K45" s="5">
        <v>1.12499999999999</v>
      </c>
      <c r="AA45" s="238" t="s">
        <v>75</v>
      </c>
      <c r="AB45" s="6" t="str">
        <f>VLOOKUP(A45,'FRAME ASSIGNMENTS SUMMARY'!B:E,4,0)</f>
        <v>CSB7</v>
      </c>
      <c r="AC45" s="238">
        <v>1.5</v>
      </c>
      <c r="AD45" s="2">
        <f>VLOOKUP(B45,'FRAME SECTION PROPERTIES'!A:E,5,0)*1000</f>
        <v>1500</v>
      </c>
      <c r="AE45" s="2">
        <f>VLOOKUP(B45,'FRAME SECTION PROPERTIES'!A:E,4,0)*1000</f>
        <v>1000</v>
      </c>
      <c r="AF45" s="239">
        <v>-6.0757889747619602</v>
      </c>
      <c r="AG45" s="240">
        <v>0.374999999999994</v>
      </c>
      <c r="AH45" s="239">
        <v>194.77517700195301</v>
      </c>
      <c r="AI45" s="240">
        <v>0.750000000000004</v>
      </c>
      <c r="AJ45" s="4">
        <v>495.12069702148398</v>
      </c>
      <c r="AK45" s="5">
        <v>1.12499999999999</v>
      </c>
      <c r="BA45" s="231" t="s">
        <v>75</v>
      </c>
      <c r="BB45" s="6" t="str">
        <f>VLOOKUP(A45,'FRAME ASSIGNMENTS SUMMARY'!B:E,4,0)</f>
        <v>CSB7</v>
      </c>
      <c r="BC45" s="231">
        <v>1.5</v>
      </c>
      <c r="BD45" s="2">
        <f>VLOOKUP(B45,'FRAME SECTION PROPERTIES'!A:E,5,0)*1000</f>
        <v>1500</v>
      </c>
      <c r="BE45" s="2">
        <f>VLOOKUP(B45,'FRAME SECTION PROPERTIES'!A:E,4,0)*1000</f>
        <v>1000</v>
      </c>
      <c r="BF45" s="231">
        <v>-6.0757889747619602</v>
      </c>
      <c r="BG45" s="231">
        <v>0.374999999999994</v>
      </c>
      <c r="BH45" s="231">
        <v>194.77517700195301</v>
      </c>
      <c r="BI45" s="231">
        <v>0.750000000000004</v>
      </c>
      <c r="BJ45" s="231">
        <v>495.12069702148398</v>
      </c>
      <c r="BK45" s="231">
        <v>1.12499999999999</v>
      </c>
    </row>
    <row r="46" spans="1:63">
      <c r="A46" s="238" t="s">
        <v>76</v>
      </c>
      <c r="B46" s="6" t="str">
        <f>VLOOKUP(A46,'FRAME ASSIGNMENTS SUMMARY'!B:E,4,0)</f>
        <v>CSB8</v>
      </c>
      <c r="C46" s="238">
        <v>0.75</v>
      </c>
      <c r="D46" s="2">
        <f>VLOOKUP(B46,'FRAME SECTION PROPERTIES'!A:E,5,0)*1000</f>
        <v>1500</v>
      </c>
      <c r="E46" s="2">
        <f>VLOOKUP(B46,'FRAME SECTION PROPERTIES'!A:E,4,0)*1000</f>
        <v>1000</v>
      </c>
      <c r="F46" s="239">
        <v>-52.096767425537102</v>
      </c>
      <c r="G46" s="240">
        <v>0.375</v>
      </c>
      <c r="H46" s="239">
        <v>1</v>
      </c>
      <c r="I46" s="240" t="s">
        <v>203</v>
      </c>
      <c r="J46" s="4">
        <v>27.719608306884801</v>
      </c>
      <c r="K46" s="5">
        <v>0.375</v>
      </c>
      <c r="AA46" s="238" t="s">
        <v>76</v>
      </c>
      <c r="AB46" s="6" t="str">
        <f>VLOOKUP(A46,'FRAME ASSIGNMENTS SUMMARY'!B:E,4,0)</f>
        <v>CSB8</v>
      </c>
      <c r="AC46" s="238">
        <v>0.75</v>
      </c>
      <c r="AD46" s="2">
        <f>VLOOKUP(B46,'FRAME SECTION PROPERTIES'!A:E,5,0)*1000</f>
        <v>1500</v>
      </c>
      <c r="AE46" s="2">
        <f>VLOOKUP(B46,'FRAME SECTION PROPERTIES'!A:E,4,0)*1000</f>
        <v>1000</v>
      </c>
      <c r="AF46" s="239">
        <v>-52.096767425537102</v>
      </c>
      <c r="AG46" s="240">
        <v>0.375</v>
      </c>
      <c r="AH46" s="239">
        <v>1</v>
      </c>
      <c r="AI46" s="240" t="s">
        <v>203</v>
      </c>
      <c r="AJ46" s="4">
        <v>27.719608306884801</v>
      </c>
      <c r="AK46" s="5">
        <v>0.375</v>
      </c>
      <c r="BA46" s="231" t="s">
        <v>76</v>
      </c>
      <c r="BB46" s="6" t="str">
        <f>VLOOKUP(A46,'FRAME ASSIGNMENTS SUMMARY'!B:E,4,0)</f>
        <v>CSB8</v>
      </c>
      <c r="BC46" s="231">
        <v>0.75</v>
      </c>
      <c r="BD46" s="2">
        <f>VLOOKUP(B46,'FRAME SECTION PROPERTIES'!A:E,5,0)*1000</f>
        <v>1500</v>
      </c>
      <c r="BE46" s="2">
        <f>VLOOKUP(B46,'FRAME SECTION PROPERTIES'!A:E,4,0)*1000</f>
        <v>1000</v>
      </c>
      <c r="BF46" s="231">
        <v>-52.096767425537102</v>
      </c>
      <c r="BG46" s="231">
        <v>0.375</v>
      </c>
      <c r="BH46" s="231">
        <v>1</v>
      </c>
      <c r="BI46" s="231" t="s">
        <v>203</v>
      </c>
      <c r="BJ46" s="231">
        <v>27.719608306884801</v>
      </c>
      <c r="BK46" s="231">
        <v>0.375</v>
      </c>
    </row>
    <row r="47" spans="1:63">
      <c r="A47" s="238" t="s">
        <v>77</v>
      </c>
      <c r="B47" s="6" t="str">
        <f>VLOOKUP(A47,'FRAME ASSIGNMENTS SUMMARY'!B:E,4,0)</f>
        <v>CSB9</v>
      </c>
      <c r="C47" s="238">
        <v>0.75</v>
      </c>
      <c r="D47" s="2">
        <f>VLOOKUP(B47,'FRAME SECTION PROPERTIES'!A:E,5,0)*1000</f>
        <v>1500</v>
      </c>
      <c r="E47" s="2">
        <f>VLOOKUP(B47,'FRAME SECTION PROPERTIES'!A:E,4,0)*1000</f>
        <v>1000</v>
      </c>
      <c r="F47" s="239">
        <v>-21.005884170532202</v>
      </c>
      <c r="G47" s="240">
        <v>0.375</v>
      </c>
      <c r="H47" s="239">
        <v>1</v>
      </c>
      <c r="I47" s="240" t="s">
        <v>203</v>
      </c>
      <c r="J47" s="4">
        <v>20.0130710601807</v>
      </c>
      <c r="K47" s="5">
        <v>0.375</v>
      </c>
      <c r="AA47" s="238" t="s">
        <v>77</v>
      </c>
      <c r="AB47" s="6" t="str">
        <f>VLOOKUP(A47,'FRAME ASSIGNMENTS SUMMARY'!B:E,4,0)</f>
        <v>CSB9</v>
      </c>
      <c r="AC47" s="238">
        <v>0.75</v>
      </c>
      <c r="AD47" s="2">
        <f>VLOOKUP(B47,'FRAME SECTION PROPERTIES'!A:E,5,0)*1000</f>
        <v>1500</v>
      </c>
      <c r="AE47" s="2">
        <f>VLOOKUP(B47,'FRAME SECTION PROPERTIES'!A:E,4,0)*1000</f>
        <v>1000</v>
      </c>
      <c r="AF47" s="239">
        <v>-21.005884170532202</v>
      </c>
      <c r="AG47" s="240">
        <v>0.375</v>
      </c>
      <c r="AH47" s="239">
        <v>1</v>
      </c>
      <c r="AI47" s="240" t="s">
        <v>203</v>
      </c>
      <c r="AJ47" s="4">
        <v>20.0130710601807</v>
      </c>
      <c r="AK47" s="5">
        <v>0.375</v>
      </c>
      <c r="BA47" s="231" t="s">
        <v>77</v>
      </c>
      <c r="BB47" s="6" t="str">
        <f>VLOOKUP(A47,'FRAME ASSIGNMENTS SUMMARY'!B:E,4,0)</f>
        <v>CSB9</v>
      </c>
      <c r="BC47" s="231">
        <v>0.75</v>
      </c>
      <c r="BD47" s="2">
        <f>VLOOKUP(B47,'FRAME SECTION PROPERTIES'!A:E,5,0)*1000</f>
        <v>1500</v>
      </c>
      <c r="BE47" s="2">
        <f>VLOOKUP(B47,'FRAME SECTION PROPERTIES'!A:E,4,0)*1000</f>
        <v>1000</v>
      </c>
      <c r="BF47" s="231">
        <v>-21.005884170532202</v>
      </c>
      <c r="BG47" s="231">
        <v>0.375</v>
      </c>
      <c r="BH47" s="231">
        <v>1</v>
      </c>
      <c r="BI47" s="231" t="s">
        <v>203</v>
      </c>
      <c r="BJ47" s="231">
        <v>20.0130710601807</v>
      </c>
      <c r="BK47" s="231">
        <v>0.375</v>
      </c>
    </row>
  </sheetData>
  <mergeCells count="18">
    <mergeCell ref="C2:C3"/>
    <mergeCell ref="AC2:AC3"/>
    <mergeCell ref="BC2:BC3"/>
    <mergeCell ref="BA1:BC1"/>
    <mergeCell ref="BD1:BE1"/>
    <mergeCell ref="A1:C1"/>
    <mergeCell ref="D1:E1"/>
    <mergeCell ref="F1:G1"/>
    <mergeCell ref="H1:I1"/>
    <mergeCell ref="J1:K1"/>
    <mergeCell ref="BF1:BG1"/>
    <mergeCell ref="BH1:BI1"/>
    <mergeCell ref="BJ1:BK1"/>
    <mergeCell ref="AA1:AC1"/>
    <mergeCell ref="AD1:AE1"/>
    <mergeCell ref="AF1:AG1"/>
    <mergeCell ref="AH1:AI1"/>
    <mergeCell ref="AJ1:AK1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00FF"/>
  </sheetPr>
  <dimension ref="A1:AQ412"/>
  <sheetViews>
    <sheetView zoomScale="85" zoomScaleNormal="85" workbookViewId="0">
      <pane ySplit="1" topLeftCell="A2" activePane="bottomLeft" state="frozen"/>
      <selection pane="bottomLeft" activeCell="A2" sqref="A2:AQ412"/>
    </sheetView>
  </sheetViews>
  <sheetFormatPr defaultColWidth="8.875" defaultRowHeight="12.75"/>
  <cols>
    <col min="1" max="1" width="8.25" style="33" customWidth="1"/>
    <col min="2" max="2" width="10.25" style="33" customWidth="1"/>
    <col min="3" max="3" width="11.5" style="228" customWidth="1"/>
    <col min="4" max="5" width="9.125" style="228" customWidth="1"/>
    <col min="6" max="6" width="8" style="228" customWidth="1"/>
    <col min="7" max="7" width="7.875" style="228" customWidth="1"/>
    <col min="8" max="8" width="8" style="228" customWidth="1"/>
    <col min="9" max="9" width="7.875" style="228" customWidth="1"/>
    <col min="10" max="10" width="7.625" style="228" customWidth="1"/>
    <col min="11" max="11" width="7" style="228" customWidth="1"/>
    <col min="12" max="12" width="6.875" style="228" customWidth="1"/>
    <col min="13" max="14" width="7.375" style="228" customWidth="1"/>
    <col min="15" max="15" width="7.875" style="33" customWidth="1"/>
    <col min="16" max="16" width="4.125" style="229" hidden="1" customWidth="1"/>
    <col min="17" max="17" width="6.5" style="229" hidden="1" customWidth="1"/>
    <col min="18" max="18" width="1.375" style="229" hidden="1" customWidth="1"/>
    <col min="19" max="20" width="4.25" style="230" customWidth="1"/>
    <col min="21" max="21" width="7.5" style="33" hidden="1" customWidth="1"/>
    <col min="22" max="22" width="8.875" style="33" hidden="1" customWidth="1"/>
    <col min="23" max="26" width="4.625" style="33" hidden="1" customWidth="1"/>
    <col min="27" max="27" width="14.375" style="33" hidden="1" customWidth="1"/>
    <col min="28" max="31" width="4.75" style="33" hidden="1" customWidth="1"/>
    <col min="32" max="32" width="14.625" style="33" hidden="1" customWidth="1"/>
    <col min="33" max="33" width="20.375" style="33" customWidth="1"/>
    <col min="34" max="34" width="11.375" style="33" customWidth="1"/>
    <col min="35" max="35" width="2.875" style="228" customWidth="1"/>
    <col min="36" max="36" width="3.375" style="228" customWidth="1"/>
    <col min="37" max="37" width="2.875" style="228" customWidth="1"/>
    <col min="38" max="38" width="3.375" style="228" customWidth="1"/>
    <col min="39" max="39" width="10" style="33" customWidth="1"/>
    <col min="40" max="40" width="8.875" style="231"/>
    <col min="41" max="41" width="9" style="231" customWidth="1"/>
    <col min="42" max="43" width="9.625" style="231" customWidth="1"/>
    <col min="44" max="16384" width="8.875" style="232"/>
  </cols>
  <sheetData>
    <row r="1" spans="1:43" ht="14.25">
      <c r="A1" s="233" t="s">
        <v>191</v>
      </c>
      <c r="B1" s="233" t="s">
        <v>204</v>
      </c>
      <c r="C1" s="248" t="s">
        <v>205</v>
      </c>
      <c r="D1" s="248" t="s">
        <v>206</v>
      </c>
      <c r="E1" s="248" t="s">
        <v>207</v>
      </c>
      <c r="F1" s="248" t="s">
        <v>208</v>
      </c>
      <c r="G1" s="248" t="s">
        <v>209</v>
      </c>
      <c r="H1" s="248" t="s">
        <v>210</v>
      </c>
      <c r="I1" s="248" t="s">
        <v>211</v>
      </c>
      <c r="J1" s="248" t="s">
        <v>212</v>
      </c>
      <c r="K1" s="248" t="s">
        <v>213</v>
      </c>
      <c r="L1" s="248" t="s">
        <v>214</v>
      </c>
      <c r="M1" s="248" t="s">
        <v>215</v>
      </c>
      <c r="N1" s="248" t="s">
        <v>216</v>
      </c>
      <c r="O1" s="260" t="s">
        <v>217</v>
      </c>
      <c r="P1" s="261"/>
      <c r="Q1" s="234" t="s">
        <v>218</v>
      </c>
      <c r="R1" s="234" t="s">
        <v>219</v>
      </c>
      <c r="S1" s="235" t="s">
        <v>220</v>
      </c>
      <c r="T1" s="235" t="s">
        <v>221</v>
      </c>
      <c r="U1" s="234" t="s">
        <v>222</v>
      </c>
      <c r="V1" s="234" t="s">
        <v>223</v>
      </c>
      <c r="W1" s="234" t="s">
        <v>224</v>
      </c>
      <c r="X1" s="234" t="s">
        <v>224</v>
      </c>
      <c r="Y1" s="234" t="s">
        <v>224</v>
      </c>
      <c r="Z1" s="234" t="s">
        <v>224</v>
      </c>
      <c r="AA1" s="234" t="s">
        <v>225</v>
      </c>
      <c r="AB1" s="234" t="s">
        <v>226</v>
      </c>
      <c r="AC1" s="234" t="s">
        <v>226</v>
      </c>
      <c r="AD1" s="234" t="s">
        <v>226</v>
      </c>
      <c r="AE1" s="234" t="s">
        <v>226</v>
      </c>
      <c r="AF1" s="234" t="s">
        <v>227</v>
      </c>
      <c r="AG1" s="234" t="s">
        <v>228</v>
      </c>
      <c r="AH1" s="234" t="s">
        <v>229</v>
      </c>
      <c r="AI1" s="234" t="s">
        <v>85</v>
      </c>
      <c r="AJ1" s="234" t="s">
        <v>86</v>
      </c>
      <c r="AK1" s="234" t="s">
        <v>88</v>
      </c>
      <c r="AL1" s="234" t="s">
        <v>89</v>
      </c>
      <c r="AM1" s="233" t="s">
        <v>230</v>
      </c>
      <c r="AN1" s="233" t="s">
        <v>231</v>
      </c>
      <c r="AO1" s="233" t="s">
        <v>232</v>
      </c>
      <c r="AP1" s="233" t="s">
        <v>233</v>
      </c>
      <c r="AQ1" s="233" t="s">
        <v>234</v>
      </c>
    </row>
    <row r="2" spans="1:43">
      <c r="A2" s="33" t="s">
        <v>235</v>
      </c>
      <c r="B2" s="33" t="s">
        <v>236</v>
      </c>
      <c r="D2" s="228">
        <v>16500</v>
      </c>
      <c r="E2" s="228">
        <v>6600</v>
      </c>
      <c r="F2" s="228">
        <v>15750</v>
      </c>
      <c r="G2" s="228">
        <v>6600</v>
      </c>
      <c r="H2" s="228">
        <v>17250</v>
      </c>
      <c r="I2" s="228">
        <v>6600</v>
      </c>
      <c r="J2" s="228">
        <v>0</v>
      </c>
      <c r="K2" s="228">
        <v>1</v>
      </c>
      <c r="L2" s="228">
        <v>1</v>
      </c>
      <c r="O2" s="33" t="s">
        <v>237</v>
      </c>
      <c r="P2" s="33"/>
      <c r="Q2" s="228"/>
      <c r="R2" s="228"/>
      <c r="S2" s="43"/>
      <c r="T2" s="43"/>
      <c r="AG2" s="33" t="s">
        <v>238</v>
      </c>
      <c r="AH2" s="33" t="s">
        <v>47</v>
      </c>
      <c r="AN2" s="231">
        <v>-0.05</v>
      </c>
      <c r="AO2" s="231" t="s">
        <v>239</v>
      </c>
      <c r="AP2" s="231">
        <v>20</v>
      </c>
      <c r="AQ2" s="231">
        <v>1</v>
      </c>
    </row>
    <row r="3" spans="1:43">
      <c r="A3" s="33" t="s">
        <v>240</v>
      </c>
      <c r="B3" s="33" t="s">
        <v>241</v>
      </c>
      <c r="D3" s="228">
        <v>16500</v>
      </c>
      <c r="E3" s="228">
        <v>6600</v>
      </c>
      <c r="F3" s="228">
        <v>16500</v>
      </c>
      <c r="G3" s="228">
        <v>6225</v>
      </c>
      <c r="H3" s="228">
        <v>16500</v>
      </c>
      <c r="I3" s="228">
        <v>6975</v>
      </c>
      <c r="J3" s="228">
        <v>0</v>
      </c>
      <c r="K3" s="228">
        <v>1</v>
      </c>
      <c r="L3" s="228">
        <v>1</v>
      </c>
      <c r="O3" s="33" t="s">
        <v>237</v>
      </c>
      <c r="P3" s="33"/>
      <c r="Q3" s="228"/>
      <c r="R3" s="228"/>
      <c r="S3" s="43"/>
      <c r="T3" s="43"/>
      <c r="AG3" s="33" t="s">
        <v>242</v>
      </c>
      <c r="AH3" s="33" t="s">
        <v>77</v>
      </c>
      <c r="AN3" s="231">
        <v>-0.05</v>
      </c>
      <c r="AO3" s="231" t="s">
        <v>239</v>
      </c>
      <c r="AP3" s="231">
        <v>20</v>
      </c>
      <c r="AQ3" s="231">
        <v>1</v>
      </c>
    </row>
    <row r="4" spans="1:43">
      <c r="A4" s="33" t="s">
        <v>243</v>
      </c>
      <c r="B4" s="33" t="s">
        <v>236</v>
      </c>
      <c r="D4" s="228">
        <v>3.9790393202565602E-12</v>
      </c>
      <c r="E4" s="228">
        <v>9200</v>
      </c>
      <c r="F4" s="228">
        <v>-749.99999999999602</v>
      </c>
      <c r="G4" s="228">
        <v>9200</v>
      </c>
      <c r="H4" s="228">
        <v>750.00000000000398</v>
      </c>
      <c r="I4" s="228">
        <v>9200</v>
      </c>
      <c r="J4" s="228">
        <v>0</v>
      </c>
      <c r="K4" s="228">
        <v>1</v>
      </c>
      <c r="L4" s="228">
        <v>1</v>
      </c>
      <c r="O4" s="33" t="s">
        <v>244</v>
      </c>
      <c r="P4" s="33"/>
      <c r="Q4" s="228"/>
      <c r="R4" s="228"/>
      <c r="S4" s="43"/>
      <c r="T4" s="43"/>
      <c r="AG4" s="33" t="s">
        <v>245</v>
      </c>
      <c r="AH4" s="33" t="s">
        <v>35</v>
      </c>
      <c r="AN4" s="231">
        <v>-0.05</v>
      </c>
      <c r="AO4" s="231" t="s">
        <v>239</v>
      </c>
      <c r="AP4" s="231">
        <v>20</v>
      </c>
      <c r="AQ4" s="231">
        <v>1</v>
      </c>
    </row>
    <row r="5" spans="1:43">
      <c r="A5" s="33" t="s">
        <v>246</v>
      </c>
      <c r="B5" s="33" t="s">
        <v>241</v>
      </c>
      <c r="D5" s="228">
        <v>0</v>
      </c>
      <c r="E5" s="228">
        <v>9200</v>
      </c>
      <c r="F5" s="228">
        <v>0</v>
      </c>
      <c r="G5" s="228">
        <v>8825</v>
      </c>
      <c r="H5" s="228">
        <v>0</v>
      </c>
      <c r="I5" s="228">
        <v>9575</v>
      </c>
      <c r="J5" s="228">
        <v>0</v>
      </c>
      <c r="K5" s="228">
        <v>1</v>
      </c>
      <c r="L5" s="228">
        <v>1</v>
      </c>
      <c r="O5" s="33" t="s">
        <v>244</v>
      </c>
      <c r="P5" s="33"/>
      <c r="Q5" s="228"/>
      <c r="R5" s="228"/>
      <c r="S5" s="43"/>
      <c r="T5" s="43"/>
      <c r="AG5" s="33" t="s">
        <v>247</v>
      </c>
      <c r="AH5" s="33" t="s">
        <v>72</v>
      </c>
      <c r="AN5" s="231">
        <v>-0.05</v>
      </c>
      <c r="AO5" s="231" t="s">
        <v>239</v>
      </c>
      <c r="AP5" s="231">
        <v>20</v>
      </c>
      <c r="AQ5" s="231">
        <v>1</v>
      </c>
    </row>
    <row r="6" spans="1:43">
      <c r="A6" s="33" t="s">
        <v>248</v>
      </c>
      <c r="B6" s="33" t="s">
        <v>236</v>
      </c>
      <c r="D6" s="228">
        <v>4300</v>
      </c>
      <c r="E6" s="228">
        <v>9308.4936490538894</v>
      </c>
      <c r="F6" s="228">
        <v>3550</v>
      </c>
      <c r="G6" s="228">
        <v>9308.4936490538894</v>
      </c>
      <c r="H6" s="228">
        <v>5050</v>
      </c>
      <c r="I6" s="228">
        <v>9308.4936490538894</v>
      </c>
      <c r="J6" s="228">
        <v>0</v>
      </c>
      <c r="K6" s="228">
        <v>1</v>
      </c>
      <c r="L6" s="228">
        <v>1</v>
      </c>
      <c r="O6" s="33" t="s">
        <v>249</v>
      </c>
      <c r="P6" s="33"/>
      <c r="Q6" s="228"/>
      <c r="R6" s="228"/>
      <c r="S6" s="43"/>
      <c r="T6" s="43"/>
      <c r="AG6" s="33" t="s">
        <v>250</v>
      </c>
      <c r="AH6" s="33" t="s">
        <v>41</v>
      </c>
      <c r="AN6" s="231">
        <v>-0.05</v>
      </c>
      <c r="AO6" s="231" t="s">
        <v>239</v>
      </c>
      <c r="AP6" s="231">
        <v>20</v>
      </c>
      <c r="AQ6" s="231">
        <v>1</v>
      </c>
    </row>
    <row r="7" spans="1:43">
      <c r="A7" s="33" t="s">
        <v>251</v>
      </c>
      <c r="B7" s="33" t="s">
        <v>241</v>
      </c>
      <c r="D7" s="228">
        <v>4300</v>
      </c>
      <c r="E7" s="228">
        <v>9308.4936490539003</v>
      </c>
      <c r="F7" s="228">
        <v>4300</v>
      </c>
      <c r="G7" s="228">
        <v>8608.4936490538894</v>
      </c>
      <c r="H7" s="228">
        <v>4300</v>
      </c>
      <c r="I7" s="228">
        <v>10008.4936490539</v>
      </c>
      <c r="J7" s="228">
        <v>0</v>
      </c>
      <c r="K7" s="228">
        <v>1</v>
      </c>
      <c r="L7" s="228">
        <v>1</v>
      </c>
      <c r="O7" s="33" t="s">
        <v>249</v>
      </c>
      <c r="P7" s="33"/>
      <c r="Q7" s="228"/>
      <c r="R7" s="228"/>
      <c r="S7" s="43"/>
      <c r="T7" s="43"/>
      <c r="AG7" s="33" t="s">
        <v>252</v>
      </c>
      <c r="AH7" s="33" t="s">
        <v>61</v>
      </c>
      <c r="AN7" s="231">
        <v>-0.05</v>
      </c>
      <c r="AO7" s="231" t="s">
        <v>239</v>
      </c>
      <c r="AP7" s="231">
        <v>20</v>
      </c>
      <c r="AQ7" s="231">
        <v>1</v>
      </c>
    </row>
    <row r="8" spans="1:43">
      <c r="A8" s="33" t="s">
        <v>253</v>
      </c>
      <c r="B8" s="33" t="s">
        <v>241</v>
      </c>
      <c r="D8" s="228">
        <v>4300</v>
      </c>
      <c r="E8" s="228">
        <v>9308.4936490539003</v>
      </c>
      <c r="F8" s="228">
        <v>4300</v>
      </c>
      <c r="G8" s="228">
        <v>10008.4936490539</v>
      </c>
      <c r="H8" s="228">
        <v>4300</v>
      </c>
      <c r="I8" s="228">
        <v>8608.4936490538894</v>
      </c>
      <c r="J8" s="228">
        <v>0</v>
      </c>
      <c r="K8" s="228">
        <v>1</v>
      </c>
      <c r="L8" s="228">
        <v>1</v>
      </c>
      <c r="O8" s="33" t="s">
        <v>249</v>
      </c>
      <c r="P8" s="33"/>
      <c r="Q8" s="228"/>
      <c r="R8" s="228"/>
      <c r="S8" s="43"/>
      <c r="T8" s="43"/>
      <c r="AG8" s="33" t="s">
        <v>254</v>
      </c>
      <c r="AH8" s="33" t="s">
        <v>64</v>
      </c>
      <c r="AN8" s="231">
        <v>-0.05</v>
      </c>
      <c r="AO8" s="231" t="s">
        <v>239</v>
      </c>
      <c r="AP8" s="231">
        <v>20</v>
      </c>
      <c r="AQ8" s="231">
        <v>1</v>
      </c>
    </row>
    <row r="9" spans="1:43">
      <c r="A9" s="33" t="s">
        <v>255</v>
      </c>
      <c r="B9" s="33" t="s">
        <v>236</v>
      </c>
      <c r="D9" s="228">
        <v>6400</v>
      </c>
      <c r="E9" s="228">
        <v>9308.4936490538894</v>
      </c>
      <c r="F9" s="228">
        <v>5650</v>
      </c>
      <c r="G9" s="228">
        <v>9308.4936490538894</v>
      </c>
      <c r="H9" s="228">
        <v>7150</v>
      </c>
      <c r="I9" s="228">
        <v>9308.4936490538894</v>
      </c>
      <c r="J9" s="228">
        <v>0</v>
      </c>
      <c r="K9" s="228">
        <v>1</v>
      </c>
      <c r="L9" s="228">
        <v>1</v>
      </c>
      <c r="O9" s="33" t="s">
        <v>256</v>
      </c>
      <c r="P9" s="33"/>
      <c r="Q9" s="228"/>
      <c r="R9" s="228"/>
      <c r="S9" s="43"/>
      <c r="T9" s="43"/>
      <c r="AG9" s="33" t="s">
        <v>257</v>
      </c>
      <c r="AH9" s="33" t="s">
        <v>42</v>
      </c>
      <c r="AN9" s="231">
        <v>-0.05</v>
      </c>
      <c r="AO9" s="231" t="s">
        <v>239</v>
      </c>
      <c r="AP9" s="231">
        <v>20</v>
      </c>
      <c r="AQ9" s="231">
        <v>1</v>
      </c>
    </row>
    <row r="10" spans="1:43">
      <c r="A10" s="33" t="s">
        <v>258</v>
      </c>
      <c r="B10" s="33" t="s">
        <v>241</v>
      </c>
      <c r="D10" s="228">
        <v>6400</v>
      </c>
      <c r="E10" s="228">
        <v>9308.4936490539003</v>
      </c>
      <c r="F10" s="228">
        <v>6400</v>
      </c>
      <c r="G10" s="228">
        <v>8608.4936490538894</v>
      </c>
      <c r="H10" s="228">
        <v>6400</v>
      </c>
      <c r="I10" s="228">
        <v>10008.4936490539</v>
      </c>
      <c r="J10" s="228">
        <v>0</v>
      </c>
      <c r="K10" s="228">
        <v>1</v>
      </c>
      <c r="L10" s="228">
        <v>1</v>
      </c>
      <c r="O10" s="33" t="s">
        <v>256</v>
      </c>
      <c r="P10" s="33"/>
      <c r="Q10" s="228"/>
      <c r="R10" s="228"/>
      <c r="S10" s="43"/>
      <c r="T10" s="43"/>
      <c r="AG10" s="33" t="s">
        <v>259</v>
      </c>
      <c r="AH10" s="33" t="s">
        <v>60</v>
      </c>
      <c r="AN10" s="231">
        <v>-0.05</v>
      </c>
      <c r="AO10" s="231" t="s">
        <v>239</v>
      </c>
      <c r="AP10" s="231">
        <v>20</v>
      </c>
      <c r="AQ10" s="231">
        <v>1</v>
      </c>
    </row>
    <row r="11" spans="1:43">
      <c r="A11" s="33" t="s">
        <v>260</v>
      </c>
      <c r="B11" s="33" t="s">
        <v>241</v>
      </c>
      <c r="D11" s="228">
        <v>6400</v>
      </c>
      <c r="E11" s="228">
        <v>9308.4936490539003</v>
      </c>
      <c r="F11" s="228">
        <v>6400</v>
      </c>
      <c r="G11" s="228">
        <v>10008.4936490539</v>
      </c>
      <c r="H11" s="228">
        <v>6400</v>
      </c>
      <c r="I11" s="228">
        <v>8608.4936490538894</v>
      </c>
      <c r="J11" s="228">
        <v>0</v>
      </c>
      <c r="K11" s="228">
        <v>1</v>
      </c>
      <c r="L11" s="228">
        <v>1</v>
      </c>
      <c r="O11" s="33" t="s">
        <v>256</v>
      </c>
      <c r="P11" s="33"/>
      <c r="Q11" s="228"/>
      <c r="R11" s="228"/>
      <c r="S11" s="43"/>
      <c r="T11" s="43"/>
      <c r="AG11" s="33" t="s">
        <v>261</v>
      </c>
      <c r="AH11" s="33" t="s">
        <v>65</v>
      </c>
      <c r="AN11" s="231">
        <v>-0.05</v>
      </c>
      <c r="AO11" s="231" t="s">
        <v>239</v>
      </c>
      <c r="AP11" s="231">
        <v>20</v>
      </c>
      <c r="AQ11" s="231">
        <v>1</v>
      </c>
    </row>
    <row r="12" spans="1:43">
      <c r="A12" s="33" t="s">
        <v>262</v>
      </c>
      <c r="B12" s="33" t="s">
        <v>236</v>
      </c>
      <c r="D12" s="228">
        <v>13349</v>
      </c>
      <c r="E12" s="228">
        <v>9200</v>
      </c>
      <c r="F12" s="228">
        <v>12599</v>
      </c>
      <c r="G12" s="228">
        <v>9200</v>
      </c>
      <c r="H12" s="228">
        <v>14099</v>
      </c>
      <c r="I12" s="228">
        <v>9200</v>
      </c>
      <c r="J12" s="228">
        <v>0</v>
      </c>
      <c r="K12" s="228">
        <v>1</v>
      </c>
      <c r="L12" s="228">
        <v>1</v>
      </c>
      <c r="O12" s="33" t="s">
        <v>263</v>
      </c>
      <c r="P12" s="33"/>
      <c r="Q12" s="228"/>
      <c r="R12" s="228"/>
      <c r="S12" s="43"/>
      <c r="T12" s="43"/>
      <c r="AG12" s="33" t="s">
        <v>264</v>
      </c>
      <c r="AH12" s="33" t="s">
        <v>46</v>
      </c>
      <c r="AN12" s="231">
        <v>-0.05</v>
      </c>
      <c r="AO12" s="231" t="s">
        <v>239</v>
      </c>
      <c r="AP12" s="231">
        <v>20</v>
      </c>
      <c r="AQ12" s="231">
        <v>1</v>
      </c>
    </row>
    <row r="13" spans="1:43">
      <c r="A13" s="33" t="s">
        <v>265</v>
      </c>
      <c r="B13" s="33" t="s">
        <v>241</v>
      </c>
      <c r="D13" s="228">
        <v>13349</v>
      </c>
      <c r="E13" s="228">
        <v>9200</v>
      </c>
      <c r="F13" s="228">
        <v>13349</v>
      </c>
      <c r="G13" s="228">
        <v>8825</v>
      </c>
      <c r="H13" s="228">
        <v>13349</v>
      </c>
      <c r="I13" s="228">
        <v>9575</v>
      </c>
      <c r="J13" s="228">
        <v>0</v>
      </c>
      <c r="K13" s="228">
        <v>1</v>
      </c>
      <c r="L13" s="228">
        <v>1</v>
      </c>
      <c r="O13" s="33" t="s">
        <v>263</v>
      </c>
      <c r="P13" s="33"/>
      <c r="Q13" s="228"/>
      <c r="R13" s="228"/>
      <c r="S13" s="43"/>
      <c r="T13" s="43"/>
      <c r="AG13" s="33" t="s">
        <v>266</v>
      </c>
      <c r="AH13" s="33" t="s">
        <v>76</v>
      </c>
      <c r="AN13" s="231">
        <v>-0.05</v>
      </c>
      <c r="AO13" s="231" t="s">
        <v>239</v>
      </c>
      <c r="AP13" s="231">
        <v>20</v>
      </c>
      <c r="AQ13" s="231">
        <v>1</v>
      </c>
    </row>
    <row r="14" spans="1:43">
      <c r="A14" s="33" t="s">
        <v>267</v>
      </c>
      <c r="B14" s="33" t="s">
        <v>236</v>
      </c>
      <c r="D14" s="228">
        <v>3.9790393202565602E-12</v>
      </c>
      <c r="E14" s="228">
        <v>13408.4936490539</v>
      </c>
      <c r="F14" s="228">
        <v>-749.99999999999602</v>
      </c>
      <c r="G14" s="228">
        <v>13408.4936490539</v>
      </c>
      <c r="H14" s="228">
        <v>750.00000000000398</v>
      </c>
      <c r="I14" s="228">
        <v>13408.4936490539</v>
      </c>
      <c r="J14" s="228">
        <v>0</v>
      </c>
      <c r="K14" s="228">
        <v>1</v>
      </c>
      <c r="L14" s="228">
        <v>1</v>
      </c>
      <c r="O14" s="33" t="s">
        <v>268</v>
      </c>
      <c r="P14" s="33"/>
      <c r="Q14" s="228"/>
      <c r="R14" s="228"/>
      <c r="S14" s="43"/>
      <c r="T14" s="43"/>
      <c r="AG14" s="33" t="s">
        <v>269</v>
      </c>
      <c r="AH14" s="33" t="s">
        <v>44</v>
      </c>
      <c r="AN14" s="231">
        <v>-0.05</v>
      </c>
      <c r="AO14" s="231" t="s">
        <v>239</v>
      </c>
      <c r="AP14" s="231">
        <v>20</v>
      </c>
      <c r="AQ14" s="231">
        <v>1</v>
      </c>
    </row>
    <row r="15" spans="1:43">
      <c r="A15" s="33" t="s">
        <v>270</v>
      </c>
      <c r="B15" s="33" t="s">
        <v>241</v>
      </c>
      <c r="D15" s="228">
        <v>0</v>
      </c>
      <c r="E15" s="228">
        <v>13408.4936490539</v>
      </c>
      <c r="F15" s="228">
        <v>0</v>
      </c>
      <c r="G15" s="228">
        <v>12708.4936490539</v>
      </c>
      <c r="H15" s="228">
        <v>0</v>
      </c>
      <c r="I15" s="228">
        <v>14108.4936490539</v>
      </c>
      <c r="J15" s="228">
        <v>0</v>
      </c>
      <c r="K15" s="228">
        <v>1</v>
      </c>
      <c r="L15" s="228">
        <v>1</v>
      </c>
      <c r="O15" s="33" t="s">
        <v>268</v>
      </c>
      <c r="P15" s="33"/>
      <c r="Q15" s="228"/>
      <c r="R15" s="228"/>
      <c r="S15" s="43"/>
      <c r="T15" s="43"/>
      <c r="AG15" s="33" t="s">
        <v>271</v>
      </c>
      <c r="AH15" s="33" t="s">
        <v>54</v>
      </c>
      <c r="AN15" s="231">
        <v>-0.05</v>
      </c>
      <c r="AO15" s="231" t="s">
        <v>239</v>
      </c>
      <c r="AP15" s="231">
        <v>20</v>
      </c>
      <c r="AQ15" s="231">
        <v>1</v>
      </c>
    </row>
    <row r="16" spans="1:43">
      <c r="A16" s="33" t="s">
        <v>272</v>
      </c>
      <c r="B16" s="33" t="s">
        <v>241</v>
      </c>
      <c r="D16" s="228">
        <v>0</v>
      </c>
      <c r="E16" s="228">
        <v>13408.4936490539</v>
      </c>
      <c r="F16" s="228">
        <v>0</v>
      </c>
      <c r="G16" s="228">
        <v>14108.4936490539</v>
      </c>
      <c r="H16" s="228">
        <v>0</v>
      </c>
      <c r="I16" s="228">
        <v>12708.4936490539</v>
      </c>
      <c r="J16" s="228">
        <v>0</v>
      </c>
      <c r="K16" s="228">
        <v>1</v>
      </c>
      <c r="L16" s="228">
        <v>1</v>
      </c>
      <c r="O16" s="33" t="s">
        <v>268</v>
      </c>
      <c r="P16" s="33"/>
      <c r="Q16" s="228"/>
      <c r="R16" s="228"/>
      <c r="S16" s="43"/>
      <c r="T16" s="43"/>
      <c r="AG16" s="33" t="s">
        <v>273</v>
      </c>
      <c r="AH16" s="33" t="s">
        <v>62</v>
      </c>
      <c r="AN16" s="231">
        <v>-0.05</v>
      </c>
      <c r="AO16" s="231" t="s">
        <v>239</v>
      </c>
      <c r="AP16" s="231">
        <v>20</v>
      </c>
      <c r="AQ16" s="231">
        <v>1</v>
      </c>
    </row>
    <row r="17" spans="1:43">
      <c r="A17" s="33" t="s">
        <v>274</v>
      </c>
      <c r="B17" s="33" t="s">
        <v>236</v>
      </c>
      <c r="D17" s="228">
        <v>4300</v>
      </c>
      <c r="E17" s="228">
        <v>13900.0000000009</v>
      </c>
      <c r="F17" s="228">
        <v>3550</v>
      </c>
      <c r="G17" s="228">
        <v>13900.0000000009</v>
      </c>
      <c r="H17" s="228">
        <v>5050</v>
      </c>
      <c r="I17" s="228">
        <v>13900.0000000009</v>
      </c>
      <c r="J17" s="228">
        <v>0</v>
      </c>
      <c r="K17" s="228">
        <v>1</v>
      </c>
      <c r="L17" s="228">
        <v>1</v>
      </c>
      <c r="O17" s="33" t="s">
        <v>275</v>
      </c>
      <c r="P17" s="33"/>
      <c r="Q17" s="228"/>
      <c r="R17" s="228"/>
      <c r="S17" s="43"/>
      <c r="T17" s="43"/>
      <c r="AG17" s="33" t="s">
        <v>276</v>
      </c>
      <c r="AH17" s="33" t="s">
        <v>33</v>
      </c>
      <c r="AN17" s="231">
        <v>-0.05</v>
      </c>
      <c r="AO17" s="231" t="s">
        <v>239</v>
      </c>
      <c r="AP17" s="231">
        <v>20</v>
      </c>
      <c r="AQ17" s="231">
        <v>1</v>
      </c>
    </row>
    <row r="18" spans="1:43">
      <c r="A18" s="33" t="s">
        <v>277</v>
      </c>
      <c r="B18" s="33" t="s">
        <v>241</v>
      </c>
      <c r="D18" s="228">
        <v>4300</v>
      </c>
      <c r="E18" s="228">
        <v>13900</v>
      </c>
      <c r="F18" s="228">
        <v>4300</v>
      </c>
      <c r="G18" s="228">
        <v>13525</v>
      </c>
      <c r="H18" s="228">
        <v>4300</v>
      </c>
      <c r="I18" s="228">
        <v>14275</v>
      </c>
      <c r="J18" s="228">
        <v>0</v>
      </c>
      <c r="K18" s="228">
        <v>1</v>
      </c>
      <c r="L18" s="228">
        <v>1</v>
      </c>
      <c r="O18" s="33" t="s">
        <v>275</v>
      </c>
      <c r="P18" s="33"/>
      <c r="Q18" s="228"/>
      <c r="R18" s="228"/>
      <c r="S18" s="43"/>
      <c r="T18" s="43"/>
      <c r="AG18" s="33" t="s">
        <v>278</v>
      </c>
      <c r="AH18" s="33" t="s">
        <v>52</v>
      </c>
      <c r="AN18" s="231">
        <v>-0.05</v>
      </c>
      <c r="AO18" s="231" t="s">
        <v>239</v>
      </c>
      <c r="AP18" s="231">
        <v>20</v>
      </c>
      <c r="AQ18" s="231">
        <v>1</v>
      </c>
    </row>
    <row r="19" spans="1:43">
      <c r="A19" s="33" t="s">
        <v>279</v>
      </c>
      <c r="B19" s="33" t="s">
        <v>236</v>
      </c>
      <c r="D19" s="228">
        <v>6400</v>
      </c>
      <c r="E19" s="228">
        <v>13900.0000000008</v>
      </c>
      <c r="F19" s="228">
        <v>5650</v>
      </c>
      <c r="G19" s="228">
        <v>13900.0000000009</v>
      </c>
      <c r="H19" s="228">
        <v>7150</v>
      </c>
      <c r="I19" s="228">
        <v>13900.0000000008</v>
      </c>
      <c r="J19" s="228">
        <v>0</v>
      </c>
      <c r="K19" s="228">
        <v>1</v>
      </c>
      <c r="L19" s="228">
        <v>1</v>
      </c>
      <c r="O19" s="33" t="s">
        <v>280</v>
      </c>
      <c r="P19" s="33"/>
      <c r="Q19" s="228"/>
      <c r="R19" s="228"/>
      <c r="S19" s="43"/>
      <c r="T19" s="43"/>
      <c r="AG19" s="33" t="s">
        <v>281</v>
      </c>
      <c r="AH19" s="33" t="s">
        <v>43</v>
      </c>
      <c r="AN19" s="231">
        <v>-0.05</v>
      </c>
      <c r="AO19" s="231" t="s">
        <v>239</v>
      </c>
      <c r="AP19" s="231">
        <v>20</v>
      </c>
      <c r="AQ19" s="231">
        <v>1</v>
      </c>
    </row>
    <row r="20" spans="1:43">
      <c r="A20" s="33" t="s">
        <v>282</v>
      </c>
      <c r="B20" s="33" t="s">
        <v>241</v>
      </c>
      <c r="D20" s="228">
        <v>6400</v>
      </c>
      <c r="E20" s="228">
        <v>13900</v>
      </c>
      <c r="F20" s="228">
        <v>6400</v>
      </c>
      <c r="G20" s="228">
        <v>13525</v>
      </c>
      <c r="H20" s="228">
        <v>6400</v>
      </c>
      <c r="I20" s="228">
        <v>14275</v>
      </c>
      <c r="J20" s="228">
        <v>0</v>
      </c>
      <c r="K20" s="228">
        <v>1</v>
      </c>
      <c r="L20" s="228">
        <v>1</v>
      </c>
      <c r="O20" s="33" t="s">
        <v>280</v>
      </c>
      <c r="P20" s="33"/>
      <c r="Q20" s="228"/>
      <c r="R20" s="228"/>
      <c r="S20" s="43"/>
      <c r="T20" s="43"/>
      <c r="AG20" s="33" t="s">
        <v>283</v>
      </c>
      <c r="AH20" s="33" t="s">
        <v>63</v>
      </c>
      <c r="AN20" s="231">
        <v>-0.05</v>
      </c>
      <c r="AO20" s="231" t="s">
        <v>239</v>
      </c>
      <c r="AP20" s="231">
        <v>20</v>
      </c>
      <c r="AQ20" s="231">
        <v>1</v>
      </c>
    </row>
    <row r="21" spans="1:43">
      <c r="A21" s="33" t="s">
        <v>284</v>
      </c>
      <c r="B21" s="33" t="s">
        <v>236</v>
      </c>
      <c r="D21" s="228">
        <v>11500</v>
      </c>
      <c r="E21" s="228">
        <v>13900.0000000001</v>
      </c>
      <c r="F21" s="228">
        <v>10750</v>
      </c>
      <c r="G21" s="228">
        <v>13900.0000000001</v>
      </c>
      <c r="H21" s="228">
        <v>12250</v>
      </c>
      <c r="I21" s="228">
        <v>13900</v>
      </c>
      <c r="J21" s="228">
        <v>0</v>
      </c>
      <c r="K21" s="228">
        <v>1</v>
      </c>
      <c r="L21" s="228">
        <v>1</v>
      </c>
      <c r="O21" s="33" t="s">
        <v>285</v>
      </c>
      <c r="P21" s="33"/>
      <c r="Q21" s="228"/>
      <c r="R21" s="228"/>
      <c r="S21" s="43"/>
      <c r="T21" s="43"/>
      <c r="AG21" s="33" t="s">
        <v>286</v>
      </c>
      <c r="AH21" s="33" t="s">
        <v>45</v>
      </c>
      <c r="AN21" s="231">
        <v>-0.05</v>
      </c>
      <c r="AO21" s="231" t="s">
        <v>239</v>
      </c>
      <c r="AP21" s="231">
        <v>20</v>
      </c>
      <c r="AQ21" s="231">
        <v>1</v>
      </c>
    </row>
    <row r="22" spans="1:43">
      <c r="A22" s="33" t="s">
        <v>287</v>
      </c>
      <c r="B22" s="33" t="s">
        <v>241</v>
      </c>
      <c r="D22" s="228">
        <v>11500</v>
      </c>
      <c r="E22" s="228">
        <v>13900</v>
      </c>
      <c r="F22" s="228">
        <v>11500</v>
      </c>
      <c r="G22" s="228">
        <v>13525</v>
      </c>
      <c r="H22" s="228">
        <v>11500</v>
      </c>
      <c r="I22" s="228">
        <v>14275</v>
      </c>
      <c r="J22" s="228">
        <v>0</v>
      </c>
      <c r="K22" s="228">
        <v>1</v>
      </c>
      <c r="L22" s="228">
        <v>1</v>
      </c>
      <c r="O22" s="33" t="s">
        <v>285</v>
      </c>
      <c r="P22" s="33"/>
      <c r="Q22" s="228"/>
      <c r="R22" s="228"/>
      <c r="S22" s="43"/>
      <c r="T22" s="43"/>
      <c r="AG22" s="33" t="s">
        <v>288</v>
      </c>
      <c r="AH22" s="33" t="s">
        <v>71</v>
      </c>
      <c r="AN22" s="231">
        <v>-0.05</v>
      </c>
      <c r="AO22" s="231" t="s">
        <v>239</v>
      </c>
      <c r="AP22" s="231">
        <v>20</v>
      </c>
      <c r="AQ22" s="231">
        <v>1</v>
      </c>
    </row>
    <row r="23" spans="1:43">
      <c r="A23" s="33" t="s">
        <v>289</v>
      </c>
      <c r="B23" s="33" t="s">
        <v>236</v>
      </c>
      <c r="D23" s="228">
        <v>3.9790393202565602E-12</v>
      </c>
      <c r="E23" s="228">
        <v>108.49364905389</v>
      </c>
      <c r="F23" s="228">
        <v>-749.99999999999602</v>
      </c>
      <c r="G23" s="228">
        <v>108.49364905389</v>
      </c>
      <c r="H23" s="228">
        <v>750.00000000000398</v>
      </c>
      <c r="I23" s="228">
        <v>108.49364905389</v>
      </c>
      <c r="J23" s="228">
        <v>0</v>
      </c>
      <c r="K23" s="228">
        <v>1</v>
      </c>
      <c r="L23" s="228">
        <v>1</v>
      </c>
      <c r="O23" s="33" t="s">
        <v>290</v>
      </c>
      <c r="P23" s="33"/>
      <c r="Q23" s="228"/>
      <c r="R23" s="228"/>
      <c r="S23" s="43"/>
      <c r="T23" s="43"/>
      <c r="AG23" s="33" t="s">
        <v>291</v>
      </c>
      <c r="AH23" s="33" t="s">
        <v>36</v>
      </c>
      <c r="AN23" s="231">
        <v>-0.05</v>
      </c>
      <c r="AO23" s="231" t="s">
        <v>239</v>
      </c>
      <c r="AP23" s="231">
        <v>20</v>
      </c>
      <c r="AQ23" s="231">
        <v>1</v>
      </c>
    </row>
    <row r="24" spans="1:43">
      <c r="A24" s="33" t="s">
        <v>292</v>
      </c>
      <c r="B24" s="33" t="s">
        <v>241</v>
      </c>
      <c r="D24" s="228">
        <v>0</v>
      </c>
      <c r="E24" s="228">
        <v>108.493649053891</v>
      </c>
      <c r="F24" s="228">
        <v>0</v>
      </c>
      <c r="G24" s="228">
        <v>-591.50635094611005</v>
      </c>
      <c r="H24" s="228">
        <v>0</v>
      </c>
      <c r="I24" s="228">
        <v>808.493649053892</v>
      </c>
      <c r="J24" s="228">
        <v>0</v>
      </c>
      <c r="K24" s="228">
        <v>1</v>
      </c>
      <c r="L24" s="228">
        <v>1</v>
      </c>
      <c r="O24" s="33" t="s">
        <v>290</v>
      </c>
      <c r="P24" s="33"/>
      <c r="Q24" s="228"/>
      <c r="R24" s="228"/>
      <c r="S24" s="43"/>
      <c r="T24" s="43"/>
      <c r="AG24" s="33" t="s">
        <v>293</v>
      </c>
      <c r="AH24" s="33" t="s">
        <v>56</v>
      </c>
      <c r="AN24" s="231">
        <v>-0.05</v>
      </c>
      <c r="AO24" s="231" t="s">
        <v>239</v>
      </c>
      <c r="AP24" s="231">
        <v>20</v>
      </c>
      <c r="AQ24" s="231">
        <v>1</v>
      </c>
    </row>
    <row r="25" spans="1:43">
      <c r="A25" s="33" t="s">
        <v>294</v>
      </c>
      <c r="B25" s="33" t="s">
        <v>241</v>
      </c>
      <c r="D25" s="228">
        <v>0</v>
      </c>
      <c r="E25" s="228">
        <v>108.493649053891</v>
      </c>
      <c r="F25" s="228">
        <v>0</v>
      </c>
      <c r="G25" s="228">
        <v>808.493649053892</v>
      </c>
      <c r="H25" s="228">
        <v>0</v>
      </c>
      <c r="I25" s="228">
        <v>-591.50635094611005</v>
      </c>
      <c r="J25" s="228">
        <v>0</v>
      </c>
      <c r="K25" s="228">
        <v>1</v>
      </c>
      <c r="L25" s="228">
        <v>1</v>
      </c>
      <c r="O25" s="33" t="s">
        <v>290</v>
      </c>
      <c r="P25" s="33"/>
      <c r="Q25" s="228"/>
      <c r="R25" s="228"/>
      <c r="S25" s="43"/>
      <c r="T25" s="43"/>
      <c r="AG25" s="33" t="s">
        <v>295</v>
      </c>
      <c r="AH25" s="33" t="s">
        <v>67</v>
      </c>
      <c r="AN25" s="231">
        <v>-0.05</v>
      </c>
      <c r="AO25" s="231" t="s">
        <v>239</v>
      </c>
      <c r="AP25" s="231">
        <v>20</v>
      </c>
      <c r="AQ25" s="231">
        <v>1</v>
      </c>
    </row>
    <row r="26" spans="1:43">
      <c r="A26" s="33" t="s">
        <v>296</v>
      </c>
      <c r="B26" s="33" t="s">
        <v>236</v>
      </c>
      <c r="D26" s="228">
        <v>4300</v>
      </c>
      <c r="E26" s="228">
        <v>108.49364905389</v>
      </c>
      <c r="F26" s="228">
        <v>3550</v>
      </c>
      <c r="G26" s="228">
        <v>108.49364905389</v>
      </c>
      <c r="H26" s="228">
        <v>5050</v>
      </c>
      <c r="I26" s="228">
        <v>108.49364905389</v>
      </c>
      <c r="J26" s="228">
        <v>0</v>
      </c>
      <c r="K26" s="228">
        <v>1</v>
      </c>
      <c r="L26" s="228">
        <v>1</v>
      </c>
      <c r="O26" s="33" t="s">
        <v>297</v>
      </c>
      <c r="P26" s="33"/>
      <c r="Q26" s="228"/>
      <c r="R26" s="228"/>
      <c r="S26" s="43"/>
      <c r="T26" s="43"/>
      <c r="AG26" s="33" t="s">
        <v>298</v>
      </c>
      <c r="AH26" s="33" t="s">
        <v>37</v>
      </c>
      <c r="AN26" s="231">
        <v>-0.05</v>
      </c>
      <c r="AO26" s="231" t="s">
        <v>239</v>
      </c>
      <c r="AP26" s="231">
        <v>20</v>
      </c>
      <c r="AQ26" s="231">
        <v>1</v>
      </c>
    </row>
    <row r="27" spans="1:43">
      <c r="A27" s="33" t="s">
        <v>299</v>
      </c>
      <c r="B27" s="33" t="s">
        <v>241</v>
      </c>
      <c r="D27" s="228">
        <v>4300</v>
      </c>
      <c r="E27" s="228">
        <v>108.49364905389</v>
      </c>
      <c r="F27" s="228">
        <v>4300</v>
      </c>
      <c r="G27" s="228">
        <v>-591.50635094611005</v>
      </c>
      <c r="H27" s="228">
        <v>4300</v>
      </c>
      <c r="I27" s="228">
        <v>808.49364905389098</v>
      </c>
      <c r="J27" s="228">
        <v>0</v>
      </c>
      <c r="K27" s="228">
        <v>1</v>
      </c>
      <c r="L27" s="228">
        <v>1</v>
      </c>
      <c r="O27" s="33" t="s">
        <v>297</v>
      </c>
      <c r="P27" s="33"/>
      <c r="Q27" s="228"/>
      <c r="R27" s="228"/>
      <c r="S27" s="43"/>
      <c r="T27" s="43"/>
      <c r="AG27" s="33" t="s">
        <v>300</v>
      </c>
      <c r="AH27" s="33" t="s">
        <v>57</v>
      </c>
      <c r="AN27" s="231">
        <v>-0.05</v>
      </c>
      <c r="AO27" s="231" t="s">
        <v>239</v>
      </c>
      <c r="AP27" s="231">
        <v>20</v>
      </c>
      <c r="AQ27" s="231">
        <v>1</v>
      </c>
    </row>
    <row r="28" spans="1:43">
      <c r="A28" s="33" t="s">
        <v>301</v>
      </c>
      <c r="B28" s="33" t="s">
        <v>241</v>
      </c>
      <c r="D28" s="228">
        <v>4300</v>
      </c>
      <c r="E28" s="228">
        <v>108.49364905389</v>
      </c>
      <c r="F28" s="228">
        <v>4300</v>
      </c>
      <c r="G28" s="228">
        <v>808.49364905389098</v>
      </c>
      <c r="H28" s="228">
        <v>4300</v>
      </c>
      <c r="I28" s="228">
        <v>-591.50635094611005</v>
      </c>
      <c r="J28" s="228">
        <v>0</v>
      </c>
      <c r="K28" s="228">
        <v>1</v>
      </c>
      <c r="L28" s="228">
        <v>1</v>
      </c>
      <c r="O28" s="33" t="s">
        <v>297</v>
      </c>
      <c r="P28" s="33"/>
      <c r="Q28" s="228"/>
      <c r="R28" s="228"/>
      <c r="S28" s="43"/>
      <c r="T28" s="43"/>
      <c r="AG28" s="33" t="s">
        <v>302</v>
      </c>
      <c r="AH28" s="33" t="s">
        <v>68</v>
      </c>
      <c r="AN28" s="231">
        <v>-0.05</v>
      </c>
      <c r="AO28" s="231" t="s">
        <v>239</v>
      </c>
      <c r="AP28" s="231">
        <v>20</v>
      </c>
      <c r="AQ28" s="231">
        <v>1</v>
      </c>
    </row>
    <row r="29" spans="1:43">
      <c r="A29" s="33" t="s">
        <v>303</v>
      </c>
      <c r="B29" s="33" t="s">
        <v>236</v>
      </c>
      <c r="D29" s="228">
        <v>6400</v>
      </c>
      <c r="E29" s="228">
        <v>108.49364905389</v>
      </c>
      <c r="F29" s="228">
        <v>5650</v>
      </c>
      <c r="G29" s="228">
        <v>108.49364905389</v>
      </c>
      <c r="H29" s="228">
        <v>7150</v>
      </c>
      <c r="I29" s="228">
        <v>108.49364905389</v>
      </c>
      <c r="J29" s="228">
        <v>0</v>
      </c>
      <c r="K29" s="228">
        <v>1</v>
      </c>
      <c r="L29" s="228">
        <v>1</v>
      </c>
      <c r="O29" s="33" t="s">
        <v>29</v>
      </c>
      <c r="P29" s="33"/>
      <c r="Q29" s="228"/>
      <c r="R29" s="228"/>
      <c r="S29" s="43"/>
      <c r="T29" s="43"/>
      <c r="AG29" s="33" t="s">
        <v>304</v>
      </c>
      <c r="AH29" s="33" t="s">
        <v>38</v>
      </c>
      <c r="AN29" s="231">
        <v>-0.05</v>
      </c>
      <c r="AO29" s="231" t="s">
        <v>239</v>
      </c>
      <c r="AP29" s="231">
        <v>20</v>
      </c>
      <c r="AQ29" s="231">
        <v>1</v>
      </c>
    </row>
    <row r="30" spans="1:43">
      <c r="A30" s="33" t="s">
        <v>305</v>
      </c>
      <c r="B30" s="33" t="s">
        <v>241</v>
      </c>
      <c r="D30" s="228">
        <v>6400</v>
      </c>
      <c r="E30" s="228">
        <v>108.49364905389</v>
      </c>
      <c r="F30" s="228">
        <v>6400</v>
      </c>
      <c r="G30" s="228">
        <v>-591.50635094611005</v>
      </c>
      <c r="H30" s="228">
        <v>6400</v>
      </c>
      <c r="I30" s="228">
        <v>808.49364905389098</v>
      </c>
      <c r="J30" s="228">
        <v>0</v>
      </c>
      <c r="K30" s="228">
        <v>1</v>
      </c>
      <c r="L30" s="228">
        <v>1</v>
      </c>
      <c r="O30" s="33" t="s">
        <v>29</v>
      </c>
      <c r="P30" s="33"/>
      <c r="Q30" s="228"/>
      <c r="R30" s="228"/>
      <c r="S30" s="43"/>
      <c r="T30" s="43"/>
      <c r="AG30" s="33" t="s">
        <v>306</v>
      </c>
      <c r="AH30" s="33" t="s">
        <v>58</v>
      </c>
      <c r="AN30" s="231">
        <v>-0.05</v>
      </c>
      <c r="AO30" s="231" t="s">
        <v>239</v>
      </c>
      <c r="AP30" s="231">
        <v>20</v>
      </c>
      <c r="AQ30" s="231">
        <v>1</v>
      </c>
    </row>
    <row r="31" spans="1:43">
      <c r="A31" s="33" t="s">
        <v>307</v>
      </c>
      <c r="B31" s="33" t="s">
        <v>241</v>
      </c>
      <c r="D31" s="228">
        <v>6400</v>
      </c>
      <c r="E31" s="228">
        <v>108.49364905389</v>
      </c>
      <c r="F31" s="228">
        <v>6400</v>
      </c>
      <c r="G31" s="228">
        <v>808.49364905389098</v>
      </c>
      <c r="H31" s="228">
        <v>6400</v>
      </c>
      <c r="I31" s="228">
        <v>-591.50635094611005</v>
      </c>
      <c r="J31" s="228">
        <v>0</v>
      </c>
      <c r="K31" s="228">
        <v>1</v>
      </c>
      <c r="L31" s="228">
        <v>1</v>
      </c>
      <c r="O31" s="33" t="s">
        <v>29</v>
      </c>
      <c r="P31" s="33"/>
      <c r="Q31" s="228"/>
      <c r="R31" s="228"/>
      <c r="S31" s="43"/>
      <c r="T31" s="43"/>
      <c r="AG31" s="33" t="s">
        <v>308</v>
      </c>
      <c r="AH31" s="33" t="s">
        <v>69</v>
      </c>
      <c r="AN31" s="231">
        <v>-0.05</v>
      </c>
      <c r="AO31" s="231" t="s">
        <v>239</v>
      </c>
      <c r="AP31" s="231">
        <v>20</v>
      </c>
      <c r="AQ31" s="231">
        <v>1</v>
      </c>
    </row>
    <row r="32" spans="1:43">
      <c r="A32" s="33" t="s">
        <v>309</v>
      </c>
      <c r="B32" s="33" t="s">
        <v>236</v>
      </c>
      <c r="D32" s="228">
        <v>11500</v>
      </c>
      <c r="E32" s="228">
        <v>108.49364905389</v>
      </c>
      <c r="F32" s="228">
        <v>10750</v>
      </c>
      <c r="G32" s="228">
        <v>108.49364905389</v>
      </c>
      <c r="H32" s="228">
        <v>12250</v>
      </c>
      <c r="I32" s="228">
        <v>108.49364905389</v>
      </c>
      <c r="J32" s="228">
        <v>0</v>
      </c>
      <c r="K32" s="228">
        <v>1</v>
      </c>
      <c r="L32" s="228">
        <v>1</v>
      </c>
      <c r="O32" s="33" t="s">
        <v>310</v>
      </c>
      <c r="P32" s="33"/>
      <c r="Q32" s="228"/>
      <c r="R32" s="228"/>
      <c r="S32" s="43"/>
      <c r="T32" s="43"/>
      <c r="AG32" s="33" t="s">
        <v>311</v>
      </c>
      <c r="AH32" s="33" t="s">
        <v>39</v>
      </c>
      <c r="AN32" s="231">
        <v>-0.05</v>
      </c>
      <c r="AO32" s="231" t="s">
        <v>239</v>
      </c>
      <c r="AP32" s="231">
        <v>20</v>
      </c>
      <c r="AQ32" s="231">
        <v>1</v>
      </c>
    </row>
    <row r="33" spans="1:43">
      <c r="A33" s="33" t="s">
        <v>312</v>
      </c>
      <c r="B33" s="33" t="s">
        <v>241</v>
      </c>
      <c r="D33" s="228">
        <v>11500</v>
      </c>
      <c r="E33" s="228">
        <v>108.49364905389</v>
      </c>
      <c r="F33" s="228">
        <v>11500</v>
      </c>
      <c r="G33" s="228">
        <v>-591.50635094611005</v>
      </c>
      <c r="H33" s="228">
        <v>11500</v>
      </c>
      <c r="I33" s="228">
        <v>808.49364905389098</v>
      </c>
      <c r="J33" s="228">
        <v>0</v>
      </c>
      <c r="K33" s="228">
        <v>1</v>
      </c>
      <c r="L33" s="228">
        <v>1</v>
      </c>
      <c r="O33" s="33" t="s">
        <v>310</v>
      </c>
      <c r="P33" s="33"/>
      <c r="Q33" s="228"/>
      <c r="R33" s="228"/>
      <c r="S33" s="43"/>
      <c r="T33" s="43"/>
      <c r="AG33" s="33" t="s">
        <v>313</v>
      </c>
      <c r="AH33" s="33" t="s">
        <v>59</v>
      </c>
      <c r="AN33" s="231">
        <v>-0.05</v>
      </c>
      <c r="AO33" s="231" t="s">
        <v>239</v>
      </c>
      <c r="AP33" s="231">
        <v>20</v>
      </c>
      <c r="AQ33" s="231">
        <v>1</v>
      </c>
    </row>
    <row r="34" spans="1:43">
      <c r="A34" s="33" t="s">
        <v>314</v>
      </c>
      <c r="B34" s="33" t="s">
        <v>241</v>
      </c>
      <c r="D34" s="228">
        <v>11500</v>
      </c>
      <c r="E34" s="228">
        <v>108.49364905389</v>
      </c>
      <c r="F34" s="228">
        <v>11500</v>
      </c>
      <c r="G34" s="228">
        <v>808.49364905389098</v>
      </c>
      <c r="H34" s="228">
        <v>11500</v>
      </c>
      <c r="I34" s="228">
        <v>-591.50635094611005</v>
      </c>
      <c r="J34" s="228">
        <v>0</v>
      </c>
      <c r="K34" s="228">
        <v>1</v>
      </c>
      <c r="L34" s="228">
        <v>1</v>
      </c>
      <c r="O34" s="33" t="s">
        <v>310</v>
      </c>
      <c r="P34" s="33"/>
      <c r="Q34" s="228"/>
      <c r="R34" s="228"/>
      <c r="S34" s="43"/>
      <c r="T34" s="43"/>
      <c r="AG34" s="33" t="s">
        <v>315</v>
      </c>
      <c r="AH34" s="33" t="s">
        <v>70</v>
      </c>
      <c r="AN34" s="231">
        <v>-0.05</v>
      </c>
      <c r="AO34" s="231" t="s">
        <v>239</v>
      </c>
      <c r="AP34" s="231">
        <v>20</v>
      </c>
      <c r="AQ34" s="231">
        <v>1</v>
      </c>
    </row>
    <row r="35" spans="1:43">
      <c r="A35" s="33" t="s">
        <v>316</v>
      </c>
      <c r="B35" s="33" t="s">
        <v>236</v>
      </c>
      <c r="D35" s="228">
        <v>16499.999999998701</v>
      </c>
      <c r="E35" s="228">
        <v>0</v>
      </c>
      <c r="F35" s="228">
        <v>15749.999999998699</v>
      </c>
      <c r="G35" s="228">
        <v>0</v>
      </c>
      <c r="H35" s="228">
        <v>17249.999999998701</v>
      </c>
      <c r="I35" s="228">
        <v>0</v>
      </c>
      <c r="J35" s="228">
        <v>0</v>
      </c>
      <c r="K35" s="228">
        <v>1</v>
      </c>
      <c r="L35" s="228">
        <v>1</v>
      </c>
      <c r="O35" s="33" t="s">
        <v>317</v>
      </c>
      <c r="P35" s="33"/>
      <c r="Q35" s="228"/>
      <c r="R35" s="228"/>
      <c r="S35" s="43"/>
      <c r="T35" s="43"/>
      <c r="AG35" s="33" t="s">
        <v>318</v>
      </c>
      <c r="AH35" s="33" t="s">
        <v>48</v>
      </c>
      <c r="AN35" s="231">
        <v>-0.05</v>
      </c>
      <c r="AO35" s="231" t="s">
        <v>239</v>
      </c>
      <c r="AP35" s="231">
        <v>20</v>
      </c>
      <c r="AQ35" s="231">
        <v>1</v>
      </c>
    </row>
    <row r="36" spans="1:43">
      <c r="A36" s="33" t="s">
        <v>319</v>
      </c>
      <c r="B36" s="33" t="s">
        <v>241</v>
      </c>
      <c r="D36" s="228">
        <v>16499.9999999994</v>
      </c>
      <c r="E36" s="228">
        <v>-4.4695980250253301E-10</v>
      </c>
      <c r="F36" s="228">
        <v>16499.999999998701</v>
      </c>
      <c r="G36" s="228">
        <v>-375.00000000044702</v>
      </c>
      <c r="H36" s="228">
        <v>16500</v>
      </c>
      <c r="I36" s="228">
        <v>374.99999999955298</v>
      </c>
      <c r="J36" s="228">
        <v>0</v>
      </c>
      <c r="K36" s="228">
        <v>1</v>
      </c>
      <c r="L36" s="228">
        <v>1</v>
      </c>
      <c r="O36" s="33" t="s">
        <v>317</v>
      </c>
      <c r="P36" s="33"/>
      <c r="Q36" s="228"/>
      <c r="R36" s="228"/>
      <c r="S36" s="43"/>
      <c r="T36" s="43"/>
      <c r="AG36" s="33" t="s">
        <v>320</v>
      </c>
      <c r="AH36" s="33" t="s">
        <v>53</v>
      </c>
      <c r="AN36" s="231">
        <v>-0.05</v>
      </c>
      <c r="AO36" s="231" t="s">
        <v>239</v>
      </c>
      <c r="AP36" s="231">
        <v>20</v>
      </c>
      <c r="AQ36" s="231">
        <v>1</v>
      </c>
    </row>
    <row r="37" spans="1:43">
      <c r="A37" s="33" t="s">
        <v>321</v>
      </c>
      <c r="B37" s="33" t="s">
        <v>236</v>
      </c>
      <c r="D37" s="228">
        <v>3.9790393202565602E-12</v>
      </c>
      <c r="E37" s="228">
        <v>6708.4936490538903</v>
      </c>
      <c r="F37" s="228">
        <v>-749.99999999999602</v>
      </c>
      <c r="G37" s="228">
        <v>6708.4936490538903</v>
      </c>
      <c r="H37" s="228">
        <v>750.00000000000398</v>
      </c>
      <c r="I37" s="228">
        <v>6708.4936490538903</v>
      </c>
      <c r="J37" s="228">
        <v>0</v>
      </c>
      <c r="K37" s="228">
        <v>1</v>
      </c>
      <c r="L37" s="228">
        <v>1</v>
      </c>
      <c r="O37" s="33" t="s">
        <v>322</v>
      </c>
      <c r="P37" s="33"/>
      <c r="Q37" s="228"/>
      <c r="R37" s="228"/>
      <c r="S37" s="43"/>
      <c r="T37" s="43"/>
      <c r="AG37" s="33" t="s">
        <v>323</v>
      </c>
      <c r="AH37" s="33" t="s">
        <v>40</v>
      </c>
      <c r="AN37" s="231">
        <v>-0.05</v>
      </c>
      <c r="AO37" s="231" t="s">
        <v>239</v>
      </c>
      <c r="AP37" s="231">
        <v>20</v>
      </c>
      <c r="AQ37" s="231">
        <v>1</v>
      </c>
    </row>
    <row r="38" spans="1:43">
      <c r="A38" s="33" t="s">
        <v>324</v>
      </c>
      <c r="B38" s="33" t="s">
        <v>241</v>
      </c>
      <c r="D38" s="228">
        <v>0</v>
      </c>
      <c r="E38" s="228">
        <v>6708.4936490538903</v>
      </c>
      <c r="F38" s="228">
        <v>0</v>
      </c>
      <c r="G38" s="228">
        <v>6008.4936490538903</v>
      </c>
      <c r="H38" s="228">
        <v>0</v>
      </c>
      <c r="I38" s="228">
        <v>7408.4936490538903</v>
      </c>
      <c r="J38" s="228">
        <v>0</v>
      </c>
      <c r="K38" s="228">
        <v>1</v>
      </c>
      <c r="L38" s="228">
        <v>1</v>
      </c>
      <c r="O38" s="33" t="s">
        <v>322</v>
      </c>
      <c r="P38" s="33"/>
      <c r="Q38" s="228"/>
      <c r="R38" s="228"/>
      <c r="S38" s="43"/>
      <c r="T38" s="43"/>
      <c r="AG38" s="33" t="s">
        <v>325</v>
      </c>
      <c r="AH38" s="33" t="s">
        <v>55</v>
      </c>
      <c r="AN38" s="231">
        <v>-0.05</v>
      </c>
      <c r="AO38" s="231" t="s">
        <v>239</v>
      </c>
      <c r="AP38" s="231">
        <v>20</v>
      </c>
      <c r="AQ38" s="231">
        <v>1</v>
      </c>
    </row>
    <row r="39" spans="1:43">
      <c r="A39" s="33" t="s">
        <v>326</v>
      </c>
      <c r="B39" s="33" t="s">
        <v>241</v>
      </c>
      <c r="D39" s="228">
        <v>0</v>
      </c>
      <c r="E39" s="228">
        <v>6708.4936490538903</v>
      </c>
      <c r="F39" s="228">
        <v>0</v>
      </c>
      <c r="G39" s="228">
        <v>7408.4936490538903</v>
      </c>
      <c r="H39" s="228">
        <v>0</v>
      </c>
      <c r="I39" s="228">
        <v>6008.4936490538903</v>
      </c>
      <c r="J39" s="228">
        <v>0</v>
      </c>
      <c r="K39" s="228">
        <v>1</v>
      </c>
      <c r="L39" s="228">
        <v>1</v>
      </c>
      <c r="O39" s="33" t="s">
        <v>322</v>
      </c>
      <c r="P39" s="33"/>
      <c r="Q39" s="228"/>
      <c r="R39" s="228"/>
      <c r="S39" s="43"/>
      <c r="T39" s="43"/>
      <c r="AG39" s="33" t="s">
        <v>327</v>
      </c>
      <c r="AH39" s="33" t="s">
        <v>66</v>
      </c>
      <c r="AN39" s="231">
        <v>-0.05</v>
      </c>
      <c r="AO39" s="231" t="s">
        <v>239</v>
      </c>
      <c r="AP39" s="231">
        <v>20</v>
      </c>
      <c r="AQ39" s="231">
        <v>1</v>
      </c>
    </row>
    <row r="40" spans="1:43">
      <c r="A40" s="33" t="s">
        <v>328</v>
      </c>
      <c r="B40" s="33" t="s">
        <v>236</v>
      </c>
      <c r="D40" s="228">
        <v>4300</v>
      </c>
      <c r="E40" s="228">
        <v>6599.99999999999</v>
      </c>
      <c r="F40" s="228">
        <v>3550</v>
      </c>
      <c r="G40" s="228">
        <v>6599.99999999999</v>
      </c>
      <c r="H40" s="228">
        <v>5050</v>
      </c>
      <c r="I40" s="228">
        <v>6600</v>
      </c>
      <c r="J40" s="228">
        <v>0</v>
      </c>
      <c r="K40" s="228">
        <v>1</v>
      </c>
      <c r="L40" s="228">
        <v>1</v>
      </c>
      <c r="O40" s="33" t="s">
        <v>329</v>
      </c>
      <c r="P40" s="33"/>
      <c r="Q40" s="228"/>
      <c r="R40" s="228"/>
      <c r="S40" s="43"/>
      <c r="T40" s="43"/>
      <c r="AG40" s="33" t="s">
        <v>330</v>
      </c>
      <c r="AH40" s="33" t="s">
        <v>49</v>
      </c>
      <c r="AN40" s="231">
        <v>-0.05</v>
      </c>
      <c r="AO40" s="231" t="s">
        <v>239</v>
      </c>
      <c r="AP40" s="231">
        <v>20</v>
      </c>
      <c r="AQ40" s="231">
        <v>1</v>
      </c>
    </row>
    <row r="41" spans="1:43">
      <c r="A41" s="33" t="s">
        <v>331</v>
      </c>
      <c r="B41" s="33" t="s">
        <v>241</v>
      </c>
      <c r="D41" s="228">
        <v>4300</v>
      </c>
      <c r="E41" s="228">
        <v>6600</v>
      </c>
      <c r="F41" s="228">
        <v>4300</v>
      </c>
      <c r="G41" s="228">
        <v>5850</v>
      </c>
      <c r="H41" s="228">
        <v>4300</v>
      </c>
      <c r="I41" s="228">
        <v>7350</v>
      </c>
      <c r="J41" s="228">
        <v>0</v>
      </c>
      <c r="K41" s="228">
        <v>1</v>
      </c>
      <c r="L41" s="228">
        <v>1</v>
      </c>
      <c r="O41" s="33" t="s">
        <v>329</v>
      </c>
      <c r="P41" s="33"/>
      <c r="Q41" s="228"/>
      <c r="R41" s="228"/>
      <c r="S41" s="43"/>
      <c r="T41" s="43"/>
      <c r="AG41" s="33" t="s">
        <v>332</v>
      </c>
      <c r="AH41" s="33" t="s">
        <v>73</v>
      </c>
      <c r="AN41" s="231">
        <v>-0.05</v>
      </c>
      <c r="AO41" s="231" t="s">
        <v>239</v>
      </c>
      <c r="AP41" s="231">
        <v>20</v>
      </c>
      <c r="AQ41" s="231">
        <v>1</v>
      </c>
    </row>
    <row r="42" spans="1:43">
      <c r="A42" s="33" t="s">
        <v>333</v>
      </c>
      <c r="B42" s="33" t="s">
        <v>236</v>
      </c>
      <c r="D42" s="228">
        <v>6400</v>
      </c>
      <c r="E42" s="228">
        <v>6600</v>
      </c>
      <c r="F42" s="228">
        <v>5650</v>
      </c>
      <c r="G42" s="228">
        <v>6600</v>
      </c>
      <c r="H42" s="228">
        <v>7150</v>
      </c>
      <c r="I42" s="228">
        <v>6600</v>
      </c>
      <c r="J42" s="228">
        <v>0</v>
      </c>
      <c r="K42" s="228">
        <v>1</v>
      </c>
      <c r="L42" s="228">
        <v>1</v>
      </c>
      <c r="O42" s="33" t="s">
        <v>334</v>
      </c>
      <c r="P42" s="33"/>
      <c r="Q42" s="228"/>
      <c r="R42" s="228"/>
      <c r="S42" s="43"/>
      <c r="T42" s="43"/>
      <c r="AG42" s="33" t="s">
        <v>335</v>
      </c>
      <c r="AH42" s="33" t="s">
        <v>50</v>
      </c>
      <c r="AN42" s="231">
        <v>-0.05</v>
      </c>
      <c r="AO42" s="231" t="s">
        <v>239</v>
      </c>
      <c r="AP42" s="231">
        <v>20</v>
      </c>
      <c r="AQ42" s="231">
        <v>1</v>
      </c>
    </row>
    <row r="43" spans="1:43">
      <c r="A43" s="33" t="s">
        <v>336</v>
      </c>
      <c r="B43" s="33" t="s">
        <v>241</v>
      </c>
      <c r="D43" s="228">
        <v>6400</v>
      </c>
      <c r="E43" s="228">
        <v>6600</v>
      </c>
      <c r="F43" s="228">
        <v>6400</v>
      </c>
      <c r="G43" s="228">
        <v>5850</v>
      </c>
      <c r="H43" s="228">
        <v>6400</v>
      </c>
      <c r="I43" s="228">
        <v>7350</v>
      </c>
      <c r="J43" s="228">
        <v>0</v>
      </c>
      <c r="K43" s="228">
        <v>1</v>
      </c>
      <c r="L43" s="228">
        <v>1</v>
      </c>
      <c r="O43" s="33" t="s">
        <v>334</v>
      </c>
      <c r="P43" s="33"/>
      <c r="Q43" s="228"/>
      <c r="R43" s="228"/>
      <c r="S43" s="43"/>
      <c r="T43" s="43"/>
      <c r="AG43" s="33" t="s">
        <v>337</v>
      </c>
      <c r="AH43" s="33" t="s">
        <v>74</v>
      </c>
      <c r="AN43" s="231">
        <v>-0.05</v>
      </c>
      <c r="AO43" s="231" t="s">
        <v>239</v>
      </c>
      <c r="AP43" s="231">
        <v>20</v>
      </c>
      <c r="AQ43" s="231">
        <v>1</v>
      </c>
    </row>
    <row r="44" spans="1:43">
      <c r="A44" s="33" t="s">
        <v>338</v>
      </c>
      <c r="B44" s="33" t="s">
        <v>236</v>
      </c>
      <c r="D44" s="228">
        <v>11500</v>
      </c>
      <c r="E44" s="228">
        <v>6600</v>
      </c>
      <c r="F44" s="228">
        <v>10750</v>
      </c>
      <c r="G44" s="228">
        <v>6600</v>
      </c>
      <c r="H44" s="228">
        <v>12250</v>
      </c>
      <c r="I44" s="228">
        <v>6600</v>
      </c>
      <c r="J44" s="228">
        <v>0</v>
      </c>
      <c r="K44" s="228">
        <v>1</v>
      </c>
      <c r="L44" s="228">
        <v>1</v>
      </c>
      <c r="O44" s="33" t="s">
        <v>339</v>
      </c>
      <c r="P44" s="33"/>
      <c r="Q44" s="228"/>
      <c r="R44" s="228"/>
      <c r="S44" s="43"/>
      <c r="T44" s="43"/>
      <c r="AG44" s="33" t="s">
        <v>340</v>
      </c>
      <c r="AH44" s="33" t="s">
        <v>51</v>
      </c>
      <c r="AN44" s="231">
        <v>-0.05</v>
      </c>
      <c r="AO44" s="231" t="s">
        <v>239</v>
      </c>
      <c r="AP44" s="231">
        <v>20</v>
      </c>
      <c r="AQ44" s="231">
        <v>1</v>
      </c>
    </row>
    <row r="45" spans="1:43">
      <c r="A45" s="33" t="s">
        <v>341</v>
      </c>
      <c r="B45" s="33" t="s">
        <v>241</v>
      </c>
      <c r="D45" s="228">
        <v>11500</v>
      </c>
      <c r="E45" s="228">
        <v>6600</v>
      </c>
      <c r="F45" s="228">
        <v>11500</v>
      </c>
      <c r="G45" s="228">
        <v>5850</v>
      </c>
      <c r="H45" s="228">
        <v>11500</v>
      </c>
      <c r="I45" s="228">
        <v>7350</v>
      </c>
      <c r="J45" s="228">
        <v>0</v>
      </c>
      <c r="K45" s="228">
        <v>1</v>
      </c>
      <c r="L45" s="228">
        <v>1</v>
      </c>
      <c r="O45" s="33" t="s">
        <v>339</v>
      </c>
      <c r="P45" s="33"/>
      <c r="Q45" s="228"/>
      <c r="R45" s="228"/>
      <c r="S45" s="43"/>
      <c r="T45" s="43"/>
      <c r="AG45" s="33" t="s">
        <v>342</v>
      </c>
      <c r="AH45" s="33" t="s">
        <v>75</v>
      </c>
      <c r="AN45" s="231">
        <v>-0.05</v>
      </c>
      <c r="AO45" s="231" t="s">
        <v>239</v>
      </c>
      <c r="AP45" s="231">
        <v>20</v>
      </c>
      <c r="AQ45" s="231">
        <v>1</v>
      </c>
    </row>
    <row r="46" spans="1:43">
      <c r="P46" s="33"/>
      <c r="Q46" s="228"/>
      <c r="R46" s="228"/>
      <c r="S46" s="43"/>
      <c r="T46" s="43"/>
    </row>
    <row r="47" spans="1:43">
      <c r="P47" s="33"/>
      <c r="Q47" s="228"/>
      <c r="R47" s="228"/>
      <c r="S47" s="43"/>
      <c r="T47" s="43"/>
    </row>
    <row r="48" spans="1:43">
      <c r="P48" s="33"/>
      <c r="Q48" s="228"/>
      <c r="R48" s="228"/>
      <c r="S48" s="43"/>
      <c r="T48" s="43"/>
    </row>
    <row r="49" spans="16:20">
      <c r="P49" s="33"/>
      <c r="Q49" s="228"/>
      <c r="R49" s="228"/>
      <c r="S49" s="43"/>
      <c r="T49" s="43"/>
    </row>
    <row r="50" spans="16:20">
      <c r="P50" s="33"/>
      <c r="Q50" s="228"/>
      <c r="R50" s="228"/>
      <c r="S50" s="43"/>
      <c r="T50" s="43"/>
    </row>
    <row r="51" spans="16:20">
      <c r="P51" s="33"/>
      <c r="Q51" s="228"/>
      <c r="R51" s="228"/>
      <c r="S51" s="43"/>
      <c r="T51" s="43"/>
    </row>
    <row r="52" spans="16:20">
      <c r="P52" s="33"/>
      <c r="Q52" s="228"/>
      <c r="R52" s="228"/>
      <c r="S52" s="43"/>
      <c r="T52" s="43"/>
    </row>
    <row r="53" spans="16:20">
      <c r="P53" s="33"/>
      <c r="Q53" s="228"/>
      <c r="R53" s="228"/>
      <c r="S53" s="43"/>
      <c r="T53" s="43"/>
    </row>
    <row r="54" spans="16:20">
      <c r="P54" s="33"/>
      <c r="Q54" s="228"/>
      <c r="R54" s="228"/>
      <c r="S54" s="43"/>
      <c r="T54" s="43"/>
    </row>
    <row r="55" spans="16:20">
      <c r="P55" s="33"/>
      <c r="Q55" s="228"/>
      <c r="R55" s="228"/>
      <c r="S55" s="43"/>
      <c r="T55" s="43"/>
    </row>
    <row r="56" spans="16:20">
      <c r="P56" s="33"/>
      <c r="Q56" s="228"/>
      <c r="R56" s="228"/>
      <c r="S56" s="43"/>
      <c r="T56" s="43"/>
    </row>
    <row r="57" spans="16:20">
      <c r="P57" s="33"/>
      <c r="Q57" s="228"/>
      <c r="R57" s="228"/>
      <c r="S57" s="43"/>
      <c r="T57" s="43"/>
    </row>
    <row r="58" spans="16:20">
      <c r="P58" s="33"/>
      <c r="Q58" s="228"/>
      <c r="R58" s="228"/>
      <c r="S58" s="43"/>
      <c r="T58" s="43"/>
    </row>
    <row r="59" spans="16:20">
      <c r="P59" s="33"/>
      <c r="Q59" s="228"/>
      <c r="R59" s="228"/>
      <c r="S59" s="43"/>
      <c r="T59" s="43"/>
    </row>
    <row r="60" spans="16:20">
      <c r="P60" s="33"/>
      <c r="Q60" s="228"/>
      <c r="R60" s="228"/>
      <c r="S60" s="43"/>
      <c r="T60" s="43"/>
    </row>
    <row r="61" spans="16:20">
      <c r="P61" s="33"/>
      <c r="Q61" s="228"/>
      <c r="R61" s="228"/>
      <c r="S61" s="43"/>
      <c r="T61" s="43"/>
    </row>
    <row r="62" spans="16:20">
      <c r="P62" s="33"/>
      <c r="Q62" s="228"/>
      <c r="R62" s="228"/>
      <c r="S62" s="43"/>
      <c r="T62" s="43"/>
    </row>
    <row r="63" spans="16:20">
      <c r="P63" s="33"/>
      <c r="Q63" s="228"/>
      <c r="R63" s="228"/>
      <c r="S63" s="43"/>
      <c r="T63" s="43"/>
    </row>
    <row r="64" spans="16:20">
      <c r="P64" s="33"/>
      <c r="Q64" s="228"/>
      <c r="R64" s="228"/>
      <c r="S64" s="43"/>
      <c r="T64" s="43"/>
    </row>
    <row r="65" spans="16:20">
      <c r="P65" s="33"/>
      <c r="Q65" s="228"/>
      <c r="R65" s="228"/>
      <c r="S65" s="43"/>
      <c r="T65" s="43"/>
    </row>
    <row r="66" spans="16:20">
      <c r="P66" s="33"/>
      <c r="Q66" s="228"/>
      <c r="R66" s="228"/>
      <c r="S66" s="43"/>
      <c r="T66" s="43"/>
    </row>
    <row r="67" spans="16:20">
      <c r="P67" s="33"/>
      <c r="Q67" s="228"/>
      <c r="R67" s="228"/>
      <c r="S67" s="43"/>
      <c r="T67" s="43"/>
    </row>
    <row r="68" spans="16:20">
      <c r="P68" s="33"/>
      <c r="Q68" s="228"/>
      <c r="R68" s="228"/>
      <c r="S68" s="43"/>
      <c r="T68" s="43"/>
    </row>
    <row r="69" spans="16:20">
      <c r="P69" s="33"/>
      <c r="Q69" s="228"/>
      <c r="R69" s="228"/>
      <c r="S69" s="43"/>
      <c r="T69" s="43"/>
    </row>
    <row r="70" spans="16:20">
      <c r="P70" s="33"/>
      <c r="Q70" s="228"/>
      <c r="R70" s="228"/>
      <c r="S70" s="43"/>
      <c r="T70" s="43"/>
    </row>
    <row r="71" spans="16:20">
      <c r="P71" s="33"/>
      <c r="Q71" s="228"/>
      <c r="R71" s="228"/>
      <c r="S71" s="43"/>
      <c r="T71" s="43"/>
    </row>
    <row r="72" spans="16:20">
      <c r="P72" s="33"/>
      <c r="Q72" s="228"/>
      <c r="R72" s="228"/>
      <c r="S72" s="43"/>
      <c r="T72" s="43"/>
    </row>
    <row r="73" spans="16:20">
      <c r="P73" s="33"/>
      <c r="Q73" s="228"/>
      <c r="R73" s="228"/>
      <c r="S73" s="43"/>
      <c r="T73" s="43"/>
    </row>
    <row r="74" spans="16:20">
      <c r="P74" s="33"/>
      <c r="Q74" s="228"/>
      <c r="R74" s="228"/>
      <c r="S74" s="43"/>
      <c r="T74" s="43"/>
    </row>
    <row r="75" spans="16:20">
      <c r="P75" s="33"/>
      <c r="Q75" s="228"/>
      <c r="R75" s="228"/>
      <c r="S75" s="43"/>
      <c r="T75" s="43"/>
    </row>
    <row r="76" spans="16:20">
      <c r="P76" s="33"/>
      <c r="Q76" s="228"/>
      <c r="R76" s="228"/>
      <c r="S76" s="43"/>
      <c r="T76" s="43"/>
    </row>
    <row r="77" spans="16:20">
      <c r="P77" s="33"/>
      <c r="Q77" s="228"/>
      <c r="R77" s="228"/>
      <c r="S77" s="43"/>
      <c r="T77" s="43"/>
    </row>
    <row r="78" spans="16:20">
      <c r="P78" s="33"/>
      <c r="Q78" s="228"/>
      <c r="R78" s="228"/>
      <c r="S78" s="43"/>
      <c r="T78" s="43"/>
    </row>
    <row r="79" spans="16:20">
      <c r="P79" s="33"/>
      <c r="Q79" s="228"/>
      <c r="R79" s="228"/>
      <c r="S79" s="43"/>
      <c r="T79" s="43"/>
    </row>
    <row r="80" spans="16:20">
      <c r="P80" s="33"/>
      <c r="Q80" s="228"/>
      <c r="R80" s="228"/>
      <c r="S80" s="43"/>
      <c r="T80" s="43"/>
    </row>
    <row r="81" spans="16:20">
      <c r="P81" s="33"/>
      <c r="Q81" s="228"/>
      <c r="R81" s="228"/>
      <c r="S81" s="43"/>
      <c r="T81" s="43"/>
    </row>
    <row r="82" spans="16:20">
      <c r="P82" s="33"/>
      <c r="Q82" s="228"/>
      <c r="R82" s="228"/>
      <c r="S82" s="43"/>
      <c r="T82" s="43"/>
    </row>
    <row r="83" spans="16:20">
      <c r="P83" s="33"/>
      <c r="Q83" s="228"/>
      <c r="R83" s="228"/>
      <c r="S83" s="43"/>
      <c r="T83" s="43"/>
    </row>
    <row r="84" spans="16:20">
      <c r="P84" s="33"/>
      <c r="Q84" s="228"/>
      <c r="R84" s="228"/>
      <c r="S84" s="43"/>
      <c r="T84" s="43"/>
    </row>
    <row r="85" spans="16:20">
      <c r="P85" s="33"/>
      <c r="Q85" s="228"/>
      <c r="R85" s="228"/>
      <c r="S85" s="43"/>
      <c r="T85" s="43"/>
    </row>
    <row r="86" spans="16:20">
      <c r="P86" s="33"/>
      <c r="Q86" s="228"/>
      <c r="R86" s="228"/>
      <c r="S86" s="43"/>
      <c r="T86" s="43"/>
    </row>
    <row r="87" spans="16:20">
      <c r="P87" s="33"/>
      <c r="Q87" s="228"/>
      <c r="R87" s="228"/>
      <c r="S87" s="43"/>
      <c r="T87" s="43"/>
    </row>
    <row r="88" spans="16:20">
      <c r="P88" s="33"/>
      <c r="Q88" s="228"/>
      <c r="R88" s="228"/>
      <c r="S88" s="43"/>
      <c r="T88" s="43"/>
    </row>
    <row r="89" spans="16:20">
      <c r="P89" s="33"/>
      <c r="Q89" s="228"/>
      <c r="R89" s="228"/>
      <c r="S89" s="43"/>
      <c r="T89" s="43"/>
    </row>
    <row r="90" spans="16:20">
      <c r="P90" s="33"/>
      <c r="Q90" s="228"/>
      <c r="R90" s="228"/>
      <c r="S90" s="43"/>
      <c r="T90" s="43"/>
    </row>
    <row r="91" spans="16:20">
      <c r="P91" s="33"/>
      <c r="Q91" s="228"/>
      <c r="R91" s="228"/>
      <c r="S91" s="43"/>
      <c r="T91" s="43"/>
    </row>
    <row r="92" spans="16:20">
      <c r="P92" s="33"/>
      <c r="Q92" s="228"/>
      <c r="R92" s="228"/>
      <c r="S92" s="43"/>
      <c r="T92" s="43"/>
    </row>
    <row r="93" spans="16:20">
      <c r="P93" s="33"/>
      <c r="Q93" s="228"/>
      <c r="R93" s="228"/>
      <c r="S93" s="43"/>
      <c r="T93" s="43"/>
    </row>
    <row r="94" spans="16:20">
      <c r="P94" s="33"/>
      <c r="Q94" s="228"/>
      <c r="R94" s="228"/>
      <c r="S94" s="43"/>
      <c r="T94" s="43"/>
    </row>
    <row r="95" spans="16:20">
      <c r="P95" s="33"/>
      <c r="Q95" s="228"/>
      <c r="R95" s="228"/>
      <c r="S95" s="43"/>
      <c r="T95" s="43"/>
    </row>
    <row r="96" spans="16:20">
      <c r="P96" s="33"/>
      <c r="Q96" s="228"/>
      <c r="R96" s="228"/>
      <c r="S96" s="43"/>
      <c r="T96" s="43"/>
    </row>
    <row r="97" spans="16:20">
      <c r="P97" s="33"/>
      <c r="Q97" s="228"/>
      <c r="R97" s="228"/>
      <c r="S97" s="43"/>
      <c r="T97" s="43"/>
    </row>
    <row r="98" spans="16:20">
      <c r="P98" s="33"/>
      <c r="Q98" s="228"/>
      <c r="R98" s="228"/>
      <c r="S98" s="43"/>
      <c r="T98" s="43"/>
    </row>
    <row r="99" spans="16:20">
      <c r="P99" s="33"/>
      <c r="Q99" s="228"/>
      <c r="R99" s="228"/>
      <c r="S99" s="43"/>
      <c r="T99" s="43"/>
    </row>
    <row r="100" spans="16:20">
      <c r="P100" s="33"/>
      <c r="Q100" s="228"/>
      <c r="R100" s="228"/>
      <c r="S100" s="43"/>
      <c r="T100" s="43"/>
    </row>
    <row r="101" spans="16:20">
      <c r="P101" s="33"/>
      <c r="Q101" s="228"/>
      <c r="R101" s="228"/>
      <c r="S101" s="43"/>
      <c r="T101" s="43"/>
    </row>
    <row r="102" spans="16:20">
      <c r="P102" s="33"/>
      <c r="Q102" s="228"/>
      <c r="R102" s="228"/>
      <c r="S102" s="43"/>
      <c r="T102" s="43"/>
    </row>
    <row r="103" spans="16:20">
      <c r="P103" s="33"/>
      <c r="Q103" s="228"/>
      <c r="R103" s="228"/>
      <c r="S103" s="43"/>
      <c r="T103" s="43"/>
    </row>
    <row r="104" spans="16:20">
      <c r="P104" s="33"/>
      <c r="Q104" s="228"/>
      <c r="R104" s="228"/>
      <c r="S104" s="43"/>
      <c r="T104" s="43"/>
    </row>
    <row r="105" spans="16:20">
      <c r="P105" s="33"/>
      <c r="Q105" s="228"/>
      <c r="R105" s="228"/>
      <c r="S105" s="43"/>
      <c r="T105" s="43"/>
    </row>
    <row r="106" spans="16:20">
      <c r="P106" s="33"/>
      <c r="Q106" s="228"/>
      <c r="R106" s="228"/>
      <c r="S106" s="43"/>
      <c r="T106" s="43"/>
    </row>
    <row r="107" spans="16:20">
      <c r="P107" s="33"/>
      <c r="Q107" s="228"/>
      <c r="R107" s="228"/>
      <c r="S107" s="43"/>
      <c r="T107" s="43"/>
    </row>
    <row r="108" spans="16:20">
      <c r="P108" s="33"/>
      <c r="Q108" s="228"/>
      <c r="R108" s="228"/>
      <c r="S108" s="43"/>
      <c r="T108" s="43"/>
    </row>
    <row r="109" spans="16:20">
      <c r="P109" s="33"/>
      <c r="Q109" s="228"/>
      <c r="R109" s="228"/>
      <c r="S109" s="43"/>
      <c r="T109" s="43"/>
    </row>
    <row r="110" spans="16:20">
      <c r="P110" s="33"/>
      <c r="Q110" s="228"/>
      <c r="R110" s="228"/>
      <c r="S110" s="43"/>
      <c r="T110" s="43"/>
    </row>
    <row r="111" spans="16:20">
      <c r="P111" s="33"/>
      <c r="Q111" s="228"/>
      <c r="R111" s="228"/>
      <c r="S111" s="43"/>
      <c r="T111" s="43"/>
    </row>
    <row r="112" spans="16:20">
      <c r="P112" s="33"/>
      <c r="Q112" s="228"/>
      <c r="R112" s="228"/>
      <c r="S112" s="43"/>
      <c r="T112" s="43"/>
    </row>
    <row r="113" spans="16:20">
      <c r="P113" s="33"/>
      <c r="Q113" s="228"/>
      <c r="R113" s="228"/>
      <c r="S113" s="43"/>
      <c r="T113" s="43"/>
    </row>
    <row r="114" spans="16:20">
      <c r="P114" s="33"/>
      <c r="Q114" s="228"/>
      <c r="R114" s="228"/>
      <c r="S114" s="43"/>
      <c r="T114" s="43"/>
    </row>
    <row r="115" spans="16:20">
      <c r="P115" s="33"/>
      <c r="Q115" s="228"/>
      <c r="R115" s="228"/>
      <c r="S115" s="43"/>
      <c r="T115" s="43"/>
    </row>
    <row r="116" spans="16:20">
      <c r="P116" s="33"/>
      <c r="Q116" s="228"/>
      <c r="R116" s="228"/>
      <c r="S116" s="43"/>
      <c r="T116" s="43"/>
    </row>
    <row r="117" spans="16:20">
      <c r="P117" s="33"/>
      <c r="Q117" s="228"/>
      <c r="R117" s="228"/>
      <c r="S117" s="43"/>
      <c r="T117" s="43"/>
    </row>
    <row r="118" spans="16:20">
      <c r="P118" s="33"/>
      <c r="Q118" s="228"/>
      <c r="R118" s="228"/>
      <c r="S118" s="43"/>
      <c r="T118" s="43"/>
    </row>
    <row r="119" spans="16:20">
      <c r="P119" s="33"/>
      <c r="Q119" s="228"/>
      <c r="R119" s="228"/>
      <c r="S119" s="43"/>
      <c r="T119" s="43"/>
    </row>
    <row r="120" spans="16:20">
      <c r="P120" s="33"/>
      <c r="Q120" s="228"/>
      <c r="R120" s="228"/>
      <c r="S120" s="43"/>
      <c r="T120" s="43"/>
    </row>
    <row r="121" spans="16:20">
      <c r="P121" s="33"/>
      <c r="Q121" s="228"/>
      <c r="R121" s="228"/>
      <c r="S121" s="43"/>
      <c r="T121" s="43"/>
    </row>
    <row r="122" spans="16:20">
      <c r="P122" s="33"/>
      <c r="Q122" s="228"/>
      <c r="R122" s="228"/>
      <c r="S122" s="43"/>
      <c r="T122" s="43"/>
    </row>
    <row r="123" spans="16:20">
      <c r="P123" s="33"/>
      <c r="Q123" s="228"/>
      <c r="R123" s="228"/>
      <c r="S123" s="43"/>
      <c r="T123" s="43"/>
    </row>
    <row r="124" spans="16:20">
      <c r="P124" s="33"/>
      <c r="Q124" s="228"/>
      <c r="R124" s="228"/>
      <c r="S124" s="43"/>
      <c r="T124" s="43"/>
    </row>
    <row r="125" spans="16:20">
      <c r="P125" s="33"/>
      <c r="Q125" s="228"/>
      <c r="R125" s="228"/>
      <c r="S125" s="43"/>
      <c r="T125" s="43"/>
    </row>
    <row r="126" spans="16:20">
      <c r="P126" s="33"/>
      <c r="Q126" s="228"/>
      <c r="R126" s="228"/>
      <c r="S126" s="43"/>
      <c r="T126" s="43"/>
    </row>
    <row r="127" spans="16:20">
      <c r="P127" s="33"/>
      <c r="Q127" s="228"/>
      <c r="R127" s="228"/>
      <c r="S127" s="43"/>
      <c r="T127" s="43"/>
    </row>
    <row r="128" spans="16:20">
      <c r="P128" s="33"/>
      <c r="Q128" s="228"/>
      <c r="R128" s="228"/>
      <c r="S128" s="43"/>
      <c r="T128" s="43"/>
    </row>
    <row r="129" spans="16:20">
      <c r="P129" s="33"/>
      <c r="Q129" s="228"/>
      <c r="R129" s="228"/>
      <c r="S129" s="43"/>
      <c r="T129" s="43"/>
    </row>
    <row r="130" spans="16:20">
      <c r="P130" s="33"/>
      <c r="Q130" s="228"/>
      <c r="R130" s="228"/>
      <c r="S130" s="43"/>
      <c r="T130" s="43"/>
    </row>
    <row r="131" spans="16:20">
      <c r="P131" s="33"/>
      <c r="Q131" s="228"/>
      <c r="R131" s="228"/>
      <c r="S131" s="43"/>
      <c r="T131" s="43"/>
    </row>
    <row r="132" spans="16:20">
      <c r="P132" s="33"/>
      <c r="Q132" s="228"/>
      <c r="R132" s="228"/>
      <c r="S132" s="43"/>
      <c r="T132" s="43"/>
    </row>
    <row r="133" spans="16:20">
      <c r="P133" s="33"/>
      <c r="Q133" s="228"/>
      <c r="R133" s="228"/>
      <c r="S133" s="43"/>
      <c r="T133" s="43"/>
    </row>
    <row r="134" spans="16:20">
      <c r="P134" s="33"/>
      <c r="Q134" s="228"/>
      <c r="R134" s="228"/>
      <c r="S134" s="43"/>
      <c r="T134" s="43"/>
    </row>
    <row r="135" spans="16:20">
      <c r="P135" s="33"/>
      <c r="Q135" s="228"/>
      <c r="R135" s="228"/>
      <c r="S135" s="43"/>
      <c r="T135" s="43"/>
    </row>
    <row r="136" spans="16:20">
      <c r="P136" s="33"/>
      <c r="Q136" s="228"/>
      <c r="R136" s="228"/>
      <c r="S136" s="43"/>
      <c r="T136" s="43"/>
    </row>
    <row r="137" spans="16:20">
      <c r="P137" s="33"/>
      <c r="Q137" s="228"/>
      <c r="R137" s="228"/>
      <c r="S137" s="43"/>
      <c r="T137" s="43"/>
    </row>
    <row r="138" spans="16:20">
      <c r="P138" s="33"/>
      <c r="Q138" s="228"/>
      <c r="R138" s="228"/>
      <c r="S138" s="43"/>
      <c r="T138" s="43"/>
    </row>
    <row r="139" spans="16:20">
      <c r="P139" s="33"/>
      <c r="Q139" s="228"/>
      <c r="R139" s="228"/>
      <c r="S139" s="43"/>
      <c r="T139" s="43"/>
    </row>
    <row r="140" spans="16:20">
      <c r="P140" s="33"/>
      <c r="Q140" s="228"/>
      <c r="R140" s="228"/>
      <c r="S140" s="43"/>
      <c r="T140" s="43"/>
    </row>
    <row r="141" spans="16:20">
      <c r="P141" s="33"/>
      <c r="Q141" s="228"/>
      <c r="R141" s="228"/>
      <c r="S141" s="43"/>
      <c r="T141" s="43"/>
    </row>
    <row r="142" spans="16:20">
      <c r="P142" s="33"/>
      <c r="Q142" s="228"/>
      <c r="R142" s="228"/>
      <c r="S142" s="43"/>
      <c r="T142" s="43"/>
    </row>
    <row r="143" spans="16:20">
      <c r="P143" s="33"/>
      <c r="Q143" s="228"/>
      <c r="R143" s="228"/>
      <c r="S143" s="43"/>
      <c r="T143" s="43"/>
    </row>
    <row r="144" spans="16:20">
      <c r="P144" s="33"/>
      <c r="Q144" s="228"/>
      <c r="R144" s="228"/>
      <c r="S144" s="43"/>
      <c r="T144" s="43"/>
    </row>
    <row r="145" spans="16:20">
      <c r="P145" s="33"/>
      <c r="Q145" s="228"/>
      <c r="R145" s="228"/>
      <c r="S145" s="43"/>
      <c r="T145" s="43"/>
    </row>
    <row r="146" spans="16:20">
      <c r="P146" s="33"/>
      <c r="Q146" s="228"/>
      <c r="R146" s="228"/>
      <c r="S146" s="43"/>
      <c r="T146" s="43"/>
    </row>
    <row r="147" spans="16:20">
      <c r="P147" s="33"/>
      <c r="Q147" s="228"/>
      <c r="R147" s="228"/>
      <c r="S147" s="43"/>
      <c r="T147" s="43"/>
    </row>
    <row r="148" spans="16:20">
      <c r="P148" s="33"/>
      <c r="Q148" s="228"/>
      <c r="R148" s="228"/>
      <c r="S148" s="43"/>
      <c r="T148" s="43"/>
    </row>
    <row r="149" spans="16:20">
      <c r="P149" s="33"/>
      <c r="Q149" s="228"/>
      <c r="R149" s="228"/>
      <c r="S149" s="43"/>
      <c r="T149" s="43"/>
    </row>
    <row r="150" spans="16:20">
      <c r="P150" s="33"/>
      <c r="Q150" s="228"/>
      <c r="R150" s="228"/>
      <c r="S150" s="43"/>
      <c r="T150" s="43"/>
    </row>
    <row r="151" spans="16:20">
      <c r="P151" s="33"/>
      <c r="Q151" s="228"/>
      <c r="R151" s="228"/>
      <c r="S151" s="43"/>
      <c r="T151" s="43"/>
    </row>
    <row r="152" spans="16:20">
      <c r="P152" s="33"/>
      <c r="Q152" s="228"/>
      <c r="R152" s="228"/>
      <c r="S152" s="43"/>
      <c r="T152" s="43"/>
    </row>
    <row r="153" spans="16:20">
      <c r="P153" s="33"/>
      <c r="Q153" s="228"/>
      <c r="R153" s="228"/>
      <c r="S153" s="43"/>
      <c r="T153" s="43"/>
    </row>
    <row r="154" spans="16:20">
      <c r="P154" s="33"/>
      <c r="Q154" s="228"/>
      <c r="R154" s="228"/>
      <c r="S154" s="43"/>
      <c r="T154" s="43"/>
    </row>
    <row r="155" spans="16:20">
      <c r="P155" s="33"/>
      <c r="Q155" s="228"/>
      <c r="R155" s="228"/>
      <c r="S155" s="43"/>
      <c r="T155" s="43"/>
    </row>
    <row r="156" spans="16:20">
      <c r="P156" s="33"/>
      <c r="Q156" s="228"/>
      <c r="R156" s="228"/>
      <c r="S156" s="43"/>
      <c r="T156" s="43"/>
    </row>
    <row r="157" spans="16:20">
      <c r="P157" s="33"/>
      <c r="Q157" s="228"/>
      <c r="R157" s="228"/>
      <c r="S157" s="43"/>
      <c r="T157" s="43"/>
    </row>
    <row r="158" spans="16:20">
      <c r="P158" s="33"/>
      <c r="Q158" s="228"/>
      <c r="R158" s="228"/>
      <c r="S158" s="43"/>
      <c r="T158" s="43"/>
    </row>
    <row r="159" spans="16:20">
      <c r="P159" s="33"/>
      <c r="Q159" s="228"/>
      <c r="R159" s="228"/>
      <c r="S159" s="43"/>
      <c r="T159" s="43"/>
    </row>
    <row r="160" spans="16:20">
      <c r="P160" s="33"/>
      <c r="Q160" s="228"/>
      <c r="R160" s="228"/>
      <c r="S160" s="43"/>
      <c r="T160" s="43"/>
    </row>
    <row r="161" spans="16:20">
      <c r="P161" s="33"/>
      <c r="Q161" s="228"/>
      <c r="R161" s="228"/>
      <c r="S161" s="43"/>
      <c r="T161" s="43"/>
    </row>
    <row r="162" spans="16:20">
      <c r="P162" s="33"/>
      <c r="Q162" s="228"/>
      <c r="R162" s="228"/>
      <c r="S162" s="43"/>
      <c r="T162" s="43"/>
    </row>
    <row r="163" spans="16:20">
      <c r="P163" s="33"/>
      <c r="Q163" s="228"/>
      <c r="R163" s="228"/>
      <c r="S163" s="43"/>
      <c r="T163" s="43"/>
    </row>
    <row r="164" spans="16:20">
      <c r="P164" s="33"/>
      <c r="Q164" s="228"/>
      <c r="R164" s="228"/>
      <c r="S164" s="43"/>
      <c r="T164" s="43"/>
    </row>
    <row r="165" spans="16:20">
      <c r="P165" s="33"/>
      <c r="Q165" s="228"/>
      <c r="R165" s="228"/>
      <c r="S165" s="43"/>
      <c r="T165" s="43"/>
    </row>
    <row r="166" spans="16:20">
      <c r="P166" s="33"/>
      <c r="Q166" s="228"/>
      <c r="R166" s="228"/>
      <c r="S166" s="43"/>
      <c r="T166" s="43"/>
    </row>
    <row r="167" spans="16:20">
      <c r="P167" s="33"/>
      <c r="Q167" s="228"/>
      <c r="R167" s="228"/>
      <c r="S167" s="43"/>
      <c r="T167" s="43"/>
    </row>
    <row r="168" spans="16:20">
      <c r="P168" s="33"/>
      <c r="Q168" s="228"/>
      <c r="R168" s="228"/>
      <c r="S168" s="43"/>
      <c r="T168" s="43"/>
    </row>
    <row r="169" spans="16:20">
      <c r="P169" s="33"/>
      <c r="Q169" s="228"/>
      <c r="R169" s="228"/>
      <c r="S169" s="43"/>
      <c r="T169" s="43"/>
    </row>
    <row r="170" spans="16:20">
      <c r="P170" s="33"/>
      <c r="Q170" s="228"/>
      <c r="R170" s="228"/>
      <c r="S170" s="43"/>
      <c r="T170" s="43"/>
    </row>
    <row r="171" spans="16:20">
      <c r="P171" s="33"/>
      <c r="Q171" s="228"/>
      <c r="R171" s="228"/>
      <c r="S171" s="43"/>
      <c r="T171" s="43"/>
    </row>
    <row r="172" spans="16:20">
      <c r="P172" s="33"/>
      <c r="Q172" s="228"/>
      <c r="R172" s="228"/>
      <c r="S172" s="43"/>
      <c r="T172" s="43"/>
    </row>
    <row r="173" spans="16:20">
      <c r="P173" s="33"/>
      <c r="Q173" s="228"/>
      <c r="R173" s="228"/>
      <c r="S173" s="43"/>
      <c r="T173" s="43"/>
    </row>
    <row r="174" spans="16:20">
      <c r="P174" s="33"/>
      <c r="Q174" s="228"/>
      <c r="R174" s="228"/>
      <c r="S174" s="43"/>
      <c r="T174" s="43"/>
    </row>
    <row r="175" spans="16:20">
      <c r="P175" s="33"/>
      <c r="Q175" s="228"/>
      <c r="R175" s="228"/>
      <c r="S175" s="43"/>
      <c r="T175" s="43"/>
    </row>
    <row r="176" spans="16:20">
      <c r="P176" s="33"/>
      <c r="Q176" s="228"/>
      <c r="R176" s="228"/>
      <c r="S176" s="43"/>
      <c r="T176" s="43"/>
    </row>
    <row r="177" spans="16:20">
      <c r="P177" s="33"/>
      <c r="Q177" s="228"/>
      <c r="R177" s="228"/>
      <c r="S177" s="43"/>
      <c r="T177" s="43"/>
    </row>
    <row r="178" spans="16:20">
      <c r="P178" s="33"/>
      <c r="Q178" s="228"/>
      <c r="R178" s="228"/>
      <c r="S178" s="43"/>
      <c r="T178" s="43"/>
    </row>
    <row r="179" spans="16:20">
      <c r="P179" s="33"/>
      <c r="Q179" s="228"/>
      <c r="R179" s="228"/>
      <c r="S179" s="43"/>
      <c r="T179" s="43"/>
    </row>
    <row r="180" spans="16:20">
      <c r="P180" s="33"/>
      <c r="Q180" s="228"/>
      <c r="R180" s="228"/>
      <c r="S180" s="43"/>
      <c r="T180" s="43"/>
    </row>
    <row r="181" spans="16:20">
      <c r="P181" s="33"/>
      <c r="Q181" s="228"/>
      <c r="R181" s="228"/>
      <c r="S181" s="43"/>
      <c r="T181" s="43"/>
    </row>
    <row r="182" spans="16:20">
      <c r="P182" s="33"/>
      <c r="Q182" s="228"/>
      <c r="R182" s="228"/>
      <c r="S182" s="43"/>
      <c r="T182" s="43"/>
    </row>
    <row r="183" spans="16:20">
      <c r="P183" s="33"/>
      <c r="Q183" s="228"/>
      <c r="R183" s="228"/>
      <c r="S183" s="43"/>
      <c r="T183" s="43"/>
    </row>
    <row r="184" spans="16:20">
      <c r="P184" s="33"/>
      <c r="Q184" s="228"/>
      <c r="R184" s="228"/>
      <c r="S184" s="43"/>
      <c r="T184" s="43"/>
    </row>
    <row r="185" spans="16:20">
      <c r="P185" s="33"/>
      <c r="Q185" s="228"/>
      <c r="R185" s="228"/>
      <c r="S185" s="43"/>
      <c r="T185" s="43"/>
    </row>
    <row r="186" spans="16:20">
      <c r="P186" s="33"/>
      <c r="Q186" s="228"/>
      <c r="R186" s="228"/>
      <c r="S186" s="43"/>
      <c r="T186" s="43"/>
    </row>
    <row r="187" spans="16:20">
      <c r="P187" s="33"/>
      <c r="Q187" s="228"/>
      <c r="R187" s="228"/>
      <c r="S187" s="43"/>
      <c r="T187" s="43"/>
    </row>
    <row r="188" spans="16:20">
      <c r="P188" s="33"/>
      <c r="Q188" s="228"/>
      <c r="R188" s="228"/>
      <c r="S188" s="43"/>
      <c r="T188" s="43"/>
    </row>
    <row r="189" spans="16:20">
      <c r="P189" s="33"/>
      <c r="Q189" s="228"/>
      <c r="R189" s="228"/>
      <c r="S189" s="43"/>
      <c r="T189" s="43"/>
    </row>
    <row r="190" spans="16:20">
      <c r="P190" s="33"/>
      <c r="Q190" s="228"/>
      <c r="R190" s="228"/>
      <c r="S190" s="43"/>
      <c r="T190" s="43"/>
    </row>
    <row r="191" spans="16:20">
      <c r="P191" s="33"/>
      <c r="Q191" s="228"/>
      <c r="R191" s="228"/>
      <c r="S191" s="43"/>
      <c r="T191" s="43"/>
    </row>
    <row r="192" spans="16:20">
      <c r="P192" s="33"/>
      <c r="Q192" s="228"/>
      <c r="R192" s="228"/>
      <c r="S192" s="43"/>
      <c r="T192" s="43"/>
    </row>
    <row r="193" spans="16:20">
      <c r="P193" s="33"/>
      <c r="Q193" s="228"/>
      <c r="R193" s="228"/>
      <c r="S193" s="43"/>
      <c r="T193" s="43"/>
    </row>
    <row r="194" spans="16:20">
      <c r="P194" s="33"/>
      <c r="Q194" s="228"/>
      <c r="R194" s="228"/>
      <c r="S194" s="43"/>
      <c r="T194" s="43"/>
    </row>
    <row r="195" spans="16:20">
      <c r="P195" s="33"/>
      <c r="Q195" s="228"/>
      <c r="R195" s="228"/>
      <c r="S195" s="43"/>
      <c r="T195" s="43"/>
    </row>
    <row r="196" spans="16:20">
      <c r="P196" s="33"/>
      <c r="Q196" s="228"/>
      <c r="R196" s="228"/>
      <c r="S196" s="43"/>
      <c r="T196" s="43"/>
    </row>
    <row r="197" spans="16:20">
      <c r="P197" s="33"/>
      <c r="Q197" s="228"/>
      <c r="R197" s="228"/>
      <c r="S197" s="43"/>
      <c r="T197" s="43"/>
    </row>
    <row r="198" spans="16:20">
      <c r="P198" s="33"/>
      <c r="Q198" s="228"/>
      <c r="R198" s="228"/>
      <c r="S198" s="43"/>
      <c r="T198" s="43"/>
    </row>
    <row r="199" spans="16:20">
      <c r="P199" s="33"/>
      <c r="Q199" s="228"/>
      <c r="R199" s="228"/>
      <c r="S199" s="43"/>
      <c r="T199" s="43"/>
    </row>
    <row r="200" spans="16:20">
      <c r="P200" s="33"/>
      <c r="Q200" s="228"/>
      <c r="R200" s="228"/>
      <c r="S200" s="43"/>
      <c r="T200" s="43"/>
    </row>
    <row r="201" spans="16:20">
      <c r="P201" s="33"/>
      <c r="Q201" s="228"/>
      <c r="R201" s="228"/>
      <c r="S201" s="43"/>
      <c r="T201" s="43"/>
    </row>
    <row r="202" spans="16:20">
      <c r="P202" s="33"/>
      <c r="Q202" s="228"/>
      <c r="R202" s="228"/>
      <c r="S202" s="43"/>
      <c r="T202" s="43"/>
    </row>
    <row r="203" spans="16:20">
      <c r="P203" s="33"/>
      <c r="Q203" s="228"/>
      <c r="R203" s="228"/>
      <c r="S203" s="43"/>
      <c r="T203" s="43"/>
    </row>
    <row r="204" spans="16:20">
      <c r="P204" s="33"/>
      <c r="Q204" s="228"/>
      <c r="R204" s="228"/>
      <c r="S204" s="43"/>
      <c r="T204" s="43"/>
    </row>
    <row r="205" spans="16:20">
      <c r="P205" s="33"/>
      <c r="Q205" s="228"/>
      <c r="R205" s="228"/>
      <c r="S205" s="43"/>
      <c r="T205" s="43"/>
    </row>
    <row r="206" spans="16:20">
      <c r="P206" s="33"/>
      <c r="Q206" s="228"/>
      <c r="R206" s="228"/>
      <c r="S206" s="43"/>
      <c r="T206" s="43"/>
    </row>
    <row r="207" spans="16:20">
      <c r="P207" s="33"/>
      <c r="Q207" s="228"/>
      <c r="R207" s="228"/>
      <c r="S207" s="43"/>
      <c r="T207" s="43"/>
    </row>
    <row r="208" spans="16:20">
      <c r="P208" s="33"/>
      <c r="Q208" s="228"/>
      <c r="R208" s="228"/>
      <c r="S208" s="43"/>
      <c r="T208" s="43"/>
    </row>
    <row r="209" spans="16:20">
      <c r="P209" s="33"/>
      <c r="Q209" s="228"/>
      <c r="R209" s="228"/>
      <c r="S209" s="43"/>
      <c r="T209" s="43"/>
    </row>
    <row r="210" spans="16:20">
      <c r="P210" s="33"/>
      <c r="Q210" s="228"/>
      <c r="R210" s="228"/>
      <c r="S210" s="43"/>
      <c r="T210" s="43"/>
    </row>
    <row r="211" spans="16:20">
      <c r="P211" s="33"/>
      <c r="Q211" s="228"/>
      <c r="R211" s="228"/>
      <c r="S211" s="43"/>
      <c r="T211" s="43"/>
    </row>
    <row r="212" spans="16:20">
      <c r="P212" s="33"/>
      <c r="Q212" s="228"/>
      <c r="R212" s="228"/>
      <c r="S212" s="43"/>
      <c r="T212" s="43"/>
    </row>
    <row r="213" spans="16:20">
      <c r="P213" s="33"/>
      <c r="Q213" s="228"/>
      <c r="R213" s="228"/>
      <c r="S213" s="43"/>
      <c r="T213" s="43"/>
    </row>
    <row r="214" spans="16:20">
      <c r="P214" s="33"/>
      <c r="Q214" s="228"/>
      <c r="R214" s="228"/>
      <c r="S214" s="43"/>
      <c r="T214" s="43"/>
    </row>
    <row r="215" spans="16:20">
      <c r="P215" s="33"/>
      <c r="Q215" s="228"/>
      <c r="R215" s="228"/>
      <c r="S215" s="43"/>
      <c r="T215" s="43"/>
    </row>
    <row r="216" spans="16:20">
      <c r="P216" s="33"/>
      <c r="Q216" s="228"/>
      <c r="R216" s="228"/>
      <c r="S216" s="43"/>
      <c r="T216" s="43"/>
    </row>
    <row r="217" spans="16:20">
      <c r="P217" s="33"/>
      <c r="Q217" s="228"/>
      <c r="R217" s="228"/>
      <c r="S217" s="43"/>
      <c r="T217" s="43"/>
    </row>
    <row r="218" spans="16:20">
      <c r="P218" s="33"/>
      <c r="Q218" s="228"/>
      <c r="R218" s="228"/>
      <c r="S218" s="43"/>
      <c r="T218" s="43"/>
    </row>
    <row r="219" spans="16:20">
      <c r="P219" s="33"/>
      <c r="Q219" s="228"/>
      <c r="R219" s="228"/>
      <c r="S219" s="43"/>
      <c r="T219" s="43"/>
    </row>
    <row r="220" spans="16:20">
      <c r="P220" s="33"/>
      <c r="Q220" s="228"/>
      <c r="R220" s="228"/>
      <c r="S220" s="43"/>
      <c r="T220" s="43"/>
    </row>
    <row r="221" spans="16:20">
      <c r="P221" s="33"/>
      <c r="Q221" s="228"/>
      <c r="R221" s="228"/>
      <c r="S221" s="43"/>
      <c r="T221" s="43"/>
    </row>
    <row r="222" spans="16:20">
      <c r="P222" s="33"/>
      <c r="Q222" s="228"/>
      <c r="R222" s="228"/>
      <c r="S222" s="43"/>
      <c r="T222" s="43"/>
    </row>
    <row r="223" spans="16:20">
      <c r="P223" s="33"/>
      <c r="Q223" s="228"/>
      <c r="R223" s="228"/>
      <c r="S223" s="43"/>
      <c r="T223" s="43"/>
    </row>
    <row r="224" spans="16:20">
      <c r="P224" s="33"/>
      <c r="Q224" s="228"/>
      <c r="R224" s="228"/>
      <c r="S224" s="43"/>
      <c r="T224" s="43"/>
    </row>
    <row r="225" spans="16:20">
      <c r="P225" s="33"/>
      <c r="Q225" s="228"/>
      <c r="R225" s="228"/>
      <c r="S225" s="43"/>
      <c r="T225" s="43"/>
    </row>
    <row r="226" spans="16:20">
      <c r="P226" s="33"/>
      <c r="Q226" s="228"/>
      <c r="R226" s="228"/>
      <c r="S226" s="43"/>
      <c r="T226" s="43"/>
    </row>
    <row r="227" spans="16:20">
      <c r="P227" s="33"/>
      <c r="Q227" s="228"/>
      <c r="R227" s="228"/>
      <c r="S227" s="43"/>
      <c r="T227" s="43"/>
    </row>
    <row r="228" spans="16:20">
      <c r="P228" s="33"/>
      <c r="Q228" s="228"/>
      <c r="R228" s="228"/>
      <c r="S228" s="43"/>
      <c r="T228" s="43"/>
    </row>
    <row r="229" spans="16:20">
      <c r="P229" s="33"/>
      <c r="Q229" s="228"/>
      <c r="R229" s="228"/>
      <c r="S229" s="43"/>
      <c r="T229" s="43"/>
    </row>
    <row r="230" spans="16:20">
      <c r="P230" s="33"/>
      <c r="Q230" s="228"/>
      <c r="R230" s="228"/>
      <c r="S230" s="43"/>
      <c r="T230" s="43"/>
    </row>
    <row r="231" spans="16:20">
      <c r="P231" s="33"/>
      <c r="Q231" s="228"/>
      <c r="R231" s="228"/>
      <c r="S231" s="43"/>
      <c r="T231" s="43"/>
    </row>
    <row r="232" spans="16:20">
      <c r="P232" s="33"/>
      <c r="Q232" s="228"/>
      <c r="R232" s="228"/>
      <c r="S232" s="43"/>
      <c r="T232" s="43"/>
    </row>
    <row r="233" spans="16:20">
      <c r="P233" s="33"/>
      <c r="Q233" s="228"/>
      <c r="R233" s="228"/>
      <c r="S233" s="43"/>
      <c r="T233" s="43"/>
    </row>
    <row r="234" spans="16:20">
      <c r="P234" s="33"/>
      <c r="Q234" s="228"/>
      <c r="R234" s="228"/>
      <c r="S234" s="43"/>
      <c r="T234" s="43"/>
    </row>
    <row r="235" spans="16:20">
      <c r="P235" s="33"/>
      <c r="Q235" s="228"/>
      <c r="R235" s="228"/>
      <c r="S235" s="43"/>
      <c r="T235" s="43"/>
    </row>
    <row r="236" spans="16:20">
      <c r="P236" s="33"/>
      <c r="Q236" s="228"/>
      <c r="R236" s="228"/>
      <c r="S236" s="43"/>
      <c r="T236" s="43"/>
    </row>
    <row r="237" spans="16:20">
      <c r="P237" s="33"/>
      <c r="Q237" s="228"/>
      <c r="R237" s="228"/>
      <c r="S237" s="43"/>
      <c r="T237" s="43"/>
    </row>
    <row r="238" spans="16:20">
      <c r="P238" s="33"/>
      <c r="Q238" s="228"/>
      <c r="R238" s="228"/>
      <c r="S238" s="43"/>
      <c r="T238" s="43"/>
    </row>
    <row r="239" spans="16:20">
      <c r="P239" s="33"/>
      <c r="Q239" s="228"/>
      <c r="R239" s="228"/>
      <c r="S239" s="43"/>
      <c r="T239" s="43"/>
    </row>
    <row r="240" spans="16:20">
      <c r="P240" s="33"/>
      <c r="Q240" s="228"/>
      <c r="R240" s="228"/>
      <c r="S240" s="43"/>
      <c r="T240" s="43"/>
    </row>
    <row r="241" spans="16:20">
      <c r="P241" s="33"/>
      <c r="Q241" s="228"/>
      <c r="R241" s="228"/>
      <c r="S241" s="43"/>
      <c r="T241" s="43"/>
    </row>
    <row r="242" spans="16:20">
      <c r="P242" s="33"/>
      <c r="Q242" s="228"/>
      <c r="R242" s="228"/>
      <c r="S242" s="43"/>
      <c r="T242" s="43"/>
    </row>
    <row r="243" spans="16:20">
      <c r="P243" s="33"/>
      <c r="Q243" s="228"/>
      <c r="R243" s="228"/>
      <c r="S243" s="43"/>
      <c r="T243" s="43"/>
    </row>
    <row r="244" spans="16:20">
      <c r="P244" s="33"/>
      <c r="Q244" s="228"/>
      <c r="R244" s="228"/>
      <c r="S244" s="43"/>
      <c r="T244" s="43"/>
    </row>
    <row r="245" spans="16:20">
      <c r="P245" s="33"/>
      <c r="Q245" s="228"/>
      <c r="R245" s="228"/>
      <c r="S245" s="43"/>
      <c r="T245" s="43"/>
    </row>
    <row r="246" spans="16:20">
      <c r="P246" s="33"/>
      <c r="Q246" s="228"/>
      <c r="R246" s="228"/>
      <c r="S246" s="43"/>
      <c r="T246" s="43"/>
    </row>
    <row r="247" spans="16:20">
      <c r="P247" s="33"/>
      <c r="Q247" s="228"/>
      <c r="R247" s="228"/>
      <c r="S247" s="43"/>
      <c r="T247" s="43"/>
    </row>
    <row r="248" spans="16:20">
      <c r="P248" s="33"/>
      <c r="Q248" s="228"/>
      <c r="R248" s="228"/>
      <c r="S248" s="43"/>
      <c r="T248" s="43"/>
    </row>
    <row r="249" spans="16:20">
      <c r="P249" s="33"/>
      <c r="Q249" s="228"/>
      <c r="R249" s="228"/>
      <c r="S249" s="43"/>
      <c r="T249" s="43"/>
    </row>
    <row r="250" spans="16:20">
      <c r="P250" s="33"/>
      <c r="Q250" s="228"/>
      <c r="R250" s="228"/>
      <c r="S250" s="43"/>
      <c r="T250" s="43"/>
    </row>
    <row r="251" spans="16:20">
      <c r="P251" s="33"/>
      <c r="Q251" s="228"/>
      <c r="R251" s="228"/>
      <c r="S251" s="43"/>
      <c r="T251" s="43"/>
    </row>
    <row r="252" spans="16:20">
      <c r="P252" s="33"/>
      <c r="Q252" s="228"/>
      <c r="R252" s="228"/>
      <c r="S252" s="43"/>
      <c r="T252" s="43"/>
    </row>
    <row r="253" spans="16:20">
      <c r="P253" s="33"/>
      <c r="Q253" s="228"/>
      <c r="R253" s="228"/>
      <c r="S253" s="43"/>
      <c r="T253" s="43"/>
    </row>
    <row r="254" spans="16:20">
      <c r="P254" s="33"/>
      <c r="Q254" s="228"/>
      <c r="R254" s="228"/>
      <c r="S254" s="43"/>
      <c r="T254" s="43"/>
    </row>
    <row r="255" spans="16:20">
      <c r="P255" s="33"/>
      <c r="Q255" s="228"/>
      <c r="R255" s="228"/>
      <c r="S255" s="43"/>
      <c r="T255" s="43"/>
    </row>
    <row r="256" spans="16:20">
      <c r="P256" s="33"/>
      <c r="Q256" s="228"/>
      <c r="R256" s="228"/>
      <c r="S256" s="43"/>
      <c r="T256" s="43"/>
    </row>
    <row r="257" spans="16:20">
      <c r="P257" s="33"/>
      <c r="Q257" s="228"/>
      <c r="R257" s="228"/>
      <c r="S257" s="43"/>
      <c r="T257" s="43"/>
    </row>
    <row r="258" spans="16:20">
      <c r="P258" s="33"/>
      <c r="Q258" s="228"/>
      <c r="R258" s="228"/>
      <c r="S258" s="43"/>
      <c r="T258" s="43"/>
    </row>
    <row r="259" spans="16:20">
      <c r="P259" s="33"/>
      <c r="Q259" s="228"/>
      <c r="R259" s="228"/>
      <c r="S259" s="43"/>
      <c r="T259" s="43"/>
    </row>
    <row r="260" spans="16:20">
      <c r="P260" s="33"/>
      <c r="Q260" s="228"/>
      <c r="R260" s="228"/>
      <c r="S260" s="43"/>
      <c r="T260" s="43"/>
    </row>
    <row r="261" spans="16:20">
      <c r="P261" s="33"/>
      <c r="Q261" s="228"/>
      <c r="R261" s="228"/>
      <c r="S261" s="43"/>
      <c r="T261" s="43"/>
    </row>
    <row r="262" spans="16:20">
      <c r="P262" s="33"/>
      <c r="Q262" s="228"/>
      <c r="R262" s="228"/>
      <c r="S262" s="43"/>
      <c r="T262" s="43"/>
    </row>
    <row r="263" spans="16:20">
      <c r="P263" s="33"/>
      <c r="Q263" s="228"/>
      <c r="R263" s="228"/>
      <c r="S263" s="43"/>
      <c r="T263" s="43"/>
    </row>
    <row r="264" spans="16:20">
      <c r="P264" s="33"/>
      <c r="Q264" s="228"/>
      <c r="R264" s="228"/>
      <c r="S264" s="43"/>
      <c r="T264" s="43"/>
    </row>
    <row r="265" spans="16:20">
      <c r="P265" s="33"/>
      <c r="Q265" s="228"/>
      <c r="R265" s="228"/>
      <c r="S265" s="43"/>
      <c r="T265" s="43"/>
    </row>
    <row r="266" spans="16:20">
      <c r="P266" s="33"/>
      <c r="Q266" s="228"/>
      <c r="R266" s="228"/>
      <c r="S266" s="43"/>
      <c r="T266" s="43"/>
    </row>
    <row r="267" spans="16:20">
      <c r="P267" s="33"/>
      <c r="Q267" s="228"/>
      <c r="R267" s="228"/>
      <c r="S267" s="43"/>
      <c r="T267" s="43"/>
    </row>
    <row r="268" spans="16:20">
      <c r="P268" s="33"/>
      <c r="Q268" s="228"/>
      <c r="R268" s="228"/>
      <c r="S268" s="43"/>
      <c r="T268" s="43"/>
    </row>
    <row r="269" spans="16:20">
      <c r="P269" s="33"/>
      <c r="Q269" s="228"/>
      <c r="R269" s="228"/>
      <c r="S269" s="43"/>
      <c r="T269" s="43"/>
    </row>
    <row r="270" spans="16:20">
      <c r="P270" s="33"/>
      <c r="Q270" s="228"/>
      <c r="R270" s="228"/>
      <c r="S270" s="43"/>
      <c r="T270" s="43"/>
    </row>
    <row r="271" spans="16:20">
      <c r="P271" s="33"/>
      <c r="Q271" s="228"/>
      <c r="R271" s="228"/>
      <c r="S271" s="43"/>
      <c r="T271" s="43"/>
    </row>
    <row r="272" spans="16:20">
      <c r="P272" s="33"/>
      <c r="Q272" s="228"/>
      <c r="R272" s="228"/>
      <c r="S272" s="43"/>
      <c r="T272" s="43"/>
    </row>
    <row r="273" spans="16:20">
      <c r="P273" s="33"/>
      <c r="Q273" s="228"/>
      <c r="R273" s="228"/>
      <c r="S273" s="43"/>
      <c r="T273" s="43"/>
    </row>
    <row r="274" spans="16:20">
      <c r="P274" s="33"/>
      <c r="Q274" s="228"/>
      <c r="R274" s="228"/>
      <c r="S274" s="43"/>
      <c r="T274" s="43"/>
    </row>
    <row r="275" spans="16:20">
      <c r="P275" s="33"/>
      <c r="Q275" s="228"/>
      <c r="R275" s="228"/>
      <c r="S275" s="43"/>
      <c r="T275" s="43"/>
    </row>
    <row r="276" spans="16:20">
      <c r="P276" s="33"/>
      <c r="Q276" s="228"/>
      <c r="R276" s="228"/>
      <c r="S276" s="43"/>
      <c r="T276" s="43"/>
    </row>
    <row r="277" spans="16:20">
      <c r="P277" s="33"/>
      <c r="Q277" s="228"/>
      <c r="R277" s="228"/>
      <c r="S277" s="43"/>
      <c r="T277" s="43"/>
    </row>
    <row r="278" spans="16:20">
      <c r="P278" s="33"/>
      <c r="Q278" s="228"/>
      <c r="R278" s="228"/>
      <c r="S278" s="43"/>
      <c r="T278" s="43"/>
    </row>
    <row r="279" spans="16:20">
      <c r="P279" s="33"/>
      <c r="Q279" s="228"/>
      <c r="R279" s="228"/>
      <c r="S279" s="43"/>
      <c r="T279" s="43"/>
    </row>
    <row r="280" spans="16:20">
      <c r="P280" s="33"/>
      <c r="Q280" s="228"/>
      <c r="R280" s="228"/>
      <c r="S280" s="43"/>
      <c r="T280" s="43"/>
    </row>
    <row r="281" spans="16:20">
      <c r="P281" s="33"/>
      <c r="Q281" s="228"/>
      <c r="R281" s="228"/>
      <c r="S281" s="43"/>
      <c r="T281" s="43"/>
    </row>
    <row r="282" spans="16:20">
      <c r="P282" s="33"/>
      <c r="Q282" s="228"/>
      <c r="R282" s="228"/>
      <c r="S282" s="43"/>
      <c r="T282" s="43"/>
    </row>
    <row r="283" spans="16:20">
      <c r="P283" s="33"/>
      <c r="Q283" s="228"/>
      <c r="R283" s="228"/>
      <c r="S283" s="43"/>
      <c r="T283" s="43"/>
    </row>
    <row r="284" spans="16:20">
      <c r="P284" s="33"/>
      <c r="Q284" s="228"/>
      <c r="R284" s="228"/>
      <c r="S284" s="43"/>
      <c r="T284" s="43"/>
    </row>
    <row r="285" spans="16:20">
      <c r="P285" s="33"/>
      <c r="Q285" s="228"/>
      <c r="R285" s="228"/>
      <c r="S285" s="43"/>
      <c r="T285" s="43"/>
    </row>
    <row r="286" spans="16:20">
      <c r="P286" s="33"/>
      <c r="Q286" s="228"/>
      <c r="R286" s="228"/>
      <c r="S286" s="43"/>
      <c r="T286" s="43"/>
    </row>
    <row r="287" spans="16:20">
      <c r="P287" s="33"/>
      <c r="Q287" s="228"/>
      <c r="R287" s="228"/>
      <c r="S287" s="43"/>
      <c r="T287" s="43"/>
    </row>
    <row r="288" spans="16:20">
      <c r="P288" s="33"/>
      <c r="Q288" s="228"/>
      <c r="R288" s="228"/>
      <c r="S288" s="43"/>
      <c r="T288" s="43"/>
    </row>
    <row r="289" spans="16:20">
      <c r="P289" s="33"/>
      <c r="Q289" s="228"/>
      <c r="R289" s="228"/>
      <c r="S289" s="43"/>
      <c r="T289" s="43"/>
    </row>
    <row r="290" spans="16:20">
      <c r="P290" s="33"/>
      <c r="Q290" s="228"/>
      <c r="R290" s="228"/>
      <c r="S290" s="43"/>
      <c r="T290" s="43"/>
    </row>
    <row r="291" spans="16:20">
      <c r="P291" s="33"/>
      <c r="Q291" s="228"/>
      <c r="R291" s="228"/>
      <c r="S291" s="43"/>
      <c r="T291" s="43"/>
    </row>
    <row r="292" spans="16:20">
      <c r="P292" s="33"/>
      <c r="Q292" s="228"/>
      <c r="R292" s="228"/>
      <c r="S292" s="43"/>
      <c r="T292" s="43"/>
    </row>
    <row r="293" spans="16:20">
      <c r="P293" s="33"/>
      <c r="Q293" s="228"/>
      <c r="R293" s="228"/>
      <c r="S293" s="43"/>
      <c r="T293" s="43"/>
    </row>
    <row r="294" spans="16:20">
      <c r="P294" s="33"/>
      <c r="Q294" s="228"/>
      <c r="R294" s="228"/>
      <c r="S294" s="43"/>
      <c r="T294" s="43"/>
    </row>
    <row r="295" spans="16:20">
      <c r="P295" s="33"/>
      <c r="Q295" s="228"/>
      <c r="R295" s="228"/>
      <c r="S295" s="43"/>
      <c r="T295" s="43"/>
    </row>
    <row r="296" spans="16:20">
      <c r="P296" s="33"/>
      <c r="Q296" s="228"/>
      <c r="R296" s="228"/>
      <c r="S296" s="43"/>
      <c r="T296" s="43"/>
    </row>
    <row r="297" spans="16:20">
      <c r="P297" s="33"/>
      <c r="Q297" s="228"/>
      <c r="R297" s="228"/>
      <c r="S297" s="43"/>
      <c r="T297" s="43"/>
    </row>
    <row r="298" spans="16:20">
      <c r="P298" s="33"/>
      <c r="Q298" s="228"/>
      <c r="R298" s="228"/>
      <c r="S298" s="43"/>
      <c r="T298" s="43"/>
    </row>
    <row r="299" spans="16:20">
      <c r="P299" s="33"/>
      <c r="Q299" s="228"/>
      <c r="R299" s="228"/>
      <c r="S299" s="43"/>
      <c r="T299" s="43"/>
    </row>
    <row r="300" spans="16:20">
      <c r="P300" s="33"/>
      <c r="Q300" s="228"/>
      <c r="R300" s="228"/>
      <c r="S300" s="43"/>
      <c r="T300" s="43"/>
    </row>
    <row r="301" spans="16:20">
      <c r="P301" s="33"/>
      <c r="Q301" s="228"/>
      <c r="R301" s="228"/>
      <c r="S301" s="43"/>
      <c r="T301" s="43"/>
    </row>
    <row r="302" spans="16:20">
      <c r="P302" s="33"/>
      <c r="Q302" s="228"/>
      <c r="R302" s="228"/>
      <c r="S302" s="43"/>
      <c r="T302" s="43"/>
    </row>
    <row r="303" spans="16:20">
      <c r="P303" s="33"/>
      <c r="Q303" s="228"/>
      <c r="R303" s="228"/>
      <c r="S303" s="43"/>
      <c r="T303" s="43"/>
    </row>
    <row r="304" spans="16:20">
      <c r="P304" s="33"/>
      <c r="Q304" s="228"/>
      <c r="R304" s="228"/>
      <c r="S304" s="43"/>
      <c r="T304" s="43"/>
    </row>
    <row r="305" spans="3:38">
      <c r="P305" s="33"/>
      <c r="Q305" s="228"/>
      <c r="R305" s="228"/>
      <c r="S305" s="43"/>
      <c r="T305" s="43"/>
    </row>
    <row r="306" spans="3:38">
      <c r="P306" s="33"/>
      <c r="Q306" s="228"/>
      <c r="R306" s="228"/>
      <c r="S306" s="43"/>
      <c r="T306" s="43"/>
    </row>
    <row r="307" spans="3:38">
      <c r="P307" s="33"/>
      <c r="Q307" s="228"/>
      <c r="R307" s="228"/>
      <c r="S307" s="43"/>
      <c r="T307" s="43"/>
    </row>
    <row r="308" spans="3:38">
      <c r="P308" s="33"/>
      <c r="Q308" s="228"/>
      <c r="R308" s="228"/>
      <c r="S308" s="43"/>
      <c r="T308" s="43"/>
    </row>
    <row r="309" spans="3:38">
      <c r="P309" s="33"/>
      <c r="Q309" s="228"/>
      <c r="R309" s="228"/>
      <c r="S309" s="43"/>
      <c r="T309" s="43"/>
    </row>
    <row r="310" spans="3:38"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P310" s="33"/>
      <c r="Q310" s="228"/>
      <c r="R310" s="228"/>
      <c r="S310" s="43"/>
      <c r="T310" s="43"/>
      <c r="AI310" s="33"/>
      <c r="AJ310" s="33"/>
      <c r="AK310" s="33"/>
      <c r="AL310" s="33"/>
    </row>
    <row r="311" spans="3:38">
      <c r="P311" s="33"/>
      <c r="Q311" s="228"/>
      <c r="R311" s="228"/>
      <c r="S311" s="43"/>
      <c r="T311" s="43"/>
    </row>
    <row r="312" spans="3:38">
      <c r="P312" s="33"/>
      <c r="Q312" s="228"/>
      <c r="R312" s="228"/>
      <c r="S312" s="43"/>
      <c r="T312" s="43"/>
    </row>
    <row r="313" spans="3:38">
      <c r="P313" s="33"/>
      <c r="Q313" s="228"/>
      <c r="R313" s="228"/>
      <c r="S313" s="43"/>
      <c r="T313" s="43"/>
    </row>
    <row r="314" spans="3:38">
      <c r="P314" s="33"/>
      <c r="Q314" s="228"/>
      <c r="R314" s="228"/>
      <c r="S314" s="43"/>
      <c r="T314" s="43"/>
    </row>
    <row r="315" spans="3:38">
      <c r="P315" s="33"/>
      <c r="Q315" s="228"/>
      <c r="R315" s="228"/>
      <c r="S315" s="43"/>
      <c r="T315" s="43"/>
    </row>
    <row r="316" spans="3:38">
      <c r="P316" s="33"/>
      <c r="Q316" s="228"/>
      <c r="R316" s="228"/>
      <c r="S316" s="43"/>
      <c r="T316" s="43"/>
    </row>
    <row r="317" spans="3:38">
      <c r="P317" s="33"/>
      <c r="Q317" s="228"/>
      <c r="R317" s="228"/>
      <c r="S317" s="43"/>
      <c r="T317" s="43"/>
    </row>
    <row r="318" spans="3:38">
      <c r="P318" s="33"/>
      <c r="Q318" s="228"/>
      <c r="R318" s="228"/>
      <c r="S318" s="43"/>
      <c r="T318" s="43"/>
    </row>
    <row r="319" spans="3:38">
      <c r="P319" s="33"/>
      <c r="Q319" s="228"/>
      <c r="R319" s="228"/>
      <c r="S319" s="43"/>
      <c r="T319" s="43"/>
    </row>
    <row r="320" spans="3:38">
      <c r="P320" s="33"/>
      <c r="Q320" s="228"/>
      <c r="R320" s="228"/>
      <c r="S320" s="43"/>
      <c r="T320" s="43"/>
    </row>
    <row r="321" spans="16:20">
      <c r="P321" s="33"/>
      <c r="Q321" s="228"/>
      <c r="R321" s="228"/>
      <c r="S321" s="43"/>
      <c r="T321" s="43"/>
    </row>
    <row r="322" spans="16:20">
      <c r="P322" s="33"/>
      <c r="Q322" s="228"/>
      <c r="R322" s="228"/>
      <c r="S322" s="43"/>
      <c r="T322" s="43"/>
    </row>
    <row r="323" spans="16:20">
      <c r="P323" s="33"/>
      <c r="Q323" s="228"/>
      <c r="R323" s="228"/>
      <c r="S323" s="43"/>
      <c r="T323" s="43"/>
    </row>
    <row r="324" spans="16:20">
      <c r="P324" s="33"/>
      <c r="Q324" s="228"/>
      <c r="R324" s="228"/>
      <c r="S324" s="43"/>
      <c r="T324" s="43"/>
    </row>
    <row r="325" spans="16:20">
      <c r="P325" s="33"/>
      <c r="Q325" s="228"/>
      <c r="R325" s="228"/>
      <c r="S325" s="43"/>
      <c r="T325" s="43"/>
    </row>
    <row r="326" spans="16:20">
      <c r="P326" s="33"/>
      <c r="Q326" s="228"/>
      <c r="R326" s="228"/>
      <c r="S326" s="43"/>
      <c r="T326" s="43"/>
    </row>
    <row r="327" spans="16:20">
      <c r="P327" s="33"/>
      <c r="Q327" s="228"/>
      <c r="R327" s="228"/>
      <c r="S327" s="43"/>
      <c r="T327" s="43"/>
    </row>
    <row r="328" spans="16:20">
      <c r="P328" s="33"/>
      <c r="Q328" s="228"/>
      <c r="R328" s="228"/>
      <c r="S328" s="43"/>
      <c r="T328" s="43"/>
    </row>
    <row r="329" spans="16:20">
      <c r="P329" s="33"/>
      <c r="Q329" s="228"/>
      <c r="R329" s="228"/>
      <c r="S329" s="43"/>
      <c r="T329" s="43"/>
    </row>
    <row r="330" spans="16:20">
      <c r="P330" s="33"/>
      <c r="Q330" s="228"/>
      <c r="R330" s="228"/>
      <c r="S330" s="43"/>
      <c r="T330" s="43"/>
    </row>
    <row r="331" spans="16:20">
      <c r="P331" s="33"/>
      <c r="Q331" s="228"/>
      <c r="R331" s="228"/>
      <c r="S331" s="43"/>
      <c r="T331" s="43"/>
    </row>
    <row r="332" spans="16:20">
      <c r="P332" s="33"/>
      <c r="Q332" s="228"/>
      <c r="R332" s="228"/>
      <c r="S332" s="43"/>
      <c r="T332" s="43"/>
    </row>
    <row r="333" spans="16:20">
      <c r="P333" s="33"/>
      <c r="Q333" s="228"/>
      <c r="R333" s="228"/>
      <c r="S333" s="43"/>
      <c r="T333" s="43"/>
    </row>
    <row r="334" spans="16:20">
      <c r="P334" s="33"/>
      <c r="Q334" s="228"/>
      <c r="R334" s="228"/>
      <c r="S334" s="43"/>
      <c r="T334" s="43"/>
    </row>
    <row r="335" spans="16:20">
      <c r="P335" s="33"/>
      <c r="Q335" s="228"/>
      <c r="R335" s="228"/>
      <c r="S335" s="43"/>
      <c r="T335" s="43"/>
    </row>
    <row r="336" spans="16:20">
      <c r="P336" s="33"/>
      <c r="Q336" s="228"/>
      <c r="R336" s="228"/>
      <c r="S336" s="43"/>
      <c r="T336" s="43"/>
    </row>
    <row r="337" spans="16:20">
      <c r="P337" s="33"/>
      <c r="Q337" s="228"/>
      <c r="R337" s="228"/>
      <c r="S337" s="43"/>
      <c r="T337" s="43"/>
    </row>
    <row r="338" spans="16:20">
      <c r="P338" s="33"/>
      <c r="Q338" s="228"/>
      <c r="R338" s="228"/>
      <c r="S338" s="43"/>
      <c r="T338" s="43"/>
    </row>
    <row r="339" spans="16:20">
      <c r="P339" s="33"/>
      <c r="Q339" s="228"/>
      <c r="R339" s="228"/>
      <c r="S339" s="43"/>
      <c r="T339" s="43"/>
    </row>
    <row r="340" spans="16:20">
      <c r="P340" s="33"/>
      <c r="Q340" s="228"/>
      <c r="R340" s="228"/>
      <c r="S340" s="43"/>
      <c r="T340" s="43"/>
    </row>
    <row r="341" spans="16:20">
      <c r="P341" s="33"/>
      <c r="Q341" s="228"/>
      <c r="R341" s="228"/>
      <c r="S341" s="43"/>
      <c r="T341" s="43"/>
    </row>
    <row r="342" spans="16:20">
      <c r="P342" s="33"/>
      <c r="Q342" s="228"/>
      <c r="R342" s="228"/>
      <c r="S342" s="43"/>
      <c r="T342" s="43"/>
    </row>
    <row r="343" spans="16:20">
      <c r="P343" s="33"/>
      <c r="Q343" s="228"/>
      <c r="R343" s="228"/>
      <c r="S343" s="43"/>
      <c r="T343" s="43"/>
    </row>
    <row r="344" spans="16:20">
      <c r="P344" s="33"/>
      <c r="Q344" s="228"/>
      <c r="R344" s="228"/>
      <c r="S344" s="43"/>
      <c r="T344" s="43"/>
    </row>
    <row r="345" spans="16:20">
      <c r="P345" s="33"/>
      <c r="Q345" s="228"/>
      <c r="R345" s="228"/>
      <c r="S345" s="43"/>
      <c r="T345" s="43"/>
    </row>
    <row r="346" spans="16:20">
      <c r="P346" s="33"/>
      <c r="Q346" s="228"/>
      <c r="R346" s="228"/>
      <c r="S346" s="43"/>
      <c r="T346" s="43"/>
    </row>
    <row r="347" spans="16:20">
      <c r="P347" s="33"/>
      <c r="Q347" s="228"/>
      <c r="R347" s="228"/>
      <c r="S347" s="43"/>
      <c r="T347" s="43"/>
    </row>
    <row r="348" spans="16:20">
      <c r="P348" s="33"/>
      <c r="Q348" s="228"/>
      <c r="R348" s="228"/>
      <c r="S348" s="43"/>
      <c r="T348" s="43"/>
    </row>
    <row r="349" spans="16:20">
      <c r="P349" s="33"/>
      <c r="Q349" s="228"/>
      <c r="R349" s="228"/>
      <c r="S349" s="43"/>
      <c r="T349" s="43"/>
    </row>
    <row r="350" spans="16:20">
      <c r="P350" s="33"/>
      <c r="Q350" s="228"/>
      <c r="R350" s="228"/>
      <c r="S350" s="43"/>
      <c r="T350" s="43"/>
    </row>
    <row r="351" spans="16:20">
      <c r="P351" s="33"/>
      <c r="Q351" s="228"/>
      <c r="R351" s="228"/>
      <c r="S351" s="43"/>
      <c r="T351" s="43"/>
    </row>
    <row r="352" spans="16:20">
      <c r="P352" s="33"/>
      <c r="Q352" s="228"/>
      <c r="R352" s="228"/>
      <c r="S352" s="43"/>
      <c r="T352" s="43"/>
    </row>
    <row r="353" spans="16:20">
      <c r="P353" s="33"/>
      <c r="Q353" s="228"/>
      <c r="R353" s="228"/>
      <c r="S353" s="43"/>
      <c r="T353" s="43"/>
    </row>
    <row r="354" spans="16:20">
      <c r="P354" s="33"/>
      <c r="Q354" s="228"/>
      <c r="R354" s="228"/>
      <c r="S354" s="43"/>
      <c r="T354" s="43"/>
    </row>
    <row r="355" spans="16:20">
      <c r="P355" s="33"/>
      <c r="Q355" s="228"/>
      <c r="R355" s="228"/>
      <c r="S355" s="43"/>
      <c r="T355" s="43"/>
    </row>
    <row r="356" spans="16:20">
      <c r="P356" s="33"/>
      <c r="Q356" s="228"/>
      <c r="R356" s="228"/>
      <c r="S356" s="43"/>
      <c r="T356" s="43"/>
    </row>
    <row r="357" spans="16:20">
      <c r="P357" s="33"/>
      <c r="Q357" s="228"/>
      <c r="R357" s="228"/>
      <c r="S357" s="43"/>
      <c r="T357" s="43"/>
    </row>
    <row r="358" spans="16:20">
      <c r="P358" s="33"/>
      <c r="Q358" s="228"/>
      <c r="R358" s="228"/>
      <c r="S358" s="43"/>
      <c r="T358" s="43"/>
    </row>
    <row r="359" spans="16:20">
      <c r="P359" s="33"/>
      <c r="Q359" s="228"/>
      <c r="R359" s="228"/>
      <c r="S359" s="43"/>
      <c r="T359" s="43"/>
    </row>
    <row r="360" spans="16:20">
      <c r="P360" s="33"/>
      <c r="Q360" s="228"/>
      <c r="R360" s="228"/>
      <c r="S360" s="43"/>
      <c r="T360" s="43"/>
    </row>
    <row r="361" spans="16:20">
      <c r="P361" s="33"/>
      <c r="Q361" s="228"/>
      <c r="R361" s="228"/>
      <c r="S361" s="43"/>
      <c r="T361" s="43"/>
    </row>
    <row r="362" spans="16:20">
      <c r="P362" s="33"/>
      <c r="Q362" s="228"/>
      <c r="R362" s="228"/>
      <c r="S362" s="43"/>
      <c r="T362" s="43"/>
    </row>
    <row r="363" spans="16:20">
      <c r="P363" s="33"/>
      <c r="Q363" s="228"/>
      <c r="R363" s="228"/>
      <c r="S363" s="43"/>
      <c r="T363" s="43"/>
    </row>
    <row r="364" spans="16:20">
      <c r="P364" s="33"/>
      <c r="Q364" s="228"/>
      <c r="R364" s="228"/>
      <c r="S364" s="43"/>
      <c r="T364" s="43"/>
    </row>
    <row r="365" spans="16:20">
      <c r="P365" s="33"/>
      <c r="Q365" s="228"/>
      <c r="R365" s="228"/>
      <c r="S365" s="43"/>
      <c r="T365" s="43"/>
    </row>
    <row r="366" spans="16:20">
      <c r="P366" s="33"/>
      <c r="Q366" s="228"/>
      <c r="R366" s="228"/>
      <c r="S366" s="43"/>
      <c r="T366" s="43"/>
    </row>
    <row r="367" spans="16:20">
      <c r="P367" s="33"/>
      <c r="Q367" s="228"/>
      <c r="R367" s="228"/>
      <c r="S367" s="43"/>
      <c r="T367" s="43"/>
    </row>
    <row r="368" spans="16:20">
      <c r="P368" s="33"/>
      <c r="Q368" s="228"/>
      <c r="R368" s="228"/>
      <c r="S368" s="43"/>
      <c r="T368" s="43"/>
    </row>
    <row r="369" spans="16:20">
      <c r="P369" s="33"/>
      <c r="Q369" s="228"/>
      <c r="R369" s="228"/>
      <c r="S369" s="43"/>
      <c r="T369" s="43"/>
    </row>
    <row r="370" spans="16:20">
      <c r="P370" s="33"/>
      <c r="Q370" s="228"/>
      <c r="R370" s="228"/>
      <c r="S370" s="43"/>
      <c r="T370" s="43"/>
    </row>
    <row r="371" spans="16:20">
      <c r="P371" s="33"/>
      <c r="Q371" s="228"/>
      <c r="R371" s="228"/>
      <c r="S371" s="43"/>
      <c r="T371" s="43"/>
    </row>
    <row r="372" spans="16:20">
      <c r="P372" s="33"/>
      <c r="Q372" s="228"/>
      <c r="R372" s="228"/>
      <c r="S372" s="43"/>
      <c r="T372" s="43"/>
    </row>
    <row r="373" spans="16:20">
      <c r="P373" s="33"/>
      <c r="Q373" s="228"/>
      <c r="R373" s="228"/>
      <c r="S373" s="43"/>
      <c r="T373" s="43"/>
    </row>
    <row r="374" spans="16:20">
      <c r="P374" s="33"/>
      <c r="Q374" s="228"/>
      <c r="R374" s="228"/>
      <c r="S374" s="43"/>
      <c r="T374" s="43"/>
    </row>
    <row r="375" spans="16:20">
      <c r="P375" s="33"/>
      <c r="Q375" s="228"/>
      <c r="R375" s="228"/>
      <c r="S375" s="43"/>
      <c r="T375" s="43"/>
    </row>
    <row r="376" spans="16:20">
      <c r="P376" s="33"/>
      <c r="Q376" s="228"/>
      <c r="R376" s="228"/>
      <c r="S376" s="43"/>
      <c r="T376" s="43"/>
    </row>
    <row r="377" spans="16:20">
      <c r="P377" s="33"/>
      <c r="Q377" s="228"/>
      <c r="R377" s="228"/>
      <c r="S377" s="43"/>
      <c r="T377" s="43"/>
    </row>
    <row r="378" spans="16:20">
      <c r="P378" s="33"/>
      <c r="Q378" s="228"/>
      <c r="R378" s="228"/>
      <c r="S378" s="43"/>
      <c r="T378" s="43"/>
    </row>
    <row r="379" spans="16:20">
      <c r="P379" s="33"/>
      <c r="Q379" s="228"/>
      <c r="R379" s="228"/>
      <c r="S379" s="43"/>
      <c r="T379" s="43"/>
    </row>
    <row r="380" spans="16:20">
      <c r="P380" s="33"/>
      <c r="Q380" s="228"/>
      <c r="R380" s="228"/>
      <c r="S380" s="43"/>
      <c r="T380" s="43"/>
    </row>
    <row r="381" spans="16:20">
      <c r="P381" s="33"/>
      <c r="Q381" s="228"/>
      <c r="R381" s="228"/>
      <c r="S381" s="43"/>
      <c r="T381" s="43"/>
    </row>
    <row r="382" spans="16:20">
      <c r="P382" s="33"/>
      <c r="Q382" s="228"/>
      <c r="R382" s="228"/>
      <c r="S382" s="43"/>
      <c r="T382" s="43"/>
    </row>
    <row r="383" spans="16:20">
      <c r="P383" s="33"/>
      <c r="Q383" s="228"/>
      <c r="R383" s="228"/>
      <c r="S383" s="43"/>
      <c r="T383" s="43"/>
    </row>
    <row r="384" spans="16:20">
      <c r="P384" s="33"/>
      <c r="Q384" s="228"/>
      <c r="R384" s="228"/>
      <c r="S384" s="43"/>
      <c r="T384" s="43"/>
    </row>
    <row r="385" spans="16:20">
      <c r="P385" s="33"/>
      <c r="Q385" s="228"/>
      <c r="R385" s="228"/>
      <c r="S385" s="43"/>
      <c r="T385" s="43"/>
    </row>
    <row r="386" spans="16:20">
      <c r="P386" s="33"/>
      <c r="Q386" s="228"/>
      <c r="R386" s="228"/>
      <c r="S386" s="43"/>
      <c r="T386" s="43"/>
    </row>
    <row r="387" spans="16:20">
      <c r="P387" s="33"/>
      <c r="Q387" s="228"/>
      <c r="R387" s="228"/>
      <c r="S387" s="43"/>
      <c r="T387" s="43"/>
    </row>
    <row r="388" spans="16:20">
      <c r="P388" s="33"/>
      <c r="Q388" s="228"/>
      <c r="R388" s="228"/>
      <c r="S388" s="43"/>
      <c r="T388" s="43"/>
    </row>
    <row r="389" spans="16:20">
      <c r="P389" s="33"/>
      <c r="Q389" s="228"/>
      <c r="R389" s="228"/>
      <c r="S389" s="43"/>
      <c r="T389" s="43"/>
    </row>
    <row r="390" spans="16:20">
      <c r="P390" s="33"/>
      <c r="Q390" s="228"/>
      <c r="R390" s="228"/>
      <c r="S390" s="43"/>
      <c r="T390" s="43"/>
    </row>
    <row r="391" spans="16:20">
      <c r="P391" s="33"/>
      <c r="Q391" s="228"/>
      <c r="R391" s="228"/>
      <c r="S391" s="43"/>
      <c r="T391" s="43"/>
    </row>
    <row r="392" spans="16:20">
      <c r="P392" s="33"/>
      <c r="Q392" s="228"/>
      <c r="R392" s="228"/>
      <c r="S392" s="43"/>
      <c r="T392" s="43"/>
    </row>
    <row r="393" spans="16:20">
      <c r="P393" s="33"/>
      <c r="Q393" s="228"/>
      <c r="R393" s="228"/>
      <c r="S393" s="43"/>
      <c r="T393" s="43"/>
    </row>
    <row r="394" spans="16:20">
      <c r="P394" s="33"/>
      <c r="Q394" s="228"/>
      <c r="R394" s="228"/>
      <c r="S394" s="43"/>
      <c r="T394" s="43"/>
    </row>
    <row r="395" spans="16:20">
      <c r="P395" s="33"/>
      <c r="Q395" s="228"/>
      <c r="R395" s="228"/>
      <c r="S395" s="43"/>
      <c r="T395" s="43"/>
    </row>
    <row r="396" spans="16:20">
      <c r="P396" s="33"/>
      <c r="Q396" s="228"/>
      <c r="R396" s="228"/>
      <c r="S396" s="43"/>
      <c r="T396" s="43"/>
    </row>
    <row r="397" spans="16:20">
      <c r="P397" s="33"/>
      <c r="Q397" s="228"/>
      <c r="R397" s="228"/>
      <c r="S397" s="43"/>
      <c r="T397" s="43"/>
    </row>
    <row r="398" spans="16:20">
      <c r="P398" s="33"/>
      <c r="Q398" s="228"/>
      <c r="R398" s="228"/>
      <c r="S398" s="43"/>
      <c r="T398" s="43"/>
    </row>
    <row r="399" spans="16:20">
      <c r="P399" s="33"/>
      <c r="Q399" s="228"/>
      <c r="R399" s="228"/>
      <c r="S399" s="43"/>
      <c r="T399" s="43"/>
    </row>
    <row r="400" spans="16:20">
      <c r="P400" s="33"/>
      <c r="Q400" s="228"/>
      <c r="R400" s="228"/>
      <c r="S400" s="43"/>
      <c r="T400" s="43"/>
    </row>
    <row r="401" spans="16:20">
      <c r="P401" s="33"/>
      <c r="Q401" s="228"/>
      <c r="R401" s="228"/>
      <c r="S401" s="43"/>
      <c r="T401" s="43"/>
    </row>
    <row r="402" spans="16:20">
      <c r="P402" s="33"/>
      <c r="Q402" s="228"/>
      <c r="R402" s="228"/>
      <c r="S402" s="43"/>
      <c r="T402" s="43"/>
    </row>
    <row r="403" spans="16:20">
      <c r="P403" s="33"/>
      <c r="Q403" s="228"/>
      <c r="R403" s="228"/>
      <c r="S403" s="43"/>
      <c r="T403" s="43"/>
    </row>
    <row r="404" spans="16:20">
      <c r="P404" s="33"/>
      <c r="Q404" s="228"/>
      <c r="R404" s="228"/>
      <c r="S404" s="43"/>
      <c r="T404" s="43"/>
    </row>
    <row r="405" spans="16:20">
      <c r="P405" s="33"/>
      <c r="Q405" s="228"/>
      <c r="R405" s="228"/>
      <c r="S405" s="43"/>
      <c r="T405" s="43"/>
    </row>
    <row r="406" spans="16:20">
      <c r="P406" s="33"/>
      <c r="Q406" s="228"/>
      <c r="R406" s="228"/>
      <c r="S406" s="43"/>
      <c r="T406" s="43"/>
    </row>
    <row r="407" spans="16:20">
      <c r="P407" s="33"/>
      <c r="Q407" s="228"/>
      <c r="R407" s="228"/>
      <c r="S407" s="43"/>
      <c r="T407" s="43"/>
    </row>
    <row r="408" spans="16:20">
      <c r="P408" s="33"/>
      <c r="Q408" s="228"/>
      <c r="R408" s="228"/>
      <c r="S408" s="43"/>
      <c r="T408" s="43"/>
    </row>
    <row r="409" spans="16:20">
      <c r="P409" s="33"/>
      <c r="Q409" s="228"/>
      <c r="R409" s="228"/>
      <c r="S409" s="43"/>
      <c r="T409" s="43"/>
    </row>
    <row r="410" spans="16:20">
      <c r="P410" s="33"/>
      <c r="Q410" s="228"/>
      <c r="R410" s="228"/>
      <c r="S410" s="43"/>
      <c r="T410" s="43"/>
    </row>
    <row r="411" spans="16:20">
      <c r="P411" s="33"/>
      <c r="Q411" s="228"/>
      <c r="R411" s="228"/>
      <c r="S411" s="43"/>
      <c r="T411" s="43"/>
    </row>
    <row r="412" spans="16:20">
      <c r="P412" s="33"/>
      <c r="Q412" s="228"/>
      <c r="R412" s="228"/>
      <c r="S412" s="43"/>
      <c r="T412" s="43"/>
    </row>
  </sheetData>
  <mergeCells count="1">
    <mergeCell ref="O1:P1"/>
  </mergeCells>
  <conditionalFormatting sqref="AH1:AH15000">
    <cfRule type="duplicateValues" dxfId="11" priority="1"/>
  </conditionalFormatting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00FF"/>
  </sheetPr>
  <dimension ref="A1:EF53"/>
  <sheetViews>
    <sheetView workbookViewId="0">
      <selection activeCell="F12" sqref="F12"/>
    </sheetView>
  </sheetViews>
  <sheetFormatPr defaultColWidth="5.75" defaultRowHeight="12.75" outlineLevelCol="1"/>
  <cols>
    <col min="1" max="1" width="10" style="130" customWidth="1"/>
    <col min="2" max="2" width="4.25" style="130" customWidth="1"/>
    <col min="3" max="4" width="4.875" style="130" customWidth="1"/>
    <col min="5" max="5" width="4.375" style="130" customWidth="1"/>
    <col min="6" max="6" width="5.25" style="130" customWidth="1"/>
    <col min="7" max="7" width="4" style="131" customWidth="1"/>
    <col min="8" max="8" width="4.25" style="130" customWidth="1"/>
    <col min="9" max="9" width="4" style="130" customWidth="1"/>
    <col min="10" max="10" width="4.875" style="130" customWidth="1"/>
    <col min="11" max="11" width="6.375" style="132" customWidth="1"/>
    <col min="12" max="15" width="6.375" style="133" hidden="1" customWidth="1" outlineLevel="1"/>
    <col min="16" max="16" width="4" style="133" customWidth="1" collapsed="1"/>
    <col min="17" max="17" width="8.375" style="130" customWidth="1"/>
    <col min="18" max="21" width="4.375" style="130" customWidth="1"/>
    <col min="22" max="22" width="4" style="134" customWidth="1"/>
    <col min="23" max="23" width="6.125" style="135" customWidth="1"/>
    <col min="24" max="24" width="4.125" style="136" customWidth="1"/>
    <col min="25" max="28" width="6.125" style="137" hidden="1" customWidth="1" outlineLevel="1"/>
    <col min="29" max="29" width="4.875" style="137" customWidth="1" collapsed="1"/>
    <col min="30" max="30" width="6" style="130" customWidth="1"/>
    <col min="31" max="31" width="4.25" style="130" customWidth="1"/>
    <col min="32" max="32" width="5.375" style="130" customWidth="1"/>
    <col min="33" max="34" width="4.25" style="130" customWidth="1"/>
    <col min="35" max="36" width="5.5" style="130" customWidth="1"/>
    <col min="37" max="37" width="5.25" style="130" customWidth="1"/>
    <col min="38" max="44" width="4" style="130" customWidth="1"/>
    <col min="45" max="45" width="6.75" style="130" customWidth="1"/>
    <col min="46" max="46" width="7.25" style="130" customWidth="1"/>
    <col min="47" max="47" width="4" style="137" customWidth="1"/>
    <col min="48" max="86" width="4" style="137" hidden="1" customWidth="1" outlineLevel="1"/>
    <col min="87" max="87" width="4" style="137" customWidth="1" collapsed="1"/>
    <col min="88" max="88" width="25.625" style="138" customWidth="1"/>
    <col min="89" max="89" width="10.125" style="138" customWidth="1"/>
    <col min="90" max="90" width="3.25" style="139" customWidth="1"/>
    <col min="91" max="91" width="6.125" style="138" customWidth="1"/>
    <col min="92" max="92" width="7.5" style="138" customWidth="1"/>
    <col min="93" max="93" width="3.625" style="139" customWidth="1"/>
    <col min="94" max="94" width="8.5" style="138" customWidth="1"/>
    <col min="95" max="95" width="7.5" style="138" customWidth="1"/>
    <col min="96" max="96" width="3.875" style="139" customWidth="1"/>
    <col min="97" max="97" width="48.125" style="140" customWidth="1"/>
    <col min="98" max="98" width="5.25" style="141" customWidth="1"/>
    <col min="99" max="129" width="5.75" style="142" hidden="1" customWidth="1" outlineLevel="1"/>
    <col min="130" max="130" width="5.75" style="142" collapsed="1"/>
    <col min="131" max="131" width="6.125" style="143" customWidth="1"/>
    <col min="132" max="132" width="8.25" style="143" customWidth="1"/>
    <col min="133" max="133" width="2.875" style="143" customWidth="1"/>
    <col min="134" max="134" width="3.5" style="143" customWidth="1"/>
    <col min="135" max="16384" width="5.75" style="142"/>
  </cols>
  <sheetData>
    <row r="1" spans="1:136">
      <c r="A1" s="266" t="s">
        <v>343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143"/>
      <c r="M1" s="143"/>
      <c r="N1" s="143"/>
      <c r="O1" s="143"/>
      <c r="P1" s="143"/>
      <c r="Q1" s="267" t="s">
        <v>344</v>
      </c>
      <c r="R1" s="268"/>
      <c r="S1" s="268"/>
      <c r="T1" s="268"/>
      <c r="U1" s="268"/>
      <c r="V1" s="268"/>
      <c r="W1" s="268"/>
      <c r="X1" s="268"/>
      <c r="Y1" s="143"/>
      <c r="Z1" s="143"/>
      <c r="AA1" s="143"/>
      <c r="AB1" s="143"/>
      <c r="AC1" s="143"/>
      <c r="AD1" s="269" t="s">
        <v>345</v>
      </c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1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146"/>
      <c r="BR1" s="146"/>
      <c r="BS1" s="146"/>
      <c r="BT1" s="146"/>
      <c r="BU1" s="146"/>
      <c r="BV1" s="146"/>
      <c r="BW1" s="146"/>
      <c r="BX1" s="146"/>
      <c r="BY1" s="146"/>
      <c r="BZ1" s="146"/>
      <c r="CA1" s="146"/>
      <c r="CB1" s="146"/>
      <c r="CC1" s="146"/>
      <c r="CD1" s="146"/>
      <c r="CE1" s="146"/>
      <c r="CF1" s="146"/>
      <c r="CG1" s="146"/>
      <c r="CH1" s="146"/>
      <c r="CI1" s="146"/>
      <c r="CJ1" s="272" t="s">
        <v>346</v>
      </c>
      <c r="CK1" s="272"/>
      <c r="CL1" s="272"/>
      <c r="CM1" s="272"/>
      <c r="CN1" s="272"/>
      <c r="CO1" s="272"/>
      <c r="CP1" s="272"/>
      <c r="CQ1" s="272"/>
      <c r="CR1" s="272"/>
      <c r="CS1" s="272"/>
      <c r="CT1" s="272"/>
      <c r="EA1" s="265" t="s">
        <v>347</v>
      </c>
      <c r="EB1" s="265"/>
      <c r="EC1" s="265"/>
      <c r="ED1" s="265"/>
    </row>
    <row r="2" spans="1:136" ht="15.75">
      <c r="A2" s="148"/>
      <c r="B2" s="149" t="s">
        <v>193</v>
      </c>
      <c r="C2" s="148" t="s">
        <v>348</v>
      </c>
      <c r="D2" s="149" t="s">
        <v>349</v>
      </c>
      <c r="E2" s="149" t="s">
        <v>350</v>
      </c>
      <c r="F2" s="148" t="s">
        <v>351</v>
      </c>
      <c r="G2" s="127" t="s">
        <v>352</v>
      </c>
      <c r="H2" s="150" t="s">
        <v>353</v>
      </c>
      <c r="I2" s="127" t="s">
        <v>354</v>
      </c>
      <c r="J2" s="127" t="s">
        <v>355</v>
      </c>
      <c r="K2" s="124" t="s">
        <v>356</v>
      </c>
      <c r="L2" s="151"/>
      <c r="M2" s="151"/>
      <c r="N2" s="151"/>
      <c r="O2" s="151"/>
      <c r="P2" s="151"/>
      <c r="Q2" s="263" t="s">
        <v>357</v>
      </c>
      <c r="R2" s="149" t="s">
        <v>358</v>
      </c>
      <c r="S2" s="149" t="s">
        <v>359</v>
      </c>
      <c r="T2" s="149" t="s">
        <v>360</v>
      </c>
      <c r="U2" s="149" t="s">
        <v>361</v>
      </c>
      <c r="V2" s="122" t="s">
        <v>362</v>
      </c>
      <c r="W2" s="145" t="s">
        <v>363</v>
      </c>
      <c r="X2" s="144" t="s">
        <v>364</v>
      </c>
      <c r="Y2" s="143"/>
      <c r="Z2" s="143"/>
      <c r="AA2" s="143"/>
      <c r="AB2" s="143"/>
      <c r="AC2" s="143"/>
      <c r="AD2" s="264" t="s">
        <v>365</v>
      </c>
      <c r="AE2" s="152" t="s">
        <v>366</v>
      </c>
      <c r="AF2" s="152" t="s">
        <v>367</v>
      </c>
      <c r="AG2" s="152" t="s">
        <v>368</v>
      </c>
      <c r="AH2" s="153" t="s">
        <v>369</v>
      </c>
      <c r="AI2" s="153" t="s">
        <v>370</v>
      </c>
      <c r="AJ2" s="153" t="s">
        <v>371</v>
      </c>
      <c r="AK2" s="152" t="s">
        <v>372</v>
      </c>
      <c r="AL2" s="154" t="s">
        <v>373</v>
      </c>
      <c r="AM2" s="154" t="s">
        <v>374</v>
      </c>
      <c r="AN2" s="154" t="s">
        <v>375</v>
      </c>
      <c r="AO2" s="154" t="s">
        <v>376</v>
      </c>
      <c r="AP2" s="154" t="s">
        <v>377</v>
      </c>
      <c r="AQ2" s="154" t="s">
        <v>378</v>
      </c>
      <c r="AR2" s="154" t="s">
        <v>379</v>
      </c>
      <c r="AS2" s="154" t="s">
        <v>380</v>
      </c>
      <c r="AT2" s="154" t="s">
        <v>381</v>
      </c>
      <c r="AU2" s="155"/>
      <c r="AV2" s="155"/>
      <c r="AW2" s="155"/>
      <c r="AX2" s="155"/>
      <c r="AY2" s="155"/>
      <c r="AZ2" s="155"/>
      <c r="BA2" s="155"/>
      <c r="BB2" s="155"/>
      <c r="BC2" s="155"/>
      <c r="BD2" s="155"/>
      <c r="BE2" s="155"/>
      <c r="BF2" s="155"/>
      <c r="BG2" s="155"/>
      <c r="BH2" s="155"/>
      <c r="BI2" s="155"/>
      <c r="BJ2" s="155"/>
      <c r="BK2" s="155"/>
      <c r="BL2" s="155"/>
      <c r="BM2" s="155"/>
      <c r="BN2" s="155"/>
      <c r="BO2" s="155"/>
      <c r="BP2" s="155"/>
      <c r="BQ2" s="155"/>
      <c r="BR2" s="155"/>
      <c r="BS2" s="155"/>
      <c r="BT2" s="155"/>
      <c r="BU2" s="155"/>
      <c r="BV2" s="155"/>
      <c r="BW2" s="155"/>
      <c r="BX2" s="155"/>
      <c r="BY2" s="155"/>
      <c r="BZ2" s="155"/>
      <c r="CA2" s="155"/>
      <c r="CB2" s="155"/>
      <c r="CC2" s="155"/>
      <c r="CD2" s="155"/>
      <c r="CE2" s="155"/>
      <c r="CF2" s="155"/>
      <c r="CG2" s="155"/>
      <c r="CH2" s="155"/>
      <c r="CI2" s="155"/>
      <c r="CJ2" s="156" t="s">
        <v>382</v>
      </c>
      <c r="CK2" s="157" t="s">
        <v>383</v>
      </c>
      <c r="CL2" s="158"/>
      <c r="CM2" s="273" t="s">
        <v>343</v>
      </c>
      <c r="CN2" s="273"/>
      <c r="CO2" s="159"/>
      <c r="CP2" s="273" t="s">
        <v>344</v>
      </c>
      <c r="CQ2" s="273"/>
      <c r="CR2" s="159"/>
      <c r="CS2" s="273" t="s">
        <v>384</v>
      </c>
      <c r="CT2" s="273"/>
      <c r="EA2" s="265"/>
      <c r="EB2" s="265"/>
      <c r="EC2" s="265"/>
      <c r="ED2" s="265"/>
    </row>
    <row r="3" spans="1:136" ht="15.75">
      <c r="A3" s="148" t="s">
        <v>385</v>
      </c>
      <c r="B3" s="160" t="s">
        <v>386</v>
      </c>
      <c r="C3" s="148" t="s">
        <v>387</v>
      </c>
      <c r="D3" s="148" t="s">
        <v>387</v>
      </c>
      <c r="E3" s="148" t="s">
        <v>387</v>
      </c>
      <c r="F3" s="148" t="s">
        <v>387</v>
      </c>
      <c r="G3" s="161"/>
      <c r="H3" s="162" t="s">
        <v>386</v>
      </c>
      <c r="I3" s="162"/>
      <c r="J3" s="162"/>
      <c r="K3" s="124" t="s">
        <v>387</v>
      </c>
      <c r="L3" s="151"/>
      <c r="M3" s="151"/>
      <c r="N3" s="151"/>
      <c r="O3" s="151"/>
      <c r="P3" s="151"/>
      <c r="Q3" s="263"/>
      <c r="R3" s="148" t="s">
        <v>387</v>
      </c>
      <c r="S3" s="148" t="s">
        <v>387</v>
      </c>
      <c r="T3" s="148" t="s">
        <v>387</v>
      </c>
      <c r="U3" s="148" t="s">
        <v>387</v>
      </c>
      <c r="V3" s="163" t="s">
        <v>203</v>
      </c>
      <c r="W3" s="164" t="s">
        <v>387</v>
      </c>
      <c r="X3" s="144" t="s">
        <v>203</v>
      </c>
      <c r="Y3" s="165"/>
      <c r="Z3" s="165"/>
      <c r="AA3" s="165"/>
      <c r="AB3" s="165"/>
      <c r="AC3" s="165"/>
      <c r="AD3" s="264"/>
      <c r="AE3" s="152" t="s">
        <v>387</v>
      </c>
      <c r="AF3" s="152" t="s">
        <v>387</v>
      </c>
      <c r="AG3" s="152" t="s">
        <v>387</v>
      </c>
      <c r="AH3" s="153" t="s">
        <v>387</v>
      </c>
      <c r="AI3" s="153" t="s">
        <v>387</v>
      </c>
      <c r="AJ3" s="153" t="s">
        <v>387</v>
      </c>
      <c r="AK3" s="152" t="s">
        <v>387</v>
      </c>
      <c r="AL3" s="154"/>
      <c r="AM3" s="154"/>
      <c r="AN3" s="154"/>
      <c r="AO3" s="154"/>
      <c r="AP3" s="154"/>
      <c r="AQ3" s="154"/>
      <c r="AR3" s="154"/>
      <c r="AS3" s="154"/>
      <c r="AT3" s="154"/>
      <c r="AU3" s="155"/>
      <c r="AV3" s="155"/>
      <c r="AW3" s="155"/>
      <c r="AX3" s="155"/>
      <c r="AY3" s="155"/>
      <c r="AZ3" s="155"/>
      <c r="BA3" s="155"/>
      <c r="BB3" s="155"/>
      <c r="BC3" s="155"/>
      <c r="BD3" s="155"/>
      <c r="BE3" s="155"/>
      <c r="BF3" s="155"/>
      <c r="BG3" s="155"/>
      <c r="BH3" s="155"/>
      <c r="BI3" s="155"/>
      <c r="BJ3" s="155"/>
      <c r="BK3" s="155"/>
      <c r="BL3" s="155"/>
      <c r="BM3" s="155"/>
      <c r="BN3" s="155"/>
      <c r="BO3" s="155"/>
      <c r="BP3" s="155"/>
      <c r="BQ3" s="155"/>
      <c r="BR3" s="155"/>
      <c r="BS3" s="155"/>
      <c r="BT3" s="155"/>
      <c r="BU3" s="155"/>
      <c r="BV3" s="155"/>
      <c r="BW3" s="155"/>
      <c r="BX3" s="155"/>
      <c r="BY3" s="155"/>
      <c r="BZ3" s="155"/>
      <c r="CA3" s="155"/>
      <c r="CB3" s="155"/>
      <c r="CC3" s="155"/>
      <c r="CD3" s="155"/>
      <c r="CE3" s="155"/>
      <c r="CF3" s="155"/>
      <c r="CG3" s="155"/>
      <c r="CH3" s="155"/>
      <c r="CI3" s="155"/>
      <c r="CJ3" s="166" t="s">
        <v>388</v>
      </c>
      <c r="CK3" s="167" t="s">
        <v>389</v>
      </c>
      <c r="CL3" s="168"/>
      <c r="CM3" s="166" t="s">
        <v>193</v>
      </c>
      <c r="CN3" s="141">
        <f>IFERROR(VLOOKUP($CK$3,A:K,2,0),"")</f>
        <v>25</v>
      </c>
      <c r="CO3" s="169"/>
      <c r="CP3" s="170" t="s">
        <v>390</v>
      </c>
      <c r="CQ3" s="170">
        <f>VLOOKUP($CK$4,Q:W,6,FALSE)</f>
        <v>1.1428571428571399</v>
      </c>
      <c r="CR3" s="171"/>
      <c r="CS3" s="172" t="s">
        <v>366</v>
      </c>
      <c r="CT3" s="141" t="str">
        <f>IFERROR(VLOOKUP($CK$3,AD:AR,2,0),"")</f>
        <v/>
      </c>
      <c r="EA3" s="147" t="s">
        <v>391</v>
      </c>
      <c r="EB3" s="147" t="s">
        <v>203</v>
      </c>
      <c r="EC3" s="147" t="s">
        <v>392</v>
      </c>
      <c r="ED3" s="147" t="s">
        <v>393</v>
      </c>
    </row>
    <row r="4" spans="1:136" ht="15.75">
      <c r="A4" s="173" t="s">
        <v>394</v>
      </c>
      <c r="B4" s="174">
        <v>15</v>
      </c>
      <c r="C4" s="175">
        <v>11</v>
      </c>
      <c r="D4" s="175">
        <v>8.5</v>
      </c>
      <c r="E4" s="175">
        <v>0.75</v>
      </c>
      <c r="F4" s="176">
        <v>24000</v>
      </c>
      <c r="G4" s="175">
        <v>1</v>
      </c>
      <c r="H4" s="177">
        <v>400</v>
      </c>
      <c r="I4" s="178">
        <v>0.85</v>
      </c>
      <c r="J4" s="179">
        <f t="shared" ref="J4:J11" si="0">I4-0.008*D4*G4</f>
        <v>0.78200000000000003</v>
      </c>
      <c r="K4" s="180">
        <v>1.1000000000000001</v>
      </c>
      <c r="L4" s="181"/>
      <c r="M4" s="181"/>
      <c r="N4" s="181"/>
      <c r="O4" s="181"/>
      <c r="P4" s="181"/>
      <c r="Q4" s="182" t="s">
        <v>395</v>
      </c>
      <c r="R4" s="182">
        <v>235</v>
      </c>
      <c r="S4" s="182">
        <v>225</v>
      </c>
      <c r="T4" s="182">
        <v>225</v>
      </c>
      <c r="U4" s="182">
        <v>175</v>
      </c>
      <c r="V4" s="183">
        <f t="shared" ref="V4:V17" si="1">R4/S4</f>
        <v>1.0444444444444401</v>
      </c>
      <c r="W4" s="184">
        <v>200000</v>
      </c>
      <c r="X4" s="185">
        <v>1</v>
      </c>
      <c r="Y4" s="186"/>
      <c r="Z4" s="186"/>
      <c r="AA4" s="186"/>
      <c r="AB4" s="186"/>
      <c r="AC4" s="186"/>
      <c r="AD4" s="173" t="s">
        <v>396</v>
      </c>
      <c r="AE4" s="187">
        <v>12</v>
      </c>
      <c r="AF4" s="187">
        <v>15</v>
      </c>
      <c r="AG4" s="187">
        <v>20</v>
      </c>
      <c r="AH4" s="174">
        <v>1.6</v>
      </c>
      <c r="AI4" s="174">
        <v>1.1000000000000001</v>
      </c>
      <c r="AJ4" s="174">
        <v>2</v>
      </c>
      <c r="AK4" s="177">
        <v>27000</v>
      </c>
      <c r="AL4" s="178">
        <v>1.8</v>
      </c>
      <c r="AM4" s="178">
        <v>3.5</v>
      </c>
      <c r="AN4" s="178">
        <v>2</v>
      </c>
      <c r="AO4" s="178">
        <v>3.5</v>
      </c>
      <c r="AP4" s="178">
        <v>2</v>
      </c>
      <c r="AQ4" s="178">
        <v>1.75</v>
      </c>
      <c r="AR4" s="178">
        <v>3.5</v>
      </c>
      <c r="AS4" s="188">
        <v>1</v>
      </c>
      <c r="AT4" s="188">
        <v>1.5</v>
      </c>
      <c r="AU4" s="189"/>
      <c r="AV4" s="189"/>
      <c r="AW4" s="189"/>
      <c r="AX4" s="189"/>
      <c r="AY4" s="189"/>
      <c r="AZ4" s="189"/>
      <c r="BA4" s="189"/>
      <c r="BB4" s="189"/>
      <c r="BC4" s="189"/>
      <c r="BD4" s="189"/>
      <c r="BE4" s="189"/>
      <c r="BF4" s="189"/>
      <c r="BG4" s="189"/>
      <c r="BH4" s="189"/>
      <c r="BI4" s="189"/>
      <c r="BJ4" s="189"/>
      <c r="BK4" s="189"/>
      <c r="BL4" s="189"/>
      <c r="BM4" s="189"/>
      <c r="BN4" s="189"/>
      <c r="BO4" s="189"/>
      <c r="BP4" s="189"/>
      <c r="BQ4" s="189"/>
      <c r="BR4" s="189"/>
      <c r="BS4" s="189"/>
      <c r="BT4" s="189"/>
      <c r="BU4" s="189"/>
      <c r="BV4" s="189"/>
      <c r="BW4" s="189"/>
      <c r="BX4" s="189"/>
      <c r="BY4" s="189"/>
      <c r="BZ4" s="189"/>
      <c r="CA4" s="189"/>
      <c r="CB4" s="189"/>
      <c r="CC4" s="189"/>
      <c r="CD4" s="189"/>
      <c r="CE4" s="189"/>
      <c r="CF4" s="189"/>
      <c r="CG4" s="189"/>
      <c r="CH4" s="189"/>
      <c r="CI4" s="189"/>
      <c r="CJ4" s="166" t="s">
        <v>397</v>
      </c>
      <c r="CK4" s="167" t="s">
        <v>398</v>
      </c>
      <c r="CL4" s="168"/>
      <c r="CM4" s="166" t="s">
        <v>399</v>
      </c>
      <c r="CN4" s="141">
        <f>IFERROR(VLOOKUP($CK$3,A:K,3,0)*$CN$10,"")</f>
        <v>18.5</v>
      </c>
      <c r="CO4" s="171"/>
      <c r="CP4" s="170" t="s">
        <v>400</v>
      </c>
      <c r="CQ4" s="190">
        <f>VLOOKUP($CK$4,Q:W,3,FALSE)</f>
        <v>210</v>
      </c>
      <c r="CR4" s="169"/>
      <c r="CS4" s="172" t="s">
        <v>367</v>
      </c>
      <c r="CT4" s="141" t="str">
        <f>IFERROR(VLOOKUP($CK$3,AD:AR,3,0),"")</f>
        <v/>
      </c>
      <c r="EA4" s="191" t="s">
        <v>203</v>
      </c>
      <c r="EB4" s="191" t="s">
        <v>203</v>
      </c>
      <c r="EC4" s="191" t="s">
        <v>203</v>
      </c>
      <c r="ED4" s="191" t="s">
        <v>203</v>
      </c>
    </row>
    <row r="5" spans="1:136" ht="15.75">
      <c r="A5" s="173" t="s">
        <v>401</v>
      </c>
      <c r="B5" s="174">
        <v>20</v>
      </c>
      <c r="C5" s="175">
        <v>15</v>
      </c>
      <c r="D5" s="175">
        <v>11.5</v>
      </c>
      <c r="E5" s="175">
        <v>0.9</v>
      </c>
      <c r="F5" s="176">
        <v>27500</v>
      </c>
      <c r="G5" s="175">
        <v>1</v>
      </c>
      <c r="H5" s="177">
        <v>400</v>
      </c>
      <c r="I5" s="178">
        <v>0.85</v>
      </c>
      <c r="J5" s="179">
        <f t="shared" si="0"/>
        <v>0.75800000000000001</v>
      </c>
      <c r="K5" s="180">
        <v>1.35</v>
      </c>
      <c r="L5" s="181"/>
      <c r="M5" s="181"/>
      <c r="N5" s="181"/>
      <c r="O5" s="181"/>
      <c r="P5" s="181"/>
      <c r="Q5" s="182" t="s">
        <v>402</v>
      </c>
      <c r="R5" s="182">
        <v>295</v>
      </c>
      <c r="S5" s="182">
        <v>280</v>
      </c>
      <c r="T5" s="182">
        <v>280</v>
      </c>
      <c r="U5" s="182">
        <v>225</v>
      </c>
      <c r="V5" s="183">
        <f t="shared" si="1"/>
        <v>1.0535714285714299</v>
      </c>
      <c r="W5" s="184">
        <v>200000</v>
      </c>
      <c r="X5" s="185">
        <v>1</v>
      </c>
      <c r="Y5" s="186"/>
      <c r="Z5" s="186"/>
      <c r="AA5" s="186"/>
      <c r="AB5" s="186"/>
      <c r="AC5" s="186"/>
      <c r="AD5" s="173" t="s">
        <v>403</v>
      </c>
      <c r="AE5" s="187">
        <v>16</v>
      </c>
      <c r="AF5" s="187">
        <v>20</v>
      </c>
      <c r="AG5" s="187">
        <v>24</v>
      </c>
      <c r="AH5" s="174">
        <v>1.9</v>
      </c>
      <c r="AI5" s="174">
        <v>1.3</v>
      </c>
      <c r="AJ5" s="174">
        <v>2.5</v>
      </c>
      <c r="AK5" s="177">
        <v>29000</v>
      </c>
      <c r="AL5" s="178">
        <v>1.9</v>
      </c>
      <c r="AM5" s="178">
        <v>3.5</v>
      </c>
      <c r="AN5" s="178">
        <v>2</v>
      </c>
      <c r="AO5" s="178">
        <v>3.5</v>
      </c>
      <c r="AP5" s="178">
        <v>2</v>
      </c>
      <c r="AQ5" s="178">
        <v>1.75</v>
      </c>
      <c r="AR5" s="178">
        <v>3.5</v>
      </c>
      <c r="AS5" s="188">
        <v>1</v>
      </c>
      <c r="AT5" s="188">
        <v>1.5</v>
      </c>
      <c r="AU5" s="189"/>
      <c r="AV5" s="189"/>
      <c r="AW5" s="189"/>
      <c r="AX5" s="189"/>
      <c r="AY5" s="189"/>
      <c r="AZ5" s="189"/>
      <c r="BA5" s="189"/>
      <c r="BB5" s="189"/>
      <c r="BC5" s="189"/>
      <c r="BD5" s="189"/>
      <c r="BE5" s="189"/>
      <c r="BF5" s="189"/>
      <c r="BG5" s="189"/>
      <c r="BH5" s="189"/>
      <c r="BI5" s="189"/>
      <c r="BJ5" s="189"/>
      <c r="BK5" s="189"/>
      <c r="BL5" s="189"/>
      <c r="BM5" s="189"/>
      <c r="BN5" s="189"/>
      <c r="BO5" s="189"/>
      <c r="BP5" s="189"/>
      <c r="BQ5" s="189"/>
      <c r="BR5" s="189"/>
      <c r="BS5" s="189"/>
      <c r="BT5" s="189"/>
      <c r="BU5" s="189"/>
      <c r="BV5" s="189"/>
      <c r="BW5" s="189"/>
      <c r="BX5" s="189"/>
      <c r="BY5" s="189"/>
      <c r="BZ5" s="189"/>
      <c r="CA5" s="189"/>
      <c r="CB5" s="189"/>
      <c r="CC5" s="189"/>
      <c r="CD5" s="189"/>
      <c r="CE5" s="189"/>
      <c r="CF5" s="189"/>
      <c r="CG5" s="189"/>
      <c r="CH5" s="189"/>
      <c r="CI5" s="189"/>
      <c r="CJ5" s="166" t="s">
        <v>404</v>
      </c>
      <c r="CK5" s="167" t="s">
        <v>405</v>
      </c>
      <c r="CL5" s="168"/>
      <c r="CM5" s="170" t="s">
        <v>406</v>
      </c>
      <c r="CN5" s="141">
        <f>IFERROR(VLOOKUP($CK$3,A:K,4,0)*$CN$10,"")</f>
        <v>14.5</v>
      </c>
      <c r="CO5" s="192"/>
      <c r="CP5" s="166" t="s">
        <v>407</v>
      </c>
      <c r="CQ5" s="190">
        <f>VLOOKUP($CK$4,Q:W,4,FALSE)</f>
        <v>210</v>
      </c>
      <c r="CR5" s="169"/>
      <c r="CS5" s="172" t="s">
        <v>368</v>
      </c>
      <c r="CT5" s="141" t="str">
        <f>IFERROR(VLOOKUP($CK$3,AD:AR,4,0),"")</f>
        <v/>
      </c>
      <c r="EA5" s="191" t="s">
        <v>203</v>
      </c>
      <c r="EB5" s="191" t="s">
        <v>203</v>
      </c>
      <c r="EC5" s="191" t="s">
        <v>203</v>
      </c>
      <c r="ED5" s="191" t="s">
        <v>203</v>
      </c>
      <c r="EE5" s="262" t="s">
        <v>408</v>
      </c>
      <c r="EF5" s="262"/>
    </row>
    <row r="6" spans="1:136" ht="15.75">
      <c r="A6" s="173" t="s">
        <v>409</v>
      </c>
      <c r="B6" s="174">
        <v>22.5</v>
      </c>
      <c r="C6" s="175">
        <v>16.75</v>
      </c>
      <c r="D6" s="175">
        <v>13</v>
      </c>
      <c r="E6" s="175">
        <v>1</v>
      </c>
      <c r="F6" s="176">
        <v>29000</v>
      </c>
      <c r="G6" s="175">
        <v>1</v>
      </c>
      <c r="H6" s="177">
        <v>400</v>
      </c>
      <c r="I6" s="178">
        <v>0.85</v>
      </c>
      <c r="J6" s="179">
        <f t="shared" si="0"/>
        <v>0.746</v>
      </c>
      <c r="K6" s="180">
        <v>1.5</v>
      </c>
      <c r="L6" s="181"/>
      <c r="M6" s="181"/>
      <c r="N6" s="181"/>
      <c r="O6" s="181"/>
      <c r="P6" s="181"/>
      <c r="Q6" s="182" t="s">
        <v>410</v>
      </c>
      <c r="R6" s="182">
        <v>390</v>
      </c>
      <c r="S6" s="182">
        <v>365</v>
      </c>
      <c r="T6" s="182">
        <v>365</v>
      </c>
      <c r="U6" s="182">
        <v>290</v>
      </c>
      <c r="V6" s="183">
        <f t="shared" si="1"/>
        <v>1.06849315068493</v>
      </c>
      <c r="W6" s="184">
        <v>200000</v>
      </c>
      <c r="X6" s="185">
        <v>1</v>
      </c>
      <c r="Y6" s="186"/>
      <c r="Z6" s="186"/>
      <c r="AA6" s="186"/>
      <c r="AB6" s="186"/>
      <c r="AC6" s="186"/>
      <c r="AD6" s="173" t="s">
        <v>411</v>
      </c>
      <c r="AE6" s="187">
        <v>20</v>
      </c>
      <c r="AF6" s="187">
        <v>25</v>
      </c>
      <c r="AG6" s="187">
        <v>28</v>
      </c>
      <c r="AH6" s="174">
        <v>2.2000000000000002</v>
      </c>
      <c r="AI6" s="174">
        <v>1.5</v>
      </c>
      <c r="AJ6" s="174">
        <v>2.9</v>
      </c>
      <c r="AK6" s="177">
        <v>30000</v>
      </c>
      <c r="AL6" s="178">
        <v>2</v>
      </c>
      <c r="AM6" s="178">
        <v>3.5</v>
      </c>
      <c r="AN6" s="178">
        <v>2</v>
      </c>
      <c r="AO6" s="178">
        <v>3.5</v>
      </c>
      <c r="AP6" s="178">
        <v>2</v>
      </c>
      <c r="AQ6" s="178">
        <v>1.75</v>
      </c>
      <c r="AR6" s="178">
        <v>3.5</v>
      </c>
      <c r="AS6" s="188">
        <v>1</v>
      </c>
      <c r="AT6" s="188">
        <v>1.5</v>
      </c>
      <c r="AU6" s="189"/>
      <c r="AV6" s="189"/>
      <c r="AW6" s="189"/>
      <c r="AX6" s="189"/>
      <c r="AY6" s="189"/>
      <c r="AZ6" s="189"/>
      <c r="BA6" s="189"/>
      <c r="BB6" s="189"/>
      <c r="BC6" s="189"/>
      <c r="BD6" s="189"/>
      <c r="BE6" s="189"/>
      <c r="BF6" s="189"/>
      <c r="BG6" s="189"/>
      <c r="BH6" s="189"/>
      <c r="BI6" s="189"/>
      <c r="BJ6" s="189"/>
      <c r="BK6" s="189"/>
      <c r="BL6" s="189"/>
      <c r="BM6" s="189"/>
      <c r="BN6" s="189"/>
      <c r="BO6" s="189"/>
      <c r="BP6" s="189"/>
      <c r="BQ6" s="189"/>
      <c r="BR6" s="189"/>
      <c r="BS6" s="189"/>
      <c r="BT6" s="189"/>
      <c r="BU6" s="189"/>
      <c r="BV6" s="189"/>
      <c r="BW6" s="189"/>
      <c r="BX6" s="189"/>
      <c r="BY6" s="189"/>
      <c r="BZ6" s="189"/>
      <c r="CA6" s="189"/>
      <c r="CB6" s="189"/>
      <c r="CC6" s="189"/>
      <c r="CD6" s="189"/>
      <c r="CE6" s="189"/>
      <c r="CF6" s="189"/>
      <c r="CG6" s="189"/>
      <c r="CH6" s="189"/>
      <c r="CI6" s="189"/>
      <c r="CJ6" s="138" t="s">
        <v>412</v>
      </c>
      <c r="CK6" s="194" t="s">
        <v>413</v>
      </c>
      <c r="CL6" s="195"/>
      <c r="CM6" s="196" t="s">
        <v>414</v>
      </c>
      <c r="CN6" s="141">
        <f>IFERROR(VLOOKUP($CK$3,A:K,3,0)*$CN$10,"")</f>
        <v>18.5</v>
      </c>
      <c r="CO6" s="171"/>
      <c r="CP6" s="197" t="s">
        <v>415</v>
      </c>
      <c r="CQ6" s="190">
        <f>VLOOKUP($CK$4,Q:W,7,FALSE)</f>
        <v>200000</v>
      </c>
      <c r="CR6" s="169"/>
      <c r="CS6" s="198" t="s">
        <v>369</v>
      </c>
      <c r="CT6" s="141" t="str">
        <f>IFERROR(VLOOKUP($CK$3,AD:AR,5,0),"")</f>
        <v/>
      </c>
      <c r="EA6" s="191" t="s">
        <v>203</v>
      </c>
      <c r="EB6" s="191" t="s">
        <v>416</v>
      </c>
      <c r="EC6" s="191">
        <v>12</v>
      </c>
      <c r="ED6" s="191">
        <v>200</v>
      </c>
      <c r="EE6" s="193">
        <v>10</v>
      </c>
      <c r="EF6" s="193">
        <v>200</v>
      </c>
    </row>
    <row r="7" spans="1:136" ht="15.75">
      <c r="A7" s="173" t="s">
        <v>389</v>
      </c>
      <c r="B7" s="174">
        <v>25</v>
      </c>
      <c r="C7" s="175">
        <v>18.5</v>
      </c>
      <c r="D7" s="175">
        <v>14.5</v>
      </c>
      <c r="E7" s="175">
        <v>1.05</v>
      </c>
      <c r="F7" s="176">
        <v>30000</v>
      </c>
      <c r="G7" s="175">
        <v>1</v>
      </c>
      <c r="H7" s="177">
        <v>400</v>
      </c>
      <c r="I7" s="178">
        <v>0.85</v>
      </c>
      <c r="J7" s="179">
        <f t="shared" si="0"/>
        <v>0.73399999999999999</v>
      </c>
      <c r="K7" s="180">
        <v>1.55</v>
      </c>
      <c r="L7" s="181"/>
      <c r="M7" s="181"/>
      <c r="N7" s="181"/>
      <c r="O7" s="181"/>
      <c r="P7" s="181"/>
      <c r="Q7" s="199" t="s">
        <v>417</v>
      </c>
      <c r="R7" s="200">
        <v>235</v>
      </c>
      <c r="S7" s="199">
        <v>225</v>
      </c>
      <c r="T7" s="199">
        <v>225</v>
      </c>
      <c r="U7" s="199">
        <v>175</v>
      </c>
      <c r="V7" s="201">
        <f t="shared" si="1"/>
        <v>1.0444444444444401</v>
      </c>
      <c r="W7" s="202">
        <v>200000</v>
      </c>
      <c r="X7" s="203">
        <v>1</v>
      </c>
      <c r="Y7" s="204"/>
      <c r="Z7" s="204"/>
      <c r="AA7" s="204"/>
      <c r="AB7" s="204"/>
      <c r="AC7" s="204"/>
      <c r="AD7" s="173" t="s">
        <v>418</v>
      </c>
      <c r="AE7" s="187">
        <v>25</v>
      </c>
      <c r="AF7" s="187">
        <v>30</v>
      </c>
      <c r="AG7" s="187">
        <v>33</v>
      </c>
      <c r="AH7" s="174">
        <v>2.6</v>
      </c>
      <c r="AI7" s="174">
        <v>1.8</v>
      </c>
      <c r="AJ7" s="174">
        <v>3.3</v>
      </c>
      <c r="AK7" s="177">
        <v>31000</v>
      </c>
      <c r="AL7" s="178">
        <v>2.1</v>
      </c>
      <c r="AM7" s="178">
        <v>3.5</v>
      </c>
      <c r="AN7" s="178">
        <v>2</v>
      </c>
      <c r="AO7" s="178">
        <v>3.5</v>
      </c>
      <c r="AP7" s="178">
        <v>2</v>
      </c>
      <c r="AQ7" s="178">
        <v>1.75</v>
      </c>
      <c r="AR7" s="178">
        <v>3.5</v>
      </c>
      <c r="AS7" s="188">
        <v>1</v>
      </c>
      <c r="AT7" s="188">
        <v>1.5</v>
      </c>
      <c r="AU7" s="189"/>
      <c r="AV7" s="189"/>
      <c r="AW7" s="189"/>
      <c r="AX7" s="189"/>
      <c r="AY7" s="189"/>
      <c r="AZ7" s="189"/>
      <c r="BA7" s="189"/>
      <c r="BB7" s="189"/>
      <c r="BC7" s="189"/>
      <c r="BD7" s="189"/>
      <c r="BE7" s="189"/>
      <c r="BF7" s="189"/>
      <c r="BG7" s="189"/>
      <c r="BH7" s="189"/>
      <c r="BI7" s="189"/>
      <c r="BJ7" s="189"/>
      <c r="BK7" s="189"/>
      <c r="BL7" s="189"/>
      <c r="BM7" s="189"/>
      <c r="BN7" s="189"/>
      <c r="BO7" s="189"/>
      <c r="BP7" s="189"/>
      <c r="BQ7" s="189"/>
      <c r="BR7" s="189"/>
      <c r="BS7" s="189"/>
      <c r="BT7" s="189"/>
      <c r="BU7" s="189"/>
      <c r="BV7" s="189"/>
      <c r="BW7" s="189"/>
      <c r="BX7" s="189"/>
      <c r="BY7" s="189"/>
      <c r="BZ7" s="189"/>
      <c r="CA7" s="189"/>
      <c r="CB7" s="189"/>
      <c r="CC7" s="189"/>
      <c r="CD7" s="189"/>
      <c r="CE7" s="189"/>
      <c r="CF7" s="189"/>
      <c r="CG7" s="189"/>
      <c r="CH7" s="189"/>
      <c r="CI7" s="189"/>
      <c r="CJ7" s="138" t="s">
        <v>419</v>
      </c>
      <c r="CK7" s="194" t="s">
        <v>420</v>
      </c>
      <c r="CL7" s="168"/>
      <c r="CM7" s="166" t="s">
        <v>421</v>
      </c>
      <c r="CN7" s="205">
        <f>IFERROR(VLOOKUP($CK$3,A:K,5,0)*$CN$10,"")</f>
        <v>1.05</v>
      </c>
      <c r="CO7" s="171"/>
      <c r="CP7" s="170" t="s">
        <v>422</v>
      </c>
      <c r="CQ7" s="196">
        <f>IFERROR(CN13/(1+CQ4/CN11*(1-CN13/1.1)),"")</f>
        <v>0.62485005610803701</v>
      </c>
      <c r="CR7" s="192"/>
      <c r="CS7" s="198" t="s">
        <v>370</v>
      </c>
      <c r="CT7" s="141" t="str">
        <f>IFERROR(VLOOKUP($CK$3,AD:AR,6,0),"")</f>
        <v/>
      </c>
      <c r="EA7" s="191" t="s">
        <v>203</v>
      </c>
      <c r="EB7" s="191" t="s">
        <v>423</v>
      </c>
      <c r="EC7" s="191">
        <v>12</v>
      </c>
      <c r="ED7" s="191">
        <v>150</v>
      </c>
      <c r="EE7" s="193">
        <v>10</v>
      </c>
      <c r="EF7" s="193">
        <v>150</v>
      </c>
    </row>
    <row r="8" spans="1:136" ht="15.75">
      <c r="A8" s="173" t="s">
        <v>424</v>
      </c>
      <c r="B8" s="174">
        <v>30</v>
      </c>
      <c r="C8" s="175">
        <v>22</v>
      </c>
      <c r="D8" s="175">
        <v>17</v>
      </c>
      <c r="E8" s="206">
        <v>1.1499999999999999</v>
      </c>
      <c r="F8" s="176">
        <v>32500</v>
      </c>
      <c r="G8" s="175">
        <v>1</v>
      </c>
      <c r="H8" s="177">
        <v>400</v>
      </c>
      <c r="I8" s="178">
        <v>0.85</v>
      </c>
      <c r="J8" s="179">
        <f t="shared" si="0"/>
        <v>0.71399999999999997</v>
      </c>
      <c r="K8" s="180">
        <v>1.75</v>
      </c>
      <c r="L8" s="181"/>
      <c r="M8" s="181"/>
      <c r="N8" s="181"/>
      <c r="O8" s="181"/>
      <c r="P8" s="181"/>
      <c r="Q8" s="199" t="s">
        <v>425</v>
      </c>
      <c r="R8" s="200">
        <v>295</v>
      </c>
      <c r="S8" s="199">
        <v>280</v>
      </c>
      <c r="T8" s="199">
        <v>280</v>
      </c>
      <c r="U8" s="199">
        <v>225</v>
      </c>
      <c r="V8" s="201">
        <f t="shared" si="1"/>
        <v>1.0535714285714299</v>
      </c>
      <c r="W8" s="202">
        <v>200000</v>
      </c>
      <c r="X8" s="203">
        <v>1</v>
      </c>
      <c r="Y8" s="204"/>
      <c r="Z8" s="204"/>
      <c r="AA8" s="204"/>
      <c r="AB8" s="204"/>
      <c r="AC8" s="204"/>
      <c r="AD8" s="173" t="s">
        <v>426</v>
      </c>
      <c r="AE8" s="187">
        <v>30</v>
      </c>
      <c r="AF8" s="187">
        <v>37</v>
      </c>
      <c r="AG8" s="187">
        <v>38</v>
      </c>
      <c r="AH8" s="174">
        <v>2.9</v>
      </c>
      <c r="AI8" s="174">
        <v>2</v>
      </c>
      <c r="AJ8" s="174">
        <v>3.8</v>
      </c>
      <c r="AK8" s="177">
        <v>33000</v>
      </c>
      <c r="AL8" s="178">
        <v>2.2000000000000002</v>
      </c>
      <c r="AM8" s="178">
        <v>3.5</v>
      </c>
      <c r="AN8" s="178">
        <v>2</v>
      </c>
      <c r="AO8" s="178">
        <v>3.5</v>
      </c>
      <c r="AP8" s="178">
        <v>2</v>
      </c>
      <c r="AQ8" s="178">
        <v>1.75</v>
      </c>
      <c r="AR8" s="178">
        <v>3.5</v>
      </c>
      <c r="AS8" s="188">
        <v>1</v>
      </c>
      <c r="AT8" s="188">
        <v>1.5</v>
      </c>
      <c r="AU8" s="189"/>
      <c r="AV8" s="189"/>
      <c r="AW8" s="189"/>
      <c r="AX8" s="189"/>
      <c r="AY8" s="189"/>
      <c r="AZ8" s="189"/>
      <c r="BA8" s="189"/>
      <c r="BB8" s="189"/>
      <c r="BC8" s="189"/>
      <c r="BD8" s="189"/>
      <c r="BE8" s="189"/>
      <c r="BF8" s="189"/>
      <c r="BG8" s="189"/>
      <c r="BH8" s="189"/>
      <c r="BI8" s="189"/>
      <c r="BJ8" s="189"/>
      <c r="BK8" s="189"/>
      <c r="BL8" s="189"/>
      <c r="BM8" s="189"/>
      <c r="BN8" s="189"/>
      <c r="BO8" s="189"/>
      <c r="BP8" s="189"/>
      <c r="BQ8" s="189"/>
      <c r="BR8" s="189"/>
      <c r="BS8" s="189"/>
      <c r="BT8" s="189"/>
      <c r="BU8" s="189"/>
      <c r="BV8" s="189"/>
      <c r="BW8" s="189"/>
      <c r="BX8" s="189"/>
      <c r="BY8" s="189"/>
      <c r="BZ8" s="189"/>
      <c r="CA8" s="189"/>
      <c r="CB8" s="189"/>
      <c r="CC8" s="189"/>
      <c r="CD8" s="189"/>
      <c r="CE8" s="189"/>
      <c r="CF8" s="189"/>
      <c r="CG8" s="189"/>
      <c r="CH8" s="189"/>
      <c r="CI8" s="189"/>
      <c r="CJ8" s="170" t="s">
        <v>427</v>
      </c>
      <c r="CK8" s="167">
        <v>0.2</v>
      </c>
      <c r="CL8" s="168"/>
      <c r="CM8" s="196" t="s">
        <v>356</v>
      </c>
      <c r="CN8" s="141">
        <f>IFERROR(VLOOKUP($CK$3,A:K,11,0)*$CN$10,"")</f>
        <v>1.55</v>
      </c>
      <c r="CO8" s="168"/>
      <c r="CP8" s="170" t="s">
        <v>428</v>
      </c>
      <c r="CQ8" s="207">
        <f>IF(CK2="TCVN",CQ7*100*CN5/CQ5,4)</f>
        <v>4.3144408636031102</v>
      </c>
      <c r="CR8" s="171"/>
      <c r="CS8" s="198" t="s">
        <v>371</v>
      </c>
      <c r="CT8" s="141" t="str">
        <f>IFERROR(VLOOKUP($CK$3,AD:AR,7,0),"")</f>
        <v/>
      </c>
      <c r="EA8" s="191" t="s">
        <v>203</v>
      </c>
      <c r="EB8" s="191" t="s">
        <v>429</v>
      </c>
      <c r="EC8" s="191">
        <v>12</v>
      </c>
      <c r="ED8" s="191">
        <v>100</v>
      </c>
      <c r="EE8" s="193">
        <v>10</v>
      </c>
      <c r="EF8" s="193">
        <v>100</v>
      </c>
    </row>
    <row r="9" spans="1:136" ht="15.75">
      <c r="A9" s="173" t="s">
        <v>430</v>
      </c>
      <c r="B9" s="174">
        <v>35</v>
      </c>
      <c r="C9" s="175">
        <v>25.5</v>
      </c>
      <c r="D9" s="175">
        <v>19.5</v>
      </c>
      <c r="E9" s="206">
        <v>1.3</v>
      </c>
      <c r="F9" s="176">
        <v>34500</v>
      </c>
      <c r="G9" s="175">
        <v>1</v>
      </c>
      <c r="H9" s="177">
        <v>400</v>
      </c>
      <c r="I9" s="178">
        <v>0.85</v>
      </c>
      <c r="J9" s="179">
        <f t="shared" si="0"/>
        <v>0.69399999999999995</v>
      </c>
      <c r="K9" s="180">
        <v>1.95</v>
      </c>
      <c r="L9" s="181"/>
      <c r="M9" s="181"/>
      <c r="N9" s="181"/>
      <c r="O9" s="181"/>
      <c r="P9" s="181"/>
      <c r="Q9" s="199" t="s">
        <v>431</v>
      </c>
      <c r="R9" s="200">
        <v>390</v>
      </c>
      <c r="S9" s="199">
        <v>365</v>
      </c>
      <c r="T9" s="199">
        <v>365</v>
      </c>
      <c r="U9" s="199">
        <v>290</v>
      </c>
      <c r="V9" s="201">
        <f t="shared" si="1"/>
        <v>1.06849315068493</v>
      </c>
      <c r="W9" s="202">
        <v>200000</v>
      </c>
      <c r="X9" s="203">
        <v>1</v>
      </c>
      <c r="Y9" s="204"/>
      <c r="Z9" s="204"/>
      <c r="AA9" s="204"/>
      <c r="AB9" s="204"/>
      <c r="AC9" s="204"/>
      <c r="AD9" s="173" t="s">
        <v>432</v>
      </c>
      <c r="AE9" s="187">
        <v>35</v>
      </c>
      <c r="AF9" s="187">
        <v>45</v>
      </c>
      <c r="AG9" s="187">
        <v>43</v>
      </c>
      <c r="AH9" s="174">
        <v>3.2</v>
      </c>
      <c r="AI9" s="174">
        <v>2.2000000000000002</v>
      </c>
      <c r="AJ9" s="174">
        <v>4.2</v>
      </c>
      <c r="AK9" s="177">
        <v>34000</v>
      </c>
      <c r="AL9" s="178">
        <v>2.25</v>
      </c>
      <c r="AM9" s="178">
        <v>3.5</v>
      </c>
      <c r="AN9" s="178">
        <v>2</v>
      </c>
      <c r="AO9" s="178">
        <v>3.5</v>
      </c>
      <c r="AP9" s="178">
        <v>2</v>
      </c>
      <c r="AQ9" s="178">
        <v>1.75</v>
      </c>
      <c r="AR9" s="178">
        <v>3.5</v>
      </c>
      <c r="AS9" s="188">
        <v>1</v>
      </c>
      <c r="AT9" s="188">
        <v>1.5</v>
      </c>
      <c r="AU9" s="189"/>
      <c r="AV9" s="189"/>
      <c r="AW9" s="189"/>
      <c r="AX9" s="189"/>
      <c r="AY9" s="189"/>
      <c r="AZ9" s="189"/>
      <c r="BA9" s="189"/>
      <c r="BB9" s="189"/>
      <c r="BC9" s="189"/>
      <c r="BD9" s="189"/>
      <c r="BE9" s="189"/>
      <c r="BF9" s="189"/>
      <c r="BG9" s="189"/>
      <c r="BH9" s="189"/>
      <c r="BI9" s="189"/>
      <c r="BJ9" s="189"/>
      <c r="BK9" s="189"/>
      <c r="BL9" s="189"/>
      <c r="BM9" s="189"/>
      <c r="BN9" s="189"/>
      <c r="BO9" s="189"/>
      <c r="BP9" s="189"/>
      <c r="BQ9" s="189"/>
      <c r="BR9" s="189"/>
      <c r="BS9" s="189"/>
      <c r="BT9" s="189"/>
      <c r="BU9" s="189"/>
      <c r="BV9" s="189"/>
      <c r="BW9" s="189"/>
      <c r="BX9" s="189"/>
      <c r="BY9" s="189"/>
      <c r="BZ9" s="189"/>
      <c r="CA9" s="189"/>
      <c r="CB9" s="189"/>
      <c r="CC9" s="189"/>
      <c r="CD9" s="189"/>
      <c r="CE9" s="189"/>
      <c r="CF9" s="189"/>
      <c r="CG9" s="189"/>
      <c r="CH9" s="189"/>
      <c r="CI9" s="189"/>
      <c r="CJ9" s="170" t="s">
        <v>433</v>
      </c>
      <c r="CK9" s="167">
        <v>0.3</v>
      </c>
      <c r="CL9" s="168"/>
      <c r="CM9" s="190" t="s">
        <v>434</v>
      </c>
      <c r="CN9" s="141">
        <f>IFERROR(VLOOKUP($CK$3,A:K,6,0),"")</f>
        <v>30000</v>
      </c>
      <c r="CO9" s="169"/>
      <c r="CP9" s="170" t="s">
        <v>390</v>
      </c>
      <c r="CQ9" s="170">
        <f>VLOOKUP($CK$5,Q:W,6,FALSE)</f>
        <v>1.1428571428571399</v>
      </c>
      <c r="CR9" s="208"/>
      <c r="CS9" s="172" t="s">
        <v>372</v>
      </c>
      <c r="CT9" s="141" t="str">
        <f>IFERROR(VLOOKUP($CK$3,AD:AR,8,0),"")</f>
        <v/>
      </c>
      <c r="EA9" s="191" t="s">
        <v>203</v>
      </c>
      <c r="EB9" s="191" t="s">
        <v>435</v>
      </c>
      <c r="EC9" s="191">
        <v>14</v>
      </c>
      <c r="ED9" s="191">
        <v>200</v>
      </c>
      <c r="EE9" s="193">
        <v>12</v>
      </c>
      <c r="EF9" s="193">
        <v>200</v>
      </c>
    </row>
    <row r="10" spans="1:136" ht="15.75">
      <c r="A10" s="173" t="s">
        <v>436</v>
      </c>
      <c r="B10" s="174">
        <v>40</v>
      </c>
      <c r="C10" s="175">
        <v>29</v>
      </c>
      <c r="D10" s="175">
        <v>22</v>
      </c>
      <c r="E10" s="206">
        <v>1.4</v>
      </c>
      <c r="F10" s="176">
        <v>36000</v>
      </c>
      <c r="G10" s="175">
        <v>1</v>
      </c>
      <c r="H10" s="177">
        <v>500</v>
      </c>
      <c r="I10" s="178">
        <v>0.85</v>
      </c>
      <c r="J10" s="179">
        <f t="shared" si="0"/>
        <v>0.67400000000000004</v>
      </c>
      <c r="K10" s="180">
        <v>2.1</v>
      </c>
      <c r="L10" s="181"/>
      <c r="M10" s="181"/>
      <c r="N10" s="181"/>
      <c r="O10" s="181"/>
      <c r="P10" s="181"/>
      <c r="Q10" s="182" t="s">
        <v>398</v>
      </c>
      <c r="R10" s="209">
        <v>240</v>
      </c>
      <c r="S10" s="182">
        <v>210</v>
      </c>
      <c r="T10" s="182">
        <v>210</v>
      </c>
      <c r="U10" s="182">
        <v>170</v>
      </c>
      <c r="V10" s="183">
        <f t="shared" si="1"/>
        <v>1.1428571428571399</v>
      </c>
      <c r="W10" s="184">
        <v>200000</v>
      </c>
      <c r="X10" s="185">
        <v>1</v>
      </c>
      <c r="Y10" s="186"/>
      <c r="Z10" s="186"/>
      <c r="AA10" s="186"/>
      <c r="AB10" s="186"/>
      <c r="AC10" s="186"/>
      <c r="AD10" s="173" t="s">
        <v>437</v>
      </c>
      <c r="AE10" s="187">
        <v>40</v>
      </c>
      <c r="AF10" s="187">
        <v>50</v>
      </c>
      <c r="AG10" s="187">
        <v>48</v>
      </c>
      <c r="AH10" s="174">
        <v>3.5</v>
      </c>
      <c r="AI10" s="174">
        <v>2.5</v>
      </c>
      <c r="AJ10" s="174">
        <v>4.5999999999999996</v>
      </c>
      <c r="AK10" s="177">
        <v>35000</v>
      </c>
      <c r="AL10" s="178">
        <v>2.2999999999999998</v>
      </c>
      <c r="AM10" s="178">
        <v>3.5</v>
      </c>
      <c r="AN10" s="178">
        <v>2</v>
      </c>
      <c r="AO10" s="178">
        <v>3.5</v>
      </c>
      <c r="AP10" s="178">
        <v>2</v>
      </c>
      <c r="AQ10" s="178">
        <v>1.75</v>
      </c>
      <c r="AR10" s="178">
        <v>3.5</v>
      </c>
      <c r="AS10" s="188">
        <v>1</v>
      </c>
      <c r="AT10" s="188">
        <v>1.5</v>
      </c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189"/>
      <c r="BF10" s="189"/>
      <c r="BG10" s="189"/>
      <c r="BH10" s="189"/>
      <c r="BI10" s="189"/>
      <c r="BJ10" s="189"/>
      <c r="BK10" s="189"/>
      <c r="BL10" s="189"/>
      <c r="BM10" s="189"/>
      <c r="BN10" s="189"/>
      <c r="BO10" s="189"/>
      <c r="BP10" s="189"/>
      <c r="BQ10" s="189"/>
      <c r="BR10" s="189"/>
      <c r="BS10" s="189"/>
      <c r="BT10" s="189"/>
      <c r="BU10" s="189"/>
      <c r="BV10" s="189"/>
      <c r="BW10" s="189"/>
      <c r="BX10" s="189"/>
      <c r="BY10" s="189"/>
      <c r="BZ10" s="189"/>
      <c r="CA10" s="189"/>
      <c r="CB10" s="189"/>
      <c r="CC10" s="189"/>
      <c r="CD10" s="189"/>
      <c r="CE10" s="189"/>
      <c r="CF10" s="189"/>
      <c r="CG10" s="189"/>
      <c r="CH10" s="189"/>
      <c r="CI10" s="189"/>
      <c r="CJ10" s="166" t="s">
        <v>438</v>
      </c>
      <c r="CK10" s="167">
        <v>30</v>
      </c>
      <c r="CL10" s="168"/>
      <c r="CM10" s="170" t="s">
        <v>439</v>
      </c>
      <c r="CN10" s="141">
        <f>IFERROR(VLOOKUP($CK$3,A:K,7,0),"")</f>
        <v>1</v>
      </c>
      <c r="CO10" s="171"/>
      <c r="CP10" s="170" t="s">
        <v>400</v>
      </c>
      <c r="CQ10" s="190">
        <f>VLOOKUP($CK$5,Q:W,3,FALSE)</f>
        <v>350</v>
      </c>
      <c r="CR10" s="208"/>
      <c r="CS10" s="210" t="s">
        <v>373</v>
      </c>
      <c r="CT10" s="141" t="str">
        <f>IFERROR(VLOOKUP($CK$3,AD:AR,9,0),"")</f>
        <v/>
      </c>
      <c r="EA10" s="191" t="s">
        <v>203</v>
      </c>
      <c r="EB10" s="191" t="s">
        <v>440</v>
      </c>
      <c r="EC10" s="191">
        <v>14</v>
      </c>
      <c r="ED10" s="191">
        <v>150</v>
      </c>
      <c r="EE10" s="193">
        <v>12</v>
      </c>
      <c r="EF10" s="193">
        <v>150</v>
      </c>
    </row>
    <row r="11" spans="1:136" ht="15.75">
      <c r="A11" s="173" t="s">
        <v>441</v>
      </c>
      <c r="B11" s="174">
        <v>45</v>
      </c>
      <c r="C11" s="175">
        <v>32</v>
      </c>
      <c r="D11" s="175">
        <v>25</v>
      </c>
      <c r="E11" s="206">
        <v>1.5</v>
      </c>
      <c r="F11" s="176">
        <v>37000</v>
      </c>
      <c r="G11" s="175">
        <v>1</v>
      </c>
      <c r="H11" s="177">
        <v>600</v>
      </c>
      <c r="I11" s="178">
        <v>0.85</v>
      </c>
      <c r="J11" s="179">
        <f t="shared" si="0"/>
        <v>0.65</v>
      </c>
      <c r="K11" s="180">
        <v>2.25</v>
      </c>
      <c r="L11" s="181"/>
      <c r="M11" s="181"/>
      <c r="N11" s="181"/>
      <c r="O11" s="181"/>
      <c r="P11" s="181"/>
      <c r="Q11" s="182" t="s">
        <v>442</v>
      </c>
      <c r="R11" s="209">
        <v>300</v>
      </c>
      <c r="S11" s="182">
        <v>260</v>
      </c>
      <c r="T11" s="182">
        <v>260</v>
      </c>
      <c r="U11" s="182">
        <v>210</v>
      </c>
      <c r="V11" s="183">
        <f t="shared" si="1"/>
        <v>1.15384615384615</v>
      </c>
      <c r="W11" s="184">
        <v>200000</v>
      </c>
      <c r="X11" s="185">
        <v>1</v>
      </c>
      <c r="Y11" s="186"/>
      <c r="Z11" s="186"/>
      <c r="AA11" s="186"/>
      <c r="AB11" s="186"/>
      <c r="AC11" s="186"/>
      <c r="AD11" s="173" t="s">
        <v>443</v>
      </c>
      <c r="AE11" s="187">
        <v>45</v>
      </c>
      <c r="AF11" s="187">
        <v>55</v>
      </c>
      <c r="AG11" s="187">
        <v>53</v>
      </c>
      <c r="AH11" s="174">
        <v>3.8</v>
      </c>
      <c r="AI11" s="174">
        <v>2.7</v>
      </c>
      <c r="AJ11" s="174">
        <v>4.9000000000000004</v>
      </c>
      <c r="AK11" s="177">
        <v>36000</v>
      </c>
      <c r="AL11" s="178">
        <v>2.4</v>
      </c>
      <c r="AM11" s="178">
        <v>3.5</v>
      </c>
      <c r="AN11" s="178">
        <v>2</v>
      </c>
      <c r="AO11" s="178">
        <v>3.5</v>
      </c>
      <c r="AP11" s="178">
        <v>2</v>
      </c>
      <c r="AQ11" s="178">
        <v>1.75</v>
      </c>
      <c r="AR11" s="178">
        <v>3.5</v>
      </c>
      <c r="AS11" s="188">
        <v>1</v>
      </c>
      <c r="AT11" s="188">
        <v>1.5</v>
      </c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/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41" t="s">
        <v>444</v>
      </c>
      <c r="CK11" s="200">
        <v>1E-4</v>
      </c>
      <c r="CL11" s="168"/>
      <c r="CM11" s="211" t="s">
        <v>445</v>
      </c>
      <c r="CN11" s="141">
        <f>IFERROR(VLOOKUP($CK$3,A:K,8,0),"")</f>
        <v>400</v>
      </c>
      <c r="CP11" s="166" t="s">
        <v>407</v>
      </c>
      <c r="CQ11" s="190">
        <f>VLOOKUP($CK$5,Q:W,4,FALSE)</f>
        <v>350</v>
      </c>
      <c r="CR11" s="208"/>
      <c r="CS11" s="210" t="s">
        <v>374</v>
      </c>
      <c r="CT11" s="141" t="str">
        <f>IFERROR(VLOOKUP($CK$3,AD:AR,10,0),"")</f>
        <v/>
      </c>
      <c r="EA11" s="191" t="s">
        <v>203</v>
      </c>
      <c r="EB11" s="191" t="s">
        <v>446</v>
      </c>
      <c r="EC11" s="191">
        <v>14</v>
      </c>
      <c r="ED11" s="191">
        <v>100</v>
      </c>
      <c r="EE11" s="193">
        <v>12</v>
      </c>
      <c r="EF11" s="193">
        <v>100</v>
      </c>
    </row>
    <row r="12" spans="1:136" ht="15.75">
      <c r="G12" s="130"/>
      <c r="Q12" s="182" t="s">
        <v>447</v>
      </c>
      <c r="R12" s="209">
        <v>300</v>
      </c>
      <c r="S12" s="182">
        <v>260</v>
      </c>
      <c r="T12" s="182">
        <v>260</v>
      </c>
      <c r="U12" s="182">
        <v>210</v>
      </c>
      <c r="V12" s="183">
        <f t="shared" si="1"/>
        <v>1.15384615384615</v>
      </c>
      <c r="W12" s="184">
        <v>200000</v>
      </c>
      <c r="X12" s="185">
        <v>1</v>
      </c>
      <c r="Y12" s="186"/>
      <c r="Z12" s="186"/>
      <c r="AA12" s="186"/>
      <c r="AB12" s="186"/>
      <c r="AC12" s="186"/>
      <c r="AD12" s="212" t="s">
        <v>448</v>
      </c>
      <c r="AE12" s="187">
        <v>50</v>
      </c>
      <c r="AF12" s="213">
        <v>60</v>
      </c>
      <c r="AG12" s="213">
        <v>58</v>
      </c>
      <c r="AH12" s="214">
        <v>4.0999999999999996</v>
      </c>
      <c r="AI12" s="214">
        <v>2.9</v>
      </c>
      <c r="AJ12" s="214">
        <v>5.3</v>
      </c>
      <c r="AK12" s="212">
        <v>37000</v>
      </c>
      <c r="AL12" s="178">
        <v>2.4500000000000002</v>
      </c>
      <c r="AM12" s="178">
        <v>3.5</v>
      </c>
      <c r="AN12" s="178">
        <v>2</v>
      </c>
      <c r="AO12" s="178">
        <v>3.5</v>
      </c>
      <c r="AP12" s="178">
        <v>2</v>
      </c>
      <c r="AQ12" s="178">
        <v>1.75</v>
      </c>
      <c r="AR12" s="178">
        <v>3.5</v>
      </c>
      <c r="AS12" s="188">
        <v>1</v>
      </c>
      <c r="AT12" s="188">
        <v>1.5</v>
      </c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/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38" t="s">
        <v>449</v>
      </c>
      <c r="CK12" s="167" t="s">
        <v>450</v>
      </c>
      <c r="CL12" s="171"/>
      <c r="CM12" s="170" t="s">
        <v>354</v>
      </c>
      <c r="CN12" s="141">
        <f>IFERROR(VLOOKUP($CK$3,A:K,9,0),"")</f>
        <v>0.85</v>
      </c>
      <c r="CO12" s="208"/>
      <c r="CP12" s="197" t="s">
        <v>415</v>
      </c>
      <c r="CQ12" s="190">
        <f>VLOOKUP($CK$5,Q:W,7,FALSE)</f>
        <v>200000</v>
      </c>
      <c r="CR12" s="208"/>
      <c r="CS12" s="210" t="s">
        <v>375</v>
      </c>
      <c r="CT12" s="141" t="str">
        <f>IFERROR(VLOOKUP($CK$3,AD:AR,11,0),"")</f>
        <v/>
      </c>
      <c r="EA12" s="191" t="s">
        <v>203</v>
      </c>
      <c r="EB12" s="191" t="s">
        <v>451</v>
      </c>
      <c r="EC12" s="191">
        <v>16</v>
      </c>
      <c r="ED12" s="191">
        <v>200</v>
      </c>
      <c r="EE12" s="193">
        <v>14</v>
      </c>
      <c r="EF12" s="193">
        <v>200</v>
      </c>
    </row>
    <row r="13" spans="1:136" ht="15.75">
      <c r="G13" s="130"/>
      <c r="Q13" s="182" t="s">
        <v>405</v>
      </c>
      <c r="R13" s="209">
        <v>400</v>
      </c>
      <c r="S13" s="182">
        <v>350</v>
      </c>
      <c r="T13" s="182">
        <v>350</v>
      </c>
      <c r="U13" s="182">
        <v>280</v>
      </c>
      <c r="V13" s="183">
        <f t="shared" si="1"/>
        <v>1.1428571428571399</v>
      </c>
      <c r="W13" s="184">
        <v>200000</v>
      </c>
      <c r="X13" s="185">
        <v>1</v>
      </c>
      <c r="Y13" s="186"/>
      <c r="Z13" s="186"/>
      <c r="AA13" s="186"/>
      <c r="AB13" s="186"/>
      <c r="AC13" s="186"/>
      <c r="AD13" s="200"/>
      <c r="AE13" s="200"/>
      <c r="AF13" s="200"/>
      <c r="AG13" s="200"/>
      <c r="AH13" s="200"/>
      <c r="AI13" s="200"/>
      <c r="AJ13" s="200"/>
      <c r="AK13" s="200"/>
      <c r="AL13" s="200"/>
      <c r="AM13" s="200"/>
      <c r="AN13" s="200"/>
      <c r="AO13" s="200"/>
      <c r="AP13" s="200"/>
      <c r="AQ13" s="200"/>
      <c r="AR13" s="200"/>
      <c r="AS13" s="215"/>
      <c r="AT13" s="215"/>
      <c r="AU13" s="204"/>
      <c r="AV13" s="204"/>
      <c r="AW13" s="204"/>
      <c r="AX13" s="204"/>
      <c r="AY13" s="204"/>
      <c r="AZ13" s="204"/>
      <c r="BA13" s="204"/>
      <c r="BB13" s="204"/>
      <c r="BC13" s="204"/>
      <c r="BD13" s="204"/>
      <c r="BE13" s="204"/>
      <c r="BF13" s="204"/>
      <c r="BG13" s="204"/>
      <c r="BH13" s="204"/>
      <c r="BI13" s="204"/>
      <c r="BJ13" s="204"/>
      <c r="BK13" s="204"/>
      <c r="BL13" s="204"/>
      <c r="BM13" s="204"/>
      <c r="BN13" s="204"/>
      <c r="BO13" s="204"/>
      <c r="BP13" s="204"/>
      <c r="BQ13" s="204"/>
      <c r="BR13" s="204"/>
      <c r="BS13" s="204"/>
      <c r="BT13" s="204"/>
      <c r="BU13" s="204"/>
      <c r="BV13" s="204"/>
      <c r="BW13" s="204"/>
      <c r="BX13" s="204"/>
      <c r="BY13" s="204"/>
      <c r="BZ13" s="204"/>
      <c r="CA13" s="204"/>
      <c r="CB13" s="204"/>
      <c r="CC13" s="204"/>
      <c r="CD13" s="204"/>
      <c r="CE13" s="204"/>
      <c r="CF13" s="204"/>
      <c r="CG13" s="204"/>
      <c r="CH13" s="204"/>
      <c r="CI13" s="204"/>
      <c r="CJ13" s="170" t="s">
        <v>452</v>
      </c>
      <c r="CK13" s="216">
        <v>1.05</v>
      </c>
      <c r="CL13" s="171"/>
      <c r="CM13" s="196" t="s">
        <v>355</v>
      </c>
      <c r="CN13" s="141">
        <f>IFERROR(VLOOKUP($CK$3,A:K,10,0),"")</f>
        <v>0.73399999999999999</v>
      </c>
      <c r="CO13" s="208"/>
      <c r="CP13" s="170" t="s">
        <v>422</v>
      </c>
      <c r="CQ13" s="196">
        <f>IFERROR(CN13/(1+CQ10/CN11*(1-CN13/1.1)),"")</f>
        <v>0.568491462770639</v>
      </c>
      <c r="CR13" s="208"/>
      <c r="CS13" s="210" t="s">
        <v>376</v>
      </c>
      <c r="CT13" s="141" t="str">
        <f>IFERROR(VLOOKUP($CK$3,AD:AR,12,0),"")</f>
        <v/>
      </c>
      <c r="EA13" s="191" t="s">
        <v>203</v>
      </c>
      <c r="EB13" s="191" t="s">
        <v>453</v>
      </c>
      <c r="EC13" s="191">
        <v>16</v>
      </c>
      <c r="ED13" s="191">
        <v>150</v>
      </c>
      <c r="EE13" s="193">
        <v>14</v>
      </c>
      <c r="EF13" s="193">
        <v>150</v>
      </c>
    </row>
    <row r="14" spans="1:136" ht="15.75">
      <c r="G14" s="130"/>
      <c r="Q14" s="182" t="s">
        <v>454</v>
      </c>
      <c r="R14" s="209">
        <v>500</v>
      </c>
      <c r="S14" s="182">
        <v>435</v>
      </c>
      <c r="T14" s="182">
        <v>435</v>
      </c>
      <c r="U14" s="182">
        <v>300</v>
      </c>
      <c r="V14" s="183">
        <f t="shared" si="1"/>
        <v>1.14942528735632</v>
      </c>
      <c r="W14" s="184">
        <v>200000</v>
      </c>
      <c r="X14" s="185">
        <v>1</v>
      </c>
      <c r="Y14" s="186"/>
      <c r="Z14" s="186"/>
      <c r="AA14" s="186"/>
      <c r="AB14" s="186"/>
      <c r="AC14" s="186"/>
      <c r="AD14" s="200"/>
      <c r="AE14" s="200"/>
      <c r="AF14" s="200"/>
      <c r="AG14" s="200"/>
      <c r="AH14" s="200"/>
      <c r="AI14" s="200"/>
      <c r="AJ14" s="200"/>
      <c r="AK14" s="200"/>
      <c r="AL14" s="200"/>
      <c r="AM14" s="200"/>
      <c r="AN14" s="200"/>
      <c r="AO14" s="200"/>
      <c r="AP14" s="200"/>
      <c r="AQ14" s="200"/>
      <c r="AR14" s="200"/>
      <c r="AS14" s="215"/>
      <c r="AT14" s="215"/>
      <c r="AU14" s="204"/>
      <c r="AV14" s="204"/>
      <c r="AW14" s="204"/>
      <c r="AX14" s="204"/>
      <c r="AY14" s="204"/>
      <c r="AZ14" s="204"/>
      <c r="BA14" s="204"/>
      <c r="BB14" s="204"/>
      <c r="BC14" s="204"/>
      <c r="BD14" s="204"/>
      <c r="BE14" s="204"/>
      <c r="BF14" s="204"/>
      <c r="BG14" s="204"/>
      <c r="BH14" s="204"/>
      <c r="BI14" s="204"/>
      <c r="BJ14" s="204"/>
      <c r="BK14" s="204"/>
      <c r="BL14" s="204"/>
      <c r="BM14" s="204"/>
      <c r="BN14" s="204"/>
      <c r="BO14" s="204"/>
      <c r="BP14" s="204"/>
      <c r="BQ14" s="204"/>
      <c r="BR14" s="204"/>
      <c r="BS14" s="204"/>
      <c r="BT14" s="204"/>
      <c r="BU14" s="204"/>
      <c r="BV14" s="204"/>
      <c r="BW14" s="204"/>
      <c r="BX14" s="204"/>
      <c r="BY14" s="204"/>
      <c r="BZ14" s="204"/>
      <c r="CA14" s="204"/>
      <c r="CB14" s="204"/>
      <c r="CC14" s="204"/>
      <c r="CD14" s="204"/>
      <c r="CE14" s="204"/>
      <c r="CF14" s="204"/>
      <c r="CG14" s="204"/>
      <c r="CH14" s="204"/>
      <c r="CI14" s="204"/>
      <c r="CJ14" s="190" t="s">
        <v>455</v>
      </c>
      <c r="CK14" s="216">
        <v>1.05</v>
      </c>
      <c r="CL14" s="168"/>
      <c r="CM14" s="141"/>
      <c r="CN14" s="141"/>
      <c r="CO14" s="208"/>
      <c r="CP14" s="170" t="s">
        <v>428</v>
      </c>
      <c r="CQ14" s="138">
        <f>IF(CK2="TCVN",CQ13*100*CN5/CQ11,4)</f>
        <v>2.3551789171926498</v>
      </c>
      <c r="CR14" s="208"/>
      <c r="CS14" s="210" t="s">
        <v>377</v>
      </c>
      <c r="CT14" s="141" t="str">
        <f>IFERROR(VLOOKUP($CK$3,AD:AR,13,0),"")</f>
        <v/>
      </c>
      <c r="EA14" s="191" t="s">
        <v>203</v>
      </c>
      <c r="EB14" s="191" t="s">
        <v>456</v>
      </c>
      <c r="EC14" s="191">
        <v>16</v>
      </c>
      <c r="ED14" s="191">
        <v>100</v>
      </c>
      <c r="EE14" s="193">
        <v>14</v>
      </c>
      <c r="EF14" s="193">
        <v>100</v>
      </c>
    </row>
    <row r="15" spans="1:136" ht="15.75">
      <c r="G15" s="130"/>
      <c r="Q15" s="199" t="s">
        <v>457</v>
      </c>
      <c r="R15" s="200">
        <v>295</v>
      </c>
      <c r="S15" s="199">
        <v>280</v>
      </c>
      <c r="T15" s="199">
        <v>280</v>
      </c>
      <c r="U15" s="199">
        <v>225</v>
      </c>
      <c r="V15" s="201">
        <f t="shared" si="1"/>
        <v>1.0535714285714299</v>
      </c>
      <c r="W15" s="217">
        <v>200000</v>
      </c>
      <c r="X15" s="218">
        <v>1</v>
      </c>
      <c r="Y15" s="219"/>
      <c r="Z15" s="219"/>
      <c r="AA15" s="219"/>
      <c r="AB15" s="219"/>
      <c r="AC15" s="219"/>
      <c r="AD15" s="200"/>
      <c r="AE15" s="200"/>
      <c r="AF15" s="200"/>
      <c r="AG15" s="200"/>
      <c r="AH15" s="200"/>
      <c r="AI15" s="200"/>
      <c r="AJ15" s="200"/>
      <c r="AK15" s="200"/>
      <c r="AL15" s="200"/>
      <c r="AM15" s="200"/>
      <c r="AN15" s="200"/>
      <c r="AO15" s="200"/>
      <c r="AP15" s="200"/>
      <c r="AQ15" s="200"/>
      <c r="AR15" s="200"/>
      <c r="AS15" s="215"/>
      <c r="AT15" s="215"/>
      <c r="AU15" s="204"/>
      <c r="AV15" s="204"/>
      <c r="AW15" s="204"/>
      <c r="AX15" s="204"/>
      <c r="AY15" s="204"/>
      <c r="AZ15" s="204"/>
      <c r="BA15" s="204"/>
      <c r="BB15" s="204"/>
      <c r="BC15" s="204"/>
      <c r="BD15" s="204"/>
      <c r="BE15" s="204"/>
      <c r="BF15" s="204"/>
      <c r="BG15" s="204"/>
      <c r="BH15" s="204"/>
      <c r="BI15" s="204"/>
      <c r="BJ15" s="204"/>
      <c r="BK15" s="204"/>
      <c r="BL15" s="204"/>
      <c r="BM15" s="204"/>
      <c r="BN15" s="204"/>
      <c r="BO15" s="204"/>
      <c r="BP15" s="204"/>
      <c r="BQ15" s="204"/>
      <c r="BR15" s="204"/>
      <c r="BS15" s="204"/>
      <c r="BT15" s="204"/>
      <c r="BU15" s="204"/>
      <c r="BV15" s="204"/>
      <c r="BW15" s="204"/>
      <c r="BX15" s="204"/>
      <c r="BY15" s="204"/>
      <c r="BZ15" s="204"/>
      <c r="CA15" s="204"/>
      <c r="CB15" s="204"/>
      <c r="CC15" s="204"/>
      <c r="CD15" s="204"/>
      <c r="CE15" s="204"/>
      <c r="CF15" s="204"/>
      <c r="CG15" s="204"/>
      <c r="CH15" s="204"/>
      <c r="CI15" s="204"/>
      <c r="CJ15" s="166" t="s">
        <v>458</v>
      </c>
      <c r="CK15" s="167">
        <v>100</v>
      </c>
      <c r="CL15" s="168"/>
      <c r="CO15" s="208"/>
      <c r="CP15" s="149" t="s">
        <v>459</v>
      </c>
      <c r="CQ15" s="141">
        <f>VLOOKUP($CK$4,Q:W,5,FALSE)</f>
        <v>170</v>
      </c>
      <c r="CR15" s="208"/>
      <c r="CS15" s="210" t="s">
        <v>378</v>
      </c>
      <c r="CT15" s="141" t="str">
        <f>IFERROR(VLOOKUP($CK$3,AD:AR,14,0),"")</f>
        <v/>
      </c>
      <c r="EA15" s="191"/>
      <c r="EB15" s="191"/>
      <c r="EC15" s="191"/>
      <c r="ED15" s="191"/>
      <c r="EE15" s="193">
        <v>16</v>
      </c>
      <c r="EF15" s="193">
        <v>200</v>
      </c>
    </row>
    <row r="16" spans="1:136" ht="15.75">
      <c r="G16" s="130"/>
      <c r="Q16" s="199" t="s">
        <v>460</v>
      </c>
      <c r="R16" s="200">
        <v>390</v>
      </c>
      <c r="S16" s="199">
        <v>365</v>
      </c>
      <c r="T16" s="199">
        <v>365</v>
      </c>
      <c r="U16" s="199">
        <v>290</v>
      </c>
      <c r="V16" s="201">
        <f t="shared" si="1"/>
        <v>1.06849315068493</v>
      </c>
      <c r="W16" s="202">
        <v>200000</v>
      </c>
      <c r="X16" s="218">
        <v>1</v>
      </c>
      <c r="Y16" s="204"/>
      <c r="Z16" s="204"/>
      <c r="AA16" s="204"/>
      <c r="AB16" s="204"/>
      <c r="AC16" s="204"/>
      <c r="AD16" s="200"/>
      <c r="AE16" s="200"/>
      <c r="AF16" s="200"/>
      <c r="AG16" s="200"/>
      <c r="AH16" s="200"/>
      <c r="AI16" s="200"/>
      <c r="AJ16" s="200"/>
      <c r="AK16" s="200"/>
      <c r="AL16" s="200"/>
      <c r="AM16" s="200"/>
      <c r="AN16" s="200"/>
      <c r="AO16" s="200"/>
      <c r="AP16" s="200"/>
      <c r="AQ16" s="200"/>
      <c r="AR16" s="200"/>
      <c r="AS16" s="215"/>
      <c r="AT16" s="215"/>
      <c r="AU16" s="204"/>
      <c r="AV16" s="204"/>
      <c r="AW16" s="204"/>
      <c r="AX16" s="204"/>
      <c r="AY16" s="204"/>
      <c r="AZ16" s="204"/>
      <c r="BA16" s="204"/>
      <c r="BB16" s="204"/>
      <c r="BC16" s="204"/>
      <c r="BD16" s="204"/>
      <c r="BE16" s="204"/>
      <c r="BF16" s="204"/>
      <c r="BG16" s="204"/>
      <c r="BH16" s="204"/>
      <c r="BI16" s="204"/>
      <c r="BJ16" s="204"/>
      <c r="BK16" s="204"/>
      <c r="BL16" s="204"/>
      <c r="BM16" s="204"/>
      <c r="BN16" s="204"/>
      <c r="BO16" s="204"/>
      <c r="BP16" s="204"/>
      <c r="BQ16" s="204"/>
      <c r="BR16" s="204"/>
      <c r="BS16" s="204"/>
      <c r="BT16" s="204"/>
      <c r="BU16" s="204"/>
      <c r="BV16" s="204"/>
      <c r="BW16" s="204"/>
      <c r="BX16" s="204"/>
      <c r="BY16" s="204"/>
      <c r="BZ16" s="204"/>
      <c r="CA16" s="204"/>
      <c r="CB16" s="204"/>
      <c r="CC16" s="204"/>
      <c r="CD16" s="204"/>
      <c r="CE16" s="204"/>
      <c r="CF16" s="204"/>
      <c r="CG16" s="204"/>
      <c r="CH16" s="204"/>
      <c r="CI16" s="204"/>
      <c r="CJ16" s="138" t="s">
        <v>461</v>
      </c>
      <c r="CK16" s="167">
        <v>30</v>
      </c>
      <c r="CL16" s="192"/>
      <c r="CO16" s="208"/>
      <c r="CP16" s="149" t="s">
        <v>462</v>
      </c>
      <c r="CQ16" s="141">
        <f>VLOOKUP($CK$5,Q:W,5,FALSE)</f>
        <v>280</v>
      </c>
      <c r="CR16" s="208"/>
      <c r="CS16" s="210" t="s">
        <v>379</v>
      </c>
      <c r="CT16" s="141" t="str">
        <f>IFERROR(VLOOKUP($CK$3,AD:AR,15,0),"")</f>
        <v/>
      </c>
      <c r="EA16" s="191"/>
      <c r="EB16" s="191"/>
      <c r="EC16" s="191"/>
      <c r="ED16" s="191"/>
      <c r="EE16" s="193">
        <v>16</v>
      </c>
      <c r="EF16" s="193">
        <v>150</v>
      </c>
    </row>
    <row r="17" spans="7:136">
      <c r="G17" s="130"/>
      <c r="Q17" s="199" t="s">
        <v>463</v>
      </c>
      <c r="R17" s="200">
        <v>490</v>
      </c>
      <c r="S17" s="199">
        <v>426</v>
      </c>
      <c r="T17" s="199">
        <v>426</v>
      </c>
      <c r="U17" s="199">
        <v>300</v>
      </c>
      <c r="V17" s="201">
        <f t="shared" si="1"/>
        <v>1.1502347417840399</v>
      </c>
      <c r="W17" s="217">
        <v>200000</v>
      </c>
      <c r="X17" s="218">
        <v>1</v>
      </c>
      <c r="Y17" s="219"/>
      <c r="Z17" s="219"/>
      <c r="AA17" s="219"/>
      <c r="AB17" s="219"/>
      <c r="AC17" s="219"/>
      <c r="AD17" s="220"/>
      <c r="AE17" s="220"/>
      <c r="AF17" s="220"/>
      <c r="AG17" s="220"/>
      <c r="AH17" s="220"/>
      <c r="AI17" s="220"/>
      <c r="AJ17" s="220"/>
      <c r="AK17" s="220"/>
      <c r="AL17" s="220"/>
      <c r="AM17" s="220"/>
      <c r="AN17" s="220"/>
      <c r="AO17" s="220"/>
      <c r="AP17" s="220"/>
      <c r="AQ17" s="220"/>
      <c r="AR17" s="220"/>
      <c r="AS17" s="221"/>
      <c r="AT17" s="221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  <c r="BR17" s="219"/>
      <c r="BS17" s="219"/>
      <c r="BT17" s="219"/>
      <c r="BU17" s="219"/>
      <c r="BV17" s="219"/>
      <c r="BW17" s="219"/>
      <c r="BX17" s="219"/>
      <c r="BY17" s="219"/>
      <c r="BZ17" s="219"/>
      <c r="CA17" s="219"/>
      <c r="CB17" s="219"/>
      <c r="CC17" s="219"/>
      <c r="CD17" s="219"/>
      <c r="CE17" s="219"/>
      <c r="CF17" s="219"/>
      <c r="CG17" s="219"/>
      <c r="CH17" s="219"/>
      <c r="CI17" s="219"/>
      <c r="CJ17" s="138" t="s">
        <v>464</v>
      </c>
      <c r="CK17" s="138">
        <v>176</v>
      </c>
      <c r="CL17" s="192"/>
      <c r="CO17" s="208"/>
      <c r="CP17" s="141"/>
      <c r="CQ17" s="141"/>
      <c r="CR17" s="208"/>
      <c r="CS17" s="140" t="s">
        <v>380</v>
      </c>
      <c r="CT17" s="141" t="str">
        <f>IFERROR(VLOOKUP($CK$3,AD:AT,16,0),"")</f>
        <v/>
      </c>
      <c r="EA17" s="191"/>
      <c r="EB17" s="191"/>
      <c r="EC17" s="191"/>
      <c r="ED17" s="191"/>
      <c r="EE17" s="193">
        <v>16</v>
      </c>
      <c r="EF17" s="193">
        <v>100</v>
      </c>
    </row>
    <row r="18" spans="7:136">
      <c r="G18" s="130"/>
      <c r="Q18" s="132"/>
      <c r="V18" s="201"/>
      <c r="CJ18" s="170" t="s">
        <v>465</v>
      </c>
      <c r="CK18" s="222">
        <v>0.6</v>
      </c>
      <c r="CL18" s="208"/>
      <c r="CR18" s="223"/>
      <c r="CS18" s="140" t="s">
        <v>381</v>
      </c>
      <c r="CT18" s="141" t="str">
        <f>IFERROR(VLOOKUP($CK$3,AD:AT,17,0),"")</f>
        <v/>
      </c>
      <c r="EA18" s="191"/>
      <c r="EB18" s="191"/>
      <c r="EC18" s="191"/>
      <c r="ED18" s="191"/>
      <c r="EE18" s="193">
        <v>18</v>
      </c>
      <c r="EF18" s="193">
        <v>200</v>
      </c>
    </row>
    <row r="19" spans="7:136">
      <c r="G19" s="130"/>
      <c r="Q19" s="132"/>
      <c r="V19" s="201"/>
      <c r="CJ19" s="170" t="s">
        <v>466</v>
      </c>
      <c r="CK19" s="222">
        <v>1.5</v>
      </c>
      <c r="CL19" s="208"/>
      <c r="CR19" s="223"/>
      <c r="CS19" s="140" t="s">
        <v>467</v>
      </c>
      <c r="CT19" s="215">
        <v>2</v>
      </c>
      <c r="EA19" s="191"/>
      <c r="EB19" s="191"/>
      <c r="EC19" s="191"/>
      <c r="ED19" s="191"/>
      <c r="EE19" s="193">
        <v>18</v>
      </c>
      <c r="EF19" s="193">
        <v>150</v>
      </c>
    </row>
    <row r="20" spans="7:136" ht="25.5">
      <c r="G20" s="130"/>
      <c r="Q20" s="132"/>
      <c r="V20" s="201"/>
      <c r="CJ20" s="224" t="s">
        <v>468</v>
      </c>
      <c r="CK20" s="225" t="b">
        <v>1</v>
      </c>
      <c r="CL20" s="208"/>
      <c r="CS20" s="140" t="s">
        <v>469</v>
      </c>
      <c r="CT20" s="215">
        <v>150</v>
      </c>
      <c r="EA20" s="191"/>
      <c r="EB20" s="191"/>
      <c r="EC20" s="191"/>
      <c r="ED20" s="191"/>
      <c r="EE20" s="193">
        <v>18</v>
      </c>
      <c r="EF20" s="193">
        <v>100</v>
      </c>
    </row>
    <row r="21" spans="7:136">
      <c r="Q21" s="132"/>
      <c r="V21" s="201"/>
      <c r="CJ21" s="138" t="s">
        <v>470</v>
      </c>
      <c r="CK21" s="167">
        <v>203</v>
      </c>
      <c r="CL21" s="208"/>
      <c r="CS21" s="140" t="s">
        <v>471</v>
      </c>
      <c r="CT21" s="215">
        <v>0.8</v>
      </c>
      <c r="EA21" s="191"/>
      <c r="EB21" s="191"/>
      <c r="EC21" s="191"/>
      <c r="ED21" s="191"/>
      <c r="EE21" s="193">
        <v>20</v>
      </c>
      <c r="EF21" s="193">
        <v>200</v>
      </c>
    </row>
    <row r="22" spans="7:136">
      <c r="V22" s="201"/>
      <c r="CL22" s="208"/>
      <c r="CS22" s="140" t="s">
        <v>472</v>
      </c>
      <c r="CT22" s="215">
        <v>0.5</v>
      </c>
      <c r="EA22" s="191"/>
      <c r="EB22" s="191"/>
      <c r="EC22" s="191"/>
      <c r="ED22" s="191"/>
      <c r="EE22" s="193">
        <v>20</v>
      </c>
      <c r="EF22" s="193">
        <v>150</v>
      </c>
    </row>
    <row r="23" spans="7:136">
      <c r="K23" s="226"/>
      <c r="L23" s="227"/>
      <c r="M23" s="227"/>
      <c r="N23" s="227"/>
      <c r="O23" s="227"/>
      <c r="P23" s="227"/>
      <c r="V23" s="201"/>
      <c r="CJ23" s="141"/>
      <c r="CK23" s="200"/>
      <c r="CL23" s="208"/>
      <c r="CS23" s="140" t="s">
        <v>473</v>
      </c>
      <c r="CT23" s="215">
        <v>3.4</v>
      </c>
      <c r="EA23" s="191"/>
      <c r="EB23" s="191"/>
      <c r="EC23" s="191"/>
      <c r="ED23" s="191"/>
      <c r="EE23" s="193">
        <v>20</v>
      </c>
      <c r="EF23" s="193">
        <v>100</v>
      </c>
    </row>
    <row r="24" spans="7:136">
      <c r="K24" s="226"/>
      <c r="L24" s="227"/>
      <c r="M24" s="227"/>
      <c r="N24" s="227"/>
      <c r="O24" s="227"/>
      <c r="P24" s="227"/>
      <c r="V24" s="201"/>
      <c r="CJ24" s="141"/>
      <c r="CK24" s="200"/>
      <c r="CL24" s="208"/>
      <c r="CS24" s="140" t="s">
        <v>474</v>
      </c>
      <c r="CT24" s="215">
        <v>0.42499999999999999</v>
      </c>
      <c r="EA24" s="191"/>
      <c r="EB24" s="191"/>
      <c r="EC24" s="191"/>
      <c r="ED24" s="191"/>
      <c r="EE24" s="193">
        <v>22</v>
      </c>
      <c r="EF24" s="193">
        <v>200</v>
      </c>
    </row>
    <row r="25" spans="7:136">
      <c r="K25" s="226"/>
      <c r="L25" s="227"/>
      <c r="M25" s="227"/>
      <c r="N25" s="227"/>
      <c r="O25" s="227"/>
      <c r="P25" s="227"/>
      <c r="V25" s="201"/>
      <c r="CL25" s="208"/>
      <c r="CS25" s="140" t="s">
        <v>475</v>
      </c>
      <c r="CT25" s="215">
        <v>40</v>
      </c>
      <c r="EA25" s="191"/>
      <c r="EB25" s="191"/>
      <c r="EC25" s="191"/>
      <c r="ED25" s="191"/>
      <c r="EE25" s="193">
        <v>22</v>
      </c>
      <c r="EF25" s="193">
        <v>150</v>
      </c>
    </row>
    <row r="26" spans="7:136">
      <c r="K26" s="226"/>
      <c r="L26" s="227"/>
      <c r="M26" s="227"/>
      <c r="N26" s="227"/>
      <c r="O26" s="227"/>
      <c r="P26" s="227"/>
      <c r="V26" s="201"/>
      <c r="CL26" s="208"/>
      <c r="EA26" s="191"/>
      <c r="EB26" s="191"/>
      <c r="EC26" s="191"/>
      <c r="ED26" s="191"/>
      <c r="EE26" s="193">
        <v>22</v>
      </c>
      <c r="EF26" s="193">
        <v>100</v>
      </c>
    </row>
    <row r="27" spans="7:136">
      <c r="K27" s="226"/>
      <c r="L27" s="227"/>
      <c r="M27" s="227"/>
      <c r="N27" s="227"/>
      <c r="O27" s="227"/>
      <c r="P27" s="227"/>
      <c r="CL27" s="208"/>
    </row>
    <row r="28" spans="7:136">
      <c r="K28" s="226"/>
      <c r="L28" s="227"/>
      <c r="M28" s="227"/>
      <c r="N28" s="227"/>
      <c r="O28" s="227"/>
      <c r="P28" s="227"/>
      <c r="CK28" s="141"/>
      <c r="CL28" s="208"/>
    </row>
    <row r="29" spans="7:136">
      <c r="K29" s="226"/>
      <c r="L29" s="227"/>
      <c r="M29" s="227"/>
      <c r="N29" s="227"/>
      <c r="O29" s="227"/>
      <c r="P29" s="227"/>
      <c r="CL29" s="208"/>
    </row>
    <row r="30" spans="7:136">
      <c r="K30" s="226"/>
      <c r="L30" s="227"/>
      <c r="M30" s="227"/>
      <c r="N30" s="227"/>
      <c r="O30" s="227"/>
      <c r="P30" s="227"/>
    </row>
    <row r="31" spans="7:136">
      <c r="G31" s="130"/>
      <c r="K31" s="226"/>
      <c r="L31" s="227"/>
      <c r="M31" s="227"/>
      <c r="N31" s="227"/>
      <c r="O31" s="227"/>
      <c r="P31" s="227"/>
    </row>
    <row r="53" spans="7:16">
      <c r="G53" s="130"/>
      <c r="K53" s="130"/>
      <c r="L53" s="137"/>
      <c r="M53" s="137"/>
      <c r="N53" s="137"/>
      <c r="O53" s="137"/>
      <c r="P53" s="137"/>
    </row>
  </sheetData>
  <mergeCells count="11">
    <mergeCell ref="EE5:EF5"/>
    <mergeCell ref="Q2:Q3"/>
    <mergeCell ref="AD2:AD3"/>
    <mergeCell ref="EA1:ED2"/>
    <mergeCell ref="A1:K1"/>
    <mergeCell ref="Q1:X1"/>
    <mergeCell ref="AD1:AT1"/>
    <mergeCell ref="CJ1:CT1"/>
    <mergeCell ref="CM2:CN2"/>
    <mergeCell ref="CP2:CQ2"/>
    <mergeCell ref="CS2:CT2"/>
  </mergeCells>
  <dataValidations count="6">
    <dataValidation type="list" allowBlank="1" showInputMessage="1" showErrorMessage="1" sqref="CK2">
      <formula1>"TCVN,EUROCODE"</formula1>
    </dataValidation>
    <dataValidation type="list" allowBlank="1" showInputMessage="1" showErrorMessage="1" sqref="CL2">
      <formula1>"TCVN 5574,TCVN 9386,EN2"</formula1>
    </dataValidation>
    <dataValidation allowBlank="1" showInputMessage="1" showErrorMessage="1" sqref="CM2"/>
    <dataValidation type="list" allowBlank="1" showInputMessage="1" showErrorMessage="1" sqref="CL3">
      <formula1>$A$4:$A$30</formula1>
    </dataValidation>
    <dataValidation type="list" allowBlank="1" showInputMessage="1" showErrorMessage="1" sqref="CK4:CL4 CK5 CL9:CL10">
      <formula1>$Q$4:$Q$30</formula1>
    </dataValidation>
    <dataValidation type="list" allowBlank="1" showInputMessage="1" showErrorMessage="1" sqref="CL8 CK12">
      <formula1>"YES,NO"</formula1>
    </dataValidation>
  </dataValidations>
  <pageMargins left="0.75" right="0.75" top="1" bottom="1" header="0.5" footer="0.5"/>
  <pageSetup paperSize="9" orientation="portrait"/>
  <headerFooter alignWithMargins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BS47"/>
  <sheetViews>
    <sheetView showGridLines="0" tabSelected="1" zoomScale="85" zoomScaleNormal="85" zoomScaleSheetLayoutView="85" workbookViewId="0">
      <pane ySplit="3" topLeftCell="A4" activePane="bottomLeft" state="frozen"/>
      <selection pane="bottomLeft" activeCell="X14" sqref="X14"/>
    </sheetView>
  </sheetViews>
  <sheetFormatPr defaultColWidth="6.625" defaultRowHeight="12.75" outlineLevelCol="1"/>
  <cols>
    <col min="1" max="1" width="9" style="32" customWidth="1"/>
    <col min="2" max="2" width="5.625" style="32" customWidth="1"/>
    <col min="3" max="3" width="7.125" style="33" customWidth="1"/>
    <col min="4" max="4" width="9.25" style="33" customWidth="1"/>
    <col min="5" max="5" width="5.375" style="34" customWidth="1"/>
    <col min="6" max="6" width="4.5" style="35" customWidth="1"/>
    <col min="7" max="8" width="4.25" style="36" customWidth="1"/>
    <col min="9" max="9" width="5.625" style="37" customWidth="1"/>
    <col min="10" max="10" width="4" style="37" customWidth="1"/>
    <col min="11" max="11" width="6.5" style="37" customWidth="1"/>
    <col min="12" max="12" width="4.75" style="33" customWidth="1"/>
    <col min="13" max="13" width="5.5" style="38" customWidth="1"/>
    <col min="14" max="14" width="3.375" style="39" customWidth="1"/>
    <col min="15" max="15" width="4.25" style="39" customWidth="1"/>
    <col min="16" max="16" width="2.875" style="39" customWidth="1"/>
    <col min="17" max="17" width="2.75" style="40" customWidth="1"/>
    <col min="18" max="18" width="2.875" style="40" hidden="1" customWidth="1" outlineLevel="1"/>
    <col min="19" max="19" width="2.75" style="40" hidden="1" customWidth="1" outlineLevel="1"/>
    <col min="20" max="20" width="2.875" style="40" hidden="1" customWidth="1" outlineLevel="1"/>
    <col min="21" max="21" width="2.75" style="40" hidden="1" customWidth="1" outlineLevel="1"/>
    <col min="22" max="22" width="2.875" style="40" hidden="1" customWidth="1" outlineLevel="1"/>
    <col min="23" max="23" width="2.75" style="40" hidden="1" customWidth="1" outlineLevel="1"/>
    <col min="24" max="24" width="5" style="38" customWidth="1" collapsed="1"/>
    <col min="25" max="25" width="4.125" style="41" customWidth="1"/>
    <col min="26" max="26" width="5.875" style="41" customWidth="1"/>
    <col min="27" max="27" width="5" style="33" customWidth="1"/>
    <col min="28" max="28" width="4" style="33" customWidth="1"/>
    <col min="29" max="29" width="5.75" style="33" customWidth="1"/>
    <col min="30" max="31" width="5" style="33" customWidth="1"/>
    <col min="32" max="32" width="3.375" style="42" customWidth="1"/>
    <col min="33" max="33" width="4.25" style="39" customWidth="1"/>
    <col min="34" max="34" width="2.875" style="39" customWidth="1"/>
    <col min="35" max="35" width="2.75" style="39" customWidth="1"/>
    <col min="36" max="36" width="2.875" style="39" hidden="1" customWidth="1" outlineLevel="1"/>
    <col min="37" max="37" width="2.75" style="39" hidden="1" customWidth="1" outlineLevel="1"/>
    <col min="38" max="38" width="2.875" style="39" hidden="1" customWidth="1" outlineLevel="1"/>
    <col min="39" max="39" width="2.75" style="39" hidden="1" customWidth="1" outlineLevel="1"/>
    <col min="40" max="40" width="2.875" style="43" hidden="1" customWidth="1" outlineLevel="1"/>
    <col min="41" max="41" width="2.75" style="43" hidden="1" customWidth="1" outlineLevel="1"/>
    <col min="42" max="42" width="5" style="39" customWidth="1" collapsed="1"/>
    <col min="43" max="43" width="5.625" style="33" customWidth="1"/>
    <col min="44" max="44" width="5.875" style="44" customWidth="1"/>
    <col min="45" max="46" width="6.625" style="45" customWidth="1"/>
    <col min="47" max="47" width="7.625" style="45" customWidth="1"/>
    <col min="48" max="51" width="6.625" style="45" customWidth="1"/>
    <col min="52" max="53" width="4.375" style="45" customWidth="1"/>
    <col min="54" max="54" width="6.625" style="45" customWidth="1"/>
    <col min="55" max="55" width="5.125" style="46" customWidth="1"/>
    <col min="56" max="56" width="7.625" style="47" customWidth="1"/>
    <col min="57" max="57" width="5.25" style="48" customWidth="1"/>
    <col min="58" max="58" width="4.375" style="46" customWidth="1"/>
    <col min="59" max="59" width="5.875" style="46" customWidth="1"/>
    <col min="60" max="60" width="5" style="46" customWidth="1"/>
    <col min="61" max="61" width="21.5" style="49" customWidth="1"/>
    <col min="62" max="62" width="7.875" style="46" customWidth="1"/>
    <col min="63" max="63" width="5.625" style="50" customWidth="1"/>
    <col min="64" max="64" width="4.5" style="48" customWidth="1"/>
    <col min="65" max="65" width="2" style="51" customWidth="1"/>
    <col min="66" max="66" width="2.75" style="51" customWidth="1"/>
    <col min="67" max="67" width="3.625" style="51" customWidth="1"/>
    <col min="68" max="68" width="4.75" style="46" customWidth="1"/>
    <col min="69" max="69" width="8.25" style="46" customWidth="1"/>
    <col min="70" max="70" width="7" style="46" customWidth="1"/>
    <col min="71" max="71" width="6.125" style="46" customWidth="1"/>
    <col min="72" max="16384" width="6.625" style="52"/>
  </cols>
  <sheetData>
    <row r="1" spans="1:71" ht="15.75" customHeight="1">
      <c r="A1" s="289" t="s">
        <v>476</v>
      </c>
      <c r="B1" s="290"/>
      <c r="C1" s="291" t="s">
        <v>198</v>
      </c>
      <c r="D1" s="292"/>
      <c r="E1" s="292"/>
      <c r="F1" s="292"/>
      <c r="G1" s="293" t="s">
        <v>477</v>
      </c>
      <c r="H1" s="293"/>
      <c r="I1" s="294" t="s">
        <v>478</v>
      </c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  <c r="V1" s="294"/>
      <c r="W1" s="294"/>
      <c r="X1" s="294"/>
      <c r="Y1" s="294"/>
      <c r="Z1" s="294"/>
      <c r="AA1" s="294" t="s">
        <v>479</v>
      </c>
      <c r="AB1" s="294"/>
      <c r="AC1" s="294"/>
      <c r="AD1" s="294"/>
      <c r="AE1" s="294"/>
      <c r="AF1" s="294"/>
      <c r="AG1" s="294"/>
      <c r="AH1" s="294"/>
      <c r="AI1" s="294"/>
      <c r="AJ1" s="294"/>
      <c r="AK1" s="294"/>
      <c r="AL1" s="294"/>
      <c r="AM1" s="294"/>
      <c r="AN1" s="294"/>
      <c r="AO1" s="294"/>
      <c r="AP1" s="294"/>
      <c r="AQ1" s="294"/>
      <c r="AR1" s="294"/>
      <c r="AS1" s="274" t="s">
        <v>480</v>
      </c>
      <c r="AT1" s="275"/>
      <c r="AU1" s="275"/>
      <c r="AV1" s="275"/>
      <c r="AW1" s="276"/>
      <c r="AX1" s="274" t="s">
        <v>481</v>
      </c>
      <c r="AY1" s="275"/>
      <c r="AZ1" s="275"/>
      <c r="BA1" s="275"/>
      <c r="BB1" s="276"/>
      <c r="BC1" s="277" t="s">
        <v>482</v>
      </c>
      <c r="BD1" s="278"/>
      <c r="BE1" s="278"/>
      <c r="BF1" s="278"/>
      <c r="BG1" s="278"/>
      <c r="BH1" s="278"/>
      <c r="BI1" s="279"/>
      <c r="BJ1" s="280" t="s">
        <v>483</v>
      </c>
      <c r="BK1" s="280"/>
      <c r="BL1" s="280"/>
      <c r="BM1" s="280"/>
      <c r="BN1" s="280"/>
      <c r="BO1" s="280"/>
      <c r="BP1" s="280"/>
      <c r="BQ1" s="280"/>
      <c r="BR1" s="280"/>
      <c r="BS1" s="280"/>
    </row>
    <row r="2" spans="1:71" ht="15" customHeight="1">
      <c r="A2" s="281" t="s">
        <v>78</v>
      </c>
      <c r="B2" s="282"/>
      <c r="C2" s="54" t="s">
        <v>21</v>
      </c>
      <c r="D2" s="54" t="s">
        <v>484</v>
      </c>
      <c r="E2" s="55" t="s">
        <v>485</v>
      </c>
      <c r="F2" s="55" t="s">
        <v>486</v>
      </c>
      <c r="G2" s="53" t="s">
        <v>487</v>
      </c>
      <c r="H2" s="53" t="s">
        <v>354</v>
      </c>
      <c r="I2" s="56" t="s">
        <v>488</v>
      </c>
      <c r="J2" s="56" t="s">
        <v>196</v>
      </c>
      <c r="K2" s="283" t="s">
        <v>489</v>
      </c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4"/>
      <c r="W2" s="284"/>
      <c r="X2" s="284"/>
      <c r="Y2" s="284"/>
      <c r="Z2" s="285"/>
      <c r="AA2" s="56" t="s">
        <v>488</v>
      </c>
      <c r="AB2" s="56" t="s">
        <v>196</v>
      </c>
      <c r="AC2" s="283" t="s">
        <v>489</v>
      </c>
      <c r="AD2" s="284"/>
      <c r="AE2" s="284"/>
      <c r="AF2" s="284"/>
      <c r="AG2" s="284"/>
      <c r="AH2" s="284"/>
      <c r="AI2" s="284"/>
      <c r="AJ2" s="284"/>
      <c r="AK2" s="284"/>
      <c r="AL2" s="284"/>
      <c r="AM2" s="284"/>
      <c r="AN2" s="284"/>
      <c r="AO2" s="284"/>
      <c r="AP2" s="284"/>
      <c r="AQ2" s="284"/>
      <c r="AR2" s="285"/>
      <c r="AS2" s="57" t="s">
        <v>490</v>
      </c>
      <c r="AT2" s="57" t="s">
        <v>491</v>
      </c>
      <c r="AU2" s="58" t="s">
        <v>492</v>
      </c>
      <c r="AV2" s="58" t="s">
        <v>493</v>
      </c>
      <c r="AW2" s="58" t="s">
        <v>391</v>
      </c>
      <c r="AX2" s="59" t="s">
        <v>490</v>
      </c>
      <c r="AY2" s="59" t="s">
        <v>491</v>
      </c>
      <c r="AZ2" s="59" t="s">
        <v>492</v>
      </c>
      <c r="BA2" s="59" t="s">
        <v>493</v>
      </c>
      <c r="BB2" s="59" t="s">
        <v>391</v>
      </c>
      <c r="BC2" s="53" t="s">
        <v>494</v>
      </c>
      <c r="BD2" s="286" t="s">
        <v>495</v>
      </c>
      <c r="BE2" s="53" t="s">
        <v>496</v>
      </c>
      <c r="BF2" s="53" t="s">
        <v>497</v>
      </c>
      <c r="BG2" s="53" t="s">
        <v>498</v>
      </c>
      <c r="BH2" s="53" t="s">
        <v>499</v>
      </c>
      <c r="BI2" s="60" t="s">
        <v>391</v>
      </c>
      <c r="BJ2" s="288" t="s">
        <v>500</v>
      </c>
      <c r="BK2" s="286" t="s">
        <v>495</v>
      </c>
      <c r="BL2" s="61" t="s">
        <v>496</v>
      </c>
      <c r="BM2" s="53" t="s">
        <v>377</v>
      </c>
      <c r="BN2" s="53" t="s">
        <v>501</v>
      </c>
      <c r="BO2" s="53" t="s">
        <v>354</v>
      </c>
      <c r="BP2" s="61" t="s">
        <v>502</v>
      </c>
      <c r="BQ2" s="288" t="s">
        <v>503</v>
      </c>
      <c r="BR2" s="288" t="s">
        <v>504</v>
      </c>
      <c r="BS2" s="280" t="s">
        <v>391</v>
      </c>
    </row>
    <row r="3" spans="1:71" ht="15.75" customHeight="1">
      <c r="A3" s="62" t="s">
        <v>203</v>
      </c>
      <c r="B3" s="63" t="s">
        <v>203</v>
      </c>
      <c r="C3" s="64" t="s">
        <v>203</v>
      </c>
      <c r="D3" s="64" t="s">
        <v>203</v>
      </c>
      <c r="E3" s="65" t="s">
        <v>199</v>
      </c>
      <c r="F3" s="55" t="s">
        <v>199</v>
      </c>
      <c r="G3" s="66" t="s">
        <v>199</v>
      </c>
      <c r="H3" s="66" t="s">
        <v>199</v>
      </c>
      <c r="I3" s="67" t="s">
        <v>200</v>
      </c>
      <c r="J3" s="67" t="s">
        <v>201</v>
      </c>
      <c r="K3" s="67" t="s">
        <v>505</v>
      </c>
      <c r="L3" s="68" t="s">
        <v>506</v>
      </c>
      <c r="M3" s="68" t="s">
        <v>507</v>
      </c>
      <c r="N3" s="68" t="s">
        <v>501</v>
      </c>
      <c r="O3" s="68" t="s">
        <v>354</v>
      </c>
      <c r="P3" s="68" t="s">
        <v>508</v>
      </c>
      <c r="Q3" s="68" t="s">
        <v>509</v>
      </c>
      <c r="R3" s="68" t="s">
        <v>510</v>
      </c>
      <c r="S3" s="68" t="s">
        <v>511</v>
      </c>
      <c r="T3" s="68" t="s">
        <v>512</v>
      </c>
      <c r="U3" s="68" t="s">
        <v>513</v>
      </c>
      <c r="V3" s="68" t="s">
        <v>514</v>
      </c>
      <c r="W3" s="68" t="s">
        <v>515</v>
      </c>
      <c r="X3" s="68" t="s">
        <v>516</v>
      </c>
      <c r="Y3" s="64" t="s">
        <v>517</v>
      </c>
      <c r="Z3" s="69" t="s">
        <v>518</v>
      </c>
      <c r="AA3" s="67" t="s">
        <v>200</v>
      </c>
      <c r="AB3" s="67" t="s">
        <v>201</v>
      </c>
      <c r="AC3" s="67" t="s">
        <v>505</v>
      </c>
      <c r="AD3" s="69" t="s">
        <v>519</v>
      </c>
      <c r="AE3" s="68" t="s">
        <v>507</v>
      </c>
      <c r="AF3" s="68" t="s">
        <v>501</v>
      </c>
      <c r="AG3" s="68" t="s">
        <v>354</v>
      </c>
      <c r="AH3" s="68" t="s">
        <v>508</v>
      </c>
      <c r="AI3" s="68" t="s">
        <v>509</v>
      </c>
      <c r="AJ3" s="68" t="s">
        <v>510</v>
      </c>
      <c r="AK3" s="68" t="s">
        <v>511</v>
      </c>
      <c r="AL3" s="68" t="s">
        <v>512</v>
      </c>
      <c r="AM3" s="68" t="s">
        <v>513</v>
      </c>
      <c r="AN3" s="68" t="s">
        <v>514</v>
      </c>
      <c r="AO3" s="68" t="s">
        <v>515</v>
      </c>
      <c r="AP3" s="68" t="s">
        <v>516</v>
      </c>
      <c r="AQ3" s="64" t="s">
        <v>520</v>
      </c>
      <c r="AR3" s="69" t="s">
        <v>518</v>
      </c>
      <c r="AS3" s="57" t="s">
        <v>521</v>
      </c>
      <c r="AT3" s="57" t="s">
        <v>521</v>
      </c>
      <c r="AU3" s="58" t="s">
        <v>199</v>
      </c>
      <c r="AV3" s="58" t="s">
        <v>199</v>
      </c>
      <c r="AW3" s="58" t="s">
        <v>203</v>
      </c>
      <c r="AX3" s="59" t="s">
        <v>521</v>
      </c>
      <c r="AY3" s="59" t="s">
        <v>521</v>
      </c>
      <c r="AZ3" s="59" t="s">
        <v>199</v>
      </c>
      <c r="BA3" s="59" t="s">
        <v>199</v>
      </c>
      <c r="BB3" s="59" t="s">
        <v>203</v>
      </c>
      <c r="BC3" s="53" t="s">
        <v>202</v>
      </c>
      <c r="BD3" s="287"/>
      <c r="BE3" s="53" t="s">
        <v>199</v>
      </c>
      <c r="BF3" s="53" t="s">
        <v>386</v>
      </c>
      <c r="BG3" s="53" t="s">
        <v>202</v>
      </c>
      <c r="BH3" s="53" t="s">
        <v>202</v>
      </c>
      <c r="BI3" s="60" t="s">
        <v>203</v>
      </c>
      <c r="BJ3" s="280"/>
      <c r="BK3" s="287"/>
      <c r="BL3" s="53" t="s">
        <v>199</v>
      </c>
      <c r="BM3" s="53">
        <v>2</v>
      </c>
      <c r="BN3" s="53">
        <v>12</v>
      </c>
      <c r="BO3" s="53">
        <v>100</v>
      </c>
      <c r="BP3" s="53" t="s">
        <v>386</v>
      </c>
      <c r="BQ3" s="280"/>
      <c r="BR3" s="280"/>
      <c r="BS3" s="280"/>
    </row>
    <row r="4" spans="1:71">
      <c r="A4" s="70" t="s">
        <v>235</v>
      </c>
      <c r="B4" s="70" t="str">
        <f t="shared" ref="B4" si="0">IFERROR(LEFT(A4,FIND("-",A4)-1),A4)</f>
        <v>M10</v>
      </c>
      <c r="C4" s="71" t="str">
        <f>IFERROR(VLOOKUP(A4,BanVe!A:AH,34,0),0)</f>
        <v>CSA5</v>
      </c>
      <c r="D4" s="71" t="str">
        <f>IFERROR(IF(UPPER(VLOOKUP(A4,BanVe!A:B,2,0))="STRIPA","STRIP A",IF(UPPER(VLOOKUP(A4,BanVe!A:B,2,0))="STRIPB","STRIP B","KXD")),"KXD")</f>
        <v>STRIP A</v>
      </c>
      <c r="E4" s="71">
        <f>VLOOKUP(C4,NoiLuc!A:K,4,0)</f>
        <v>750</v>
      </c>
      <c r="F4" s="70">
        <v>700</v>
      </c>
      <c r="G4" s="72">
        <f>TRONGTAM_a(E4,THDL!$CK$10,THDL!$CK$16,N4,P4,R4,T4,V4,O4,Q4,S4,U4,W4,0)</f>
        <v>48</v>
      </c>
      <c r="H4" s="72">
        <f>TRONGTAM_a(E4,THDL!$CK$15,THDL!$CK$16,AF4,AH4,AJ4,AL4,AN4,AG4,AI4,AK4,AM4,AO4,0)</f>
        <v>118</v>
      </c>
      <c r="I4" s="73">
        <f>VLOOKUP(C4,NoiLuc!A:K,6,0)</f>
        <v>-4.3915109634399396</v>
      </c>
      <c r="J4" s="73">
        <f>VLOOKUP(C4,NoiLuc!A:K,7,0)</f>
        <v>0.37499999999998901</v>
      </c>
      <c r="K4" s="73">
        <f>_xll.Slab_Function(THDL!$CK$2,E4,F4,G4,H4,I4,THDL!$CN$5,THDL!$CQ$4,THDL!$CQ$5,THDL!$CQ$6,THDL!$CQ$10,THDL!$CQ$11,THDL!$CQ$12,THDL!$CK$6,"Nén",THDL!$CK$7,THDL!$CT$3,THDL!$CT$13,THDL!$CT$16,THDL!$CT$17,THDL!$CT$18,THDL!$CQ$3*THDL!$CQ$4,THDL!$CQ$3,THDL!$CQ$9*THDL!$CQ$10,THDL!$CQ$9,N4,O4,P4,Q4,R4,S4,T4,U4,V4,W4,THDL!$CK$11,8,"Mu",AF4,AG4,AH4,AI4,AJ4,AK4,AL4,AM4,AN4,AO4)</f>
        <v>127.24302720124855</v>
      </c>
      <c r="L4" s="73">
        <f>_xll.Beam_Function(THDL!$CK$2,"Asn",E4,F4,G4,H4,ABS(I4),THDL!$CN$5,THDL!$CQ$10,THDL!$CQ$11,THDL!$CQ$12,THDL!$CK$6,"Nén",THDL!$CK$7,THDL!$CT$3,THDL!$CT$13,THDL!$CT$16,THDL!$CT$17,THDL!$CT$18,THDL!$CQ$10*THDL!$CQ$9,THDL!$CQ$9,X4,AP4)</f>
        <v>0</v>
      </c>
      <c r="M4" s="73">
        <f>_xll.Beam_Function(THDL!$CK$2,"Ask",E4,F4,G4,H4,ABS(I4),THDL!$CN$5,THDL!$CQ$10,THDL!$CQ$11,THDL!$CQ$12,THDL!$CK$6,"Nén",THDL!$CK$7,THDL!$CT$3,THDL!$CT$13,THDL!$CT$16,THDL!$CT$17,THDL!$CT$18,THDL!$CQ$10*THDL!$CQ$9,THDL!$CQ$9,X4,AP4,THDL!$CK$11)</f>
        <v>0.19253281117986884</v>
      </c>
      <c r="N4" s="74">
        <v>12</v>
      </c>
      <c r="O4" s="74">
        <v>150</v>
      </c>
      <c r="P4" s="74"/>
      <c r="Q4" s="74"/>
      <c r="R4" s="74"/>
      <c r="S4" s="74"/>
      <c r="T4" s="74"/>
      <c r="U4" s="74"/>
      <c r="V4" s="74"/>
      <c r="W4" s="74"/>
      <c r="X4" s="75">
        <f t="shared" ref="X4:X47" si="1">dt(E4,N4,O4,P4,Q4,R4,S4,T4,U4,V4,W4)/10^2</f>
        <v>5.6548669433593748</v>
      </c>
      <c r="Y4" s="75">
        <f>100*X4*10^2/(E4*(F4-G4))</f>
        <v>0.11564145078444529</v>
      </c>
      <c r="Z4" s="75">
        <f>IF(M4=0,"OK",X4/M4)</f>
        <v>29.370925966880836</v>
      </c>
      <c r="AA4" s="73">
        <f>VLOOKUP(C4,NoiLuc!A:K,8,0)</f>
        <v>66.140800476074205</v>
      </c>
      <c r="AB4" s="73">
        <f>VLOOKUP(C4,NoiLuc!A:K,9,0)</f>
        <v>0.75</v>
      </c>
      <c r="AC4" s="73">
        <f>_xll.Slab_Function(THDL!$CK$2,E4,F4,H4,G4,AA4,THDL!$CN$5,THDL!$CQ$4,THDL!$CQ$5,THDL!$CQ$6,THDL!$CQ$10,THDL!$CQ$11,THDL!$CQ$12,THDL!$CK$6,"Nén",THDL!$CK$7,THDL!$CT$3,THDL!$CT$13,THDL!$CT$16,THDL!$CT$17,THDL!$CT$18,THDL!$CQ$3*THDL!$CQ$4,THDL!$CQ$3,THDL!$CQ$9*THDL!$CQ$10,THDL!$CQ$9,AF4,AG4,AH4,AI4,AJ4,AK4,AL4,AM4,AN4,AO4,THDL!$CK$11,8,"Mu",N4,O4,P4,Q4,R4,S4,T4,U4,V4,W4)</f>
        <v>168.7321309201721</v>
      </c>
      <c r="AD4" s="76">
        <f>_xll.Beam_Function(THDL!$CK$2,"Asn",E4,F4,H4,G4,ABS(AA4),THDL!$CN$5,THDL!$CQ$10,THDL!$CQ$11,THDL!$CQ$12,THDL!$CK$6,"Nén",THDL!$CK$7,THDL!$CT$3,THDL!$CT$13,THDL!$CT$16,THDL!$CT$17,THDL!$CT$18,THDL!$CQ$10*THDL!$CQ$9,THDL!$CQ$9,AP4,X4)</f>
        <v>0</v>
      </c>
      <c r="AE4" s="76">
        <f>_xll.Beam_Function(THDL!$CK$2,"Ask",E4,F4,H4,G4,ABS(AA4),THDL!$CN$5,THDL!$CQ$10,THDL!$CQ$11,THDL!$CQ$12,THDL!$CK$6,"Nén",THDL!$CK$7,THDL!$CT$3,THDL!$CT$13,THDL!$CT$16,THDL!$CT$17,THDL!$CT$18,THDL!$CQ$10*THDL!$CQ$9,THDL!$CQ$9,AP4,X4,THDL!$CK$11)</f>
        <v>3.2766567873413135</v>
      </c>
      <c r="AF4" s="74">
        <v>12</v>
      </c>
      <c r="AG4" s="74">
        <v>100</v>
      </c>
      <c r="AH4" s="74"/>
      <c r="AI4" s="74"/>
      <c r="AJ4" s="74"/>
      <c r="AK4" s="74"/>
      <c r="AL4" s="74"/>
      <c r="AM4" s="74"/>
      <c r="AN4" s="74"/>
      <c r="AO4" s="74"/>
      <c r="AP4" s="75">
        <f t="shared" ref="AP4:AP47" si="2">dt(E4,AF4,AG4,AH4,AI4,AJ4,AK4,AL4,AM4,AN4,AO4)/10^2</f>
        <v>8.4823004150390631</v>
      </c>
      <c r="AQ4" s="75">
        <f>100*AP4*10^2/(E4*(F4-H4))</f>
        <v>0.19432532451406787</v>
      </c>
      <c r="AR4" s="75">
        <f>IF(AE4=0,"OK",AP4/AE4)</f>
        <v>2.5887057954341381</v>
      </c>
      <c r="AS4" s="77">
        <f>VLOOKUP(C4,NoiLuc!BA:BK,6,0)</f>
        <v>-4.3915109634399396</v>
      </c>
      <c r="AT4" s="77">
        <f>VLOOKUP(C4,NoiLuc!AA:AK,6,0)</f>
        <v>-4.3915109634399396</v>
      </c>
      <c r="AU4" s="77">
        <f>_xll.Slab_Crack_Function(THDL!$CK$2,"D"&amp;THDL!$CK$17,THDL!$CK$7,ABS(I4),ABS(AS4),ABS(AT4),ABS(AS4),E4,F4,G4,H4,X4,AP4,N4,O4,P4,Q4,R4,S4,T4,U4,V4,W4,THDL!$CN$6,THDL!$CN$8,THDL!$CN$9,THDL!$CQ$6,THDL!$CQ$12,THDL!$CT$6,THDL!$CT$9,THDL!$CT$19,THDL!$CT$20,THDL!$CT$21,THDL!$CT$22,THDL!$CT$23,THDL!$CT$24,THDL!$CT$25,THDL!$CK$21,THDL!$CQ$4*THDL!$CQ$3)</f>
        <v>0</v>
      </c>
      <c r="AV4" s="77">
        <f>_xll.Slab_Crack_Function(THDL!$CK$2,"N"&amp;THDL!$CK$17,THDL!$CK$7,ABS(I4),ABS(AS4),ABS(AT4),ABS(AS4),E4,F4,G4,H4,X4,AP4,N4,O4,P4,Q4,R4,S4,T4,U4,V4,W4,THDL!$CN$6,THDL!$CN$8,THDL!$CN$9,THDL!$CQ$6,THDL!$CQ$12,THDL!$CT$6,THDL!$CT$9,THDL!$CT$19,THDL!$CT$20,THDL!$CT$21,THDL!$CT$22,THDL!$CT$23,THDL!$CT$24,THDL!$CT$25,THDL!$CK$21,THDL!$CQ$4*THDL!$CQ$3)</f>
        <v>0</v>
      </c>
      <c r="AW4" s="77" t="str">
        <f>IF(AND(AU4&lt;=THDL!$CK$8,AV4&lt;=THDL!$CK$9),"OK","FAIL")</f>
        <v>OK</v>
      </c>
      <c r="AX4" s="77">
        <f>VLOOKUP(C4,NoiLuc!BA:BK,8,0)</f>
        <v>66.140800476074205</v>
      </c>
      <c r="AY4" s="77">
        <f>VLOOKUP(C4,NoiLuc!AA:AK,8,0)</f>
        <v>66.140800476074205</v>
      </c>
      <c r="AZ4" s="77">
        <f>_xll.Slab_Crack_Function(THDL!$CK$2,"D"&amp;THDL!$CK$17,THDL!$CK$7,ABS(AA4),ABS(AX4),ABS(AY4),ABS(AX4),E4,F4,H4,G4,AP4,X4,AF4,AG4,AH4,AI4,AJ4,AK4,AL4,AM4,AN4,AO4,THDL!$CN$6,THDL!$CN$8,THDL!$CN$9,THDL!$CQ$6,THDL!$CQ$12,THDL!$CT$6,THDL!$CT$9,THDL!$CT$19,THDL!$CT$20,THDL!$CT$21,THDL!$CT$22,THDL!$CT$23,THDL!$CT$24,THDL!$CT$25,THDL!$CK$21,THDL!$CQ$4*THDL!$CQ$3)</f>
        <v>0</v>
      </c>
      <c r="BA4" s="77">
        <f>_xll.Slab_Crack_Function(THDL!$CK$2,"N"&amp;THDL!$CK$17,THDL!$CK$7,ABS(AA4),ABS(AX4),ABS(AY4),ABS(AX4),E4,F4,H4,G4,AP4,X4,AF4,AG4,AH4,AI4,AJ4,AK4,AL4,AM4,AN4,AO4,THDL!$CN$6,THDL!$CN$8,THDL!$CN$9,THDL!$CQ$6,THDL!$CQ$12,THDL!$CT$6,THDL!$CT$9,THDL!$CT$19,THDL!$CT$20,THDL!$CT$21,THDL!$CT$22,THDL!$CT$23,THDL!$CT$24,THDL!$CT$25,THDL!$CK$21,THDL!$CQ$4*THDL!$CQ$3)</f>
        <v>0</v>
      </c>
      <c r="BB4" s="77" t="str">
        <f>IF(AND(AZ4&lt;=THDL!$CK$8,BA4&lt;=THDL!$CK$9),"OK","FAIL")</f>
        <v>OK</v>
      </c>
      <c r="BC4" s="78">
        <f>VLOOKUP(C4,NoiLuc!A:K,10,0)</f>
        <v>180.17811584472699</v>
      </c>
      <c r="BD4" s="79">
        <f>_xll.Foundation_TinhHeSoCChiuCat(E4,F4,MAX(G4,H4),BM4,BN4,BO4,BP4,BF4,BC4,THDL!$CK$18,THDL!$CK$19)</f>
        <v>1.5</v>
      </c>
      <c r="BE4" s="80">
        <f>(F4-MAX(G4,H4))*BD4</f>
        <v>873</v>
      </c>
      <c r="BF4" s="78">
        <f>THDL!$CN$7</f>
        <v>1.05</v>
      </c>
      <c r="BG4" s="78">
        <f>1.5*BF4*E4*(F4-MAX(G4,H4))^2/BE4/1000</f>
        <v>458.32500000000005</v>
      </c>
      <c r="BH4" s="78">
        <f>MAX(MIN(BG4,2.5*BF4*E4*(F4-MAX(G4,H4))/1000),0.5*BF4*E4*(F4-MAX(G4,H4))/1000)</f>
        <v>458.32500000000005</v>
      </c>
      <c r="BI4" s="81" t="str">
        <f>IF(BC4&gt;BH4,"Cần bố trí thép chịu cắt","OK")</f>
        <v>OK</v>
      </c>
      <c r="BJ4" s="78">
        <f>IF(BC4&gt;BH4,BC4-BH4,0)</f>
        <v>0</v>
      </c>
      <c r="BK4" s="82">
        <f>IF(BD4&gt;2,2,IF(BD4&lt;1,1,BD4))</f>
        <v>1.5</v>
      </c>
      <c r="BL4" s="80">
        <f>(F4-MAX(G4,H4))*BK4</f>
        <v>873</v>
      </c>
      <c r="BM4" s="83">
        <f>$BM$3</f>
        <v>2</v>
      </c>
      <c r="BN4" s="83">
        <f>$BN$3</f>
        <v>12</v>
      </c>
      <c r="BO4" s="83">
        <f>$BO$3</f>
        <v>100</v>
      </c>
      <c r="BP4" s="78">
        <f>IF(BN4&gt;8,THDL!$CQ$16,THDL!$CQ$15)</f>
        <v>280</v>
      </c>
      <c r="BQ4" s="78" t="str">
        <f>IF(BC4&gt;BH4,BM4*PI()*BN4^2/4*BP4/(BJ4/0.75/BL4*1000),"")</f>
        <v/>
      </c>
      <c r="BR4" s="78" t="str">
        <f>IF(BC4&gt;BH4,(BM4*PI()*BN4^2/4*BP4)/(0.25*BF4*E4),"")</f>
        <v/>
      </c>
      <c r="BS4" s="78" t="str">
        <f>IF(BC4&gt;BH4,IF(BO4&lt;=MIN(BQ4,BR4),"OK","FAIL"),"")</f>
        <v/>
      </c>
    </row>
    <row r="5" spans="1:71">
      <c r="A5" s="84" t="s">
        <v>240</v>
      </c>
      <c r="B5" s="85" t="str">
        <f t="shared" ref="B5:B47" si="3">IFERROR(LEFT(A5,FIND("-",A5)-1),A5)</f>
        <v>M10</v>
      </c>
      <c r="C5" s="86" t="str">
        <f>IFERROR(VLOOKUP(A5,BanVe!A:AH,34,0),0)</f>
        <v>CSB9</v>
      </c>
      <c r="D5" s="71" t="str">
        <f>IFERROR(IF(UPPER(VLOOKUP(A5,BanVe!A:B,2,0))="STRIPA","STRIP A",IF(UPPER(VLOOKUP(A5,BanVe!A:B,2,0))="STRIPB","STRIP B","KXD")),"KXD")</f>
        <v>STRIP B</v>
      </c>
      <c r="E5" s="86">
        <f>VLOOKUP(C5,NoiLuc!A:K,4,0)</f>
        <v>1500</v>
      </c>
      <c r="F5" s="85">
        <v>700</v>
      </c>
      <c r="G5" s="87">
        <f>TRONGTAM_a(E5,THDL!$CK$10,THDL!$CK$16,N5,P5,R5,T5,V5,O5,Q5,S5,U5,W5,0)</f>
        <v>48</v>
      </c>
      <c r="H5" s="87">
        <f>TRONGTAM_a(E5,THDL!$CK$15,THDL!$CK$16,AF5,AH5,AJ5,AL5,AN5,AG5,AI5,AK5,AM5,AO5,0)</f>
        <v>118</v>
      </c>
      <c r="I5" s="88">
        <f>VLOOKUP(C5,NoiLuc!A:K,6,0)</f>
        <v>-21.005884170532202</v>
      </c>
      <c r="J5" s="88">
        <f>VLOOKUP(C5,NoiLuc!A:K,7,0)</f>
        <v>0.375</v>
      </c>
      <c r="K5" s="73">
        <f>_xll.Slab_Function(THDL!$CK$2,E5,F5,G5,H5,I5,THDL!$CN$5,THDL!$CQ$4,THDL!$CQ$5,THDL!$CQ$6,THDL!$CQ$10,THDL!$CQ$11,THDL!$CQ$12,THDL!$CK$6,"Nén",THDL!$CK$7,THDL!$CT$3,THDL!$CT$13,THDL!$CT$16,THDL!$CT$17,THDL!$CT$18,THDL!$CQ$3*THDL!$CQ$4,THDL!$CQ$3,THDL!$CQ$9*THDL!$CQ$10,THDL!$CQ$9,N5,O5,P5,Q5,R5,S5,T5,U5,V5,W5,THDL!$CK$11,8,"Mu",AF5,AG5,AH5,AI5,AJ5,AK5,AL5,AM5,AN5,AO5)</f>
        <v>254.4860544024971</v>
      </c>
      <c r="L5" s="88">
        <f>_xll.Beam_Function(THDL!$CK$2,"Asn",E5,F5,G5,H5,ABS(I5),THDL!$CN$5,THDL!$CQ$10,THDL!$CQ$11,THDL!$CQ$12,THDL!$CK$6,"Nén",THDL!$CK$7,THDL!$CT$3,THDL!$CT$13,THDL!$CT$16,THDL!$CT$17,THDL!$CT$18,THDL!$CQ$10*THDL!$CQ$9,THDL!$CQ$9,X5,AP5)</f>
        <v>0</v>
      </c>
      <c r="M5" s="88">
        <f>_xll.Beam_Function(THDL!$CK$2,"Ask",E5,F5,G5,H5,ABS(I5),THDL!$CN$5,THDL!$CQ$10,THDL!$CQ$11,THDL!$CQ$12,THDL!$CK$6,"Nén",THDL!$CK$7,THDL!$CT$3,THDL!$CT$13,THDL!$CT$16,THDL!$CT$17,THDL!$CT$18,THDL!$CQ$10*THDL!$CQ$9,THDL!$CQ$9,X5,AP5,THDL!$CK$11)</f>
        <v>0.92155127175454021</v>
      </c>
      <c r="N5" s="89">
        <v>12</v>
      </c>
      <c r="O5" s="89">
        <v>150</v>
      </c>
      <c r="P5" s="89"/>
      <c r="Q5" s="89"/>
      <c r="R5" s="89"/>
      <c r="S5" s="89"/>
      <c r="T5" s="89"/>
      <c r="U5" s="89"/>
      <c r="V5" s="89"/>
      <c r="W5" s="89"/>
      <c r="X5" s="90">
        <f t="shared" si="1"/>
        <v>11.30973388671875</v>
      </c>
      <c r="Y5" s="90">
        <f t="shared" ref="Y5:Y47" si="4">100*X5*10^2/(E5*(F5-G5))</f>
        <v>0.11564145078444529</v>
      </c>
      <c r="Z5" s="90">
        <f t="shared" ref="Z5:Z47" si="5">IF(M5=0,"OK",X5/M5)</f>
        <v>12.272495555441166</v>
      </c>
      <c r="AA5" s="88">
        <f>VLOOKUP(C5,NoiLuc!A:K,8,0)</f>
        <v>1</v>
      </c>
      <c r="AB5" s="88" t="str">
        <f>VLOOKUP(C5,NoiLuc!A:K,9,0)</f>
        <v>-</v>
      </c>
      <c r="AC5" s="73">
        <f>_xll.Slab_Function(THDL!$CK$2,E5,F5,H5,G5,AA5,THDL!$CN$5,THDL!$CQ$4,THDL!$CQ$5,THDL!$CQ$6,THDL!$CQ$10,THDL!$CQ$11,THDL!$CQ$12,THDL!$CK$6,"Nén",THDL!$CK$7,THDL!$CT$3,THDL!$CT$13,THDL!$CT$16,THDL!$CT$17,THDL!$CT$18,THDL!$CQ$3*THDL!$CQ$4,THDL!$CQ$3,THDL!$CQ$9*THDL!$CQ$10,THDL!$CQ$9,AF5,AG5,AH5,AI5,AJ5,AK5,AL5,AM5,AN5,AO5,THDL!$CK$11,8,"Mu",N5,O5,P5,Q5,R5,S5,T5,U5,V5,W5)</f>
        <v>226.77720719783517</v>
      </c>
      <c r="AD5" s="91">
        <f>_xll.Beam_Function(THDL!$CK$2,"Asn",E5,F5,H5,G5,ABS(AA5),THDL!$CN$5,THDL!$CQ$10,THDL!$CQ$11,THDL!$CQ$12,THDL!$CK$6,"Nén",THDL!$CK$7,THDL!$CT$3,THDL!$CT$13,THDL!$CT$16,THDL!$CT$17,THDL!$CT$18,THDL!$CQ$10*THDL!$CQ$9,THDL!$CQ$9,AP5,X5)</f>
        <v>0</v>
      </c>
      <c r="AE5" s="91">
        <f>_xll.Beam_Function(THDL!$CK$2,"Ask",E5,F5,H5,G5,ABS(AA5),THDL!$CN$5,THDL!$CQ$10,THDL!$CQ$11,THDL!$CQ$12,THDL!$CK$6,"Nén",THDL!$CK$7,THDL!$CT$3,THDL!$CT$13,THDL!$CT$16,THDL!$CT$17,THDL!$CT$18,THDL!$CQ$10*THDL!$CQ$9,THDL!$CQ$9,AP5,X5,THDL!$CK$11)</f>
        <v>4.909513388170491E-2</v>
      </c>
      <c r="AF5" s="89">
        <v>12</v>
      </c>
      <c r="AG5" s="89">
        <v>150</v>
      </c>
      <c r="AH5" s="89"/>
      <c r="AI5" s="89"/>
      <c r="AJ5" s="89"/>
      <c r="AK5" s="89"/>
      <c r="AL5" s="89"/>
      <c r="AM5" s="89"/>
      <c r="AN5" s="89"/>
      <c r="AO5" s="89"/>
      <c r="AP5" s="90">
        <f t="shared" si="2"/>
        <v>11.30973388671875</v>
      </c>
      <c r="AQ5" s="90">
        <f t="shared" ref="AQ5:AQ47" si="6">100*AP5*10^2/(E5*(F5-H5))</f>
        <v>0.12955021634271191</v>
      </c>
      <c r="AR5" s="90">
        <f t="shared" ref="AR5:AR47" si="7">IF(AE5=0,"OK",AP5/AE5)</f>
        <v>230.36364284023824</v>
      </c>
      <c r="AS5" s="77">
        <f>VLOOKUP(C5,NoiLuc!BA:BK,6,0)</f>
        <v>-21.005884170532202</v>
      </c>
      <c r="AT5" s="77">
        <f>VLOOKUP(C5,NoiLuc!AA:AK,6,0)</f>
        <v>-21.005884170532202</v>
      </c>
      <c r="AU5" s="92">
        <f>_xll.Slab_Crack_Function(THDL!$CK$2,"D"&amp;THDL!$CK$17,THDL!$CK$7,ABS(I5),ABS(AS5),ABS(AT5),ABS(AS5),E5,F5,G5,H5,X5,AP5,N5,O5,P5,Q5,R5,S5,T5,U5,V5,W5,THDL!$CN$6,THDL!$CN$8,THDL!$CN$9,THDL!$CQ$6,THDL!$CQ$12,THDL!$CT$6,THDL!$CT$9,THDL!$CT$19,THDL!$CT$20,THDL!$CT$21,THDL!$CT$22,THDL!$CT$23,THDL!$CT$24,THDL!$CT$25,THDL!$CK$21,THDL!$CQ$4*THDL!$CQ$3)</f>
        <v>0</v>
      </c>
      <c r="AV5" s="92">
        <f>_xll.Slab_Crack_Function(THDL!$CK$2,"N"&amp;THDL!$CK$17,THDL!$CK$7,ABS(I5),ABS(AS5),ABS(AT5),ABS(AS5),E5,F5,G5,H5,X5,AP5,N5,O5,P5,Q5,R5,S5,T5,U5,V5,W5,THDL!$CN$6,THDL!$CN$8,THDL!$CN$9,THDL!$CQ$6,THDL!$CQ$12,THDL!$CT$6,THDL!$CT$9,THDL!$CT$19,THDL!$CT$20,THDL!$CT$21,THDL!$CT$22,THDL!$CT$23,THDL!$CT$24,THDL!$CT$25,THDL!$CK$21,THDL!$CQ$4*THDL!$CQ$3)</f>
        <v>0</v>
      </c>
      <c r="AW5" s="92" t="str">
        <f>IF(AND(AU5&lt;=THDL!$CK$8,AV5&lt;=THDL!$CK$9),"OK","FAIL")</f>
        <v>OK</v>
      </c>
      <c r="AX5" s="77">
        <f>VLOOKUP(C5,NoiLuc!BA:BK,8,0)</f>
        <v>1</v>
      </c>
      <c r="AY5" s="77">
        <f>VLOOKUP(C5,NoiLuc!AA:AK,8,0)</f>
        <v>1</v>
      </c>
      <c r="AZ5" s="92">
        <f>_xll.Slab_Crack_Function(THDL!$CK$2,"D"&amp;THDL!$CK$17,THDL!$CK$7,ABS(AA5),ABS(AX5),ABS(AY5),ABS(AX5),E5,F5,H5,G5,AP5,X5,AF5,AG5,AH5,AI5,AJ5,AK5,AL5,AM5,AN5,AO5,THDL!$CN$6,THDL!$CN$8,THDL!$CN$9,THDL!$CQ$6,THDL!$CQ$12,THDL!$CT$6,THDL!$CT$9,THDL!$CT$19,THDL!$CT$20,THDL!$CT$21,THDL!$CT$22,THDL!$CT$23,THDL!$CT$24,THDL!$CT$25,THDL!$CK$21,THDL!$CQ$4*THDL!$CQ$3)</f>
        <v>0</v>
      </c>
      <c r="BA5" s="92">
        <f>_xll.Slab_Crack_Function(THDL!$CK$2,"N"&amp;THDL!$CK$17,THDL!$CK$7,ABS(AA5),ABS(AX5),ABS(AY5),ABS(AX5),E5,F5,H5,G5,AP5,X5,AF5,AG5,AH5,AI5,AJ5,AK5,AL5,AM5,AN5,AO5,THDL!$CN$6,THDL!$CN$8,THDL!$CN$9,THDL!$CQ$6,THDL!$CQ$12,THDL!$CT$6,THDL!$CT$9,THDL!$CT$19,THDL!$CT$20,THDL!$CT$21,THDL!$CT$22,THDL!$CT$23,THDL!$CT$24,THDL!$CT$25,THDL!$CK$21,THDL!$CQ$4*THDL!$CQ$3)</f>
        <v>0</v>
      </c>
      <c r="BB5" s="92" t="str">
        <f>IF(AND(AZ5&lt;=THDL!$CK$8,BA5&lt;=THDL!$CK$9),"OK","FAIL")</f>
        <v>OK</v>
      </c>
      <c r="BC5" s="93">
        <f>VLOOKUP(C5,NoiLuc!A:K,10,0)</f>
        <v>20.0130710601807</v>
      </c>
      <c r="BD5" s="94">
        <f>_xll.Foundation_TinhHeSoCChiuCat(E5,F5,MAX(G5,H5),BM5,BN5,BO5,BP5,BF5,BC5,THDL!$CK$18,THDL!$CK$19)</f>
        <v>1.5</v>
      </c>
      <c r="BE5" s="95">
        <f t="shared" ref="BE5:BE47" si="8">(F5-MAX(G5,H5))*BD5</f>
        <v>873</v>
      </c>
      <c r="BF5" s="93">
        <f>THDL!$CN$7</f>
        <v>1.05</v>
      </c>
      <c r="BG5" s="93">
        <f t="shared" ref="BG5:BG47" si="9">1.5*BF5*E5*(F5-MAX(G5,H5))^2/BE5/1000</f>
        <v>916.65000000000009</v>
      </c>
      <c r="BH5" s="93">
        <f t="shared" ref="BH5:BH47" si="10">MAX(MIN(BG5,2.5*BF5*E5*(F5-MAX(G5,H5))/1000),0.5*BF5*E5*(F5-MAX(G5,H5))/1000)</f>
        <v>916.65000000000009</v>
      </c>
      <c r="BI5" s="96" t="str">
        <f t="shared" ref="BI5:BI47" si="11">IF(BC5&gt;BH5,"Cần bố trí thép chịu cắt","OK")</f>
        <v>OK</v>
      </c>
      <c r="BJ5" s="93">
        <f t="shared" ref="BJ5:BJ47" si="12">IF(BC5&gt;BH5,BC5-BH5,0)</f>
        <v>0</v>
      </c>
      <c r="BK5" s="97">
        <f t="shared" ref="BK5:BK47" si="13">IF(BD5&gt;2,2,IF(BD5&lt;1,1,BD5))</f>
        <v>1.5</v>
      </c>
      <c r="BL5" s="95">
        <f t="shared" ref="BL5:BL47" si="14">(F5-MAX(G5,H5))*BK5</f>
        <v>873</v>
      </c>
      <c r="BM5" s="98">
        <f t="shared" ref="BM5:BM47" si="15">$BM$3</f>
        <v>2</v>
      </c>
      <c r="BN5" s="98">
        <f t="shared" ref="BN5:BN47" si="16">$BN$3</f>
        <v>12</v>
      </c>
      <c r="BO5" s="98">
        <f t="shared" ref="BO5:BO47" si="17">$BO$3</f>
        <v>100</v>
      </c>
      <c r="BP5" s="93">
        <f>IF(BN5&gt;8,THDL!$CQ$16,THDL!$CQ$15)</f>
        <v>280</v>
      </c>
      <c r="BQ5" s="93" t="str">
        <f t="shared" ref="BQ5:BQ47" si="18">IF(BC5&gt;BH5,BM5*PI()*BN5^2/4*BP5/(BJ5/0.75/BL5*1000),"")</f>
        <v/>
      </c>
      <c r="BR5" s="93" t="str">
        <f t="shared" ref="BR5:BR47" si="19">IF(BC5&gt;BH5,(BM5*PI()*BN5^2/4*BP5)/(0.25*BF5*E5),"")</f>
        <v/>
      </c>
      <c r="BS5" s="93" t="str">
        <f t="shared" ref="BS5:BS47" si="20">IF(BC5&gt;BH5,IF(BO5&lt;=MIN(BQ5,BR5),"OK","FAIL"),"")</f>
        <v/>
      </c>
    </row>
    <row r="6" spans="1:71">
      <c r="A6" s="99" t="s">
        <v>243</v>
      </c>
      <c r="B6" s="100" t="str">
        <f t="shared" si="3"/>
        <v>M11</v>
      </c>
      <c r="C6" s="101" t="str">
        <f>IFERROR(VLOOKUP(A6,BanVe!A:AH,34,0),0)</f>
        <v>CSA10</v>
      </c>
      <c r="D6" s="71" t="str">
        <f>IFERROR(IF(UPPER(VLOOKUP(A6,BanVe!A:B,2,0))="STRIPA","STRIP A",IF(UPPER(VLOOKUP(A6,BanVe!A:B,2,0))="STRIPB","STRIP B","KXD")),"KXD")</f>
        <v>STRIP A</v>
      </c>
      <c r="E6" s="101">
        <f>VLOOKUP(C6,NoiLuc!A:K,4,0)</f>
        <v>750</v>
      </c>
      <c r="F6" s="100">
        <v>700</v>
      </c>
      <c r="G6" s="102">
        <f>TRONGTAM_a(E6,THDL!$CK$10,THDL!$CK$16,N6,P6,R6,T6,V6,O6,Q6,S6,U6,W6,0)</f>
        <v>48</v>
      </c>
      <c r="H6" s="102">
        <f>TRONGTAM_a(E6,THDL!$CK$15,THDL!$CK$16,AF6,AH6,AJ6,AL6,AN6,AG6,AI6,AK6,AM6,AO6,0)</f>
        <v>121</v>
      </c>
      <c r="I6" s="103">
        <f>VLOOKUP(C6,NoiLuc!A:K,6,0)</f>
        <v>-2.5851788520813002</v>
      </c>
      <c r="J6" s="103">
        <f>VLOOKUP(C6,NoiLuc!A:K,7,0)</f>
        <v>1.5</v>
      </c>
      <c r="K6" s="73">
        <f>_xll.Slab_Function(THDL!$CK$2,E6,F6,G6,H6,I6,THDL!$CN$5,THDL!$CQ$4,THDL!$CQ$5,THDL!$CQ$6,THDL!$CQ$10,THDL!$CQ$11,THDL!$CQ$12,THDL!$CK$6,"Nén",THDL!$CK$7,THDL!$CT$3,THDL!$CT$13,THDL!$CT$16,THDL!$CT$17,THDL!$CT$18,THDL!$CQ$3*THDL!$CQ$4,THDL!$CQ$3,THDL!$CQ$9*THDL!$CQ$10,THDL!$CQ$9,N6,O6,P6,Q6,R6,S6,T6,U6,V6,W6,THDL!$CK$11,8,"Mu",AF6,AG6,AH6,AI6,AJ6,AK6,AL6,AM6,AN6,AO6)</f>
        <v>127.24302720124855</v>
      </c>
      <c r="L6" s="103">
        <f>_xll.Beam_Function(THDL!$CK$2,"Asn",E6,F6,G6,H6,ABS(I6),THDL!$CN$5,THDL!$CQ$10,THDL!$CQ$11,THDL!$CQ$12,THDL!$CK$6,"Nén",THDL!$CK$7,THDL!$CT$3,THDL!$CT$13,THDL!$CT$16,THDL!$CT$17,THDL!$CT$18,THDL!$CQ$10*THDL!$CQ$9,THDL!$CQ$9,X6,AP6)</f>
        <v>0</v>
      </c>
      <c r="M6" s="103">
        <f>_xll.Beam_Function(THDL!$CK$2,"Ask",E6,F6,G6,H6,ABS(I6),THDL!$CN$5,THDL!$CQ$10,THDL!$CQ$11,THDL!$CQ$12,THDL!$CK$6,"Nén",THDL!$CK$7,THDL!$CT$3,THDL!$CT$13,THDL!$CT$16,THDL!$CT$17,THDL!$CT$18,THDL!$CQ$10*THDL!$CQ$9,THDL!$CQ$9,X6,AP6,THDL!$CK$11)</f>
        <v>0.11331735630418364</v>
      </c>
      <c r="N6" s="104">
        <v>12</v>
      </c>
      <c r="O6" s="104">
        <v>150</v>
      </c>
      <c r="P6" s="104"/>
      <c r="Q6" s="104"/>
      <c r="R6" s="104"/>
      <c r="S6" s="104"/>
      <c r="T6" s="104"/>
      <c r="U6" s="104"/>
      <c r="V6" s="104"/>
      <c r="W6" s="104"/>
      <c r="X6" s="105">
        <f t="shared" si="1"/>
        <v>5.6548669433593748</v>
      </c>
      <c r="Y6" s="105">
        <f t="shared" si="4"/>
        <v>0.11564145078444529</v>
      </c>
      <c r="Z6" s="105">
        <f t="shared" si="5"/>
        <v>49.902919797914478</v>
      </c>
      <c r="AA6" s="103">
        <f>VLOOKUP(C6,NoiLuc!A:K,8,0)</f>
        <v>99.593414306640597</v>
      </c>
      <c r="AB6" s="103">
        <f>VLOOKUP(C6,NoiLuc!A:K,9,0)</f>
        <v>0.749999999999996</v>
      </c>
      <c r="AC6" s="73">
        <f>_xll.Slab_Function(THDL!$CK$2,E6,F6,H6,G6,AA6,THDL!$CN$5,THDL!$CQ$4,THDL!$CQ$5,THDL!$CQ$6,THDL!$CQ$10,THDL!$CQ$11,THDL!$CQ$12,THDL!$CK$6,"Nén",THDL!$CK$7,THDL!$CT$3,THDL!$CT$13,THDL!$CT$16,THDL!$CT$17,THDL!$CT$18,THDL!$CQ$3*THDL!$CQ$4,THDL!$CQ$3,THDL!$CQ$9*THDL!$CQ$10,THDL!$CQ$9,AF6,AG6,AH6,AI6,AJ6,AK6,AL6,AM6,AN6,AO6,THDL!$CK$11,8,"Mu",N6,O6,P6,Q6,R6,S6,T6,U6,V6,W6)</f>
        <v>226.45914913490037</v>
      </c>
      <c r="AD6" s="106">
        <f>_xll.Beam_Function(THDL!$CK$2,"Asn",E6,F6,H6,G6,ABS(AA6),THDL!$CN$5,THDL!$CQ$10,THDL!$CQ$11,THDL!$CQ$12,THDL!$CK$6,"Nén",THDL!$CK$7,THDL!$CT$3,THDL!$CT$13,THDL!$CT$16,THDL!$CT$17,THDL!$CT$18,THDL!$CQ$10*THDL!$CQ$9,THDL!$CQ$9,AP6,X6)</f>
        <v>0</v>
      </c>
      <c r="AE6" s="106">
        <f>_xll.Beam_Function(THDL!$CK$2,"Ask",E6,F6,H6,G6,ABS(AA6),THDL!$CN$5,THDL!$CQ$10,THDL!$CQ$11,THDL!$CQ$12,THDL!$CK$6,"Nén",THDL!$CK$7,THDL!$CT$3,THDL!$CT$13,THDL!$CT$16,THDL!$CT$17,THDL!$CT$18,THDL!$CQ$10*THDL!$CQ$9,THDL!$CQ$9,AP6,X6,THDL!$CK$11)</f>
        <v>4.9835789201465905</v>
      </c>
      <c r="AF6" s="104">
        <v>14</v>
      </c>
      <c r="AG6" s="104">
        <v>100</v>
      </c>
      <c r="AH6" s="104"/>
      <c r="AI6" s="104"/>
      <c r="AJ6" s="104"/>
      <c r="AK6" s="104"/>
      <c r="AL6" s="104"/>
      <c r="AM6" s="104"/>
      <c r="AN6" s="104"/>
      <c r="AO6" s="104"/>
      <c r="AP6" s="105">
        <f t="shared" si="2"/>
        <v>11.545352783203125</v>
      </c>
      <c r="AQ6" s="105">
        <f t="shared" si="6"/>
        <v>0.26586880329771156</v>
      </c>
      <c r="AR6" s="105">
        <f t="shared" si="7"/>
        <v>2.3166790309128928</v>
      </c>
      <c r="AS6" s="77">
        <f>VLOOKUP(C6,NoiLuc!BA:BK,6,0)</f>
        <v>-2.5851788520813002</v>
      </c>
      <c r="AT6" s="77">
        <f>VLOOKUP(C6,NoiLuc!AA:AK,6,0)</f>
        <v>-2.5851788520813002</v>
      </c>
      <c r="AU6" s="107">
        <f>_xll.Slab_Crack_Function(THDL!$CK$2,"D"&amp;THDL!$CK$17,THDL!$CK$7,ABS(I6),ABS(AS6),ABS(AT6),ABS(AS6),E6,F6,G6,H6,X6,AP6,N6,O6,P6,Q6,R6,S6,T6,U6,V6,W6,THDL!$CN$6,THDL!$CN$8,THDL!$CN$9,THDL!$CQ$6,THDL!$CQ$12,THDL!$CT$6,THDL!$CT$9,THDL!$CT$19,THDL!$CT$20,THDL!$CT$21,THDL!$CT$22,THDL!$CT$23,THDL!$CT$24,THDL!$CT$25,THDL!$CK$21,THDL!$CQ$4*THDL!$CQ$3)</f>
        <v>0</v>
      </c>
      <c r="AV6" s="107">
        <f>_xll.Slab_Crack_Function(THDL!$CK$2,"N"&amp;THDL!$CK$17,THDL!$CK$7,ABS(I6),ABS(AS6),ABS(AT6),ABS(AS6),E6,F6,G6,H6,X6,AP6,N6,O6,P6,Q6,R6,S6,T6,U6,V6,W6,THDL!$CN$6,THDL!$CN$8,THDL!$CN$9,THDL!$CQ$6,THDL!$CQ$12,THDL!$CT$6,THDL!$CT$9,THDL!$CT$19,THDL!$CT$20,THDL!$CT$21,THDL!$CT$22,THDL!$CT$23,THDL!$CT$24,THDL!$CT$25,THDL!$CK$21,THDL!$CQ$4*THDL!$CQ$3)</f>
        <v>0</v>
      </c>
      <c r="AW6" s="107" t="str">
        <f>IF(AND(AU6&lt;=THDL!$CK$8,AV6&lt;=THDL!$CK$9),"OK","FAIL")</f>
        <v>OK</v>
      </c>
      <c r="AX6" s="77">
        <f>VLOOKUP(C6,NoiLuc!BA:BK,8,0)</f>
        <v>99.593414306640597</v>
      </c>
      <c r="AY6" s="77">
        <f>VLOOKUP(C6,NoiLuc!AA:AK,8,0)</f>
        <v>99.593414306640597</v>
      </c>
      <c r="AZ6" s="107">
        <f>_xll.Slab_Crack_Function(THDL!$CK$2,"D"&amp;THDL!$CK$17,THDL!$CK$7,ABS(AA6),ABS(AX6),ABS(AY6),ABS(AX6),E6,F6,H6,G6,AP6,X6,AF6,AG6,AH6,AI6,AJ6,AK6,AL6,AM6,AN6,AO6,THDL!$CN$6,THDL!$CN$8,THDL!$CN$9,THDL!$CQ$6,THDL!$CQ$12,THDL!$CT$6,THDL!$CT$9,THDL!$CT$19,THDL!$CT$20,THDL!$CT$21,THDL!$CT$22,THDL!$CT$23,THDL!$CT$24,THDL!$CT$25,THDL!$CK$21,THDL!$CQ$4*THDL!$CQ$3)</f>
        <v>0</v>
      </c>
      <c r="BA6" s="107">
        <f>_xll.Slab_Crack_Function(THDL!$CK$2,"N"&amp;THDL!$CK$17,THDL!$CK$7,ABS(AA6),ABS(AX6),ABS(AY6),ABS(AX6),E6,F6,H6,G6,AP6,X6,AF6,AG6,AH6,AI6,AJ6,AK6,AL6,AM6,AN6,AO6,THDL!$CN$6,THDL!$CN$8,THDL!$CN$9,THDL!$CQ$6,THDL!$CQ$12,THDL!$CT$6,THDL!$CT$9,THDL!$CT$19,THDL!$CT$20,THDL!$CT$21,THDL!$CT$22,THDL!$CT$23,THDL!$CT$24,THDL!$CT$25,THDL!$CK$21,THDL!$CQ$4*THDL!$CQ$3)</f>
        <v>0</v>
      </c>
      <c r="BB6" s="107" t="str">
        <f>IF(AND(AZ6&lt;=THDL!$CK$8,BA6&lt;=THDL!$CK$9),"OK","FAIL")</f>
        <v>OK</v>
      </c>
      <c r="BC6" s="108">
        <f>VLOOKUP(C6,NoiLuc!A:K,10,0)</f>
        <v>262.82681274414102</v>
      </c>
      <c r="BD6" s="109">
        <f>_xll.Foundation_TinhHeSoCChiuCat(E6,F6,MAX(G6,H6),BM6,BN6,BO6,BP6,BF6,BC6,THDL!$CK$18,THDL!$CK$19)</f>
        <v>1.5</v>
      </c>
      <c r="BE6" s="110">
        <f t="shared" si="8"/>
        <v>868.5</v>
      </c>
      <c r="BF6" s="108">
        <f>THDL!$CN$7</f>
        <v>1.05</v>
      </c>
      <c r="BG6" s="108">
        <f t="shared" si="9"/>
        <v>455.96250000000003</v>
      </c>
      <c r="BH6" s="108">
        <f t="shared" si="10"/>
        <v>455.96250000000003</v>
      </c>
      <c r="BI6" s="111" t="str">
        <f t="shared" si="11"/>
        <v>OK</v>
      </c>
      <c r="BJ6" s="108">
        <f t="shared" si="12"/>
        <v>0</v>
      </c>
      <c r="BK6" s="112">
        <f t="shared" si="13"/>
        <v>1.5</v>
      </c>
      <c r="BL6" s="110">
        <f t="shared" si="14"/>
        <v>868.5</v>
      </c>
      <c r="BM6" s="113">
        <f t="shared" si="15"/>
        <v>2</v>
      </c>
      <c r="BN6" s="113">
        <f t="shared" si="16"/>
        <v>12</v>
      </c>
      <c r="BO6" s="113">
        <f t="shared" si="17"/>
        <v>100</v>
      </c>
      <c r="BP6" s="108">
        <f>IF(BN6&gt;8,THDL!$CQ$16,THDL!$CQ$15)</f>
        <v>280</v>
      </c>
      <c r="BQ6" s="108" t="str">
        <f t="shared" si="18"/>
        <v/>
      </c>
      <c r="BR6" s="108" t="str">
        <f t="shared" si="19"/>
        <v/>
      </c>
      <c r="BS6" s="108" t="str">
        <f t="shared" si="20"/>
        <v/>
      </c>
    </row>
    <row r="7" spans="1:71">
      <c r="A7" s="114" t="s">
        <v>246</v>
      </c>
      <c r="B7" s="115" t="str">
        <f t="shared" si="3"/>
        <v>M11</v>
      </c>
      <c r="C7" s="116" t="str">
        <f>IFERROR(VLOOKUP(A7,BanVe!A:AH,34,0),0)</f>
        <v>CSB4</v>
      </c>
      <c r="D7" s="71" t="str">
        <f>IFERROR(IF(UPPER(VLOOKUP(A7,BanVe!A:B,2,0))="STRIPA","STRIP A",IF(UPPER(VLOOKUP(A7,BanVe!A:B,2,0))="STRIPB","STRIP B","KXD")),"KXD")</f>
        <v>STRIP B</v>
      </c>
      <c r="E7" s="116">
        <f>VLOOKUP(C7,NoiLuc!A:K,4,0)</f>
        <v>1500</v>
      </c>
      <c r="F7" s="115">
        <v>700</v>
      </c>
      <c r="G7" s="117">
        <f>TRONGTAM_a(E7,THDL!$CK$10,THDL!$CK$16,N7,P7,R7,T7,V7,O7,Q7,S7,U7,W7,0)</f>
        <v>48</v>
      </c>
      <c r="H7" s="117">
        <f>TRONGTAM_a(E7,THDL!$CK$15,THDL!$CK$16,AF7,AH7,AJ7,AL7,AN7,AG7,AI7,AK7,AM7,AO7,0)</f>
        <v>118</v>
      </c>
      <c r="I7" s="118">
        <f>VLOOKUP(C7,NoiLuc!A:K,6,0)</f>
        <v>-1</v>
      </c>
      <c r="J7" s="118" t="str">
        <f>VLOOKUP(C7,NoiLuc!A:K,7,0)</f>
        <v>-</v>
      </c>
      <c r="K7" s="73">
        <f>_xll.Slab_Function(THDL!$CK$2,E7,F7,G7,H7,I7,THDL!$CN$5,THDL!$CQ$4,THDL!$CQ$5,THDL!$CQ$6,THDL!$CQ$10,THDL!$CQ$11,THDL!$CQ$12,THDL!$CK$6,"Nén",THDL!$CK$7,THDL!$CT$3,THDL!$CT$13,THDL!$CT$16,THDL!$CT$17,THDL!$CT$18,THDL!$CQ$3*THDL!$CQ$4,THDL!$CQ$3,THDL!$CQ$9*THDL!$CQ$10,THDL!$CQ$9,N7,O7,P7,Q7,R7,S7,T7,U7,V7,W7,THDL!$CK$11,8,"Mu",AF7,AG7,AH7,AI7,AJ7,AK7,AL7,AM7,AN7,AO7)</f>
        <v>254.4860544024971</v>
      </c>
      <c r="L7" s="118">
        <f>_xll.Beam_Function(THDL!$CK$2,"Asn",E7,F7,G7,H7,ABS(I7),THDL!$CN$5,THDL!$CQ$10,THDL!$CQ$11,THDL!$CQ$12,THDL!$CK$6,"Nén",THDL!$CK$7,THDL!$CT$3,THDL!$CT$13,THDL!$CT$16,THDL!$CT$17,THDL!$CT$18,THDL!$CQ$10*THDL!$CQ$9,THDL!$CQ$9,X7,AP7)</f>
        <v>0</v>
      </c>
      <c r="M7" s="118">
        <f>_xll.Beam_Function(THDL!$CK$2,"Ask",E7,F7,G7,H7,ABS(I7),THDL!$CN$5,THDL!$CQ$10,THDL!$CQ$11,THDL!$CQ$12,THDL!$CK$6,"Nén",THDL!$CK$7,THDL!$CT$3,THDL!$CT$13,THDL!$CT$16,THDL!$CT$17,THDL!$CT$18,THDL!$CQ$10*THDL!$CQ$9,THDL!$CQ$9,X7,AP7,THDL!$CK$11)</f>
        <v>4.3823579457415517E-2</v>
      </c>
      <c r="N7" s="119">
        <v>12</v>
      </c>
      <c r="O7" s="119">
        <v>150</v>
      </c>
      <c r="P7" s="119"/>
      <c r="Q7" s="119"/>
      <c r="R7" s="119"/>
      <c r="S7" s="119"/>
      <c r="T7" s="119"/>
      <c r="U7" s="119"/>
      <c r="V7" s="119"/>
      <c r="W7" s="119"/>
      <c r="X7" s="120">
        <f t="shared" si="1"/>
        <v>11.30973388671875</v>
      </c>
      <c r="Y7" s="120">
        <f t="shared" si="4"/>
        <v>0.11564145078444529</v>
      </c>
      <c r="Z7" s="120">
        <f t="shared" si="5"/>
        <v>258.07416981327839</v>
      </c>
      <c r="AA7" s="118">
        <f>VLOOKUP(C7,NoiLuc!A:K,8,0)</f>
        <v>22.141355514526399</v>
      </c>
      <c r="AB7" s="118">
        <f>VLOOKUP(C7,NoiLuc!A:K,9,0)</f>
        <v>0</v>
      </c>
      <c r="AC7" s="73">
        <f>_xll.Slab_Function(THDL!$CK$2,E7,F7,H7,G7,AA7,THDL!$CN$5,THDL!$CQ$4,THDL!$CQ$5,THDL!$CQ$6,THDL!$CQ$10,THDL!$CQ$11,THDL!$CQ$12,THDL!$CK$6,"Nén",THDL!$CK$7,THDL!$CT$3,THDL!$CT$13,THDL!$CT$16,THDL!$CT$17,THDL!$CT$18,THDL!$CQ$3*THDL!$CQ$4,THDL!$CQ$3,THDL!$CQ$9*THDL!$CQ$10,THDL!$CQ$9,AF7,AG7,AH7,AI7,AJ7,AK7,AL7,AM7,AN7,AO7,THDL!$CK$11,8,"Mu",N7,O7,P7,Q7,R7,S7,T7,U7,V7,W7)</f>
        <v>226.77720719783517</v>
      </c>
      <c r="AD7" s="121">
        <f>_xll.Beam_Function(THDL!$CK$2,"Asn",E7,F7,H7,G7,ABS(AA7),THDL!$CN$5,THDL!$CQ$10,THDL!$CQ$11,THDL!$CQ$12,THDL!$CK$6,"Nén",THDL!$CK$7,THDL!$CT$3,THDL!$CT$13,THDL!$CT$16,THDL!$CT$17,THDL!$CT$18,THDL!$CQ$10*THDL!$CQ$9,THDL!$CQ$9,AP7,X7)</f>
        <v>0</v>
      </c>
      <c r="AE7" s="121">
        <f>_xll.Beam_Function(THDL!$CK$2,"Ask",E7,F7,H7,G7,ABS(AA7),THDL!$CN$5,THDL!$CQ$10,THDL!$CQ$11,THDL!$CQ$12,THDL!$CK$6,"Nén",THDL!$CK$7,THDL!$CT$3,THDL!$CT$13,THDL!$CT$16,THDL!$CT$17,THDL!$CT$18,THDL!$CQ$10*THDL!$CQ$9,THDL!$CQ$9,AP7,X7,THDL!$CK$11)</f>
        <v>1.0885973218900913</v>
      </c>
      <c r="AF7" s="119">
        <v>12</v>
      </c>
      <c r="AG7" s="119">
        <v>150</v>
      </c>
      <c r="AH7" s="119"/>
      <c r="AI7" s="119"/>
      <c r="AJ7" s="119"/>
      <c r="AK7" s="119"/>
      <c r="AL7" s="119"/>
      <c r="AM7" s="119"/>
      <c r="AN7" s="119"/>
      <c r="AO7" s="119"/>
      <c r="AP7" s="120">
        <f t="shared" si="2"/>
        <v>11.30973388671875</v>
      </c>
      <c r="AQ7" s="120">
        <f t="shared" si="6"/>
        <v>0.12955021634271191</v>
      </c>
      <c r="AR7" s="120">
        <f t="shared" si="7"/>
        <v>10.389272193947782</v>
      </c>
      <c r="AS7" s="77">
        <f>VLOOKUP(C7,NoiLuc!BA:BK,6,0)</f>
        <v>-1</v>
      </c>
      <c r="AT7" s="77">
        <f>VLOOKUP(C7,NoiLuc!AA:AK,6,0)</f>
        <v>-1</v>
      </c>
      <c r="AU7" s="122">
        <f>_xll.Slab_Crack_Function(THDL!$CK$2,"D"&amp;THDL!$CK$17,THDL!$CK$7,ABS(I7),ABS(AS7),ABS(AT7),ABS(AS7),E7,F7,G7,H7,X7,AP7,N7,O7,P7,Q7,R7,S7,T7,U7,V7,W7,THDL!$CN$6,THDL!$CN$8,THDL!$CN$9,THDL!$CQ$6,THDL!$CQ$12,THDL!$CT$6,THDL!$CT$9,THDL!$CT$19,THDL!$CT$20,THDL!$CT$21,THDL!$CT$22,THDL!$CT$23,THDL!$CT$24,THDL!$CT$25,THDL!$CK$21,THDL!$CQ$4*THDL!$CQ$3)</f>
        <v>0</v>
      </c>
      <c r="AV7" s="122">
        <f>_xll.Slab_Crack_Function(THDL!$CK$2,"N"&amp;THDL!$CK$17,THDL!$CK$7,ABS(I7),ABS(AS7),ABS(AT7),ABS(AS7),E7,F7,G7,H7,X7,AP7,N7,O7,P7,Q7,R7,S7,T7,U7,V7,W7,THDL!$CN$6,THDL!$CN$8,THDL!$CN$9,THDL!$CQ$6,THDL!$CQ$12,THDL!$CT$6,THDL!$CT$9,THDL!$CT$19,THDL!$CT$20,THDL!$CT$21,THDL!$CT$22,THDL!$CT$23,THDL!$CT$24,THDL!$CT$25,THDL!$CK$21,THDL!$CQ$4*THDL!$CQ$3)</f>
        <v>0</v>
      </c>
      <c r="AW7" s="122" t="str">
        <f>IF(AND(AU7&lt;=THDL!$CK$8,AV7&lt;=THDL!$CK$9),"OK","FAIL")</f>
        <v>OK</v>
      </c>
      <c r="AX7" s="77">
        <f>VLOOKUP(C7,NoiLuc!BA:BK,8,0)</f>
        <v>22.141355514526399</v>
      </c>
      <c r="AY7" s="77">
        <f>VLOOKUP(C7,NoiLuc!AA:AK,8,0)</f>
        <v>22.141355514526399</v>
      </c>
      <c r="AZ7" s="122">
        <f>_xll.Slab_Crack_Function(THDL!$CK$2,"D"&amp;THDL!$CK$17,THDL!$CK$7,ABS(AA7),ABS(AX7),ABS(AY7),ABS(AX7),E7,F7,H7,G7,AP7,X7,AF7,AG7,AH7,AI7,AJ7,AK7,AL7,AM7,AN7,AO7,THDL!$CN$6,THDL!$CN$8,THDL!$CN$9,THDL!$CQ$6,THDL!$CQ$12,THDL!$CT$6,THDL!$CT$9,THDL!$CT$19,THDL!$CT$20,THDL!$CT$21,THDL!$CT$22,THDL!$CT$23,THDL!$CT$24,THDL!$CT$25,THDL!$CK$21,THDL!$CQ$4*THDL!$CQ$3)</f>
        <v>0</v>
      </c>
      <c r="BA7" s="122">
        <f>_xll.Slab_Crack_Function(THDL!$CK$2,"N"&amp;THDL!$CK$17,THDL!$CK$7,ABS(AA7),ABS(AX7),ABS(AY7),ABS(AX7),E7,F7,H7,G7,AP7,X7,AF7,AG7,AH7,AI7,AJ7,AK7,AL7,AM7,AN7,AO7,THDL!$CN$6,THDL!$CN$8,THDL!$CN$9,THDL!$CQ$6,THDL!$CQ$12,THDL!$CT$6,THDL!$CT$9,THDL!$CT$19,THDL!$CT$20,THDL!$CT$21,THDL!$CT$22,THDL!$CT$23,THDL!$CT$24,THDL!$CT$25,THDL!$CK$21,THDL!$CQ$4*THDL!$CQ$3)</f>
        <v>0</v>
      </c>
      <c r="BB7" s="122" t="str">
        <f>IF(AND(AZ7&lt;=THDL!$CK$8,BA7&lt;=THDL!$CK$9),"OK","FAIL")</f>
        <v>OK</v>
      </c>
      <c r="BC7" s="123">
        <f>VLOOKUP(C7,NoiLuc!A:K,10,0)</f>
        <v>5.3040633201599103</v>
      </c>
      <c r="BD7" s="124">
        <f>_xll.Foundation_TinhHeSoCChiuCat(E7,F7,MAX(G7,H7),BM7,BN7,BO7,BP7,BF7,BC7,THDL!$CK$18,THDL!$CK$19)</f>
        <v>1.5</v>
      </c>
      <c r="BE7" s="125">
        <f t="shared" si="8"/>
        <v>873</v>
      </c>
      <c r="BF7" s="123">
        <f>THDL!$CN$7</f>
        <v>1.05</v>
      </c>
      <c r="BG7" s="123">
        <f t="shared" si="9"/>
        <v>916.65000000000009</v>
      </c>
      <c r="BH7" s="123">
        <f t="shared" si="10"/>
        <v>916.65000000000009</v>
      </c>
      <c r="BI7" s="126" t="str">
        <f t="shared" si="11"/>
        <v>OK</v>
      </c>
      <c r="BJ7" s="123">
        <f t="shared" si="12"/>
        <v>0</v>
      </c>
      <c r="BK7" s="127">
        <f t="shared" si="13"/>
        <v>1.5</v>
      </c>
      <c r="BL7" s="125">
        <f t="shared" si="14"/>
        <v>873</v>
      </c>
      <c r="BM7" s="128">
        <f t="shared" si="15"/>
        <v>2</v>
      </c>
      <c r="BN7" s="128">
        <f t="shared" si="16"/>
        <v>12</v>
      </c>
      <c r="BO7" s="128">
        <f t="shared" si="17"/>
        <v>100</v>
      </c>
      <c r="BP7" s="123">
        <f>IF(BN7&gt;8,THDL!$CQ$16,THDL!$CQ$15)</f>
        <v>280</v>
      </c>
      <c r="BQ7" s="123" t="str">
        <f t="shared" si="18"/>
        <v/>
      </c>
      <c r="BR7" s="123" t="str">
        <f t="shared" si="19"/>
        <v/>
      </c>
      <c r="BS7" s="123" t="str">
        <f t="shared" si="20"/>
        <v/>
      </c>
    </row>
    <row r="8" spans="1:71">
      <c r="A8" s="129" t="s">
        <v>248</v>
      </c>
      <c r="B8" s="70" t="str">
        <f t="shared" si="3"/>
        <v>M12</v>
      </c>
      <c r="C8" s="71" t="str">
        <f>IFERROR(VLOOKUP(A8,BanVe!A:AH,34,0),0)</f>
        <v>CSA17</v>
      </c>
      <c r="D8" s="71" t="str">
        <f>IFERROR(IF(UPPER(VLOOKUP(A8,BanVe!A:B,2,0))="STRIPA","STRIP A",IF(UPPER(VLOOKUP(A8,BanVe!A:B,2,0))="STRIPB","STRIP B","KXD")),"KXD")</f>
        <v>STRIP A</v>
      </c>
      <c r="E8" s="71">
        <f>VLOOKUP(C8,NoiLuc!A:K,4,0)</f>
        <v>1400</v>
      </c>
      <c r="F8" s="70">
        <v>700</v>
      </c>
      <c r="G8" s="72">
        <f>TRONGTAM_a(E8,THDL!$CK$10,THDL!$CK$16,N8,P8,R8,T8,V8,O8,Q8,S8,U8,W8,0)</f>
        <v>48</v>
      </c>
      <c r="H8" s="72">
        <f>TRONGTAM_a(E8,THDL!$CK$15,THDL!$CK$16,AF8,AH8,AJ8,AL8,AN8,AG8,AI8,AK8,AM8,AO8,0)</f>
        <v>118</v>
      </c>
      <c r="I8" s="73">
        <f>VLOOKUP(C8,NoiLuc!A:K,6,0)</f>
        <v>-71.021011352539105</v>
      </c>
      <c r="J8" s="73">
        <f>VLOOKUP(C8,NoiLuc!A:K,7,0)</f>
        <v>0.37499999999998601</v>
      </c>
      <c r="K8" s="73">
        <f>_xll.Slab_Function(THDL!$CK$2,E8,F8,G8,H8,I8,THDL!$CN$5,THDL!$CQ$4,THDL!$CQ$5,THDL!$CQ$6,THDL!$CQ$10,THDL!$CQ$11,THDL!$CQ$12,THDL!$CK$6,"Nén",THDL!$CK$7,THDL!$CT$3,THDL!$CT$13,THDL!$CT$16,THDL!$CT$17,THDL!$CT$18,THDL!$CQ$3*THDL!$CQ$4,THDL!$CQ$3,THDL!$CQ$9*THDL!$CQ$10,THDL!$CQ$9,N8,O8,P8,Q8,R8,S8,T8,U8,V8,W8,THDL!$CK$11,8,"Mu",AF8,AG8,AH8,AI8,AJ8,AK8,AL8,AM8,AN8,AO8)</f>
        <v>237.52031744233068</v>
      </c>
      <c r="L8" s="73">
        <f>_xll.Beam_Function(THDL!$CK$2,"Asn",E8,F8,G8,H8,ABS(I8),THDL!$CN$5,THDL!$CQ$10,THDL!$CQ$11,THDL!$CQ$12,THDL!$CK$6,"Nén",THDL!$CK$7,THDL!$CT$3,THDL!$CT$13,THDL!$CT$16,THDL!$CT$17,THDL!$CT$18,THDL!$CQ$10*THDL!$CQ$9,THDL!$CQ$9,X8,AP8)</f>
        <v>0</v>
      </c>
      <c r="M8" s="73">
        <f>_xll.Beam_Function(THDL!$CK$2,"Ask",E8,F8,G8,H8,ABS(I8),THDL!$CN$5,THDL!$CQ$10,THDL!$CQ$11,THDL!$CQ$12,THDL!$CK$6,"Nén",THDL!$CK$7,THDL!$CT$3,THDL!$CT$13,THDL!$CT$16,THDL!$CT$17,THDL!$CT$18,THDL!$CQ$10*THDL!$CQ$9,THDL!$CQ$9,X8,AP8,THDL!$CK$11)</f>
        <v>3.1251397981761468</v>
      </c>
      <c r="N8" s="74">
        <v>12</v>
      </c>
      <c r="O8" s="74">
        <v>150</v>
      </c>
      <c r="P8" s="74"/>
      <c r="Q8" s="74"/>
      <c r="R8" s="74"/>
      <c r="S8" s="74"/>
      <c r="T8" s="74"/>
      <c r="U8" s="74"/>
      <c r="V8" s="74"/>
      <c r="W8" s="74"/>
      <c r="X8" s="75">
        <f t="shared" si="1"/>
        <v>10.555750732421876</v>
      </c>
      <c r="Y8" s="75">
        <f t="shared" si="4"/>
        <v>0.11564144097745262</v>
      </c>
      <c r="Z8" s="75">
        <f t="shared" si="5"/>
        <v>3.3776891320453197</v>
      </c>
      <c r="AA8" s="73">
        <f>VLOOKUP(C8,NoiLuc!A:K,8,0)</f>
        <v>1</v>
      </c>
      <c r="AB8" s="73" t="str">
        <f>VLOOKUP(C8,NoiLuc!A:K,9,0)</f>
        <v>-</v>
      </c>
      <c r="AC8" s="73">
        <f>_xll.Slab_Function(THDL!$CK$2,E8,F8,H8,G8,AA8,THDL!$CN$5,THDL!$CQ$4,THDL!$CQ$5,THDL!$CQ$6,THDL!$CQ$10,THDL!$CQ$11,THDL!$CQ$12,THDL!$CK$6,"Nén",THDL!$CK$7,THDL!$CT$3,THDL!$CT$13,THDL!$CT$16,THDL!$CT$17,THDL!$CT$18,THDL!$CQ$3*THDL!$CQ$4,THDL!$CQ$3,THDL!$CQ$9*THDL!$CQ$10,THDL!$CQ$9,AF8,AG8,AH8,AI8,AJ8,AK8,AL8,AM8,AN8,AO8,THDL!$CK$11,8,"Mu",N8,O8,P8,Q8,R8,S8,T8,U8,V8,W8)</f>
        <v>211.6587267179795</v>
      </c>
      <c r="AD8" s="76">
        <f>_xll.Beam_Function(THDL!$CK$2,"Asn",E8,F8,H8,G8,ABS(AA8),THDL!$CN$5,THDL!$CQ$10,THDL!$CQ$11,THDL!$CQ$12,THDL!$CK$6,"Nén",THDL!$CK$7,THDL!$CT$3,THDL!$CT$13,THDL!$CT$16,THDL!$CT$17,THDL!$CT$18,THDL!$CQ$10*THDL!$CQ$9,THDL!$CQ$9,AP8,X8)</f>
        <v>0</v>
      </c>
      <c r="AE8" s="76">
        <f>_xll.Beam_Function(THDL!$CK$2,"Ask",E8,F8,H8,G8,ABS(AA8),THDL!$CN$5,THDL!$CQ$10,THDL!$CQ$11,THDL!$CQ$12,THDL!$CK$6,"Nén",THDL!$CK$7,THDL!$CT$3,THDL!$CT$13,THDL!$CT$16,THDL!$CT$17,THDL!$CT$18,THDL!$CQ$10*THDL!$CQ$9,THDL!$CQ$9,AP8,X8,THDL!$CK$11)</f>
        <v>4.9095371931511783E-2</v>
      </c>
      <c r="AF8" s="74">
        <v>12</v>
      </c>
      <c r="AG8" s="74">
        <v>150</v>
      </c>
      <c r="AH8" s="74"/>
      <c r="AI8" s="74"/>
      <c r="AJ8" s="74"/>
      <c r="AK8" s="74"/>
      <c r="AL8" s="74"/>
      <c r="AM8" s="74"/>
      <c r="AN8" s="74"/>
      <c r="AO8" s="74"/>
      <c r="AP8" s="75">
        <f t="shared" si="2"/>
        <v>10.555750732421876</v>
      </c>
      <c r="AQ8" s="75">
        <f t="shared" si="6"/>
        <v>0.12955020535618403</v>
      </c>
      <c r="AR8" s="75">
        <f t="shared" si="7"/>
        <v>215.00500591271995</v>
      </c>
      <c r="AS8" s="77">
        <f>VLOOKUP(C8,NoiLuc!BA:BK,6,0)</f>
        <v>-71.021011352539105</v>
      </c>
      <c r="AT8" s="77">
        <f>VLOOKUP(C8,NoiLuc!AA:AK,6,0)</f>
        <v>-71.021011352539105</v>
      </c>
      <c r="AU8" s="77">
        <f>_xll.Slab_Crack_Function(THDL!$CK$2,"D"&amp;THDL!$CK$17,THDL!$CK$7,ABS(I8),ABS(AS8),ABS(AT8),ABS(AS8),E8,F8,G8,H8,X8,AP8,N8,O8,P8,Q8,R8,S8,T8,U8,V8,W8,THDL!$CN$6,THDL!$CN$8,THDL!$CN$9,THDL!$CQ$6,THDL!$CQ$12,THDL!$CT$6,THDL!$CT$9,THDL!$CT$19,THDL!$CT$20,THDL!$CT$21,THDL!$CT$22,THDL!$CT$23,THDL!$CT$24,THDL!$CT$25,THDL!$CK$21,THDL!$CQ$4*THDL!$CQ$3)</f>
        <v>0</v>
      </c>
      <c r="AV8" s="77">
        <f>_xll.Slab_Crack_Function(THDL!$CK$2,"N"&amp;THDL!$CK$17,THDL!$CK$7,ABS(I8),ABS(AS8),ABS(AT8),ABS(AS8),E8,F8,G8,H8,X8,AP8,N8,O8,P8,Q8,R8,S8,T8,U8,V8,W8,THDL!$CN$6,THDL!$CN$8,THDL!$CN$9,THDL!$CQ$6,THDL!$CQ$12,THDL!$CT$6,THDL!$CT$9,THDL!$CT$19,THDL!$CT$20,THDL!$CT$21,THDL!$CT$22,THDL!$CT$23,THDL!$CT$24,THDL!$CT$25,THDL!$CK$21,THDL!$CQ$4*THDL!$CQ$3)</f>
        <v>0</v>
      </c>
      <c r="AW8" s="77" t="str">
        <f>IF(AND(AU8&lt;=THDL!$CK$8,AV8&lt;=THDL!$CK$9),"OK","FAIL")</f>
        <v>OK</v>
      </c>
      <c r="AX8" s="77">
        <f>VLOOKUP(C8,NoiLuc!BA:BK,8,0)</f>
        <v>1</v>
      </c>
      <c r="AY8" s="77">
        <f>VLOOKUP(C8,NoiLuc!AA:AK,8,0)</f>
        <v>1</v>
      </c>
      <c r="AZ8" s="77">
        <f>_xll.Slab_Crack_Function(THDL!$CK$2,"D"&amp;THDL!$CK$17,THDL!$CK$7,ABS(AA8),ABS(AX8),ABS(AY8),ABS(AX8),E8,F8,H8,G8,AP8,X8,AF8,AG8,AH8,AI8,AJ8,AK8,AL8,AM8,AN8,AO8,THDL!$CN$6,THDL!$CN$8,THDL!$CN$9,THDL!$CQ$6,THDL!$CQ$12,THDL!$CT$6,THDL!$CT$9,THDL!$CT$19,THDL!$CT$20,THDL!$CT$21,THDL!$CT$22,THDL!$CT$23,THDL!$CT$24,THDL!$CT$25,THDL!$CK$21,THDL!$CQ$4*THDL!$CQ$3)</f>
        <v>0</v>
      </c>
      <c r="BA8" s="77">
        <f>_xll.Slab_Crack_Function(THDL!$CK$2,"N"&amp;THDL!$CK$17,THDL!$CK$7,ABS(AA8),ABS(AX8),ABS(AY8),ABS(AX8),E8,F8,H8,G8,AP8,X8,AF8,AG8,AH8,AI8,AJ8,AK8,AL8,AM8,AN8,AO8,THDL!$CN$6,THDL!$CN$8,THDL!$CN$9,THDL!$CQ$6,THDL!$CQ$12,THDL!$CT$6,THDL!$CT$9,THDL!$CT$19,THDL!$CT$20,THDL!$CT$21,THDL!$CT$22,THDL!$CT$23,THDL!$CT$24,THDL!$CT$25,THDL!$CK$21,THDL!$CQ$4*THDL!$CQ$3)</f>
        <v>0</v>
      </c>
      <c r="BB8" s="77" t="str">
        <f>IF(AND(AZ8&lt;=THDL!$CK$8,BA8&lt;=THDL!$CK$9),"OK","FAIL")</f>
        <v>OK</v>
      </c>
      <c r="BC8" s="78">
        <f>VLOOKUP(C8,NoiLuc!A:K,10,0)</f>
        <v>184.58644104003901</v>
      </c>
      <c r="BD8" s="79">
        <f>_xll.Foundation_TinhHeSoCChiuCat(E8,F8,MAX(G8,H8),BM8,BN8,BO8,BP8,BF8,BC8,THDL!$CK$18,THDL!$CK$19)</f>
        <v>1.5</v>
      </c>
      <c r="BE8" s="80">
        <f t="shared" si="8"/>
        <v>873</v>
      </c>
      <c r="BF8" s="78">
        <f>THDL!$CN$7</f>
        <v>1.05</v>
      </c>
      <c r="BG8" s="78">
        <f t="shared" si="9"/>
        <v>855.54000000000008</v>
      </c>
      <c r="BH8" s="78">
        <f t="shared" si="10"/>
        <v>855.54000000000008</v>
      </c>
      <c r="BI8" s="81" t="str">
        <f t="shared" si="11"/>
        <v>OK</v>
      </c>
      <c r="BJ8" s="78">
        <f t="shared" si="12"/>
        <v>0</v>
      </c>
      <c r="BK8" s="82">
        <f t="shared" si="13"/>
        <v>1.5</v>
      </c>
      <c r="BL8" s="80">
        <f t="shared" si="14"/>
        <v>873</v>
      </c>
      <c r="BM8" s="83">
        <f t="shared" si="15"/>
        <v>2</v>
      </c>
      <c r="BN8" s="83">
        <f t="shared" si="16"/>
        <v>12</v>
      </c>
      <c r="BO8" s="83">
        <f t="shared" si="17"/>
        <v>100</v>
      </c>
      <c r="BP8" s="78">
        <f>IF(BN8&gt;8,THDL!$CQ$16,THDL!$CQ$15)</f>
        <v>280</v>
      </c>
      <c r="BQ8" s="78" t="str">
        <f t="shared" si="18"/>
        <v/>
      </c>
      <c r="BR8" s="78" t="str">
        <f t="shared" si="19"/>
        <v/>
      </c>
      <c r="BS8" s="78" t="str">
        <f t="shared" si="20"/>
        <v/>
      </c>
    </row>
    <row r="9" spans="1:71">
      <c r="A9" s="84" t="s">
        <v>251</v>
      </c>
      <c r="B9" s="85" t="str">
        <f t="shared" si="3"/>
        <v>M12</v>
      </c>
      <c r="C9" s="86" t="str">
        <f>IFERROR(VLOOKUP(A9,BanVe!A:AH,34,0),0)</f>
        <v>CSB18</v>
      </c>
      <c r="D9" s="71" t="str">
        <f>IFERROR(IF(UPPER(VLOOKUP(A9,BanVe!A:B,2,0))="STRIPA","STRIP A",IF(UPPER(VLOOKUP(A9,BanVe!A:B,2,0))="STRIPB","STRIP B","KXD")),"KXD")</f>
        <v>STRIP B</v>
      </c>
      <c r="E9" s="86">
        <f>VLOOKUP(C9,NoiLuc!A:K,4,0)</f>
        <v>1500</v>
      </c>
      <c r="F9" s="85">
        <v>700</v>
      </c>
      <c r="G9" s="87">
        <f>TRONGTAM_a(E9,THDL!$CK$10,THDL!$CK$16,N9,P9,R9,T9,V9,O9,Q9,S9,U9,W9,0)</f>
        <v>48</v>
      </c>
      <c r="H9" s="87">
        <f>TRONGTAM_a(E9,THDL!$CK$15,THDL!$CK$16,AF9,AH9,AJ9,AL9,AN9,AG9,AI9,AK9,AM9,AO9,0)</f>
        <v>118</v>
      </c>
      <c r="I9" s="88">
        <f>VLOOKUP(C9,NoiLuc!A:K,6,0)</f>
        <v>-8.4010334014892596</v>
      </c>
      <c r="J9" s="88">
        <f>VLOOKUP(C9,NoiLuc!A:K,7,0)</f>
        <v>0.37499999999999101</v>
      </c>
      <c r="K9" s="73">
        <f>_xll.Slab_Function(THDL!$CK$2,E9,F9,G9,H9,I9,THDL!$CN$5,THDL!$CQ$4,THDL!$CQ$5,THDL!$CQ$6,THDL!$CQ$10,THDL!$CQ$11,THDL!$CQ$12,THDL!$CK$6,"Nén",THDL!$CK$7,THDL!$CT$3,THDL!$CT$13,THDL!$CT$16,THDL!$CT$17,THDL!$CT$18,THDL!$CQ$3*THDL!$CQ$4,THDL!$CQ$3,THDL!$CQ$9*THDL!$CQ$10,THDL!$CQ$9,N9,O9,P9,Q9,R9,S9,T9,U9,V9,W9,THDL!$CK$11,8,"Mu",AF9,AG9,AH9,AI9,AJ9,AK9,AL9,AM9,AN9,AO9)</f>
        <v>254.4860544024971</v>
      </c>
      <c r="L9" s="88">
        <f>_xll.Beam_Function(THDL!$CK$2,"Asn",E9,F9,G9,H9,ABS(I9),THDL!$CN$5,THDL!$CQ$10,THDL!$CQ$11,THDL!$CQ$12,THDL!$CK$6,"Nén",THDL!$CK$7,THDL!$CT$3,THDL!$CT$13,THDL!$CT$16,THDL!$CT$17,THDL!$CT$18,THDL!$CQ$10*THDL!$CQ$9,THDL!$CQ$9,X9,AP9)</f>
        <v>0</v>
      </c>
      <c r="M9" s="88">
        <f>_xll.Beam_Function(THDL!$CK$2,"Ask",E9,F9,G9,H9,ABS(I9),THDL!$CN$5,THDL!$CQ$10,THDL!$CQ$11,THDL!$CQ$12,THDL!$CK$6,"Nén",THDL!$CK$7,THDL!$CT$3,THDL!$CT$13,THDL!$CT$16,THDL!$CT$17,THDL!$CT$18,THDL!$CQ$10*THDL!$CQ$9,THDL!$CQ$9,X9,AP9,THDL!$CK$11)</f>
        <v>0.36831084624510008</v>
      </c>
      <c r="N9" s="89">
        <v>12</v>
      </c>
      <c r="O9" s="89">
        <v>150</v>
      </c>
      <c r="P9" s="89"/>
      <c r="Q9" s="89"/>
      <c r="R9" s="89"/>
      <c r="S9" s="89"/>
      <c r="T9" s="89"/>
      <c r="U9" s="89"/>
      <c r="V9" s="89"/>
      <c r="W9" s="89"/>
      <c r="X9" s="90">
        <f t="shared" si="1"/>
        <v>11.30973388671875</v>
      </c>
      <c r="Y9" s="90">
        <f t="shared" si="4"/>
        <v>0.11564145078444529</v>
      </c>
      <c r="Z9" s="90">
        <f t="shared" si="5"/>
        <v>30.707034566102497</v>
      </c>
      <c r="AA9" s="88">
        <f>VLOOKUP(C9,NoiLuc!A:K,8,0)</f>
        <v>57.699554443359403</v>
      </c>
      <c r="AB9" s="88">
        <f>VLOOKUP(C9,NoiLuc!A:K,9,0)</f>
        <v>0.69999999999999896</v>
      </c>
      <c r="AC9" s="73">
        <f>_xll.Slab_Function(THDL!$CK$2,E9,F9,H9,G9,AA9,THDL!$CN$5,THDL!$CQ$4,THDL!$CQ$5,THDL!$CQ$6,THDL!$CQ$10,THDL!$CQ$11,THDL!$CQ$12,THDL!$CK$6,"Nén",THDL!$CK$7,THDL!$CT$3,THDL!$CT$13,THDL!$CT$16,THDL!$CT$17,THDL!$CT$18,THDL!$CQ$3*THDL!$CQ$4,THDL!$CQ$3,THDL!$CQ$9*THDL!$CQ$10,THDL!$CQ$9,AF9,AG9,AH9,AI9,AJ9,AK9,AL9,AM9,AN9,AO9,THDL!$CK$11,8,"Mu",N9,O9,P9,Q9,R9,S9,T9,U9,V9,W9)</f>
        <v>226.77720719783517</v>
      </c>
      <c r="AD9" s="91">
        <f>_xll.Beam_Function(THDL!$CK$2,"Asn",E9,F9,H9,G9,ABS(AA9),THDL!$CN$5,THDL!$CQ$10,THDL!$CQ$11,THDL!$CQ$12,THDL!$CK$6,"Nén",THDL!$CK$7,THDL!$CT$3,THDL!$CT$13,THDL!$CT$16,THDL!$CT$17,THDL!$CT$18,THDL!$CQ$10*THDL!$CQ$9,THDL!$CQ$9,AP9,X9)</f>
        <v>0</v>
      </c>
      <c r="AE9" s="91">
        <f>_xll.Beam_Function(THDL!$CK$2,"Ask",E9,F9,H9,G9,ABS(AA9),THDL!$CN$5,THDL!$CQ$10,THDL!$CQ$11,THDL!$CQ$12,THDL!$CK$6,"Nén",THDL!$CK$7,THDL!$CT$3,THDL!$CT$13,THDL!$CT$16,THDL!$CT$17,THDL!$CT$18,THDL!$CQ$10*THDL!$CQ$9,THDL!$CQ$9,AP9,X9,THDL!$CK$11)</f>
        <v>2.8437550410903447</v>
      </c>
      <c r="AF9" s="89">
        <v>12</v>
      </c>
      <c r="AG9" s="89">
        <v>150</v>
      </c>
      <c r="AH9" s="89"/>
      <c r="AI9" s="89"/>
      <c r="AJ9" s="89"/>
      <c r="AK9" s="89"/>
      <c r="AL9" s="89"/>
      <c r="AM9" s="89"/>
      <c r="AN9" s="89"/>
      <c r="AO9" s="89"/>
      <c r="AP9" s="90">
        <f t="shared" si="2"/>
        <v>11.30973388671875</v>
      </c>
      <c r="AQ9" s="90">
        <f t="shared" si="6"/>
        <v>0.12955021634271191</v>
      </c>
      <c r="AR9" s="90">
        <f t="shared" si="7"/>
        <v>3.9770422287787497</v>
      </c>
      <c r="AS9" s="77">
        <f>VLOOKUP(C9,NoiLuc!BA:BK,6,0)</f>
        <v>-8.4010334014892596</v>
      </c>
      <c r="AT9" s="77">
        <f>VLOOKUP(C9,NoiLuc!AA:AK,6,0)</f>
        <v>-8.4010334014892596</v>
      </c>
      <c r="AU9" s="92">
        <f>_xll.Slab_Crack_Function(THDL!$CK$2,"D"&amp;THDL!$CK$17,THDL!$CK$7,ABS(I9),ABS(AS9),ABS(AT9),ABS(AS9),E9,F9,G9,H9,X9,AP9,N9,O9,P9,Q9,R9,S9,T9,U9,V9,W9,THDL!$CN$6,THDL!$CN$8,THDL!$CN$9,THDL!$CQ$6,THDL!$CQ$12,THDL!$CT$6,THDL!$CT$9,THDL!$CT$19,THDL!$CT$20,THDL!$CT$21,THDL!$CT$22,THDL!$CT$23,THDL!$CT$24,THDL!$CT$25,THDL!$CK$21,THDL!$CQ$4*THDL!$CQ$3)</f>
        <v>0</v>
      </c>
      <c r="AV9" s="92">
        <f>_xll.Slab_Crack_Function(THDL!$CK$2,"N"&amp;THDL!$CK$17,THDL!$CK$7,ABS(I9),ABS(AS9),ABS(AT9),ABS(AS9),E9,F9,G9,H9,X9,AP9,N9,O9,P9,Q9,R9,S9,T9,U9,V9,W9,THDL!$CN$6,THDL!$CN$8,THDL!$CN$9,THDL!$CQ$6,THDL!$CQ$12,THDL!$CT$6,THDL!$CT$9,THDL!$CT$19,THDL!$CT$20,THDL!$CT$21,THDL!$CT$22,THDL!$CT$23,THDL!$CT$24,THDL!$CT$25,THDL!$CK$21,THDL!$CQ$4*THDL!$CQ$3)</f>
        <v>0</v>
      </c>
      <c r="AW9" s="92" t="str">
        <f>IF(AND(AU9&lt;=THDL!$CK$8,AV9&lt;=THDL!$CK$9),"OK","FAIL")</f>
        <v>OK</v>
      </c>
      <c r="AX9" s="77">
        <f>VLOOKUP(C9,NoiLuc!BA:BK,8,0)</f>
        <v>57.699554443359403</v>
      </c>
      <c r="AY9" s="77">
        <f>VLOOKUP(C9,NoiLuc!AA:AK,8,0)</f>
        <v>57.699554443359403</v>
      </c>
      <c r="AZ9" s="92">
        <f>_xll.Slab_Crack_Function(THDL!$CK$2,"D"&amp;THDL!$CK$17,THDL!$CK$7,ABS(AA9),ABS(AX9),ABS(AY9),ABS(AX9),E9,F9,H9,G9,AP9,X9,AF9,AG9,AH9,AI9,AJ9,AK9,AL9,AM9,AN9,AO9,THDL!$CN$6,THDL!$CN$8,THDL!$CN$9,THDL!$CQ$6,THDL!$CQ$12,THDL!$CT$6,THDL!$CT$9,THDL!$CT$19,THDL!$CT$20,THDL!$CT$21,THDL!$CT$22,THDL!$CT$23,THDL!$CT$24,THDL!$CT$25,THDL!$CK$21,THDL!$CQ$4*THDL!$CQ$3)</f>
        <v>0</v>
      </c>
      <c r="BA9" s="92">
        <f>_xll.Slab_Crack_Function(THDL!$CK$2,"N"&amp;THDL!$CK$17,THDL!$CK$7,ABS(AA9),ABS(AX9),ABS(AY9),ABS(AX9),E9,F9,H9,G9,AP9,X9,AF9,AG9,AH9,AI9,AJ9,AK9,AL9,AM9,AN9,AO9,THDL!$CN$6,THDL!$CN$8,THDL!$CN$9,THDL!$CQ$6,THDL!$CQ$12,THDL!$CT$6,THDL!$CT$9,THDL!$CT$19,THDL!$CT$20,THDL!$CT$21,THDL!$CT$22,THDL!$CT$23,THDL!$CT$24,THDL!$CT$25,THDL!$CK$21,THDL!$CQ$4*THDL!$CQ$3)</f>
        <v>0</v>
      </c>
      <c r="BB9" s="92" t="str">
        <f>IF(AND(AZ9&lt;=THDL!$CK$8,BA9&lt;=THDL!$CK$9),"OK","FAIL")</f>
        <v>OK</v>
      </c>
      <c r="BC9" s="93">
        <f>VLOOKUP(C9,NoiLuc!A:K,10,0)</f>
        <v>422.46829223632801</v>
      </c>
      <c r="BD9" s="94">
        <f>_xll.Foundation_TinhHeSoCChiuCat(E9,F9,MAX(G9,H9),BM9,BN9,BO9,BP9,BF9,BC9,THDL!$CK$18,THDL!$CK$19)</f>
        <v>1.5</v>
      </c>
      <c r="BE9" s="95">
        <f t="shared" si="8"/>
        <v>873</v>
      </c>
      <c r="BF9" s="93">
        <f>THDL!$CN$7</f>
        <v>1.05</v>
      </c>
      <c r="BG9" s="93">
        <f t="shared" si="9"/>
        <v>916.65000000000009</v>
      </c>
      <c r="BH9" s="93">
        <f t="shared" si="10"/>
        <v>916.65000000000009</v>
      </c>
      <c r="BI9" s="96" t="str">
        <f t="shared" si="11"/>
        <v>OK</v>
      </c>
      <c r="BJ9" s="93">
        <f t="shared" si="12"/>
        <v>0</v>
      </c>
      <c r="BK9" s="97">
        <f t="shared" si="13"/>
        <v>1.5</v>
      </c>
      <c r="BL9" s="95">
        <f t="shared" si="14"/>
        <v>873</v>
      </c>
      <c r="BM9" s="98">
        <f t="shared" si="15"/>
        <v>2</v>
      </c>
      <c r="BN9" s="98">
        <f t="shared" si="16"/>
        <v>12</v>
      </c>
      <c r="BO9" s="98">
        <f t="shared" si="17"/>
        <v>100</v>
      </c>
      <c r="BP9" s="93">
        <f>IF(BN9&gt;8,THDL!$CQ$16,THDL!$CQ$15)</f>
        <v>280</v>
      </c>
      <c r="BQ9" s="93" t="str">
        <f t="shared" si="18"/>
        <v/>
      </c>
      <c r="BR9" s="93" t="str">
        <f t="shared" si="19"/>
        <v/>
      </c>
      <c r="BS9" s="93" t="str">
        <f t="shared" si="20"/>
        <v/>
      </c>
    </row>
    <row r="10" spans="1:71">
      <c r="A10" s="84" t="s">
        <v>253</v>
      </c>
      <c r="B10" s="85" t="str">
        <f t="shared" si="3"/>
        <v>M12</v>
      </c>
      <c r="C10" s="86" t="str">
        <f>IFERROR(VLOOKUP(A10,BanVe!A:AH,34,0),0)</f>
        <v>CSB20</v>
      </c>
      <c r="D10" s="71" t="str">
        <f>IFERROR(IF(UPPER(VLOOKUP(A10,BanVe!A:B,2,0))="STRIPA","STRIP A",IF(UPPER(VLOOKUP(A10,BanVe!A:B,2,0))="STRIPB","STRIP B","KXD")),"KXD")</f>
        <v>STRIP B</v>
      </c>
      <c r="E10" s="86">
        <f>VLOOKUP(C10,NoiLuc!A:K,4,0)</f>
        <v>750</v>
      </c>
      <c r="F10" s="85">
        <v>700</v>
      </c>
      <c r="G10" s="87">
        <f>TRONGTAM_a(E10,THDL!$CK$10,THDL!$CK$16,N10,P10,R10,T10,V10,O10,Q10,S10,U10,W10,0)</f>
        <v>48</v>
      </c>
      <c r="H10" s="87">
        <f>TRONGTAM_a(E10,THDL!$CK$15,THDL!$CK$16,AF10,AH10,AJ10,AL10,AN10,AG10,AI10,AK10,AM10,AO10,0)</f>
        <v>118</v>
      </c>
      <c r="I10" s="88">
        <f>VLOOKUP(C10,NoiLuc!A:K,6,0)</f>
        <v>-18.430820465087901</v>
      </c>
      <c r="J10" s="88">
        <f>VLOOKUP(C10,NoiLuc!A:K,7,0)</f>
        <v>0.375000000000005</v>
      </c>
      <c r="K10" s="73">
        <f>_xll.Slab_Function(THDL!$CK$2,E10,F10,G10,H10,I10,THDL!$CN$5,THDL!$CQ$4,THDL!$CQ$5,THDL!$CQ$6,THDL!$CQ$10,THDL!$CQ$11,THDL!$CQ$12,THDL!$CK$6,"Nén",THDL!$CK$7,THDL!$CT$3,THDL!$CT$13,THDL!$CT$16,THDL!$CT$17,THDL!$CT$18,THDL!$CQ$3*THDL!$CQ$4,THDL!$CQ$3,THDL!$CQ$9*THDL!$CQ$10,THDL!$CQ$9,N10,O10,P10,Q10,R10,S10,T10,U10,V10,W10,THDL!$CK$11,8,"Mu",AF10,AG10,AH10,AI10,AJ10,AK10,AL10,AM10,AN10,AO10)</f>
        <v>127.24302720124855</v>
      </c>
      <c r="L10" s="88">
        <f>_xll.Beam_Function(THDL!$CK$2,"Asn",E10,F10,G10,H10,ABS(I10),THDL!$CN$5,THDL!$CQ$10,THDL!$CQ$11,THDL!$CQ$12,THDL!$CK$6,"Nén",THDL!$CK$7,THDL!$CT$3,THDL!$CT$13,THDL!$CT$16,THDL!$CT$17,THDL!$CT$18,THDL!$CQ$10*THDL!$CQ$9,THDL!$CQ$9,X10,AP10)</f>
        <v>0</v>
      </c>
      <c r="M10" s="88">
        <f>_xll.Beam_Function(THDL!$CK$2,"Ask",E10,F10,G10,H10,ABS(I10),THDL!$CN$5,THDL!$CQ$10,THDL!$CQ$11,THDL!$CQ$12,THDL!$CK$6,"Nén",THDL!$CK$7,THDL!$CT$3,THDL!$CT$13,THDL!$CT$16,THDL!$CT$17,THDL!$CT$18,THDL!$CQ$10*THDL!$CQ$9,THDL!$CQ$9,X10,AP10,THDL!$CK$11)</f>
        <v>0.80927727038917929</v>
      </c>
      <c r="N10" s="89">
        <v>12</v>
      </c>
      <c r="O10" s="89">
        <v>150</v>
      </c>
      <c r="P10" s="89"/>
      <c r="Q10" s="89"/>
      <c r="R10" s="89"/>
      <c r="S10" s="89"/>
      <c r="T10" s="89"/>
      <c r="U10" s="89"/>
      <c r="V10" s="89"/>
      <c r="W10" s="89"/>
      <c r="X10" s="90">
        <f t="shared" si="1"/>
        <v>5.6548669433593748</v>
      </c>
      <c r="Y10" s="90">
        <f t="shared" si="4"/>
        <v>0.11564145078444529</v>
      </c>
      <c r="Z10" s="90">
        <f t="shared" si="5"/>
        <v>6.9875519185655177</v>
      </c>
      <c r="AA10" s="88">
        <f>VLOOKUP(C10,NoiLuc!A:K,8,0)</f>
        <v>31.830852508544901</v>
      </c>
      <c r="AB10" s="88">
        <f>VLOOKUP(C10,NoiLuc!A:K,9,0)</f>
        <v>0.70000000000000095</v>
      </c>
      <c r="AC10" s="73">
        <f>_xll.Slab_Function(THDL!$CK$2,E10,F10,H10,G10,AA10,THDL!$CN$5,THDL!$CQ$4,THDL!$CQ$5,THDL!$CQ$6,THDL!$CQ$10,THDL!$CQ$11,THDL!$CQ$12,THDL!$CK$6,"Nén",THDL!$CK$7,THDL!$CT$3,THDL!$CT$13,THDL!$CT$16,THDL!$CT$17,THDL!$CT$18,THDL!$CQ$3*THDL!$CQ$4,THDL!$CQ$3,THDL!$CQ$9*THDL!$CQ$10,THDL!$CQ$9,AF10,AG10,AH10,AI10,AJ10,AK10,AL10,AM10,AN10,AO10,THDL!$CK$11,8,"Mu",N10,O10,P10,Q10,R10,S10,T10,U10,V10,W10)</f>
        <v>113.38860359891758</v>
      </c>
      <c r="AD10" s="91">
        <f>_xll.Beam_Function(THDL!$CK$2,"Asn",E10,F10,H10,G10,ABS(AA10),THDL!$CN$5,THDL!$CQ$10,THDL!$CQ$11,THDL!$CQ$12,THDL!$CK$6,"Nén",THDL!$CK$7,THDL!$CT$3,THDL!$CT$13,THDL!$CT$16,THDL!$CT$17,THDL!$CT$18,THDL!$CQ$10*THDL!$CQ$9,THDL!$CQ$9,AP10,X10)</f>
        <v>0</v>
      </c>
      <c r="AE10" s="91">
        <f>_xll.Beam_Function(THDL!$CK$2,"Ask",E10,F10,H10,G10,ABS(AA10),THDL!$CN$5,THDL!$CQ$10,THDL!$CQ$11,THDL!$CQ$12,THDL!$CK$6,"Nén",THDL!$CK$7,THDL!$CT$3,THDL!$CT$13,THDL!$CT$16,THDL!$CT$17,THDL!$CT$18,THDL!$CQ$10*THDL!$CQ$9,THDL!$CQ$9,AP10,X10,THDL!$CK$11)</f>
        <v>1.5694443772646909</v>
      </c>
      <c r="AF10" s="89">
        <v>12</v>
      </c>
      <c r="AG10" s="89">
        <v>150</v>
      </c>
      <c r="AH10" s="89"/>
      <c r="AI10" s="89"/>
      <c r="AJ10" s="89"/>
      <c r="AK10" s="89"/>
      <c r="AL10" s="89"/>
      <c r="AM10" s="89"/>
      <c r="AN10" s="89"/>
      <c r="AO10" s="89"/>
      <c r="AP10" s="90">
        <f t="shared" si="2"/>
        <v>5.6548669433593748</v>
      </c>
      <c r="AQ10" s="90">
        <f t="shared" si="6"/>
        <v>0.12955021634271191</v>
      </c>
      <c r="AR10" s="90">
        <f t="shared" si="7"/>
        <v>3.6031012154855531</v>
      </c>
      <c r="AS10" s="77">
        <f>VLOOKUP(C10,NoiLuc!BA:BK,6,0)</f>
        <v>-18.430820465087901</v>
      </c>
      <c r="AT10" s="77">
        <f>VLOOKUP(C10,NoiLuc!AA:AK,6,0)</f>
        <v>-18.430820465087901</v>
      </c>
      <c r="AU10" s="92">
        <f>_xll.Slab_Crack_Function(THDL!$CK$2,"D"&amp;THDL!$CK$17,THDL!$CK$7,ABS(I10),ABS(AS10),ABS(AT10),ABS(AS10),E10,F10,G10,H10,X10,AP10,N10,O10,P10,Q10,R10,S10,T10,U10,V10,W10,THDL!$CN$6,THDL!$CN$8,THDL!$CN$9,THDL!$CQ$6,THDL!$CQ$12,THDL!$CT$6,THDL!$CT$9,THDL!$CT$19,THDL!$CT$20,THDL!$CT$21,THDL!$CT$22,THDL!$CT$23,THDL!$CT$24,THDL!$CT$25,THDL!$CK$21,THDL!$CQ$4*THDL!$CQ$3)</f>
        <v>0</v>
      </c>
      <c r="AV10" s="92">
        <f>_xll.Slab_Crack_Function(THDL!$CK$2,"N"&amp;THDL!$CK$17,THDL!$CK$7,ABS(I10),ABS(AS10),ABS(AT10),ABS(AS10),E10,F10,G10,H10,X10,AP10,N10,O10,P10,Q10,R10,S10,T10,U10,V10,W10,THDL!$CN$6,THDL!$CN$8,THDL!$CN$9,THDL!$CQ$6,THDL!$CQ$12,THDL!$CT$6,THDL!$CT$9,THDL!$CT$19,THDL!$CT$20,THDL!$CT$21,THDL!$CT$22,THDL!$CT$23,THDL!$CT$24,THDL!$CT$25,THDL!$CK$21,THDL!$CQ$4*THDL!$CQ$3)</f>
        <v>0</v>
      </c>
      <c r="AW10" s="92" t="str">
        <f>IF(AND(AU10&lt;=THDL!$CK$8,AV10&lt;=THDL!$CK$9),"OK","FAIL")</f>
        <v>OK</v>
      </c>
      <c r="AX10" s="77">
        <f>VLOOKUP(C10,NoiLuc!BA:BK,8,0)</f>
        <v>31.830852508544901</v>
      </c>
      <c r="AY10" s="77">
        <f>VLOOKUP(C10,NoiLuc!AA:AK,8,0)</f>
        <v>31.830852508544901</v>
      </c>
      <c r="AZ10" s="92">
        <f>_xll.Slab_Crack_Function(THDL!$CK$2,"D"&amp;THDL!$CK$17,THDL!$CK$7,ABS(AA10),ABS(AX10),ABS(AY10),ABS(AX10),E10,F10,H10,G10,AP10,X10,AF10,AG10,AH10,AI10,AJ10,AK10,AL10,AM10,AN10,AO10,THDL!$CN$6,THDL!$CN$8,THDL!$CN$9,THDL!$CQ$6,THDL!$CQ$12,THDL!$CT$6,THDL!$CT$9,THDL!$CT$19,THDL!$CT$20,THDL!$CT$21,THDL!$CT$22,THDL!$CT$23,THDL!$CT$24,THDL!$CT$25,THDL!$CK$21,THDL!$CQ$4*THDL!$CQ$3)</f>
        <v>0</v>
      </c>
      <c r="BA10" s="92">
        <f>_xll.Slab_Crack_Function(THDL!$CK$2,"N"&amp;THDL!$CK$17,THDL!$CK$7,ABS(AA10),ABS(AX10),ABS(AY10),ABS(AX10),E10,F10,H10,G10,AP10,X10,AF10,AG10,AH10,AI10,AJ10,AK10,AL10,AM10,AN10,AO10,THDL!$CN$6,THDL!$CN$8,THDL!$CN$9,THDL!$CQ$6,THDL!$CQ$12,THDL!$CT$6,THDL!$CT$9,THDL!$CT$19,THDL!$CT$20,THDL!$CT$21,THDL!$CT$22,THDL!$CT$23,THDL!$CT$24,THDL!$CT$25,THDL!$CK$21,THDL!$CQ$4*THDL!$CQ$3)</f>
        <v>0</v>
      </c>
      <c r="BB10" s="92" t="str">
        <f>IF(AND(AZ10&lt;=THDL!$CK$8,BA10&lt;=THDL!$CK$9),"OK","FAIL")</f>
        <v>OK</v>
      </c>
      <c r="BC10" s="93">
        <f>VLOOKUP(C10,NoiLuc!A:K,10,0)</f>
        <v>323.77380371093801</v>
      </c>
      <c r="BD10" s="94">
        <f>_xll.Foundation_TinhHeSoCChiuCat(E10,F10,MAX(G10,H10),BM10,BN10,BO10,BP10,BF10,BC10,THDL!$CK$18,THDL!$CK$19)</f>
        <v>1.5</v>
      </c>
      <c r="BE10" s="95">
        <f t="shared" si="8"/>
        <v>873</v>
      </c>
      <c r="BF10" s="93">
        <f>THDL!$CN$7</f>
        <v>1.05</v>
      </c>
      <c r="BG10" s="93">
        <f t="shared" si="9"/>
        <v>458.32500000000005</v>
      </c>
      <c r="BH10" s="93">
        <f t="shared" si="10"/>
        <v>458.32500000000005</v>
      </c>
      <c r="BI10" s="96" t="str">
        <f t="shared" si="11"/>
        <v>OK</v>
      </c>
      <c r="BJ10" s="93">
        <f t="shared" si="12"/>
        <v>0</v>
      </c>
      <c r="BK10" s="97">
        <f t="shared" si="13"/>
        <v>1.5</v>
      </c>
      <c r="BL10" s="95">
        <f t="shared" si="14"/>
        <v>873</v>
      </c>
      <c r="BM10" s="98">
        <f t="shared" si="15"/>
        <v>2</v>
      </c>
      <c r="BN10" s="98">
        <f t="shared" si="16"/>
        <v>12</v>
      </c>
      <c r="BO10" s="98">
        <f t="shared" si="17"/>
        <v>100</v>
      </c>
      <c r="BP10" s="93">
        <f>IF(BN10&gt;8,THDL!$CQ$16,THDL!$CQ$15)</f>
        <v>280</v>
      </c>
      <c r="BQ10" s="93" t="str">
        <f t="shared" si="18"/>
        <v/>
      </c>
      <c r="BR10" s="93" t="str">
        <f t="shared" si="19"/>
        <v/>
      </c>
      <c r="BS10" s="93" t="str">
        <f t="shared" si="20"/>
        <v/>
      </c>
    </row>
    <row r="11" spans="1:71">
      <c r="A11" s="99" t="s">
        <v>255</v>
      </c>
      <c r="B11" s="100" t="str">
        <f t="shared" si="3"/>
        <v>M13</v>
      </c>
      <c r="C11" s="101" t="str">
        <f>IFERROR(VLOOKUP(A11,BanVe!A:AH,34,0),0)</f>
        <v>CSA19</v>
      </c>
      <c r="D11" s="71" t="str">
        <f>IFERROR(IF(UPPER(VLOOKUP(A11,BanVe!A:B,2,0))="STRIPA","STRIP A",IF(UPPER(VLOOKUP(A11,BanVe!A:B,2,0))="STRIPB","STRIP B","KXD")),"KXD")</f>
        <v>STRIP A</v>
      </c>
      <c r="E11" s="101">
        <f>VLOOKUP(C11,NoiLuc!A:K,4,0)</f>
        <v>1400</v>
      </c>
      <c r="F11" s="100">
        <v>700</v>
      </c>
      <c r="G11" s="102">
        <f>TRONGTAM_a(E11,THDL!$CK$10,THDL!$CK$16,N11,P11,R11,T11,V11,O11,Q11,S11,U11,W11,0)</f>
        <v>48</v>
      </c>
      <c r="H11" s="102">
        <f>TRONGTAM_a(E11,THDL!$CK$15,THDL!$CK$16,AF11,AH11,AJ11,AL11,AN11,AG11,AI11,AK11,AM11,AO11,0)</f>
        <v>118</v>
      </c>
      <c r="I11" s="103">
        <f>VLOOKUP(C11,NoiLuc!A:K,6,0)</f>
        <v>-34.2562065124512</v>
      </c>
      <c r="J11" s="103">
        <f>VLOOKUP(C11,NoiLuc!A:K,7,0)</f>
        <v>0.37499999999998601</v>
      </c>
      <c r="K11" s="73">
        <f>_xll.Slab_Function(THDL!$CK$2,E11,F11,G11,H11,I11,THDL!$CN$5,THDL!$CQ$4,THDL!$CQ$5,THDL!$CQ$6,THDL!$CQ$10,THDL!$CQ$11,THDL!$CQ$12,THDL!$CK$6,"Nén",THDL!$CK$7,THDL!$CT$3,THDL!$CT$13,THDL!$CT$16,THDL!$CT$17,THDL!$CT$18,THDL!$CQ$3*THDL!$CQ$4,THDL!$CQ$3,THDL!$CQ$9*THDL!$CQ$10,THDL!$CQ$9,N11,O11,P11,Q11,R11,S11,T11,U11,V11,W11,THDL!$CK$11,8,"Mu",AF11,AG11,AH11,AI11,AJ11,AK11,AL11,AM11,AN11,AO11)</f>
        <v>237.52031744233068</v>
      </c>
      <c r="L11" s="103">
        <f>_xll.Beam_Function(THDL!$CK$2,"Asn",E11,F11,G11,H11,ABS(I11),THDL!$CN$5,THDL!$CQ$10,THDL!$CQ$11,THDL!$CQ$12,THDL!$CK$6,"Nén",THDL!$CK$7,THDL!$CT$3,THDL!$CT$13,THDL!$CT$16,THDL!$CT$17,THDL!$CT$18,THDL!$CQ$10*THDL!$CQ$9,THDL!$CQ$9,X11,AP11)</f>
        <v>0</v>
      </c>
      <c r="M11" s="103">
        <f>_xll.Beam_Function(THDL!$CK$2,"Ask",E11,F11,G11,H11,ABS(I11),THDL!$CN$5,THDL!$CQ$10,THDL!$CQ$11,THDL!$CQ$12,THDL!$CK$6,"Nén",THDL!$CK$7,THDL!$CT$3,THDL!$CT$13,THDL!$CT$16,THDL!$CT$17,THDL!$CT$18,THDL!$CQ$10*THDL!$CQ$9,THDL!$CQ$9,X11,AP11,THDL!$CK$11)</f>
        <v>1.5041397757077013</v>
      </c>
      <c r="N11" s="104">
        <v>12</v>
      </c>
      <c r="O11" s="104">
        <v>150</v>
      </c>
      <c r="P11" s="104"/>
      <c r="Q11" s="104"/>
      <c r="R11" s="104"/>
      <c r="S11" s="104"/>
      <c r="T11" s="104"/>
      <c r="U11" s="104"/>
      <c r="V11" s="104"/>
      <c r="W11" s="104"/>
      <c r="X11" s="105">
        <f t="shared" si="1"/>
        <v>10.555750732421876</v>
      </c>
      <c r="Y11" s="105">
        <f t="shared" si="4"/>
        <v>0.11564144097745262</v>
      </c>
      <c r="Z11" s="105">
        <f t="shared" si="5"/>
        <v>7.0177990788491513</v>
      </c>
      <c r="AA11" s="103">
        <f>VLOOKUP(C11,NoiLuc!A:K,8,0)</f>
        <v>57.182979583740199</v>
      </c>
      <c r="AB11" s="103">
        <f>VLOOKUP(C11,NoiLuc!A:K,9,0)</f>
        <v>0.749999999999996</v>
      </c>
      <c r="AC11" s="73">
        <f>_xll.Slab_Function(THDL!$CK$2,E11,F11,H11,G11,AA11,THDL!$CN$5,THDL!$CQ$4,THDL!$CQ$5,THDL!$CQ$6,THDL!$CQ$10,THDL!$CQ$11,THDL!$CQ$12,THDL!$CK$6,"Nén",THDL!$CK$7,THDL!$CT$3,THDL!$CT$13,THDL!$CT$16,THDL!$CT$17,THDL!$CT$18,THDL!$CQ$3*THDL!$CQ$4,THDL!$CQ$3,THDL!$CQ$9*THDL!$CQ$10,THDL!$CQ$9,AF11,AG11,AH11,AI11,AJ11,AK11,AL11,AM11,AN11,AO11,THDL!$CK$11,8,"Mu",N11,O11,P11,Q11,R11,S11,T11,U11,V11,W11)</f>
        <v>211.6587267179795</v>
      </c>
      <c r="AD11" s="106">
        <f>_xll.Beam_Function(THDL!$CK$2,"Asn",E11,F11,H11,G11,ABS(AA11),THDL!$CN$5,THDL!$CQ$10,THDL!$CQ$11,THDL!$CQ$12,THDL!$CK$6,"Nén",THDL!$CK$7,THDL!$CT$3,THDL!$CT$13,THDL!$CT$16,THDL!$CT$17,THDL!$CT$18,THDL!$CQ$10*THDL!$CQ$9,THDL!$CQ$9,AP11,X11)</f>
        <v>0</v>
      </c>
      <c r="AE11" s="106">
        <f>_xll.Beam_Function(THDL!$CK$2,"Ask",E11,F11,H11,G11,ABS(AA11),THDL!$CN$5,THDL!$CQ$10,THDL!$CQ$11,THDL!$CQ$12,THDL!$CK$6,"Nén",THDL!$CK$7,THDL!$CT$3,THDL!$CT$13,THDL!$CT$16,THDL!$CT$17,THDL!$CT$18,THDL!$CQ$10*THDL!$CQ$9,THDL!$CQ$9,AP11,X11,THDL!$CK$11)</f>
        <v>2.8189862645254196</v>
      </c>
      <c r="AF11" s="104">
        <v>12</v>
      </c>
      <c r="AG11" s="104">
        <v>150</v>
      </c>
      <c r="AH11" s="104"/>
      <c r="AI11" s="104"/>
      <c r="AJ11" s="104"/>
      <c r="AK11" s="104"/>
      <c r="AL11" s="104"/>
      <c r="AM11" s="104"/>
      <c r="AN11" s="104"/>
      <c r="AO11" s="104"/>
      <c r="AP11" s="105">
        <f t="shared" si="2"/>
        <v>10.555750732421876</v>
      </c>
      <c r="AQ11" s="105">
        <f t="shared" si="6"/>
        <v>0.12955020535618403</v>
      </c>
      <c r="AR11" s="105">
        <f t="shared" si="7"/>
        <v>3.7445201011644347</v>
      </c>
      <c r="AS11" s="77">
        <f>VLOOKUP(C11,NoiLuc!BA:BK,6,0)</f>
        <v>-34.2562065124512</v>
      </c>
      <c r="AT11" s="77">
        <f>VLOOKUP(C11,NoiLuc!AA:AK,6,0)</f>
        <v>-34.2562065124512</v>
      </c>
      <c r="AU11" s="107">
        <f>_xll.Slab_Crack_Function(THDL!$CK$2,"D"&amp;THDL!$CK$17,THDL!$CK$7,ABS(I11),ABS(AS11),ABS(AT11),ABS(AS11),E11,F11,G11,H11,X11,AP11,N11,O11,P11,Q11,R11,S11,T11,U11,V11,W11,THDL!$CN$6,THDL!$CN$8,THDL!$CN$9,THDL!$CQ$6,THDL!$CQ$12,THDL!$CT$6,THDL!$CT$9,THDL!$CT$19,THDL!$CT$20,THDL!$CT$21,THDL!$CT$22,THDL!$CT$23,THDL!$CT$24,THDL!$CT$25,THDL!$CK$21,THDL!$CQ$4*THDL!$CQ$3)</f>
        <v>0</v>
      </c>
      <c r="AV11" s="107">
        <f>_xll.Slab_Crack_Function(THDL!$CK$2,"N"&amp;THDL!$CK$17,THDL!$CK$7,ABS(I11),ABS(AS11),ABS(AT11),ABS(AS11),E11,F11,G11,H11,X11,AP11,N11,O11,P11,Q11,R11,S11,T11,U11,V11,W11,THDL!$CN$6,THDL!$CN$8,THDL!$CN$9,THDL!$CQ$6,THDL!$CQ$12,THDL!$CT$6,THDL!$CT$9,THDL!$CT$19,THDL!$CT$20,THDL!$CT$21,THDL!$CT$22,THDL!$CT$23,THDL!$CT$24,THDL!$CT$25,THDL!$CK$21,THDL!$CQ$4*THDL!$CQ$3)</f>
        <v>0</v>
      </c>
      <c r="AW11" s="107" t="str">
        <f>IF(AND(AU11&lt;=THDL!$CK$8,AV11&lt;=THDL!$CK$9),"OK","FAIL")</f>
        <v>OK</v>
      </c>
      <c r="AX11" s="77">
        <f>VLOOKUP(C11,NoiLuc!BA:BK,8,0)</f>
        <v>57.182979583740199</v>
      </c>
      <c r="AY11" s="77">
        <f>VLOOKUP(C11,NoiLuc!AA:AK,8,0)</f>
        <v>57.182979583740199</v>
      </c>
      <c r="AZ11" s="107">
        <f>_xll.Slab_Crack_Function(THDL!$CK$2,"D"&amp;THDL!$CK$17,THDL!$CK$7,ABS(AA11),ABS(AX11),ABS(AY11),ABS(AX11),E11,F11,H11,G11,AP11,X11,AF11,AG11,AH11,AI11,AJ11,AK11,AL11,AM11,AN11,AO11,THDL!$CN$6,THDL!$CN$8,THDL!$CN$9,THDL!$CQ$6,THDL!$CQ$12,THDL!$CT$6,THDL!$CT$9,THDL!$CT$19,THDL!$CT$20,THDL!$CT$21,THDL!$CT$22,THDL!$CT$23,THDL!$CT$24,THDL!$CT$25,THDL!$CK$21,THDL!$CQ$4*THDL!$CQ$3)</f>
        <v>0</v>
      </c>
      <c r="BA11" s="107">
        <f>_xll.Slab_Crack_Function(THDL!$CK$2,"N"&amp;THDL!$CK$17,THDL!$CK$7,ABS(AA11),ABS(AX11),ABS(AY11),ABS(AX11),E11,F11,H11,G11,AP11,X11,AF11,AG11,AH11,AI11,AJ11,AK11,AL11,AM11,AN11,AO11,THDL!$CN$6,THDL!$CN$8,THDL!$CN$9,THDL!$CQ$6,THDL!$CQ$12,THDL!$CT$6,THDL!$CT$9,THDL!$CT$19,THDL!$CT$20,THDL!$CT$21,THDL!$CT$22,THDL!$CT$23,THDL!$CT$24,THDL!$CT$25,THDL!$CK$21,THDL!$CQ$4*THDL!$CQ$3)</f>
        <v>0</v>
      </c>
      <c r="BB11" s="107" t="str">
        <f>IF(AND(AZ11&lt;=THDL!$CK$8,BA11&lt;=THDL!$CK$9),"OK","FAIL")</f>
        <v>OK</v>
      </c>
      <c r="BC11" s="108">
        <f>VLOOKUP(C11,NoiLuc!A:K,10,0)</f>
        <v>240.76585388183599</v>
      </c>
      <c r="BD11" s="109">
        <f>_xll.Foundation_TinhHeSoCChiuCat(E11,F11,MAX(G11,H11),BM11,BN11,BO11,BP11,BF11,BC11,THDL!$CK$18,THDL!$CK$19)</f>
        <v>1.5</v>
      </c>
      <c r="BE11" s="110">
        <f t="shared" si="8"/>
        <v>873</v>
      </c>
      <c r="BF11" s="108">
        <f>THDL!$CN$7</f>
        <v>1.05</v>
      </c>
      <c r="BG11" s="108">
        <f t="shared" si="9"/>
        <v>855.54000000000008</v>
      </c>
      <c r="BH11" s="108">
        <f t="shared" si="10"/>
        <v>855.54000000000008</v>
      </c>
      <c r="BI11" s="111" t="str">
        <f t="shared" si="11"/>
        <v>OK</v>
      </c>
      <c r="BJ11" s="108">
        <f t="shared" si="12"/>
        <v>0</v>
      </c>
      <c r="BK11" s="112">
        <f t="shared" si="13"/>
        <v>1.5</v>
      </c>
      <c r="BL11" s="110">
        <f t="shared" si="14"/>
        <v>873</v>
      </c>
      <c r="BM11" s="113">
        <f t="shared" si="15"/>
        <v>2</v>
      </c>
      <c r="BN11" s="113">
        <f t="shared" si="16"/>
        <v>12</v>
      </c>
      <c r="BO11" s="113">
        <f t="shared" si="17"/>
        <v>100</v>
      </c>
      <c r="BP11" s="108">
        <f>IF(BN11&gt;8,THDL!$CQ$16,THDL!$CQ$15)</f>
        <v>280</v>
      </c>
      <c r="BQ11" s="108" t="str">
        <f t="shared" si="18"/>
        <v/>
      </c>
      <c r="BR11" s="108" t="str">
        <f t="shared" si="19"/>
        <v/>
      </c>
      <c r="BS11" s="108" t="str">
        <f t="shared" si="20"/>
        <v/>
      </c>
    </row>
    <row r="12" spans="1:71">
      <c r="A12" s="114" t="s">
        <v>258</v>
      </c>
      <c r="B12" s="115" t="str">
        <f t="shared" si="3"/>
        <v>M13</v>
      </c>
      <c r="C12" s="116" t="str">
        <f>IFERROR(VLOOKUP(A12,BanVe!A:AH,34,0),0)</f>
        <v>CSB17</v>
      </c>
      <c r="D12" s="71" t="str">
        <f>IFERROR(IF(UPPER(VLOOKUP(A12,BanVe!A:B,2,0))="STRIPA","STRIP A",IF(UPPER(VLOOKUP(A12,BanVe!A:B,2,0))="STRIPB","STRIP B","KXD")),"KXD")</f>
        <v>STRIP B</v>
      </c>
      <c r="E12" s="116">
        <f>VLOOKUP(C12,NoiLuc!A:K,4,0)</f>
        <v>1500</v>
      </c>
      <c r="F12" s="115">
        <v>700</v>
      </c>
      <c r="G12" s="117">
        <f>TRONGTAM_a(E12,THDL!$CK$10,THDL!$CK$16,N12,P12,R12,T12,V12,O12,Q12,S12,U12,W12,0)</f>
        <v>48</v>
      </c>
      <c r="H12" s="117">
        <f>TRONGTAM_a(E12,THDL!$CK$15,THDL!$CK$16,AF12,AH12,AJ12,AL12,AN12,AG12,AI12,AK12,AM12,AO12,0)</f>
        <v>118</v>
      </c>
      <c r="I12" s="118">
        <f>VLOOKUP(C12,NoiLuc!A:K,6,0)</f>
        <v>-1</v>
      </c>
      <c r="J12" s="118" t="str">
        <f>VLOOKUP(C12,NoiLuc!A:K,7,0)</f>
        <v>-</v>
      </c>
      <c r="K12" s="73">
        <f>_xll.Slab_Function(THDL!$CK$2,E12,F12,G12,H12,I12,THDL!$CN$5,THDL!$CQ$4,THDL!$CQ$5,THDL!$CQ$6,THDL!$CQ$10,THDL!$CQ$11,THDL!$CQ$12,THDL!$CK$6,"Nén",THDL!$CK$7,THDL!$CT$3,THDL!$CT$13,THDL!$CT$16,THDL!$CT$17,THDL!$CT$18,THDL!$CQ$3*THDL!$CQ$4,THDL!$CQ$3,THDL!$CQ$9*THDL!$CQ$10,THDL!$CQ$9,N12,O12,P12,Q12,R12,S12,T12,U12,V12,W12,THDL!$CK$11,8,"Mu",AF12,AG12,AH12,AI12,AJ12,AK12,AL12,AM12,AN12,AO12)</f>
        <v>254.4860544024971</v>
      </c>
      <c r="L12" s="118">
        <f>_xll.Beam_Function(THDL!$CK$2,"Asn",E12,F12,G12,H12,ABS(I12),THDL!$CN$5,THDL!$CQ$10,THDL!$CQ$11,THDL!$CQ$12,THDL!$CK$6,"Nén",THDL!$CK$7,THDL!$CT$3,THDL!$CT$13,THDL!$CT$16,THDL!$CT$17,THDL!$CT$18,THDL!$CQ$10*THDL!$CQ$9,THDL!$CQ$9,X12,AP12)</f>
        <v>0</v>
      </c>
      <c r="M12" s="118">
        <f>_xll.Beam_Function(THDL!$CK$2,"Ask",E12,F12,G12,H12,ABS(I12),THDL!$CN$5,THDL!$CQ$10,THDL!$CQ$11,THDL!$CQ$12,THDL!$CK$6,"Nén",THDL!$CK$7,THDL!$CT$3,THDL!$CT$13,THDL!$CT$16,THDL!$CT$17,THDL!$CT$18,THDL!$CQ$10*THDL!$CQ$9,THDL!$CQ$9,X12,AP12,THDL!$CK$11)</f>
        <v>4.3823579457415517E-2</v>
      </c>
      <c r="N12" s="119">
        <v>12</v>
      </c>
      <c r="O12" s="119">
        <v>150</v>
      </c>
      <c r="P12" s="119"/>
      <c r="Q12" s="119"/>
      <c r="R12" s="119"/>
      <c r="S12" s="119"/>
      <c r="T12" s="119"/>
      <c r="U12" s="119"/>
      <c r="V12" s="119"/>
      <c r="W12" s="119"/>
      <c r="X12" s="120">
        <f t="shared" si="1"/>
        <v>11.30973388671875</v>
      </c>
      <c r="Y12" s="120">
        <f t="shared" si="4"/>
        <v>0.11564145078444529</v>
      </c>
      <c r="Z12" s="120">
        <f t="shared" si="5"/>
        <v>258.07416981327839</v>
      </c>
      <c r="AA12" s="118">
        <f>VLOOKUP(C12,NoiLuc!A:K,8,0)</f>
        <v>77.007171630859403</v>
      </c>
      <c r="AB12" s="118">
        <f>VLOOKUP(C12,NoiLuc!A:K,9,0)</f>
        <v>0.69999999999999896</v>
      </c>
      <c r="AC12" s="73">
        <f>_xll.Slab_Function(THDL!$CK$2,E12,F12,H12,G12,AA12,THDL!$CN$5,THDL!$CQ$4,THDL!$CQ$5,THDL!$CQ$6,THDL!$CQ$10,THDL!$CQ$11,THDL!$CQ$12,THDL!$CK$6,"Nén",THDL!$CK$7,THDL!$CT$3,THDL!$CT$13,THDL!$CT$16,THDL!$CT$17,THDL!$CT$18,THDL!$CQ$3*THDL!$CQ$4,THDL!$CQ$3,THDL!$CQ$9*THDL!$CQ$10,THDL!$CQ$9,AF12,AG12,AH12,AI12,AJ12,AK12,AL12,AM12,AN12,AO12,THDL!$CK$11,8,"Mu",N12,O12,P12,Q12,R12,S12,T12,U12,V12,W12)</f>
        <v>226.77720719783517</v>
      </c>
      <c r="AD12" s="121">
        <f>_xll.Beam_Function(THDL!$CK$2,"Asn",E12,F12,H12,G12,ABS(AA12),THDL!$CN$5,THDL!$CQ$10,THDL!$CQ$11,THDL!$CQ$12,THDL!$CK$6,"Nén",THDL!$CK$7,THDL!$CT$3,THDL!$CT$13,THDL!$CT$16,THDL!$CT$17,THDL!$CT$18,THDL!$CQ$10*THDL!$CQ$9,THDL!$CQ$9,AP12,X12)</f>
        <v>0</v>
      </c>
      <c r="AE12" s="121">
        <f>_xll.Beam_Function(THDL!$CK$2,"Ask",E12,F12,H12,G12,ABS(AA12),THDL!$CN$5,THDL!$CQ$10,THDL!$CQ$11,THDL!$CQ$12,THDL!$CK$6,"Nén",THDL!$CK$7,THDL!$CT$3,THDL!$CT$13,THDL!$CT$16,THDL!$CT$17,THDL!$CT$18,THDL!$CQ$10*THDL!$CQ$9,THDL!$CQ$9,AP12,X12,THDL!$CK$11)</f>
        <v>3.8003877417229481</v>
      </c>
      <c r="AF12" s="119">
        <v>12</v>
      </c>
      <c r="AG12" s="119">
        <v>150</v>
      </c>
      <c r="AH12" s="119"/>
      <c r="AI12" s="119"/>
      <c r="AJ12" s="119"/>
      <c r="AK12" s="119"/>
      <c r="AL12" s="119"/>
      <c r="AM12" s="119"/>
      <c r="AN12" s="119"/>
      <c r="AO12" s="119"/>
      <c r="AP12" s="120">
        <f t="shared" si="2"/>
        <v>11.30973388671875</v>
      </c>
      <c r="AQ12" s="120">
        <f t="shared" si="6"/>
        <v>0.12955021634271191</v>
      </c>
      <c r="AR12" s="120">
        <f t="shared" si="7"/>
        <v>2.9759421025790793</v>
      </c>
      <c r="AS12" s="77">
        <f>VLOOKUP(C12,NoiLuc!BA:BK,6,0)</f>
        <v>-1</v>
      </c>
      <c r="AT12" s="77">
        <f>VLOOKUP(C12,NoiLuc!AA:AK,6,0)</f>
        <v>-1</v>
      </c>
      <c r="AU12" s="122">
        <f>_xll.Slab_Crack_Function(THDL!$CK$2,"D"&amp;THDL!$CK$17,THDL!$CK$7,ABS(I12),ABS(AS12),ABS(AT12),ABS(AS12),E12,F12,G12,H12,X12,AP12,N12,O12,P12,Q12,R12,S12,T12,U12,V12,W12,THDL!$CN$6,THDL!$CN$8,THDL!$CN$9,THDL!$CQ$6,THDL!$CQ$12,THDL!$CT$6,THDL!$CT$9,THDL!$CT$19,THDL!$CT$20,THDL!$CT$21,THDL!$CT$22,THDL!$CT$23,THDL!$CT$24,THDL!$CT$25,THDL!$CK$21,THDL!$CQ$4*THDL!$CQ$3)</f>
        <v>0</v>
      </c>
      <c r="AV12" s="122">
        <f>_xll.Slab_Crack_Function(THDL!$CK$2,"N"&amp;THDL!$CK$17,THDL!$CK$7,ABS(I12),ABS(AS12),ABS(AT12),ABS(AS12),E12,F12,G12,H12,X12,AP12,N12,O12,P12,Q12,R12,S12,T12,U12,V12,W12,THDL!$CN$6,THDL!$CN$8,THDL!$CN$9,THDL!$CQ$6,THDL!$CQ$12,THDL!$CT$6,THDL!$CT$9,THDL!$CT$19,THDL!$CT$20,THDL!$CT$21,THDL!$CT$22,THDL!$CT$23,THDL!$CT$24,THDL!$CT$25,THDL!$CK$21,THDL!$CQ$4*THDL!$CQ$3)</f>
        <v>0</v>
      </c>
      <c r="AW12" s="122" t="str">
        <f>IF(AND(AU12&lt;=THDL!$CK$8,AV12&lt;=THDL!$CK$9),"OK","FAIL")</f>
        <v>OK</v>
      </c>
      <c r="AX12" s="77">
        <f>VLOOKUP(C12,NoiLuc!BA:BK,8,0)</f>
        <v>77.007171630859403</v>
      </c>
      <c r="AY12" s="77">
        <f>VLOOKUP(C12,NoiLuc!AA:AK,8,0)</f>
        <v>77.007171630859403</v>
      </c>
      <c r="AZ12" s="122">
        <f>_xll.Slab_Crack_Function(THDL!$CK$2,"D"&amp;THDL!$CK$17,THDL!$CK$7,ABS(AA12),ABS(AX12),ABS(AY12),ABS(AX12),E12,F12,H12,G12,AP12,X12,AF12,AG12,AH12,AI12,AJ12,AK12,AL12,AM12,AN12,AO12,THDL!$CN$6,THDL!$CN$8,THDL!$CN$9,THDL!$CQ$6,THDL!$CQ$12,THDL!$CT$6,THDL!$CT$9,THDL!$CT$19,THDL!$CT$20,THDL!$CT$21,THDL!$CT$22,THDL!$CT$23,THDL!$CT$24,THDL!$CT$25,THDL!$CK$21,THDL!$CQ$4*THDL!$CQ$3)</f>
        <v>0</v>
      </c>
      <c r="BA12" s="122">
        <f>_xll.Slab_Crack_Function(THDL!$CK$2,"N"&amp;THDL!$CK$17,THDL!$CK$7,ABS(AA12),ABS(AX12),ABS(AY12),ABS(AX12),E12,F12,H12,G12,AP12,X12,AF12,AG12,AH12,AI12,AJ12,AK12,AL12,AM12,AN12,AO12,THDL!$CN$6,THDL!$CN$8,THDL!$CN$9,THDL!$CQ$6,THDL!$CQ$12,THDL!$CT$6,THDL!$CT$9,THDL!$CT$19,THDL!$CT$20,THDL!$CT$21,THDL!$CT$22,THDL!$CT$23,THDL!$CT$24,THDL!$CT$25,THDL!$CK$21,THDL!$CQ$4*THDL!$CQ$3)</f>
        <v>0</v>
      </c>
      <c r="BB12" s="122" t="str">
        <f>IF(AND(AZ12&lt;=THDL!$CK$8,BA12&lt;=THDL!$CK$9),"OK","FAIL")</f>
        <v>OK</v>
      </c>
      <c r="BC12" s="123">
        <f>VLOOKUP(C12,NoiLuc!A:K,10,0)</f>
        <v>456.35861206054699</v>
      </c>
      <c r="BD12" s="124">
        <f>_xll.Foundation_TinhHeSoCChiuCat(E12,F12,MAX(G12,H12),BM12,BN12,BO12,BP12,BF12,BC12,THDL!$CK$18,THDL!$CK$19)</f>
        <v>1.5</v>
      </c>
      <c r="BE12" s="125">
        <f t="shared" si="8"/>
        <v>873</v>
      </c>
      <c r="BF12" s="123">
        <f>THDL!$CN$7</f>
        <v>1.05</v>
      </c>
      <c r="BG12" s="123">
        <f t="shared" si="9"/>
        <v>916.65000000000009</v>
      </c>
      <c r="BH12" s="123">
        <f t="shared" si="10"/>
        <v>916.65000000000009</v>
      </c>
      <c r="BI12" s="126" t="str">
        <f t="shared" si="11"/>
        <v>OK</v>
      </c>
      <c r="BJ12" s="123">
        <f t="shared" si="12"/>
        <v>0</v>
      </c>
      <c r="BK12" s="127">
        <f t="shared" si="13"/>
        <v>1.5</v>
      </c>
      <c r="BL12" s="125">
        <f t="shared" si="14"/>
        <v>873</v>
      </c>
      <c r="BM12" s="128">
        <f t="shared" si="15"/>
        <v>2</v>
      </c>
      <c r="BN12" s="128">
        <f t="shared" si="16"/>
        <v>12</v>
      </c>
      <c r="BO12" s="128">
        <f t="shared" si="17"/>
        <v>100</v>
      </c>
      <c r="BP12" s="123">
        <f>IF(BN12&gt;8,THDL!$CQ$16,THDL!$CQ$15)</f>
        <v>280</v>
      </c>
      <c r="BQ12" s="123" t="str">
        <f t="shared" si="18"/>
        <v/>
      </c>
      <c r="BR12" s="123" t="str">
        <f t="shared" si="19"/>
        <v/>
      </c>
      <c r="BS12" s="123" t="str">
        <f t="shared" si="20"/>
        <v/>
      </c>
    </row>
    <row r="13" spans="1:71">
      <c r="A13" s="114" t="s">
        <v>260</v>
      </c>
      <c r="B13" s="115" t="str">
        <f t="shared" si="3"/>
        <v>M13</v>
      </c>
      <c r="C13" s="116" t="str">
        <f>IFERROR(VLOOKUP(A13,BanVe!A:AH,34,0),0)</f>
        <v>CSB21</v>
      </c>
      <c r="D13" s="71" t="str">
        <f>IFERROR(IF(UPPER(VLOOKUP(A13,BanVe!A:B,2,0))="STRIPA","STRIP A",IF(UPPER(VLOOKUP(A13,BanVe!A:B,2,0))="STRIPB","STRIP B","KXD")),"KXD")</f>
        <v>STRIP B</v>
      </c>
      <c r="E13" s="116">
        <f>VLOOKUP(C13,NoiLuc!A:K,4,0)</f>
        <v>750</v>
      </c>
      <c r="F13" s="115">
        <v>700</v>
      </c>
      <c r="G13" s="117">
        <f>TRONGTAM_a(E13,THDL!$CK$10,THDL!$CK$16,N13,P13,R13,T13,V13,O13,Q13,S13,U13,W13,0)</f>
        <v>48</v>
      </c>
      <c r="H13" s="117">
        <f>TRONGTAM_a(E13,THDL!$CK$15,THDL!$CK$16,AF13,AH13,AJ13,AL13,AN13,AG13,AI13,AK13,AM13,AO13,0)</f>
        <v>118</v>
      </c>
      <c r="I13" s="118">
        <f>VLOOKUP(C13,NoiLuc!A:K,6,0)</f>
        <v>-11.7289524078369</v>
      </c>
      <c r="J13" s="118">
        <f>VLOOKUP(C13,NoiLuc!A:K,7,0)</f>
        <v>0.375000000000005</v>
      </c>
      <c r="K13" s="73">
        <f>_xll.Slab_Function(THDL!$CK$2,E13,F13,G13,H13,I13,THDL!$CN$5,THDL!$CQ$4,THDL!$CQ$5,THDL!$CQ$6,THDL!$CQ$10,THDL!$CQ$11,THDL!$CQ$12,THDL!$CK$6,"Nén",THDL!$CK$7,THDL!$CT$3,THDL!$CT$13,THDL!$CT$16,THDL!$CT$17,THDL!$CT$18,THDL!$CQ$3*THDL!$CQ$4,THDL!$CQ$3,THDL!$CQ$9*THDL!$CQ$10,THDL!$CQ$9,N13,O13,P13,Q13,R13,S13,T13,U13,V13,W13,THDL!$CK$11,8,"Mu",AF13,AG13,AH13,AI13,AJ13,AK13,AL13,AM13,AN13,AO13)</f>
        <v>127.24302720124855</v>
      </c>
      <c r="L13" s="118">
        <f>_xll.Beam_Function(THDL!$CK$2,"Asn",E13,F13,G13,H13,ABS(I13),THDL!$CN$5,THDL!$CQ$10,THDL!$CQ$11,THDL!$CQ$12,THDL!$CK$6,"Nén",THDL!$CK$7,THDL!$CT$3,THDL!$CT$13,THDL!$CT$16,THDL!$CT$17,THDL!$CT$18,THDL!$CQ$10*THDL!$CQ$9,THDL!$CQ$9,X13,AP13)</f>
        <v>0</v>
      </c>
      <c r="M13" s="118">
        <f>_xll.Beam_Function(THDL!$CK$2,"Ask",E13,F13,G13,H13,ABS(I13),THDL!$CN$5,THDL!$CQ$10,THDL!$CQ$11,THDL!$CQ$12,THDL!$CK$6,"Nén",THDL!$CK$7,THDL!$CT$3,THDL!$CT$13,THDL!$CT$16,THDL!$CT$17,THDL!$CT$18,THDL!$CQ$10*THDL!$CQ$9,THDL!$CQ$9,X13,AP13,THDL!$CK$11)</f>
        <v>0.51463054085969129</v>
      </c>
      <c r="N13" s="119">
        <v>12</v>
      </c>
      <c r="O13" s="119">
        <v>150</v>
      </c>
      <c r="P13" s="119"/>
      <c r="Q13" s="119"/>
      <c r="R13" s="119"/>
      <c r="S13" s="119"/>
      <c r="T13" s="119"/>
      <c r="U13" s="119"/>
      <c r="V13" s="119"/>
      <c r="W13" s="119"/>
      <c r="X13" s="120">
        <f t="shared" si="1"/>
        <v>5.6548669433593748</v>
      </c>
      <c r="Y13" s="120">
        <f t="shared" si="4"/>
        <v>0.11564145078444529</v>
      </c>
      <c r="Z13" s="120">
        <f t="shared" si="5"/>
        <v>10.988207061930115</v>
      </c>
      <c r="AA13" s="118">
        <f>VLOOKUP(C13,NoiLuc!A:K,8,0)</f>
        <v>48.498447418212898</v>
      </c>
      <c r="AB13" s="118">
        <f>VLOOKUP(C13,NoiLuc!A:K,9,0)</f>
        <v>0.70000000000000095</v>
      </c>
      <c r="AC13" s="73">
        <f>_xll.Slab_Function(THDL!$CK$2,E13,F13,H13,G13,AA13,THDL!$CN$5,THDL!$CQ$4,THDL!$CQ$5,THDL!$CQ$6,THDL!$CQ$10,THDL!$CQ$11,THDL!$CQ$12,THDL!$CK$6,"Nén",THDL!$CK$7,THDL!$CT$3,THDL!$CT$13,THDL!$CT$16,THDL!$CT$17,THDL!$CT$18,THDL!$CQ$3*THDL!$CQ$4,THDL!$CQ$3,THDL!$CQ$9*THDL!$CQ$10,THDL!$CQ$9,AF13,AG13,AH13,AI13,AJ13,AK13,AL13,AM13,AN13,AO13,THDL!$CK$11,8,"Mu",N13,O13,P13,Q13,R13,S13,T13,U13,V13,W13)</f>
        <v>113.38860359891758</v>
      </c>
      <c r="AD13" s="121">
        <f>_xll.Beam_Function(THDL!$CK$2,"Asn",E13,F13,H13,G13,ABS(AA13),THDL!$CN$5,THDL!$CQ$10,THDL!$CQ$11,THDL!$CQ$12,THDL!$CK$6,"Nén",THDL!$CK$7,THDL!$CT$3,THDL!$CT$13,THDL!$CT$16,THDL!$CT$17,THDL!$CT$18,THDL!$CQ$10*THDL!$CQ$9,THDL!$CQ$9,AP13,X13)</f>
        <v>0</v>
      </c>
      <c r="AE13" s="121">
        <f>_xll.Beam_Function(THDL!$CK$2,"Ask",E13,F13,H13,G13,ABS(AA13),THDL!$CN$5,THDL!$CQ$10,THDL!$CQ$11,THDL!$CQ$12,THDL!$CK$6,"Nén",THDL!$CK$7,THDL!$CT$3,THDL!$CT$13,THDL!$CT$16,THDL!$CT$17,THDL!$CT$18,THDL!$CQ$10*THDL!$CQ$9,THDL!$CQ$9,AP13,X13,THDL!$CK$11)</f>
        <v>2.3967592380763421</v>
      </c>
      <c r="AF13" s="119">
        <v>12</v>
      </c>
      <c r="AG13" s="119">
        <v>150</v>
      </c>
      <c r="AH13" s="119"/>
      <c r="AI13" s="119"/>
      <c r="AJ13" s="119"/>
      <c r="AK13" s="119"/>
      <c r="AL13" s="119"/>
      <c r="AM13" s="119"/>
      <c r="AN13" s="119"/>
      <c r="AO13" s="119"/>
      <c r="AP13" s="120">
        <f t="shared" si="2"/>
        <v>5.6548669433593748</v>
      </c>
      <c r="AQ13" s="120">
        <f t="shared" si="6"/>
        <v>0.12955021634271191</v>
      </c>
      <c r="AR13" s="120">
        <f t="shared" si="7"/>
        <v>2.3593804723990615</v>
      </c>
      <c r="AS13" s="77">
        <f>VLOOKUP(C13,NoiLuc!BA:BK,6,0)</f>
        <v>-11.7289524078369</v>
      </c>
      <c r="AT13" s="77">
        <f>VLOOKUP(C13,NoiLuc!AA:AK,6,0)</f>
        <v>-11.7289524078369</v>
      </c>
      <c r="AU13" s="122">
        <f>_xll.Slab_Crack_Function(THDL!$CK$2,"D"&amp;THDL!$CK$17,THDL!$CK$7,ABS(I13),ABS(AS13),ABS(AT13),ABS(AS13),E13,F13,G13,H13,X13,AP13,N13,O13,P13,Q13,R13,S13,T13,U13,V13,W13,THDL!$CN$6,THDL!$CN$8,THDL!$CN$9,THDL!$CQ$6,THDL!$CQ$12,THDL!$CT$6,THDL!$CT$9,THDL!$CT$19,THDL!$CT$20,THDL!$CT$21,THDL!$CT$22,THDL!$CT$23,THDL!$CT$24,THDL!$CT$25,THDL!$CK$21,THDL!$CQ$4*THDL!$CQ$3)</f>
        <v>0</v>
      </c>
      <c r="AV13" s="122">
        <f>_xll.Slab_Crack_Function(THDL!$CK$2,"N"&amp;THDL!$CK$17,THDL!$CK$7,ABS(I13),ABS(AS13),ABS(AT13),ABS(AS13),E13,F13,G13,H13,X13,AP13,N13,O13,P13,Q13,R13,S13,T13,U13,V13,W13,THDL!$CN$6,THDL!$CN$8,THDL!$CN$9,THDL!$CQ$6,THDL!$CQ$12,THDL!$CT$6,THDL!$CT$9,THDL!$CT$19,THDL!$CT$20,THDL!$CT$21,THDL!$CT$22,THDL!$CT$23,THDL!$CT$24,THDL!$CT$25,THDL!$CK$21,THDL!$CQ$4*THDL!$CQ$3)</f>
        <v>0</v>
      </c>
      <c r="AW13" s="122" t="str">
        <f>IF(AND(AU13&lt;=THDL!$CK$8,AV13&lt;=THDL!$CK$9),"OK","FAIL")</f>
        <v>OK</v>
      </c>
      <c r="AX13" s="77">
        <f>VLOOKUP(C13,NoiLuc!BA:BK,8,0)</f>
        <v>48.498447418212898</v>
      </c>
      <c r="AY13" s="77">
        <f>VLOOKUP(C13,NoiLuc!AA:AK,8,0)</f>
        <v>48.498447418212898</v>
      </c>
      <c r="AZ13" s="122">
        <f>_xll.Slab_Crack_Function(THDL!$CK$2,"D"&amp;THDL!$CK$17,THDL!$CK$7,ABS(AA13),ABS(AX13),ABS(AY13),ABS(AX13),E13,F13,H13,G13,AP13,X13,AF13,AG13,AH13,AI13,AJ13,AK13,AL13,AM13,AN13,AO13,THDL!$CN$6,THDL!$CN$8,THDL!$CN$9,THDL!$CQ$6,THDL!$CQ$12,THDL!$CT$6,THDL!$CT$9,THDL!$CT$19,THDL!$CT$20,THDL!$CT$21,THDL!$CT$22,THDL!$CT$23,THDL!$CT$24,THDL!$CT$25,THDL!$CK$21,THDL!$CQ$4*THDL!$CQ$3)</f>
        <v>0</v>
      </c>
      <c r="BA13" s="122">
        <f>_xll.Slab_Crack_Function(THDL!$CK$2,"N"&amp;THDL!$CK$17,THDL!$CK$7,ABS(AA13),ABS(AX13),ABS(AY13),ABS(AX13),E13,F13,H13,G13,AP13,X13,AF13,AG13,AH13,AI13,AJ13,AK13,AL13,AM13,AN13,AO13,THDL!$CN$6,THDL!$CN$8,THDL!$CN$9,THDL!$CQ$6,THDL!$CQ$12,THDL!$CT$6,THDL!$CT$9,THDL!$CT$19,THDL!$CT$20,THDL!$CT$21,THDL!$CT$22,THDL!$CT$23,THDL!$CT$24,THDL!$CT$25,THDL!$CK$21,THDL!$CQ$4*THDL!$CQ$3)</f>
        <v>0</v>
      </c>
      <c r="BB13" s="122" t="str">
        <f>IF(AND(AZ13&lt;=THDL!$CK$8,BA13&lt;=THDL!$CK$9),"OK","FAIL")</f>
        <v>OK</v>
      </c>
      <c r="BC13" s="123">
        <f>VLOOKUP(C13,NoiLuc!A:K,10,0)</f>
        <v>378.69741821289102</v>
      </c>
      <c r="BD13" s="124">
        <f>_xll.Foundation_TinhHeSoCChiuCat(E13,F13,MAX(G13,H13),BM13,BN13,BO13,BP13,BF13,BC13,THDL!$CK$18,THDL!$CK$19)</f>
        <v>1.5</v>
      </c>
      <c r="BE13" s="125">
        <f t="shared" si="8"/>
        <v>873</v>
      </c>
      <c r="BF13" s="123">
        <f>THDL!$CN$7</f>
        <v>1.05</v>
      </c>
      <c r="BG13" s="123">
        <f t="shared" si="9"/>
        <v>458.32500000000005</v>
      </c>
      <c r="BH13" s="123">
        <f t="shared" si="10"/>
        <v>458.32500000000005</v>
      </c>
      <c r="BI13" s="126" t="str">
        <f t="shared" si="11"/>
        <v>OK</v>
      </c>
      <c r="BJ13" s="123">
        <f t="shared" si="12"/>
        <v>0</v>
      </c>
      <c r="BK13" s="127">
        <f t="shared" si="13"/>
        <v>1.5</v>
      </c>
      <c r="BL13" s="125">
        <f t="shared" si="14"/>
        <v>873</v>
      </c>
      <c r="BM13" s="128">
        <f t="shared" si="15"/>
        <v>2</v>
      </c>
      <c r="BN13" s="128">
        <f t="shared" si="16"/>
        <v>12</v>
      </c>
      <c r="BO13" s="128">
        <f t="shared" si="17"/>
        <v>100</v>
      </c>
      <c r="BP13" s="123">
        <f>IF(BN13&gt;8,THDL!$CQ$16,THDL!$CQ$15)</f>
        <v>280</v>
      </c>
      <c r="BQ13" s="123" t="str">
        <f t="shared" si="18"/>
        <v/>
      </c>
      <c r="BR13" s="123" t="str">
        <f t="shared" si="19"/>
        <v/>
      </c>
      <c r="BS13" s="123" t="str">
        <f t="shared" si="20"/>
        <v/>
      </c>
    </row>
    <row r="14" spans="1:71">
      <c r="A14" s="129" t="s">
        <v>262</v>
      </c>
      <c r="B14" s="70" t="str">
        <f t="shared" si="3"/>
        <v>M14</v>
      </c>
      <c r="C14" s="71" t="str">
        <f>IFERROR(VLOOKUP(A14,BanVe!A:AH,34,0),0)</f>
        <v>CSA4</v>
      </c>
      <c r="D14" s="71" t="str">
        <f>IFERROR(IF(UPPER(VLOOKUP(A14,BanVe!A:B,2,0))="STRIPA","STRIP A",IF(UPPER(VLOOKUP(A14,BanVe!A:B,2,0))="STRIPB","STRIP B","KXD")),"KXD")</f>
        <v>STRIP A</v>
      </c>
      <c r="E14" s="71">
        <f>VLOOKUP(C14,NoiLuc!A:K,4,0)</f>
        <v>750</v>
      </c>
      <c r="F14" s="70">
        <v>700</v>
      </c>
      <c r="G14" s="72">
        <f>TRONGTAM_a(E14,THDL!$CK$10,THDL!$CK$16,N14,P14,R14,T14,V14,O14,Q14,S14,U14,W14,0)</f>
        <v>48</v>
      </c>
      <c r="H14" s="72">
        <f>TRONGTAM_a(E14,THDL!$CK$15,THDL!$CK$16,AF14,AH14,AJ14,AL14,AN14,AG14,AI14,AK14,AM14,AO14,0)</f>
        <v>118</v>
      </c>
      <c r="I14" s="73">
        <f>VLOOKUP(C14,NoiLuc!A:K,6,0)</f>
        <v>-1.08809471130371</v>
      </c>
      <c r="J14" s="73">
        <f>VLOOKUP(C14,NoiLuc!A:K,7,0)</f>
        <v>1.12499999999999</v>
      </c>
      <c r="K14" s="73">
        <f>_xll.Slab_Function(THDL!$CK$2,E14,F14,G14,H14,I14,THDL!$CN$5,THDL!$CQ$4,THDL!$CQ$5,THDL!$CQ$6,THDL!$CQ$10,THDL!$CQ$11,THDL!$CQ$12,THDL!$CK$6,"Nén",THDL!$CK$7,THDL!$CT$3,THDL!$CT$13,THDL!$CT$16,THDL!$CT$17,THDL!$CT$18,THDL!$CQ$3*THDL!$CQ$4,THDL!$CQ$3,THDL!$CQ$9*THDL!$CQ$10,THDL!$CQ$9,N14,O14,P14,Q14,R14,S14,T14,U14,V14,W14,THDL!$CK$11,8,"Mu",AF14,AG14,AH14,AI14,AJ14,AK14,AL14,AM14,AN14,AO14)</f>
        <v>127.24302720124855</v>
      </c>
      <c r="L14" s="73">
        <f>_xll.Beam_Function(THDL!$CK$2,"Asn",E14,F14,G14,H14,ABS(I14),THDL!$CN$5,THDL!$CQ$10,THDL!$CQ$11,THDL!$CQ$12,THDL!$CK$6,"Nén",THDL!$CK$7,THDL!$CT$3,THDL!$CT$13,THDL!$CT$16,THDL!$CT$17,THDL!$CT$18,THDL!$CQ$10*THDL!$CQ$9,THDL!$CQ$9,X14,AP14)</f>
        <v>0</v>
      </c>
      <c r="M14" s="73">
        <f>_xll.Beam_Function(THDL!$CK$2,"Ask",E14,F14,G14,H14,ABS(I14),THDL!$CN$5,THDL!$CQ$10,THDL!$CQ$11,THDL!$CQ$12,THDL!$CK$6,"Nén",THDL!$CK$7,THDL!$CT$3,THDL!$CT$13,THDL!$CT$16,THDL!$CT$17,THDL!$CT$18,THDL!$CQ$10*THDL!$CQ$9,THDL!$CQ$9,X14,AP14,THDL!$CK$11)</f>
        <v>4.7687238880951374E-2</v>
      </c>
      <c r="N14" s="74">
        <v>12</v>
      </c>
      <c r="O14" s="74">
        <v>150</v>
      </c>
      <c r="P14" s="74"/>
      <c r="Q14" s="74"/>
      <c r="R14" s="74"/>
      <c r="S14" s="74"/>
      <c r="T14" s="74"/>
      <c r="U14" s="74"/>
      <c r="V14" s="74"/>
      <c r="W14" s="74"/>
      <c r="X14" s="75">
        <f t="shared" si="1"/>
        <v>5.6548669433593748</v>
      </c>
      <c r="Y14" s="75">
        <f t="shared" si="4"/>
        <v>0.11564145078444529</v>
      </c>
      <c r="Z14" s="75">
        <f t="shared" si="5"/>
        <v>118.58239386592388</v>
      </c>
      <c r="AA14" s="73">
        <f>VLOOKUP(C14,NoiLuc!A:K,8,0)</f>
        <v>73.139900207519503</v>
      </c>
      <c r="AB14" s="73">
        <f>VLOOKUP(C14,NoiLuc!A:K,9,0)</f>
        <v>0.75</v>
      </c>
      <c r="AC14" s="73">
        <f>_xll.Slab_Function(THDL!$CK$2,E14,F14,H14,G14,AA14,THDL!$CN$5,THDL!$CQ$4,THDL!$CQ$5,THDL!$CQ$6,THDL!$CQ$10,THDL!$CQ$11,THDL!$CQ$12,THDL!$CK$6,"Nén",THDL!$CK$7,THDL!$CT$3,THDL!$CT$13,THDL!$CT$16,THDL!$CT$17,THDL!$CT$18,THDL!$CQ$3*THDL!$CQ$4,THDL!$CQ$3,THDL!$CQ$9*THDL!$CQ$10,THDL!$CQ$9,AF14,AG14,AH14,AI14,AJ14,AK14,AL14,AM14,AN14,AO14,THDL!$CK$11,8,"Mu",N14,O14,P14,Q14,R14,S14,T14,U14,V14,W14)</f>
        <v>168.7321309201721</v>
      </c>
      <c r="AD14" s="76">
        <f>_xll.Beam_Function(THDL!$CK$2,"Asn",E14,F14,H14,G14,ABS(AA14),THDL!$CN$5,THDL!$CQ$10,THDL!$CQ$11,THDL!$CQ$12,THDL!$CK$6,"Nén",THDL!$CK$7,THDL!$CT$3,THDL!$CT$13,THDL!$CT$16,THDL!$CT$17,THDL!$CT$18,THDL!$CQ$10*THDL!$CQ$9,THDL!$CQ$9,AP14,X14)</f>
        <v>0</v>
      </c>
      <c r="AE14" s="76">
        <f>_xll.Beam_Function(THDL!$CK$2,"Ask",E14,F14,H14,G14,ABS(AA14),THDL!$CN$5,THDL!$CQ$10,THDL!$CQ$11,THDL!$CQ$12,THDL!$CK$6,"Nén",THDL!$CK$7,THDL!$CT$3,THDL!$CT$13,THDL!$CT$16,THDL!$CT$17,THDL!$CT$18,THDL!$CQ$10*THDL!$CQ$9,THDL!$CQ$9,AP14,X14,THDL!$CK$11)</f>
        <v>3.6269414504371449</v>
      </c>
      <c r="AF14" s="74">
        <v>12</v>
      </c>
      <c r="AG14" s="74">
        <v>100</v>
      </c>
      <c r="AH14" s="74"/>
      <c r="AI14" s="74"/>
      <c r="AJ14" s="74"/>
      <c r="AK14" s="74"/>
      <c r="AL14" s="74"/>
      <c r="AM14" s="74"/>
      <c r="AN14" s="74"/>
      <c r="AO14" s="74"/>
      <c r="AP14" s="75">
        <f t="shared" si="2"/>
        <v>8.4823004150390631</v>
      </c>
      <c r="AQ14" s="75">
        <f t="shared" si="6"/>
        <v>0.19432532451406787</v>
      </c>
      <c r="AR14" s="75">
        <f t="shared" si="7"/>
        <v>2.3386924026625011</v>
      </c>
      <c r="AS14" s="77">
        <f>VLOOKUP(C14,NoiLuc!BA:BK,6,0)</f>
        <v>-1.08809471130371</v>
      </c>
      <c r="AT14" s="77">
        <f>VLOOKUP(C14,NoiLuc!AA:AK,6,0)</f>
        <v>-1.08809471130371</v>
      </c>
      <c r="AU14" s="77">
        <f>_xll.Slab_Crack_Function(THDL!$CK$2,"D"&amp;THDL!$CK$17,THDL!$CK$7,ABS(I14),ABS(AS14),ABS(AT14),ABS(AS14),E14,F14,G14,H14,X14,AP14,N14,O14,P14,Q14,R14,S14,T14,U14,V14,W14,THDL!$CN$6,THDL!$CN$8,THDL!$CN$9,THDL!$CQ$6,THDL!$CQ$12,THDL!$CT$6,THDL!$CT$9,THDL!$CT$19,THDL!$CT$20,THDL!$CT$21,THDL!$CT$22,THDL!$CT$23,THDL!$CT$24,THDL!$CT$25,THDL!$CK$21,THDL!$CQ$4*THDL!$CQ$3)</f>
        <v>0</v>
      </c>
      <c r="AV14" s="77">
        <f>_xll.Slab_Crack_Function(THDL!$CK$2,"N"&amp;THDL!$CK$17,THDL!$CK$7,ABS(I14),ABS(AS14),ABS(AT14),ABS(AS14),E14,F14,G14,H14,X14,AP14,N14,O14,P14,Q14,R14,S14,T14,U14,V14,W14,THDL!$CN$6,THDL!$CN$8,THDL!$CN$9,THDL!$CQ$6,THDL!$CQ$12,THDL!$CT$6,THDL!$CT$9,THDL!$CT$19,THDL!$CT$20,THDL!$CT$21,THDL!$CT$22,THDL!$CT$23,THDL!$CT$24,THDL!$CT$25,THDL!$CK$21,THDL!$CQ$4*THDL!$CQ$3)</f>
        <v>0</v>
      </c>
      <c r="AW14" s="77" t="str">
        <f>IF(AND(AU14&lt;=THDL!$CK$8,AV14&lt;=THDL!$CK$9),"OK","FAIL")</f>
        <v>OK</v>
      </c>
      <c r="AX14" s="77">
        <f>VLOOKUP(C14,NoiLuc!BA:BK,8,0)</f>
        <v>73.139900207519503</v>
      </c>
      <c r="AY14" s="77">
        <f>VLOOKUP(C14,NoiLuc!AA:AK,8,0)</f>
        <v>73.139900207519503</v>
      </c>
      <c r="AZ14" s="77">
        <f>_xll.Slab_Crack_Function(THDL!$CK$2,"D"&amp;THDL!$CK$17,THDL!$CK$7,ABS(AA14),ABS(AX14),ABS(AY14),ABS(AX14),E14,F14,H14,G14,AP14,X14,AF14,AG14,AH14,AI14,AJ14,AK14,AL14,AM14,AN14,AO14,THDL!$CN$6,THDL!$CN$8,THDL!$CN$9,THDL!$CQ$6,THDL!$CQ$12,THDL!$CT$6,THDL!$CT$9,THDL!$CT$19,THDL!$CT$20,THDL!$CT$21,THDL!$CT$22,THDL!$CT$23,THDL!$CT$24,THDL!$CT$25,THDL!$CK$21,THDL!$CQ$4*THDL!$CQ$3)</f>
        <v>0</v>
      </c>
      <c r="BA14" s="77">
        <f>_xll.Slab_Crack_Function(THDL!$CK$2,"N"&amp;THDL!$CK$17,THDL!$CK$7,ABS(AA14),ABS(AX14),ABS(AY14),ABS(AX14),E14,F14,H14,G14,AP14,X14,AF14,AG14,AH14,AI14,AJ14,AK14,AL14,AM14,AN14,AO14,THDL!$CN$6,THDL!$CN$8,THDL!$CN$9,THDL!$CQ$6,THDL!$CQ$12,THDL!$CT$6,THDL!$CT$9,THDL!$CT$19,THDL!$CT$20,THDL!$CT$21,THDL!$CT$22,THDL!$CT$23,THDL!$CT$24,THDL!$CT$25,THDL!$CK$21,THDL!$CQ$4*THDL!$CQ$3)</f>
        <v>0</v>
      </c>
      <c r="BB14" s="77" t="str">
        <f>IF(AND(AZ14&lt;=THDL!$CK$8,BA14&lt;=THDL!$CK$9),"OK","FAIL")</f>
        <v>OK</v>
      </c>
      <c r="BC14" s="78">
        <f>VLOOKUP(C14,NoiLuc!A:K,10,0)</f>
        <v>198.93469238281301</v>
      </c>
      <c r="BD14" s="79">
        <f>_xll.Foundation_TinhHeSoCChiuCat(E14,F14,MAX(G14,H14),BM14,BN14,BO14,BP14,BF14,BC14,THDL!$CK$18,THDL!$CK$19)</f>
        <v>1.5</v>
      </c>
      <c r="BE14" s="80">
        <f t="shared" si="8"/>
        <v>873</v>
      </c>
      <c r="BF14" s="78">
        <f>THDL!$CN$7</f>
        <v>1.05</v>
      </c>
      <c r="BG14" s="78">
        <f t="shared" si="9"/>
        <v>458.32500000000005</v>
      </c>
      <c r="BH14" s="78">
        <f t="shared" si="10"/>
        <v>458.32500000000005</v>
      </c>
      <c r="BI14" s="81" t="str">
        <f t="shared" si="11"/>
        <v>OK</v>
      </c>
      <c r="BJ14" s="78">
        <f t="shared" si="12"/>
        <v>0</v>
      </c>
      <c r="BK14" s="82">
        <f t="shared" si="13"/>
        <v>1.5</v>
      </c>
      <c r="BL14" s="80">
        <f t="shared" si="14"/>
        <v>873</v>
      </c>
      <c r="BM14" s="83">
        <f t="shared" si="15"/>
        <v>2</v>
      </c>
      <c r="BN14" s="83">
        <f t="shared" si="16"/>
        <v>12</v>
      </c>
      <c r="BO14" s="83">
        <f t="shared" si="17"/>
        <v>100</v>
      </c>
      <c r="BP14" s="78">
        <f>IF(BN14&gt;8,THDL!$CQ$16,THDL!$CQ$15)</f>
        <v>280</v>
      </c>
      <c r="BQ14" s="78" t="str">
        <f t="shared" si="18"/>
        <v/>
      </c>
      <c r="BR14" s="78" t="str">
        <f t="shared" si="19"/>
        <v/>
      </c>
      <c r="BS14" s="78" t="str">
        <f t="shared" si="20"/>
        <v/>
      </c>
    </row>
    <row r="15" spans="1:71">
      <c r="A15" s="84" t="s">
        <v>265</v>
      </c>
      <c r="B15" s="85" t="str">
        <f t="shared" si="3"/>
        <v>M14</v>
      </c>
      <c r="C15" s="86" t="str">
        <f>IFERROR(VLOOKUP(A15,BanVe!A:AH,34,0),0)</f>
        <v>CSB8</v>
      </c>
      <c r="D15" s="71" t="str">
        <f>IFERROR(IF(UPPER(VLOOKUP(A15,BanVe!A:B,2,0))="STRIPA","STRIP A",IF(UPPER(VLOOKUP(A15,BanVe!A:B,2,0))="STRIPB","STRIP B","KXD")),"KXD")</f>
        <v>STRIP B</v>
      </c>
      <c r="E15" s="86">
        <f>VLOOKUP(C15,NoiLuc!A:K,4,0)</f>
        <v>1500</v>
      </c>
      <c r="F15" s="85">
        <v>700</v>
      </c>
      <c r="G15" s="87">
        <f>TRONGTAM_a(E15,THDL!$CK$10,THDL!$CK$16,N15,P15,R15,T15,V15,O15,Q15,S15,U15,W15,0)</f>
        <v>48</v>
      </c>
      <c r="H15" s="87">
        <f>TRONGTAM_a(E15,THDL!$CK$15,THDL!$CK$16,AF15,AH15,AJ15,AL15,AN15,AG15,AI15,AK15,AM15,AO15,0)</f>
        <v>118</v>
      </c>
      <c r="I15" s="88">
        <f>VLOOKUP(C15,NoiLuc!A:K,6,0)</f>
        <v>-52.096767425537102</v>
      </c>
      <c r="J15" s="88">
        <f>VLOOKUP(C15,NoiLuc!A:K,7,0)</f>
        <v>0.375</v>
      </c>
      <c r="K15" s="73">
        <f>_xll.Slab_Function(THDL!$CK$2,E15,F15,G15,H15,I15,THDL!$CN$5,THDL!$CQ$4,THDL!$CQ$5,THDL!$CQ$6,THDL!$CQ$10,THDL!$CQ$11,THDL!$CQ$12,THDL!$CK$6,"Nén",THDL!$CK$7,THDL!$CT$3,THDL!$CT$13,THDL!$CT$16,THDL!$CT$17,THDL!$CT$18,THDL!$CQ$3*THDL!$CQ$4,THDL!$CQ$3,THDL!$CQ$9*THDL!$CQ$10,THDL!$CQ$9,N15,O15,P15,Q15,R15,S15,T15,U15,V15,W15,THDL!$CK$11,8,"Mu",AF15,AG15,AH15,AI15,AJ15,AK15,AL15,AM15,AN15,AO15)</f>
        <v>254.4860544024971</v>
      </c>
      <c r="L15" s="88">
        <f>_xll.Beam_Function(THDL!$CK$2,"Asn",E15,F15,G15,H15,ABS(I15),THDL!$CN$5,THDL!$CQ$10,THDL!$CQ$11,THDL!$CQ$12,THDL!$CK$6,"Nén",THDL!$CK$7,THDL!$CT$3,THDL!$CT$13,THDL!$CT$16,THDL!$CT$17,THDL!$CT$18,THDL!$CQ$10*THDL!$CQ$9,THDL!$CQ$9,X15,AP15)</f>
        <v>0</v>
      </c>
      <c r="M15" s="88">
        <f>_xll.Beam_Function(THDL!$CK$2,"Ask",E15,F15,G15,H15,ABS(I15),THDL!$CN$5,THDL!$CQ$10,THDL!$CQ$11,THDL!$CQ$12,THDL!$CK$6,"Nén",THDL!$CK$7,THDL!$CT$3,THDL!$CT$13,THDL!$CT$16,THDL!$CT$17,THDL!$CT$18,THDL!$CQ$10*THDL!$CQ$9,THDL!$CQ$9,X15,AP15,THDL!$CK$11)</f>
        <v>2.2894114903256946</v>
      </c>
      <c r="N15" s="89">
        <v>12</v>
      </c>
      <c r="O15" s="89">
        <v>150</v>
      </c>
      <c r="P15" s="89"/>
      <c r="Q15" s="89"/>
      <c r="R15" s="89"/>
      <c r="S15" s="89"/>
      <c r="T15" s="89"/>
      <c r="U15" s="89"/>
      <c r="V15" s="89"/>
      <c r="W15" s="89"/>
      <c r="X15" s="90">
        <f t="shared" si="1"/>
        <v>11.30973388671875</v>
      </c>
      <c r="Y15" s="90">
        <f t="shared" si="4"/>
        <v>0.11564145078444529</v>
      </c>
      <c r="Z15" s="90">
        <f t="shared" si="5"/>
        <v>4.9400179629175414</v>
      </c>
      <c r="AA15" s="88">
        <f>VLOOKUP(C15,NoiLuc!A:K,8,0)</f>
        <v>1</v>
      </c>
      <c r="AB15" s="88" t="str">
        <f>VLOOKUP(C15,NoiLuc!A:K,9,0)</f>
        <v>-</v>
      </c>
      <c r="AC15" s="73">
        <f>_xll.Slab_Function(THDL!$CK$2,E15,F15,H15,G15,AA15,THDL!$CN$5,THDL!$CQ$4,THDL!$CQ$5,THDL!$CQ$6,THDL!$CQ$10,THDL!$CQ$11,THDL!$CQ$12,THDL!$CK$6,"Nén",THDL!$CK$7,THDL!$CT$3,THDL!$CT$13,THDL!$CT$16,THDL!$CT$17,THDL!$CT$18,THDL!$CQ$3*THDL!$CQ$4,THDL!$CQ$3,THDL!$CQ$9*THDL!$CQ$10,THDL!$CQ$9,AF15,AG15,AH15,AI15,AJ15,AK15,AL15,AM15,AN15,AO15,THDL!$CK$11,8,"Mu",N15,O15,P15,Q15,R15,S15,T15,U15,V15,W15)</f>
        <v>226.77720719783517</v>
      </c>
      <c r="AD15" s="91">
        <f>_xll.Beam_Function(THDL!$CK$2,"Asn",E15,F15,H15,G15,ABS(AA15),THDL!$CN$5,THDL!$CQ$10,THDL!$CQ$11,THDL!$CQ$12,THDL!$CK$6,"Nén",THDL!$CK$7,THDL!$CT$3,THDL!$CT$13,THDL!$CT$16,THDL!$CT$17,THDL!$CT$18,THDL!$CQ$10*THDL!$CQ$9,THDL!$CQ$9,AP15,X15)</f>
        <v>0</v>
      </c>
      <c r="AE15" s="91">
        <f>_xll.Beam_Function(THDL!$CK$2,"Ask",E15,F15,H15,G15,ABS(AA15),THDL!$CN$5,THDL!$CQ$10,THDL!$CQ$11,THDL!$CQ$12,THDL!$CK$6,"Nén",THDL!$CK$7,THDL!$CT$3,THDL!$CT$13,THDL!$CT$16,THDL!$CT$17,THDL!$CT$18,THDL!$CQ$10*THDL!$CQ$9,THDL!$CQ$9,AP15,X15,THDL!$CK$11)</f>
        <v>4.909513388170491E-2</v>
      </c>
      <c r="AF15" s="89">
        <v>12</v>
      </c>
      <c r="AG15" s="89">
        <v>150</v>
      </c>
      <c r="AH15" s="89"/>
      <c r="AI15" s="89"/>
      <c r="AJ15" s="89"/>
      <c r="AK15" s="89"/>
      <c r="AL15" s="89"/>
      <c r="AM15" s="89"/>
      <c r="AN15" s="89"/>
      <c r="AO15" s="89"/>
      <c r="AP15" s="90">
        <f t="shared" si="2"/>
        <v>11.30973388671875</v>
      </c>
      <c r="AQ15" s="90">
        <f t="shared" si="6"/>
        <v>0.12955021634271191</v>
      </c>
      <c r="AR15" s="90">
        <f t="shared" si="7"/>
        <v>230.36364284023824</v>
      </c>
      <c r="AS15" s="77">
        <f>VLOOKUP(C15,NoiLuc!BA:BK,6,0)</f>
        <v>-52.096767425537102</v>
      </c>
      <c r="AT15" s="77">
        <f>VLOOKUP(C15,NoiLuc!AA:AK,6,0)</f>
        <v>-52.096767425537102</v>
      </c>
      <c r="AU15" s="92">
        <f>_xll.Slab_Crack_Function(THDL!$CK$2,"D"&amp;THDL!$CK$17,THDL!$CK$7,ABS(I15),ABS(AS15),ABS(AT15),ABS(AS15),E15,F15,G15,H15,X15,AP15,N15,O15,P15,Q15,R15,S15,T15,U15,V15,W15,THDL!$CN$6,THDL!$CN$8,THDL!$CN$9,THDL!$CQ$6,THDL!$CQ$12,THDL!$CT$6,THDL!$CT$9,THDL!$CT$19,THDL!$CT$20,THDL!$CT$21,THDL!$CT$22,THDL!$CT$23,THDL!$CT$24,THDL!$CT$25,THDL!$CK$21,THDL!$CQ$4*THDL!$CQ$3)</f>
        <v>0</v>
      </c>
      <c r="AV15" s="92">
        <f>_xll.Slab_Crack_Function(THDL!$CK$2,"N"&amp;THDL!$CK$17,THDL!$CK$7,ABS(I15),ABS(AS15),ABS(AT15),ABS(AS15),E15,F15,G15,H15,X15,AP15,N15,O15,P15,Q15,R15,S15,T15,U15,V15,W15,THDL!$CN$6,THDL!$CN$8,THDL!$CN$9,THDL!$CQ$6,THDL!$CQ$12,THDL!$CT$6,THDL!$CT$9,THDL!$CT$19,THDL!$CT$20,THDL!$CT$21,THDL!$CT$22,THDL!$CT$23,THDL!$CT$24,THDL!$CT$25,THDL!$CK$21,THDL!$CQ$4*THDL!$CQ$3)</f>
        <v>0</v>
      </c>
      <c r="AW15" s="92" t="str">
        <f>IF(AND(AU15&lt;=THDL!$CK$8,AV15&lt;=THDL!$CK$9),"OK","FAIL")</f>
        <v>OK</v>
      </c>
      <c r="AX15" s="77">
        <f>VLOOKUP(C15,NoiLuc!BA:BK,8,0)</f>
        <v>1</v>
      </c>
      <c r="AY15" s="77">
        <f>VLOOKUP(C15,NoiLuc!AA:AK,8,0)</f>
        <v>1</v>
      </c>
      <c r="AZ15" s="92">
        <f>_xll.Slab_Crack_Function(THDL!$CK$2,"D"&amp;THDL!$CK$17,THDL!$CK$7,ABS(AA15),ABS(AX15),ABS(AY15),ABS(AX15),E15,F15,H15,G15,AP15,X15,AF15,AG15,AH15,AI15,AJ15,AK15,AL15,AM15,AN15,AO15,THDL!$CN$6,THDL!$CN$8,THDL!$CN$9,THDL!$CQ$6,THDL!$CQ$12,THDL!$CT$6,THDL!$CT$9,THDL!$CT$19,THDL!$CT$20,THDL!$CT$21,THDL!$CT$22,THDL!$CT$23,THDL!$CT$24,THDL!$CT$25,THDL!$CK$21,THDL!$CQ$4*THDL!$CQ$3)</f>
        <v>0</v>
      </c>
      <c r="BA15" s="92">
        <f>_xll.Slab_Crack_Function(THDL!$CK$2,"N"&amp;THDL!$CK$17,THDL!$CK$7,ABS(AA15),ABS(AX15),ABS(AY15),ABS(AX15),E15,F15,H15,G15,AP15,X15,AF15,AG15,AH15,AI15,AJ15,AK15,AL15,AM15,AN15,AO15,THDL!$CN$6,THDL!$CN$8,THDL!$CN$9,THDL!$CQ$6,THDL!$CQ$12,THDL!$CT$6,THDL!$CT$9,THDL!$CT$19,THDL!$CT$20,THDL!$CT$21,THDL!$CT$22,THDL!$CT$23,THDL!$CT$24,THDL!$CT$25,THDL!$CK$21,THDL!$CQ$4*THDL!$CQ$3)</f>
        <v>0</v>
      </c>
      <c r="BB15" s="92" t="str">
        <f>IF(AND(AZ15&lt;=THDL!$CK$8,BA15&lt;=THDL!$CK$9),"OK","FAIL")</f>
        <v>OK</v>
      </c>
      <c r="BC15" s="93">
        <f>VLOOKUP(C15,NoiLuc!A:K,10,0)</f>
        <v>27.719608306884801</v>
      </c>
      <c r="BD15" s="94">
        <f>_xll.Foundation_TinhHeSoCChiuCat(E15,F15,MAX(G15,H15),BM15,BN15,BO15,BP15,BF15,BC15,THDL!$CK$18,THDL!$CK$19)</f>
        <v>1.5</v>
      </c>
      <c r="BE15" s="95">
        <f t="shared" si="8"/>
        <v>873</v>
      </c>
      <c r="BF15" s="93">
        <f>THDL!$CN$7</f>
        <v>1.05</v>
      </c>
      <c r="BG15" s="93">
        <f t="shared" si="9"/>
        <v>916.65000000000009</v>
      </c>
      <c r="BH15" s="93">
        <f t="shared" si="10"/>
        <v>916.65000000000009</v>
      </c>
      <c r="BI15" s="96" t="str">
        <f t="shared" si="11"/>
        <v>OK</v>
      </c>
      <c r="BJ15" s="93">
        <f t="shared" si="12"/>
        <v>0</v>
      </c>
      <c r="BK15" s="97">
        <f t="shared" si="13"/>
        <v>1.5</v>
      </c>
      <c r="BL15" s="95">
        <f t="shared" si="14"/>
        <v>873</v>
      </c>
      <c r="BM15" s="98">
        <f t="shared" si="15"/>
        <v>2</v>
      </c>
      <c r="BN15" s="98">
        <f t="shared" si="16"/>
        <v>12</v>
      </c>
      <c r="BO15" s="98">
        <f t="shared" si="17"/>
        <v>100</v>
      </c>
      <c r="BP15" s="93">
        <f>IF(BN15&gt;8,THDL!$CQ$16,THDL!$CQ$15)</f>
        <v>280</v>
      </c>
      <c r="BQ15" s="93" t="str">
        <f t="shared" si="18"/>
        <v/>
      </c>
      <c r="BR15" s="93" t="str">
        <f t="shared" si="19"/>
        <v/>
      </c>
      <c r="BS15" s="93" t="str">
        <f t="shared" si="20"/>
        <v/>
      </c>
    </row>
    <row r="16" spans="1:71">
      <c r="A16" s="99" t="s">
        <v>267</v>
      </c>
      <c r="B16" s="100" t="str">
        <f t="shared" si="3"/>
        <v>M15</v>
      </c>
      <c r="C16" s="101" t="str">
        <f>IFERROR(VLOOKUP(A16,BanVe!A:AH,34,0),0)</f>
        <v>CSA20</v>
      </c>
      <c r="D16" s="71" t="str">
        <f>IFERROR(IF(UPPER(VLOOKUP(A16,BanVe!A:B,2,0))="STRIPA","STRIP A",IF(UPPER(VLOOKUP(A16,BanVe!A:B,2,0))="STRIPB","STRIP B","KXD")),"KXD")</f>
        <v>STRIP A</v>
      </c>
      <c r="E16" s="101">
        <f>VLOOKUP(C16,NoiLuc!A:K,4,0)</f>
        <v>1400</v>
      </c>
      <c r="F16" s="100">
        <v>700</v>
      </c>
      <c r="G16" s="102">
        <f>TRONGTAM_a(E16,THDL!$CK$10,THDL!$CK$16,N16,P16,R16,T16,V16,O16,Q16,S16,U16,W16,0)</f>
        <v>48</v>
      </c>
      <c r="H16" s="102">
        <f>TRONGTAM_a(E16,THDL!$CK$15,THDL!$CK$16,AF16,AH16,AJ16,AL16,AN16,AG16,AI16,AK16,AM16,AO16,0)</f>
        <v>118</v>
      </c>
      <c r="I16" s="103">
        <f>VLOOKUP(C16,NoiLuc!A:K,6,0)</f>
        <v>-13.6271924972534</v>
      </c>
      <c r="J16" s="103">
        <f>VLOOKUP(C16,NoiLuc!A:K,7,0)</f>
        <v>1.12499999999999</v>
      </c>
      <c r="K16" s="73">
        <f>_xll.Slab_Function(THDL!$CK$2,E16,F16,G16,H16,I16,THDL!$CN$5,THDL!$CQ$4,THDL!$CQ$5,THDL!$CQ$6,THDL!$CQ$10,THDL!$CQ$11,THDL!$CQ$12,THDL!$CK$6,"Nén",THDL!$CK$7,THDL!$CT$3,THDL!$CT$13,THDL!$CT$16,THDL!$CT$17,THDL!$CT$18,THDL!$CQ$3*THDL!$CQ$4,THDL!$CQ$3,THDL!$CQ$9*THDL!$CQ$10,THDL!$CQ$9,N16,O16,P16,Q16,R16,S16,T16,U16,V16,W16,THDL!$CK$11,8,"Mu",AF16,AG16,AH16,AI16,AJ16,AK16,AL16,AM16,AN16,AO16)</f>
        <v>237.52031744233068</v>
      </c>
      <c r="L16" s="103">
        <f>_xll.Beam_Function(THDL!$CK$2,"Asn",E16,F16,G16,H16,ABS(I16),THDL!$CN$5,THDL!$CQ$10,THDL!$CQ$11,THDL!$CQ$12,THDL!$CK$6,"Nén",THDL!$CK$7,THDL!$CT$3,THDL!$CT$13,THDL!$CT$16,THDL!$CT$17,THDL!$CT$18,THDL!$CQ$10*THDL!$CQ$9,THDL!$CQ$9,X16,AP16)</f>
        <v>0</v>
      </c>
      <c r="M16" s="103">
        <f>_xll.Beam_Function(THDL!$CK$2,"Ask",E16,F16,G16,H16,ABS(I16),THDL!$CN$5,THDL!$CQ$10,THDL!$CQ$11,THDL!$CQ$12,THDL!$CK$6,"Nén",THDL!$CK$7,THDL!$CT$3,THDL!$CT$13,THDL!$CT$16,THDL!$CT$17,THDL!$CT$18,THDL!$CQ$10*THDL!$CQ$9,THDL!$CQ$9,X16,AP16,THDL!$CK$11)</f>
        <v>0.59763229658955341</v>
      </c>
      <c r="N16" s="104">
        <v>12</v>
      </c>
      <c r="O16" s="104">
        <v>150</v>
      </c>
      <c r="P16" s="104"/>
      <c r="Q16" s="104"/>
      <c r="R16" s="104"/>
      <c r="S16" s="104"/>
      <c r="T16" s="104"/>
      <c r="U16" s="104"/>
      <c r="V16" s="104"/>
      <c r="W16" s="104"/>
      <c r="X16" s="105">
        <f t="shared" si="1"/>
        <v>10.555750732421876</v>
      </c>
      <c r="Y16" s="105">
        <f t="shared" si="4"/>
        <v>0.11564144097745262</v>
      </c>
      <c r="Z16" s="105">
        <f t="shared" si="5"/>
        <v>17.662617620666236</v>
      </c>
      <c r="AA16" s="103">
        <f>VLOOKUP(C16,NoiLuc!A:K,8,0)</f>
        <v>78.448112487792997</v>
      </c>
      <c r="AB16" s="103">
        <f>VLOOKUP(C16,NoiLuc!A:K,9,0)</f>
        <v>0.749999999999996</v>
      </c>
      <c r="AC16" s="73">
        <f>_xll.Slab_Function(THDL!$CK$2,E16,F16,H16,G16,AA16,THDL!$CN$5,THDL!$CQ$4,THDL!$CQ$5,THDL!$CQ$6,THDL!$CQ$10,THDL!$CQ$11,THDL!$CQ$12,THDL!$CK$6,"Nén",THDL!$CK$7,THDL!$CT$3,THDL!$CT$13,THDL!$CT$16,THDL!$CT$17,THDL!$CT$18,THDL!$CQ$3*THDL!$CQ$4,THDL!$CQ$3,THDL!$CQ$9*THDL!$CQ$10,THDL!$CQ$9,AF16,AG16,AH16,AI16,AJ16,AK16,AL16,AM16,AN16,AO16,THDL!$CK$11,8,"Mu",N16,O16,P16,Q16,R16,S16,T16,U16,V16,W16)</f>
        <v>211.6587267179795</v>
      </c>
      <c r="AD16" s="106">
        <f>_xll.Beam_Function(THDL!$CK$2,"Asn",E16,F16,H16,G16,ABS(AA16),THDL!$CN$5,THDL!$CQ$10,THDL!$CQ$11,THDL!$CQ$12,THDL!$CK$6,"Nén",THDL!$CK$7,THDL!$CT$3,THDL!$CT$13,THDL!$CT$16,THDL!$CT$17,THDL!$CT$18,THDL!$CQ$10*THDL!$CQ$9,THDL!$CQ$9,AP16,X16)</f>
        <v>0</v>
      </c>
      <c r="AE16" s="106">
        <f>_xll.Beam_Function(THDL!$CK$2,"Ask",E16,F16,H16,G16,ABS(AA16),THDL!$CN$5,THDL!$CQ$10,THDL!$CQ$11,THDL!$CQ$12,THDL!$CK$6,"Nén",THDL!$CK$7,THDL!$CT$3,THDL!$CT$13,THDL!$CT$16,THDL!$CT$17,THDL!$CT$18,THDL!$CQ$10*THDL!$CQ$9,THDL!$CQ$9,AP16,X16,THDL!$CK$11)</f>
        <v>3.8733820263535206</v>
      </c>
      <c r="AF16" s="104">
        <v>12</v>
      </c>
      <c r="AG16" s="104">
        <v>150</v>
      </c>
      <c r="AH16" s="104"/>
      <c r="AI16" s="104"/>
      <c r="AJ16" s="104"/>
      <c r="AK16" s="104"/>
      <c r="AL16" s="104"/>
      <c r="AM16" s="104"/>
      <c r="AN16" s="104"/>
      <c r="AO16" s="104"/>
      <c r="AP16" s="105">
        <f t="shared" si="2"/>
        <v>10.555750732421876</v>
      </c>
      <c r="AQ16" s="105">
        <f t="shared" si="6"/>
        <v>0.12955020535618403</v>
      </c>
      <c r="AR16" s="105">
        <f t="shared" si="7"/>
        <v>2.7252025905534731</v>
      </c>
      <c r="AS16" s="77">
        <f>VLOOKUP(C16,NoiLuc!BA:BK,6,0)</f>
        <v>-13.6271924972534</v>
      </c>
      <c r="AT16" s="77">
        <f>VLOOKUP(C16,NoiLuc!AA:AK,6,0)</f>
        <v>-13.6271924972534</v>
      </c>
      <c r="AU16" s="107">
        <f>_xll.Slab_Crack_Function(THDL!$CK$2,"D"&amp;THDL!$CK$17,THDL!$CK$7,ABS(I16),ABS(AS16),ABS(AT16),ABS(AS16),E16,F16,G16,H16,X16,AP16,N16,O16,P16,Q16,R16,S16,T16,U16,V16,W16,THDL!$CN$6,THDL!$CN$8,THDL!$CN$9,THDL!$CQ$6,THDL!$CQ$12,THDL!$CT$6,THDL!$CT$9,THDL!$CT$19,THDL!$CT$20,THDL!$CT$21,THDL!$CT$22,THDL!$CT$23,THDL!$CT$24,THDL!$CT$25,THDL!$CK$21,THDL!$CQ$4*THDL!$CQ$3)</f>
        <v>0</v>
      </c>
      <c r="AV16" s="107">
        <f>_xll.Slab_Crack_Function(THDL!$CK$2,"N"&amp;THDL!$CK$17,THDL!$CK$7,ABS(I16),ABS(AS16),ABS(AT16),ABS(AS16),E16,F16,G16,H16,X16,AP16,N16,O16,P16,Q16,R16,S16,T16,U16,V16,W16,THDL!$CN$6,THDL!$CN$8,THDL!$CN$9,THDL!$CQ$6,THDL!$CQ$12,THDL!$CT$6,THDL!$CT$9,THDL!$CT$19,THDL!$CT$20,THDL!$CT$21,THDL!$CT$22,THDL!$CT$23,THDL!$CT$24,THDL!$CT$25,THDL!$CK$21,THDL!$CQ$4*THDL!$CQ$3)</f>
        <v>0</v>
      </c>
      <c r="AW16" s="107" t="str">
        <f>IF(AND(AU16&lt;=THDL!$CK$8,AV16&lt;=THDL!$CK$9),"OK","FAIL")</f>
        <v>OK</v>
      </c>
      <c r="AX16" s="77">
        <f>VLOOKUP(C16,NoiLuc!BA:BK,8,0)</f>
        <v>78.448112487792997</v>
      </c>
      <c r="AY16" s="77">
        <f>VLOOKUP(C16,NoiLuc!AA:AK,8,0)</f>
        <v>78.448112487792997</v>
      </c>
      <c r="AZ16" s="107">
        <f>_xll.Slab_Crack_Function(THDL!$CK$2,"D"&amp;THDL!$CK$17,THDL!$CK$7,ABS(AA16),ABS(AX16),ABS(AY16),ABS(AX16),E16,F16,H16,G16,AP16,X16,AF16,AG16,AH16,AI16,AJ16,AK16,AL16,AM16,AN16,AO16,THDL!$CN$6,THDL!$CN$8,THDL!$CN$9,THDL!$CQ$6,THDL!$CQ$12,THDL!$CT$6,THDL!$CT$9,THDL!$CT$19,THDL!$CT$20,THDL!$CT$21,THDL!$CT$22,THDL!$CT$23,THDL!$CT$24,THDL!$CT$25,THDL!$CK$21,THDL!$CQ$4*THDL!$CQ$3)</f>
        <v>0</v>
      </c>
      <c r="BA16" s="107">
        <f>_xll.Slab_Crack_Function(THDL!$CK$2,"N"&amp;THDL!$CK$17,THDL!$CK$7,ABS(AA16),ABS(AX16),ABS(AY16),ABS(AX16),E16,F16,H16,G16,AP16,X16,AF16,AG16,AH16,AI16,AJ16,AK16,AL16,AM16,AN16,AO16,THDL!$CN$6,THDL!$CN$8,THDL!$CN$9,THDL!$CQ$6,THDL!$CQ$12,THDL!$CT$6,THDL!$CT$9,THDL!$CT$19,THDL!$CT$20,THDL!$CT$21,THDL!$CT$22,THDL!$CT$23,THDL!$CT$24,THDL!$CT$25,THDL!$CK$21,THDL!$CQ$4*THDL!$CQ$3)</f>
        <v>0</v>
      </c>
      <c r="BB16" s="107" t="str">
        <f>IF(AND(AZ16&lt;=THDL!$CK$8,BA16&lt;=THDL!$CK$9),"OK","FAIL")</f>
        <v>OK</v>
      </c>
      <c r="BC16" s="108">
        <f>VLOOKUP(C16,NoiLuc!A:K,10,0)</f>
        <v>214.05863952636699</v>
      </c>
      <c r="BD16" s="109">
        <f>_xll.Foundation_TinhHeSoCChiuCat(E16,F16,MAX(G16,H16),BM16,BN16,BO16,BP16,BF16,BC16,THDL!$CK$18,THDL!$CK$19)</f>
        <v>1.5</v>
      </c>
      <c r="BE16" s="110">
        <f t="shared" si="8"/>
        <v>873</v>
      </c>
      <c r="BF16" s="108">
        <f>THDL!$CN$7</f>
        <v>1.05</v>
      </c>
      <c r="BG16" s="108">
        <f t="shared" si="9"/>
        <v>855.54000000000008</v>
      </c>
      <c r="BH16" s="108">
        <f t="shared" si="10"/>
        <v>855.54000000000008</v>
      </c>
      <c r="BI16" s="111" t="str">
        <f t="shared" si="11"/>
        <v>OK</v>
      </c>
      <c r="BJ16" s="108">
        <f t="shared" si="12"/>
        <v>0</v>
      </c>
      <c r="BK16" s="112">
        <f t="shared" si="13"/>
        <v>1.5</v>
      </c>
      <c r="BL16" s="110">
        <f t="shared" si="14"/>
        <v>873</v>
      </c>
      <c r="BM16" s="113">
        <f t="shared" si="15"/>
        <v>2</v>
      </c>
      <c r="BN16" s="113">
        <f t="shared" si="16"/>
        <v>12</v>
      </c>
      <c r="BO16" s="113">
        <f t="shared" si="17"/>
        <v>100</v>
      </c>
      <c r="BP16" s="108">
        <f>IF(BN16&gt;8,THDL!$CQ$16,THDL!$CQ$15)</f>
        <v>280</v>
      </c>
      <c r="BQ16" s="108" t="str">
        <f t="shared" si="18"/>
        <v/>
      </c>
      <c r="BR16" s="108" t="str">
        <f t="shared" si="19"/>
        <v/>
      </c>
      <c r="BS16" s="108" t="str">
        <f t="shared" si="20"/>
        <v/>
      </c>
    </row>
    <row r="17" spans="1:71">
      <c r="A17" s="114" t="s">
        <v>270</v>
      </c>
      <c r="B17" s="115" t="str">
        <f t="shared" si="3"/>
        <v>M15</v>
      </c>
      <c r="C17" s="116" t="str">
        <f>IFERROR(VLOOKUP(A17,BanVe!A:AH,34,0),0)</f>
        <v>CSB11</v>
      </c>
      <c r="D17" s="71" t="str">
        <f>IFERROR(IF(UPPER(VLOOKUP(A17,BanVe!A:B,2,0))="STRIPA","STRIP A",IF(UPPER(VLOOKUP(A17,BanVe!A:B,2,0))="STRIPB","STRIP B","KXD")),"KXD")</f>
        <v>STRIP B</v>
      </c>
      <c r="E17" s="116">
        <f>VLOOKUP(C17,NoiLuc!A:K,4,0)</f>
        <v>1500</v>
      </c>
      <c r="F17" s="115">
        <v>700</v>
      </c>
      <c r="G17" s="117">
        <f>TRONGTAM_a(E17,THDL!$CK$10,THDL!$CK$16,N17,P17,R17,T17,V17,O17,Q17,S17,U17,W17,0)</f>
        <v>48</v>
      </c>
      <c r="H17" s="117">
        <f>TRONGTAM_a(E17,THDL!$CK$15,THDL!$CK$16,AF17,AH17,AJ17,AL17,AN17,AG17,AI17,AK17,AM17,AO17,0)</f>
        <v>118</v>
      </c>
      <c r="I17" s="118">
        <f>VLOOKUP(C17,NoiLuc!A:K,6,0)</f>
        <v>-14.806058883666999</v>
      </c>
      <c r="J17" s="118">
        <f>VLOOKUP(C17,NoiLuc!A:K,7,0)</f>
        <v>0.37499999999999101</v>
      </c>
      <c r="K17" s="73">
        <f>_xll.Slab_Function(THDL!$CK$2,E17,F17,G17,H17,I17,THDL!$CN$5,THDL!$CQ$4,THDL!$CQ$5,THDL!$CQ$6,THDL!$CQ$10,THDL!$CQ$11,THDL!$CQ$12,THDL!$CK$6,"Nén",THDL!$CK$7,THDL!$CT$3,THDL!$CT$13,THDL!$CT$16,THDL!$CT$17,THDL!$CT$18,THDL!$CQ$3*THDL!$CQ$4,THDL!$CQ$3,THDL!$CQ$9*THDL!$CQ$10,THDL!$CQ$9,N17,O17,P17,Q17,R17,S17,T17,U17,V17,W17,THDL!$CK$11,8,"Mu",AF17,AG17,AH17,AI17,AJ17,AK17,AL17,AM17,AN17,AO17)</f>
        <v>254.4860544024971</v>
      </c>
      <c r="L17" s="118">
        <f>_xll.Beam_Function(THDL!$CK$2,"Asn",E17,F17,G17,H17,ABS(I17),THDL!$CN$5,THDL!$CQ$10,THDL!$CQ$11,THDL!$CQ$12,THDL!$CK$6,"Nén",THDL!$CK$7,THDL!$CT$3,THDL!$CT$13,THDL!$CT$16,THDL!$CT$17,THDL!$CT$18,THDL!$CQ$10*THDL!$CQ$9,THDL!$CQ$9,X17,AP17)</f>
        <v>0</v>
      </c>
      <c r="M17" s="118">
        <f>_xll.Beam_Function(THDL!$CK$2,"Ask",E17,F17,G17,H17,ABS(I17),THDL!$CN$5,THDL!$CQ$10,THDL!$CQ$11,THDL!$CQ$12,THDL!$CK$6,"Nén",THDL!$CK$7,THDL!$CT$3,THDL!$CT$13,THDL!$CT$16,THDL!$CT$17,THDL!$CT$18,THDL!$CQ$10*THDL!$CQ$9,THDL!$CQ$9,X17,AP17,THDL!$CK$11)</f>
        <v>0.6493397332434202</v>
      </c>
      <c r="N17" s="119">
        <v>12</v>
      </c>
      <c r="O17" s="119">
        <v>150</v>
      </c>
      <c r="P17" s="119"/>
      <c r="Q17" s="119"/>
      <c r="R17" s="119"/>
      <c r="S17" s="119"/>
      <c r="T17" s="119"/>
      <c r="U17" s="119"/>
      <c r="V17" s="119"/>
      <c r="W17" s="119"/>
      <c r="X17" s="120">
        <f t="shared" si="1"/>
        <v>11.30973388671875</v>
      </c>
      <c r="Y17" s="120">
        <f t="shared" si="4"/>
        <v>0.11564145078444529</v>
      </c>
      <c r="Z17" s="120">
        <f t="shared" si="5"/>
        <v>17.417282984097064</v>
      </c>
      <c r="AA17" s="118">
        <f>VLOOKUP(C17,NoiLuc!A:K,8,0)</f>
        <v>66.319984436035199</v>
      </c>
      <c r="AB17" s="118">
        <f>VLOOKUP(C17,NoiLuc!A:K,9,0)</f>
        <v>0.69999999999999896</v>
      </c>
      <c r="AC17" s="73">
        <f>_xll.Slab_Function(THDL!$CK$2,E17,F17,H17,G17,AA17,THDL!$CN$5,THDL!$CQ$4,THDL!$CQ$5,THDL!$CQ$6,THDL!$CQ$10,THDL!$CQ$11,THDL!$CQ$12,THDL!$CK$6,"Nén",THDL!$CK$7,THDL!$CT$3,THDL!$CT$13,THDL!$CT$16,THDL!$CT$17,THDL!$CT$18,THDL!$CQ$3*THDL!$CQ$4,THDL!$CQ$3,THDL!$CQ$9*THDL!$CQ$10,THDL!$CQ$9,AF17,AG17,AH17,AI17,AJ17,AK17,AL17,AM17,AN17,AO17,THDL!$CK$11,8,"Mu",N17,O17,P17,Q17,R17,S17,T17,U17,V17,W17)</f>
        <v>226.77720719783517</v>
      </c>
      <c r="AD17" s="121">
        <f>_xll.Beam_Function(THDL!$CK$2,"Asn",E17,F17,H17,G17,ABS(AA17),THDL!$CN$5,THDL!$CQ$10,THDL!$CQ$11,THDL!$CQ$12,THDL!$CK$6,"Nén",THDL!$CK$7,THDL!$CT$3,THDL!$CT$13,THDL!$CT$16,THDL!$CT$17,THDL!$CT$18,THDL!$CQ$10*THDL!$CQ$9,THDL!$CQ$9,AP17,X17)</f>
        <v>0</v>
      </c>
      <c r="AE17" s="121">
        <f>_xll.Beam_Function(THDL!$CK$2,"Ask",E17,F17,H17,G17,ABS(AA17),THDL!$CN$5,THDL!$CQ$10,THDL!$CQ$11,THDL!$CQ$12,THDL!$CK$6,"Nén",THDL!$CK$7,THDL!$CT$3,THDL!$CT$13,THDL!$CT$16,THDL!$CT$17,THDL!$CT$18,THDL!$CQ$10*THDL!$CQ$9,THDL!$CQ$9,AP17,X17,THDL!$CK$11)</f>
        <v>3.2705551588716539</v>
      </c>
      <c r="AF17" s="119">
        <v>12</v>
      </c>
      <c r="AG17" s="119">
        <v>150</v>
      </c>
      <c r="AH17" s="119"/>
      <c r="AI17" s="119"/>
      <c r="AJ17" s="119"/>
      <c r="AK17" s="119"/>
      <c r="AL17" s="119"/>
      <c r="AM17" s="119"/>
      <c r="AN17" s="119"/>
      <c r="AO17" s="119"/>
      <c r="AP17" s="120">
        <f t="shared" si="2"/>
        <v>11.30973388671875</v>
      </c>
      <c r="AQ17" s="120">
        <f t="shared" si="6"/>
        <v>0.12955021634271191</v>
      </c>
      <c r="AR17" s="120">
        <f t="shared" si="7"/>
        <v>3.4580471318577679</v>
      </c>
      <c r="AS17" s="77">
        <f>VLOOKUP(C17,NoiLuc!BA:BK,6,0)</f>
        <v>-14.806058883666999</v>
      </c>
      <c r="AT17" s="77">
        <f>VLOOKUP(C17,NoiLuc!AA:AK,6,0)</f>
        <v>-14.806058883666999</v>
      </c>
      <c r="AU17" s="122">
        <f>_xll.Slab_Crack_Function(THDL!$CK$2,"D"&amp;THDL!$CK$17,THDL!$CK$7,ABS(I17),ABS(AS17),ABS(AT17),ABS(AS17),E17,F17,G17,H17,X17,AP17,N17,O17,P17,Q17,R17,S17,T17,U17,V17,W17,THDL!$CN$6,THDL!$CN$8,THDL!$CN$9,THDL!$CQ$6,THDL!$CQ$12,THDL!$CT$6,THDL!$CT$9,THDL!$CT$19,THDL!$CT$20,THDL!$CT$21,THDL!$CT$22,THDL!$CT$23,THDL!$CT$24,THDL!$CT$25,THDL!$CK$21,THDL!$CQ$4*THDL!$CQ$3)</f>
        <v>0</v>
      </c>
      <c r="AV17" s="122">
        <f>_xll.Slab_Crack_Function(THDL!$CK$2,"N"&amp;THDL!$CK$17,THDL!$CK$7,ABS(I17),ABS(AS17),ABS(AT17),ABS(AS17),E17,F17,G17,H17,X17,AP17,N17,O17,P17,Q17,R17,S17,T17,U17,V17,W17,THDL!$CN$6,THDL!$CN$8,THDL!$CN$9,THDL!$CQ$6,THDL!$CQ$12,THDL!$CT$6,THDL!$CT$9,THDL!$CT$19,THDL!$CT$20,THDL!$CT$21,THDL!$CT$22,THDL!$CT$23,THDL!$CT$24,THDL!$CT$25,THDL!$CK$21,THDL!$CQ$4*THDL!$CQ$3)</f>
        <v>0</v>
      </c>
      <c r="AW17" s="122" t="str">
        <f>IF(AND(AU17&lt;=THDL!$CK$8,AV17&lt;=THDL!$CK$9),"OK","FAIL")</f>
        <v>OK</v>
      </c>
      <c r="AX17" s="77">
        <f>VLOOKUP(C17,NoiLuc!BA:BK,8,0)</f>
        <v>66.319984436035199</v>
      </c>
      <c r="AY17" s="77">
        <f>VLOOKUP(C17,NoiLuc!AA:AK,8,0)</f>
        <v>66.319984436035199</v>
      </c>
      <c r="AZ17" s="122">
        <f>_xll.Slab_Crack_Function(THDL!$CK$2,"D"&amp;THDL!$CK$17,THDL!$CK$7,ABS(AA17),ABS(AX17),ABS(AY17),ABS(AX17),E17,F17,H17,G17,AP17,X17,AF17,AG17,AH17,AI17,AJ17,AK17,AL17,AM17,AN17,AO17,THDL!$CN$6,THDL!$CN$8,THDL!$CN$9,THDL!$CQ$6,THDL!$CQ$12,THDL!$CT$6,THDL!$CT$9,THDL!$CT$19,THDL!$CT$20,THDL!$CT$21,THDL!$CT$22,THDL!$CT$23,THDL!$CT$24,THDL!$CT$25,THDL!$CK$21,THDL!$CQ$4*THDL!$CQ$3)</f>
        <v>0</v>
      </c>
      <c r="BA17" s="122">
        <f>_xll.Slab_Crack_Function(THDL!$CK$2,"N"&amp;THDL!$CK$17,THDL!$CK$7,ABS(AA17),ABS(AX17),ABS(AY17),ABS(AX17),E17,F17,H17,G17,AP17,X17,AF17,AG17,AH17,AI17,AJ17,AK17,AL17,AM17,AN17,AO17,THDL!$CN$6,THDL!$CN$8,THDL!$CN$9,THDL!$CQ$6,THDL!$CQ$12,THDL!$CT$6,THDL!$CT$9,THDL!$CT$19,THDL!$CT$20,THDL!$CT$21,THDL!$CT$22,THDL!$CT$23,THDL!$CT$24,THDL!$CT$25,THDL!$CK$21,THDL!$CQ$4*THDL!$CQ$3)</f>
        <v>0</v>
      </c>
      <c r="BB17" s="122" t="str">
        <f>IF(AND(AZ17&lt;=THDL!$CK$8,BA17&lt;=THDL!$CK$9),"OK","FAIL")</f>
        <v>OK</v>
      </c>
      <c r="BC17" s="123">
        <f>VLOOKUP(C17,NoiLuc!A:K,10,0)</f>
        <v>415.28646850585898</v>
      </c>
      <c r="BD17" s="124">
        <f>_xll.Foundation_TinhHeSoCChiuCat(E17,F17,MAX(G17,H17),BM17,BN17,BO17,BP17,BF17,BC17,THDL!$CK$18,THDL!$CK$19)</f>
        <v>1.5</v>
      </c>
      <c r="BE17" s="125">
        <f t="shared" si="8"/>
        <v>873</v>
      </c>
      <c r="BF17" s="123">
        <f>THDL!$CN$7</f>
        <v>1.05</v>
      </c>
      <c r="BG17" s="123">
        <f t="shared" si="9"/>
        <v>916.65000000000009</v>
      </c>
      <c r="BH17" s="123">
        <f t="shared" si="10"/>
        <v>916.65000000000009</v>
      </c>
      <c r="BI17" s="126" t="str">
        <f t="shared" si="11"/>
        <v>OK</v>
      </c>
      <c r="BJ17" s="123">
        <f t="shared" si="12"/>
        <v>0</v>
      </c>
      <c r="BK17" s="127">
        <f t="shared" si="13"/>
        <v>1.5</v>
      </c>
      <c r="BL17" s="125">
        <f t="shared" si="14"/>
        <v>873</v>
      </c>
      <c r="BM17" s="128">
        <f t="shared" si="15"/>
        <v>2</v>
      </c>
      <c r="BN17" s="128">
        <f t="shared" si="16"/>
        <v>12</v>
      </c>
      <c r="BO17" s="128">
        <f t="shared" si="17"/>
        <v>100</v>
      </c>
      <c r="BP17" s="123">
        <f>IF(BN17&gt;8,THDL!$CQ$16,THDL!$CQ$15)</f>
        <v>280</v>
      </c>
      <c r="BQ17" s="123" t="str">
        <f t="shared" si="18"/>
        <v/>
      </c>
      <c r="BR17" s="123" t="str">
        <f t="shared" si="19"/>
        <v/>
      </c>
      <c r="BS17" s="123" t="str">
        <f t="shared" si="20"/>
        <v/>
      </c>
    </row>
    <row r="18" spans="1:71">
      <c r="A18" s="114" t="s">
        <v>272</v>
      </c>
      <c r="B18" s="115" t="str">
        <f t="shared" si="3"/>
        <v>M15</v>
      </c>
      <c r="C18" s="116" t="str">
        <f>IFERROR(VLOOKUP(A18,BanVe!A:AH,34,0),0)</f>
        <v>CSB19</v>
      </c>
      <c r="D18" s="71" t="str">
        <f>IFERROR(IF(UPPER(VLOOKUP(A18,BanVe!A:B,2,0))="STRIPA","STRIP A",IF(UPPER(VLOOKUP(A18,BanVe!A:B,2,0))="STRIPB","STRIP B","KXD")),"KXD")</f>
        <v>STRIP B</v>
      </c>
      <c r="E18" s="116">
        <f>VLOOKUP(C18,NoiLuc!A:K,4,0)</f>
        <v>750</v>
      </c>
      <c r="F18" s="115">
        <v>700</v>
      </c>
      <c r="G18" s="117">
        <f>TRONGTAM_a(E18,THDL!$CK$10,THDL!$CK$16,N18,P18,R18,T18,V18,O18,Q18,S18,U18,W18,0)</f>
        <v>48</v>
      </c>
      <c r="H18" s="117">
        <f>TRONGTAM_a(E18,THDL!$CK$15,THDL!$CK$16,AF18,AH18,AJ18,AL18,AN18,AG18,AI18,AK18,AM18,AO18,0)</f>
        <v>118</v>
      </c>
      <c r="I18" s="118">
        <f>VLOOKUP(C18,NoiLuc!A:K,6,0)</f>
        <v>-13.0943794250488</v>
      </c>
      <c r="J18" s="118">
        <f>VLOOKUP(C18,NoiLuc!A:K,7,0)</f>
        <v>0.37500000000000899</v>
      </c>
      <c r="K18" s="73">
        <f>_xll.Slab_Function(THDL!$CK$2,E18,F18,G18,H18,I18,THDL!$CN$5,THDL!$CQ$4,THDL!$CQ$5,THDL!$CQ$6,THDL!$CQ$10,THDL!$CQ$11,THDL!$CQ$12,THDL!$CK$6,"Nén",THDL!$CK$7,THDL!$CT$3,THDL!$CT$13,THDL!$CT$16,THDL!$CT$17,THDL!$CT$18,THDL!$CQ$3*THDL!$CQ$4,THDL!$CQ$3,THDL!$CQ$9*THDL!$CQ$10,THDL!$CQ$9,N18,O18,P18,Q18,R18,S18,T18,U18,V18,W18,THDL!$CK$11,8,"Mu",AF18,AG18,AH18,AI18,AJ18,AK18,AL18,AM18,AN18,AO18)</f>
        <v>127.24302720124855</v>
      </c>
      <c r="L18" s="118">
        <f>_xll.Beam_Function(THDL!$CK$2,"Asn",E18,F18,G18,H18,ABS(I18),THDL!$CN$5,THDL!$CQ$10,THDL!$CQ$11,THDL!$CQ$12,THDL!$CK$6,"Nén",THDL!$CK$7,THDL!$CT$3,THDL!$CT$13,THDL!$CT$16,THDL!$CT$17,THDL!$CT$18,THDL!$CQ$10*THDL!$CQ$9,THDL!$CQ$9,X18,AP18)</f>
        <v>0</v>
      </c>
      <c r="M18" s="118">
        <f>_xll.Beam_Function(THDL!$CK$2,"Ask",E18,F18,G18,H18,ABS(I18),THDL!$CN$5,THDL!$CQ$10,THDL!$CQ$11,THDL!$CQ$12,THDL!$CK$6,"Nén",THDL!$CK$7,THDL!$CT$3,THDL!$CT$13,THDL!$CT$16,THDL!$CT$17,THDL!$CT$18,THDL!$CQ$10*THDL!$CQ$9,THDL!$CQ$9,X18,AP18,THDL!$CK$11)</f>
        <v>0.57462649645417851</v>
      </c>
      <c r="N18" s="119">
        <v>12</v>
      </c>
      <c r="O18" s="119">
        <v>150</v>
      </c>
      <c r="P18" s="119"/>
      <c r="Q18" s="119"/>
      <c r="R18" s="119"/>
      <c r="S18" s="119"/>
      <c r="T18" s="119"/>
      <c r="U18" s="119"/>
      <c r="V18" s="119"/>
      <c r="W18" s="119"/>
      <c r="X18" s="120">
        <f t="shared" si="1"/>
        <v>5.6548669433593748</v>
      </c>
      <c r="Y18" s="120">
        <f t="shared" si="4"/>
        <v>0.11564145078444529</v>
      </c>
      <c r="Z18" s="120">
        <f t="shared" si="5"/>
        <v>9.8409436011976545</v>
      </c>
      <c r="AA18" s="118">
        <f>VLOOKUP(C18,NoiLuc!A:K,8,0)</f>
        <v>48.293159484863303</v>
      </c>
      <c r="AB18" s="118">
        <f>VLOOKUP(C18,NoiLuc!A:K,9,0)</f>
        <v>0.70000000000000095</v>
      </c>
      <c r="AC18" s="73">
        <f>_xll.Slab_Function(THDL!$CK$2,E18,F18,H18,G18,AA18,THDL!$CN$5,THDL!$CQ$4,THDL!$CQ$5,THDL!$CQ$6,THDL!$CQ$10,THDL!$CQ$11,THDL!$CQ$12,THDL!$CK$6,"Nén",THDL!$CK$7,THDL!$CT$3,THDL!$CT$13,THDL!$CT$16,THDL!$CT$17,THDL!$CT$18,THDL!$CQ$3*THDL!$CQ$4,THDL!$CQ$3,THDL!$CQ$9*THDL!$CQ$10,THDL!$CQ$9,AF18,AG18,AH18,AI18,AJ18,AK18,AL18,AM18,AN18,AO18,THDL!$CK$11,8,"Mu",N18,O18,P18,Q18,R18,S18,T18,U18,V18,W18)</f>
        <v>113.38860359891758</v>
      </c>
      <c r="AD18" s="121">
        <f>_xll.Beam_Function(THDL!$CK$2,"Asn",E18,F18,H18,G18,ABS(AA18),THDL!$CN$5,THDL!$CQ$10,THDL!$CQ$11,THDL!$CQ$12,THDL!$CK$6,"Nén",THDL!$CK$7,THDL!$CT$3,THDL!$CT$13,THDL!$CT$16,THDL!$CT$17,THDL!$CT$18,THDL!$CQ$10*THDL!$CQ$9,THDL!$CQ$9,AP18,X18)</f>
        <v>0</v>
      </c>
      <c r="AE18" s="121">
        <f>_xll.Beam_Function(THDL!$CK$2,"Ask",E18,F18,H18,G18,ABS(AA18),THDL!$CN$5,THDL!$CQ$10,THDL!$CQ$11,THDL!$CQ$12,THDL!$CK$6,"Nén",THDL!$CK$7,THDL!$CT$3,THDL!$CT$13,THDL!$CT$16,THDL!$CT$17,THDL!$CT$18,THDL!$CQ$10*THDL!$CQ$9,THDL!$CQ$9,AP18,X18,THDL!$CK$11)</f>
        <v>2.3865462106085809</v>
      </c>
      <c r="AF18" s="119">
        <v>12</v>
      </c>
      <c r="AG18" s="119">
        <v>150</v>
      </c>
      <c r="AH18" s="119"/>
      <c r="AI18" s="119"/>
      <c r="AJ18" s="119"/>
      <c r="AK18" s="119"/>
      <c r="AL18" s="119"/>
      <c r="AM18" s="119"/>
      <c r="AN18" s="119"/>
      <c r="AO18" s="119"/>
      <c r="AP18" s="120">
        <f t="shared" si="2"/>
        <v>5.6548669433593748</v>
      </c>
      <c r="AQ18" s="120">
        <f t="shared" si="6"/>
        <v>0.12955021634271191</v>
      </c>
      <c r="AR18" s="120">
        <f t="shared" si="7"/>
        <v>2.3694772463330414</v>
      </c>
      <c r="AS18" s="77">
        <f>VLOOKUP(C18,NoiLuc!BA:BK,6,0)</f>
        <v>-13.0943794250488</v>
      </c>
      <c r="AT18" s="77">
        <f>VLOOKUP(C18,NoiLuc!AA:AK,6,0)</f>
        <v>-13.0943794250488</v>
      </c>
      <c r="AU18" s="122">
        <f>_xll.Slab_Crack_Function(THDL!$CK$2,"D"&amp;THDL!$CK$17,THDL!$CK$7,ABS(I18),ABS(AS18),ABS(AT18),ABS(AS18),E18,F18,G18,H18,X18,AP18,N18,O18,P18,Q18,R18,S18,T18,U18,V18,W18,THDL!$CN$6,THDL!$CN$8,THDL!$CN$9,THDL!$CQ$6,THDL!$CQ$12,THDL!$CT$6,THDL!$CT$9,THDL!$CT$19,THDL!$CT$20,THDL!$CT$21,THDL!$CT$22,THDL!$CT$23,THDL!$CT$24,THDL!$CT$25,THDL!$CK$21,THDL!$CQ$4*THDL!$CQ$3)</f>
        <v>0</v>
      </c>
      <c r="AV18" s="122">
        <f>_xll.Slab_Crack_Function(THDL!$CK$2,"N"&amp;THDL!$CK$17,THDL!$CK$7,ABS(I18),ABS(AS18),ABS(AT18),ABS(AS18),E18,F18,G18,H18,X18,AP18,N18,O18,P18,Q18,R18,S18,T18,U18,V18,W18,THDL!$CN$6,THDL!$CN$8,THDL!$CN$9,THDL!$CQ$6,THDL!$CQ$12,THDL!$CT$6,THDL!$CT$9,THDL!$CT$19,THDL!$CT$20,THDL!$CT$21,THDL!$CT$22,THDL!$CT$23,THDL!$CT$24,THDL!$CT$25,THDL!$CK$21,THDL!$CQ$4*THDL!$CQ$3)</f>
        <v>0</v>
      </c>
      <c r="AW18" s="122" t="str">
        <f>IF(AND(AU18&lt;=THDL!$CK$8,AV18&lt;=THDL!$CK$9),"OK","FAIL")</f>
        <v>OK</v>
      </c>
      <c r="AX18" s="77">
        <f>VLOOKUP(C18,NoiLuc!BA:BK,8,0)</f>
        <v>48.293159484863303</v>
      </c>
      <c r="AY18" s="77">
        <f>VLOOKUP(C18,NoiLuc!AA:AK,8,0)</f>
        <v>48.293159484863303</v>
      </c>
      <c r="AZ18" s="122">
        <f>_xll.Slab_Crack_Function(THDL!$CK$2,"D"&amp;THDL!$CK$17,THDL!$CK$7,ABS(AA18),ABS(AX18),ABS(AY18),ABS(AX18),E18,F18,H18,G18,AP18,X18,AF18,AG18,AH18,AI18,AJ18,AK18,AL18,AM18,AN18,AO18,THDL!$CN$6,THDL!$CN$8,THDL!$CN$9,THDL!$CQ$6,THDL!$CQ$12,THDL!$CT$6,THDL!$CT$9,THDL!$CT$19,THDL!$CT$20,THDL!$CT$21,THDL!$CT$22,THDL!$CT$23,THDL!$CT$24,THDL!$CT$25,THDL!$CK$21,THDL!$CQ$4*THDL!$CQ$3)</f>
        <v>0</v>
      </c>
      <c r="BA18" s="122">
        <f>_xll.Slab_Crack_Function(THDL!$CK$2,"N"&amp;THDL!$CK$17,THDL!$CK$7,ABS(AA18),ABS(AX18),ABS(AY18),ABS(AX18),E18,F18,H18,G18,AP18,X18,AF18,AG18,AH18,AI18,AJ18,AK18,AL18,AM18,AN18,AO18,THDL!$CN$6,THDL!$CN$8,THDL!$CN$9,THDL!$CQ$6,THDL!$CQ$12,THDL!$CT$6,THDL!$CT$9,THDL!$CT$19,THDL!$CT$20,THDL!$CT$21,THDL!$CT$22,THDL!$CT$23,THDL!$CT$24,THDL!$CT$25,THDL!$CK$21,THDL!$CQ$4*THDL!$CQ$3)</f>
        <v>0</v>
      </c>
      <c r="BB18" s="122" t="str">
        <f>IF(AND(AZ18&lt;=THDL!$CK$8,BA18&lt;=THDL!$CK$9),"OK","FAIL")</f>
        <v>OK</v>
      </c>
      <c r="BC18" s="123">
        <f>VLOOKUP(C18,NoiLuc!A:K,10,0)</f>
        <v>341.44546508789102</v>
      </c>
      <c r="BD18" s="124">
        <f>_xll.Foundation_TinhHeSoCChiuCat(E18,F18,MAX(G18,H18),BM18,BN18,BO18,BP18,BF18,BC18,THDL!$CK$18,THDL!$CK$19)</f>
        <v>1.5</v>
      </c>
      <c r="BE18" s="125">
        <f t="shared" si="8"/>
        <v>873</v>
      </c>
      <c r="BF18" s="123">
        <f>THDL!$CN$7</f>
        <v>1.05</v>
      </c>
      <c r="BG18" s="123">
        <f t="shared" si="9"/>
        <v>458.32500000000005</v>
      </c>
      <c r="BH18" s="123">
        <f t="shared" si="10"/>
        <v>458.32500000000005</v>
      </c>
      <c r="BI18" s="126" t="str">
        <f t="shared" si="11"/>
        <v>OK</v>
      </c>
      <c r="BJ18" s="123">
        <f t="shared" si="12"/>
        <v>0</v>
      </c>
      <c r="BK18" s="127">
        <f t="shared" si="13"/>
        <v>1.5</v>
      </c>
      <c r="BL18" s="125">
        <f t="shared" si="14"/>
        <v>873</v>
      </c>
      <c r="BM18" s="128">
        <f t="shared" si="15"/>
        <v>2</v>
      </c>
      <c r="BN18" s="128">
        <f t="shared" si="16"/>
        <v>12</v>
      </c>
      <c r="BO18" s="128">
        <f t="shared" si="17"/>
        <v>100</v>
      </c>
      <c r="BP18" s="123">
        <f>IF(BN18&gt;8,THDL!$CQ$16,THDL!$CQ$15)</f>
        <v>280</v>
      </c>
      <c r="BQ18" s="123" t="str">
        <f t="shared" si="18"/>
        <v/>
      </c>
      <c r="BR18" s="123" t="str">
        <f t="shared" si="19"/>
        <v/>
      </c>
      <c r="BS18" s="123" t="str">
        <f t="shared" si="20"/>
        <v/>
      </c>
    </row>
    <row r="19" spans="1:71">
      <c r="A19" s="129" t="s">
        <v>274</v>
      </c>
      <c r="B19" s="70" t="str">
        <f t="shared" si="3"/>
        <v>M16</v>
      </c>
      <c r="C19" s="71" t="str">
        <f>IFERROR(VLOOKUP(A19,BanVe!A:AH,34,0),0)</f>
        <v>CSA1</v>
      </c>
      <c r="D19" s="71" t="str">
        <f>IFERROR(IF(UPPER(VLOOKUP(A19,BanVe!A:B,2,0))="STRIPA","STRIP A",IF(UPPER(VLOOKUP(A19,BanVe!A:B,2,0))="STRIPB","STRIP B","KXD")),"KXD")</f>
        <v>STRIP A</v>
      </c>
      <c r="E19" s="71">
        <f>VLOOKUP(C19,NoiLuc!A:K,4,0)</f>
        <v>750</v>
      </c>
      <c r="F19" s="70">
        <v>700</v>
      </c>
      <c r="G19" s="72">
        <f>TRONGTAM_a(E19,THDL!$CK$10,THDL!$CK$16,N19,P19,R19,T19,V19,O19,Q19,S19,U19,W19,0)</f>
        <v>48</v>
      </c>
      <c r="H19" s="72">
        <f>TRONGTAM_a(E19,THDL!$CK$15,THDL!$CK$16,AF19,AH19,AJ19,AL19,AN19,AG19,AI19,AK19,AM19,AO19,0)</f>
        <v>118</v>
      </c>
      <c r="I19" s="73">
        <f>VLOOKUP(C19,NoiLuc!A:K,6,0)</f>
        <v>-48.059349060058601</v>
      </c>
      <c r="J19" s="73">
        <f>VLOOKUP(C19,NoiLuc!A:K,7,0)</f>
        <v>0.37499999999998601</v>
      </c>
      <c r="K19" s="73">
        <f>_xll.Slab_Function(THDL!$CK$2,E19,F19,G19,H19,I19,THDL!$CN$5,THDL!$CQ$4,THDL!$CQ$5,THDL!$CQ$6,THDL!$CQ$10,THDL!$CQ$11,THDL!$CQ$12,THDL!$CK$6,"Nén",THDL!$CK$7,THDL!$CT$3,THDL!$CT$13,THDL!$CT$16,THDL!$CT$17,THDL!$CT$18,THDL!$CQ$3*THDL!$CQ$4,THDL!$CQ$3,THDL!$CQ$9*THDL!$CQ$10,THDL!$CQ$9,N19,O19,P19,Q19,R19,S19,T19,U19,V19,W19,THDL!$CK$11,8,"Mu",AF19,AG19,AH19,AI19,AJ19,AK19,AL19,AM19,AN19,AO19)</f>
        <v>127.24302720124855</v>
      </c>
      <c r="L19" s="73">
        <f>_xll.Beam_Function(THDL!$CK$2,"Asn",E19,F19,G19,H19,ABS(I19),THDL!$CN$5,THDL!$CQ$10,THDL!$CQ$11,THDL!$CQ$12,THDL!$CK$6,"Nén",THDL!$CK$7,THDL!$CT$3,THDL!$CT$13,THDL!$CT$16,THDL!$CT$17,THDL!$CT$18,THDL!$CQ$10*THDL!$CQ$9,THDL!$CQ$9,X19,AP19)</f>
        <v>0</v>
      </c>
      <c r="M19" s="73">
        <f>_xll.Beam_Function(THDL!$CK$2,"Ask",E19,F19,G19,H19,ABS(I19),THDL!$CN$5,THDL!$CQ$10,THDL!$CQ$11,THDL!$CQ$12,THDL!$CK$6,"Nén",THDL!$CK$7,THDL!$CT$3,THDL!$CT$13,THDL!$CT$16,THDL!$CT$17,THDL!$CT$18,THDL!$CQ$10*THDL!$CQ$9,THDL!$CQ$9,X19,AP19,THDL!$CK$11)</f>
        <v>2.1170808637335026</v>
      </c>
      <c r="N19" s="74">
        <v>12</v>
      </c>
      <c r="O19" s="74">
        <v>150</v>
      </c>
      <c r="P19" s="74"/>
      <c r="Q19" s="74"/>
      <c r="R19" s="74"/>
      <c r="S19" s="74"/>
      <c r="T19" s="74"/>
      <c r="U19" s="74"/>
      <c r="V19" s="74"/>
      <c r="W19" s="74"/>
      <c r="X19" s="75">
        <f t="shared" si="1"/>
        <v>5.6548669433593748</v>
      </c>
      <c r="Y19" s="75">
        <f t="shared" si="4"/>
        <v>0.11564145078444529</v>
      </c>
      <c r="Z19" s="75">
        <f t="shared" si="5"/>
        <v>2.6710679975572287</v>
      </c>
      <c r="AA19" s="73">
        <f>VLOOKUP(C19,NoiLuc!A:K,8,0)</f>
        <v>16.100709915161101</v>
      </c>
      <c r="AB19" s="73">
        <f>VLOOKUP(C19,NoiLuc!A:K,9,0)</f>
        <v>0.749999999999998</v>
      </c>
      <c r="AC19" s="73">
        <f>_xll.Slab_Function(THDL!$CK$2,E19,F19,H19,G19,AA19,THDL!$CN$5,THDL!$CQ$4,THDL!$CQ$5,THDL!$CQ$6,THDL!$CQ$10,THDL!$CQ$11,THDL!$CQ$12,THDL!$CK$6,"Nén",THDL!$CK$7,THDL!$CT$3,THDL!$CT$13,THDL!$CT$16,THDL!$CT$17,THDL!$CT$18,THDL!$CQ$3*THDL!$CQ$4,THDL!$CQ$3,THDL!$CQ$9*THDL!$CQ$10,THDL!$CQ$9,AF19,AG19,AH19,AI19,AJ19,AK19,AL19,AM19,AN19,AO19,THDL!$CK$11,8,"Mu",N19,O19,P19,Q19,R19,S19,T19,U19,V19,W19)</f>
        <v>113.38860359891758</v>
      </c>
      <c r="AD19" s="76">
        <f>_xll.Beam_Function(THDL!$CK$2,"Asn",E19,F19,H19,G19,ABS(AA19),THDL!$CN$5,THDL!$CQ$10,THDL!$CQ$11,THDL!$CQ$12,THDL!$CK$6,"Nén",THDL!$CK$7,THDL!$CT$3,THDL!$CT$13,THDL!$CT$16,THDL!$CT$17,THDL!$CT$18,THDL!$CQ$10*THDL!$CQ$9,THDL!$CQ$9,AP19,X19)</f>
        <v>0</v>
      </c>
      <c r="AE19" s="76">
        <f>_xll.Beam_Function(THDL!$CK$2,"Ask",E19,F19,H19,G19,ABS(AA19),THDL!$CN$5,THDL!$CQ$10,THDL!$CQ$11,THDL!$CQ$12,THDL!$CK$6,"Nén",THDL!$CK$7,THDL!$CT$3,THDL!$CT$13,THDL!$CT$16,THDL!$CT$17,THDL!$CT$18,THDL!$CQ$10*THDL!$CQ$9,THDL!$CQ$9,AP19,X19,THDL!$CK$11)</f>
        <v>0.79214785316657355</v>
      </c>
      <c r="AF19" s="74">
        <v>12</v>
      </c>
      <c r="AG19" s="74">
        <v>150</v>
      </c>
      <c r="AH19" s="74"/>
      <c r="AI19" s="74"/>
      <c r="AJ19" s="74"/>
      <c r="AK19" s="74"/>
      <c r="AL19" s="74"/>
      <c r="AM19" s="74"/>
      <c r="AN19" s="74"/>
      <c r="AO19" s="74"/>
      <c r="AP19" s="75">
        <f t="shared" si="2"/>
        <v>5.6548669433593748</v>
      </c>
      <c r="AQ19" s="75">
        <f t="shared" si="6"/>
        <v>0.12955021634271191</v>
      </c>
      <c r="AR19" s="75">
        <f t="shared" si="7"/>
        <v>7.1386508475082167</v>
      </c>
      <c r="AS19" s="77">
        <f>VLOOKUP(C19,NoiLuc!BA:BK,6,0)</f>
        <v>-48.059349060058601</v>
      </c>
      <c r="AT19" s="77">
        <f>VLOOKUP(C19,NoiLuc!AA:AK,6,0)</f>
        <v>-48.059349060058601</v>
      </c>
      <c r="AU19" s="77">
        <f>_xll.Slab_Crack_Function(THDL!$CK$2,"D"&amp;THDL!$CK$17,THDL!$CK$7,ABS(I19),ABS(AS19),ABS(AT19),ABS(AS19),E19,F19,G19,H19,X19,AP19,N19,O19,P19,Q19,R19,S19,T19,U19,V19,W19,THDL!$CN$6,THDL!$CN$8,THDL!$CN$9,THDL!$CQ$6,THDL!$CQ$12,THDL!$CT$6,THDL!$CT$9,THDL!$CT$19,THDL!$CT$20,THDL!$CT$21,THDL!$CT$22,THDL!$CT$23,THDL!$CT$24,THDL!$CT$25,THDL!$CK$21,THDL!$CQ$4*THDL!$CQ$3)</f>
        <v>0</v>
      </c>
      <c r="AV19" s="77">
        <f>_xll.Slab_Crack_Function(THDL!$CK$2,"N"&amp;THDL!$CK$17,THDL!$CK$7,ABS(I19),ABS(AS19),ABS(AT19),ABS(AS19),E19,F19,G19,H19,X19,AP19,N19,O19,P19,Q19,R19,S19,T19,U19,V19,W19,THDL!$CN$6,THDL!$CN$8,THDL!$CN$9,THDL!$CQ$6,THDL!$CQ$12,THDL!$CT$6,THDL!$CT$9,THDL!$CT$19,THDL!$CT$20,THDL!$CT$21,THDL!$CT$22,THDL!$CT$23,THDL!$CT$24,THDL!$CT$25,THDL!$CK$21,THDL!$CQ$4*THDL!$CQ$3)</f>
        <v>0</v>
      </c>
      <c r="AW19" s="77" t="str">
        <f>IF(AND(AU19&lt;=THDL!$CK$8,AV19&lt;=THDL!$CK$9),"OK","FAIL")</f>
        <v>OK</v>
      </c>
      <c r="AX19" s="77">
        <f>VLOOKUP(C19,NoiLuc!BA:BK,8,0)</f>
        <v>16.100709915161101</v>
      </c>
      <c r="AY19" s="77">
        <f>VLOOKUP(C19,NoiLuc!AA:AK,8,0)</f>
        <v>16.100709915161101</v>
      </c>
      <c r="AZ19" s="77">
        <f>_xll.Slab_Crack_Function(THDL!$CK$2,"D"&amp;THDL!$CK$17,THDL!$CK$7,ABS(AA19),ABS(AX19),ABS(AY19),ABS(AX19),E19,F19,H19,G19,AP19,X19,AF19,AG19,AH19,AI19,AJ19,AK19,AL19,AM19,AN19,AO19,THDL!$CN$6,THDL!$CN$8,THDL!$CN$9,THDL!$CQ$6,THDL!$CQ$12,THDL!$CT$6,THDL!$CT$9,THDL!$CT$19,THDL!$CT$20,THDL!$CT$21,THDL!$CT$22,THDL!$CT$23,THDL!$CT$24,THDL!$CT$25,THDL!$CK$21,THDL!$CQ$4*THDL!$CQ$3)</f>
        <v>0</v>
      </c>
      <c r="BA19" s="77">
        <f>_xll.Slab_Crack_Function(THDL!$CK$2,"N"&amp;THDL!$CK$17,THDL!$CK$7,ABS(AA19),ABS(AX19),ABS(AY19),ABS(AX19),E19,F19,H19,G19,AP19,X19,AF19,AG19,AH19,AI19,AJ19,AK19,AL19,AM19,AN19,AO19,THDL!$CN$6,THDL!$CN$8,THDL!$CN$9,THDL!$CQ$6,THDL!$CQ$12,THDL!$CT$6,THDL!$CT$9,THDL!$CT$19,THDL!$CT$20,THDL!$CT$21,THDL!$CT$22,THDL!$CT$23,THDL!$CT$24,THDL!$CT$25,THDL!$CK$21,THDL!$CQ$4*THDL!$CQ$3)</f>
        <v>0</v>
      </c>
      <c r="BB19" s="77" t="str">
        <f>IF(AND(AZ19&lt;=THDL!$CK$8,BA19&lt;=THDL!$CK$9),"OK","FAIL")</f>
        <v>OK</v>
      </c>
      <c r="BC19" s="78">
        <f>VLOOKUP(C19,NoiLuc!A:K,10,0)</f>
        <v>160.46424865722699</v>
      </c>
      <c r="BD19" s="79">
        <f>_xll.Foundation_TinhHeSoCChiuCat(E19,F19,MAX(G19,H19),BM19,BN19,BO19,BP19,BF19,BC19,THDL!$CK$18,THDL!$CK$19)</f>
        <v>1.5</v>
      </c>
      <c r="BE19" s="80">
        <f t="shared" si="8"/>
        <v>873</v>
      </c>
      <c r="BF19" s="78">
        <f>THDL!$CN$7</f>
        <v>1.05</v>
      </c>
      <c r="BG19" s="78">
        <f t="shared" si="9"/>
        <v>458.32500000000005</v>
      </c>
      <c r="BH19" s="78">
        <f t="shared" si="10"/>
        <v>458.32500000000005</v>
      </c>
      <c r="BI19" s="81" t="str">
        <f t="shared" si="11"/>
        <v>OK</v>
      </c>
      <c r="BJ19" s="78">
        <f t="shared" si="12"/>
        <v>0</v>
      </c>
      <c r="BK19" s="82">
        <f t="shared" si="13"/>
        <v>1.5</v>
      </c>
      <c r="BL19" s="80">
        <f t="shared" si="14"/>
        <v>873</v>
      </c>
      <c r="BM19" s="83">
        <f t="shared" si="15"/>
        <v>2</v>
      </c>
      <c r="BN19" s="83">
        <f t="shared" si="16"/>
        <v>12</v>
      </c>
      <c r="BO19" s="83">
        <f t="shared" si="17"/>
        <v>100</v>
      </c>
      <c r="BP19" s="78">
        <f>IF(BN19&gt;8,THDL!$CQ$16,THDL!$CQ$15)</f>
        <v>280</v>
      </c>
      <c r="BQ19" s="78" t="str">
        <f t="shared" si="18"/>
        <v/>
      </c>
      <c r="BR19" s="78" t="str">
        <f t="shared" si="19"/>
        <v/>
      </c>
      <c r="BS19" s="78" t="str">
        <f t="shared" si="20"/>
        <v/>
      </c>
    </row>
    <row r="20" spans="1:71">
      <c r="A20" s="84" t="s">
        <v>277</v>
      </c>
      <c r="B20" s="85" t="str">
        <f t="shared" si="3"/>
        <v>M16</v>
      </c>
      <c r="C20" s="86" t="str">
        <f>IFERROR(VLOOKUP(A20,BanVe!A:AH,34,0),0)</f>
        <v>CSB1</v>
      </c>
      <c r="D20" s="71" t="str">
        <f>IFERROR(IF(UPPER(VLOOKUP(A20,BanVe!A:B,2,0))="STRIPA","STRIP A",IF(UPPER(VLOOKUP(A20,BanVe!A:B,2,0))="STRIPB","STRIP B","KXD")),"KXD")</f>
        <v>STRIP B</v>
      </c>
      <c r="E20" s="86">
        <f>VLOOKUP(C20,NoiLuc!A:K,4,0)</f>
        <v>1500</v>
      </c>
      <c r="F20" s="85">
        <v>700</v>
      </c>
      <c r="G20" s="87">
        <f>TRONGTAM_a(E20,THDL!$CK$10,THDL!$CK$16,N20,P20,R20,T20,V20,O20,Q20,S20,U20,W20,0)</f>
        <v>48</v>
      </c>
      <c r="H20" s="87">
        <f>TRONGTAM_a(E20,THDL!$CK$15,THDL!$CK$16,AF20,AH20,AJ20,AL20,AN20,AG20,AI20,AK20,AM20,AO20,0)</f>
        <v>118</v>
      </c>
      <c r="I20" s="88">
        <f>VLOOKUP(C20,NoiLuc!A:K,6,0)</f>
        <v>-14.646939277648899</v>
      </c>
      <c r="J20" s="88">
        <f>VLOOKUP(C20,NoiLuc!A:K,7,0)</f>
        <v>0.375000000000901</v>
      </c>
      <c r="K20" s="73">
        <f>_xll.Slab_Function(THDL!$CK$2,E20,F20,G20,H20,I20,THDL!$CN$5,THDL!$CQ$4,THDL!$CQ$5,THDL!$CQ$6,THDL!$CQ$10,THDL!$CQ$11,THDL!$CQ$12,THDL!$CK$6,"Nén",THDL!$CK$7,THDL!$CT$3,THDL!$CT$13,THDL!$CT$16,THDL!$CT$17,THDL!$CT$18,THDL!$CQ$3*THDL!$CQ$4,THDL!$CQ$3,THDL!$CQ$9*THDL!$CQ$10,THDL!$CQ$9,N20,O20,P20,Q20,R20,S20,T20,U20,V20,W20,THDL!$CK$11,8,"Mu",AF20,AG20,AH20,AI20,AJ20,AK20,AL20,AM20,AN20,AO20)</f>
        <v>254.4860544024971</v>
      </c>
      <c r="L20" s="88">
        <f>_xll.Beam_Function(THDL!$CK$2,"Asn",E20,F20,G20,H20,ABS(I20),THDL!$CN$5,THDL!$CQ$10,THDL!$CQ$11,THDL!$CQ$12,THDL!$CK$6,"Nén",THDL!$CK$7,THDL!$CT$3,THDL!$CT$13,THDL!$CT$16,THDL!$CT$17,THDL!$CT$18,THDL!$CQ$10*THDL!$CQ$9,THDL!$CQ$9,X20,AP20)</f>
        <v>0</v>
      </c>
      <c r="M20" s="88">
        <f>_xll.Beam_Function(THDL!$CK$2,"Ask",E20,F20,G20,H20,ABS(I20),THDL!$CN$5,THDL!$CQ$10,THDL!$CQ$11,THDL!$CQ$12,THDL!$CK$6,"Nén",THDL!$CK$7,THDL!$CT$3,THDL!$CT$13,THDL!$CT$16,THDL!$CT$17,THDL!$CT$18,THDL!$CQ$10*THDL!$CQ$9,THDL!$CQ$9,X20,AP20,THDL!$CK$11)</f>
        <v>0.64235578717039243</v>
      </c>
      <c r="N20" s="89">
        <v>12</v>
      </c>
      <c r="O20" s="89">
        <v>150</v>
      </c>
      <c r="P20" s="89"/>
      <c r="Q20" s="89"/>
      <c r="R20" s="89"/>
      <c r="S20" s="89"/>
      <c r="T20" s="89"/>
      <c r="U20" s="89"/>
      <c r="V20" s="89"/>
      <c r="W20" s="89"/>
      <c r="X20" s="90">
        <f t="shared" si="1"/>
        <v>11.30973388671875</v>
      </c>
      <c r="Y20" s="90">
        <f t="shared" si="4"/>
        <v>0.11564145078444529</v>
      </c>
      <c r="Z20" s="90">
        <f t="shared" si="5"/>
        <v>17.606650570610814</v>
      </c>
      <c r="AA20" s="88">
        <f>VLOOKUP(C20,NoiLuc!A:K,8,0)</f>
        <v>1</v>
      </c>
      <c r="AB20" s="88" t="str">
        <f>VLOOKUP(C20,NoiLuc!A:K,9,0)</f>
        <v>-</v>
      </c>
      <c r="AC20" s="73">
        <f>_xll.Slab_Function(THDL!$CK$2,E20,F20,H20,G20,AA20,THDL!$CN$5,THDL!$CQ$4,THDL!$CQ$5,THDL!$CQ$6,THDL!$CQ$10,THDL!$CQ$11,THDL!$CQ$12,THDL!$CK$6,"Nén",THDL!$CK$7,THDL!$CT$3,THDL!$CT$13,THDL!$CT$16,THDL!$CT$17,THDL!$CT$18,THDL!$CQ$3*THDL!$CQ$4,THDL!$CQ$3,THDL!$CQ$9*THDL!$CQ$10,THDL!$CQ$9,AF20,AG20,AH20,AI20,AJ20,AK20,AL20,AM20,AN20,AO20,THDL!$CK$11,8,"Mu",N20,O20,P20,Q20,R20,S20,T20,U20,V20,W20)</f>
        <v>226.77720719783517</v>
      </c>
      <c r="AD20" s="91">
        <f>_xll.Beam_Function(THDL!$CK$2,"Asn",E20,F20,H20,G20,ABS(AA20),THDL!$CN$5,THDL!$CQ$10,THDL!$CQ$11,THDL!$CQ$12,THDL!$CK$6,"Nén",THDL!$CK$7,THDL!$CT$3,THDL!$CT$13,THDL!$CT$16,THDL!$CT$17,THDL!$CT$18,THDL!$CQ$10*THDL!$CQ$9,THDL!$CQ$9,AP20,X20)</f>
        <v>0</v>
      </c>
      <c r="AE20" s="91">
        <f>_xll.Beam_Function(THDL!$CK$2,"Ask",E20,F20,H20,G20,ABS(AA20),THDL!$CN$5,THDL!$CQ$10,THDL!$CQ$11,THDL!$CQ$12,THDL!$CK$6,"Nén",THDL!$CK$7,THDL!$CT$3,THDL!$CT$13,THDL!$CT$16,THDL!$CT$17,THDL!$CT$18,THDL!$CQ$10*THDL!$CQ$9,THDL!$CQ$9,AP20,X20,THDL!$CK$11)</f>
        <v>4.909513388170491E-2</v>
      </c>
      <c r="AF20" s="89">
        <v>12</v>
      </c>
      <c r="AG20" s="89">
        <v>150</v>
      </c>
      <c r="AH20" s="89"/>
      <c r="AI20" s="89"/>
      <c r="AJ20" s="89"/>
      <c r="AK20" s="89"/>
      <c r="AL20" s="89"/>
      <c r="AM20" s="89"/>
      <c r="AN20" s="89"/>
      <c r="AO20" s="89"/>
      <c r="AP20" s="90">
        <f t="shared" si="2"/>
        <v>11.30973388671875</v>
      </c>
      <c r="AQ20" s="90">
        <f t="shared" si="6"/>
        <v>0.12955021634271191</v>
      </c>
      <c r="AR20" s="90">
        <f t="shared" si="7"/>
        <v>230.36364284023824</v>
      </c>
      <c r="AS20" s="77">
        <f>VLOOKUP(C20,NoiLuc!BA:BK,6,0)</f>
        <v>-14.646939277648899</v>
      </c>
      <c r="AT20" s="77">
        <f>VLOOKUP(C20,NoiLuc!AA:AK,6,0)</f>
        <v>-14.646939277648899</v>
      </c>
      <c r="AU20" s="92">
        <f>_xll.Slab_Crack_Function(THDL!$CK$2,"D"&amp;THDL!$CK$17,THDL!$CK$7,ABS(I20),ABS(AS20),ABS(AT20),ABS(AS20),E20,F20,G20,H20,X20,AP20,N20,O20,P20,Q20,R20,S20,T20,U20,V20,W20,THDL!$CN$6,THDL!$CN$8,THDL!$CN$9,THDL!$CQ$6,THDL!$CQ$12,THDL!$CT$6,THDL!$CT$9,THDL!$CT$19,THDL!$CT$20,THDL!$CT$21,THDL!$CT$22,THDL!$CT$23,THDL!$CT$24,THDL!$CT$25,THDL!$CK$21,THDL!$CQ$4*THDL!$CQ$3)</f>
        <v>0</v>
      </c>
      <c r="AV20" s="92">
        <f>_xll.Slab_Crack_Function(THDL!$CK$2,"N"&amp;THDL!$CK$17,THDL!$CK$7,ABS(I20),ABS(AS20),ABS(AT20),ABS(AS20),E20,F20,G20,H20,X20,AP20,N20,O20,P20,Q20,R20,S20,T20,U20,V20,W20,THDL!$CN$6,THDL!$CN$8,THDL!$CN$9,THDL!$CQ$6,THDL!$CQ$12,THDL!$CT$6,THDL!$CT$9,THDL!$CT$19,THDL!$CT$20,THDL!$CT$21,THDL!$CT$22,THDL!$CT$23,THDL!$CT$24,THDL!$CT$25,THDL!$CK$21,THDL!$CQ$4*THDL!$CQ$3)</f>
        <v>0</v>
      </c>
      <c r="AW20" s="92" t="str">
        <f>IF(AND(AU20&lt;=THDL!$CK$8,AV20&lt;=THDL!$CK$9),"OK","FAIL")</f>
        <v>OK</v>
      </c>
      <c r="AX20" s="77">
        <f>VLOOKUP(C20,NoiLuc!BA:BK,8,0)</f>
        <v>1</v>
      </c>
      <c r="AY20" s="77">
        <f>VLOOKUP(C20,NoiLuc!AA:AK,8,0)</f>
        <v>1</v>
      </c>
      <c r="AZ20" s="92">
        <f>_xll.Slab_Crack_Function(THDL!$CK$2,"D"&amp;THDL!$CK$17,THDL!$CK$7,ABS(AA20),ABS(AX20),ABS(AY20),ABS(AX20),E20,F20,H20,G20,AP20,X20,AF20,AG20,AH20,AI20,AJ20,AK20,AL20,AM20,AN20,AO20,THDL!$CN$6,THDL!$CN$8,THDL!$CN$9,THDL!$CQ$6,THDL!$CQ$12,THDL!$CT$6,THDL!$CT$9,THDL!$CT$19,THDL!$CT$20,THDL!$CT$21,THDL!$CT$22,THDL!$CT$23,THDL!$CT$24,THDL!$CT$25,THDL!$CK$21,THDL!$CQ$4*THDL!$CQ$3)</f>
        <v>0</v>
      </c>
      <c r="BA20" s="92">
        <f>_xll.Slab_Crack_Function(THDL!$CK$2,"N"&amp;THDL!$CK$17,THDL!$CK$7,ABS(AA20),ABS(AX20),ABS(AY20),ABS(AX20),E20,F20,H20,G20,AP20,X20,AF20,AG20,AH20,AI20,AJ20,AK20,AL20,AM20,AN20,AO20,THDL!$CN$6,THDL!$CN$8,THDL!$CN$9,THDL!$CQ$6,THDL!$CQ$12,THDL!$CT$6,THDL!$CT$9,THDL!$CT$19,THDL!$CT$20,THDL!$CT$21,THDL!$CT$22,THDL!$CT$23,THDL!$CT$24,THDL!$CT$25,THDL!$CK$21,THDL!$CQ$4*THDL!$CQ$3)</f>
        <v>0</v>
      </c>
      <c r="BB20" s="92" t="str">
        <f>IF(AND(AZ20&lt;=THDL!$CK$8,BA20&lt;=THDL!$CK$9),"OK","FAIL")</f>
        <v>OK</v>
      </c>
      <c r="BC20" s="93">
        <f>VLOOKUP(C20,NoiLuc!A:K,10,0)</f>
        <v>15.474551200866699</v>
      </c>
      <c r="BD20" s="94">
        <f>_xll.Foundation_TinhHeSoCChiuCat(E20,F20,MAX(G20,H20),BM20,BN20,BO20,BP20,BF20,BC20,THDL!$CK$18,THDL!$CK$19)</f>
        <v>1.5</v>
      </c>
      <c r="BE20" s="95">
        <f t="shared" si="8"/>
        <v>873</v>
      </c>
      <c r="BF20" s="93">
        <f>THDL!$CN$7</f>
        <v>1.05</v>
      </c>
      <c r="BG20" s="93">
        <f t="shared" si="9"/>
        <v>916.65000000000009</v>
      </c>
      <c r="BH20" s="93">
        <f t="shared" si="10"/>
        <v>916.65000000000009</v>
      </c>
      <c r="BI20" s="96" t="str">
        <f t="shared" si="11"/>
        <v>OK</v>
      </c>
      <c r="BJ20" s="93">
        <f t="shared" si="12"/>
        <v>0</v>
      </c>
      <c r="BK20" s="97">
        <f t="shared" si="13"/>
        <v>1.5</v>
      </c>
      <c r="BL20" s="95">
        <f t="shared" si="14"/>
        <v>873</v>
      </c>
      <c r="BM20" s="98">
        <f t="shared" si="15"/>
        <v>2</v>
      </c>
      <c r="BN20" s="98">
        <f t="shared" si="16"/>
        <v>12</v>
      </c>
      <c r="BO20" s="98">
        <f t="shared" si="17"/>
        <v>100</v>
      </c>
      <c r="BP20" s="93">
        <f>IF(BN20&gt;8,THDL!$CQ$16,THDL!$CQ$15)</f>
        <v>280</v>
      </c>
      <c r="BQ20" s="93" t="str">
        <f t="shared" si="18"/>
        <v/>
      </c>
      <c r="BR20" s="93" t="str">
        <f t="shared" si="19"/>
        <v/>
      </c>
      <c r="BS20" s="93" t="str">
        <f t="shared" si="20"/>
        <v/>
      </c>
    </row>
    <row r="21" spans="1:71">
      <c r="A21" s="99" t="s">
        <v>279</v>
      </c>
      <c r="B21" s="100" t="str">
        <f t="shared" si="3"/>
        <v>M17</v>
      </c>
      <c r="C21" s="101" t="str">
        <f>IFERROR(VLOOKUP(A21,BanVe!A:AH,34,0),0)</f>
        <v>CSA2</v>
      </c>
      <c r="D21" s="71" t="str">
        <f>IFERROR(IF(UPPER(VLOOKUP(A21,BanVe!A:B,2,0))="STRIPA","STRIP A",IF(UPPER(VLOOKUP(A21,BanVe!A:B,2,0))="STRIPB","STRIP B","KXD")),"KXD")</f>
        <v>STRIP A</v>
      </c>
      <c r="E21" s="101">
        <f>VLOOKUP(C21,NoiLuc!A:K,4,0)</f>
        <v>750</v>
      </c>
      <c r="F21" s="100">
        <v>700</v>
      </c>
      <c r="G21" s="102">
        <f>TRONGTAM_a(E21,THDL!$CK$10,THDL!$CK$16,N21,P21,R21,T21,V21,O21,Q21,S21,U21,W21,0)</f>
        <v>48</v>
      </c>
      <c r="H21" s="102">
        <f>TRONGTAM_a(E21,THDL!$CK$15,THDL!$CK$16,AF21,AH21,AJ21,AL21,AN21,AG21,AI21,AK21,AM21,AO21,0)</f>
        <v>118</v>
      </c>
      <c r="I21" s="103">
        <f>VLOOKUP(C21,NoiLuc!A:K,6,0)</f>
        <v>-27.5015773773193</v>
      </c>
      <c r="J21" s="103">
        <f>VLOOKUP(C21,NoiLuc!A:K,7,0)</f>
        <v>0</v>
      </c>
      <c r="K21" s="73">
        <f>_xll.Slab_Function(THDL!$CK$2,E21,F21,G21,H21,I21,THDL!$CN$5,THDL!$CQ$4,THDL!$CQ$5,THDL!$CQ$6,THDL!$CQ$10,THDL!$CQ$11,THDL!$CQ$12,THDL!$CK$6,"Nén",THDL!$CK$7,THDL!$CT$3,THDL!$CT$13,THDL!$CT$16,THDL!$CT$17,THDL!$CT$18,THDL!$CQ$3*THDL!$CQ$4,THDL!$CQ$3,THDL!$CQ$9*THDL!$CQ$10,THDL!$CQ$9,N21,O21,P21,Q21,R21,S21,T21,U21,V21,W21,THDL!$CK$11,8,"Mu",AF21,AG21,AH21,AI21,AJ21,AK21,AL21,AM21,AN21,AO21)</f>
        <v>127.24302720124855</v>
      </c>
      <c r="L21" s="103">
        <f>_xll.Beam_Function(THDL!$CK$2,"Asn",E21,F21,G21,H21,ABS(I21),THDL!$CN$5,THDL!$CQ$10,THDL!$CQ$11,THDL!$CQ$12,THDL!$CK$6,"Nén",THDL!$CK$7,THDL!$CT$3,THDL!$CT$13,THDL!$CT$16,THDL!$CT$17,THDL!$CT$18,THDL!$CQ$10*THDL!$CQ$9,THDL!$CQ$9,X21,AP21)</f>
        <v>0</v>
      </c>
      <c r="M21" s="103">
        <f>_xll.Beam_Function(THDL!$CK$2,"Ask",E21,F21,G21,H21,ABS(I21),THDL!$CN$5,THDL!$CQ$10,THDL!$CQ$11,THDL!$CQ$12,THDL!$CK$6,"Nén",THDL!$CK$7,THDL!$CT$3,THDL!$CT$13,THDL!$CT$16,THDL!$CT$17,THDL!$CT$18,THDL!$CQ$10*THDL!$CQ$9,THDL!$CQ$9,X21,AP21,THDL!$CK$11)</f>
        <v>1.2087585036900328</v>
      </c>
      <c r="N21" s="104">
        <v>12</v>
      </c>
      <c r="O21" s="104">
        <v>150</v>
      </c>
      <c r="P21" s="104"/>
      <c r="Q21" s="104"/>
      <c r="R21" s="104"/>
      <c r="S21" s="104"/>
      <c r="T21" s="104"/>
      <c r="U21" s="104"/>
      <c r="V21" s="104"/>
      <c r="W21" s="104"/>
      <c r="X21" s="105">
        <f t="shared" si="1"/>
        <v>5.6548669433593748</v>
      </c>
      <c r="Y21" s="105">
        <f t="shared" si="4"/>
        <v>0.11564145078444529</v>
      </c>
      <c r="Z21" s="105">
        <f t="shared" si="5"/>
        <v>4.6782437733397551</v>
      </c>
      <c r="AA21" s="103">
        <f>VLOOKUP(C21,NoiLuc!A:K,8,0)</f>
        <v>54.290317535400398</v>
      </c>
      <c r="AB21" s="103">
        <f>VLOOKUP(C21,NoiLuc!A:K,9,0)</f>
        <v>0.749999999999999</v>
      </c>
      <c r="AC21" s="73">
        <f>_xll.Slab_Function(THDL!$CK$2,E21,F21,H21,G21,AA21,THDL!$CN$5,THDL!$CQ$4,THDL!$CQ$5,THDL!$CQ$6,THDL!$CQ$10,THDL!$CQ$11,THDL!$CQ$12,THDL!$CK$6,"Nén",THDL!$CK$7,THDL!$CT$3,THDL!$CT$13,THDL!$CT$16,THDL!$CT$17,THDL!$CT$18,THDL!$CQ$3*THDL!$CQ$4,THDL!$CQ$3,THDL!$CQ$9*THDL!$CQ$10,THDL!$CQ$9,AF21,AG21,AH21,AI21,AJ21,AK21,AL21,AM21,AN21,AO21,THDL!$CK$11,8,"Mu",N21,O21,P21,Q21,R21,S21,T21,U21,V21,W21)</f>
        <v>113.38860359891758</v>
      </c>
      <c r="AD21" s="106">
        <f>_xll.Beam_Function(THDL!$CK$2,"Asn",E21,F21,H21,G21,ABS(AA21),THDL!$CN$5,THDL!$CQ$10,THDL!$CQ$11,THDL!$CQ$12,THDL!$CK$6,"Nén",THDL!$CK$7,THDL!$CT$3,THDL!$CT$13,THDL!$CT$16,THDL!$CT$17,THDL!$CT$18,THDL!$CQ$10*THDL!$CQ$9,THDL!$CQ$9,AP21,X21)</f>
        <v>0</v>
      </c>
      <c r="AE21" s="106">
        <f>_xll.Beam_Function(THDL!$CK$2,"Ask",E21,F21,H21,G21,ABS(AA21),THDL!$CN$5,THDL!$CQ$10,THDL!$CQ$11,THDL!$CQ$12,THDL!$CK$6,"Nén",THDL!$CK$7,THDL!$CT$3,THDL!$CT$13,THDL!$CT$16,THDL!$CT$17,THDL!$CT$18,THDL!$CQ$10*THDL!$CQ$9,THDL!$CQ$9,AP21,X21,THDL!$CK$11)</f>
        <v>2.6851447285132179</v>
      </c>
      <c r="AF21" s="104">
        <v>12</v>
      </c>
      <c r="AG21" s="104">
        <v>150</v>
      </c>
      <c r="AH21" s="104"/>
      <c r="AI21" s="104"/>
      <c r="AJ21" s="104"/>
      <c r="AK21" s="104"/>
      <c r="AL21" s="104"/>
      <c r="AM21" s="104"/>
      <c r="AN21" s="104"/>
      <c r="AO21" s="104"/>
      <c r="AP21" s="105">
        <f t="shared" si="2"/>
        <v>5.6548669433593748</v>
      </c>
      <c r="AQ21" s="105">
        <f t="shared" si="6"/>
        <v>0.12955021634271191</v>
      </c>
      <c r="AR21" s="105">
        <f t="shared" si="7"/>
        <v>2.1059821779105783</v>
      </c>
      <c r="AS21" s="77">
        <f>VLOOKUP(C21,NoiLuc!BA:BK,6,0)</f>
        <v>-27.5015773773193</v>
      </c>
      <c r="AT21" s="77">
        <f>VLOOKUP(C21,NoiLuc!AA:AK,6,0)</f>
        <v>-27.5015773773193</v>
      </c>
      <c r="AU21" s="107">
        <f>_xll.Slab_Crack_Function(THDL!$CK$2,"D"&amp;THDL!$CK$17,THDL!$CK$7,ABS(I21),ABS(AS21),ABS(AT21),ABS(AS21),E21,F21,G21,H21,X21,AP21,N21,O21,P21,Q21,R21,S21,T21,U21,V21,W21,THDL!$CN$6,THDL!$CN$8,THDL!$CN$9,THDL!$CQ$6,THDL!$CQ$12,THDL!$CT$6,THDL!$CT$9,THDL!$CT$19,THDL!$CT$20,THDL!$CT$21,THDL!$CT$22,THDL!$CT$23,THDL!$CT$24,THDL!$CT$25,THDL!$CK$21,THDL!$CQ$4*THDL!$CQ$3)</f>
        <v>0</v>
      </c>
      <c r="AV21" s="107">
        <f>_xll.Slab_Crack_Function(THDL!$CK$2,"N"&amp;THDL!$CK$17,THDL!$CK$7,ABS(I21),ABS(AS21),ABS(AT21),ABS(AS21),E21,F21,G21,H21,X21,AP21,N21,O21,P21,Q21,R21,S21,T21,U21,V21,W21,THDL!$CN$6,THDL!$CN$8,THDL!$CN$9,THDL!$CQ$6,THDL!$CQ$12,THDL!$CT$6,THDL!$CT$9,THDL!$CT$19,THDL!$CT$20,THDL!$CT$21,THDL!$CT$22,THDL!$CT$23,THDL!$CT$24,THDL!$CT$25,THDL!$CK$21,THDL!$CQ$4*THDL!$CQ$3)</f>
        <v>0</v>
      </c>
      <c r="AW21" s="107" t="str">
        <f>IF(AND(AU21&lt;=THDL!$CK$8,AV21&lt;=THDL!$CK$9),"OK","FAIL")</f>
        <v>OK</v>
      </c>
      <c r="AX21" s="77">
        <f>VLOOKUP(C21,NoiLuc!BA:BK,8,0)</f>
        <v>54.290317535400398</v>
      </c>
      <c r="AY21" s="77">
        <f>VLOOKUP(C21,NoiLuc!AA:AK,8,0)</f>
        <v>54.290317535400398</v>
      </c>
      <c r="AZ21" s="107">
        <f>_xll.Slab_Crack_Function(THDL!$CK$2,"D"&amp;THDL!$CK$17,THDL!$CK$7,ABS(AA21),ABS(AX21),ABS(AY21),ABS(AX21),E21,F21,H21,G21,AP21,X21,AF21,AG21,AH21,AI21,AJ21,AK21,AL21,AM21,AN21,AO21,THDL!$CN$6,THDL!$CN$8,THDL!$CN$9,THDL!$CQ$6,THDL!$CQ$12,THDL!$CT$6,THDL!$CT$9,THDL!$CT$19,THDL!$CT$20,THDL!$CT$21,THDL!$CT$22,THDL!$CT$23,THDL!$CT$24,THDL!$CT$25,THDL!$CK$21,THDL!$CQ$4*THDL!$CQ$3)</f>
        <v>0</v>
      </c>
      <c r="BA21" s="107">
        <f>_xll.Slab_Crack_Function(THDL!$CK$2,"N"&amp;THDL!$CK$17,THDL!$CK$7,ABS(AA21),ABS(AX21),ABS(AY21),ABS(AX21),E21,F21,H21,G21,AP21,X21,AF21,AG21,AH21,AI21,AJ21,AK21,AL21,AM21,AN21,AO21,THDL!$CN$6,THDL!$CN$8,THDL!$CN$9,THDL!$CQ$6,THDL!$CQ$12,THDL!$CT$6,THDL!$CT$9,THDL!$CT$19,THDL!$CT$20,THDL!$CT$21,THDL!$CT$22,THDL!$CT$23,THDL!$CT$24,THDL!$CT$25,THDL!$CK$21,THDL!$CQ$4*THDL!$CQ$3)</f>
        <v>0</v>
      </c>
      <c r="BB21" s="107" t="str">
        <f>IF(AND(AZ21&lt;=THDL!$CK$8,BA21&lt;=THDL!$CK$9),"OK","FAIL")</f>
        <v>OK</v>
      </c>
      <c r="BC21" s="108">
        <f>VLOOKUP(C21,NoiLuc!A:K,10,0)</f>
        <v>196.16807556152301</v>
      </c>
      <c r="BD21" s="109">
        <f>_xll.Foundation_TinhHeSoCChiuCat(E21,F21,MAX(G21,H21),BM21,BN21,BO21,BP21,BF21,BC21,THDL!$CK$18,THDL!$CK$19)</f>
        <v>1.5</v>
      </c>
      <c r="BE21" s="110">
        <f t="shared" si="8"/>
        <v>873</v>
      </c>
      <c r="BF21" s="108">
        <f>THDL!$CN$7</f>
        <v>1.05</v>
      </c>
      <c r="BG21" s="108">
        <f t="shared" si="9"/>
        <v>458.32500000000005</v>
      </c>
      <c r="BH21" s="108">
        <f t="shared" si="10"/>
        <v>458.32500000000005</v>
      </c>
      <c r="BI21" s="111" t="str">
        <f t="shared" si="11"/>
        <v>OK</v>
      </c>
      <c r="BJ21" s="108">
        <f t="shared" si="12"/>
        <v>0</v>
      </c>
      <c r="BK21" s="112">
        <f t="shared" si="13"/>
        <v>1.5</v>
      </c>
      <c r="BL21" s="110">
        <f t="shared" si="14"/>
        <v>873</v>
      </c>
      <c r="BM21" s="113">
        <f t="shared" si="15"/>
        <v>2</v>
      </c>
      <c r="BN21" s="113">
        <f t="shared" si="16"/>
        <v>12</v>
      </c>
      <c r="BO21" s="113">
        <f t="shared" si="17"/>
        <v>100</v>
      </c>
      <c r="BP21" s="108">
        <f>IF(BN21&gt;8,THDL!$CQ$16,THDL!$CQ$15)</f>
        <v>280</v>
      </c>
      <c r="BQ21" s="108" t="str">
        <f t="shared" si="18"/>
        <v/>
      </c>
      <c r="BR21" s="108" t="str">
        <f t="shared" si="19"/>
        <v/>
      </c>
      <c r="BS21" s="108" t="str">
        <f t="shared" si="20"/>
        <v/>
      </c>
    </row>
    <row r="22" spans="1:71">
      <c r="A22" s="114" t="s">
        <v>282</v>
      </c>
      <c r="B22" s="115" t="str">
        <f t="shared" si="3"/>
        <v>M17</v>
      </c>
      <c r="C22" s="116" t="str">
        <f>IFERROR(VLOOKUP(A22,BanVe!A:AH,34,0),0)</f>
        <v>CSB2</v>
      </c>
      <c r="D22" s="71" t="str">
        <f>IFERROR(IF(UPPER(VLOOKUP(A22,BanVe!A:B,2,0))="STRIPA","STRIP A",IF(UPPER(VLOOKUP(A22,BanVe!A:B,2,0))="STRIPB","STRIP B","KXD")),"KXD")</f>
        <v>STRIP B</v>
      </c>
      <c r="E22" s="116">
        <f>VLOOKUP(C22,NoiLuc!A:K,4,0)</f>
        <v>1500</v>
      </c>
      <c r="F22" s="115">
        <v>700</v>
      </c>
      <c r="G22" s="117">
        <f>TRONGTAM_a(E22,THDL!$CK$10,THDL!$CK$16,N22,P22,R22,T22,V22,O22,Q22,S22,U22,W22,0)</f>
        <v>48</v>
      </c>
      <c r="H22" s="117">
        <f>TRONGTAM_a(E22,THDL!$CK$15,THDL!$CK$16,AF22,AH22,AJ22,AL22,AN22,AG22,AI22,AK22,AM22,AO22,0)</f>
        <v>118</v>
      </c>
      <c r="I22" s="118">
        <f>VLOOKUP(C22,NoiLuc!A:K,6,0)</f>
        <v>-18.591957092285199</v>
      </c>
      <c r="J22" s="118">
        <f>VLOOKUP(C22,NoiLuc!A:K,7,0)</f>
        <v>0.375000000000835</v>
      </c>
      <c r="K22" s="73">
        <f>_xll.Slab_Function(THDL!$CK$2,E22,F22,G22,H22,I22,THDL!$CN$5,THDL!$CQ$4,THDL!$CQ$5,THDL!$CQ$6,THDL!$CQ$10,THDL!$CQ$11,THDL!$CQ$12,THDL!$CK$6,"Nén",THDL!$CK$7,THDL!$CT$3,THDL!$CT$13,THDL!$CT$16,THDL!$CT$17,THDL!$CT$18,THDL!$CQ$3*THDL!$CQ$4,THDL!$CQ$3,THDL!$CQ$9*THDL!$CQ$10,THDL!$CQ$9,N22,O22,P22,Q22,R22,S22,T22,U22,V22,W22,THDL!$CK$11,8,"Mu",AF22,AG22,AH22,AI22,AJ22,AK22,AL22,AM22,AN22,AO22)</f>
        <v>254.4860544024971</v>
      </c>
      <c r="L22" s="118">
        <f>_xll.Beam_Function(THDL!$CK$2,"Asn",E22,F22,G22,H22,ABS(I22),THDL!$CN$5,THDL!$CQ$10,THDL!$CQ$11,THDL!$CQ$12,THDL!$CK$6,"Nén",THDL!$CK$7,THDL!$CT$3,THDL!$CT$13,THDL!$CT$16,THDL!$CT$17,THDL!$CT$18,THDL!$CQ$10*THDL!$CQ$9,THDL!$CQ$9,X22,AP22)</f>
        <v>0</v>
      </c>
      <c r="M22" s="118">
        <f>_xll.Beam_Function(THDL!$CK$2,"Ask",E22,F22,G22,H22,ABS(I22),THDL!$CN$5,THDL!$CQ$10,THDL!$CQ$11,THDL!$CQ$12,THDL!$CK$6,"Nén",THDL!$CK$7,THDL!$CT$3,THDL!$CT$13,THDL!$CT$16,THDL!$CT$17,THDL!$CT$18,THDL!$CQ$10*THDL!$CQ$9,THDL!$CQ$9,X22,AP22,THDL!$CK$11)</f>
        <v>0.81554282226794728</v>
      </c>
      <c r="N22" s="119">
        <v>12</v>
      </c>
      <c r="O22" s="119">
        <v>150</v>
      </c>
      <c r="P22" s="119"/>
      <c r="Q22" s="119"/>
      <c r="R22" s="119"/>
      <c r="S22" s="119"/>
      <c r="T22" s="119"/>
      <c r="U22" s="119"/>
      <c r="V22" s="119"/>
      <c r="W22" s="119"/>
      <c r="X22" s="120">
        <f t="shared" si="1"/>
        <v>11.30973388671875</v>
      </c>
      <c r="Y22" s="120">
        <f t="shared" si="4"/>
        <v>0.11564145078444529</v>
      </c>
      <c r="Z22" s="120">
        <f t="shared" si="5"/>
        <v>13.867737631811229</v>
      </c>
      <c r="AA22" s="118">
        <f>VLOOKUP(C22,NoiLuc!A:K,8,0)</f>
        <v>1</v>
      </c>
      <c r="AB22" s="118" t="str">
        <f>VLOOKUP(C22,NoiLuc!A:K,9,0)</f>
        <v>-</v>
      </c>
      <c r="AC22" s="73">
        <f>_xll.Slab_Function(THDL!$CK$2,E22,F22,H22,G22,AA22,THDL!$CN$5,THDL!$CQ$4,THDL!$CQ$5,THDL!$CQ$6,THDL!$CQ$10,THDL!$CQ$11,THDL!$CQ$12,THDL!$CK$6,"Nén",THDL!$CK$7,THDL!$CT$3,THDL!$CT$13,THDL!$CT$16,THDL!$CT$17,THDL!$CT$18,THDL!$CQ$3*THDL!$CQ$4,THDL!$CQ$3,THDL!$CQ$9*THDL!$CQ$10,THDL!$CQ$9,AF22,AG22,AH22,AI22,AJ22,AK22,AL22,AM22,AN22,AO22,THDL!$CK$11,8,"Mu",N22,O22,P22,Q22,R22,S22,T22,U22,V22,W22)</f>
        <v>226.77720719783517</v>
      </c>
      <c r="AD22" s="121">
        <f>_xll.Beam_Function(THDL!$CK$2,"Asn",E22,F22,H22,G22,ABS(AA22),THDL!$CN$5,THDL!$CQ$10,THDL!$CQ$11,THDL!$CQ$12,THDL!$CK$6,"Nén",THDL!$CK$7,THDL!$CT$3,THDL!$CT$13,THDL!$CT$16,THDL!$CT$17,THDL!$CT$18,THDL!$CQ$10*THDL!$CQ$9,THDL!$CQ$9,AP22,X22)</f>
        <v>0</v>
      </c>
      <c r="AE22" s="121">
        <f>_xll.Beam_Function(THDL!$CK$2,"Ask",E22,F22,H22,G22,ABS(AA22),THDL!$CN$5,THDL!$CQ$10,THDL!$CQ$11,THDL!$CQ$12,THDL!$CK$6,"Nén",THDL!$CK$7,THDL!$CT$3,THDL!$CT$13,THDL!$CT$16,THDL!$CT$17,THDL!$CT$18,THDL!$CQ$10*THDL!$CQ$9,THDL!$CQ$9,AP22,X22,THDL!$CK$11)</f>
        <v>4.909513388170491E-2</v>
      </c>
      <c r="AF22" s="119">
        <v>12</v>
      </c>
      <c r="AG22" s="119">
        <v>150</v>
      </c>
      <c r="AH22" s="119"/>
      <c r="AI22" s="119"/>
      <c r="AJ22" s="119"/>
      <c r="AK22" s="119"/>
      <c r="AL22" s="119"/>
      <c r="AM22" s="119"/>
      <c r="AN22" s="119"/>
      <c r="AO22" s="119"/>
      <c r="AP22" s="120">
        <f t="shared" si="2"/>
        <v>11.30973388671875</v>
      </c>
      <c r="AQ22" s="120">
        <f t="shared" si="6"/>
        <v>0.12955021634271191</v>
      </c>
      <c r="AR22" s="120">
        <f t="shared" si="7"/>
        <v>230.36364284023824</v>
      </c>
      <c r="AS22" s="77">
        <f>VLOOKUP(C22,NoiLuc!BA:BK,6,0)</f>
        <v>-18.591957092285199</v>
      </c>
      <c r="AT22" s="77">
        <f>VLOOKUP(C22,NoiLuc!AA:AK,6,0)</f>
        <v>-18.591957092285199</v>
      </c>
      <c r="AU22" s="122">
        <f>_xll.Slab_Crack_Function(THDL!$CK$2,"D"&amp;THDL!$CK$17,THDL!$CK$7,ABS(I22),ABS(AS22),ABS(AT22),ABS(AS22),E22,F22,G22,H22,X22,AP22,N22,O22,P22,Q22,R22,S22,T22,U22,V22,W22,THDL!$CN$6,THDL!$CN$8,THDL!$CN$9,THDL!$CQ$6,THDL!$CQ$12,THDL!$CT$6,THDL!$CT$9,THDL!$CT$19,THDL!$CT$20,THDL!$CT$21,THDL!$CT$22,THDL!$CT$23,THDL!$CT$24,THDL!$CT$25,THDL!$CK$21,THDL!$CQ$4*THDL!$CQ$3)</f>
        <v>0</v>
      </c>
      <c r="AV22" s="122">
        <f>_xll.Slab_Crack_Function(THDL!$CK$2,"N"&amp;THDL!$CK$17,THDL!$CK$7,ABS(I22),ABS(AS22),ABS(AT22),ABS(AS22),E22,F22,G22,H22,X22,AP22,N22,O22,P22,Q22,R22,S22,T22,U22,V22,W22,THDL!$CN$6,THDL!$CN$8,THDL!$CN$9,THDL!$CQ$6,THDL!$CQ$12,THDL!$CT$6,THDL!$CT$9,THDL!$CT$19,THDL!$CT$20,THDL!$CT$21,THDL!$CT$22,THDL!$CT$23,THDL!$CT$24,THDL!$CT$25,THDL!$CK$21,THDL!$CQ$4*THDL!$CQ$3)</f>
        <v>0</v>
      </c>
      <c r="AW22" s="122" t="str">
        <f>IF(AND(AU22&lt;=THDL!$CK$8,AV22&lt;=THDL!$CK$9),"OK","FAIL")</f>
        <v>OK</v>
      </c>
      <c r="AX22" s="77">
        <f>VLOOKUP(C22,NoiLuc!BA:BK,8,0)</f>
        <v>1</v>
      </c>
      <c r="AY22" s="77">
        <f>VLOOKUP(C22,NoiLuc!AA:AK,8,0)</f>
        <v>1</v>
      </c>
      <c r="AZ22" s="122">
        <f>_xll.Slab_Crack_Function(THDL!$CK$2,"D"&amp;THDL!$CK$17,THDL!$CK$7,ABS(AA22),ABS(AX22),ABS(AY22),ABS(AX22),E22,F22,H22,G22,AP22,X22,AF22,AG22,AH22,AI22,AJ22,AK22,AL22,AM22,AN22,AO22,THDL!$CN$6,THDL!$CN$8,THDL!$CN$9,THDL!$CQ$6,THDL!$CQ$12,THDL!$CT$6,THDL!$CT$9,THDL!$CT$19,THDL!$CT$20,THDL!$CT$21,THDL!$CT$22,THDL!$CT$23,THDL!$CT$24,THDL!$CT$25,THDL!$CK$21,THDL!$CQ$4*THDL!$CQ$3)</f>
        <v>0</v>
      </c>
      <c r="BA22" s="122">
        <f>_xll.Slab_Crack_Function(THDL!$CK$2,"N"&amp;THDL!$CK$17,THDL!$CK$7,ABS(AA22),ABS(AX22),ABS(AY22),ABS(AX22),E22,F22,H22,G22,AP22,X22,AF22,AG22,AH22,AI22,AJ22,AK22,AL22,AM22,AN22,AO22,THDL!$CN$6,THDL!$CN$8,THDL!$CN$9,THDL!$CQ$6,THDL!$CQ$12,THDL!$CT$6,THDL!$CT$9,THDL!$CT$19,THDL!$CT$20,THDL!$CT$21,THDL!$CT$22,THDL!$CT$23,THDL!$CT$24,THDL!$CT$25,THDL!$CK$21,THDL!$CQ$4*THDL!$CQ$3)</f>
        <v>0</v>
      </c>
      <c r="BB22" s="122" t="str">
        <f>IF(AND(AZ22&lt;=THDL!$CK$8,BA22&lt;=THDL!$CK$9),"OK","FAIL")</f>
        <v>OK</v>
      </c>
      <c r="BC22" s="123">
        <f>VLOOKUP(C22,NoiLuc!A:K,10,0)</f>
        <v>19.718971252441399</v>
      </c>
      <c r="BD22" s="124">
        <f>_xll.Foundation_TinhHeSoCChiuCat(E22,F22,MAX(G22,H22),BM22,BN22,BO22,BP22,BF22,BC22,THDL!$CK$18,THDL!$CK$19)</f>
        <v>1.5</v>
      </c>
      <c r="BE22" s="125">
        <f t="shared" si="8"/>
        <v>873</v>
      </c>
      <c r="BF22" s="123">
        <f>THDL!$CN$7</f>
        <v>1.05</v>
      </c>
      <c r="BG22" s="123">
        <f t="shared" si="9"/>
        <v>916.65000000000009</v>
      </c>
      <c r="BH22" s="123">
        <f t="shared" si="10"/>
        <v>916.65000000000009</v>
      </c>
      <c r="BI22" s="126" t="str">
        <f t="shared" si="11"/>
        <v>OK</v>
      </c>
      <c r="BJ22" s="123">
        <f t="shared" si="12"/>
        <v>0</v>
      </c>
      <c r="BK22" s="127">
        <f t="shared" si="13"/>
        <v>1.5</v>
      </c>
      <c r="BL22" s="125">
        <f t="shared" si="14"/>
        <v>873</v>
      </c>
      <c r="BM22" s="128">
        <f t="shared" si="15"/>
        <v>2</v>
      </c>
      <c r="BN22" s="128">
        <f t="shared" si="16"/>
        <v>12</v>
      </c>
      <c r="BO22" s="128">
        <f t="shared" si="17"/>
        <v>100</v>
      </c>
      <c r="BP22" s="123">
        <f>IF(BN22&gt;8,THDL!$CQ$16,THDL!$CQ$15)</f>
        <v>280</v>
      </c>
      <c r="BQ22" s="123" t="str">
        <f t="shared" si="18"/>
        <v/>
      </c>
      <c r="BR22" s="123" t="str">
        <f t="shared" si="19"/>
        <v/>
      </c>
      <c r="BS22" s="123" t="str">
        <f t="shared" si="20"/>
        <v/>
      </c>
    </row>
    <row r="23" spans="1:71">
      <c r="A23" s="129" t="s">
        <v>284</v>
      </c>
      <c r="B23" s="70" t="str">
        <f t="shared" si="3"/>
        <v>M18</v>
      </c>
      <c r="C23" s="71" t="str">
        <f>IFERROR(VLOOKUP(A23,BanVe!A:AH,34,0),0)</f>
        <v>CSA3</v>
      </c>
      <c r="D23" s="71" t="str">
        <f>IFERROR(IF(UPPER(VLOOKUP(A23,BanVe!A:B,2,0))="STRIPA","STRIP A",IF(UPPER(VLOOKUP(A23,BanVe!A:B,2,0))="STRIPB","STRIP B","KXD")),"KXD")</f>
        <v>STRIP A</v>
      </c>
      <c r="E23" s="71">
        <f>VLOOKUP(C23,NoiLuc!A:K,4,0)</f>
        <v>750</v>
      </c>
      <c r="F23" s="70">
        <v>700</v>
      </c>
      <c r="G23" s="72">
        <f>TRONGTAM_a(E23,THDL!$CK$10,THDL!$CK$16,N23,P23,R23,T23,V23,O23,Q23,S23,U23,W23,0)</f>
        <v>48</v>
      </c>
      <c r="H23" s="72">
        <f>TRONGTAM_a(E23,THDL!$CK$15,THDL!$CK$16,AF23,AH23,AJ23,AL23,AN23,AG23,AI23,AK23,AM23,AO23,0)</f>
        <v>118</v>
      </c>
      <c r="I23" s="73">
        <f>VLOOKUP(C23,NoiLuc!A:K,6,0)</f>
        <v>-18.8439025878906</v>
      </c>
      <c r="J23" s="73">
        <f>VLOOKUP(C23,NoiLuc!A:K,7,0)</f>
        <v>0.37499999999999101</v>
      </c>
      <c r="K23" s="73">
        <f>_xll.Slab_Function(THDL!$CK$2,E23,F23,G23,H23,I23,THDL!$CN$5,THDL!$CQ$4,THDL!$CQ$5,THDL!$CQ$6,THDL!$CQ$10,THDL!$CQ$11,THDL!$CQ$12,THDL!$CK$6,"Nén",THDL!$CK$7,THDL!$CT$3,THDL!$CT$13,THDL!$CT$16,THDL!$CT$17,THDL!$CT$18,THDL!$CQ$3*THDL!$CQ$4,THDL!$CQ$3,THDL!$CQ$9*THDL!$CQ$10,THDL!$CQ$9,N23,O23,P23,Q23,R23,S23,T23,U23,V23,W23,THDL!$CK$11,8,"Mu",AF23,AG23,AH23,AI23,AJ23,AK23,AL23,AM23,AN23,AO23)</f>
        <v>127.24302720124855</v>
      </c>
      <c r="L23" s="73">
        <f>_xll.Beam_Function(THDL!$CK$2,"Asn",E23,F23,G23,H23,ABS(I23),THDL!$CN$5,THDL!$CQ$10,THDL!$CQ$11,THDL!$CQ$12,THDL!$CK$6,"Nén",THDL!$CK$7,THDL!$CT$3,THDL!$CT$13,THDL!$CT$16,THDL!$CT$17,THDL!$CT$18,THDL!$CQ$10*THDL!$CQ$9,THDL!$CQ$9,X23,AP23)</f>
        <v>0</v>
      </c>
      <c r="M23" s="73">
        <f>_xll.Beam_Function(THDL!$CK$2,"Ask",E23,F23,G23,H23,ABS(I23),THDL!$CN$5,THDL!$CQ$10,THDL!$CQ$11,THDL!$CQ$12,THDL!$CK$6,"Nén",THDL!$CK$7,THDL!$CT$3,THDL!$CT$13,THDL!$CT$16,THDL!$CT$17,THDL!$CT$18,THDL!$CQ$10*THDL!$CQ$9,THDL!$CQ$9,X23,AP23,THDL!$CK$11)</f>
        <v>0.82745244903543691</v>
      </c>
      <c r="N23" s="74">
        <v>12</v>
      </c>
      <c r="O23" s="74">
        <v>150</v>
      </c>
      <c r="P23" s="74"/>
      <c r="Q23" s="74"/>
      <c r="R23" s="74"/>
      <c r="S23" s="74"/>
      <c r="T23" s="74"/>
      <c r="U23" s="74"/>
      <c r="V23" s="74"/>
      <c r="W23" s="74"/>
      <c r="X23" s="75">
        <f t="shared" si="1"/>
        <v>5.6548669433593748</v>
      </c>
      <c r="Y23" s="75">
        <f t="shared" si="4"/>
        <v>0.11564145078444529</v>
      </c>
      <c r="Z23" s="75">
        <f t="shared" si="5"/>
        <v>6.8340687733189567</v>
      </c>
      <c r="AA23" s="73">
        <f>VLOOKUP(C23,NoiLuc!A:K,8,0)</f>
        <v>64.933166503906307</v>
      </c>
      <c r="AB23" s="73">
        <f>VLOOKUP(C23,NoiLuc!A:K,9,0)</f>
        <v>0.75</v>
      </c>
      <c r="AC23" s="73">
        <f>_xll.Slab_Function(THDL!$CK$2,E23,F23,H23,G23,AA23,THDL!$CN$5,THDL!$CQ$4,THDL!$CQ$5,THDL!$CQ$6,THDL!$CQ$10,THDL!$CQ$11,THDL!$CQ$12,THDL!$CK$6,"Nén",THDL!$CK$7,THDL!$CT$3,THDL!$CT$13,THDL!$CT$16,THDL!$CT$17,THDL!$CT$18,THDL!$CQ$3*THDL!$CQ$4,THDL!$CQ$3,THDL!$CQ$9*THDL!$CQ$10,THDL!$CQ$9,AF23,AG23,AH23,AI23,AJ23,AK23,AL23,AM23,AN23,AO23,THDL!$CK$11,8,"Mu",N23,O23,P23,Q23,R23,S23,T23,U23,V23,W23)</f>
        <v>113.38860359891758</v>
      </c>
      <c r="AD23" s="76">
        <f>_xll.Beam_Function(THDL!$CK$2,"Asn",E23,F23,H23,G23,ABS(AA23),THDL!$CN$5,THDL!$CQ$10,THDL!$CQ$11,THDL!$CQ$12,THDL!$CK$6,"Nén",THDL!$CK$7,THDL!$CT$3,THDL!$CT$13,THDL!$CT$16,THDL!$CT$17,THDL!$CT$18,THDL!$CQ$10*THDL!$CQ$9,THDL!$CQ$9,AP23,X23)</f>
        <v>0</v>
      </c>
      <c r="AE23" s="76">
        <f>_xll.Beam_Function(THDL!$CK$2,"Ask",E23,F23,H23,G23,ABS(AA23),THDL!$CN$5,THDL!$CQ$10,THDL!$CQ$11,THDL!$CQ$12,THDL!$CK$6,"Nén",THDL!$CK$7,THDL!$CT$3,THDL!$CT$13,THDL!$CT$16,THDL!$CT$17,THDL!$CT$18,THDL!$CQ$10*THDL!$CQ$9,THDL!$CQ$9,AP23,X23,THDL!$CK$11)</f>
        <v>3.2162880843150297</v>
      </c>
      <c r="AF23" s="74">
        <v>12</v>
      </c>
      <c r="AG23" s="74">
        <v>150</v>
      </c>
      <c r="AH23" s="74"/>
      <c r="AI23" s="74"/>
      <c r="AJ23" s="74"/>
      <c r="AK23" s="74"/>
      <c r="AL23" s="74"/>
      <c r="AM23" s="74"/>
      <c r="AN23" s="74"/>
      <c r="AO23" s="74"/>
      <c r="AP23" s="75">
        <f t="shared" si="2"/>
        <v>5.6548669433593748</v>
      </c>
      <c r="AQ23" s="75">
        <f t="shared" si="6"/>
        <v>0.12955021634271191</v>
      </c>
      <c r="AR23" s="75">
        <f t="shared" si="7"/>
        <v>1.7581966525127637</v>
      </c>
      <c r="AS23" s="77">
        <f>VLOOKUP(C23,NoiLuc!BA:BK,6,0)</f>
        <v>-18.8439025878906</v>
      </c>
      <c r="AT23" s="77">
        <f>VLOOKUP(C23,NoiLuc!AA:AK,6,0)</f>
        <v>-18.8439025878906</v>
      </c>
      <c r="AU23" s="77">
        <f>_xll.Slab_Crack_Function(THDL!$CK$2,"D"&amp;THDL!$CK$17,THDL!$CK$7,ABS(I23),ABS(AS23),ABS(AT23),ABS(AS23),E23,F23,G23,H23,X23,AP23,N23,O23,P23,Q23,R23,S23,T23,U23,V23,W23,THDL!$CN$6,THDL!$CN$8,THDL!$CN$9,THDL!$CQ$6,THDL!$CQ$12,THDL!$CT$6,THDL!$CT$9,THDL!$CT$19,THDL!$CT$20,THDL!$CT$21,THDL!$CT$22,THDL!$CT$23,THDL!$CT$24,THDL!$CT$25,THDL!$CK$21,THDL!$CQ$4*THDL!$CQ$3)</f>
        <v>0</v>
      </c>
      <c r="AV23" s="77">
        <f>_xll.Slab_Crack_Function(THDL!$CK$2,"N"&amp;THDL!$CK$17,THDL!$CK$7,ABS(I23),ABS(AS23),ABS(AT23),ABS(AS23),E23,F23,G23,H23,X23,AP23,N23,O23,P23,Q23,R23,S23,T23,U23,V23,W23,THDL!$CN$6,THDL!$CN$8,THDL!$CN$9,THDL!$CQ$6,THDL!$CQ$12,THDL!$CT$6,THDL!$CT$9,THDL!$CT$19,THDL!$CT$20,THDL!$CT$21,THDL!$CT$22,THDL!$CT$23,THDL!$CT$24,THDL!$CT$25,THDL!$CK$21,THDL!$CQ$4*THDL!$CQ$3)</f>
        <v>0</v>
      </c>
      <c r="AW23" s="77" t="str">
        <f>IF(AND(AU23&lt;=THDL!$CK$8,AV23&lt;=THDL!$CK$9),"OK","FAIL")</f>
        <v>OK</v>
      </c>
      <c r="AX23" s="77">
        <f>VLOOKUP(C23,NoiLuc!BA:BK,8,0)</f>
        <v>64.933166503906307</v>
      </c>
      <c r="AY23" s="77">
        <f>VLOOKUP(C23,NoiLuc!AA:AK,8,0)</f>
        <v>64.933166503906307</v>
      </c>
      <c r="AZ23" s="77">
        <f>_xll.Slab_Crack_Function(THDL!$CK$2,"D"&amp;THDL!$CK$17,THDL!$CK$7,ABS(AA23),ABS(AX23),ABS(AY23),ABS(AX23),E23,F23,H23,G23,AP23,X23,AF23,AG23,AH23,AI23,AJ23,AK23,AL23,AM23,AN23,AO23,THDL!$CN$6,THDL!$CN$8,THDL!$CN$9,THDL!$CQ$6,THDL!$CQ$12,THDL!$CT$6,THDL!$CT$9,THDL!$CT$19,THDL!$CT$20,THDL!$CT$21,THDL!$CT$22,THDL!$CT$23,THDL!$CT$24,THDL!$CT$25,THDL!$CK$21,THDL!$CQ$4*THDL!$CQ$3)</f>
        <v>0</v>
      </c>
      <c r="BA23" s="77">
        <f>_xll.Slab_Crack_Function(THDL!$CK$2,"N"&amp;THDL!$CK$17,THDL!$CK$7,ABS(AA23),ABS(AX23),ABS(AY23),ABS(AX23),E23,F23,H23,G23,AP23,X23,AF23,AG23,AH23,AI23,AJ23,AK23,AL23,AM23,AN23,AO23,THDL!$CN$6,THDL!$CN$8,THDL!$CN$9,THDL!$CQ$6,THDL!$CQ$12,THDL!$CT$6,THDL!$CT$9,THDL!$CT$19,THDL!$CT$20,THDL!$CT$21,THDL!$CT$22,THDL!$CT$23,THDL!$CT$24,THDL!$CT$25,THDL!$CK$21,THDL!$CQ$4*THDL!$CQ$3)</f>
        <v>0</v>
      </c>
      <c r="BB23" s="77" t="str">
        <f>IF(AND(AZ23&lt;=THDL!$CK$8,BA23&lt;=THDL!$CK$9),"OK","FAIL")</f>
        <v>OK</v>
      </c>
      <c r="BC23" s="78">
        <f>VLOOKUP(C23,NoiLuc!A:K,10,0)</f>
        <v>219.555099487305</v>
      </c>
      <c r="BD23" s="79">
        <f>_xll.Foundation_TinhHeSoCChiuCat(E23,F23,MAX(G23,H23),BM23,BN23,BO23,BP23,BF23,BC23,THDL!$CK$18,THDL!$CK$19)</f>
        <v>1.5</v>
      </c>
      <c r="BE23" s="80">
        <f t="shared" si="8"/>
        <v>873</v>
      </c>
      <c r="BF23" s="78">
        <f>THDL!$CN$7</f>
        <v>1.05</v>
      </c>
      <c r="BG23" s="78">
        <f t="shared" si="9"/>
        <v>458.32500000000005</v>
      </c>
      <c r="BH23" s="78">
        <f t="shared" si="10"/>
        <v>458.32500000000005</v>
      </c>
      <c r="BI23" s="81" t="str">
        <f t="shared" si="11"/>
        <v>OK</v>
      </c>
      <c r="BJ23" s="78">
        <f t="shared" si="12"/>
        <v>0</v>
      </c>
      <c r="BK23" s="82">
        <f t="shared" si="13"/>
        <v>1.5</v>
      </c>
      <c r="BL23" s="80">
        <f t="shared" si="14"/>
        <v>873</v>
      </c>
      <c r="BM23" s="83">
        <f t="shared" si="15"/>
        <v>2</v>
      </c>
      <c r="BN23" s="83">
        <f t="shared" si="16"/>
        <v>12</v>
      </c>
      <c r="BO23" s="83">
        <f t="shared" si="17"/>
        <v>100</v>
      </c>
      <c r="BP23" s="78">
        <f>IF(BN23&gt;8,THDL!$CQ$16,THDL!$CQ$15)</f>
        <v>280</v>
      </c>
      <c r="BQ23" s="78" t="str">
        <f t="shared" si="18"/>
        <v/>
      </c>
      <c r="BR23" s="78" t="str">
        <f t="shared" si="19"/>
        <v/>
      </c>
      <c r="BS23" s="78" t="str">
        <f t="shared" si="20"/>
        <v/>
      </c>
    </row>
    <row r="24" spans="1:71">
      <c r="A24" s="84" t="s">
        <v>287</v>
      </c>
      <c r="B24" s="85" t="str">
        <f t="shared" si="3"/>
        <v>M18</v>
      </c>
      <c r="C24" s="86" t="str">
        <f>IFERROR(VLOOKUP(A24,BanVe!A:AH,34,0),0)</f>
        <v>CSB3</v>
      </c>
      <c r="D24" s="71" t="str">
        <f>IFERROR(IF(UPPER(VLOOKUP(A24,BanVe!A:B,2,0))="STRIPA","STRIP A",IF(UPPER(VLOOKUP(A24,BanVe!A:B,2,0))="STRIPB","STRIP B","KXD")),"KXD")</f>
        <v>STRIP B</v>
      </c>
      <c r="E24" s="86">
        <f>VLOOKUP(C24,NoiLuc!A:K,4,0)</f>
        <v>1500</v>
      </c>
      <c r="F24" s="85">
        <v>700</v>
      </c>
      <c r="G24" s="87">
        <f>TRONGTAM_a(E24,THDL!$CK$10,THDL!$CK$16,N24,P24,R24,T24,V24,O24,Q24,S24,U24,W24,0)</f>
        <v>48</v>
      </c>
      <c r="H24" s="87">
        <f>TRONGTAM_a(E24,THDL!$CK$15,THDL!$CK$16,AF24,AH24,AJ24,AL24,AN24,AG24,AI24,AK24,AM24,AO24,0)</f>
        <v>118</v>
      </c>
      <c r="I24" s="88">
        <f>VLOOKUP(C24,NoiLuc!A:K,6,0)</f>
        <v>-24.8232936859131</v>
      </c>
      <c r="J24" s="88">
        <f>VLOOKUP(C24,NoiLuc!A:K,7,0)</f>
        <v>0.375000000000065</v>
      </c>
      <c r="K24" s="73">
        <f>_xll.Slab_Function(THDL!$CK$2,E24,F24,G24,H24,I24,THDL!$CN$5,THDL!$CQ$4,THDL!$CQ$5,THDL!$CQ$6,THDL!$CQ$10,THDL!$CQ$11,THDL!$CQ$12,THDL!$CK$6,"Nén",THDL!$CK$7,THDL!$CT$3,THDL!$CT$13,THDL!$CT$16,THDL!$CT$17,THDL!$CT$18,THDL!$CQ$3*THDL!$CQ$4,THDL!$CQ$3,THDL!$CQ$9*THDL!$CQ$10,THDL!$CQ$9,N24,O24,P24,Q24,R24,S24,T24,U24,V24,W24,THDL!$CK$11,8,"Mu",AF24,AG24,AH24,AI24,AJ24,AK24,AL24,AM24,AN24,AO24)</f>
        <v>254.4860544024971</v>
      </c>
      <c r="L24" s="88">
        <f>_xll.Beam_Function(THDL!$CK$2,"Asn",E24,F24,G24,H24,ABS(I24),THDL!$CN$5,THDL!$CQ$10,THDL!$CQ$11,THDL!$CQ$12,THDL!$CK$6,"Nén",THDL!$CK$7,THDL!$CT$3,THDL!$CT$13,THDL!$CT$16,THDL!$CT$17,THDL!$CT$18,THDL!$CQ$10*THDL!$CQ$9,THDL!$CQ$9,X24,AP24)</f>
        <v>0</v>
      </c>
      <c r="M24" s="88">
        <f>_xll.Beam_Function(THDL!$CK$2,"Ask",E24,F24,G24,H24,ABS(I24),THDL!$CN$5,THDL!$CQ$10,THDL!$CQ$11,THDL!$CQ$12,THDL!$CK$6,"Nén",THDL!$CK$7,THDL!$CT$3,THDL!$CT$13,THDL!$CT$16,THDL!$CT$17,THDL!$CT$18,THDL!$CQ$10*THDL!$CQ$9,THDL!$CQ$9,X24,AP24,THDL!$CK$11)</f>
        <v>1.0892509072222929</v>
      </c>
      <c r="N24" s="89">
        <v>12</v>
      </c>
      <c r="O24" s="89">
        <v>150</v>
      </c>
      <c r="P24" s="89"/>
      <c r="Q24" s="89"/>
      <c r="R24" s="89"/>
      <c r="S24" s="89"/>
      <c r="T24" s="89"/>
      <c r="U24" s="89"/>
      <c r="V24" s="89"/>
      <c r="W24" s="89"/>
      <c r="X24" s="90">
        <f t="shared" si="1"/>
        <v>11.30973388671875</v>
      </c>
      <c r="Y24" s="90">
        <f t="shared" si="4"/>
        <v>0.11564145078444529</v>
      </c>
      <c r="Z24" s="90">
        <f t="shared" si="5"/>
        <v>10.383038298824822</v>
      </c>
      <c r="AA24" s="88">
        <f>VLOOKUP(C24,NoiLuc!A:K,8,0)</f>
        <v>1</v>
      </c>
      <c r="AB24" s="88" t="str">
        <f>VLOOKUP(C24,NoiLuc!A:K,9,0)</f>
        <v>-</v>
      </c>
      <c r="AC24" s="73">
        <f>_xll.Slab_Function(THDL!$CK$2,E24,F24,H24,G24,AA24,THDL!$CN$5,THDL!$CQ$4,THDL!$CQ$5,THDL!$CQ$6,THDL!$CQ$10,THDL!$CQ$11,THDL!$CQ$12,THDL!$CK$6,"Nén",THDL!$CK$7,THDL!$CT$3,THDL!$CT$13,THDL!$CT$16,THDL!$CT$17,THDL!$CT$18,THDL!$CQ$3*THDL!$CQ$4,THDL!$CQ$3,THDL!$CQ$9*THDL!$CQ$10,THDL!$CQ$9,AF24,AG24,AH24,AI24,AJ24,AK24,AL24,AM24,AN24,AO24,THDL!$CK$11,8,"Mu",N24,O24,P24,Q24,R24,S24,T24,U24,V24,W24)</f>
        <v>226.77720719783517</v>
      </c>
      <c r="AD24" s="91">
        <f>_xll.Beam_Function(THDL!$CK$2,"Asn",E24,F24,H24,G24,ABS(AA24),THDL!$CN$5,THDL!$CQ$10,THDL!$CQ$11,THDL!$CQ$12,THDL!$CK$6,"Nén",THDL!$CK$7,THDL!$CT$3,THDL!$CT$13,THDL!$CT$16,THDL!$CT$17,THDL!$CT$18,THDL!$CQ$10*THDL!$CQ$9,THDL!$CQ$9,AP24,X24)</f>
        <v>0</v>
      </c>
      <c r="AE24" s="91">
        <f>_xll.Beam_Function(THDL!$CK$2,"Ask",E24,F24,H24,G24,ABS(AA24),THDL!$CN$5,THDL!$CQ$10,THDL!$CQ$11,THDL!$CQ$12,THDL!$CK$6,"Nén",THDL!$CK$7,THDL!$CT$3,THDL!$CT$13,THDL!$CT$16,THDL!$CT$17,THDL!$CT$18,THDL!$CQ$10*THDL!$CQ$9,THDL!$CQ$9,AP24,X24,THDL!$CK$11)</f>
        <v>4.909513388170491E-2</v>
      </c>
      <c r="AF24" s="89">
        <v>12</v>
      </c>
      <c r="AG24" s="89">
        <v>150</v>
      </c>
      <c r="AH24" s="89"/>
      <c r="AI24" s="89"/>
      <c r="AJ24" s="89"/>
      <c r="AK24" s="89"/>
      <c r="AL24" s="89"/>
      <c r="AM24" s="89"/>
      <c r="AN24" s="89"/>
      <c r="AO24" s="89"/>
      <c r="AP24" s="90">
        <f t="shared" si="2"/>
        <v>11.30973388671875</v>
      </c>
      <c r="AQ24" s="90">
        <f t="shared" si="6"/>
        <v>0.12955021634271191</v>
      </c>
      <c r="AR24" s="90">
        <f t="shared" si="7"/>
        <v>230.36364284023824</v>
      </c>
      <c r="AS24" s="77">
        <f>VLOOKUP(C24,NoiLuc!BA:BK,6,0)</f>
        <v>-24.8232936859131</v>
      </c>
      <c r="AT24" s="77">
        <f>VLOOKUP(C24,NoiLuc!AA:AK,6,0)</f>
        <v>-24.8232936859131</v>
      </c>
      <c r="AU24" s="92">
        <f>_xll.Slab_Crack_Function(THDL!$CK$2,"D"&amp;THDL!$CK$17,THDL!$CK$7,ABS(I24),ABS(AS24),ABS(AT24),ABS(AS24),E24,F24,G24,H24,X24,AP24,N24,O24,P24,Q24,R24,S24,T24,U24,V24,W24,THDL!$CN$6,THDL!$CN$8,THDL!$CN$9,THDL!$CQ$6,THDL!$CQ$12,THDL!$CT$6,THDL!$CT$9,THDL!$CT$19,THDL!$CT$20,THDL!$CT$21,THDL!$CT$22,THDL!$CT$23,THDL!$CT$24,THDL!$CT$25,THDL!$CK$21,THDL!$CQ$4*THDL!$CQ$3)</f>
        <v>0</v>
      </c>
      <c r="AV24" s="92">
        <f>_xll.Slab_Crack_Function(THDL!$CK$2,"N"&amp;THDL!$CK$17,THDL!$CK$7,ABS(I24),ABS(AS24),ABS(AT24),ABS(AS24),E24,F24,G24,H24,X24,AP24,N24,O24,P24,Q24,R24,S24,T24,U24,V24,W24,THDL!$CN$6,THDL!$CN$8,THDL!$CN$9,THDL!$CQ$6,THDL!$CQ$12,THDL!$CT$6,THDL!$CT$9,THDL!$CT$19,THDL!$CT$20,THDL!$CT$21,THDL!$CT$22,THDL!$CT$23,THDL!$CT$24,THDL!$CT$25,THDL!$CK$21,THDL!$CQ$4*THDL!$CQ$3)</f>
        <v>0</v>
      </c>
      <c r="AW24" s="92" t="str">
        <f>IF(AND(AU24&lt;=THDL!$CK$8,AV24&lt;=THDL!$CK$9),"OK","FAIL")</f>
        <v>OK</v>
      </c>
      <c r="AX24" s="77">
        <f>VLOOKUP(C24,NoiLuc!BA:BK,8,0)</f>
        <v>1</v>
      </c>
      <c r="AY24" s="77">
        <f>VLOOKUP(C24,NoiLuc!AA:AK,8,0)</f>
        <v>1</v>
      </c>
      <c r="AZ24" s="92">
        <f>_xll.Slab_Crack_Function(THDL!$CK$2,"D"&amp;THDL!$CK$17,THDL!$CK$7,ABS(AA24),ABS(AX24),ABS(AY24),ABS(AX24),E24,F24,H24,G24,AP24,X24,AF24,AG24,AH24,AI24,AJ24,AK24,AL24,AM24,AN24,AO24,THDL!$CN$6,THDL!$CN$8,THDL!$CN$9,THDL!$CQ$6,THDL!$CQ$12,THDL!$CT$6,THDL!$CT$9,THDL!$CT$19,THDL!$CT$20,THDL!$CT$21,THDL!$CT$22,THDL!$CT$23,THDL!$CT$24,THDL!$CT$25,THDL!$CK$21,THDL!$CQ$4*THDL!$CQ$3)</f>
        <v>0</v>
      </c>
      <c r="BA24" s="92">
        <f>_xll.Slab_Crack_Function(THDL!$CK$2,"N"&amp;THDL!$CK$17,THDL!$CK$7,ABS(AA24),ABS(AX24),ABS(AY24),ABS(AX24),E24,F24,H24,G24,AP24,X24,AF24,AG24,AH24,AI24,AJ24,AK24,AL24,AM24,AN24,AO24,THDL!$CN$6,THDL!$CN$8,THDL!$CN$9,THDL!$CQ$6,THDL!$CQ$12,THDL!$CT$6,THDL!$CT$9,THDL!$CT$19,THDL!$CT$20,THDL!$CT$21,THDL!$CT$22,THDL!$CT$23,THDL!$CT$24,THDL!$CT$25,THDL!$CK$21,THDL!$CQ$4*THDL!$CQ$3)</f>
        <v>0</v>
      </c>
      <c r="BB24" s="92" t="str">
        <f>IF(AND(AZ24&lt;=THDL!$CK$8,BA24&lt;=THDL!$CK$9),"OK","FAIL")</f>
        <v>OK</v>
      </c>
      <c r="BC24" s="93">
        <f>VLOOKUP(C24,NoiLuc!A:K,10,0)</f>
        <v>18.9578742980957</v>
      </c>
      <c r="BD24" s="94">
        <f>_xll.Foundation_TinhHeSoCChiuCat(E24,F24,MAX(G24,H24),BM24,BN24,BO24,BP24,BF24,BC24,THDL!$CK$18,THDL!$CK$19)</f>
        <v>1.5</v>
      </c>
      <c r="BE24" s="95">
        <f t="shared" si="8"/>
        <v>873</v>
      </c>
      <c r="BF24" s="93">
        <f>THDL!$CN$7</f>
        <v>1.05</v>
      </c>
      <c r="BG24" s="93">
        <f t="shared" si="9"/>
        <v>916.65000000000009</v>
      </c>
      <c r="BH24" s="93">
        <f t="shared" si="10"/>
        <v>916.65000000000009</v>
      </c>
      <c r="BI24" s="96" t="str">
        <f t="shared" si="11"/>
        <v>OK</v>
      </c>
      <c r="BJ24" s="93">
        <f t="shared" si="12"/>
        <v>0</v>
      </c>
      <c r="BK24" s="97">
        <f t="shared" si="13"/>
        <v>1.5</v>
      </c>
      <c r="BL24" s="95">
        <f t="shared" si="14"/>
        <v>873</v>
      </c>
      <c r="BM24" s="98">
        <f t="shared" si="15"/>
        <v>2</v>
      </c>
      <c r="BN24" s="98">
        <f t="shared" si="16"/>
        <v>12</v>
      </c>
      <c r="BO24" s="98">
        <f t="shared" si="17"/>
        <v>100</v>
      </c>
      <c r="BP24" s="93">
        <f>IF(BN24&gt;8,THDL!$CQ$16,THDL!$CQ$15)</f>
        <v>280</v>
      </c>
      <c r="BQ24" s="93" t="str">
        <f t="shared" si="18"/>
        <v/>
      </c>
      <c r="BR24" s="93" t="str">
        <f t="shared" si="19"/>
        <v/>
      </c>
      <c r="BS24" s="93" t="str">
        <f t="shared" si="20"/>
        <v/>
      </c>
    </row>
    <row r="25" spans="1:71">
      <c r="A25" s="99" t="s">
        <v>289</v>
      </c>
      <c r="B25" s="100" t="str">
        <f t="shared" si="3"/>
        <v>M1</v>
      </c>
      <c r="C25" s="101" t="str">
        <f>IFERROR(VLOOKUP(A25,BanVe!A:AH,34,0),0)</f>
        <v>CSA11</v>
      </c>
      <c r="D25" s="71" t="str">
        <f>IFERROR(IF(UPPER(VLOOKUP(A25,BanVe!A:B,2,0))="STRIPA","STRIP A",IF(UPPER(VLOOKUP(A25,BanVe!A:B,2,0))="STRIPB","STRIP B","KXD")),"KXD")</f>
        <v>STRIP A</v>
      </c>
      <c r="E25" s="101">
        <f>VLOOKUP(C25,NoiLuc!A:K,4,0)</f>
        <v>1400</v>
      </c>
      <c r="F25" s="100">
        <v>700</v>
      </c>
      <c r="G25" s="102">
        <f>TRONGTAM_a(E25,THDL!$CK$10,THDL!$CK$16,N25,P25,R25,T25,V25,O25,Q25,S25,U25,W25,0)</f>
        <v>48</v>
      </c>
      <c r="H25" s="102">
        <f>TRONGTAM_a(E25,THDL!$CK$15,THDL!$CK$16,AF25,AH25,AJ25,AL25,AN25,AG25,AI25,AK25,AM25,AO25,0)</f>
        <v>118</v>
      </c>
      <c r="I25" s="103">
        <f>VLOOKUP(C25,NoiLuc!A:K,6,0)</f>
        <v>-1.75952172279358</v>
      </c>
      <c r="J25" s="103">
        <f>VLOOKUP(C25,NoiLuc!A:K,7,0)</f>
        <v>0</v>
      </c>
      <c r="K25" s="73">
        <f>_xll.Slab_Function(THDL!$CK$2,E25,F25,G25,H25,I25,THDL!$CN$5,THDL!$CQ$4,THDL!$CQ$5,THDL!$CQ$6,THDL!$CQ$10,THDL!$CQ$11,THDL!$CQ$12,THDL!$CK$6,"Nén",THDL!$CK$7,THDL!$CT$3,THDL!$CT$13,THDL!$CT$16,THDL!$CT$17,THDL!$CT$18,THDL!$CQ$3*THDL!$CQ$4,THDL!$CQ$3,THDL!$CQ$9*THDL!$CQ$10,THDL!$CQ$9,N25,O25,P25,Q25,R25,S25,T25,U25,V25,W25,THDL!$CK$11,8,"Mu",AF25,AG25,AH25,AI25,AJ25,AK25,AL25,AM25,AN25,AO25)</f>
        <v>237.52031744233068</v>
      </c>
      <c r="L25" s="103">
        <f>_xll.Beam_Function(THDL!$CK$2,"Asn",E25,F25,G25,H25,ABS(I25),THDL!$CN$5,THDL!$CQ$10,THDL!$CQ$11,THDL!$CQ$12,THDL!$CK$6,"Nén",THDL!$CK$7,THDL!$CT$3,THDL!$CT$13,THDL!$CT$16,THDL!$CT$17,THDL!$CT$18,THDL!$CQ$10*THDL!$CQ$9,THDL!$CQ$9,X25,AP25)</f>
        <v>0</v>
      </c>
      <c r="M25" s="103">
        <f>_xll.Beam_Function(THDL!$CK$2,"Ask",E25,F25,G25,H25,ABS(I25),THDL!$CN$5,THDL!$CQ$10,THDL!$CQ$11,THDL!$CQ$12,THDL!$CK$6,"Nén",THDL!$CK$7,THDL!$CT$3,THDL!$CT$13,THDL!$CT$16,THDL!$CT$17,THDL!$CT$18,THDL!$CQ$10*THDL!$CQ$9,THDL!$CQ$9,X25,AP25,THDL!$CK$11)</f>
        <v>7.7112232116886462E-2</v>
      </c>
      <c r="N25" s="104">
        <v>12</v>
      </c>
      <c r="O25" s="104">
        <v>150</v>
      </c>
      <c r="P25" s="104"/>
      <c r="Q25" s="104"/>
      <c r="R25" s="104"/>
      <c r="S25" s="104"/>
      <c r="T25" s="104"/>
      <c r="U25" s="104"/>
      <c r="V25" s="104"/>
      <c r="W25" s="104"/>
      <c r="X25" s="105">
        <f t="shared" si="1"/>
        <v>10.555750732421876</v>
      </c>
      <c r="Y25" s="105">
        <f t="shared" si="4"/>
        <v>0.11564144097745262</v>
      </c>
      <c r="Z25" s="105">
        <f t="shared" si="5"/>
        <v>136.88814916447373</v>
      </c>
      <c r="AA25" s="103">
        <f>VLOOKUP(C25,NoiLuc!A:K,8,0)</f>
        <v>71.438308715820298</v>
      </c>
      <c r="AB25" s="103">
        <f>VLOOKUP(C25,NoiLuc!A:K,9,0)</f>
        <v>0.749999999999996</v>
      </c>
      <c r="AC25" s="73">
        <f>_xll.Slab_Function(THDL!$CK$2,E25,F25,H25,G25,AA25,THDL!$CN$5,THDL!$CQ$4,THDL!$CQ$5,THDL!$CQ$6,THDL!$CQ$10,THDL!$CQ$11,THDL!$CQ$12,THDL!$CK$6,"Nén",THDL!$CK$7,THDL!$CT$3,THDL!$CT$13,THDL!$CT$16,THDL!$CT$17,THDL!$CT$18,THDL!$CQ$3*THDL!$CQ$4,THDL!$CQ$3,THDL!$CQ$9*THDL!$CQ$10,THDL!$CQ$9,AF25,AG25,AH25,AI25,AJ25,AK25,AL25,AM25,AN25,AO25,THDL!$CK$11,8,"Mu",N25,O25,P25,Q25,R25,S25,T25,U25,V25,W25)</f>
        <v>211.6587267179795</v>
      </c>
      <c r="AD25" s="106">
        <f>_xll.Beam_Function(THDL!$CK$2,"Asn",E25,F25,H25,G25,ABS(AA25),THDL!$CN$5,THDL!$CQ$10,THDL!$CQ$11,THDL!$CQ$12,THDL!$CK$6,"Nén",THDL!$CK$7,THDL!$CT$3,THDL!$CT$13,THDL!$CT$16,THDL!$CT$17,THDL!$CT$18,THDL!$CQ$10*THDL!$CQ$9,THDL!$CQ$9,AP25,X25)</f>
        <v>0</v>
      </c>
      <c r="AE25" s="106">
        <f>_xll.Beam_Function(THDL!$CK$2,"Ask",E25,F25,H25,G25,ABS(AA25),THDL!$CN$5,THDL!$CQ$10,THDL!$CQ$11,THDL!$CQ$12,THDL!$CK$6,"Nén",THDL!$CK$7,THDL!$CT$3,THDL!$CT$13,THDL!$CT$16,THDL!$CT$17,THDL!$CT$18,THDL!$CQ$10*THDL!$CQ$9,THDL!$CQ$9,AP25,X25,THDL!$CK$11)</f>
        <v>3.5254449915334858</v>
      </c>
      <c r="AF25" s="104">
        <v>12</v>
      </c>
      <c r="AG25" s="104">
        <v>150</v>
      </c>
      <c r="AH25" s="104"/>
      <c r="AI25" s="104"/>
      <c r="AJ25" s="104"/>
      <c r="AK25" s="104"/>
      <c r="AL25" s="104"/>
      <c r="AM25" s="104"/>
      <c r="AN25" s="104"/>
      <c r="AO25" s="104"/>
      <c r="AP25" s="105">
        <f t="shared" si="2"/>
        <v>10.555750732421876</v>
      </c>
      <c r="AQ25" s="105">
        <f t="shared" si="6"/>
        <v>0.12955020535618403</v>
      </c>
      <c r="AR25" s="105">
        <f t="shared" si="7"/>
        <v>2.9941612357509433</v>
      </c>
      <c r="AS25" s="77">
        <f>VLOOKUP(C25,NoiLuc!BA:BK,6,0)</f>
        <v>-1.75952172279358</v>
      </c>
      <c r="AT25" s="77">
        <f>VLOOKUP(C25,NoiLuc!AA:AK,6,0)</f>
        <v>-1.75952172279358</v>
      </c>
      <c r="AU25" s="107">
        <f>_xll.Slab_Crack_Function(THDL!$CK$2,"D"&amp;THDL!$CK$17,THDL!$CK$7,ABS(I25),ABS(AS25),ABS(AT25),ABS(AS25),E25,F25,G25,H25,X25,AP25,N25,O25,P25,Q25,R25,S25,T25,U25,V25,W25,THDL!$CN$6,THDL!$CN$8,THDL!$CN$9,THDL!$CQ$6,THDL!$CQ$12,THDL!$CT$6,THDL!$CT$9,THDL!$CT$19,THDL!$CT$20,THDL!$CT$21,THDL!$CT$22,THDL!$CT$23,THDL!$CT$24,THDL!$CT$25,THDL!$CK$21,THDL!$CQ$4*THDL!$CQ$3)</f>
        <v>0</v>
      </c>
      <c r="AV25" s="107">
        <f>_xll.Slab_Crack_Function(THDL!$CK$2,"N"&amp;THDL!$CK$17,THDL!$CK$7,ABS(I25),ABS(AS25),ABS(AT25),ABS(AS25),E25,F25,G25,H25,X25,AP25,N25,O25,P25,Q25,R25,S25,T25,U25,V25,W25,THDL!$CN$6,THDL!$CN$8,THDL!$CN$9,THDL!$CQ$6,THDL!$CQ$12,THDL!$CT$6,THDL!$CT$9,THDL!$CT$19,THDL!$CT$20,THDL!$CT$21,THDL!$CT$22,THDL!$CT$23,THDL!$CT$24,THDL!$CT$25,THDL!$CK$21,THDL!$CQ$4*THDL!$CQ$3)</f>
        <v>0</v>
      </c>
      <c r="AW25" s="107" t="str">
        <f>IF(AND(AU25&lt;=THDL!$CK$8,AV25&lt;=THDL!$CK$9),"OK","FAIL")</f>
        <v>OK</v>
      </c>
      <c r="AX25" s="77">
        <f>VLOOKUP(C25,NoiLuc!BA:BK,8,0)</f>
        <v>71.438308715820298</v>
      </c>
      <c r="AY25" s="77">
        <f>VLOOKUP(C25,NoiLuc!AA:AK,8,0)</f>
        <v>71.438308715820298</v>
      </c>
      <c r="AZ25" s="107">
        <f>_xll.Slab_Crack_Function(THDL!$CK$2,"D"&amp;THDL!$CK$17,THDL!$CK$7,ABS(AA25),ABS(AX25),ABS(AY25),ABS(AX25),E25,F25,H25,G25,AP25,X25,AF25,AG25,AH25,AI25,AJ25,AK25,AL25,AM25,AN25,AO25,THDL!$CN$6,THDL!$CN$8,THDL!$CN$9,THDL!$CQ$6,THDL!$CQ$12,THDL!$CT$6,THDL!$CT$9,THDL!$CT$19,THDL!$CT$20,THDL!$CT$21,THDL!$CT$22,THDL!$CT$23,THDL!$CT$24,THDL!$CT$25,THDL!$CK$21,THDL!$CQ$4*THDL!$CQ$3)</f>
        <v>0</v>
      </c>
      <c r="BA25" s="107">
        <f>_xll.Slab_Crack_Function(THDL!$CK$2,"N"&amp;THDL!$CK$17,THDL!$CK$7,ABS(AA25),ABS(AX25),ABS(AY25),ABS(AX25),E25,F25,H25,G25,AP25,X25,AF25,AG25,AH25,AI25,AJ25,AK25,AL25,AM25,AN25,AO25,THDL!$CN$6,THDL!$CN$8,THDL!$CN$9,THDL!$CQ$6,THDL!$CQ$12,THDL!$CT$6,THDL!$CT$9,THDL!$CT$19,THDL!$CT$20,THDL!$CT$21,THDL!$CT$22,THDL!$CT$23,THDL!$CT$24,THDL!$CT$25,THDL!$CK$21,THDL!$CQ$4*THDL!$CQ$3)</f>
        <v>0</v>
      </c>
      <c r="BB25" s="107" t="str">
        <f>IF(AND(AZ25&lt;=THDL!$CK$8,BA25&lt;=THDL!$CK$9),"OK","FAIL")</f>
        <v>OK</v>
      </c>
      <c r="BC25" s="108">
        <f>VLOOKUP(C25,NoiLuc!A:K,10,0)</f>
        <v>195.27061462402301</v>
      </c>
      <c r="BD25" s="109">
        <f>_xll.Foundation_TinhHeSoCChiuCat(E25,F25,MAX(G25,H25),BM25,BN25,BO25,BP25,BF25,BC25,THDL!$CK$18,THDL!$CK$19)</f>
        <v>1.5</v>
      </c>
      <c r="BE25" s="110">
        <f t="shared" si="8"/>
        <v>873</v>
      </c>
      <c r="BF25" s="108">
        <f>THDL!$CN$7</f>
        <v>1.05</v>
      </c>
      <c r="BG25" s="108">
        <f t="shared" si="9"/>
        <v>855.54000000000008</v>
      </c>
      <c r="BH25" s="108">
        <f t="shared" si="10"/>
        <v>855.54000000000008</v>
      </c>
      <c r="BI25" s="111" t="str">
        <f t="shared" si="11"/>
        <v>OK</v>
      </c>
      <c r="BJ25" s="108">
        <f t="shared" si="12"/>
        <v>0</v>
      </c>
      <c r="BK25" s="112">
        <f t="shared" si="13"/>
        <v>1.5</v>
      </c>
      <c r="BL25" s="110">
        <f t="shared" si="14"/>
        <v>873</v>
      </c>
      <c r="BM25" s="113">
        <f t="shared" si="15"/>
        <v>2</v>
      </c>
      <c r="BN25" s="113">
        <f t="shared" si="16"/>
        <v>12</v>
      </c>
      <c r="BO25" s="113">
        <f t="shared" si="17"/>
        <v>100</v>
      </c>
      <c r="BP25" s="108">
        <f>IF(BN25&gt;8,THDL!$CQ$16,THDL!$CQ$15)</f>
        <v>280</v>
      </c>
      <c r="BQ25" s="108" t="str">
        <f t="shared" si="18"/>
        <v/>
      </c>
      <c r="BR25" s="108" t="str">
        <f t="shared" si="19"/>
        <v/>
      </c>
      <c r="BS25" s="108" t="str">
        <f t="shared" si="20"/>
        <v/>
      </c>
    </row>
    <row r="26" spans="1:71">
      <c r="A26" s="114" t="s">
        <v>292</v>
      </c>
      <c r="B26" s="115" t="str">
        <f t="shared" si="3"/>
        <v>M1</v>
      </c>
      <c r="C26" s="116" t="str">
        <f>IFERROR(VLOOKUP(A26,BanVe!A:AH,34,0),0)</f>
        <v>CSB13</v>
      </c>
      <c r="D26" s="71" t="str">
        <f>IFERROR(IF(UPPER(VLOOKUP(A26,BanVe!A:B,2,0))="STRIPA","STRIP A",IF(UPPER(VLOOKUP(A26,BanVe!A:B,2,0))="STRIPB","STRIP B","KXD")),"KXD")</f>
        <v>STRIP B</v>
      </c>
      <c r="E26" s="116">
        <f>VLOOKUP(C26,NoiLuc!A:K,4,0)</f>
        <v>1500</v>
      </c>
      <c r="F26" s="115">
        <v>700</v>
      </c>
      <c r="G26" s="117">
        <f>TRONGTAM_a(E26,THDL!$CK$10,THDL!$CK$16,N26,P26,R26,T26,V26,O26,Q26,S26,U26,W26,0)</f>
        <v>48</v>
      </c>
      <c r="H26" s="117">
        <f>TRONGTAM_a(E26,THDL!$CK$15,THDL!$CK$16,AF26,AH26,AJ26,AL26,AN26,AG26,AI26,AK26,AM26,AO26,0)</f>
        <v>118</v>
      </c>
      <c r="I26" s="118">
        <f>VLOOKUP(C26,NoiLuc!A:K,6,0)</f>
        <v>-8.8704957962036097</v>
      </c>
      <c r="J26" s="118">
        <f>VLOOKUP(C26,NoiLuc!A:K,7,0)</f>
        <v>1.0249999999999899</v>
      </c>
      <c r="K26" s="73">
        <f>_xll.Slab_Function(THDL!$CK$2,E26,F26,G26,H26,I26,THDL!$CN$5,THDL!$CQ$4,THDL!$CQ$5,THDL!$CQ$6,THDL!$CQ$10,THDL!$CQ$11,THDL!$CQ$12,THDL!$CK$6,"Nén",THDL!$CK$7,THDL!$CT$3,THDL!$CT$13,THDL!$CT$16,THDL!$CT$17,THDL!$CT$18,THDL!$CQ$3*THDL!$CQ$4,THDL!$CQ$3,THDL!$CQ$9*THDL!$CQ$10,THDL!$CQ$9,N26,O26,P26,Q26,R26,S26,T26,U26,V26,W26,THDL!$CK$11,8,"Mu",AF26,AG26,AH26,AI26,AJ26,AK26,AL26,AM26,AN26,AO26)</f>
        <v>254.4860544024971</v>
      </c>
      <c r="L26" s="118">
        <f>_xll.Beam_Function(THDL!$CK$2,"Asn",E26,F26,G26,H26,ABS(I26),THDL!$CN$5,THDL!$CQ$10,THDL!$CQ$11,THDL!$CQ$12,THDL!$CK$6,"Nén",THDL!$CK$7,THDL!$CT$3,THDL!$CT$13,THDL!$CT$16,THDL!$CT$17,THDL!$CT$18,THDL!$CQ$10*THDL!$CQ$9,THDL!$CQ$9,X26,AP26)</f>
        <v>0</v>
      </c>
      <c r="M26" s="118">
        <f>_xll.Beam_Function(THDL!$CK$2,"Ask",E26,F26,G26,H26,ABS(I26),THDL!$CN$5,THDL!$CQ$10,THDL!$CQ$11,THDL!$CQ$12,THDL!$CK$6,"Nén",THDL!$CK$7,THDL!$CT$3,THDL!$CT$13,THDL!$CT$16,THDL!$CT$17,THDL!$CT$18,THDL!$CQ$10*THDL!$CQ$9,THDL!$CQ$9,X26,AP26,THDL!$CK$11)</f>
        <v>0.3889024977555367</v>
      </c>
      <c r="N26" s="119">
        <v>12</v>
      </c>
      <c r="O26" s="119">
        <v>150</v>
      </c>
      <c r="P26" s="119"/>
      <c r="Q26" s="119"/>
      <c r="R26" s="119"/>
      <c r="S26" s="119"/>
      <c r="T26" s="119"/>
      <c r="U26" s="119"/>
      <c r="V26" s="119"/>
      <c r="W26" s="119"/>
      <c r="X26" s="120">
        <f t="shared" si="1"/>
        <v>11.30973388671875</v>
      </c>
      <c r="Y26" s="120">
        <f t="shared" si="4"/>
        <v>0.11564145078444529</v>
      </c>
      <c r="Z26" s="120">
        <f t="shared" si="5"/>
        <v>29.081155178972455</v>
      </c>
      <c r="AA26" s="118">
        <f>VLOOKUP(C26,NoiLuc!A:K,8,0)</f>
        <v>57.792503356933601</v>
      </c>
      <c r="AB26" s="118">
        <f>VLOOKUP(C26,NoiLuc!A:K,9,0)</f>
        <v>0.7</v>
      </c>
      <c r="AC26" s="73">
        <f>_xll.Slab_Function(THDL!$CK$2,E26,F26,H26,G26,AA26,THDL!$CN$5,THDL!$CQ$4,THDL!$CQ$5,THDL!$CQ$6,THDL!$CQ$10,THDL!$CQ$11,THDL!$CQ$12,THDL!$CK$6,"Nén",THDL!$CK$7,THDL!$CT$3,THDL!$CT$13,THDL!$CT$16,THDL!$CT$17,THDL!$CT$18,THDL!$CQ$3*THDL!$CQ$4,THDL!$CQ$3,THDL!$CQ$9*THDL!$CQ$10,THDL!$CQ$9,AF26,AG26,AH26,AI26,AJ26,AK26,AL26,AM26,AN26,AO26,THDL!$CK$11,8,"Mu",N26,O26,P26,Q26,R26,S26,T26,U26,V26,W26)</f>
        <v>226.77720719783517</v>
      </c>
      <c r="AD26" s="121">
        <f>_xll.Beam_Function(THDL!$CK$2,"Asn",E26,F26,H26,G26,ABS(AA26),THDL!$CN$5,THDL!$CQ$10,THDL!$CQ$11,THDL!$CQ$12,THDL!$CK$6,"Nén",THDL!$CK$7,THDL!$CT$3,THDL!$CT$13,THDL!$CT$16,THDL!$CT$17,THDL!$CT$18,THDL!$CQ$10*THDL!$CQ$9,THDL!$CQ$9,AP26,X26)</f>
        <v>0</v>
      </c>
      <c r="AE26" s="121">
        <f>_xll.Beam_Function(THDL!$CK$2,"Ask",E26,F26,H26,G26,ABS(AA26),THDL!$CN$5,THDL!$CQ$10,THDL!$CQ$11,THDL!$CQ$12,THDL!$CK$6,"Nén",THDL!$CK$7,THDL!$CT$3,THDL!$CT$13,THDL!$CT$16,THDL!$CT$17,THDL!$CT$18,THDL!$CQ$10*THDL!$CQ$9,THDL!$CQ$9,AP26,X26,THDL!$CK$11)</f>
        <v>2.8483542627871454</v>
      </c>
      <c r="AF26" s="119">
        <v>12</v>
      </c>
      <c r="AG26" s="119">
        <v>150</v>
      </c>
      <c r="AH26" s="119"/>
      <c r="AI26" s="119"/>
      <c r="AJ26" s="119"/>
      <c r="AK26" s="119"/>
      <c r="AL26" s="119"/>
      <c r="AM26" s="119"/>
      <c r="AN26" s="119"/>
      <c r="AO26" s="119"/>
      <c r="AP26" s="120">
        <f t="shared" si="2"/>
        <v>11.30973388671875</v>
      </c>
      <c r="AQ26" s="120">
        <f t="shared" si="6"/>
        <v>0.12955021634271191</v>
      </c>
      <c r="AR26" s="120">
        <f t="shared" si="7"/>
        <v>3.9706205209362029</v>
      </c>
      <c r="AS26" s="77">
        <f>VLOOKUP(C26,NoiLuc!BA:BK,6,0)</f>
        <v>-8.8704957962036097</v>
      </c>
      <c r="AT26" s="77">
        <f>VLOOKUP(C26,NoiLuc!AA:AK,6,0)</f>
        <v>-8.8704957962036097</v>
      </c>
      <c r="AU26" s="122">
        <f>_xll.Slab_Crack_Function(THDL!$CK$2,"D"&amp;THDL!$CK$17,THDL!$CK$7,ABS(I26),ABS(AS26),ABS(AT26),ABS(AS26),E26,F26,G26,H26,X26,AP26,N26,O26,P26,Q26,R26,S26,T26,U26,V26,W26,THDL!$CN$6,THDL!$CN$8,THDL!$CN$9,THDL!$CQ$6,THDL!$CQ$12,THDL!$CT$6,THDL!$CT$9,THDL!$CT$19,THDL!$CT$20,THDL!$CT$21,THDL!$CT$22,THDL!$CT$23,THDL!$CT$24,THDL!$CT$25,THDL!$CK$21,THDL!$CQ$4*THDL!$CQ$3)</f>
        <v>0</v>
      </c>
      <c r="AV26" s="122">
        <f>_xll.Slab_Crack_Function(THDL!$CK$2,"N"&amp;THDL!$CK$17,THDL!$CK$7,ABS(I26),ABS(AS26),ABS(AT26),ABS(AS26),E26,F26,G26,H26,X26,AP26,N26,O26,P26,Q26,R26,S26,T26,U26,V26,W26,THDL!$CN$6,THDL!$CN$8,THDL!$CN$9,THDL!$CQ$6,THDL!$CQ$12,THDL!$CT$6,THDL!$CT$9,THDL!$CT$19,THDL!$CT$20,THDL!$CT$21,THDL!$CT$22,THDL!$CT$23,THDL!$CT$24,THDL!$CT$25,THDL!$CK$21,THDL!$CQ$4*THDL!$CQ$3)</f>
        <v>0</v>
      </c>
      <c r="AW26" s="122" t="str">
        <f>IF(AND(AU26&lt;=THDL!$CK$8,AV26&lt;=THDL!$CK$9),"OK","FAIL")</f>
        <v>OK</v>
      </c>
      <c r="AX26" s="77">
        <f>VLOOKUP(C26,NoiLuc!BA:BK,8,0)</f>
        <v>57.792503356933601</v>
      </c>
      <c r="AY26" s="77">
        <f>VLOOKUP(C26,NoiLuc!AA:AK,8,0)</f>
        <v>57.792503356933601</v>
      </c>
      <c r="AZ26" s="122">
        <f>_xll.Slab_Crack_Function(THDL!$CK$2,"D"&amp;THDL!$CK$17,THDL!$CK$7,ABS(AA26),ABS(AX26),ABS(AY26),ABS(AX26),E26,F26,H26,G26,AP26,X26,AF26,AG26,AH26,AI26,AJ26,AK26,AL26,AM26,AN26,AO26,THDL!$CN$6,THDL!$CN$8,THDL!$CN$9,THDL!$CQ$6,THDL!$CQ$12,THDL!$CT$6,THDL!$CT$9,THDL!$CT$19,THDL!$CT$20,THDL!$CT$21,THDL!$CT$22,THDL!$CT$23,THDL!$CT$24,THDL!$CT$25,THDL!$CK$21,THDL!$CQ$4*THDL!$CQ$3)</f>
        <v>0</v>
      </c>
      <c r="BA26" s="122">
        <f>_xll.Slab_Crack_Function(THDL!$CK$2,"N"&amp;THDL!$CK$17,THDL!$CK$7,ABS(AA26),ABS(AX26),ABS(AY26),ABS(AX26),E26,F26,H26,G26,AP26,X26,AF26,AG26,AH26,AI26,AJ26,AK26,AL26,AM26,AN26,AO26,THDL!$CN$6,THDL!$CN$8,THDL!$CN$9,THDL!$CQ$6,THDL!$CQ$12,THDL!$CT$6,THDL!$CT$9,THDL!$CT$19,THDL!$CT$20,THDL!$CT$21,THDL!$CT$22,THDL!$CT$23,THDL!$CT$24,THDL!$CT$25,THDL!$CK$21,THDL!$CQ$4*THDL!$CQ$3)</f>
        <v>0</v>
      </c>
      <c r="BB26" s="122" t="str">
        <f>IF(AND(AZ26&lt;=THDL!$CK$8,BA26&lt;=THDL!$CK$9),"OK","FAIL")</f>
        <v>OK</v>
      </c>
      <c r="BC26" s="123">
        <f>VLOOKUP(C26,NoiLuc!A:K,10,0)</f>
        <v>414.82720947265602</v>
      </c>
      <c r="BD26" s="124">
        <f>_xll.Foundation_TinhHeSoCChiuCat(E26,F26,MAX(G26,H26),BM26,BN26,BO26,BP26,BF26,BC26,THDL!$CK$18,THDL!$CK$19)</f>
        <v>1.5</v>
      </c>
      <c r="BE26" s="125">
        <f t="shared" si="8"/>
        <v>873</v>
      </c>
      <c r="BF26" s="123">
        <f>THDL!$CN$7</f>
        <v>1.05</v>
      </c>
      <c r="BG26" s="123">
        <f t="shared" si="9"/>
        <v>916.65000000000009</v>
      </c>
      <c r="BH26" s="123">
        <f t="shared" si="10"/>
        <v>916.65000000000009</v>
      </c>
      <c r="BI26" s="126" t="str">
        <f t="shared" si="11"/>
        <v>OK</v>
      </c>
      <c r="BJ26" s="123">
        <f t="shared" si="12"/>
        <v>0</v>
      </c>
      <c r="BK26" s="127">
        <f t="shared" si="13"/>
        <v>1.5</v>
      </c>
      <c r="BL26" s="125">
        <f t="shared" si="14"/>
        <v>873</v>
      </c>
      <c r="BM26" s="128">
        <f t="shared" si="15"/>
        <v>2</v>
      </c>
      <c r="BN26" s="128">
        <f t="shared" si="16"/>
        <v>12</v>
      </c>
      <c r="BO26" s="128">
        <f t="shared" si="17"/>
        <v>100</v>
      </c>
      <c r="BP26" s="123">
        <f>IF(BN26&gt;8,THDL!$CQ$16,THDL!$CQ$15)</f>
        <v>280</v>
      </c>
      <c r="BQ26" s="123" t="str">
        <f t="shared" si="18"/>
        <v/>
      </c>
      <c r="BR26" s="123" t="str">
        <f t="shared" si="19"/>
        <v/>
      </c>
      <c r="BS26" s="123" t="str">
        <f t="shared" si="20"/>
        <v/>
      </c>
    </row>
    <row r="27" spans="1:71">
      <c r="A27" s="114" t="s">
        <v>294</v>
      </c>
      <c r="B27" s="115" t="str">
        <f t="shared" si="3"/>
        <v>M1</v>
      </c>
      <c r="C27" s="116" t="str">
        <f>IFERROR(VLOOKUP(A27,BanVe!A:AH,34,0),0)</f>
        <v>CSB23</v>
      </c>
      <c r="D27" s="71" t="str">
        <f>IFERROR(IF(UPPER(VLOOKUP(A27,BanVe!A:B,2,0))="STRIPA","STRIP A",IF(UPPER(VLOOKUP(A27,BanVe!A:B,2,0))="STRIPB","STRIP B","KXD")),"KXD")</f>
        <v>STRIP B</v>
      </c>
      <c r="E27" s="116">
        <f>VLOOKUP(C27,NoiLuc!A:K,4,0)</f>
        <v>750</v>
      </c>
      <c r="F27" s="115">
        <v>700</v>
      </c>
      <c r="G27" s="117">
        <f>TRONGTAM_a(E27,THDL!$CK$10,THDL!$CK$16,N27,P27,R27,T27,V27,O27,Q27,S27,U27,W27,0)</f>
        <v>48</v>
      </c>
      <c r="H27" s="117">
        <f>TRONGTAM_a(E27,THDL!$CK$15,THDL!$CK$16,AF27,AH27,AJ27,AL27,AN27,AG27,AI27,AK27,AM27,AO27,0)</f>
        <v>118</v>
      </c>
      <c r="I27" s="118">
        <f>VLOOKUP(C27,NoiLuc!A:K,6,0)</f>
        <v>-17.8612766265869</v>
      </c>
      <c r="J27" s="118">
        <f>VLOOKUP(C27,NoiLuc!A:K,7,0)</f>
        <v>0.37500000000000799</v>
      </c>
      <c r="K27" s="73">
        <f>_xll.Slab_Function(THDL!$CK$2,E27,F27,G27,H27,I27,THDL!$CN$5,THDL!$CQ$4,THDL!$CQ$5,THDL!$CQ$6,THDL!$CQ$10,THDL!$CQ$11,THDL!$CQ$12,THDL!$CK$6,"Nén",THDL!$CK$7,THDL!$CT$3,THDL!$CT$13,THDL!$CT$16,THDL!$CT$17,THDL!$CT$18,THDL!$CQ$3*THDL!$CQ$4,THDL!$CQ$3,THDL!$CQ$9*THDL!$CQ$10,THDL!$CQ$9,N27,O27,P27,Q27,R27,S27,T27,U27,V27,W27,THDL!$CK$11,8,"Mu",AF27,AG27,AH27,AI27,AJ27,AK27,AL27,AM27,AN27,AO27)</f>
        <v>127.24302720124855</v>
      </c>
      <c r="L27" s="118">
        <f>_xll.Beam_Function(THDL!$CK$2,"Asn",E27,F27,G27,H27,ABS(I27),THDL!$CN$5,THDL!$CQ$10,THDL!$CQ$11,THDL!$CQ$12,THDL!$CK$6,"Nén",THDL!$CK$7,THDL!$CT$3,THDL!$CT$13,THDL!$CT$16,THDL!$CT$17,THDL!$CT$18,THDL!$CQ$10*THDL!$CQ$9,THDL!$CQ$9,X27,AP27)</f>
        <v>0</v>
      </c>
      <c r="M27" s="118">
        <f>_xll.Beam_Function(THDL!$CK$2,"Ask",E27,F27,G27,H27,ABS(I27),THDL!$CN$5,THDL!$CQ$10,THDL!$CQ$11,THDL!$CQ$12,THDL!$CK$6,"Nén",THDL!$CK$7,THDL!$CT$3,THDL!$CT$13,THDL!$CT$16,THDL!$CT$17,THDL!$CT$18,THDL!$CQ$10*THDL!$CQ$9,THDL!$CQ$9,X27,AP27,THDL!$CK$11)</f>
        <v>0.78422062531353787</v>
      </c>
      <c r="N27" s="119">
        <v>12</v>
      </c>
      <c r="O27" s="119">
        <v>150</v>
      </c>
      <c r="P27" s="119"/>
      <c r="Q27" s="119"/>
      <c r="R27" s="119"/>
      <c r="S27" s="119"/>
      <c r="T27" s="119"/>
      <c r="U27" s="119"/>
      <c r="V27" s="119"/>
      <c r="W27" s="119"/>
      <c r="X27" s="120">
        <f t="shared" si="1"/>
        <v>5.6548669433593748</v>
      </c>
      <c r="Y27" s="120">
        <f t="shared" si="4"/>
        <v>0.11564145078444529</v>
      </c>
      <c r="Z27" s="120">
        <f t="shared" si="5"/>
        <v>7.2108112957351924</v>
      </c>
      <c r="AA27" s="118">
        <f>VLOOKUP(C27,NoiLuc!A:K,8,0)</f>
        <v>39.0947875976563</v>
      </c>
      <c r="AB27" s="118">
        <f>VLOOKUP(C27,NoiLuc!A:K,9,0)</f>
        <v>0.70000000000000195</v>
      </c>
      <c r="AC27" s="73">
        <f>_xll.Slab_Function(THDL!$CK$2,E27,F27,H27,G27,AA27,THDL!$CN$5,THDL!$CQ$4,THDL!$CQ$5,THDL!$CQ$6,THDL!$CQ$10,THDL!$CQ$11,THDL!$CQ$12,THDL!$CK$6,"Nén",THDL!$CK$7,THDL!$CT$3,THDL!$CT$13,THDL!$CT$16,THDL!$CT$17,THDL!$CT$18,THDL!$CQ$3*THDL!$CQ$4,THDL!$CQ$3,THDL!$CQ$9*THDL!$CQ$10,THDL!$CQ$9,AF27,AG27,AH27,AI27,AJ27,AK27,AL27,AM27,AN27,AO27,THDL!$CK$11,8,"Mu",N27,O27,P27,Q27,R27,S27,T27,U27,V27,W27)</f>
        <v>113.38860359891758</v>
      </c>
      <c r="AD27" s="121">
        <f>_xll.Beam_Function(THDL!$CK$2,"Asn",E27,F27,H27,G27,ABS(AA27),THDL!$CN$5,THDL!$CQ$10,THDL!$CQ$11,THDL!$CQ$12,THDL!$CK$6,"Nén",THDL!$CK$7,THDL!$CT$3,THDL!$CT$13,THDL!$CT$16,THDL!$CT$17,THDL!$CT$18,THDL!$CQ$10*THDL!$CQ$9,THDL!$CQ$9,AP27,X27)</f>
        <v>0</v>
      </c>
      <c r="AE27" s="121">
        <f>_xll.Beam_Function(THDL!$CK$2,"Ask",E27,F27,H27,G27,ABS(AA27),THDL!$CN$5,THDL!$CQ$10,THDL!$CQ$11,THDL!$CQ$12,THDL!$CK$6,"Nén",THDL!$CK$7,THDL!$CT$3,THDL!$CT$13,THDL!$CT$16,THDL!$CT$17,THDL!$CT$18,THDL!$CQ$10*THDL!$CQ$9,THDL!$CQ$9,AP27,X27,THDL!$CK$11)</f>
        <v>1.929527645441665</v>
      </c>
      <c r="AF27" s="119">
        <v>12</v>
      </c>
      <c r="AG27" s="119">
        <v>150</v>
      </c>
      <c r="AH27" s="119"/>
      <c r="AI27" s="119"/>
      <c r="AJ27" s="119"/>
      <c r="AK27" s="119"/>
      <c r="AL27" s="119"/>
      <c r="AM27" s="119"/>
      <c r="AN27" s="119"/>
      <c r="AO27" s="119"/>
      <c r="AP27" s="120">
        <f t="shared" si="2"/>
        <v>5.6548669433593748</v>
      </c>
      <c r="AQ27" s="120">
        <f t="shared" si="6"/>
        <v>0.12955021634271191</v>
      </c>
      <c r="AR27" s="120">
        <f t="shared" si="7"/>
        <v>2.9307001414146554</v>
      </c>
      <c r="AS27" s="77">
        <f>VLOOKUP(C27,NoiLuc!BA:BK,6,0)</f>
        <v>-17.8612766265869</v>
      </c>
      <c r="AT27" s="77">
        <f>VLOOKUP(C27,NoiLuc!AA:AK,6,0)</f>
        <v>-17.8612766265869</v>
      </c>
      <c r="AU27" s="122">
        <f>_xll.Slab_Crack_Function(THDL!$CK$2,"D"&amp;THDL!$CK$17,THDL!$CK$7,ABS(I27),ABS(AS27),ABS(AT27),ABS(AS27),E27,F27,G27,H27,X27,AP27,N27,O27,P27,Q27,R27,S27,T27,U27,V27,W27,THDL!$CN$6,THDL!$CN$8,THDL!$CN$9,THDL!$CQ$6,THDL!$CQ$12,THDL!$CT$6,THDL!$CT$9,THDL!$CT$19,THDL!$CT$20,THDL!$CT$21,THDL!$CT$22,THDL!$CT$23,THDL!$CT$24,THDL!$CT$25,THDL!$CK$21,THDL!$CQ$4*THDL!$CQ$3)</f>
        <v>0</v>
      </c>
      <c r="AV27" s="122">
        <f>_xll.Slab_Crack_Function(THDL!$CK$2,"N"&amp;THDL!$CK$17,THDL!$CK$7,ABS(I27),ABS(AS27),ABS(AT27),ABS(AS27),E27,F27,G27,H27,X27,AP27,N27,O27,P27,Q27,R27,S27,T27,U27,V27,W27,THDL!$CN$6,THDL!$CN$8,THDL!$CN$9,THDL!$CQ$6,THDL!$CQ$12,THDL!$CT$6,THDL!$CT$9,THDL!$CT$19,THDL!$CT$20,THDL!$CT$21,THDL!$CT$22,THDL!$CT$23,THDL!$CT$24,THDL!$CT$25,THDL!$CK$21,THDL!$CQ$4*THDL!$CQ$3)</f>
        <v>0</v>
      </c>
      <c r="AW27" s="122" t="str">
        <f>IF(AND(AU27&lt;=THDL!$CK$8,AV27&lt;=THDL!$CK$9),"OK","FAIL")</f>
        <v>OK</v>
      </c>
      <c r="AX27" s="77">
        <f>VLOOKUP(C27,NoiLuc!BA:BK,8,0)</f>
        <v>39.0947875976563</v>
      </c>
      <c r="AY27" s="77">
        <f>VLOOKUP(C27,NoiLuc!AA:AK,8,0)</f>
        <v>39.0947875976563</v>
      </c>
      <c r="AZ27" s="122">
        <f>_xll.Slab_Crack_Function(THDL!$CK$2,"D"&amp;THDL!$CK$17,THDL!$CK$7,ABS(AA27),ABS(AX27),ABS(AY27),ABS(AX27),E27,F27,H27,G27,AP27,X27,AF27,AG27,AH27,AI27,AJ27,AK27,AL27,AM27,AN27,AO27,THDL!$CN$6,THDL!$CN$8,THDL!$CN$9,THDL!$CQ$6,THDL!$CQ$12,THDL!$CT$6,THDL!$CT$9,THDL!$CT$19,THDL!$CT$20,THDL!$CT$21,THDL!$CT$22,THDL!$CT$23,THDL!$CT$24,THDL!$CT$25,THDL!$CK$21,THDL!$CQ$4*THDL!$CQ$3)</f>
        <v>0</v>
      </c>
      <c r="BA27" s="122">
        <f>_xll.Slab_Crack_Function(THDL!$CK$2,"N"&amp;THDL!$CK$17,THDL!$CK$7,ABS(AA27),ABS(AX27),ABS(AY27),ABS(AX27),E27,F27,H27,G27,AP27,X27,AF27,AG27,AH27,AI27,AJ27,AK27,AL27,AM27,AN27,AO27,THDL!$CN$6,THDL!$CN$8,THDL!$CN$9,THDL!$CQ$6,THDL!$CQ$12,THDL!$CT$6,THDL!$CT$9,THDL!$CT$19,THDL!$CT$20,THDL!$CT$21,THDL!$CT$22,THDL!$CT$23,THDL!$CT$24,THDL!$CT$25,THDL!$CK$21,THDL!$CQ$4*THDL!$CQ$3)</f>
        <v>0</v>
      </c>
      <c r="BB27" s="122" t="str">
        <f>IF(AND(AZ27&lt;=THDL!$CK$8,BA27&lt;=THDL!$CK$9),"OK","FAIL")</f>
        <v>OK</v>
      </c>
      <c r="BC27" s="123">
        <f>VLOOKUP(C27,NoiLuc!A:K,10,0)</f>
        <v>337.21200561523398</v>
      </c>
      <c r="BD27" s="124">
        <f>_xll.Foundation_TinhHeSoCChiuCat(E27,F27,MAX(G27,H27),BM27,BN27,BO27,BP27,BF27,BC27,THDL!$CK$18,THDL!$CK$19)</f>
        <v>1.5</v>
      </c>
      <c r="BE27" s="125">
        <f t="shared" si="8"/>
        <v>873</v>
      </c>
      <c r="BF27" s="123">
        <f>THDL!$CN$7</f>
        <v>1.05</v>
      </c>
      <c r="BG27" s="123">
        <f t="shared" si="9"/>
        <v>458.32500000000005</v>
      </c>
      <c r="BH27" s="123">
        <f t="shared" si="10"/>
        <v>458.32500000000005</v>
      </c>
      <c r="BI27" s="126" t="str">
        <f t="shared" si="11"/>
        <v>OK</v>
      </c>
      <c r="BJ27" s="123">
        <f t="shared" si="12"/>
        <v>0</v>
      </c>
      <c r="BK27" s="127">
        <f t="shared" si="13"/>
        <v>1.5</v>
      </c>
      <c r="BL27" s="125">
        <f t="shared" si="14"/>
        <v>873</v>
      </c>
      <c r="BM27" s="128">
        <f t="shared" si="15"/>
        <v>2</v>
      </c>
      <c r="BN27" s="128">
        <f t="shared" si="16"/>
        <v>12</v>
      </c>
      <c r="BO27" s="128">
        <f t="shared" si="17"/>
        <v>100</v>
      </c>
      <c r="BP27" s="123">
        <f>IF(BN27&gt;8,THDL!$CQ$16,THDL!$CQ$15)</f>
        <v>280</v>
      </c>
      <c r="BQ27" s="123" t="str">
        <f t="shared" si="18"/>
        <v/>
      </c>
      <c r="BR27" s="123" t="str">
        <f t="shared" si="19"/>
        <v/>
      </c>
      <c r="BS27" s="123" t="str">
        <f t="shared" si="20"/>
        <v/>
      </c>
    </row>
    <row r="28" spans="1:71">
      <c r="A28" s="129" t="s">
        <v>296</v>
      </c>
      <c r="B28" s="70" t="str">
        <f t="shared" si="3"/>
        <v>M2</v>
      </c>
      <c r="C28" s="71" t="str">
        <f>IFERROR(VLOOKUP(A28,BanVe!A:AH,34,0),0)</f>
        <v>CSA12</v>
      </c>
      <c r="D28" s="71" t="str">
        <f>IFERROR(IF(UPPER(VLOOKUP(A28,BanVe!A:B,2,0))="STRIPA","STRIP A",IF(UPPER(VLOOKUP(A28,BanVe!A:B,2,0))="STRIPB","STRIP B","KXD")),"KXD")</f>
        <v>STRIP A</v>
      </c>
      <c r="E28" s="71">
        <f>VLOOKUP(C28,NoiLuc!A:K,4,0)</f>
        <v>1400</v>
      </c>
      <c r="F28" s="70">
        <v>700</v>
      </c>
      <c r="G28" s="72">
        <f>TRONGTAM_a(E28,THDL!$CK$10,THDL!$CK$16,N28,P28,R28,T28,V28,O28,Q28,S28,U28,W28,0)</f>
        <v>48</v>
      </c>
      <c r="H28" s="72">
        <f>TRONGTAM_a(E28,THDL!$CK$15,THDL!$CK$16,AF28,AH28,AJ28,AL28,AN28,AG28,AI28,AK28,AM28,AO28,0)</f>
        <v>118</v>
      </c>
      <c r="I28" s="73">
        <f>VLOOKUP(C28,NoiLuc!A:K,6,0)</f>
        <v>-1</v>
      </c>
      <c r="J28" s="73" t="str">
        <f>VLOOKUP(C28,NoiLuc!A:K,7,0)</f>
        <v>-</v>
      </c>
      <c r="K28" s="73">
        <f>_xll.Slab_Function(THDL!$CK$2,E28,F28,G28,H28,I28,THDL!$CN$5,THDL!$CQ$4,THDL!$CQ$5,THDL!$CQ$6,THDL!$CQ$10,THDL!$CQ$11,THDL!$CQ$12,THDL!$CK$6,"Nén",THDL!$CK$7,THDL!$CT$3,THDL!$CT$13,THDL!$CT$16,THDL!$CT$17,THDL!$CT$18,THDL!$CQ$3*THDL!$CQ$4,THDL!$CQ$3,THDL!$CQ$9*THDL!$CQ$10,THDL!$CQ$9,N28,O28,P28,Q28,R28,S28,T28,U28,V28,W28,THDL!$CK$11,8,"Mu",AF28,AG28,AH28,AI28,AJ28,AK28,AL28,AM28,AN28,AO28)</f>
        <v>237.52031744233068</v>
      </c>
      <c r="L28" s="73">
        <f>_xll.Beam_Function(THDL!$CK$2,"Asn",E28,F28,G28,H28,ABS(I28),THDL!$CN$5,THDL!$CQ$10,THDL!$CQ$11,THDL!$CQ$12,THDL!$CK$6,"Nén",THDL!$CK$7,THDL!$CT$3,THDL!$CT$13,THDL!$CT$16,THDL!$CT$17,THDL!$CT$18,THDL!$CQ$10*THDL!$CQ$9,THDL!$CQ$9,X28,AP28)</f>
        <v>0</v>
      </c>
      <c r="M28" s="73">
        <f>_xll.Beam_Function(THDL!$CK$2,"Ask",E28,F28,G28,H28,ABS(I28),THDL!$CN$5,THDL!$CQ$10,THDL!$CQ$11,THDL!$CQ$12,THDL!$CK$6,"Nén",THDL!$CK$7,THDL!$CT$3,THDL!$CT$13,THDL!$CT$16,THDL!$CT$17,THDL!$CT$18,THDL!$CQ$10*THDL!$CQ$9,THDL!$CQ$9,X28,AP28,THDL!$CK$11)</f>
        <v>4.3823748762180981E-2</v>
      </c>
      <c r="N28" s="74">
        <v>12</v>
      </c>
      <c r="O28" s="74">
        <v>150</v>
      </c>
      <c r="P28" s="74"/>
      <c r="Q28" s="74"/>
      <c r="R28" s="74"/>
      <c r="S28" s="74"/>
      <c r="T28" s="74"/>
      <c r="U28" s="74"/>
      <c r="V28" s="74"/>
      <c r="W28" s="74"/>
      <c r="X28" s="75">
        <f t="shared" si="1"/>
        <v>10.555750732421876</v>
      </c>
      <c r="Y28" s="75">
        <f t="shared" si="4"/>
        <v>0.11564144097745262</v>
      </c>
      <c r="Z28" s="75">
        <f t="shared" si="5"/>
        <v>240.86827417948501</v>
      </c>
      <c r="AA28" s="73">
        <f>VLOOKUP(C28,NoiLuc!A:K,8,0)</f>
        <v>112.561088562012</v>
      </c>
      <c r="AB28" s="73">
        <f>VLOOKUP(C28,NoiLuc!A:K,9,0)</f>
        <v>0.749999999999998</v>
      </c>
      <c r="AC28" s="73">
        <f>_xll.Slab_Function(THDL!$CK$2,E28,F28,H28,G28,AA28,THDL!$CN$5,THDL!$CQ$4,THDL!$CQ$5,THDL!$CQ$6,THDL!$CQ$10,THDL!$CQ$11,THDL!$CQ$12,THDL!$CK$6,"Nén",THDL!$CK$7,THDL!$CT$3,THDL!$CT$13,THDL!$CT$16,THDL!$CT$17,THDL!$CT$18,THDL!$CQ$3*THDL!$CQ$4,THDL!$CQ$3,THDL!$CQ$9*THDL!$CQ$10,THDL!$CQ$9,AF28,AG28,AH28,AI28,AJ28,AK28,AL28,AM28,AN28,AO28,THDL!$CK$11,8,"Mu",N28,O28,P28,Q28,R28,S28,T28,U28,V28,W28)</f>
        <v>211.6587267179795</v>
      </c>
      <c r="AD28" s="76">
        <f>_xll.Beam_Function(THDL!$CK$2,"Asn",E28,F28,H28,G28,ABS(AA28),THDL!$CN$5,THDL!$CQ$10,THDL!$CQ$11,THDL!$CQ$12,THDL!$CK$6,"Nén",THDL!$CK$7,THDL!$CT$3,THDL!$CT$13,THDL!$CT$16,THDL!$CT$17,THDL!$CT$18,THDL!$CQ$10*THDL!$CQ$9,THDL!$CQ$9,AP28,X28)</f>
        <v>0</v>
      </c>
      <c r="AE28" s="76">
        <f>_xll.Beam_Function(THDL!$CK$2,"Ask",E28,F28,H28,G28,ABS(AA28),THDL!$CN$5,THDL!$CQ$10,THDL!$CQ$11,THDL!$CQ$12,THDL!$CK$6,"Nén",THDL!$CK$7,THDL!$CT$3,THDL!$CT$13,THDL!$CT$16,THDL!$CT$17,THDL!$CT$18,THDL!$CQ$10*THDL!$CQ$9,THDL!$CQ$9,AP28,X28,THDL!$CK$11)</f>
        <v>5.5718111710226141</v>
      </c>
      <c r="AF28" s="74">
        <v>12</v>
      </c>
      <c r="AG28" s="74">
        <v>150</v>
      </c>
      <c r="AH28" s="74"/>
      <c r="AI28" s="74"/>
      <c r="AJ28" s="74"/>
      <c r="AK28" s="74"/>
      <c r="AL28" s="74"/>
      <c r="AM28" s="74"/>
      <c r="AN28" s="74"/>
      <c r="AO28" s="74"/>
      <c r="AP28" s="75">
        <f t="shared" si="2"/>
        <v>10.555750732421876</v>
      </c>
      <c r="AQ28" s="75">
        <f t="shared" si="6"/>
        <v>0.12955020535618403</v>
      </c>
      <c r="AR28" s="75">
        <f t="shared" si="7"/>
        <v>1.8944918283159515</v>
      </c>
      <c r="AS28" s="77">
        <f>VLOOKUP(C28,NoiLuc!BA:BK,6,0)</f>
        <v>-1</v>
      </c>
      <c r="AT28" s="77">
        <f>VLOOKUP(C28,NoiLuc!AA:AK,6,0)</f>
        <v>-1</v>
      </c>
      <c r="AU28" s="77">
        <f>_xll.Slab_Crack_Function(THDL!$CK$2,"D"&amp;THDL!$CK$17,THDL!$CK$7,ABS(I28),ABS(AS28),ABS(AT28),ABS(AS28),E28,F28,G28,H28,X28,AP28,N28,O28,P28,Q28,R28,S28,T28,U28,V28,W28,THDL!$CN$6,THDL!$CN$8,THDL!$CN$9,THDL!$CQ$6,THDL!$CQ$12,THDL!$CT$6,THDL!$CT$9,THDL!$CT$19,THDL!$CT$20,THDL!$CT$21,THDL!$CT$22,THDL!$CT$23,THDL!$CT$24,THDL!$CT$25,THDL!$CK$21,THDL!$CQ$4*THDL!$CQ$3)</f>
        <v>0</v>
      </c>
      <c r="AV28" s="77">
        <f>_xll.Slab_Crack_Function(THDL!$CK$2,"N"&amp;THDL!$CK$17,THDL!$CK$7,ABS(I28),ABS(AS28),ABS(AT28),ABS(AS28),E28,F28,G28,H28,X28,AP28,N28,O28,P28,Q28,R28,S28,T28,U28,V28,W28,THDL!$CN$6,THDL!$CN$8,THDL!$CN$9,THDL!$CQ$6,THDL!$CQ$12,THDL!$CT$6,THDL!$CT$9,THDL!$CT$19,THDL!$CT$20,THDL!$CT$21,THDL!$CT$22,THDL!$CT$23,THDL!$CT$24,THDL!$CT$25,THDL!$CK$21,THDL!$CQ$4*THDL!$CQ$3)</f>
        <v>0</v>
      </c>
      <c r="AW28" s="77" t="str">
        <f>IF(AND(AU28&lt;=THDL!$CK$8,AV28&lt;=THDL!$CK$9),"OK","FAIL")</f>
        <v>OK</v>
      </c>
      <c r="AX28" s="77">
        <f>VLOOKUP(C28,NoiLuc!BA:BK,8,0)</f>
        <v>112.561088562012</v>
      </c>
      <c r="AY28" s="77">
        <f>VLOOKUP(C28,NoiLuc!AA:AK,8,0)</f>
        <v>112.561088562012</v>
      </c>
      <c r="AZ28" s="77">
        <f>_xll.Slab_Crack_Function(THDL!$CK$2,"D"&amp;THDL!$CK$17,THDL!$CK$7,ABS(AA28),ABS(AX28),ABS(AY28),ABS(AX28),E28,F28,H28,G28,AP28,X28,AF28,AG28,AH28,AI28,AJ28,AK28,AL28,AM28,AN28,AO28,THDL!$CN$6,THDL!$CN$8,THDL!$CN$9,THDL!$CQ$6,THDL!$CQ$12,THDL!$CT$6,THDL!$CT$9,THDL!$CT$19,THDL!$CT$20,THDL!$CT$21,THDL!$CT$22,THDL!$CT$23,THDL!$CT$24,THDL!$CT$25,THDL!$CK$21,THDL!$CQ$4*THDL!$CQ$3)</f>
        <v>0</v>
      </c>
      <c r="BA28" s="77">
        <f>_xll.Slab_Crack_Function(THDL!$CK$2,"N"&amp;THDL!$CK$17,THDL!$CK$7,ABS(AA28),ABS(AX28),ABS(AY28),ABS(AX28),E28,F28,H28,G28,AP28,X28,AF28,AG28,AH28,AI28,AJ28,AK28,AL28,AM28,AN28,AO28,THDL!$CN$6,THDL!$CN$8,THDL!$CN$9,THDL!$CQ$6,THDL!$CQ$12,THDL!$CT$6,THDL!$CT$9,THDL!$CT$19,THDL!$CT$20,THDL!$CT$21,THDL!$CT$22,THDL!$CT$23,THDL!$CT$24,THDL!$CT$25,THDL!$CK$21,THDL!$CQ$4*THDL!$CQ$3)</f>
        <v>0</v>
      </c>
      <c r="BB28" s="77" t="str">
        <f>IF(AND(AZ28&lt;=THDL!$CK$8,BA28&lt;=THDL!$CK$9),"OK","FAIL")</f>
        <v>OK</v>
      </c>
      <c r="BC28" s="78">
        <f>VLOOKUP(C28,NoiLuc!A:K,10,0)</f>
        <v>254.38998413085901</v>
      </c>
      <c r="BD28" s="79">
        <f>_xll.Foundation_TinhHeSoCChiuCat(E28,F28,MAX(G28,H28),BM28,BN28,BO28,BP28,BF28,BC28,THDL!$CK$18,THDL!$CK$19)</f>
        <v>1.5</v>
      </c>
      <c r="BE28" s="80">
        <f t="shared" si="8"/>
        <v>873</v>
      </c>
      <c r="BF28" s="78">
        <f>THDL!$CN$7</f>
        <v>1.05</v>
      </c>
      <c r="BG28" s="78">
        <f t="shared" si="9"/>
        <v>855.54000000000008</v>
      </c>
      <c r="BH28" s="78">
        <f t="shared" si="10"/>
        <v>855.54000000000008</v>
      </c>
      <c r="BI28" s="81" t="str">
        <f t="shared" si="11"/>
        <v>OK</v>
      </c>
      <c r="BJ28" s="78">
        <f t="shared" si="12"/>
        <v>0</v>
      </c>
      <c r="BK28" s="82">
        <f t="shared" si="13"/>
        <v>1.5</v>
      </c>
      <c r="BL28" s="80">
        <f t="shared" si="14"/>
        <v>873</v>
      </c>
      <c r="BM28" s="83">
        <f t="shared" si="15"/>
        <v>2</v>
      </c>
      <c r="BN28" s="83">
        <f t="shared" si="16"/>
        <v>12</v>
      </c>
      <c r="BO28" s="83">
        <f t="shared" si="17"/>
        <v>100</v>
      </c>
      <c r="BP28" s="78">
        <f>IF(BN28&gt;8,THDL!$CQ$16,THDL!$CQ$15)</f>
        <v>280</v>
      </c>
      <c r="BQ28" s="78" t="str">
        <f t="shared" si="18"/>
        <v/>
      </c>
      <c r="BR28" s="78" t="str">
        <f t="shared" si="19"/>
        <v/>
      </c>
      <c r="BS28" s="78" t="str">
        <f t="shared" si="20"/>
        <v/>
      </c>
    </row>
    <row r="29" spans="1:71">
      <c r="A29" s="84" t="s">
        <v>299</v>
      </c>
      <c r="B29" s="85" t="str">
        <f t="shared" si="3"/>
        <v>M2</v>
      </c>
      <c r="C29" s="86" t="str">
        <f>IFERROR(VLOOKUP(A29,BanVe!A:AH,34,0),0)</f>
        <v>CSB14</v>
      </c>
      <c r="D29" s="71" t="str">
        <f>IFERROR(IF(UPPER(VLOOKUP(A29,BanVe!A:B,2,0))="STRIPA","STRIP A",IF(UPPER(VLOOKUP(A29,BanVe!A:B,2,0))="STRIPB","STRIP B","KXD")),"KXD")</f>
        <v>STRIP B</v>
      </c>
      <c r="E29" s="86">
        <f>VLOOKUP(C29,NoiLuc!A:K,4,0)</f>
        <v>1500</v>
      </c>
      <c r="F29" s="85">
        <v>700</v>
      </c>
      <c r="G29" s="87">
        <f>TRONGTAM_a(E29,THDL!$CK$10,THDL!$CK$16,N29,P29,R29,T29,V29,O29,Q29,S29,U29,W29,0)</f>
        <v>48</v>
      </c>
      <c r="H29" s="87">
        <f>TRONGTAM_a(E29,THDL!$CK$15,THDL!$CK$16,AF29,AH29,AJ29,AL29,AN29,AG29,AI29,AK29,AM29,AO29,0)</f>
        <v>118</v>
      </c>
      <c r="I29" s="88">
        <f>VLOOKUP(C29,NoiLuc!A:K,6,0)</f>
        <v>-15.027427673339799</v>
      </c>
      <c r="J29" s="88">
        <f>VLOOKUP(C29,NoiLuc!A:K,7,0)</f>
        <v>1.0249999999999899</v>
      </c>
      <c r="K29" s="73">
        <f>_xll.Slab_Function(THDL!$CK$2,E29,F29,G29,H29,I29,THDL!$CN$5,THDL!$CQ$4,THDL!$CQ$5,THDL!$CQ$6,THDL!$CQ$10,THDL!$CQ$11,THDL!$CQ$12,THDL!$CK$6,"Nén",THDL!$CK$7,THDL!$CT$3,THDL!$CT$13,THDL!$CT$16,THDL!$CT$17,THDL!$CT$18,THDL!$CQ$3*THDL!$CQ$4,THDL!$CQ$3,THDL!$CQ$9*THDL!$CQ$10,THDL!$CQ$9,N29,O29,P29,Q29,R29,S29,T29,U29,V29,W29,THDL!$CK$11,8,"Mu",AF29,AG29,AH29,AI29,AJ29,AK29,AL29,AM29,AN29,AO29)</f>
        <v>254.4860544024971</v>
      </c>
      <c r="L29" s="88">
        <f>_xll.Beam_Function(THDL!$CK$2,"Asn",E29,F29,G29,H29,ABS(I29),THDL!$CN$5,THDL!$CQ$10,THDL!$CQ$11,THDL!$CQ$12,THDL!$CK$6,"Nén",THDL!$CK$7,THDL!$CT$3,THDL!$CT$13,THDL!$CT$16,THDL!$CT$17,THDL!$CT$18,THDL!$CQ$10*THDL!$CQ$9,THDL!$CQ$9,X29,AP29)</f>
        <v>0</v>
      </c>
      <c r="M29" s="88">
        <f>_xll.Beam_Function(THDL!$CK$2,"Ask",E29,F29,G29,H29,ABS(I29),THDL!$CN$5,THDL!$CQ$10,THDL!$CQ$11,THDL!$CQ$12,THDL!$CK$6,"Nén",THDL!$CK$7,THDL!$CT$3,THDL!$CT$13,THDL!$CT$16,THDL!$CT$17,THDL!$CT$18,THDL!$CQ$10*THDL!$CQ$9,THDL!$CQ$9,X29,AP29,THDL!$CK$11)</f>
        <v>0.65905606953589968</v>
      </c>
      <c r="N29" s="89">
        <v>12</v>
      </c>
      <c r="O29" s="89">
        <v>150</v>
      </c>
      <c r="P29" s="89"/>
      <c r="Q29" s="89"/>
      <c r="R29" s="89"/>
      <c r="S29" s="89"/>
      <c r="T29" s="89"/>
      <c r="U29" s="89"/>
      <c r="V29" s="89"/>
      <c r="W29" s="89"/>
      <c r="X29" s="90">
        <f t="shared" si="1"/>
        <v>11.30973388671875</v>
      </c>
      <c r="Y29" s="90">
        <f t="shared" si="4"/>
        <v>0.11564145078444529</v>
      </c>
      <c r="Z29" s="90">
        <f t="shared" si="5"/>
        <v>17.160503346373769</v>
      </c>
      <c r="AA29" s="88">
        <f>VLOOKUP(C29,NoiLuc!A:K,8,0)</f>
        <v>66.8565673828125</v>
      </c>
      <c r="AB29" s="88">
        <f>VLOOKUP(C29,NoiLuc!A:K,9,0)</f>
        <v>0.7</v>
      </c>
      <c r="AC29" s="73">
        <f>_xll.Slab_Function(THDL!$CK$2,E29,F29,H29,G29,AA29,THDL!$CN$5,THDL!$CQ$4,THDL!$CQ$5,THDL!$CQ$6,THDL!$CQ$10,THDL!$CQ$11,THDL!$CQ$12,THDL!$CK$6,"Nén",THDL!$CK$7,THDL!$CT$3,THDL!$CT$13,THDL!$CT$16,THDL!$CT$17,THDL!$CT$18,THDL!$CQ$3*THDL!$CQ$4,THDL!$CQ$3,THDL!$CQ$9*THDL!$CQ$10,THDL!$CQ$9,AF29,AG29,AH29,AI29,AJ29,AK29,AL29,AM29,AN29,AO29,THDL!$CK$11,8,"Mu",N29,O29,P29,Q29,R29,S29,T29,U29,V29,W29)</f>
        <v>226.77720719783517</v>
      </c>
      <c r="AD29" s="91">
        <f>_xll.Beam_Function(THDL!$CK$2,"Asn",E29,F29,H29,G29,ABS(AA29),THDL!$CN$5,THDL!$CQ$10,THDL!$CQ$11,THDL!$CQ$12,THDL!$CK$6,"Nén",THDL!$CK$7,THDL!$CT$3,THDL!$CT$13,THDL!$CT$16,THDL!$CT$17,THDL!$CT$18,THDL!$CQ$10*THDL!$CQ$9,THDL!$CQ$9,AP29,X29)</f>
        <v>0</v>
      </c>
      <c r="AE29" s="91">
        <f>_xll.Beam_Function(THDL!$CK$2,"Ask",E29,F29,H29,G29,ABS(AA29),THDL!$CN$5,THDL!$CQ$10,THDL!$CQ$11,THDL!$CQ$12,THDL!$CK$6,"Nén",THDL!$CK$7,THDL!$CT$3,THDL!$CT$13,THDL!$CT$16,THDL!$CT$17,THDL!$CT$18,THDL!$CQ$10*THDL!$CQ$9,THDL!$CQ$9,AP29,X29,THDL!$CK$11)</f>
        <v>3.2971383482920822</v>
      </c>
      <c r="AF29" s="89">
        <v>12</v>
      </c>
      <c r="AG29" s="89">
        <v>150</v>
      </c>
      <c r="AH29" s="89"/>
      <c r="AI29" s="89"/>
      <c r="AJ29" s="89"/>
      <c r="AK29" s="89"/>
      <c r="AL29" s="89"/>
      <c r="AM29" s="89"/>
      <c r="AN29" s="89"/>
      <c r="AO29" s="89"/>
      <c r="AP29" s="90">
        <f t="shared" si="2"/>
        <v>11.30973388671875</v>
      </c>
      <c r="AQ29" s="90">
        <f t="shared" si="6"/>
        <v>0.12955021634271191</v>
      </c>
      <c r="AR29" s="90">
        <f t="shared" si="7"/>
        <v>3.4301666148092305</v>
      </c>
      <c r="AS29" s="77">
        <f>VLOOKUP(C29,NoiLuc!BA:BK,6,0)</f>
        <v>-15.027427673339799</v>
      </c>
      <c r="AT29" s="77">
        <f>VLOOKUP(C29,NoiLuc!AA:AK,6,0)</f>
        <v>-15.027427673339799</v>
      </c>
      <c r="AU29" s="92">
        <f>_xll.Slab_Crack_Function(THDL!$CK$2,"D"&amp;THDL!$CK$17,THDL!$CK$7,ABS(I29),ABS(AS29),ABS(AT29),ABS(AS29),E29,F29,G29,H29,X29,AP29,N29,O29,P29,Q29,R29,S29,T29,U29,V29,W29,THDL!$CN$6,THDL!$CN$8,THDL!$CN$9,THDL!$CQ$6,THDL!$CQ$12,THDL!$CT$6,THDL!$CT$9,THDL!$CT$19,THDL!$CT$20,THDL!$CT$21,THDL!$CT$22,THDL!$CT$23,THDL!$CT$24,THDL!$CT$25,THDL!$CK$21,THDL!$CQ$4*THDL!$CQ$3)</f>
        <v>0</v>
      </c>
      <c r="AV29" s="92">
        <f>_xll.Slab_Crack_Function(THDL!$CK$2,"N"&amp;THDL!$CK$17,THDL!$CK$7,ABS(I29),ABS(AS29),ABS(AT29),ABS(AS29),E29,F29,G29,H29,X29,AP29,N29,O29,P29,Q29,R29,S29,T29,U29,V29,W29,THDL!$CN$6,THDL!$CN$8,THDL!$CN$9,THDL!$CQ$6,THDL!$CQ$12,THDL!$CT$6,THDL!$CT$9,THDL!$CT$19,THDL!$CT$20,THDL!$CT$21,THDL!$CT$22,THDL!$CT$23,THDL!$CT$24,THDL!$CT$25,THDL!$CK$21,THDL!$CQ$4*THDL!$CQ$3)</f>
        <v>0</v>
      </c>
      <c r="AW29" s="92" t="str">
        <f>IF(AND(AU29&lt;=THDL!$CK$8,AV29&lt;=THDL!$CK$9),"OK","FAIL")</f>
        <v>OK</v>
      </c>
      <c r="AX29" s="77">
        <f>VLOOKUP(C29,NoiLuc!BA:BK,8,0)</f>
        <v>66.8565673828125</v>
      </c>
      <c r="AY29" s="77">
        <f>VLOOKUP(C29,NoiLuc!AA:AK,8,0)</f>
        <v>66.8565673828125</v>
      </c>
      <c r="AZ29" s="92">
        <f>_xll.Slab_Crack_Function(THDL!$CK$2,"D"&amp;THDL!$CK$17,THDL!$CK$7,ABS(AA29),ABS(AX29),ABS(AY29),ABS(AX29),E29,F29,H29,G29,AP29,X29,AF29,AG29,AH29,AI29,AJ29,AK29,AL29,AM29,AN29,AO29,THDL!$CN$6,THDL!$CN$8,THDL!$CN$9,THDL!$CQ$6,THDL!$CQ$12,THDL!$CT$6,THDL!$CT$9,THDL!$CT$19,THDL!$CT$20,THDL!$CT$21,THDL!$CT$22,THDL!$CT$23,THDL!$CT$24,THDL!$CT$25,THDL!$CK$21,THDL!$CQ$4*THDL!$CQ$3)</f>
        <v>0</v>
      </c>
      <c r="BA29" s="92">
        <f>_xll.Slab_Crack_Function(THDL!$CK$2,"N"&amp;THDL!$CK$17,THDL!$CK$7,ABS(AA29),ABS(AX29),ABS(AY29),ABS(AX29),E29,F29,H29,G29,AP29,X29,AF29,AG29,AH29,AI29,AJ29,AK29,AL29,AM29,AN29,AO29,THDL!$CN$6,THDL!$CN$8,THDL!$CN$9,THDL!$CQ$6,THDL!$CQ$12,THDL!$CT$6,THDL!$CT$9,THDL!$CT$19,THDL!$CT$20,THDL!$CT$21,THDL!$CT$22,THDL!$CT$23,THDL!$CT$24,THDL!$CT$25,THDL!$CK$21,THDL!$CQ$4*THDL!$CQ$3)</f>
        <v>0</v>
      </c>
      <c r="BB29" s="92" t="str">
        <f>IF(AND(AZ29&lt;=THDL!$CK$8,BA29&lt;=THDL!$CK$9),"OK","FAIL")</f>
        <v>OK</v>
      </c>
      <c r="BC29" s="93">
        <f>VLOOKUP(C29,NoiLuc!A:K,10,0)</f>
        <v>522.87652587890602</v>
      </c>
      <c r="BD29" s="94">
        <f>_xll.Foundation_TinhHeSoCChiuCat(E29,F29,MAX(G29,H29),BM29,BN29,BO29,BP29,BF29,BC29,THDL!$CK$18,THDL!$CK$19)</f>
        <v>1.5</v>
      </c>
      <c r="BE29" s="95">
        <f t="shared" si="8"/>
        <v>873</v>
      </c>
      <c r="BF29" s="93">
        <f>THDL!$CN$7</f>
        <v>1.05</v>
      </c>
      <c r="BG29" s="93">
        <f t="shared" si="9"/>
        <v>916.65000000000009</v>
      </c>
      <c r="BH29" s="93">
        <f t="shared" si="10"/>
        <v>916.65000000000009</v>
      </c>
      <c r="BI29" s="96" t="str">
        <f t="shared" si="11"/>
        <v>OK</v>
      </c>
      <c r="BJ29" s="93">
        <f t="shared" si="12"/>
        <v>0</v>
      </c>
      <c r="BK29" s="97">
        <f t="shared" si="13"/>
        <v>1.5</v>
      </c>
      <c r="BL29" s="95">
        <f t="shared" si="14"/>
        <v>873</v>
      </c>
      <c r="BM29" s="98">
        <f t="shared" si="15"/>
        <v>2</v>
      </c>
      <c r="BN29" s="98">
        <f t="shared" si="16"/>
        <v>12</v>
      </c>
      <c r="BO29" s="98">
        <f t="shared" si="17"/>
        <v>100</v>
      </c>
      <c r="BP29" s="93">
        <f>IF(BN29&gt;8,THDL!$CQ$16,THDL!$CQ$15)</f>
        <v>280</v>
      </c>
      <c r="BQ29" s="93" t="str">
        <f t="shared" si="18"/>
        <v/>
      </c>
      <c r="BR29" s="93" t="str">
        <f t="shared" si="19"/>
        <v/>
      </c>
      <c r="BS29" s="93" t="str">
        <f t="shared" si="20"/>
        <v/>
      </c>
    </row>
    <row r="30" spans="1:71">
      <c r="A30" s="84" t="s">
        <v>301</v>
      </c>
      <c r="B30" s="85" t="str">
        <f t="shared" si="3"/>
        <v>M2</v>
      </c>
      <c r="C30" s="86" t="str">
        <f>IFERROR(VLOOKUP(A30,BanVe!A:AH,34,0),0)</f>
        <v>CSB24</v>
      </c>
      <c r="D30" s="71" t="str">
        <f>IFERROR(IF(UPPER(VLOOKUP(A30,BanVe!A:B,2,0))="STRIPA","STRIP A",IF(UPPER(VLOOKUP(A30,BanVe!A:B,2,0))="STRIPB","STRIP B","KXD")),"KXD")</f>
        <v>STRIP B</v>
      </c>
      <c r="E30" s="86">
        <f>VLOOKUP(C30,NoiLuc!A:K,4,0)</f>
        <v>750</v>
      </c>
      <c r="F30" s="85">
        <v>700</v>
      </c>
      <c r="G30" s="87">
        <f>TRONGTAM_a(E30,THDL!$CK$10,THDL!$CK$16,N30,P30,R30,T30,V30,O30,Q30,S30,U30,W30,0)</f>
        <v>48</v>
      </c>
      <c r="H30" s="87">
        <f>TRONGTAM_a(E30,THDL!$CK$15,THDL!$CK$16,AF30,AH30,AJ30,AL30,AN30,AG30,AI30,AK30,AM30,AO30,0)</f>
        <v>118</v>
      </c>
      <c r="I30" s="88">
        <f>VLOOKUP(C30,NoiLuc!A:K,6,0)</f>
        <v>-24.214061737060501</v>
      </c>
      <c r="J30" s="88">
        <f>VLOOKUP(C30,NoiLuc!A:K,7,0)</f>
        <v>0.37500000000000699</v>
      </c>
      <c r="K30" s="73">
        <f>_xll.Slab_Function(THDL!$CK$2,E30,F30,G30,H30,I30,THDL!$CN$5,THDL!$CQ$4,THDL!$CQ$5,THDL!$CQ$6,THDL!$CQ$10,THDL!$CQ$11,THDL!$CQ$12,THDL!$CK$6,"Nén",THDL!$CK$7,THDL!$CT$3,THDL!$CT$13,THDL!$CT$16,THDL!$CT$17,THDL!$CT$18,THDL!$CQ$3*THDL!$CQ$4,THDL!$CQ$3,THDL!$CQ$9*THDL!$CQ$10,THDL!$CQ$9,N30,O30,P30,Q30,R30,S30,T30,U30,V30,W30,THDL!$CK$11,8,"Mu",AF30,AG30,AH30,AI30,AJ30,AK30,AL30,AM30,AN30,AO30)</f>
        <v>127.24302720124855</v>
      </c>
      <c r="L30" s="88">
        <f>_xll.Beam_Function(THDL!$CK$2,"Asn",E30,F30,G30,H30,ABS(I30),THDL!$CN$5,THDL!$CQ$10,THDL!$CQ$11,THDL!$CQ$12,THDL!$CK$6,"Nén",THDL!$CK$7,THDL!$CT$3,THDL!$CT$13,THDL!$CT$16,THDL!$CT$17,THDL!$CT$18,THDL!$CQ$10*THDL!$CQ$9,THDL!$CQ$9,X30,AP30)</f>
        <v>0</v>
      </c>
      <c r="M30" s="88">
        <f>_xll.Beam_Function(THDL!$CK$2,"Ask",E30,F30,G30,H30,ABS(I30),THDL!$CN$5,THDL!$CQ$10,THDL!$CQ$11,THDL!$CQ$12,THDL!$CK$6,"Nén",THDL!$CK$7,THDL!$CT$3,THDL!$CT$13,THDL!$CT$16,THDL!$CT$17,THDL!$CT$18,THDL!$CQ$10*THDL!$CQ$9,THDL!$CQ$9,X30,AP30,THDL!$CK$11)</f>
        <v>1.0638829728539767</v>
      </c>
      <c r="N30" s="89">
        <v>12</v>
      </c>
      <c r="O30" s="89">
        <v>150</v>
      </c>
      <c r="P30" s="89"/>
      <c r="Q30" s="89"/>
      <c r="R30" s="89"/>
      <c r="S30" s="89"/>
      <c r="T30" s="89"/>
      <c r="U30" s="89"/>
      <c r="V30" s="89"/>
      <c r="W30" s="89"/>
      <c r="X30" s="90">
        <f t="shared" si="1"/>
        <v>5.6548669433593748</v>
      </c>
      <c r="Y30" s="90">
        <f t="shared" si="4"/>
        <v>0.11564145078444529</v>
      </c>
      <c r="Z30" s="90">
        <f t="shared" si="5"/>
        <v>5.3153091906242338</v>
      </c>
      <c r="AA30" s="88">
        <f>VLOOKUP(C30,NoiLuc!A:K,8,0)</f>
        <v>46.188114166259801</v>
      </c>
      <c r="AB30" s="88">
        <f>VLOOKUP(C30,NoiLuc!A:K,9,0)</f>
        <v>0.70000000000000095</v>
      </c>
      <c r="AC30" s="73">
        <f>_xll.Slab_Function(THDL!$CK$2,E30,F30,H30,G30,AA30,THDL!$CN$5,THDL!$CQ$4,THDL!$CQ$5,THDL!$CQ$6,THDL!$CQ$10,THDL!$CQ$11,THDL!$CQ$12,THDL!$CK$6,"Nén",THDL!$CK$7,THDL!$CT$3,THDL!$CT$13,THDL!$CT$16,THDL!$CT$17,THDL!$CT$18,THDL!$CQ$3*THDL!$CQ$4,THDL!$CQ$3,THDL!$CQ$9*THDL!$CQ$10,THDL!$CQ$9,AF30,AG30,AH30,AI30,AJ30,AK30,AL30,AM30,AN30,AO30,THDL!$CK$11,8,"Mu",N30,O30,P30,Q30,R30,S30,T30,U30,V30,W30)</f>
        <v>113.38860359891758</v>
      </c>
      <c r="AD30" s="91">
        <f>_xll.Beam_Function(THDL!$CK$2,"Asn",E30,F30,H30,G30,ABS(AA30),THDL!$CN$5,THDL!$CQ$10,THDL!$CQ$11,THDL!$CQ$12,THDL!$CK$6,"Nén",THDL!$CK$7,THDL!$CT$3,THDL!$CT$13,THDL!$CT$16,THDL!$CT$17,THDL!$CT$18,THDL!$CQ$10*THDL!$CQ$9,THDL!$CQ$9,AP30,X30)</f>
        <v>0</v>
      </c>
      <c r="AE30" s="91">
        <f>_xll.Beam_Function(THDL!$CK$2,"Ask",E30,F30,H30,G30,ABS(AA30),THDL!$CN$5,THDL!$CQ$10,THDL!$CQ$11,THDL!$CQ$12,THDL!$CK$6,"Nén",THDL!$CK$7,THDL!$CT$3,THDL!$CT$13,THDL!$CT$16,THDL!$CT$17,THDL!$CT$18,THDL!$CQ$10*THDL!$CQ$9,THDL!$CQ$9,AP30,X30,THDL!$CK$11)</f>
        <v>2.2818543970810383</v>
      </c>
      <c r="AF30" s="89">
        <v>12</v>
      </c>
      <c r="AG30" s="89">
        <v>150</v>
      </c>
      <c r="AH30" s="89"/>
      <c r="AI30" s="89"/>
      <c r="AJ30" s="89"/>
      <c r="AK30" s="89"/>
      <c r="AL30" s="89"/>
      <c r="AM30" s="89"/>
      <c r="AN30" s="89"/>
      <c r="AO30" s="89"/>
      <c r="AP30" s="90">
        <f t="shared" si="2"/>
        <v>5.6548669433593748</v>
      </c>
      <c r="AQ30" s="90">
        <f t="shared" si="6"/>
        <v>0.12955021634271191</v>
      </c>
      <c r="AR30" s="90">
        <f t="shared" si="7"/>
        <v>2.4781892090017288</v>
      </c>
      <c r="AS30" s="77">
        <f>VLOOKUP(C30,NoiLuc!BA:BK,6,0)</f>
        <v>-24.214061737060501</v>
      </c>
      <c r="AT30" s="77">
        <f>VLOOKUP(C30,NoiLuc!AA:AK,6,0)</f>
        <v>-24.214061737060501</v>
      </c>
      <c r="AU30" s="92">
        <f>_xll.Slab_Crack_Function(THDL!$CK$2,"D"&amp;THDL!$CK$17,THDL!$CK$7,ABS(I30),ABS(AS30),ABS(AT30),ABS(AS30),E30,F30,G30,H30,X30,AP30,N30,O30,P30,Q30,R30,S30,T30,U30,V30,W30,THDL!$CN$6,THDL!$CN$8,THDL!$CN$9,THDL!$CQ$6,THDL!$CQ$12,THDL!$CT$6,THDL!$CT$9,THDL!$CT$19,THDL!$CT$20,THDL!$CT$21,THDL!$CT$22,THDL!$CT$23,THDL!$CT$24,THDL!$CT$25,THDL!$CK$21,THDL!$CQ$4*THDL!$CQ$3)</f>
        <v>0</v>
      </c>
      <c r="AV30" s="92">
        <f>_xll.Slab_Crack_Function(THDL!$CK$2,"N"&amp;THDL!$CK$17,THDL!$CK$7,ABS(I30),ABS(AS30),ABS(AT30),ABS(AS30),E30,F30,G30,H30,X30,AP30,N30,O30,P30,Q30,R30,S30,T30,U30,V30,W30,THDL!$CN$6,THDL!$CN$8,THDL!$CN$9,THDL!$CQ$6,THDL!$CQ$12,THDL!$CT$6,THDL!$CT$9,THDL!$CT$19,THDL!$CT$20,THDL!$CT$21,THDL!$CT$22,THDL!$CT$23,THDL!$CT$24,THDL!$CT$25,THDL!$CK$21,THDL!$CQ$4*THDL!$CQ$3)</f>
        <v>0</v>
      </c>
      <c r="AW30" s="92" t="str">
        <f>IF(AND(AU30&lt;=THDL!$CK$8,AV30&lt;=THDL!$CK$9),"OK","FAIL")</f>
        <v>OK</v>
      </c>
      <c r="AX30" s="77">
        <f>VLOOKUP(C30,NoiLuc!BA:BK,8,0)</f>
        <v>46.188114166259801</v>
      </c>
      <c r="AY30" s="77">
        <f>VLOOKUP(C30,NoiLuc!AA:AK,8,0)</f>
        <v>46.188114166259801</v>
      </c>
      <c r="AZ30" s="92">
        <f>_xll.Slab_Crack_Function(THDL!$CK$2,"D"&amp;THDL!$CK$17,THDL!$CK$7,ABS(AA30),ABS(AX30),ABS(AY30),ABS(AX30),E30,F30,H30,G30,AP30,X30,AF30,AG30,AH30,AI30,AJ30,AK30,AL30,AM30,AN30,AO30,THDL!$CN$6,THDL!$CN$8,THDL!$CN$9,THDL!$CQ$6,THDL!$CQ$12,THDL!$CT$6,THDL!$CT$9,THDL!$CT$19,THDL!$CT$20,THDL!$CT$21,THDL!$CT$22,THDL!$CT$23,THDL!$CT$24,THDL!$CT$25,THDL!$CK$21,THDL!$CQ$4*THDL!$CQ$3)</f>
        <v>0</v>
      </c>
      <c r="BA30" s="92">
        <f>_xll.Slab_Crack_Function(THDL!$CK$2,"N"&amp;THDL!$CK$17,THDL!$CK$7,ABS(AA30),ABS(AX30),ABS(AY30),ABS(AX30),E30,F30,H30,G30,AP30,X30,AF30,AG30,AH30,AI30,AJ30,AK30,AL30,AM30,AN30,AO30,THDL!$CN$6,THDL!$CN$8,THDL!$CN$9,THDL!$CQ$6,THDL!$CQ$12,THDL!$CT$6,THDL!$CT$9,THDL!$CT$19,THDL!$CT$20,THDL!$CT$21,THDL!$CT$22,THDL!$CT$23,THDL!$CT$24,THDL!$CT$25,THDL!$CK$21,THDL!$CQ$4*THDL!$CQ$3)</f>
        <v>0</v>
      </c>
      <c r="BB30" s="92" t="str">
        <f>IF(AND(AZ30&lt;=THDL!$CK$8,BA30&lt;=THDL!$CK$9),"OK","FAIL")</f>
        <v>OK</v>
      </c>
      <c r="BC30" s="93">
        <f>VLOOKUP(C30,NoiLuc!A:K,10,0)</f>
        <v>429.49700927734398</v>
      </c>
      <c r="BD30" s="94">
        <f>_xll.Foundation_TinhHeSoCChiuCat(E30,F30,MAX(G30,H30),BM30,BN30,BO30,BP30,BF30,BC30,THDL!$CK$18,THDL!$CK$19)</f>
        <v>1.5</v>
      </c>
      <c r="BE30" s="95">
        <f t="shared" si="8"/>
        <v>873</v>
      </c>
      <c r="BF30" s="93">
        <f>THDL!$CN$7</f>
        <v>1.05</v>
      </c>
      <c r="BG30" s="93">
        <f t="shared" si="9"/>
        <v>458.32500000000005</v>
      </c>
      <c r="BH30" s="93">
        <f t="shared" si="10"/>
        <v>458.32500000000005</v>
      </c>
      <c r="BI30" s="96" t="str">
        <f t="shared" si="11"/>
        <v>OK</v>
      </c>
      <c r="BJ30" s="93">
        <f t="shared" si="12"/>
        <v>0</v>
      </c>
      <c r="BK30" s="97">
        <f t="shared" si="13"/>
        <v>1.5</v>
      </c>
      <c r="BL30" s="95">
        <f t="shared" si="14"/>
        <v>873</v>
      </c>
      <c r="BM30" s="98">
        <f t="shared" si="15"/>
        <v>2</v>
      </c>
      <c r="BN30" s="98">
        <f t="shared" si="16"/>
        <v>12</v>
      </c>
      <c r="BO30" s="98">
        <f t="shared" si="17"/>
        <v>100</v>
      </c>
      <c r="BP30" s="93">
        <f>IF(BN30&gt;8,THDL!$CQ$16,THDL!$CQ$15)</f>
        <v>280</v>
      </c>
      <c r="BQ30" s="93" t="str">
        <f t="shared" si="18"/>
        <v/>
      </c>
      <c r="BR30" s="93" t="str">
        <f t="shared" si="19"/>
        <v/>
      </c>
      <c r="BS30" s="93" t="str">
        <f t="shared" si="20"/>
        <v/>
      </c>
    </row>
    <row r="31" spans="1:71">
      <c r="A31" s="99" t="s">
        <v>303</v>
      </c>
      <c r="B31" s="100" t="str">
        <f t="shared" si="3"/>
        <v>M3</v>
      </c>
      <c r="C31" s="101" t="str">
        <f>IFERROR(VLOOKUP(A31,BanVe!A:AH,34,0),0)</f>
        <v>CSA13</v>
      </c>
      <c r="D31" s="71" t="str">
        <f>IFERROR(IF(UPPER(VLOOKUP(A31,BanVe!A:B,2,0))="STRIPA","STRIP A",IF(UPPER(VLOOKUP(A31,BanVe!A:B,2,0))="STRIPB","STRIP B","KXD")),"KXD")</f>
        <v>STRIP A</v>
      </c>
      <c r="E31" s="101">
        <f>VLOOKUP(C31,NoiLuc!A:K,4,0)</f>
        <v>1400</v>
      </c>
      <c r="F31" s="100">
        <v>700</v>
      </c>
      <c r="G31" s="102">
        <f>TRONGTAM_a(E31,THDL!$CK$10,THDL!$CK$16,N31,P31,R31,T31,V31,O31,Q31,S31,U31,W31,0)</f>
        <v>48</v>
      </c>
      <c r="H31" s="102">
        <f>TRONGTAM_a(E31,THDL!$CK$15,THDL!$CK$16,AF31,AH31,AJ31,AL31,AN31,AG31,AI31,AK31,AM31,AO31,0)</f>
        <v>118</v>
      </c>
      <c r="I31" s="103">
        <f>VLOOKUP(C31,NoiLuc!A:K,6,0)</f>
        <v>-1</v>
      </c>
      <c r="J31" s="103" t="str">
        <f>VLOOKUP(C31,NoiLuc!A:K,7,0)</f>
        <v>-</v>
      </c>
      <c r="K31" s="73">
        <f>_xll.Slab_Function(THDL!$CK$2,E31,F31,G31,H31,I31,THDL!$CN$5,THDL!$CQ$4,THDL!$CQ$5,THDL!$CQ$6,THDL!$CQ$10,THDL!$CQ$11,THDL!$CQ$12,THDL!$CK$6,"Nén",THDL!$CK$7,THDL!$CT$3,THDL!$CT$13,THDL!$CT$16,THDL!$CT$17,THDL!$CT$18,THDL!$CQ$3*THDL!$CQ$4,THDL!$CQ$3,THDL!$CQ$9*THDL!$CQ$10,THDL!$CQ$9,N31,O31,P31,Q31,R31,S31,T31,U31,V31,W31,THDL!$CK$11,8,"Mu",AF31,AG31,AH31,AI31,AJ31,AK31,AL31,AM31,AN31,AO31)</f>
        <v>237.52031744233068</v>
      </c>
      <c r="L31" s="103">
        <f>_xll.Beam_Function(THDL!$CK$2,"Asn",E31,F31,G31,H31,ABS(I31),THDL!$CN$5,THDL!$CQ$10,THDL!$CQ$11,THDL!$CQ$12,THDL!$CK$6,"Nén",THDL!$CK$7,THDL!$CT$3,THDL!$CT$13,THDL!$CT$16,THDL!$CT$17,THDL!$CT$18,THDL!$CQ$10*THDL!$CQ$9,THDL!$CQ$9,X31,AP31)</f>
        <v>0</v>
      </c>
      <c r="M31" s="103">
        <f>_xll.Beam_Function(THDL!$CK$2,"Ask",E31,F31,G31,H31,ABS(I31),THDL!$CN$5,THDL!$CQ$10,THDL!$CQ$11,THDL!$CQ$12,THDL!$CK$6,"Nén",THDL!$CK$7,THDL!$CT$3,THDL!$CT$13,THDL!$CT$16,THDL!$CT$17,THDL!$CT$18,THDL!$CQ$10*THDL!$CQ$9,THDL!$CQ$9,X31,AP31,THDL!$CK$11)</f>
        <v>4.3823748762180981E-2</v>
      </c>
      <c r="N31" s="104">
        <v>12</v>
      </c>
      <c r="O31" s="104">
        <v>150</v>
      </c>
      <c r="P31" s="104"/>
      <c r="Q31" s="104"/>
      <c r="R31" s="104"/>
      <c r="S31" s="104"/>
      <c r="T31" s="104"/>
      <c r="U31" s="104"/>
      <c r="V31" s="104"/>
      <c r="W31" s="104"/>
      <c r="X31" s="105">
        <f t="shared" si="1"/>
        <v>10.555750732421876</v>
      </c>
      <c r="Y31" s="105">
        <f t="shared" si="4"/>
        <v>0.11564144097745262</v>
      </c>
      <c r="Z31" s="105">
        <f t="shared" si="5"/>
        <v>240.86827417948501</v>
      </c>
      <c r="AA31" s="103">
        <f>VLOOKUP(C31,NoiLuc!A:K,8,0)</f>
        <v>119.574668884277</v>
      </c>
      <c r="AB31" s="103">
        <f>VLOOKUP(C31,NoiLuc!A:K,9,0)</f>
        <v>0.749999999999999</v>
      </c>
      <c r="AC31" s="73">
        <f>_xll.Slab_Function(THDL!$CK$2,E31,F31,H31,G31,AA31,THDL!$CN$5,THDL!$CQ$4,THDL!$CQ$5,THDL!$CQ$6,THDL!$CQ$10,THDL!$CQ$11,THDL!$CQ$12,THDL!$CK$6,"Nén",THDL!$CK$7,THDL!$CT$3,THDL!$CT$13,THDL!$CT$16,THDL!$CT$17,THDL!$CT$18,THDL!$CQ$3*THDL!$CQ$4,THDL!$CQ$3,THDL!$CQ$9*THDL!$CQ$10,THDL!$CQ$9,AF31,AG31,AH31,AI31,AJ31,AK31,AL31,AM31,AN31,AO31,THDL!$CK$11,8,"Mu",N31,O31,P31,Q31,R31,S31,T31,U31,V31,W31)</f>
        <v>211.6587267179795</v>
      </c>
      <c r="AD31" s="106">
        <f>_xll.Beam_Function(THDL!$CK$2,"Asn",E31,F31,H31,G31,ABS(AA31),THDL!$CN$5,THDL!$CQ$10,THDL!$CQ$11,THDL!$CQ$12,THDL!$CK$6,"Nén",THDL!$CK$7,THDL!$CT$3,THDL!$CT$13,THDL!$CT$16,THDL!$CT$17,THDL!$CT$18,THDL!$CQ$10*THDL!$CQ$9,THDL!$CQ$9,AP31,X31)</f>
        <v>0</v>
      </c>
      <c r="AE31" s="106">
        <f>_xll.Beam_Function(THDL!$CK$2,"Ask",E31,F31,H31,G31,ABS(AA31),THDL!$CN$5,THDL!$CQ$10,THDL!$CQ$11,THDL!$CQ$12,THDL!$CK$6,"Nén",THDL!$CK$7,THDL!$CT$3,THDL!$CT$13,THDL!$CT$16,THDL!$CT$17,THDL!$CT$18,THDL!$CQ$10*THDL!$CQ$9,THDL!$CQ$9,AP31,X31,THDL!$CK$11)</f>
        <v>5.9220838455530842</v>
      </c>
      <c r="AF31" s="104">
        <v>12</v>
      </c>
      <c r="AG31" s="104">
        <v>150</v>
      </c>
      <c r="AH31" s="104"/>
      <c r="AI31" s="104"/>
      <c r="AJ31" s="104"/>
      <c r="AK31" s="104"/>
      <c r="AL31" s="104"/>
      <c r="AM31" s="104"/>
      <c r="AN31" s="104"/>
      <c r="AO31" s="104"/>
      <c r="AP31" s="105">
        <f t="shared" si="2"/>
        <v>10.555750732421876</v>
      </c>
      <c r="AQ31" s="105">
        <f t="shared" si="6"/>
        <v>0.12955020535618403</v>
      </c>
      <c r="AR31" s="105">
        <f t="shared" si="7"/>
        <v>1.7824385820454451</v>
      </c>
      <c r="AS31" s="77">
        <f>VLOOKUP(C31,NoiLuc!BA:BK,6,0)</f>
        <v>-1</v>
      </c>
      <c r="AT31" s="77">
        <f>VLOOKUP(C31,NoiLuc!AA:AK,6,0)</f>
        <v>-1</v>
      </c>
      <c r="AU31" s="107">
        <f>_xll.Slab_Crack_Function(THDL!$CK$2,"D"&amp;THDL!$CK$17,THDL!$CK$7,ABS(I31),ABS(AS31),ABS(AT31),ABS(AS31),E31,F31,G31,H31,X31,AP31,N31,O31,P31,Q31,R31,S31,T31,U31,V31,W31,THDL!$CN$6,THDL!$CN$8,THDL!$CN$9,THDL!$CQ$6,THDL!$CQ$12,THDL!$CT$6,THDL!$CT$9,THDL!$CT$19,THDL!$CT$20,THDL!$CT$21,THDL!$CT$22,THDL!$CT$23,THDL!$CT$24,THDL!$CT$25,THDL!$CK$21,THDL!$CQ$4*THDL!$CQ$3)</f>
        <v>0</v>
      </c>
      <c r="AV31" s="107">
        <f>_xll.Slab_Crack_Function(THDL!$CK$2,"N"&amp;THDL!$CK$17,THDL!$CK$7,ABS(I31),ABS(AS31),ABS(AT31),ABS(AS31),E31,F31,G31,H31,X31,AP31,N31,O31,P31,Q31,R31,S31,T31,U31,V31,W31,THDL!$CN$6,THDL!$CN$8,THDL!$CN$9,THDL!$CQ$6,THDL!$CQ$12,THDL!$CT$6,THDL!$CT$9,THDL!$CT$19,THDL!$CT$20,THDL!$CT$21,THDL!$CT$22,THDL!$CT$23,THDL!$CT$24,THDL!$CT$25,THDL!$CK$21,THDL!$CQ$4*THDL!$CQ$3)</f>
        <v>0</v>
      </c>
      <c r="AW31" s="107" t="str">
        <f>IF(AND(AU31&lt;=THDL!$CK$8,AV31&lt;=THDL!$CK$9),"OK","FAIL")</f>
        <v>OK</v>
      </c>
      <c r="AX31" s="77">
        <f>VLOOKUP(C31,NoiLuc!BA:BK,8,0)</f>
        <v>119.574668884277</v>
      </c>
      <c r="AY31" s="77">
        <f>VLOOKUP(C31,NoiLuc!AA:AK,8,0)</f>
        <v>119.574668884277</v>
      </c>
      <c r="AZ31" s="107">
        <f>_xll.Slab_Crack_Function(THDL!$CK$2,"D"&amp;THDL!$CK$17,THDL!$CK$7,ABS(AA31),ABS(AX31),ABS(AY31),ABS(AX31),E31,F31,H31,G31,AP31,X31,AF31,AG31,AH31,AI31,AJ31,AK31,AL31,AM31,AN31,AO31,THDL!$CN$6,THDL!$CN$8,THDL!$CN$9,THDL!$CQ$6,THDL!$CQ$12,THDL!$CT$6,THDL!$CT$9,THDL!$CT$19,THDL!$CT$20,THDL!$CT$21,THDL!$CT$22,THDL!$CT$23,THDL!$CT$24,THDL!$CT$25,THDL!$CK$21,THDL!$CQ$4*THDL!$CQ$3)</f>
        <v>0</v>
      </c>
      <c r="BA31" s="107">
        <f>_xll.Slab_Crack_Function(THDL!$CK$2,"N"&amp;THDL!$CK$17,THDL!$CK$7,ABS(AA31),ABS(AX31),ABS(AY31),ABS(AX31),E31,F31,H31,G31,AP31,X31,AF31,AG31,AH31,AI31,AJ31,AK31,AL31,AM31,AN31,AO31,THDL!$CN$6,THDL!$CN$8,THDL!$CN$9,THDL!$CQ$6,THDL!$CQ$12,THDL!$CT$6,THDL!$CT$9,THDL!$CT$19,THDL!$CT$20,THDL!$CT$21,THDL!$CT$22,THDL!$CT$23,THDL!$CT$24,THDL!$CT$25,THDL!$CK$21,THDL!$CQ$4*THDL!$CQ$3)</f>
        <v>0</v>
      </c>
      <c r="BB31" s="107" t="str">
        <f>IF(AND(AZ31&lt;=THDL!$CK$8,BA31&lt;=THDL!$CK$9),"OK","FAIL")</f>
        <v>OK</v>
      </c>
      <c r="BC31" s="108">
        <f>VLOOKUP(C31,NoiLuc!A:K,10,0)</f>
        <v>265.12466430664102</v>
      </c>
      <c r="BD31" s="109">
        <f>_xll.Foundation_TinhHeSoCChiuCat(E31,F31,MAX(G31,H31),BM31,BN31,BO31,BP31,BF31,BC31,THDL!$CK$18,THDL!$CK$19)</f>
        <v>1.5</v>
      </c>
      <c r="BE31" s="110">
        <f t="shared" si="8"/>
        <v>873</v>
      </c>
      <c r="BF31" s="108">
        <f>THDL!$CN$7</f>
        <v>1.05</v>
      </c>
      <c r="BG31" s="108">
        <f t="shared" si="9"/>
        <v>855.54000000000008</v>
      </c>
      <c r="BH31" s="108">
        <f t="shared" si="10"/>
        <v>855.54000000000008</v>
      </c>
      <c r="BI31" s="111" t="str">
        <f t="shared" si="11"/>
        <v>OK</v>
      </c>
      <c r="BJ31" s="108">
        <f t="shared" si="12"/>
        <v>0</v>
      </c>
      <c r="BK31" s="112">
        <f t="shared" si="13"/>
        <v>1.5</v>
      </c>
      <c r="BL31" s="110">
        <f t="shared" si="14"/>
        <v>873</v>
      </c>
      <c r="BM31" s="113">
        <f t="shared" si="15"/>
        <v>2</v>
      </c>
      <c r="BN31" s="113">
        <f t="shared" si="16"/>
        <v>12</v>
      </c>
      <c r="BO31" s="113">
        <f t="shared" si="17"/>
        <v>100</v>
      </c>
      <c r="BP31" s="108">
        <f>IF(BN31&gt;8,THDL!$CQ$16,THDL!$CQ$15)</f>
        <v>280</v>
      </c>
      <c r="BQ31" s="108" t="str">
        <f t="shared" si="18"/>
        <v/>
      </c>
      <c r="BR31" s="108" t="str">
        <f t="shared" si="19"/>
        <v/>
      </c>
      <c r="BS31" s="108" t="str">
        <f t="shared" si="20"/>
        <v/>
      </c>
    </row>
    <row r="32" spans="1:71">
      <c r="A32" s="114" t="s">
        <v>305</v>
      </c>
      <c r="B32" s="115" t="str">
        <f t="shared" si="3"/>
        <v>M3</v>
      </c>
      <c r="C32" s="116" t="str">
        <f>IFERROR(VLOOKUP(A32,BanVe!A:AH,34,0),0)</f>
        <v>CSB15</v>
      </c>
      <c r="D32" s="71" t="str">
        <f>IFERROR(IF(UPPER(VLOOKUP(A32,BanVe!A:B,2,0))="STRIPA","STRIP A",IF(UPPER(VLOOKUP(A32,BanVe!A:B,2,0))="STRIPB","STRIP B","KXD")),"KXD")</f>
        <v>STRIP B</v>
      </c>
      <c r="E32" s="116">
        <f>VLOOKUP(C32,NoiLuc!A:K,4,0)</f>
        <v>1500</v>
      </c>
      <c r="F32" s="115">
        <v>700</v>
      </c>
      <c r="G32" s="117">
        <f>TRONGTAM_a(E32,THDL!$CK$10,THDL!$CK$16,N32,P32,R32,T32,V32,O32,Q32,S32,U32,W32,0)</f>
        <v>48</v>
      </c>
      <c r="H32" s="117">
        <f>TRONGTAM_a(E32,THDL!$CK$15,THDL!$CK$16,AF32,AH32,AJ32,AL32,AN32,AG32,AI32,AK32,AM32,AO32,0)</f>
        <v>118</v>
      </c>
      <c r="I32" s="118">
        <f>VLOOKUP(C32,NoiLuc!A:K,6,0)</f>
        <v>-15.367501258850099</v>
      </c>
      <c r="J32" s="118">
        <f>VLOOKUP(C32,NoiLuc!A:K,7,0)</f>
        <v>1.0249999999999899</v>
      </c>
      <c r="K32" s="73">
        <f>_xll.Slab_Function(THDL!$CK$2,E32,F32,G32,H32,I32,THDL!$CN$5,THDL!$CQ$4,THDL!$CQ$5,THDL!$CQ$6,THDL!$CQ$10,THDL!$CQ$11,THDL!$CQ$12,THDL!$CK$6,"Nén",THDL!$CK$7,THDL!$CT$3,THDL!$CT$13,THDL!$CT$16,THDL!$CT$17,THDL!$CT$18,THDL!$CQ$3*THDL!$CQ$4,THDL!$CQ$3,THDL!$CQ$9*THDL!$CQ$10,THDL!$CQ$9,N32,O32,P32,Q32,R32,S32,T32,U32,V32,W32,THDL!$CK$11,8,"Mu",AF32,AG32,AH32,AI32,AJ32,AK32,AL32,AM32,AN32,AO32)</f>
        <v>254.4860544024971</v>
      </c>
      <c r="L32" s="118">
        <f>_xll.Beam_Function(THDL!$CK$2,"Asn",E32,F32,G32,H32,ABS(I32),THDL!$CN$5,THDL!$CQ$10,THDL!$CQ$11,THDL!$CQ$12,THDL!$CK$6,"Nén",THDL!$CK$7,THDL!$CT$3,THDL!$CT$13,THDL!$CT$16,THDL!$CT$17,THDL!$CT$18,THDL!$CQ$10*THDL!$CQ$9,THDL!$CQ$9,X32,AP32)</f>
        <v>0</v>
      </c>
      <c r="M32" s="118">
        <f>_xll.Beam_Function(THDL!$CK$2,"Ask",E32,F32,G32,H32,ABS(I32),THDL!$CN$5,THDL!$CQ$10,THDL!$CQ$11,THDL!$CQ$12,THDL!$CK$6,"Nén",THDL!$CK$7,THDL!$CT$3,THDL!$CT$13,THDL!$CT$16,THDL!$CT$17,THDL!$CT$18,THDL!$CQ$10*THDL!$CQ$9,THDL!$CQ$9,X32,AP32,THDL!$CK$11)</f>
        <v>0.67398306072360792</v>
      </c>
      <c r="N32" s="119">
        <v>12</v>
      </c>
      <c r="O32" s="119">
        <v>150</v>
      </c>
      <c r="P32" s="119"/>
      <c r="Q32" s="119"/>
      <c r="R32" s="119"/>
      <c r="S32" s="119"/>
      <c r="T32" s="119"/>
      <c r="U32" s="119"/>
      <c r="V32" s="119"/>
      <c r="W32" s="119"/>
      <c r="X32" s="120">
        <f t="shared" si="1"/>
        <v>11.30973388671875</v>
      </c>
      <c r="Y32" s="120">
        <f t="shared" si="4"/>
        <v>0.11564145078444529</v>
      </c>
      <c r="Z32" s="120">
        <f t="shared" si="5"/>
        <v>16.780442337195076</v>
      </c>
      <c r="AA32" s="118">
        <f>VLOOKUP(C32,NoiLuc!A:K,8,0)</f>
        <v>70.123710632324205</v>
      </c>
      <c r="AB32" s="118">
        <f>VLOOKUP(C32,NoiLuc!A:K,9,0)</f>
        <v>0.7</v>
      </c>
      <c r="AC32" s="73">
        <f>_xll.Slab_Function(THDL!$CK$2,E32,F32,H32,G32,AA32,THDL!$CN$5,THDL!$CQ$4,THDL!$CQ$5,THDL!$CQ$6,THDL!$CQ$10,THDL!$CQ$11,THDL!$CQ$12,THDL!$CK$6,"Nén",THDL!$CK$7,THDL!$CT$3,THDL!$CT$13,THDL!$CT$16,THDL!$CT$17,THDL!$CT$18,THDL!$CQ$3*THDL!$CQ$4,THDL!$CQ$3,THDL!$CQ$9*THDL!$CQ$10,THDL!$CQ$9,AF32,AG32,AH32,AI32,AJ32,AK32,AL32,AM32,AN32,AO32,THDL!$CK$11,8,"Mu",N32,O32,P32,Q32,R32,S32,T32,U32,V32,W32)</f>
        <v>226.77720719783517</v>
      </c>
      <c r="AD32" s="121">
        <f>_xll.Beam_Function(THDL!$CK$2,"Asn",E32,F32,H32,G32,ABS(AA32),THDL!$CN$5,THDL!$CQ$10,THDL!$CQ$11,THDL!$CQ$12,THDL!$CK$6,"Nén",THDL!$CK$7,THDL!$CT$3,THDL!$CT$13,THDL!$CT$16,THDL!$CT$17,THDL!$CT$18,THDL!$CQ$10*THDL!$CQ$9,THDL!$CQ$9,AP32,X32)</f>
        <v>0</v>
      </c>
      <c r="AE32" s="121">
        <f>_xll.Beam_Function(THDL!$CK$2,"Ask",E32,F32,H32,G32,ABS(AA32),THDL!$CN$5,THDL!$CQ$10,THDL!$CQ$11,THDL!$CQ$12,THDL!$CK$6,"Nén",THDL!$CK$7,THDL!$CT$3,THDL!$CT$13,THDL!$CT$16,THDL!$CT$17,THDL!$CT$18,THDL!$CQ$10*THDL!$CQ$9,THDL!$CQ$9,AP32,X32,THDL!$CK$11)</f>
        <v>3.4590404978406237</v>
      </c>
      <c r="AF32" s="119">
        <v>12</v>
      </c>
      <c r="AG32" s="119">
        <v>150</v>
      </c>
      <c r="AH32" s="119"/>
      <c r="AI32" s="119"/>
      <c r="AJ32" s="119"/>
      <c r="AK32" s="119"/>
      <c r="AL32" s="119"/>
      <c r="AM32" s="119"/>
      <c r="AN32" s="119"/>
      <c r="AO32" s="119"/>
      <c r="AP32" s="120">
        <f t="shared" si="2"/>
        <v>11.30973388671875</v>
      </c>
      <c r="AQ32" s="120">
        <f t="shared" si="6"/>
        <v>0.12955021634271191</v>
      </c>
      <c r="AR32" s="120">
        <f t="shared" si="7"/>
        <v>3.2696159220393866</v>
      </c>
      <c r="AS32" s="77">
        <f>VLOOKUP(C32,NoiLuc!BA:BK,6,0)</f>
        <v>-15.367501258850099</v>
      </c>
      <c r="AT32" s="77">
        <f>VLOOKUP(C32,NoiLuc!AA:AK,6,0)</f>
        <v>-15.367501258850099</v>
      </c>
      <c r="AU32" s="122">
        <f>_xll.Slab_Crack_Function(THDL!$CK$2,"D"&amp;THDL!$CK$17,THDL!$CK$7,ABS(I32),ABS(AS32),ABS(AT32),ABS(AS32),E32,F32,G32,H32,X32,AP32,N32,O32,P32,Q32,R32,S32,T32,U32,V32,W32,THDL!$CN$6,THDL!$CN$8,THDL!$CN$9,THDL!$CQ$6,THDL!$CQ$12,THDL!$CT$6,THDL!$CT$9,THDL!$CT$19,THDL!$CT$20,THDL!$CT$21,THDL!$CT$22,THDL!$CT$23,THDL!$CT$24,THDL!$CT$25,THDL!$CK$21,THDL!$CQ$4*THDL!$CQ$3)</f>
        <v>0</v>
      </c>
      <c r="AV32" s="122">
        <f>_xll.Slab_Crack_Function(THDL!$CK$2,"N"&amp;THDL!$CK$17,THDL!$CK$7,ABS(I32),ABS(AS32),ABS(AT32),ABS(AS32),E32,F32,G32,H32,X32,AP32,N32,O32,P32,Q32,R32,S32,T32,U32,V32,W32,THDL!$CN$6,THDL!$CN$8,THDL!$CN$9,THDL!$CQ$6,THDL!$CQ$12,THDL!$CT$6,THDL!$CT$9,THDL!$CT$19,THDL!$CT$20,THDL!$CT$21,THDL!$CT$22,THDL!$CT$23,THDL!$CT$24,THDL!$CT$25,THDL!$CK$21,THDL!$CQ$4*THDL!$CQ$3)</f>
        <v>0</v>
      </c>
      <c r="AW32" s="122" t="str">
        <f>IF(AND(AU32&lt;=THDL!$CK$8,AV32&lt;=THDL!$CK$9),"OK","FAIL")</f>
        <v>OK</v>
      </c>
      <c r="AX32" s="77">
        <f>VLOOKUP(C32,NoiLuc!BA:BK,8,0)</f>
        <v>70.123710632324205</v>
      </c>
      <c r="AY32" s="77">
        <f>VLOOKUP(C32,NoiLuc!AA:AK,8,0)</f>
        <v>70.123710632324205</v>
      </c>
      <c r="AZ32" s="122">
        <f>_xll.Slab_Crack_Function(THDL!$CK$2,"D"&amp;THDL!$CK$17,THDL!$CK$7,ABS(AA32),ABS(AX32),ABS(AY32),ABS(AX32),E32,F32,H32,G32,AP32,X32,AF32,AG32,AH32,AI32,AJ32,AK32,AL32,AM32,AN32,AO32,THDL!$CN$6,THDL!$CN$8,THDL!$CN$9,THDL!$CQ$6,THDL!$CQ$12,THDL!$CT$6,THDL!$CT$9,THDL!$CT$19,THDL!$CT$20,THDL!$CT$21,THDL!$CT$22,THDL!$CT$23,THDL!$CT$24,THDL!$CT$25,THDL!$CK$21,THDL!$CQ$4*THDL!$CQ$3)</f>
        <v>0</v>
      </c>
      <c r="BA32" s="122">
        <f>_xll.Slab_Crack_Function(THDL!$CK$2,"N"&amp;THDL!$CK$17,THDL!$CK$7,ABS(AA32),ABS(AX32),ABS(AY32),ABS(AX32),E32,F32,H32,G32,AP32,X32,AF32,AG32,AH32,AI32,AJ32,AK32,AL32,AM32,AN32,AO32,THDL!$CN$6,THDL!$CN$8,THDL!$CN$9,THDL!$CQ$6,THDL!$CQ$12,THDL!$CT$6,THDL!$CT$9,THDL!$CT$19,THDL!$CT$20,THDL!$CT$21,THDL!$CT$22,THDL!$CT$23,THDL!$CT$24,THDL!$CT$25,THDL!$CK$21,THDL!$CQ$4*THDL!$CQ$3)</f>
        <v>0</v>
      </c>
      <c r="BB32" s="122" t="str">
        <f>IF(AND(AZ32&lt;=THDL!$CK$8,BA32&lt;=THDL!$CK$9),"OK","FAIL")</f>
        <v>OK</v>
      </c>
      <c r="BC32" s="123">
        <f>VLOOKUP(C32,NoiLuc!A:K,10,0)</f>
        <v>543.99603271484398</v>
      </c>
      <c r="BD32" s="124">
        <f>_xll.Foundation_TinhHeSoCChiuCat(E32,F32,MAX(G32,H32),BM32,BN32,BO32,BP32,BF32,BC32,THDL!$CK$18,THDL!$CK$19)</f>
        <v>1.5</v>
      </c>
      <c r="BE32" s="125">
        <f t="shared" si="8"/>
        <v>873</v>
      </c>
      <c r="BF32" s="123">
        <f>THDL!$CN$7</f>
        <v>1.05</v>
      </c>
      <c r="BG32" s="123">
        <f t="shared" si="9"/>
        <v>916.65000000000009</v>
      </c>
      <c r="BH32" s="123">
        <f t="shared" si="10"/>
        <v>916.65000000000009</v>
      </c>
      <c r="BI32" s="126" t="str">
        <f t="shared" si="11"/>
        <v>OK</v>
      </c>
      <c r="BJ32" s="123">
        <f t="shared" si="12"/>
        <v>0</v>
      </c>
      <c r="BK32" s="127">
        <f t="shared" si="13"/>
        <v>1.5</v>
      </c>
      <c r="BL32" s="125">
        <f t="shared" si="14"/>
        <v>873</v>
      </c>
      <c r="BM32" s="128">
        <f t="shared" si="15"/>
        <v>2</v>
      </c>
      <c r="BN32" s="128">
        <f t="shared" si="16"/>
        <v>12</v>
      </c>
      <c r="BO32" s="128">
        <f t="shared" si="17"/>
        <v>100</v>
      </c>
      <c r="BP32" s="123">
        <f>IF(BN32&gt;8,THDL!$CQ$16,THDL!$CQ$15)</f>
        <v>280</v>
      </c>
      <c r="BQ32" s="123" t="str">
        <f t="shared" si="18"/>
        <v/>
      </c>
      <c r="BR32" s="123" t="str">
        <f t="shared" si="19"/>
        <v/>
      </c>
      <c r="BS32" s="123" t="str">
        <f t="shared" si="20"/>
        <v/>
      </c>
    </row>
    <row r="33" spans="1:71">
      <c r="A33" s="114" t="s">
        <v>307</v>
      </c>
      <c r="B33" s="115" t="str">
        <f t="shared" si="3"/>
        <v>M3</v>
      </c>
      <c r="C33" s="116" t="str">
        <f>IFERROR(VLOOKUP(A33,BanVe!A:AH,34,0),0)</f>
        <v>CSB25</v>
      </c>
      <c r="D33" s="71" t="str">
        <f>IFERROR(IF(UPPER(VLOOKUP(A33,BanVe!A:B,2,0))="STRIPA","STRIP A",IF(UPPER(VLOOKUP(A33,BanVe!A:B,2,0))="STRIPB","STRIP B","KXD")),"KXD")</f>
        <v>STRIP B</v>
      </c>
      <c r="E33" s="116">
        <f>VLOOKUP(C33,NoiLuc!A:K,4,0)</f>
        <v>750</v>
      </c>
      <c r="F33" s="115">
        <v>700</v>
      </c>
      <c r="G33" s="117">
        <f>TRONGTAM_a(E33,THDL!$CK$10,THDL!$CK$16,N33,P33,R33,T33,V33,O33,Q33,S33,U33,W33,0)</f>
        <v>48</v>
      </c>
      <c r="H33" s="117">
        <f>TRONGTAM_a(E33,THDL!$CK$15,THDL!$CK$16,AF33,AH33,AJ33,AL33,AN33,AG33,AI33,AK33,AM33,AO33,0)</f>
        <v>118</v>
      </c>
      <c r="I33" s="118">
        <f>VLOOKUP(C33,NoiLuc!A:K,6,0)</f>
        <v>-24.9632892608643</v>
      </c>
      <c r="J33" s="118">
        <f>VLOOKUP(C33,NoiLuc!A:K,7,0)</f>
        <v>0.37500000000000699</v>
      </c>
      <c r="K33" s="73">
        <f>_xll.Slab_Function(THDL!$CK$2,E33,F33,G33,H33,I33,THDL!$CN$5,THDL!$CQ$4,THDL!$CQ$5,THDL!$CQ$6,THDL!$CQ$10,THDL!$CQ$11,THDL!$CQ$12,THDL!$CK$6,"Nén",THDL!$CK$7,THDL!$CT$3,THDL!$CT$13,THDL!$CT$16,THDL!$CT$17,THDL!$CT$18,THDL!$CQ$3*THDL!$CQ$4,THDL!$CQ$3,THDL!$CQ$9*THDL!$CQ$10,THDL!$CQ$9,N33,O33,P33,Q33,R33,S33,T33,U33,V33,W33,THDL!$CK$11,8,"Mu",AF33,AG33,AH33,AI33,AJ33,AK33,AL33,AM33,AN33,AO33)</f>
        <v>127.24302720124855</v>
      </c>
      <c r="L33" s="118">
        <f>_xll.Beam_Function(THDL!$CK$2,"Asn",E33,F33,G33,H33,ABS(I33),THDL!$CN$5,THDL!$CQ$10,THDL!$CQ$11,THDL!$CQ$12,THDL!$CK$6,"Nén",THDL!$CK$7,THDL!$CT$3,THDL!$CT$13,THDL!$CT$16,THDL!$CT$17,THDL!$CT$18,THDL!$CQ$10*THDL!$CQ$9,THDL!$CQ$9,X33,AP33)</f>
        <v>0</v>
      </c>
      <c r="M33" s="118">
        <f>_xll.Beam_Function(THDL!$CK$2,"Ask",E33,F33,G33,H33,ABS(I33),THDL!$CN$5,THDL!$CQ$10,THDL!$CQ$11,THDL!$CQ$12,THDL!$CK$6,"Nén",THDL!$CK$7,THDL!$CT$3,THDL!$CT$13,THDL!$CT$16,THDL!$CT$17,THDL!$CT$18,THDL!$CQ$10*THDL!$CQ$9,THDL!$CQ$9,X33,AP33,THDL!$CK$11)</f>
        <v>1.0968910608217315</v>
      </c>
      <c r="N33" s="119">
        <v>12</v>
      </c>
      <c r="O33" s="119">
        <v>150</v>
      </c>
      <c r="P33" s="119"/>
      <c r="Q33" s="119"/>
      <c r="R33" s="119"/>
      <c r="S33" s="119"/>
      <c r="T33" s="119"/>
      <c r="U33" s="119"/>
      <c r="V33" s="119"/>
      <c r="W33" s="119"/>
      <c r="X33" s="120">
        <f t="shared" si="1"/>
        <v>5.6548669433593748</v>
      </c>
      <c r="Y33" s="120">
        <f t="shared" si="4"/>
        <v>0.11564145078444529</v>
      </c>
      <c r="Z33" s="120">
        <f t="shared" si="5"/>
        <v>5.1553587638165768</v>
      </c>
      <c r="AA33" s="118">
        <f>VLOOKUP(C33,NoiLuc!A:K,8,0)</f>
        <v>48.302616119384801</v>
      </c>
      <c r="AB33" s="118">
        <f>VLOOKUP(C33,NoiLuc!A:K,9,0)</f>
        <v>0.70000000000000095</v>
      </c>
      <c r="AC33" s="73">
        <f>_xll.Slab_Function(THDL!$CK$2,E33,F33,H33,G33,AA33,THDL!$CN$5,THDL!$CQ$4,THDL!$CQ$5,THDL!$CQ$6,THDL!$CQ$10,THDL!$CQ$11,THDL!$CQ$12,THDL!$CK$6,"Nén",THDL!$CK$7,THDL!$CT$3,THDL!$CT$13,THDL!$CT$16,THDL!$CT$17,THDL!$CT$18,THDL!$CQ$3*THDL!$CQ$4,THDL!$CQ$3,THDL!$CQ$9*THDL!$CQ$10,THDL!$CQ$9,AF33,AG33,AH33,AI33,AJ33,AK33,AL33,AM33,AN33,AO33,THDL!$CK$11,8,"Mu",N33,O33,P33,Q33,R33,S33,T33,U33,V33,W33)</f>
        <v>113.38860359891758</v>
      </c>
      <c r="AD33" s="121">
        <f>_xll.Beam_Function(THDL!$CK$2,"Asn",E33,F33,H33,G33,ABS(AA33),THDL!$CN$5,THDL!$CQ$10,THDL!$CQ$11,THDL!$CQ$12,THDL!$CK$6,"Nén",THDL!$CK$7,THDL!$CT$3,THDL!$CT$13,THDL!$CT$16,THDL!$CT$17,THDL!$CT$18,THDL!$CQ$10*THDL!$CQ$9,THDL!$CQ$9,AP33,X33)</f>
        <v>0</v>
      </c>
      <c r="AE33" s="121">
        <f>_xll.Beam_Function(THDL!$CK$2,"Ask",E33,F33,H33,G33,ABS(AA33),THDL!$CN$5,THDL!$CQ$10,THDL!$CQ$11,THDL!$CQ$12,THDL!$CK$6,"Nén",THDL!$CK$7,THDL!$CT$3,THDL!$CT$13,THDL!$CT$16,THDL!$CT$17,THDL!$CT$18,THDL!$CQ$10*THDL!$CQ$9,THDL!$CQ$9,AP33,X33,THDL!$CK$11)</f>
        <v>2.3870166631582581</v>
      </c>
      <c r="AF33" s="119">
        <v>12</v>
      </c>
      <c r="AG33" s="119">
        <v>150</v>
      </c>
      <c r="AH33" s="119"/>
      <c r="AI33" s="119"/>
      <c r="AJ33" s="119"/>
      <c r="AK33" s="119"/>
      <c r="AL33" s="119"/>
      <c r="AM33" s="119"/>
      <c r="AN33" s="119"/>
      <c r="AO33" s="119"/>
      <c r="AP33" s="120">
        <f t="shared" si="2"/>
        <v>5.6548669433593748</v>
      </c>
      <c r="AQ33" s="120">
        <f t="shared" si="6"/>
        <v>0.12955021634271191</v>
      </c>
      <c r="AR33" s="120">
        <f t="shared" si="7"/>
        <v>2.3690102505934871</v>
      </c>
      <c r="AS33" s="77">
        <f>VLOOKUP(C33,NoiLuc!BA:BK,6,0)</f>
        <v>-24.9632892608643</v>
      </c>
      <c r="AT33" s="77">
        <f>VLOOKUP(C33,NoiLuc!AA:AK,6,0)</f>
        <v>-24.9632892608643</v>
      </c>
      <c r="AU33" s="122">
        <f>_xll.Slab_Crack_Function(THDL!$CK$2,"D"&amp;THDL!$CK$17,THDL!$CK$7,ABS(I33),ABS(AS33),ABS(AT33),ABS(AS33),E33,F33,G33,H33,X33,AP33,N33,O33,P33,Q33,R33,S33,T33,U33,V33,W33,THDL!$CN$6,THDL!$CN$8,THDL!$CN$9,THDL!$CQ$6,THDL!$CQ$12,THDL!$CT$6,THDL!$CT$9,THDL!$CT$19,THDL!$CT$20,THDL!$CT$21,THDL!$CT$22,THDL!$CT$23,THDL!$CT$24,THDL!$CT$25,THDL!$CK$21,THDL!$CQ$4*THDL!$CQ$3)</f>
        <v>0</v>
      </c>
      <c r="AV33" s="122">
        <f>_xll.Slab_Crack_Function(THDL!$CK$2,"N"&amp;THDL!$CK$17,THDL!$CK$7,ABS(I33),ABS(AS33),ABS(AT33),ABS(AS33),E33,F33,G33,H33,X33,AP33,N33,O33,P33,Q33,R33,S33,T33,U33,V33,W33,THDL!$CN$6,THDL!$CN$8,THDL!$CN$9,THDL!$CQ$6,THDL!$CQ$12,THDL!$CT$6,THDL!$CT$9,THDL!$CT$19,THDL!$CT$20,THDL!$CT$21,THDL!$CT$22,THDL!$CT$23,THDL!$CT$24,THDL!$CT$25,THDL!$CK$21,THDL!$CQ$4*THDL!$CQ$3)</f>
        <v>0</v>
      </c>
      <c r="AW33" s="122" t="str">
        <f>IF(AND(AU33&lt;=THDL!$CK$8,AV33&lt;=THDL!$CK$9),"OK","FAIL")</f>
        <v>OK</v>
      </c>
      <c r="AX33" s="77">
        <f>VLOOKUP(C33,NoiLuc!BA:BK,8,0)</f>
        <v>48.302616119384801</v>
      </c>
      <c r="AY33" s="77">
        <f>VLOOKUP(C33,NoiLuc!AA:AK,8,0)</f>
        <v>48.302616119384801</v>
      </c>
      <c r="AZ33" s="122">
        <f>_xll.Slab_Crack_Function(THDL!$CK$2,"D"&amp;THDL!$CK$17,THDL!$CK$7,ABS(AA33),ABS(AX33),ABS(AY33),ABS(AX33),E33,F33,H33,G33,AP33,X33,AF33,AG33,AH33,AI33,AJ33,AK33,AL33,AM33,AN33,AO33,THDL!$CN$6,THDL!$CN$8,THDL!$CN$9,THDL!$CQ$6,THDL!$CQ$12,THDL!$CT$6,THDL!$CT$9,THDL!$CT$19,THDL!$CT$20,THDL!$CT$21,THDL!$CT$22,THDL!$CT$23,THDL!$CT$24,THDL!$CT$25,THDL!$CK$21,THDL!$CQ$4*THDL!$CQ$3)</f>
        <v>0</v>
      </c>
      <c r="BA33" s="122">
        <f>_xll.Slab_Crack_Function(THDL!$CK$2,"N"&amp;THDL!$CK$17,THDL!$CK$7,ABS(AA33),ABS(AX33),ABS(AY33),ABS(AX33),E33,F33,H33,G33,AP33,X33,AF33,AG33,AH33,AI33,AJ33,AK33,AL33,AM33,AN33,AO33,THDL!$CN$6,THDL!$CN$8,THDL!$CN$9,THDL!$CQ$6,THDL!$CQ$12,THDL!$CT$6,THDL!$CT$9,THDL!$CT$19,THDL!$CT$20,THDL!$CT$21,THDL!$CT$22,THDL!$CT$23,THDL!$CT$24,THDL!$CT$25,THDL!$CK$21,THDL!$CQ$4*THDL!$CQ$3)</f>
        <v>0</v>
      </c>
      <c r="BB33" s="122" t="str">
        <f>IF(AND(AZ33&lt;=THDL!$CK$8,BA33&lt;=THDL!$CK$9),"OK","FAIL")</f>
        <v>OK</v>
      </c>
      <c r="BC33" s="123">
        <f>VLOOKUP(C33,NoiLuc!A:K,10,0)</f>
        <v>448.00592041015602</v>
      </c>
      <c r="BD33" s="124">
        <f>_xll.Foundation_TinhHeSoCChiuCat(E33,F33,MAX(G33,H33),BM33,BN33,BO33,BP33,BF33,BC33,THDL!$CK$18,THDL!$CK$19)</f>
        <v>1.5</v>
      </c>
      <c r="BE33" s="125">
        <f t="shared" si="8"/>
        <v>873</v>
      </c>
      <c r="BF33" s="123">
        <f>THDL!$CN$7</f>
        <v>1.05</v>
      </c>
      <c r="BG33" s="123">
        <f t="shared" si="9"/>
        <v>458.32500000000005</v>
      </c>
      <c r="BH33" s="123">
        <f t="shared" si="10"/>
        <v>458.32500000000005</v>
      </c>
      <c r="BI33" s="126" t="str">
        <f t="shared" si="11"/>
        <v>OK</v>
      </c>
      <c r="BJ33" s="123">
        <f t="shared" si="12"/>
        <v>0</v>
      </c>
      <c r="BK33" s="127">
        <f t="shared" si="13"/>
        <v>1.5</v>
      </c>
      <c r="BL33" s="125">
        <f t="shared" si="14"/>
        <v>873</v>
      </c>
      <c r="BM33" s="128">
        <f t="shared" si="15"/>
        <v>2</v>
      </c>
      <c r="BN33" s="128">
        <f t="shared" si="16"/>
        <v>12</v>
      </c>
      <c r="BO33" s="128">
        <f t="shared" si="17"/>
        <v>100</v>
      </c>
      <c r="BP33" s="123">
        <f>IF(BN33&gt;8,THDL!$CQ$16,THDL!$CQ$15)</f>
        <v>280</v>
      </c>
      <c r="BQ33" s="123" t="str">
        <f t="shared" si="18"/>
        <v/>
      </c>
      <c r="BR33" s="123" t="str">
        <f t="shared" si="19"/>
        <v/>
      </c>
      <c r="BS33" s="123" t="str">
        <f t="shared" si="20"/>
        <v/>
      </c>
    </row>
    <row r="34" spans="1:71">
      <c r="A34" s="129" t="s">
        <v>309</v>
      </c>
      <c r="B34" s="70" t="str">
        <f t="shared" si="3"/>
        <v>M4</v>
      </c>
      <c r="C34" s="71" t="str">
        <f>IFERROR(VLOOKUP(A34,BanVe!A:AH,34,0),0)</f>
        <v>CSA14</v>
      </c>
      <c r="D34" s="71" t="str">
        <f>IFERROR(IF(UPPER(VLOOKUP(A34,BanVe!A:B,2,0))="STRIPA","STRIP A",IF(UPPER(VLOOKUP(A34,BanVe!A:B,2,0))="STRIPB","STRIP B","KXD")),"KXD")</f>
        <v>STRIP A</v>
      </c>
      <c r="E34" s="71">
        <f>VLOOKUP(C34,NoiLuc!A:K,4,0)</f>
        <v>1400</v>
      </c>
      <c r="F34" s="70">
        <v>700</v>
      </c>
      <c r="G34" s="72">
        <f>TRONGTAM_a(E34,THDL!$CK$10,THDL!$CK$16,N34,P34,R34,T34,V34,O34,Q34,S34,U34,W34,0)</f>
        <v>48</v>
      </c>
      <c r="H34" s="72">
        <f>TRONGTAM_a(E34,THDL!$CK$15,THDL!$CK$16,AF34,AH34,AJ34,AL34,AN34,AG34,AI34,AK34,AM34,AO34,0)</f>
        <v>118</v>
      </c>
      <c r="I34" s="73">
        <f>VLOOKUP(C34,NoiLuc!A:K,6,0)</f>
        <v>-1.43416965007782</v>
      </c>
      <c r="J34" s="73">
        <f>VLOOKUP(C34,NoiLuc!A:K,7,0)</f>
        <v>0.37499999999999101</v>
      </c>
      <c r="K34" s="73">
        <f>_xll.Slab_Function(THDL!$CK$2,E34,F34,G34,H34,I34,THDL!$CN$5,THDL!$CQ$4,THDL!$CQ$5,THDL!$CQ$6,THDL!$CQ$10,THDL!$CQ$11,THDL!$CQ$12,THDL!$CK$6,"Nén",THDL!$CK$7,THDL!$CT$3,THDL!$CT$13,THDL!$CT$16,THDL!$CT$17,THDL!$CT$18,THDL!$CQ$3*THDL!$CQ$4,THDL!$CQ$3,THDL!$CQ$9*THDL!$CQ$10,THDL!$CQ$9,N34,O34,P34,Q34,R34,S34,T34,U34,V34,W34,THDL!$CK$11,8,"Mu",AF34,AG34,AH34,AI34,AJ34,AK34,AL34,AM34,AN34,AO34)</f>
        <v>237.52031744233068</v>
      </c>
      <c r="L34" s="73">
        <f>_xll.Beam_Function(THDL!$CK$2,"Asn",E34,F34,G34,H34,ABS(I34),THDL!$CN$5,THDL!$CQ$10,THDL!$CQ$11,THDL!$CQ$12,THDL!$CK$6,"Nén",THDL!$CK$7,THDL!$CT$3,THDL!$CT$13,THDL!$CT$16,THDL!$CT$17,THDL!$CT$18,THDL!$CQ$10*THDL!$CQ$9,THDL!$CQ$9,X34,AP34)</f>
        <v>0</v>
      </c>
      <c r="M34" s="73">
        <f>_xll.Beam_Function(THDL!$CK$2,"Ask",E34,F34,G34,H34,ABS(I34),THDL!$CN$5,THDL!$CQ$10,THDL!$CQ$11,THDL!$CQ$12,THDL!$CK$6,"Nén",THDL!$CK$7,THDL!$CT$3,THDL!$CT$13,THDL!$CT$16,THDL!$CT$17,THDL!$CT$18,THDL!$CQ$10*THDL!$CQ$9,THDL!$CQ$9,X34,AP34,THDL!$CK$11)</f>
        <v>6.2852271841583277E-2</v>
      </c>
      <c r="N34" s="74">
        <v>12</v>
      </c>
      <c r="O34" s="74">
        <v>150</v>
      </c>
      <c r="P34" s="74"/>
      <c r="Q34" s="74"/>
      <c r="R34" s="74"/>
      <c r="S34" s="74"/>
      <c r="T34" s="74"/>
      <c r="U34" s="74"/>
      <c r="V34" s="74"/>
      <c r="W34" s="74"/>
      <c r="X34" s="75">
        <f t="shared" si="1"/>
        <v>10.555750732421876</v>
      </c>
      <c r="Y34" s="75">
        <f t="shared" si="4"/>
        <v>0.11564144097745262</v>
      </c>
      <c r="Z34" s="75">
        <f t="shared" si="5"/>
        <v>167.94541268177605</v>
      </c>
      <c r="AA34" s="73">
        <f>VLOOKUP(C34,NoiLuc!A:K,8,0)</f>
        <v>83.540199279785199</v>
      </c>
      <c r="AB34" s="73">
        <f>VLOOKUP(C34,NoiLuc!A:K,9,0)</f>
        <v>0.75</v>
      </c>
      <c r="AC34" s="73">
        <f>_xll.Slab_Function(THDL!$CK$2,E34,F34,H34,G34,AA34,THDL!$CN$5,THDL!$CQ$4,THDL!$CQ$5,THDL!$CQ$6,THDL!$CQ$10,THDL!$CQ$11,THDL!$CQ$12,THDL!$CK$6,"Nén",THDL!$CK$7,THDL!$CT$3,THDL!$CT$13,THDL!$CT$16,THDL!$CT$17,THDL!$CT$18,THDL!$CQ$3*THDL!$CQ$4,THDL!$CQ$3,THDL!$CQ$9*THDL!$CQ$10,THDL!$CQ$9,AF34,AG34,AH34,AI34,AJ34,AK34,AL34,AM34,AN34,AO34,THDL!$CK$11,8,"Mu",N34,O34,P34,Q34,R34,S34,T34,U34,V34,W34)</f>
        <v>211.6587267179795</v>
      </c>
      <c r="AD34" s="76">
        <f>_xll.Beam_Function(THDL!$CK$2,"Asn",E34,F34,H34,G34,ABS(AA34),THDL!$CN$5,THDL!$CQ$10,THDL!$CQ$11,THDL!$CQ$12,THDL!$CK$6,"Nén",THDL!$CK$7,THDL!$CT$3,THDL!$CT$13,THDL!$CT$16,THDL!$CT$17,THDL!$CT$18,THDL!$CQ$10*THDL!$CQ$9,THDL!$CQ$9,AP34,X34)</f>
        <v>0</v>
      </c>
      <c r="AE34" s="76">
        <f>_xll.Beam_Function(THDL!$CK$2,"Ask",E34,F34,H34,G34,ABS(AA34),THDL!$CN$5,THDL!$CQ$10,THDL!$CQ$11,THDL!$CQ$12,THDL!$CK$6,"Nén",THDL!$CK$7,THDL!$CT$3,THDL!$CT$13,THDL!$CT$16,THDL!$CT$17,THDL!$CT$18,THDL!$CQ$10*THDL!$CQ$9,THDL!$CQ$9,AP34,X34,THDL!$CK$11)</f>
        <v>4.1263593612902083</v>
      </c>
      <c r="AF34" s="74">
        <v>12</v>
      </c>
      <c r="AG34" s="74">
        <v>150</v>
      </c>
      <c r="AH34" s="74"/>
      <c r="AI34" s="74"/>
      <c r="AJ34" s="74"/>
      <c r="AK34" s="74"/>
      <c r="AL34" s="74"/>
      <c r="AM34" s="74"/>
      <c r="AN34" s="74"/>
      <c r="AO34" s="74"/>
      <c r="AP34" s="75">
        <f t="shared" si="2"/>
        <v>10.555750732421876</v>
      </c>
      <c r="AQ34" s="75">
        <f t="shared" si="6"/>
        <v>0.12955020535618403</v>
      </c>
      <c r="AR34" s="75">
        <f t="shared" si="7"/>
        <v>2.5581268639485049</v>
      </c>
      <c r="AS34" s="77">
        <f>VLOOKUP(C34,NoiLuc!BA:BK,6,0)</f>
        <v>-1.43416965007782</v>
      </c>
      <c r="AT34" s="77">
        <f>VLOOKUP(C34,NoiLuc!AA:AK,6,0)</f>
        <v>-1.43416965007782</v>
      </c>
      <c r="AU34" s="77">
        <f>_xll.Slab_Crack_Function(THDL!$CK$2,"D"&amp;THDL!$CK$17,THDL!$CK$7,ABS(I34),ABS(AS34),ABS(AT34),ABS(AS34),E34,F34,G34,H34,X34,AP34,N34,O34,P34,Q34,R34,S34,T34,U34,V34,W34,THDL!$CN$6,THDL!$CN$8,THDL!$CN$9,THDL!$CQ$6,THDL!$CQ$12,THDL!$CT$6,THDL!$CT$9,THDL!$CT$19,THDL!$CT$20,THDL!$CT$21,THDL!$CT$22,THDL!$CT$23,THDL!$CT$24,THDL!$CT$25,THDL!$CK$21,THDL!$CQ$4*THDL!$CQ$3)</f>
        <v>0</v>
      </c>
      <c r="AV34" s="77">
        <f>_xll.Slab_Crack_Function(THDL!$CK$2,"N"&amp;THDL!$CK$17,THDL!$CK$7,ABS(I34),ABS(AS34),ABS(AT34),ABS(AS34),E34,F34,G34,H34,X34,AP34,N34,O34,P34,Q34,R34,S34,T34,U34,V34,W34,THDL!$CN$6,THDL!$CN$8,THDL!$CN$9,THDL!$CQ$6,THDL!$CQ$12,THDL!$CT$6,THDL!$CT$9,THDL!$CT$19,THDL!$CT$20,THDL!$CT$21,THDL!$CT$22,THDL!$CT$23,THDL!$CT$24,THDL!$CT$25,THDL!$CK$21,THDL!$CQ$4*THDL!$CQ$3)</f>
        <v>0</v>
      </c>
      <c r="AW34" s="77" t="str">
        <f>IF(AND(AU34&lt;=THDL!$CK$8,AV34&lt;=THDL!$CK$9),"OK","FAIL")</f>
        <v>OK</v>
      </c>
      <c r="AX34" s="77">
        <f>VLOOKUP(C34,NoiLuc!BA:BK,8,0)</f>
        <v>83.540199279785199</v>
      </c>
      <c r="AY34" s="77">
        <f>VLOOKUP(C34,NoiLuc!AA:AK,8,0)</f>
        <v>83.540199279785199</v>
      </c>
      <c r="AZ34" s="77">
        <f>_xll.Slab_Crack_Function(THDL!$CK$2,"D"&amp;THDL!$CK$17,THDL!$CK$7,ABS(AA34),ABS(AX34),ABS(AY34),ABS(AX34),E34,F34,H34,G34,AP34,X34,AF34,AG34,AH34,AI34,AJ34,AK34,AL34,AM34,AN34,AO34,THDL!$CN$6,THDL!$CN$8,THDL!$CN$9,THDL!$CQ$6,THDL!$CQ$12,THDL!$CT$6,THDL!$CT$9,THDL!$CT$19,THDL!$CT$20,THDL!$CT$21,THDL!$CT$22,THDL!$CT$23,THDL!$CT$24,THDL!$CT$25,THDL!$CK$21,THDL!$CQ$4*THDL!$CQ$3)</f>
        <v>0</v>
      </c>
      <c r="BA34" s="77">
        <f>_xll.Slab_Crack_Function(THDL!$CK$2,"N"&amp;THDL!$CK$17,THDL!$CK$7,ABS(AA34),ABS(AX34),ABS(AY34),ABS(AX34),E34,F34,H34,G34,AP34,X34,AF34,AG34,AH34,AI34,AJ34,AK34,AL34,AM34,AN34,AO34,THDL!$CN$6,THDL!$CN$8,THDL!$CN$9,THDL!$CQ$6,THDL!$CQ$12,THDL!$CT$6,THDL!$CT$9,THDL!$CT$19,THDL!$CT$20,THDL!$CT$21,THDL!$CT$22,THDL!$CT$23,THDL!$CT$24,THDL!$CT$25,THDL!$CK$21,THDL!$CQ$4*THDL!$CQ$3)</f>
        <v>0</v>
      </c>
      <c r="BB34" s="77" t="str">
        <f>IF(AND(AZ34&lt;=THDL!$CK$8,BA34&lt;=THDL!$CK$9),"OK","FAIL")</f>
        <v>OK</v>
      </c>
      <c r="BC34" s="78">
        <f>VLOOKUP(C34,NoiLuc!A:K,10,0)</f>
        <v>227.09750366210901</v>
      </c>
      <c r="BD34" s="79">
        <f>_xll.Foundation_TinhHeSoCChiuCat(E34,F34,MAX(G34,H34),BM34,BN34,BO34,BP34,BF34,BC34,THDL!$CK$18,THDL!$CK$19)</f>
        <v>1.5</v>
      </c>
      <c r="BE34" s="80">
        <f t="shared" si="8"/>
        <v>873</v>
      </c>
      <c r="BF34" s="78">
        <f>THDL!$CN$7</f>
        <v>1.05</v>
      </c>
      <c r="BG34" s="78">
        <f t="shared" si="9"/>
        <v>855.54000000000008</v>
      </c>
      <c r="BH34" s="78">
        <f t="shared" si="10"/>
        <v>855.54000000000008</v>
      </c>
      <c r="BI34" s="81" t="str">
        <f t="shared" si="11"/>
        <v>OK</v>
      </c>
      <c r="BJ34" s="78">
        <f t="shared" si="12"/>
        <v>0</v>
      </c>
      <c r="BK34" s="82">
        <f t="shared" si="13"/>
        <v>1.5</v>
      </c>
      <c r="BL34" s="80">
        <f t="shared" si="14"/>
        <v>873</v>
      </c>
      <c r="BM34" s="83">
        <f t="shared" si="15"/>
        <v>2</v>
      </c>
      <c r="BN34" s="83">
        <f t="shared" si="16"/>
        <v>12</v>
      </c>
      <c r="BO34" s="83">
        <f t="shared" si="17"/>
        <v>100</v>
      </c>
      <c r="BP34" s="78">
        <f>IF(BN34&gt;8,THDL!$CQ$16,THDL!$CQ$15)</f>
        <v>280</v>
      </c>
      <c r="BQ34" s="78" t="str">
        <f t="shared" si="18"/>
        <v/>
      </c>
      <c r="BR34" s="78" t="str">
        <f t="shared" si="19"/>
        <v/>
      </c>
      <c r="BS34" s="78" t="str">
        <f t="shared" si="20"/>
        <v/>
      </c>
    </row>
    <row r="35" spans="1:71">
      <c r="A35" s="84" t="s">
        <v>312</v>
      </c>
      <c r="B35" s="85" t="str">
        <f t="shared" si="3"/>
        <v>M4</v>
      </c>
      <c r="C35" s="86" t="str">
        <f>IFERROR(VLOOKUP(A35,BanVe!A:AH,34,0),0)</f>
        <v>CSB16</v>
      </c>
      <c r="D35" s="71" t="str">
        <f>IFERROR(IF(UPPER(VLOOKUP(A35,BanVe!A:B,2,0))="STRIPA","STRIP A",IF(UPPER(VLOOKUP(A35,BanVe!A:B,2,0))="STRIPB","STRIP B","KXD")),"KXD")</f>
        <v>STRIP B</v>
      </c>
      <c r="E35" s="86">
        <f>VLOOKUP(C35,NoiLuc!A:K,4,0)</f>
        <v>1500</v>
      </c>
      <c r="F35" s="85">
        <v>700</v>
      </c>
      <c r="G35" s="87">
        <f>TRONGTAM_a(E35,THDL!$CK$10,THDL!$CK$16,N35,P35,R35,T35,V35,O35,Q35,S35,U35,W35,0)</f>
        <v>48</v>
      </c>
      <c r="H35" s="87">
        <f>TRONGTAM_a(E35,THDL!$CK$15,THDL!$CK$16,AF35,AH35,AJ35,AL35,AN35,AG35,AI35,AK35,AM35,AO35,0)</f>
        <v>118</v>
      </c>
      <c r="I35" s="88">
        <f>VLOOKUP(C35,NoiLuc!A:K,6,0)</f>
        <v>-23.8609294891357</v>
      </c>
      <c r="J35" s="88">
        <f>VLOOKUP(C35,NoiLuc!A:K,7,0)</f>
        <v>1.0249999999999899</v>
      </c>
      <c r="K35" s="73">
        <f>_xll.Slab_Function(THDL!$CK$2,E35,F35,G35,H35,I35,THDL!$CN$5,THDL!$CQ$4,THDL!$CQ$5,THDL!$CQ$6,THDL!$CQ$10,THDL!$CQ$11,THDL!$CQ$12,THDL!$CK$6,"Nén",THDL!$CK$7,THDL!$CT$3,THDL!$CT$13,THDL!$CT$16,THDL!$CT$17,THDL!$CT$18,THDL!$CQ$3*THDL!$CQ$4,THDL!$CQ$3,THDL!$CQ$9*THDL!$CQ$10,THDL!$CQ$9,N35,O35,P35,Q35,R35,S35,T35,U35,V35,W35,THDL!$CK$11,8,"Mu",AF35,AG35,AH35,AI35,AJ35,AK35,AL35,AM35,AN35,AO35)</f>
        <v>254.4860544024971</v>
      </c>
      <c r="L35" s="88">
        <f>_xll.Beam_Function(THDL!$CK$2,"Asn",E35,F35,G35,H35,ABS(I35),THDL!$CN$5,THDL!$CQ$10,THDL!$CQ$11,THDL!$CQ$12,THDL!$CK$6,"Nén",THDL!$CK$7,THDL!$CT$3,THDL!$CT$13,THDL!$CT$16,THDL!$CT$17,THDL!$CT$18,THDL!$CQ$10*THDL!$CQ$9,THDL!$CQ$9,X35,AP35)</f>
        <v>0</v>
      </c>
      <c r="M35" s="88">
        <f>_xll.Beam_Function(THDL!$CK$2,"Ask",E35,F35,G35,H35,ABS(I35),THDL!$CN$5,THDL!$CQ$10,THDL!$CQ$11,THDL!$CQ$12,THDL!$CK$6,"Nén",THDL!$CK$7,THDL!$CT$3,THDL!$CT$13,THDL!$CT$16,THDL!$CT$17,THDL!$CT$18,THDL!$CQ$10*THDL!$CQ$9,THDL!$CQ$9,X35,AP35,THDL!$CK$11)</f>
        <v>1.0469674769835726</v>
      </c>
      <c r="N35" s="89">
        <v>12</v>
      </c>
      <c r="O35" s="89">
        <v>150</v>
      </c>
      <c r="P35" s="89"/>
      <c r="Q35" s="89"/>
      <c r="R35" s="89"/>
      <c r="S35" s="89"/>
      <c r="T35" s="89"/>
      <c r="U35" s="89"/>
      <c r="V35" s="89"/>
      <c r="W35" s="89"/>
      <c r="X35" s="90">
        <f t="shared" si="1"/>
        <v>11.30973388671875</v>
      </c>
      <c r="Y35" s="90">
        <f t="shared" si="4"/>
        <v>0.11564145078444529</v>
      </c>
      <c r="Z35" s="90">
        <f t="shared" si="5"/>
        <v>10.802373650902055</v>
      </c>
      <c r="AA35" s="88">
        <f>VLOOKUP(C35,NoiLuc!A:K,8,0)</f>
        <v>49.327690124511697</v>
      </c>
      <c r="AB35" s="88">
        <f>VLOOKUP(C35,NoiLuc!A:K,9,0)</f>
        <v>0.7</v>
      </c>
      <c r="AC35" s="73">
        <f>_xll.Slab_Function(THDL!$CK$2,E35,F35,H35,G35,AA35,THDL!$CN$5,THDL!$CQ$4,THDL!$CQ$5,THDL!$CQ$6,THDL!$CQ$10,THDL!$CQ$11,THDL!$CQ$12,THDL!$CK$6,"Nén",THDL!$CK$7,THDL!$CT$3,THDL!$CT$13,THDL!$CT$16,THDL!$CT$17,THDL!$CT$18,THDL!$CQ$3*THDL!$CQ$4,THDL!$CQ$3,THDL!$CQ$9*THDL!$CQ$10,THDL!$CQ$9,AF35,AG35,AH35,AI35,AJ35,AK35,AL35,AM35,AN35,AO35,THDL!$CK$11,8,"Mu",N35,O35,P35,Q35,R35,S35,T35,U35,V35,W35)</f>
        <v>226.77720719783517</v>
      </c>
      <c r="AD35" s="91">
        <f>_xll.Beam_Function(THDL!$CK$2,"Asn",E35,F35,H35,G35,ABS(AA35),THDL!$CN$5,THDL!$CQ$10,THDL!$CQ$11,THDL!$CQ$12,THDL!$CK$6,"Nén",THDL!$CK$7,THDL!$CT$3,THDL!$CT$13,THDL!$CT$16,THDL!$CT$17,THDL!$CT$18,THDL!$CQ$10*THDL!$CQ$9,THDL!$CQ$9,AP35,X35)</f>
        <v>0</v>
      </c>
      <c r="AE35" s="91">
        <f>_xll.Beam_Function(THDL!$CK$2,"Ask",E35,F35,H35,G35,ABS(AA35),THDL!$CN$5,THDL!$CQ$10,THDL!$CQ$11,THDL!$CQ$12,THDL!$CK$6,"Nén",THDL!$CK$7,THDL!$CT$3,THDL!$CT$13,THDL!$CT$16,THDL!$CT$17,THDL!$CT$18,THDL!$CQ$10*THDL!$CQ$9,THDL!$CQ$9,AP35,X35,THDL!$CK$11)</f>
        <v>2.4297468282029384</v>
      </c>
      <c r="AF35" s="89">
        <v>12</v>
      </c>
      <c r="AG35" s="89">
        <v>150</v>
      </c>
      <c r="AH35" s="89"/>
      <c r="AI35" s="89"/>
      <c r="AJ35" s="89"/>
      <c r="AK35" s="89"/>
      <c r="AL35" s="89"/>
      <c r="AM35" s="89"/>
      <c r="AN35" s="89"/>
      <c r="AO35" s="89"/>
      <c r="AP35" s="90">
        <f t="shared" si="2"/>
        <v>11.30973388671875</v>
      </c>
      <c r="AQ35" s="90">
        <f t="shared" si="6"/>
        <v>0.12955021634271191</v>
      </c>
      <c r="AR35" s="90">
        <f t="shared" si="7"/>
        <v>4.6546964298677675</v>
      </c>
      <c r="AS35" s="77">
        <f>VLOOKUP(C35,NoiLuc!BA:BK,6,0)</f>
        <v>-23.8609294891357</v>
      </c>
      <c r="AT35" s="77">
        <f>VLOOKUP(C35,NoiLuc!AA:AK,6,0)</f>
        <v>-23.8609294891357</v>
      </c>
      <c r="AU35" s="92">
        <f>_xll.Slab_Crack_Function(THDL!$CK$2,"D"&amp;THDL!$CK$17,THDL!$CK$7,ABS(I35),ABS(AS35),ABS(AT35),ABS(AS35),E35,F35,G35,H35,X35,AP35,N35,O35,P35,Q35,R35,S35,T35,U35,V35,W35,THDL!$CN$6,THDL!$CN$8,THDL!$CN$9,THDL!$CQ$6,THDL!$CQ$12,THDL!$CT$6,THDL!$CT$9,THDL!$CT$19,THDL!$CT$20,THDL!$CT$21,THDL!$CT$22,THDL!$CT$23,THDL!$CT$24,THDL!$CT$25,THDL!$CK$21,THDL!$CQ$4*THDL!$CQ$3)</f>
        <v>0</v>
      </c>
      <c r="AV35" s="92">
        <f>_xll.Slab_Crack_Function(THDL!$CK$2,"N"&amp;THDL!$CK$17,THDL!$CK$7,ABS(I35),ABS(AS35),ABS(AT35),ABS(AS35),E35,F35,G35,H35,X35,AP35,N35,O35,P35,Q35,R35,S35,T35,U35,V35,W35,THDL!$CN$6,THDL!$CN$8,THDL!$CN$9,THDL!$CQ$6,THDL!$CQ$12,THDL!$CT$6,THDL!$CT$9,THDL!$CT$19,THDL!$CT$20,THDL!$CT$21,THDL!$CT$22,THDL!$CT$23,THDL!$CT$24,THDL!$CT$25,THDL!$CK$21,THDL!$CQ$4*THDL!$CQ$3)</f>
        <v>0</v>
      </c>
      <c r="AW35" s="92" t="str">
        <f>IF(AND(AU35&lt;=THDL!$CK$8,AV35&lt;=THDL!$CK$9),"OK","FAIL")</f>
        <v>OK</v>
      </c>
      <c r="AX35" s="77">
        <f>VLOOKUP(C35,NoiLuc!BA:BK,8,0)</f>
        <v>49.327690124511697</v>
      </c>
      <c r="AY35" s="77">
        <f>VLOOKUP(C35,NoiLuc!AA:AK,8,0)</f>
        <v>49.327690124511697</v>
      </c>
      <c r="AZ35" s="92">
        <f>_xll.Slab_Crack_Function(THDL!$CK$2,"D"&amp;THDL!$CK$17,THDL!$CK$7,ABS(AA35),ABS(AX35),ABS(AY35),ABS(AX35),E35,F35,H35,G35,AP35,X35,AF35,AG35,AH35,AI35,AJ35,AK35,AL35,AM35,AN35,AO35,THDL!$CN$6,THDL!$CN$8,THDL!$CN$9,THDL!$CQ$6,THDL!$CQ$12,THDL!$CT$6,THDL!$CT$9,THDL!$CT$19,THDL!$CT$20,THDL!$CT$21,THDL!$CT$22,THDL!$CT$23,THDL!$CT$24,THDL!$CT$25,THDL!$CK$21,THDL!$CQ$4*THDL!$CQ$3)</f>
        <v>0</v>
      </c>
      <c r="BA35" s="92">
        <f>_xll.Slab_Crack_Function(THDL!$CK$2,"N"&amp;THDL!$CK$17,THDL!$CK$7,ABS(AA35),ABS(AX35),ABS(AY35),ABS(AX35),E35,F35,H35,G35,AP35,X35,AF35,AG35,AH35,AI35,AJ35,AK35,AL35,AM35,AN35,AO35,THDL!$CN$6,THDL!$CN$8,THDL!$CN$9,THDL!$CQ$6,THDL!$CQ$12,THDL!$CT$6,THDL!$CT$9,THDL!$CT$19,THDL!$CT$20,THDL!$CT$21,THDL!$CT$22,THDL!$CT$23,THDL!$CT$24,THDL!$CT$25,THDL!$CK$21,THDL!$CQ$4*THDL!$CQ$3)</f>
        <v>0</v>
      </c>
      <c r="BB35" s="92" t="str">
        <f>IF(AND(AZ35&lt;=THDL!$CK$8,BA35&lt;=THDL!$CK$9),"OK","FAIL")</f>
        <v>OK</v>
      </c>
      <c r="BC35" s="93">
        <f>VLOOKUP(C35,NoiLuc!A:K,10,0)</f>
        <v>485.44760131835898</v>
      </c>
      <c r="BD35" s="94">
        <f>_xll.Foundation_TinhHeSoCChiuCat(E35,F35,MAX(G35,H35),BM35,BN35,BO35,BP35,BF35,BC35,THDL!$CK$18,THDL!$CK$19)</f>
        <v>1.5</v>
      </c>
      <c r="BE35" s="95">
        <f t="shared" si="8"/>
        <v>873</v>
      </c>
      <c r="BF35" s="93">
        <f>THDL!$CN$7</f>
        <v>1.05</v>
      </c>
      <c r="BG35" s="93">
        <f t="shared" si="9"/>
        <v>916.65000000000009</v>
      </c>
      <c r="BH35" s="93">
        <f t="shared" si="10"/>
        <v>916.65000000000009</v>
      </c>
      <c r="BI35" s="96" t="str">
        <f t="shared" si="11"/>
        <v>OK</v>
      </c>
      <c r="BJ35" s="93">
        <f t="shared" si="12"/>
        <v>0</v>
      </c>
      <c r="BK35" s="97">
        <f t="shared" si="13"/>
        <v>1.5</v>
      </c>
      <c r="BL35" s="95">
        <f t="shared" si="14"/>
        <v>873</v>
      </c>
      <c r="BM35" s="98">
        <f t="shared" si="15"/>
        <v>2</v>
      </c>
      <c r="BN35" s="98">
        <f t="shared" si="16"/>
        <v>12</v>
      </c>
      <c r="BO35" s="98">
        <f t="shared" si="17"/>
        <v>100</v>
      </c>
      <c r="BP35" s="93">
        <f>IF(BN35&gt;8,THDL!$CQ$16,THDL!$CQ$15)</f>
        <v>280</v>
      </c>
      <c r="BQ35" s="93" t="str">
        <f t="shared" si="18"/>
        <v/>
      </c>
      <c r="BR35" s="93" t="str">
        <f t="shared" si="19"/>
        <v/>
      </c>
      <c r="BS35" s="93" t="str">
        <f t="shared" si="20"/>
        <v/>
      </c>
    </row>
    <row r="36" spans="1:71">
      <c r="A36" s="84" t="s">
        <v>314</v>
      </c>
      <c r="B36" s="85" t="str">
        <f t="shared" si="3"/>
        <v>M4</v>
      </c>
      <c r="C36" s="86" t="str">
        <f>IFERROR(VLOOKUP(A36,BanVe!A:AH,34,0),0)</f>
        <v>CSB26</v>
      </c>
      <c r="D36" s="71" t="str">
        <f>IFERROR(IF(UPPER(VLOOKUP(A36,BanVe!A:B,2,0))="STRIPA","STRIP A",IF(UPPER(VLOOKUP(A36,BanVe!A:B,2,0))="STRIPB","STRIP B","KXD")),"KXD")</f>
        <v>STRIP B</v>
      </c>
      <c r="E36" s="86">
        <f>VLOOKUP(C36,NoiLuc!A:K,4,0)</f>
        <v>750</v>
      </c>
      <c r="F36" s="85">
        <v>700</v>
      </c>
      <c r="G36" s="87">
        <f>TRONGTAM_a(E36,THDL!$CK$10,THDL!$CK$16,N36,P36,R36,T36,V36,O36,Q36,S36,U36,W36,0)</f>
        <v>48</v>
      </c>
      <c r="H36" s="87">
        <f>TRONGTAM_a(E36,THDL!$CK$15,THDL!$CK$16,AF36,AH36,AJ36,AL36,AN36,AG36,AI36,AK36,AM36,AO36,0)</f>
        <v>118</v>
      </c>
      <c r="I36" s="88">
        <f>VLOOKUP(C36,NoiLuc!A:K,6,0)</f>
        <v>-29.533596038818398</v>
      </c>
      <c r="J36" s="88">
        <f>VLOOKUP(C36,NoiLuc!A:K,7,0)</f>
        <v>0.37500000000000699</v>
      </c>
      <c r="K36" s="73">
        <f>_xll.Slab_Function(THDL!$CK$2,E36,F36,G36,H36,I36,THDL!$CN$5,THDL!$CQ$4,THDL!$CQ$5,THDL!$CQ$6,THDL!$CQ$10,THDL!$CQ$11,THDL!$CQ$12,THDL!$CK$6,"Nén",THDL!$CK$7,THDL!$CT$3,THDL!$CT$13,THDL!$CT$16,THDL!$CT$17,THDL!$CT$18,THDL!$CQ$3*THDL!$CQ$4,THDL!$CQ$3,THDL!$CQ$9*THDL!$CQ$10,THDL!$CQ$9,N36,O36,P36,Q36,R36,S36,T36,U36,V36,W36,THDL!$CK$11,8,"Mu",AF36,AG36,AH36,AI36,AJ36,AK36,AL36,AM36,AN36,AO36)</f>
        <v>127.24302720124855</v>
      </c>
      <c r="L36" s="88">
        <f>_xll.Beam_Function(THDL!$CK$2,"Asn",E36,F36,G36,H36,ABS(I36),THDL!$CN$5,THDL!$CQ$10,THDL!$CQ$11,THDL!$CQ$12,THDL!$CK$6,"Nén",THDL!$CK$7,THDL!$CT$3,THDL!$CT$13,THDL!$CT$16,THDL!$CT$17,THDL!$CT$18,THDL!$CQ$10*THDL!$CQ$9,THDL!$CQ$9,X36,AP36)</f>
        <v>0</v>
      </c>
      <c r="M36" s="88">
        <f>_xll.Beam_Function(THDL!$CK$2,"Ask",E36,F36,G36,H36,ABS(I36),THDL!$CN$5,THDL!$CQ$10,THDL!$CQ$11,THDL!$CQ$12,THDL!$CK$6,"Nén",THDL!$CK$7,THDL!$CT$3,THDL!$CT$13,THDL!$CT$16,THDL!$CT$17,THDL!$CT$18,THDL!$CQ$10*THDL!$CQ$9,THDL!$CQ$9,X36,AP36,THDL!$CK$11)</f>
        <v>1.2983584449869436</v>
      </c>
      <c r="N36" s="89">
        <v>12</v>
      </c>
      <c r="O36" s="89">
        <v>150</v>
      </c>
      <c r="P36" s="89"/>
      <c r="Q36" s="89"/>
      <c r="R36" s="89"/>
      <c r="S36" s="89"/>
      <c r="T36" s="89"/>
      <c r="U36" s="89"/>
      <c r="V36" s="89"/>
      <c r="W36" s="89"/>
      <c r="X36" s="90">
        <f t="shared" si="1"/>
        <v>5.6548669433593748</v>
      </c>
      <c r="Y36" s="90">
        <f t="shared" si="4"/>
        <v>0.11564145078444529</v>
      </c>
      <c r="Z36" s="90">
        <f t="shared" si="5"/>
        <v>4.3553973597916871</v>
      </c>
      <c r="AA36" s="88">
        <f>VLOOKUP(C36,NoiLuc!A:K,8,0)</f>
        <v>31.238084793090799</v>
      </c>
      <c r="AB36" s="88">
        <f>VLOOKUP(C36,NoiLuc!A:K,9,0)</f>
        <v>0.70000000000000095</v>
      </c>
      <c r="AC36" s="73">
        <f>_xll.Slab_Function(THDL!$CK$2,E36,F36,H36,G36,AA36,THDL!$CN$5,THDL!$CQ$4,THDL!$CQ$5,THDL!$CQ$6,THDL!$CQ$10,THDL!$CQ$11,THDL!$CQ$12,THDL!$CK$6,"Nén",THDL!$CK$7,THDL!$CT$3,THDL!$CT$13,THDL!$CT$16,THDL!$CT$17,THDL!$CT$18,THDL!$CQ$3*THDL!$CQ$4,THDL!$CQ$3,THDL!$CQ$9*THDL!$CQ$10,THDL!$CQ$9,AF36,AG36,AH36,AI36,AJ36,AK36,AL36,AM36,AN36,AO36,THDL!$CK$11,8,"Mu",N36,O36,P36,Q36,R36,S36,T36,U36,V36,W36)</f>
        <v>113.38860359891758</v>
      </c>
      <c r="AD36" s="91">
        <f>_xll.Beam_Function(THDL!$CK$2,"Asn",E36,F36,H36,G36,ABS(AA36),THDL!$CN$5,THDL!$CQ$10,THDL!$CQ$11,THDL!$CQ$12,THDL!$CK$6,"Nén",THDL!$CK$7,THDL!$CT$3,THDL!$CT$13,THDL!$CT$16,THDL!$CT$17,THDL!$CT$18,THDL!$CQ$10*THDL!$CQ$9,THDL!$CQ$9,AP36,X36)</f>
        <v>0</v>
      </c>
      <c r="AE36" s="91">
        <f>_xll.Beam_Function(THDL!$CK$2,"Ask",E36,F36,H36,G36,ABS(AA36),THDL!$CN$5,THDL!$CQ$10,THDL!$CQ$11,THDL!$CQ$12,THDL!$CK$6,"Nén",THDL!$CK$7,THDL!$CT$3,THDL!$CT$13,THDL!$CT$16,THDL!$CT$17,THDL!$CT$18,THDL!$CQ$10*THDL!$CQ$9,THDL!$CQ$9,AP36,X36,THDL!$CK$11)</f>
        <v>1.5400919795255328</v>
      </c>
      <c r="AF36" s="89">
        <v>12</v>
      </c>
      <c r="AG36" s="89">
        <v>150</v>
      </c>
      <c r="AH36" s="89"/>
      <c r="AI36" s="89"/>
      <c r="AJ36" s="89"/>
      <c r="AK36" s="89"/>
      <c r="AL36" s="89"/>
      <c r="AM36" s="89"/>
      <c r="AN36" s="89"/>
      <c r="AO36" s="89"/>
      <c r="AP36" s="90">
        <f t="shared" si="2"/>
        <v>5.6548669433593748</v>
      </c>
      <c r="AQ36" s="90">
        <f t="shared" si="6"/>
        <v>0.12955021634271191</v>
      </c>
      <c r="AR36" s="90">
        <f t="shared" si="7"/>
        <v>3.6717722178525403</v>
      </c>
      <c r="AS36" s="77">
        <f>VLOOKUP(C36,NoiLuc!BA:BK,6,0)</f>
        <v>-29.533596038818398</v>
      </c>
      <c r="AT36" s="77">
        <f>VLOOKUP(C36,NoiLuc!AA:AK,6,0)</f>
        <v>-29.533596038818398</v>
      </c>
      <c r="AU36" s="92">
        <f>_xll.Slab_Crack_Function(THDL!$CK$2,"D"&amp;THDL!$CK$17,THDL!$CK$7,ABS(I36),ABS(AS36),ABS(AT36),ABS(AS36),E36,F36,G36,H36,X36,AP36,N36,O36,P36,Q36,R36,S36,T36,U36,V36,W36,THDL!$CN$6,THDL!$CN$8,THDL!$CN$9,THDL!$CQ$6,THDL!$CQ$12,THDL!$CT$6,THDL!$CT$9,THDL!$CT$19,THDL!$CT$20,THDL!$CT$21,THDL!$CT$22,THDL!$CT$23,THDL!$CT$24,THDL!$CT$25,THDL!$CK$21,THDL!$CQ$4*THDL!$CQ$3)</f>
        <v>0</v>
      </c>
      <c r="AV36" s="92">
        <f>_xll.Slab_Crack_Function(THDL!$CK$2,"N"&amp;THDL!$CK$17,THDL!$CK$7,ABS(I36),ABS(AS36),ABS(AT36),ABS(AS36),E36,F36,G36,H36,X36,AP36,N36,O36,P36,Q36,R36,S36,T36,U36,V36,W36,THDL!$CN$6,THDL!$CN$8,THDL!$CN$9,THDL!$CQ$6,THDL!$CQ$12,THDL!$CT$6,THDL!$CT$9,THDL!$CT$19,THDL!$CT$20,THDL!$CT$21,THDL!$CT$22,THDL!$CT$23,THDL!$CT$24,THDL!$CT$25,THDL!$CK$21,THDL!$CQ$4*THDL!$CQ$3)</f>
        <v>0</v>
      </c>
      <c r="AW36" s="92" t="str">
        <f>IF(AND(AU36&lt;=THDL!$CK$8,AV36&lt;=THDL!$CK$9),"OK","FAIL")</f>
        <v>OK</v>
      </c>
      <c r="AX36" s="77">
        <f>VLOOKUP(C36,NoiLuc!BA:BK,8,0)</f>
        <v>31.238084793090799</v>
      </c>
      <c r="AY36" s="77">
        <f>VLOOKUP(C36,NoiLuc!AA:AK,8,0)</f>
        <v>31.238084793090799</v>
      </c>
      <c r="AZ36" s="92">
        <f>_xll.Slab_Crack_Function(THDL!$CK$2,"D"&amp;THDL!$CK$17,THDL!$CK$7,ABS(AA36),ABS(AX36),ABS(AY36),ABS(AX36),E36,F36,H36,G36,AP36,X36,AF36,AG36,AH36,AI36,AJ36,AK36,AL36,AM36,AN36,AO36,THDL!$CN$6,THDL!$CN$8,THDL!$CN$9,THDL!$CQ$6,THDL!$CQ$12,THDL!$CT$6,THDL!$CT$9,THDL!$CT$19,THDL!$CT$20,THDL!$CT$21,THDL!$CT$22,THDL!$CT$23,THDL!$CT$24,THDL!$CT$25,THDL!$CK$21,THDL!$CQ$4*THDL!$CQ$3)</f>
        <v>0</v>
      </c>
      <c r="BA36" s="92">
        <f>_xll.Slab_Crack_Function(THDL!$CK$2,"N"&amp;THDL!$CK$17,THDL!$CK$7,ABS(AA36),ABS(AX36),ABS(AY36),ABS(AX36),E36,F36,H36,G36,AP36,X36,AF36,AG36,AH36,AI36,AJ36,AK36,AL36,AM36,AN36,AO36,THDL!$CN$6,THDL!$CN$8,THDL!$CN$9,THDL!$CQ$6,THDL!$CQ$12,THDL!$CT$6,THDL!$CT$9,THDL!$CT$19,THDL!$CT$20,THDL!$CT$21,THDL!$CT$22,THDL!$CT$23,THDL!$CT$24,THDL!$CT$25,THDL!$CK$21,THDL!$CQ$4*THDL!$CQ$3)</f>
        <v>0</v>
      </c>
      <c r="BB36" s="92" t="str">
        <f>IF(AND(AZ36&lt;=THDL!$CK$8,BA36&lt;=THDL!$CK$9),"OK","FAIL")</f>
        <v>OK</v>
      </c>
      <c r="BC36" s="93">
        <f>VLOOKUP(C36,NoiLuc!A:K,10,0)</f>
        <v>390.06558227539102</v>
      </c>
      <c r="BD36" s="94">
        <f>_xll.Foundation_TinhHeSoCChiuCat(E36,F36,MAX(G36,H36),BM36,BN36,BO36,BP36,BF36,BC36,THDL!$CK$18,THDL!$CK$19)</f>
        <v>1.5</v>
      </c>
      <c r="BE36" s="95">
        <f t="shared" si="8"/>
        <v>873</v>
      </c>
      <c r="BF36" s="93">
        <f>THDL!$CN$7</f>
        <v>1.05</v>
      </c>
      <c r="BG36" s="93">
        <f t="shared" si="9"/>
        <v>458.32500000000005</v>
      </c>
      <c r="BH36" s="93">
        <f t="shared" si="10"/>
        <v>458.32500000000005</v>
      </c>
      <c r="BI36" s="96" t="str">
        <f t="shared" si="11"/>
        <v>OK</v>
      </c>
      <c r="BJ36" s="93">
        <f t="shared" si="12"/>
        <v>0</v>
      </c>
      <c r="BK36" s="97">
        <f t="shared" si="13"/>
        <v>1.5</v>
      </c>
      <c r="BL36" s="95">
        <f t="shared" si="14"/>
        <v>873</v>
      </c>
      <c r="BM36" s="98">
        <f t="shared" si="15"/>
        <v>2</v>
      </c>
      <c r="BN36" s="98">
        <f t="shared" si="16"/>
        <v>12</v>
      </c>
      <c r="BO36" s="98">
        <f t="shared" si="17"/>
        <v>100</v>
      </c>
      <c r="BP36" s="93">
        <f>IF(BN36&gt;8,THDL!$CQ$16,THDL!$CQ$15)</f>
        <v>280</v>
      </c>
      <c r="BQ36" s="93" t="str">
        <f t="shared" si="18"/>
        <v/>
      </c>
      <c r="BR36" s="93" t="str">
        <f t="shared" si="19"/>
        <v/>
      </c>
      <c r="BS36" s="93" t="str">
        <f t="shared" si="20"/>
        <v/>
      </c>
    </row>
    <row r="37" spans="1:71">
      <c r="A37" s="99" t="s">
        <v>316</v>
      </c>
      <c r="B37" s="100" t="str">
        <f t="shared" si="3"/>
        <v>M5</v>
      </c>
      <c r="C37" s="101" t="str">
        <f>IFERROR(VLOOKUP(A37,BanVe!A:AH,34,0),0)</f>
        <v>CSA6</v>
      </c>
      <c r="D37" s="71" t="str">
        <f>IFERROR(IF(UPPER(VLOOKUP(A37,BanVe!A:B,2,0))="STRIPA","STRIP A",IF(UPPER(VLOOKUP(A37,BanVe!A:B,2,0))="STRIPB","STRIP B","KXD")),"KXD")</f>
        <v>STRIP A</v>
      </c>
      <c r="E37" s="101">
        <f>VLOOKUP(C37,NoiLuc!A:K,4,0)</f>
        <v>750</v>
      </c>
      <c r="F37" s="100">
        <v>700</v>
      </c>
      <c r="G37" s="102">
        <f>TRONGTAM_a(E37,THDL!$CK$10,THDL!$CK$16,N37,P37,R37,T37,V37,O37,Q37,S37,U37,W37,0)</f>
        <v>48</v>
      </c>
      <c r="H37" s="102">
        <f>TRONGTAM_a(E37,THDL!$CK$15,THDL!$CK$16,AF37,AH37,AJ37,AL37,AN37,AG37,AI37,AK37,AM37,AO37,0)</f>
        <v>118</v>
      </c>
      <c r="I37" s="103">
        <f>VLOOKUP(C37,NoiLuc!A:K,6,0)</f>
        <v>-3.9234483242034899</v>
      </c>
      <c r="J37" s="103">
        <f>VLOOKUP(C37,NoiLuc!A:K,7,0)</f>
        <v>0.37499999999997902</v>
      </c>
      <c r="K37" s="73">
        <f>_xll.Slab_Function(THDL!$CK$2,E37,F37,G37,H37,I37,THDL!$CN$5,THDL!$CQ$4,THDL!$CQ$5,THDL!$CQ$6,THDL!$CQ$10,THDL!$CQ$11,THDL!$CQ$12,THDL!$CK$6,"Nén",THDL!$CK$7,THDL!$CT$3,THDL!$CT$13,THDL!$CT$16,THDL!$CT$17,THDL!$CT$18,THDL!$CQ$3*THDL!$CQ$4,THDL!$CQ$3,THDL!$CQ$9*THDL!$CQ$10,THDL!$CQ$9,N37,O37,P37,Q37,R37,S37,T37,U37,V37,W37,THDL!$CK$11,8,"Mu",AF37,AG37,AH37,AI37,AJ37,AK37,AL37,AM37,AN37,AO37)</f>
        <v>127.24302720124855</v>
      </c>
      <c r="L37" s="103">
        <f>_xll.Beam_Function(THDL!$CK$2,"Asn",E37,F37,G37,H37,ABS(I37),THDL!$CN$5,THDL!$CQ$10,THDL!$CQ$11,THDL!$CQ$12,THDL!$CK$6,"Nén",THDL!$CK$7,THDL!$CT$3,THDL!$CT$13,THDL!$CT$16,THDL!$CT$17,THDL!$CT$18,THDL!$CQ$10*THDL!$CQ$9,THDL!$CQ$9,X37,AP37)</f>
        <v>0</v>
      </c>
      <c r="M37" s="103">
        <f>_xll.Beam_Function(THDL!$CK$2,"Ask",E37,F37,G37,H37,ABS(I37),THDL!$CN$5,THDL!$CQ$10,THDL!$CQ$11,THDL!$CQ$12,THDL!$CK$6,"Nén",THDL!$CK$7,THDL!$CT$3,THDL!$CT$13,THDL!$CT$16,THDL!$CT$17,THDL!$CT$18,THDL!$CQ$10*THDL!$CQ$9,THDL!$CQ$9,X37,AP37,THDL!$CK$11)</f>
        <v>0.17200326962486814</v>
      </c>
      <c r="N37" s="104">
        <v>12</v>
      </c>
      <c r="O37" s="104">
        <v>150</v>
      </c>
      <c r="P37" s="104"/>
      <c r="Q37" s="104"/>
      <c r="R37" s="104"/>
      <c r="S37" s="104"/>
      <c r="T37" s="104"/>
      <c r="U37" s="104"/>
      <c r="V37" s="104"/>
      <c r="W37" s="104"/>
      <c r="X37" s="105">
        <f t="shared" si="1"/>
        <v>5.6548669433593748</v>
      </c>
      <c r="Y37" s="105">
        <f t="shared" si="4"/>
        <v>0.11564145078444529</v>
      </c>
      <c r="Z37" s="105">
        <f t="shared" si="5"/>
        <v>32.876508427382809</v>
      </c>
      <c r="AA37" s="103">
        <f>VLOOKUP(C37,NoiLuc!A:K,8,0)</f>
        <v>59.755470275878899</v>
      </c>
      <c r="AB37" s="103">
        <f>VLOOKUP(C37,NoiLuc!A:K,9,0)</f>
        <v>0.75000000000067502</v>
      </c>
      <c r="AC37" s="73">
        <f>_xll.Slab_Function(THDL!$CK$2,E37,F37,H37,G37,AA37,THDL!$CN$5,THDL!$CQ$4,THDL!$CQ$5,THDL!$CQ$6,THDL!$CQ$10,THDL!$CQ$11,THDL!$CQ$12,THDL!$CK$6,"Nén",THDL!$CK$7,THDL!$CT$3,THDL!$CT$13,THDL!$CT$16,THDL!$CT$17,THDL!$CT$18,THDL!$CQ$3*THDL!$CQ$4,THDL!$CQ$3,THDL!$CQ$9*THDL!$CQ$10,THDL!$CQ$9,AF37,AG37,AH37,AI37,AJ37,AK37,AL37,AM37,AN37,AO37,THDL!$CK$11,8,"Mu",N37,O37,P37,Q37,R37,S37,T37,U37,V37,W37)</f>
        <v>113.38860359891758</v>
      </c>
      <c r="AD37" s="106">
        <f>_xll.Beam_Function(THDL!$CK$2,"Asn",E37,F37,H37,G37,ABS(AA37),THDL!$CN$5,THDL!$CQ$10,THDL!$CQ$11,THDL!$CQ$12,THDL!$CK$6,"Nén",THDL!$CK$7,THDL!$CT$3,THDL!$CT$13,THDL!$CT$16,THDL!$CT$17,THDL!$CT$18,THDL!$CQ$10*THDL!$CQ$9,THDL!$CQ$9,AP37,X37)</f>
        <v>0</v>
      </c>
      <c r="AE37" s="106">
        <f>_xll.Beam_Function(THDL!$CK$2,"Ask",E37,F37,H37,G37,ABS(AA37),THDL!$CN$5,THDL!$CQ$10,THDL!$CQ$11,THDL!$CQ$12,THDL!$CK$6,"Nén",THDL!$CK$7,THDL!$CT$3,THDL!$CT$13,THDL!$CT$16,THDL!$CT$17,THDL!$CT$18,THDL!$CQ$10*THDL!$CQ$9,THDL!$CQ$9,AP37,X37,THDL!$CK$11)</f>
        <v>2.9576912222135681</v>
      </c>
      <c r="AF37" s="104">
        <v>12</v>
      </c>
      <c r="AG37" s="104">
        <v>150</v>
      </c>
      <c r="AH37" s="104"/>
      <c r="AI37" s="104"/>
      <c r="AJ37" s="104"/>
      <c r="AK37" s="104"/>
      <c r="AL37" s="104"/>
      <c r="AM37" s="104"/>
      <c r="AN37" s="104"/>
      <c r="AO37" s="104"/>
      <c r="AP37" s="105">
        <f t="shared" si="2"/>
        <v>5.6548669433593748</v>
      </c>
      <c r="AQ37" s="105">
        <f t="shared" si="6"/>
        <v>0.12955021634271191</v>
      </c>
      <c r="AR37" s="105">
        <f t="shared" si="7"/>
        <v>1.9119193041142446</v>
      </c>
      <c r="AS37" s="77">
        <f>VLOOKUP(C37,NoiLuc!BA:BK,6,0)</f>
        <v>-3.9234483242034899</v>
      </c>
      <c r="AT37" s="77">
        <f>VLOOKUP(C37,NoiLuc!AA:AK,6,0)</f>
        <v>-3.9234483242034899</v>
      </c>
      <c r="AU37" s="107">
        <f>_xll.Slab_Crack_Function(THDL!$CK$2,"D"&amp;THDL!$CK$17,THDL!$CK$7,ABS(I37),ABS(AS37),ABS(AT37),ABS(AS37),E37,F37,G37,H37,X37,AP37,N37,O37,P37,Q37,R37,S37,T37,U37,V37,W37,THDL!$CN$6,THDL!$CN$8,THDL!$CN$9,THDL!$CQ$6,THDL!$CQ$12,THDL!$CT$6,THDL!$CT$9,THDL!$CT$19,THDL!$CT$20,THDL!$CT$21,THDL!$CT$22,THDL!$CT$23,THDL!$CT$24,THDL!$CT$25,THDL!$CK$21,THDL!$CQ$4*THDL!$CQ$3)</f>
        <v>0</v>
      </c>
      <c r="AV37" s="107">
        <f>_xll.Slab_Crack_Function(THDL!$CK$2,"N"&amp;THDL!$CK$17,THDL!$CK$7,ABS(I37),ABS(AS37),ABS(AT37),ABS(AS37),E37,F37,G37,H37,X37,AP37,N37,O37,P37,Q37,R37,S37,T37,U37,V37,W37,THDL!$CN$6,THDL!$CN$8,THDL!$CN$9,THDL!$CQ$6,THDL!$CQ$12,THDL!$CT$6,THDL!$CT$9,THDL!$CT$19,THDL!$CT$20,THDL!$CT$21,THDL!$CT$22,THDL!$CT$23,THDL!$CT$24,THDL!$CT$25,THDL!$CK$21,THDL!$CQ$4*THDL!$CQ$3)</f>
        <v>0</v>
      </c>
      <c r="AW37" s="107" t="str">
        <f>IF(AND(AU37&lt;=THDL!$CK$8,AV37&lt;=THDL!$CK$9),"OK","FAIL")</f>
        <v>OK</v>
      </c>
      <c r="AX37" s="77">
        <f>VLOOKUP(C37,NoiLuc!BA:BK,8,0)</f>
        <v>59.755470275878899</v>
      </c>
      <c r="AY37" s="77">
        <f>VLOOKUP(C37,NoiLuc!AA:AK,8,0)</f>
        <v>59.755470275878899</v>
      </c>
      <c r="AZ37" s="107">
        <f>_xll.Slab_Crack_Function(THDL!$CK$2,"D"&amp;THDL!$CK$17,THDL!$CK$7,ABS(AA37),ABS(AX37),ABS(AY37),ABS(AX37),E37,F37,H37,G37,AP37,X37,AF37,AG37,AH37,AI37,AJ37,AK37,AL37,AM37,AN37,AO37,THDL!$CN$6,THDL!$CN$8,THDL!$CN$9,THDL!$CQ$6,THDL!$CQ$12,THDL!$CT$6,THDL!$CT$9,THDL!$CT$19,THDL!$CT$20,THDL!$CT$21,THDL!$CT$22,THDL!$CT$23,THDL!$CT$24,THDL!$CT$25,THDL!$CK$21,THDL!$CQ$4*THDL!$CQ$3)</f>
        <v>0</v>
      </c>
      <c r="BA37" s="107">
        <f>_xll.Slab_Crack_Function(THDL!$CK$2,"N"&amp;THDL!$CK$17,THDL!$CK$7,ABS(AA37),ABS(AX37),ABS(AY37),ABS(AX37),E37,F37,H37,G37,AP37,X37,AF37,AG37,AH37,AI37,AJ37,AK37,AL37,AM37,AN37,AO37,THDL!$CN$6,THDL!$CN$8,THDL!$CN$9,THDL!$CQ$6,THDL!$CQ$12,THDL!$CT$6,THDL!$CT$9,THDL!$CT$19,THDL!$CT$20,THDL!$CT$21,THDL!$CT$22,THDL!$CT$23,THDL!$CT$24,THDL!$CT$25,THDL!$CK$21,THDL!$CQ$4*THDL!$CQ$3)</f>
        <v>0</v>
      </c>
      <c r="BB37" s="107" t="str">
        <f>IF(AND(AZ37&lt;=THDL!$CK$8,BA37&lt;=THDL!$CK$9),"OK","FAIL")</f>
        <v>OK</v>
      </c>
      <c r="BC37" s="108">
        <f>VLOOKUP(C37,NoiLuc!A:K,10,0)</f>
        <v>166.65498352050801</v>
      </c>
      <c r="BD37" s="109">
        <f>_xll.Foundation_TinhHeSoCChiuCat(E37,F37,MAX(G37,H37),BM37,BN37,BO37,BP37,BF37,BC37,THDL!$CK$18,THDL!$CK$19)</f>
        <v>1.5</v>
      </c>
      <c r="BE37" s="110">
        <f t="shared" si="8"/>
        <v>873</v>
      </c>
      <c r="BF37" s="108">
        <f>THDL!$CN$7</f>
        <v>1.05</v>
      </c>
      <c r="BG37" s="108">
        <f t="shared" si="9"/>
        <v>458.32500000000005</v>
      </c>
      <c r="BH37" s="108">
        <f t="shared" si="10"/>
        <v>458.32500000000005</v>
      </c>
      <c r="BI37" s="111" t="str">
        <f t="shared" si="11"/>
        <v>OK</v>
      </c>
      <c r="BJ37" s="108">
        <f t="shared" si="12"/>
        <v>0</v>
      </c>
      <c r="BK37" s="112">
        <f t="shared" si="13"/>
        <v>1.5</v>
      </c>
      <c r="BL37" s="110">
        <f t="shared" si="14"/>
        <v>873</v>
      </c>
      <c r="BM37" s="113">
        <f t="shared" si="15"/>
        <v>2</v>
      </c>
      <c r="BN37" s="113">
        <f t="shared" si="16"/>
        <v>12</v>
      </c>
      <c r="BO37" s="113">
        <f t="shared" si="17"/>
        <v>100</v>
      </c>
      <c r="BP37" s="108">
        <f>IF(BN37&gt;8,THDL!$CQ$16,THDL!$CQ$15)</f>
        <v>280</v>
      </c>
      <c r="BQ37" s="108" t="str">
        <f t="shared" si="18"/>
        <v/>
      </c>
      <c r="BR37" s="108" t="str">
        <f t="shared" si="19"/>
        <v/>
      </c>
      <c r="BS37" s="108" t="str">
        <f t="shared" si="20"/>
        <v/>
      </c>
    </row>
    <row r="38" spans="1:71">
      <c r="A38" s="114" t="s">
        <v>319</v>
      </c>
      <c r="B38" s="115" t="str">
        <f t="shared" si="3"/>
        <v>M5</v>
      </c>
      <c r="C38" s="116" t="str">
        <f>IFERROR(VLOOKUP(A38,BanVe!A:AH,34,0),0)</f>
        <v>CSB10</v>
      </c>
      <c r="D38" s="71" t="str">
        <f>IFERROR(IF(UPPER(VLOOKUP(A38,BanVe!A:B,2,0))="STRIPA","STRIP A",IF(UPPER(VLOOKUP(A38,BanVe!A:B,2,0))="STRIPB","STRIP B","KXD")),"KXD")</f>
        <v>STRIP B</v>
      </c>
      <c r="E38" s="116">
        <f>VLOOKUP(C38,NoiLuc!A:K,4,0)</f>
        <v>1500</v>
      </c>
      <c r="F38" s="115">
        <v>700</v>
      </c>
      <c r="G38" s="117">
        <f>TRONGTAM_a(E38,THDL!$CK$10,THDL!$CK$16,N38,P38,R38,T38,V38,O38,Q38,S38,U38,W38,0)</f>
        <v>48</v>
      </c>
      <c r="H38" s="117">
        <f>TRONGTAM_a(E38,THDL!$CK$15,THDL!$CK$16,AF38,AH38,AJ38,AL38,AN38,AG38,AI38,AK38,AM38,AO38,0)</f>
        <v>118</v>
      </c>
      <c r="I38" s="118">
        <f>VLOOKUP(C38,NoiLuc!A:K,6,0)</f>
        <v>-17.479387283325199</v>
      </c>
      <c r="J38" s="118">
        <f>VLOOKUP(C38,NoiLuc!A:K,7,0)</f>
        <v>0.37500000000044698</v>
      </c>
      <c r="K38" s="73">
        <f>_xll.Slab_Function(THDL!$CK$2,E38,F38,G38,H38,I38,THDL!$CN$5,THDL!$CQ$4,THDL!$CQ$5,THDL!$CQ$6,THDL!$CQ$10,THDL!$CQ$11,THDL!$CQ$12,THDL!$CK$6,"Nén",THDL!$CK$7,THDL!$CT$3,THDL!$CT$13,THDL!$CT$16,THDL!$CT$17,THDL!$CT$18,THDL!$CQ$3*THDL!$CQ$4,THDL!$CQ$3,THDL!$CQ$9*THDL!$CQ$10,THDL!$CQ$9,N38,O38,P38,Q38,R38,S38,T38,U38,V38,W38,THDL!$CK$11,8,"Mu",AF38,AG38,AH38,AI38,AJ38,AK38,AL38,AM38,AN38,AO38)</f>
        <v>254.4860544024971</v>
      </c>
      <c r="L38" s="118">
        <f>_xll.Beam_Function(THDL!$CK$2,"Asn",E38,F38,G38,H38,ABS(I38),THDL!$CN$5,THDL!$CQ$10,THDL!$CQ$11,THDL!$CQ$12,THDL!$CK$6,"Nén",THDL!$CK$7,THDL!$CT$3,THDL!$CT$13,THDL!$CT$16,THDL!$CT$17,THDL!$CT$18,THDL!$CQ$10*THDL!$CQ$9,THDL!$CQ$9,X38,AP38)</f>
        <v>0</v>
      </c>
      <c r="M38" s="118">
        <f>_xll.Beam_Function(THDL!$CK$2,"Ask",E38,F38,G38,H38,ABS(I38),THDL!$CN$5,THDL!$CQ$10,THDL!$CQ$11,THDL!$CQ$12,THDL!$CK$6,"Nén",THDL!$CK$7,THDL!$CT$3,THDL!$CT$13,THDL!$CT$16,THDL!$CT$17,THDL!$CT$18,THDL!$CQ$10*THDL!$CQ$9,THDL!$CQ$9,X38,AP38,THDL!$CK$11)</f>
        <v>0.7666932863932745</v>
      </c>
      <c r="N38" s="119">
        <v>12</v>
      </c>
      <c r="O38" s="119">
        <v>150</v>
      </c>
      <c r="P38" s="119"/>
      <c r="Q38" s="119"/>
      <c r="R38" s="119"/>
      <c r="S38" s="119"/>
      <c r="T38" s="119"/>
      <c r="U38" s="119"/>
      <c r="V38" s="119"/>
      <c r="W38" s="119"/>
      <c r="X38" s="120">
        <f t="shared" si="1"/>
        <v>11.30973388671875</v>
      </c>
      <c r="Y38" s="120">
        <f t="shared" si="4"/>
        <v>0.11564145078444529</v>
      </c>
      <c r="Z38" s="120">
        <f t="shared" si="5"/>
        <v>14.751314622725722</v>
      </c>
      <c r="AA38" s="118">
        <f>VLOOKUP(C38,NoiLuc!A:K,8,0)</f>
        <v>1</v>
      </c>
      <c r="AB38" s="118" t="str">
        <f>VLOOKUP(C38,NoiLuc!A:K,9,0)</f>
        <v>-</v>
      </c>
      <c r="AC38" s="73">
        <f>_xll.Slab_Function(THDL!$CK$2,E38,F38,H38,G38,AA38,THDL!$CN$5,THDL!$CQ$4,THDL!$CQ$5,THDL!$CQ$6,THDL!$CQ$10,THDL!$CQ$11,THDL!$CQ$12,THDL!$CK$6,"Nén",THDL!$CK$7,THDL!$CT$3,THDL!$CT$13,THDL!$CT$16,THDL!$CT$17,THDL!$CT$18,THDL!$CQ$3*THDL!$CQ$4,THDL!$CQ$3,THDL!$CQ$9*THDL!$CQ$10,THDL!$CQ$9,AF38,AG38,AH38,AI38,AJ38,AK38,AL38,AM38,AN38,AO38,THDL!$CK$11,8,"Mu",N38,O38,P38,Q38,R38,S38,T38,U38,V38,W38)</f>
        <v>226.77720719783517</v>
      </c>
      <c r="AD38" s="121">
        <f>_xll.Beam_Function(THDL!$CK$2,"Asn",E38,F38,H38,G38,ABS(AA38),THDL!$CN$5,THDL!$CQ$10,THDL!$CQ$11,THDL!$CQ$12,THDL!$CK$6,"Nén",THDL!$CK$7,THDL!$CT$3,THDL!$CT$13,THDL!$CT$16,THDL!$CT$17,THDL!$CT$18,THDL!$CQ$10*THDL!$CQ$9,THDL!$CQ$9,AP38,X38)</f>
        <v>0</v>
      </c>
      <c r="AE38" s="121">
        <f>_xll.Beam_Function(THDL!$CK$2,"Ask",E38,F38,H38,G38,ABS(AA38),THDL!$CN$5,THDL!$CQ$10,THDL!$CQ$11,THDL!$CQ$12,THDL!$CK$6,"Nén",THDL!$CK$7,THDL!$CT$3,THDL!$CT$13,THDL!$CT$16,THDL!$CT$17,THDL!$CT$18,THDL!$CQ$10*THDL!$CQ$9,THDL!$CQ$9,AP38,X38,THDL!$CK$11)</f>
        <v>4.909513388170491E-2</v>
      </c>
      <c r="AF38" s="119">
        <v>12</v>
      </c>
      <c r="AG38" s="119">
        <v>150</v>
      </c>
      <c r="AH38" s="119"/>
      <c r="AI38" s="119"/>
      <c r="AJ38" s="119"/>
      <c r="AK38" s="119"/>
      <c r="AL38" s="119"/>
      <c r="AM38" s="119"/>
      <c r="AN38" s="119"/>
      <c r="AO38" s="119"/>
      <c r="AP38" s="120">
        <f t="shared" si="2"/>
        <v>11.30973388671875</v>
      </c>
      <c r="AQ38" s="120">
        <f t="shared" si="6"/>
        <v>0.12955021634271191</v>
      </c>
      <c r="AR38" s="120">
        <f t="shared" si="7"/>
        <v>230.36364284023824</v>
      </c>
      <c r="AS38" s="77">
        <f>VLOOKUP(C38,NoiLuc!BA:BK,6,0)</f>
        <v>-17.479387283325199</v>
      </c>
      <c r="AT38" s="77">
        <f>VLOOKUP(C38,NoiLuc!AA:AK,6,0)</f>
        <v>-17.479387283325199</v>
      </c>
      <c r="AU38" s="122">
        <f>_xll.Slab_Crack_Function(THDL!$CK$2,"D"&amp;THDL!$CK$17,THDL!$CK$7,ABS(I38),ABS(AS38),ABS(AT38),ABS(AS38),E38,F38,G38,H38,X38,AP38,N38,O38,P38,Q38,R38,S38,T38,U38,V38,W38,THDL!$CN$6,THDL!$CN$8,THDL!$CN$9,THDL!$CQ$6,THDL!$CQ$12,THDL!$CT$6,THDL!$CT$9,THDL!$CT$19,THDL!$CT$20,THDL!$CT$21,THDL!$CT$22,THDL!$CT$23,THDL!$CT$24,THDL!$CT$25,THDL!$CK$21,THDL!$CQ$4*THDL!$CQ$3)</f>
        <v>0</v>
      </c>
      <c r="AV38" s="122">
        <f>_xll.Slab_Crack_Function(THDL!$CK$2,"N"&amp;THDL!$CK$17,THDL!$CK$7,ABS(I38),ABS(AS38),ABS(AT38),ABS(AS38),E38,F38,G38,H38,X38,AP38,N38,O38,P38,Q38,R38,S38,T38,U38,V38,W38,THDL!$CN$6,THDL!$CN$8,THDL!$CN$9,THDL!$CQ$6,THDL!$CQ$12,THDL!$CT$6,THDL!$CT$9,THDL!$CT$19,THDL!$CT$20,THDL!$CT$21,THDL!$CT$22,THDL!$CT$23,THDL!$CT$24,THDL!$CT$25,THDL!$CK$21,THDL!$CQ$4*THDL!$CQ$3)</f>
        <v>0</v>
      </c>
      <c r="AW38" s="122" t="str">
        <f>IF(AND(AU38&lt;=THDL!$CK$8,AV38&lt;=THDL!$CK$9),"OK","FAIL")</f>
        <v>OK</v>
      </c>
      <c r="AX38" s="77">
        <f>VLOOKUP(C38,NoiLuc!BA:BK,8,0)</f>
        <v>1</v>
      </c>
      <c r="AY38" s="77">
        <f>VLOOKUP(C38,NoiLuc!AA:AK,8,0)</f>
        <v>1</v>
      </c>
      <c r="AZ38" s="122">
        <f>_xll.Slab_Crack_Function(THDL!$CK$2,"D"&amp;THDL!$CK$17,THDL!$CK$7,ABS(AA38),ABS(AX38),ABS(AY38),ABS(AX38),E38,F38,H38,G38,AP38,X38,AF38,AG38,AH38,AI38,AJ38,AK38,AL38,AM38,AN38,AO38,THDL!$CN$6,THDL!$CN$8,THDL!$CN$9,THDL!$CQ$6,THDL!$CQ$12,THDL!$CT$6,THDL!$CT$9,THDL!$CT$19,THDL!$CT$20,THDL!$CT$21,THDL!$CT$22,THDL!$CT$23,THDL!$CT$24,THDL!$CT$25,THDL!$CK$21,THDL!$CQ$4*THDL!$CQ$3)</f>
        <v>0</v>
      </c>
      <c r="BA38" s="122">
        <f>_xll.Slab_Crack_Function(THDL!$CK$2,"N"&amp;THDL!$CK$17,THDL!$CK$7,ABS(AA38),ABS(AX38),ABS(AY38),ABS(AX38),E38,F38,H38,G38,AP38,X38,AF38,AG38,AH38,AI38,AJ38,AK38,AL38,AM38,AN38,AO38,THDL!$CN$6,THDL!$CN$8,THDL!$CN$9,THDL!$CQ$6,THDL!$CQ$12,THDL!$CT$6,THDL!$CT$9,THDL!$CT$19,THDL!$CT$20,THDL!$CT$21,THDL!$CT$22,THDL!$CT$23,THDL!$CT$24,THDL!$CT$25,THDL!$CK$21,THDL!$CQ$4*THDL!$CQ$3)</f>
        <v>0</v>
      </c>
      <c r="BB38" s="122" t="str">
        <f>IF(AND(AZ38&lt;=THDL!$CK$8,BA38&lt;=THDL!$CK$9),"OK","FAIL")</f>
        <v>OK</v>
      </c>
      <c r="BC38" s="123">
        <f>VLOOKUP(C38,NoiLuc!A:K,10,0)</f>
        <v>18.9438381195068</v>
      </c>
      <c r="BD38" s="124">
        <f>_xll.Foundation_TinhHeSoCChiuCat(E38,F38,MAX(G38,H38),BM38,BN38,BO38,BP38,BF38,BC38,THDL!$CK$18,THDL!$CK$19)</f>
        <v>1.5</v>
      </c>
      <c r="BE38" s="125">
        <f t="shared" si="8"/>
        <v>873</v>
      </c>
      <c r="BF38" s="123">
        <f>THDL!$CN$7</f>
        <v>1.05</v>
      </c>
      <c r="BG38" s="123">
        <f t="shared" si="9"/>
        <v>916.65000000000009</v>
      </c>
      <c r="BH38" s="123">
        <f t="shared" si="10"/>
        <v>916.65000000000009</v>
      </c>
      <c r="BI38" s="126" t="str">
        <f t="shared" si="11"/>
        <v>OK</v>
      </c>
      <c r="BJ38" s="123">
        <f t="shared" si="12"/>
        <v>0</v>
      </c>
      <c r="BK38" s="127">
        <f t="shared" si="13"/>
        <v>1.5</v>
      </c>
      <c r="BL38" s="125">
        <f t="shared" si="14"/>
        <v>873</v>
      </c>
      <c r="BM38" s="128">
        <f t="shared" si="15"/>
        <v>2</v>
      </c>
      <c r="BN38" s="128">
        <f t="shared" si="16"/>
        <v>12</v>
      </c>
      <c r="BO38" s="128">
        <f t="shared" si="17"/>
        <v>100</v>
      </c>
      <c r="BP38" s="123">
        <f>IF(BN38&gt;8,THDL!$CQ$16,THDL!$CQ$15)</f>
        <v>280</v>
      </c>
      <c r="BQ38" s="123" t="str">
        <f t="shared" si="18"/>
        <v/>
      </c>
      <c r="BR38" s="123" t="str">
        <f t="shared" si="19"/>
        <v/>
      </c>
      <c r="BS38" s="123" t="str">
        <f t="shared" si="20"/>
        <v/>
      </c>
    </row>
    <row r="39" spans="1:71">
      <c r="A39" s="129" t="s">
        <v>321</v>
      </c>
      <c r="B39" s="70" t="str">
        <f t="shared" si="3"/>
        <v>M6</v>
      </c>
      <c r="C39" s="71" t="str">
        <f>IFERROR(VLOOKUP(A39,BanVe!A:AH,34,0),0)</f>
        <v>CSA15</v>
      </c>
      <c r="D39" s="71" t="str">
        <f>IFERROR(IF(UPPER(VLOOKUP(A39,BanVe!A:B,2,0))="STRIPA","STRIP A",IF(UPPER(VLOOKUP(A39,BanVe!A:B,2,0))="STRIPB","STRIP B","KXD")),"KXD")</f>
        <v>STRIP A</v>
      </c>
      <c r="E39" s="71">
        <f>VLOOKUP(C39,NoiLuc!A:K,4,0)</f>
        <v>1400</v>
      </c>
      <c r="F39" s="70">
        <v>700</v>
      </c>
      <c r="G39" s="72">
        <f>TRONGTAM_a(E39,THDL!$CK$10,THDL!$CK$16,N39,P39,R39,T39,V39,O39,Q39,S39,U39,W39,0)</f>
        <v>48</v>
      </c>
      <c r="H39" s="72">
        <f>TRONGTAM_a(E39,THDL!$CK$15,THDL!$CK$16,AF39,AH39,AJ39,AL39,AN39,AG39,AI39,AK39,AM39,AO39,0)</f>
        <v>118</v>
      </c>
      <c r="I39" s="73">
        <f>VLOOKUP(C39,NoiLuc!A:K,6,0)</f>
        <v>-2.1805908679962198</v>
      </c>
      <c r="J39" s="73">
        <f>VLOOKUP(C39,NoiLuc!A:K,7,0)</f>
        <v>1.5</v>
      </c>
      <c r="K39" s="73">
        <f>_xll.Slab_Function(THDL!$CK$2,E39,F39,G39,H39,I39,THDL!$CN$5,THDL!$CQ$4,THDL!$CQ$5,THDL!$CQ$6,THDL!$CQ$10,THDL!$CQ$11,THDL!$CQ$12,THDL!$CK$6,"Nén",THDL!$CK$7,THDL!$CT$3,THDL!$CT$13,THDL!$CT$16,THDL!$CT$17,THDL!$CT$18,THDL!$CQ$3*THDL!$CQ$4,THDL!$CQ$3,THDL!$CQ$9*THDL!$CQ$10,THDL!$CQ$9,N39,O39,P39,Q39,R39,S39,T39,U39,V39,W39,THDL!$CK$11,8,"Mu",AF39,AG39,AH39,AI39,AJ39,AK39,AL39,AM39,AN39,AO39)</f>
        <v>237.52031744233068</v>
      </c>
      <c r="L39" s="73">
        <f>_xll.Beam_Function(THDL!$CK$2,"Asn",E39,F39,G39,H39,ABS(I39),THDL!$CN$5,THDL!$CQ$10,THDL!$CQ$11,THDL!$CQ$12,THDL!$CK$6,"Nén",THDL!$CK$7,THDL!$CT$3,THDL!$CT$13,THDL!$CT$16,THDL!$CT$17,THDL!$CT$18,THDL!$CQ$10*THDL!$CQ$9,THDL!$CQ$9,X39,AP39)</f>
        <v>0</v>
      </c>
      <c r="M39" s="73">
        <f>_xll.Beam_Function(THDL!$CK$2,"Ask",E39,F39,G39,H39,ABS(I39),THDL!$CN$5,THDL!$CQ$10,THDL!$CQ$11,THDL!$CQ$12,THDL!$CK$6,"Nén",THDL!$CK$7,THDL!$CT$3,THDL!$CT$13,THDL!$CT$16,THDL!$CT$17,THDL!$CT$18,THDL!$CQ$10*THDL!$CQ$9,THDL!$CQ$9,X39,AP39,THDL!$CK$11)</f>
        <v>9.5568205133872014E-2</v>
      </c>
      <c r="N39" s="74">
        <v>12</v>
      </c>
      <c r="O39" s="74">
        <v>150</v>
      </c>
      <c r="P39" s="74"/>
      <c r="Q39" s="74"/>
      <c r="R39" s="74"/>
      <c r="S39" s="74"/>
      <c r="T39" s="74"/>
      <c r="U39" s="74"/>
      <c r="V39" s="74"/>
      <c r="W39" s="74"/>
      <c r="X39" s="75">
        <f t="shared" si="1"/>
        <v>10.555750732421876</v>
      </c>
      <c r="Y39" s="75">
        <f t="shared" si="4"/>
        <v>0.11564144097745262</v>
      </c>
      <c r="Z39" s="75">
        <f t="shared" si="5"/>
        <v>110.45253719723387</v>
      </c>
      <c r="AA39" s="73">
        <f>VLOOKUP(C39,NoiLuc!A:K,8,0)</f>
        <v>96.268730163574205</v>
      </c>
      <c r="AB39" s="73">
        <f>VLOOKUP(C39,NoiLuc!A:K,9,0)</f>
        <v>0.749999999999996</v>
      </c>
      <c r="AC39" s="73">
        <f>_xll.Slab_Function(THDL!$CK$2,E39,F39,H39,G39,AA39,THDL!$CN$5,THDL!$CQ$4,THDL!$CQ$5,THDL!$CQ$6,THDL!$CQ$10,THDL!$CQ$11,THDL!$CQ$12,THDL!$CK$6,"Nén",THDL!$CK$7,THDL!$CT$3,THDL!$CT$13,THDL!$CT$16,THDL!$CT$17,THDL!$CT$18,THDL!$CQ$3*THDL!$CQ$4,THDL!$CQ$3,THDL!$CQ$9*THDL!$CQ$10,THDL!$CQ$9,AF39,AG39,AH39,AI39,AJ39,AK39,AL39,AM39,AN39,AO39,THDL!$CK$11,8,"Mu",N39,O39,P39,Q39,R39,S39,T39,U39,V39,W39)</f>
        <v>211.6587267179795</v>
      </c>
      <c r="AD39" s="76">
        <f>_xll.Beam_Function(THDL!$CK$2,"Asn",E39,F39,H39,G39,ABS(AA39),THDL!$CN$5,THDL!$CQ$10,THDL!$CQ$11,THDL!$CQ$12,THDL!$CK$6,"Nén",THDL!$CK$7,THDL!$CT$3,THDL!$CT$13,THDL!$CT$16,THDL!$CT$17,THDL!$CT$18,THDL!$CQ$10*THDL!$CQ$9,THDL!$CQ$9,AP39,X39)</f>
        <v>0</v>
      </c>
      <c r="AE39" s="76">
        <f>_xll.Beam_Function(THDL!$CK$2,"Ask",E39,F39,H39,G39,ABS(AA39),THDL!$CN$5,THDL!$CQ$10,THDL!$CQ$11,THDL!$CQ$12,THDL!$CK$6,"Nén",THDL!$CK$7,THDL!$CT$3,THDL!$CT$13,THDL!$CT$16,THDL!$CT$17,THDL!$CT$18,THDL!$CQ$10*THDL!$CQ$9,THDL!$CQ$9,AP39,X39,THDL!$CK$11)</f>
        <v>4.7595600530786593</v>
      </c>
      <c r="AF39" s="74">
        <v>12</v>
      </c>
      <c r="AG39" s="74">
        <v>150</v>
      </c>
      <c r="AH39" s="74"/>
      <c r="AI39" s="74"/>
      <c r="AJ39" s="74"/>
      <c r="AK39" s="74"/>
      <c r="AL39" s="74"/>
      <c r="AM39" s="74"/>
      <c r="AN39" s="74"/>
      <c r="AO39" s="74"/>
      <c r="AP39" s="75">
        <f t="shared" si="2"/>
        <v>10.555750732421876</v>
      </c>
      <c r="AQ39" s="75">
        <f t="shared" si="6"/>
        <v>0.12955020535618403</v>
      </c>
      <c r="AR39" s="75">
        <f t="shared" si="7"/>
        <v>2.217799673647153</v>
      </c>
      <c r="AS39" s="77">
        <f>VLOOKUP(C39,NoiLuc!BA:BK,6,0)</f>
        <v>-2.1805908679962198</v>
      </c>
      <c r="AT39" s="77">
        <f>VLOOKUP(C39,NoiLuc!AA:AK,6,0)</f>
        <v>-2.1805908679962198</v>
      </c>
      <c r="AU39" s="77">
        <f>_xll.Slab_Crack_Function(THDL!$CK$2,"D"&amp;THDL!$CK$17,THDL!$CK$7,ABS(I39),ABS(AS39),ABS(AT39),ABS(AS39),E39,F39,G39,H39,X39,AP39,N39,O39,P39,Q39,R39,S39,T39,U39,V39,W39,THDL!$CN$6,THDL!$CN$8,THDL!$CN$9,THDL!$CQ$6,THDL!$CQ$12,THDL!$CT$6,THDL!$CT$9,THDL!$CT$19,THDL!$CT$20,THDL!$CT$21,THDL!$CT$22,THDL!$CT$23,THDL!$CT$24,THDL!$CT$25,THDL!$CK$21,THDL!$CQ$4*THDL!$CQ$3)</f>
        <v>0</v>
      </c>
      <c r="AV39" s="77">
        <f>_xll.Slab_Crack_Function(THDL!$CK$2,"N"&amp;THDL!$CK$17,THDL!$CK$7,ABS(I39),ABS(AS39),ABS(AT39),ABS(AS39),E39,F39,G39,H39,X39,AP39,N39,O39,P39,Q39,R39,S39,T39,U39,V39,W39,THDL!$CN$6,THDL!$CN$8,THDL!$CN$9,THDL!$CQ$6,THDL!$CQ$12,THDL!$CT$6,THDL!$CT$9,THDL!$CT$19,THDL!$CT$20,THDL!$CT$21,THDL!$CT$22,THDL!$CT$23,THDL!$CT$24,THDL!$CT$25,THDL!$CK$21,THDL!$CQ$4*THDL!$CQ$3)</f>
        <v>0</v>
      </c>
      <c r="AW39" s="77" t="str">
        <f>IF(AND(AU39&lt;=THDL!$CK$8,AV39&lt;=THDL!$CK$9),"OK","FAIL")</f>
        <v>OK</v>
      </c>
      <c r="AX39" s="77">
        <f>VLOOKUP(C39,NoiLuc!BA:BK,8,0)</f>
        <v>96.268730163574205</v>
      </c>
      <c r="AY39" s="77">
        <f>VLOOKUP(C39,NoiLuc!AA:AK,8,0)</f>
        <v>96.268730163574205</v>
      </c>
      <c r="AZ39" s="77">
        <f>_xll.Slab_Crack_Function(THDL!$CK$2,"D"&amp;THDL!$CK$17,THDL!$CK$7,ABS(AA39),ABS(AX39),ABS(AY39),ABS(AX39),E39,F39,H39,G39,AP39,X39,AF39,AG39,AH39,AI39,AJ39,AK39,AL39,AM39,AN39,AO39,THDL!$CN$6,THDL!$CN$8,THDL!$CN$9,THDL!$CQ$6,THDL!$CQ$12,THDL!$CT$6,THDL!$CT$9,THDL!$CT$19,THDL!$CT$20,THDL!$CT$21,THDL!$CT$22,THDL!$CT$23,THDL!$CT$24,THDL!$CT$25,THDL!$CK$21,THDL!$CQ$4*THDL!$CQ$3)</f>
        <v>0</v>
      </c>
      <c r="BA39" s="77">
        <f>_xll.Slab_Crack_Function(THDL!$CK$2,"N"&amp;THDL!$CK$17,THDL!$CK$7,ABS(AA39),ABS(AX39),ABS(AY39),ABS(AX39),E39,F39,H39,G39,AP39,X39,AF39,AG39,AH39,AI39,AJ39,AK39,AL39,AM39,AN39,AO39,THDL!$CN$6,THDL!$CN$8,THDL!$CN$9,THDL!$CQ$6,THDL!$CQ$12,THDL!$CT$6,THDL!$CT$9,THDL!$CT$19,THDL!$CT$20,THDL!$CT$21,THDL!$CT$22,THDL!$CT$23,THDL!$CT$24,THDL!$CT$25,THDL!$CK$21,THDL!$CQ$4*THDL!$CQ$3)</f>
        <v>0</v>
      </c>
      <c r="BB39" s="77" t="str">
        <f>IF(AND(AZ39&lt;=THDL!$CK$8,BA39&lt;=THDL!$CK$9),"OK","FAIL")</f>
        <v>OK</v>
      </c>
      <c r="BC39" s="78">
        <f>VLOOKUP(C39,NoiLuc!A:K,10,0)</f>
        <v>256.93539428710898</v>
      </c>
      <c r="BD39" s="79">
        <f>_xll.Foundation_TinhHeSoCChiuCat(E39,F39,MAX(G39,H39),BM39,BN39,BO39,BP39,BF39,BC39,THDL!$CK$18,THDL!$CK$19)</f>
        <v>1.5</v>
      </c>
      <c r="BE39" s="80">
        <f t="shared" si="8"/>
        <v>873</v>
      </c>
      <c r="BF39" s="78">
        <f>THDL!$CN$7</f>
        <v>1.05</v>
      </c>
      <c r="BG39" s="78">
        <f t="shared" si="9"/>
        <v>855.54000000000008</v>
      </c>
      <c r="BH39" s="78">
        <f t="shared" si="10"/>
        <v>855.54000000000008</v>
      </c>
      <c r="BI39" s="81" t="str">
        <f t="shared" si="11"/>
        <v>OK</v>
      </c>
      <c r="BJ39" s="78">
        <f t="shared" si="12"/>
        <v>0</v>
      </c>
      <c r="BK39" s="82">
        <f t="shared" si="13"/>
        <v>1.5</v>
      </c>
      <c r="BL39" s="80">
        <f t="shared" si="14"/>
        <v>873</v>
      </c>
      <c r="BM39" s="83">
        <f t="shared" si="15"/>
        <v>2</v>
      </c>
      <c r="BN39" s="83">
        <f t="shared" si="16"/>
        <v>12</v>
      </c>
      <c r="BO39" s="83">
        <f t="shared" si="17"/>
        <v>100</v>
      </c>
      <c r="BP39" s="78">
        <f>IF(BN39&gt;8,THDL!$CQ$16,THDL!$CQ$15)</f>
        <v>280</v>
      </c>
      <c r="BQ39" s="78" t="str">
        <f t="shared" si="18"/>
        <v/>
      </c>
      <c r="BR39" s="78" t="str">
        <f t="shared" si="19"/>
        <v/>
      </c>
      <c r="BS39" s="78" t="str">
        <f t="shared" si="20"/>
        <v/>
      </c>
    </row>
    <row r="40" spans="1:71">
      <c r="A40" s="84" t="s">
        <v>324</v>
      </c>
      <c r="B40" s="85" t="str">
        <f t="shared" si="3"/>
        <v>M6</v>
      </c>
      <c r="C40" s="86" t="str">
        <f>IFERROR(VLOOKUP(A40,BanVe!A:AH,34,0),0)</f>
        <v>CSB12</v>
      </c>
      <c r="D40" s="71" t="str">
        <f>IFERROR(IF(UPPER(VLOOKUP(A40,BanVe!A:B,2,0))="STRIPA","STRIP A",IF(UPPER(VLOOKUP(A40,BanVe!A:B,2,0))="STRIPB","STRIP B","KXD")),"KXD")</f>
        <v>STRIP B</v>
      </c>
      <c r="E40" s="86">
        <f>VLOOKUP(C40,NoiLuc!A:K,4,0)</f>
        <v>1500</v>
      </c>
      <c r="F40" s="85">
        <v>700</v>
      </c>
      <c r="G40" s="87">
        <f>TRONGTAM_a(E40,THDL!$CK$10,THDL!$CK$16,N40,P40,R40,T40,V40,O40,Q40,S40,U40,W40,0)</f>
        <v>48</v>
      </c>
      <c r="H40" s="87">
        <f>TRONGTAM_a(E40,THDL!$CK$15,THDL!$CK$16,AF40,AH40,AJ40,AL40,AN40,AG40,AI40,AK40,AM40,AO40,0)</f>
        <v>118</v>
      </c>
      <c r="I40" s="88">
        <f>VLOOKUP(C40,NoiLuc!A:K,6,0)</f>
        <v>-3.2429239749908398</v>
      </c>
      <c r="J40" s="88">
        <f>VLOOKUP(C40,NoiLuc!A:K,7,0)</f>
        <v>0.37499999999999301</v>
      </c>
      <c r="K40" s="73">
        <f>_xll.Slab_Function(THDL!$CK$2,E40,F40,G40,H40,I40,THDL!$CN$5,THDL!$CQ$4,THDL!$CQ$5,THDL!$CQ$6,THDL!$CQ$10,THDL!$CQ$11,THDL!$CQ$12,THDL!$CK$6,"Nén",THDL!$CK$7,THDL!$CT$3,THDL!$CT$13,THDL!$CT$16,THDL!$CT$17,THDL!$CT$18,THDL!$CQ$3*THDL!$CQ$4,THDL!$CQ$3,THDL!$CQ$9*THDL!$CQ$10,THDL!$CQ$9,N40,O40,P40,Q40,R40,S40,T40,U40,V40,W40,THDL!$CK$11,8,"Mu",AF40,AG40,AH40,AI40,AJ40,AK40,AL40,AM40,AN40,AO40)</f>
        <v>254.4860544024971</v>
      </c>
      <c r="L40" s="88">
        <f>_xll.Beam_Function(THDL!$CK$2,"Asn",E40,F40,G40,H40,ABS(I40),THDL!$CN$5,THDL!$CQ$10,THDL!$CQ$11,THDL!$CQ$12,THDL!$CK$6,"Nén",THDL!$CK$7,THDL!$CT$3,THDL!$CT$13,THDL!$CT$16,THDL!$CT$17,THDL!$CT$18,THDL!$CQ$10*THDL!$CQ$9,THDL!$CQ$9,X40,AP40)</f>
        <v>0</v>
      </c>
      <c r="M40" s="88">
        <f>_xll.Beam_Function(THDL!$CK$2,"Ask",E40,F40,G40,H40,ABS(I40),THDL!$CN$5,THDL!$CQ$10,THDL!$CQ$11,THDL!$CQ$12,THDL!$CK$6,"Nén",THDL!$CK$7,THDL!$CT$3,THDL!$CT$13,THDL!$CT$16,THDL!$CT$17,THDL!$CT$18,THDL!$CQ$10*THDL!$CQ$9,THDL!$CQ$9,X40,AP40,THDL!$CK$11)</f>
        <v>0.14213378099109736</v>
      </c>
      <c r="N40" s="89">
        <v>12</v>
      </c>
      <c r="O40" s="89">
        <v>150</v>
      </c>
      <c r="P40" s="89"/>
      <c r="Q40" s="89"/>
      <c r="R40" s="89"/>
      <c r="S40" s="89"/>
      <c r="T40" s="89"/>
      <c r="U40" s="89"/>
      <c r="V40" s="89"/>
      <c r="W40" s="89"/>
      <c r="X40" s="90">
        <f t="shared" si="1"/>
        <v>11.30973388671875</v>
      </c>
      <c r="Y40" s="90">
        <f t="shared" si="4"/>
        <v>0.11564145078444529</v>
      </c>
      <c r="Z40" s="90">
        <f t="shared" si="5"/>
        <v>79.57104783856515</v>
      </c>
      <c r="AA40" s="88">
        <f>VLOOKUP(C40,NoiLuc!A:K,8,0)</f>
        <v>94.093032836914105</v>
      </c>
      <c r="AB40" s="88">
        <f>VLOOKUP(C40,NoiLuc!A:K,9,0)</f>
        <v>0.70000000000000095</v>
      </c>
      <c r="AC40" s="73">
        <f>_xll.Slab_Function(THDL!$CK$2,E40,F40,H40,G40,AA40,THDL!$CN$5,THDL!$CQ$4,THDL!$CQ$5,THDL!$CQ$6,THDL!$CQ$10,THDL!$CQ$11,THDL!$CQ$12,THDL!$CK$6,"Nén",THDL!$CK$7,THDL!$CT$3,THDL!$CT$13,THDL!$CT$16,THDL!$CT$17,THDL!$CT$18,THDL!$CQ$3*THDL!$CQ$4,THDL!$CQ$3,THDL!$CQ$9*THDL!$CQ$10,THDL!$CQ$9,AF40,AG40,AH40,AI40,AJ40,AK40,AL40,AM40,AN40,AO40,THDL!$CK$11,8,"Mu",N40,O40,P40,Q40,R40,S40,T40,U40,V40,W40)</f>
        <v>226.77720719783517</v>
      </c>
      <c r="AD40" s="91">
        <f>_xll.Beam_Function(THDL!$CK$2,"Asn",E40,F40,H40,G40,ABS(AA40),THDL!$CN$5,THDL!$CQ$10,THDL!$CQ$11,THDL!$CQ$12,THDL!$CK$6,"Nén",THDL!$CK$7,THDL!$CT$3,THDL!$CT$13,THDL!$CT$16,THDL!$CT$17,THDL!$CT$18,THDL!$CQ$10*THDL!$CQ$9,THDL!$CQ$9,AP40,X40)</f>
        <v>0</v>
      </c>
      <c r="AE40" s="91">
        <f>_xll.Beam_Function(THDL!$CK$2,"Ask",E40,F40,H40,G40,ABS(AA40),THDL!$CN$5,THDL!$CQ$10,THDL!$CQ$11,THDL!$CQ$12,THDL!$CK$6,"Nén",THDL!$CK$7,THDL!$CT$3,THDL!$CT$13,THDL!$CT$16,THDL!$CT$17,THDL!$CT$18,THDL!$CQ$10*THDL!$CQ$9,THDL!$CQ$9,AP40,X40,THDL!$CK$11)</f>
        <v>4.6490771055863434</v>
      </c>
      <c r="AF40" s="89">
        <v>12</v>
      </c>
      <c r="AG40" s="89">
        <v>150</v>
      </c>
      <c r="AH40" s="89"/>
      <c r="AI40" s="89"/>
      <c r="AJ40" s="89"/>
      <c r="AK40" s="89"/>
      <c r="AL40" s="89"/>
      <c r="AM40" s="89"/>
      <c r="AN40" s="89"/>
      <c r="AO40" s="89"/>
      <c r="AP40" s="90">
        <f t="shared" si="2"/>
        <v>11.30973388671875</v>
      </c>
      <c r="AQ40" s="90">
        <f t="shared" si="6"/>
        <v>0.12955021634271191</v>
      </c>
      <c r="AR40" s="90">
        <f t="shared" si="7"/>
        <v>2.432683655241799</v>
      </c>
      <c r="AS40" s="77">
        <f>VLOOKUP(C40,NoiLuc!BA:BK,6,0)</f>
        <v>-3.2429239749908398</v>
      </c>
      <c r="AT40" s="77">
        <f>VLOOKUP(C40,NoiLuc!AA:AK,6,0)</f>
        <v>-3.2429239749908398</v>
      </c>
      <c r="AU40" s="92">
        <f>_xll.Slab_Crack_Function(THDL!$CK$2,"D"&amp;THDL!$CK$17,THDL!$CK$7,ABS(I40),ABS(AS40),ABS(AT40),ABS(AS40),E40,F40,G40,H40,X40,AP40,N40,O40,P40,Q40,R40,S40,T40,U40,V40,W40,THDL!$CN$6,THDL!$CN$8,THDL!$CN$9,THDL!$CQ$6,THDL!$CQ$12,THDL!$CT$6,THDL!$CT$9,THDL!$CT$19,THDL!$CT$20,THDL!$CT$21,THDL!$CT$22,THDL!$CT$23,THDL!$CT$24,THDL!$CT$25,THDL!$CK$21,THDL!$CQ$4*THDL!$CQ$3)</f>
        <v>0</v>
      </c>
      <c r="AV40" s="92">
        <f>_xll.Slab_Crack_Function(THDL!$CK$2,"N"&amp;THDL!$CK$17,THDL!$CK$7,ABS(I40),ABS(AS40),ABS(AT40),ABS(AS40),E40,F40,G40,H40,X40,AP40,N40,O40,P40,Q40,R40,S40,T40,U40,V40,W40,THDL!$CN$6,THDL!$CN$8,THDL!$CN$9,THDL!$CQ$6,THDL!$CQ$12,THDL!$CT$6,THDL!$CT$9,THDL!$CT$19,THDL!$CT$20,THDL!$CT$21,THDL!$CT$22,THDL!$CT$23,THDL!$CT$24,THDL!$CT$25,THDL!$CK$21,THDL!$CQ$4*THDL!$CQ$3)</f>
        <v>0</v>
      </c>
      <c r="AW40" s="92" t="str">
        <f>IF(AND(AU40&lt;=THDL!$CK$8,AV40&lt;=THDL!$CK$9),"OK","FAIL")</f>
        <v>OK</v>
      </c>
      <c r="AX40" s="77">
        <f>VLOOKUP(C40,NoiLuc!BA:BK,8,0)</f>
        <v>94.093032836914105</v>
      </c>
      <c r="AY40" s="77">
        <f>VLOOKUP(C40,NoiLuc!AA:AK,8,0)</f>
        <v>94.093032836914105</v>
      </c>
      <c r="AZ40" s="92">
        <f>_xll.Slab_Crack_Function(THDL!$CK$2,"D"&amp;THDL!$CK$17,THDL!$CK$7,ABS(AA40),ABS(AX40),ABS(AY40),ABS(AX40),E40,F40,H40,G40,AP40,X40,AF40,AG40,AH40,AI40,AJ40,AK40,AL40,AM40,AN40,AO40,THDL!$CN$6,THDL!$CN$8,THDL!$CN$9,THDL!$CQ$6,THDL!$CQ$12,THDL!$CT$6,THDL!$CT$9,THDL!$CT$19,THDL!$CT$20,THDL!$CT$21,THDL!$CT$22,THDL!$CT$23,THDL!$CT$24,THDL!$CT$25,THDL!$CK$21,THDL!$CQ$4*THDL!$CQ$3)</f>
        <v>0</v>
      </c>
      <c r="BA40" s="92">
        <f>_xll.Slab_Crack_Function(THDL!$CK$2,"N"&amp;THDL!$CK$17,THDL!$CK$7,ABS(AA40),ABS(AX40),ABS(AY40),ABS(AX40),E40,F40,H40,G40,AP40,X40,AF40,AG40,AH40,AI40,AJ40,AK40,AL40,AM40,AN40,AO40,THDL!$CN$6,THDL!$CN$8,THDL!$CN$9,THDL!$CQ$6,THDL!$CQ$12,THDL!$CT$6,THDL!$CT$9,THDL!$CT$19,THDL!$CT$20,THDL!$CT$21,THDL!$CT$22,THDL!$CT$23,THDL!$CT$24,THDL!$CT$25,THDL!$CK$21,THDL!$CQ$4*THDL!$CQ$3)</f>
        <v>0</v>
      </c>
      <c r="BB40" s="92" t="str">
        <f>IF(AND(AZ40&lt;=THDL!$CK$8,BA40&lt;=THDL!$CK$9),"OK","FAIL")</f>
        <v>OK</v>
      </c>
      <c r="BC40" s="93">
        <f>VLOOKUP(C40,NoiLuc!A:K,10,0)</f>
        <v>508.759033203125</v>
      </c>
      <c r="BD40" s="94">
        <f>_xll.Foundation_TinhHeSoCChiuCat(E40,F40,MAX(G40,H40),BM40,BN40,BO40,BP40,BF40,BC40,THDL!$CK$18,THDL!$CK$19)</f>
        <v>1.5</v>
      </c>
      <c r="BE40" s="95">
        <f t="shared" si="8"/>
        <v>873</v>
      </c>
      <c r="BF40" s="93">
        <f>THDL!$CN$7</f>
        <v>1.05</v>
      </c>
      <c r="BG40" s="93">
        <f t="shared" si="9"/>
        <v>916.65000000000009</v>
      </c>
      <c r="BH40" s="93">
        <f t="shared" si="10"/>
        <v>916.65000000000009</v>
      </c>
      <c r="BI40" s="96" t="str">
        <f t="shared" si="11"/>
        <v>OK</v>
      </c>
      <c r="BJ40" s="93">
        <f t="shared" si="12"/>
        <v>0</v>
      </c>
      <c r="BK40" s="97">
        <f t="shared" si="13"/>
        <v>1.5</v>
      </c>
      <c r="BL40" s="95">
        <f t="shared" si="14"/>
        <v>873</v>
      </c>
      <c r="BM40" s="98">
        <f t="shared" si="15"/>
        <v>2</v>
      </c>
      <c r="BN40" s="98">
        <f t="shared" si="16"/>
        <v>12</v>
      </c>
      <c r="BO40" s="98">
        <f t="shared" si="17"/>
        <v>100</v>
      </c>
      <c r="BP40" s="93">
        <f>IF(BN40&gt;8,THDL!$CQ$16,THDL!$CQ$15)</f>
        <v>280</v>
      </c>
      <c r="BQ40" s="93" t="str">
        <f t="shared" si="18"/>
        <v/>
      </c>
      <c r="BR40" s="93" t="str">
        <f t="shared" si="19"/>
        <v/>
      </c>
      <c r="BS40" s="93" t="str">
        <f t="shared" si="20"/>
        <v/>
      </c>
    </row>
    <row r="41" spans="1:71">
      <c r="A41" s="84" t="s">
        <v>326</v>
      </c>
      <c r="B41" s="85" t="str">
        <f t="shared" si="3"/>
        <v>M6</v>
      </c>
      <c r="C41" s="86" t="str">
        <f>IFERROR(VLOOKUP(A41,BanVe!A:AH,34,0),0)</f>
        <v>CSB22</v>
      </c>
      <c r="D41" s="71" t="str">
        <f>IFERROR(IF(UPPER(VLOOKUP(A41,BanVe!A:B,2,0))="STRIPA","STRIP A",IF(UPPER(VLOOKUP(A41,BanVe!A:B,2,0))="STRIPB","STRIP B","KXD")),"KXD")</f>
        <v>STRIP B</v>
      </c>
      <c r="E41" s="86">
        <f>VLOOKUP(C41,NoiLuc!A:K,4,0)</f>
        <v>750</v>
      </c>
      <c r="F41" s="85">
        <v>700</v>
      </c>
      <c r="G41" s="87">
        <f>TRONGTAM_a(E41,THDL!$CK$10,THDL!$CK$16,N41,P41,R41,T41,V41,O41,Q41,S41,U41,W41,0)</f>
        <v>48</v>
      </c>
      <c r="H41" s="87">
        <f>TRONGTAM_a(E41,THDL!$CK$15,THDL!$CK$16,AF41,AH41,AJ41,AL41,AN41,AG41,AI41,AK41,AM41,AO41,0)</f>
        <v>118</v>
      </c>
      <c r="I41" s="88">
        <f>VLOOKUP(C41,NoiLuc!A:K,6,0)</f>
        <v>-9.4752101898193395</v>
      </c>
      <c r="J41" s="88">
        <f>VLOOKUP(C41,NoiLuc!A:K,7,0)</f>
        <v>0.37500000000000799</v>
      </c>
      <c r="K41" s="73">
        <f>_xll.Slab_Function(THDL!$CK$2,E41,F41,G41,H41,I41,THDL!$CN$5,THDL!$CQ$4,THDL!$CQ$5,THDL!$CQ$6,THDL!$CQ$10,THDL!$CQ$11,THDL!$CQ$12,THDL!$CK$6,"Nén",THDL!$CK$7,THDL!$CT$3,THDL!$CT$13,THDL!$CT$16,THDL!$CT$17,THDL!$CT$18,THDL!$CQ$3*THDL!$CQ$4,THDL!$CQ$3,THDL!$CQ$9*THDL!$CQ$10,THDL!$CQ$9,N41,O41,P41,Q41,R41,S41,T41,U41,V41,W41,THDL!$CK$11,8,"Mu",AF41,AG41,AH41,AI41,AJ41,AK41,AL41,AM41,AN41,AO41)</f>
        <v>127.24302720124855</v>
      </c>
      <c r="L41" s="88">
        <f>_xll.Beam_Function(THDL!$CK$2,"Asn",E41,F41,G41,H41,ABS(I41),THDL!$CN$5,THDL!$CQ$10,THDL!$CQ$11,THDL!$CQ$12,THDL!$CK$6,"Nén",THDL!$CK$7,THDL!$CT$3,THDL!$CT$13,THDL!$CT$16,THDL!$CT$17,THDL!$CT$18,THDL!$CQ$10*THDL!$CQ$9,THDL!$CQ$9,X41,AP41)</f>
        <v>0</v>
      </c>
      <c r="M41" s="88">
        <f>_xll.Beam_Function(THDL!$CK$2,"Ask",E41,F41,G41,H41,ABS(I41),THDL!$CN$5,THDL!$CQ$10,THDL!$CQ$11,THDL!$CQ$12,THDL!$CK$6,"Nén",THDL!$CK$7,THDL!$CT$3,THDL!$CT$13,THDL!$CT$16,THDL!$CT$17,THDL!$CT$18,THDL!$CQ$10*THDL!$CQ$9,THDL!$CQ$9,X41,AP41,THDL!$CK$11)</f>
        <v>0.4156415526941884</v>
      </c>
      <c r="N41" s="89">
        <v>12</v>
      </c>
      <c r="O41" s="89">
        <v>150</v>
      </c>
      <c r="P41" s="89"/>
      <c r="Q41" s="89"/>
      <c r="R41" s="89"/>
      <c r="S41" s="89"/>
      <c r="T41" s="89"/>
      <c r="U41" s="89"/>
      <c r="V41" s="89"/>
      <c r="W41" s="89"/>
      <c r="X41" s="90">
        <f t="shared" si="1"/>
        <v>5.6548669433593748</v>
      </c>
      <c r="Y41" s="90">
        <f t="shared" si="4"/>
        <v>0.11564145078444529</v>
      </c>
      <c r="Z41" s="90">
        <f t="shared" si="5"/>
        <v>13.60515306206641</v>
      </c>
      <c r="AA41" s="88">
        <f>VLOOKUP(C41,NoiLuc!A:K,8,0)</f>
        <v>65.915390014648395</v>
      </c>
      <c r="AB41" s="88">
        <f>VLOOKUP(C41,NoiLuc!A:K,9,0)</f>
        <v>0.7</v>
      </c>
      <c r="AC41" s="73">
        <f>_xll.Slab_Function(THDL!$CK$2,E41,F41,H41,G41,AA41,THDL!$CN$5,THDL!$CQ$4,THDL!$CQ$5,THDL!$CQ$6,THDL!$CQ$10,THDL!$CQ$11,THDL!$CQ$12,THDL!$CK$6,"Nén",THDL!$CK$7,THDL!$CT$3,THDL!$CT$13,THDL!$CT$16,THDL!$CT$17,THDL!$CT$18,THDL!$CQ$3*THDL!$CQ$4,THDL!$CQ$3,THDL!$CQ$9*THDL!$CQ$10,THDL!$CQ$9,AF41,AG41,AH41,AI41,AJ41,AK41,AL41,AM41,AN41,AO41,THDL!$CK$11,8,"Mu",N41,O41,P41,Q41,R41,S41,T41,U41,V41,W41)</f>
        <v>168.7321309201721</v>
      </c>
      <c r="AD41" s="91">
        <f>_xll.Beam_Function(THDL!$CK$2,"Asn",E41,F41,H41,G41,ABS(AA41),THDL!$CN$5,THDL!$CQ$10,THDL!$CQ$11,THDL!$CQ$12,THDL!$CK$6,"Nén",THDL!$CK$7,THDL!$CT$3,THDL!$CT$13,THDL!$CT$16,THDL!$CT$17,THDL!$CT$18,THDL!$CQ$10*THDL!$CQ$9,THDL!$CQ$9,AP41,X41)</f>
        <v>0</v>
      </c>
      <c r="AE41" s="91">
        <f>_xll.Beam_Function(THDL!$CK$2,"Ask",E41,F41,H41,G41,ABS(AA41),THDL!$CN$5,THDL!$CQ$10,THDL!$CQ$11,THDL!$CQ$12,THDL!$CK$6,"Nén",THDL!$CK$7,THDL!$CT$3,THDL!$CT$13,THDL!$CT$16,THDL!$CT$17,THDL!$CT$18,THDL!$CQ$10*THDL!$CQ$9,THDL!$CQ$9,AP41,X41,THDL!$CK$11)</f>
        <v>3.2653871320645345</v>
      </c>
      <c r="AF41" s="89">
        <v>12</v>
      </c>
      <c r="AG41" s="89">
        <v>100</v>
      </c>
      <c r="AH41" s="89"/>
      <c r="AI41" s="89"/>
      <c r="AJ41" s="89"/>
      <c r="AK41" s="89"/>
      <c r="AL41" s="89"/>
      <c r="AM41" s="89"/>
      <c r="AN41" s="89"/>
      <c r="AO41" s="89"/>
      <c r="AP41" s="90">
        <f t="shared" si="2"/>
        <v>8.4823004150390631</v>
      </c>
      <c r="AQ41" s="90">
        <f t="shared" si="6"/>
        <v>0.19432532451406787</v>
      </c>
      <c r="AR41" s="90">
        <f t="shared" si="7"/>
        <v>2.5976400567476192</v>
      </c>
      <c r="AS41" s="77">
        <f>VLOOKUP(C41,NoiLuc!BA:BK,6,0)</f>
        <v>-9.4752101898193395</v>
      </c>
      <c r="AT41" s="77">
        <f>VLOOKUP(C41,NoiLuc!AA:AK,6,0)</f>
        <v>-9.4752101898193395</v>
      </c>
      <c r="AU41" s="92">
        <f>_xll.Slab_Crack_Function(THDL!$CK$2,"D"&amp;THDL!$CK$17,THDL!$CK$7,ABS(I41),ABS(AS41),ABS(AT41),ABS(AS41),E41,F41,G41,H41,X41,AP41,N41,O41,P41,Q41,R41,S41,T41,U41,V41,W41,THDL!$CN$6,THDL!$CN$8,THDL!$CN$9,THDL!$CQ$6,THDL!$CQ$12,THDL!$CT$6,THDL!$CT$9,THDL!$CT$19,THDL!$CT$20,THDL!$CT$21,THDL!$CT$22,THDL!$CT$23,THDL!$CT$24,THDL!$CT$25,THDL!$CK$21,THDL!$CQ$4*THDL!$CQ$3)</f>
        <v>0</v>
      </c>
      <c r="AV41" s="92">
        <f>_xll.Slab_Crack_Function(THDL!$CK$2,"N"&amp;THDL!$CK$17,THDL!$CK$7,ABS(I41),ABS(AS41),ABS(AT41),ABS(AS41),E41,F41,G41,H41,X41,AP41,N41,O41,P41,Q41,R41,S41,T41,U41,V41,W41,THDL!$CN$6,THDL!$CN$8,THDL!$CN$9,THDL!$CQ$6,THDL!$CQ$12,THDL!$CT$6,THDL!$CT$9,THDL!$CT$19,THDL!$CT$20,THDL!$CT$21,THDL!$CT$22,THDL!$CT$23,THDL!$CT$24,THDL!$CT$25,THDL!$CK$21,THDL!$CQ$4*THDL!$CQ$3)</f>
        <v>0</v>
      </c>
      <c r="AW41" s="92" t="str">
        <f>IF(AND(AU41&lt;=THDL!$CK$8,AV41&lt;=THDL!$CK$9),"OK","FAIL")</f>
        <v>OK</v>
      </c>
      <c r="AX41" s="77">
        <f>VLOOKUP(C41,NoiLuc!BA:BK,8,0)</f>
        <v>65.915390014648395</v>
      </c>
      <c r="AY41" s="77">
        <f>VLOOKUP(C41,NoiLuc!AA:AK,8,0)</f>
        <v>65.915390014648395</v>
      </c>
      <c r="AZ41" s="92">
        <f>_xll.Slab_Crack_Function(THDL!$CK$2,"D"&amp;THDL!$CK$17,THDL!$CK$7,ABS(AA41),ABS(AX41),ABS(AY41),ABS(AX41),E41,F41,H41,G41,AP41,X41,AF41,AG41,AH41,AI41,AJ41,AK41,AL41,AM41,AN41,AO41,THDL!$CN$6,THDL!$CN$8,THDL!$CN$9,THDL!$CQ$6,THDL!$CQ$12,THDL!$CT$6,THDL!$CT$9,THDL!$CT$19,THDL!$CT$20,THDL!$CT$21,THDL!$CT$22,THDL!$CT$23,THDL!$CT$24,THDL!$CT$25,THDL!$CK$21,THDL!$CQ$4*THDL!$CQ$3)</f>
        <v>0</v>
      </c>
      <c r="BA41" s="92">
        <f>_xll.Slab_Crack_Function(THDL!$CK$2,"N"&amp;THDL!$CK$17,THDL!$CK$7,ABS(AA41),ABS(AX41),ABS(AY41),ABS(AX41),E41,F41,H41,G41,AP41,X41,AF41,AG41,AH41,AI41,AJ41,AK41,AL41,AM41,AN41,AO41,THDL!$CN$6,THDL!$CN$8,THDL!$CN$9,THDL!$CQ$6,THDL!$CQ$12,THDL!$CT$6,THDL!$CT$9,THDL!$CT$19,THDL!$CT$20,THDL!$CT$21,THDL!$CT$22,THDL!$CT$23,THDL!$CT$24,THDL!$CT$25,THDL!$CK$21,THDL!$CQ$4*THDL!$CQ$3)</f>
        <v>0</v>
      </c>
      <c r="BB41" s="92" t="str">
        <f>IF(AND(AZ41&lt;=THDL!$CK$8,BA41&lt;=THDL!$CK$9),"OK","FAIL")</f>
        <v>OK</v>
      </c>
      <c r="BC41" s="93">
        <f>VLOOKUP(C41,NoiLuc!A:K,10,0)</f>
        <v>424.60592651367199</v>
      </c>
      <c r="BD41" s="94">
        <f>_xll.Foundation_TinhHeSoCChiuCat(E41,F41,MAX(G41,H41),BM41,BN41,BO41,BP41,BF41,BC41,THDL!$CK$18,THDL!$CK$19)</f>
        <v>1.5</v>
      </c>
      <c r="BE41" s="95">
        <f t="shared" si="8"/>
        <v>873</v>
      </c>
      <c r="BF41" s="93">
        <f>THDL!$CN$7</f>
        <v>1.05</v>
      </c>
      <c r="BG41" s="93">
        <f t="shared" si="9"/>
        <v>458.32500000000005</v>
      </c>
      <c r="BH41" s="93">
        <f t="shared" si="10"/>
        <v>458.32500000000005</v>
      </c>
      <c r="BI41" s="96" t="str">
        <f t="shared" si="11"/>
        <v>OK</v>
      </c>
      <c r="BJ41" s="93">
        <f t="shared" si="12"/>
        <v>0</v>
      </c>
      <c r="BK41" s="97">
        <f t="shared" si="13"/>
        <v>1.5</v>
      </c>
      <c r="BL41" s="95">
        <f t="shared" si="14"/>
        <v>873</v>
      </c>
      <c r="BM41" s="98">
        <f t="shared" si="15"/>
        <v>2</v>
      </c>
      <c r="BN41" s="98">
        <f t="shared" si="16"/>
        <v>12</v>
      </c>
      <c r="BO41" s="98">
        <f t="shared" si="17"/>
        <v>100</v>
      </c>
      <c r="BP41" s="93">
        <f>IF(BN41&gt;8,THDL!$CQ$16,THDL!$CQ$15)</f>
        <v>280</v>
      </c>
      <c r="BQ41" s="93" t="str">
        <f t="shared" si="18"/>
        <v/>
      </c>
      <c r="BR41" s="93" t="str">
        <f t="shared" si="19"/>
        <v/>
      </c>
      <c r="BS41" s="93" t="str">
        <f t="shared" si="20"/>
        <v/>
      </c>
    </row>
    <row r="42" spans="1:71">
      <c r="A42" s="99" t="s">
        <v>328</v>
      </c>
      <c r="B42" s="100" t="str">
        <f t="shared" si="3"/>
        <v>M7</v>
      </c>
      <c r="C42" s="101" t="str">
        <f>IFERROR(VLOOKUP(A42,BanVe!A:AH,34,0),0)</f>
        <v>CSA7</v>
      </c>
      <c r="D42" s="71" t="str">
        <f>IFERROR(IF(UPPER(VLOOKUP(A42,BanVe!A:B,2,0))="STRIPA","STRIP A",IF(UPPER(VLOOKUP(A42,BanVe!A:B,2,0))="STRIPB","STRIP B","KXD")),"KXD")</f>
        <v>STRIP A</v>
      </c>
      <c r="E42" s="101">
        <f>VLOOKUP(C42,NoiLuc!A:K,4,0)</f>
        <v>1500</v>
      </c>
      <c r="F42" s="100">
        <v>700</v>
      </c>
      <c r="G42" s="102">
        <f>TRONGTAM_a(E42,THDL!$CK$10,THDL!$CK$16,N42,P42,R42,T42,V42,O42,Q42,S42,U42,W42,0)</f>
        <v>48</v>
      </c>
      <c r="H42" s="102">
        <f>TRONGTAM_a(E42,THDL!$CK$15,THDL!$CK$16,AF42,AH42,AJ42,AL42,AN42,AG42,AI42,AK42,AM42,AO42,0)</f>
        <v>118</v>
      </c>
      <c r="I42" s="103">
        <f>VLOOKUP(C42,NoiLuc!A:K,6,0)</f>
        <v>-43.485214233398402</v>
      </c>
      <c r="J42" s="103">
        <f>VLOOKUP(C42,NoiLuc!A:K,7,0)</f>
        <v>1.12499999999998</v>
      </c>
      <c r="K42" s="73">
        <f>_xll.Slab_Function(THDL!$CK$2,E42,F42,G42,H42,I42,THDL!$CN$5,THDL!$CQ$4,THDL!$CQ$5,THDL!$CQ$6,THDL!$CQ$10,THDL!$CQ$11,THDL!$CQ$12,THDL!$CK$6,"Nén",THDL!$CK$7,THDL!$CT$3,THDL!$CT$13,THDL!$CT$16,THDL!$CT$17,THDL!$CT$18,THDL!$CQ$3*THDL!$CQ$4,THDL!$CQ$3,THDL!$CQ$9*THDL!$CQ$10,THDL!$CQ$9,N42,O42,P42,Q42,R42,S42,T42,U42,V42,W42,THDL!$CK$11,8,"Mu",AF42,AG42,AH42,AI42,AJ42,AK42,AL42,AM42,AN42,AO42)</f>
        <v>254.4860544024971</v>
      </c>
      <c r="L42" s="103">
        <f>_xll.Beam_Function(THDL!$CK$2,"Asn",E42,F42,G42,H42,ABS(I42),THDL!$CN$5,THDL!$CQ$10,THDL!$CQ$11,THDL!$CQ$12,THDL!$CK$6,"Nén",THDL!$CK$7,THDL!$CT$3,THDL!$CT$13,THDL!$CT$16,THDL!$CT$17,THDL!$CT$18,THDL!$CQ$10*THDL!$CQ$9,THDL!$CQ$9,X42,AP42)</f>
        <v>0</v>
      </c>
      <c r="M42" s="103">
        <f>_xll.Beam_Function(THDL!$CK$2,"Ask",E42,F42,G42,H42,ABS(I42),THDL!$CN$5,THDL!$CQ$10,THDL!$CQ$11,THDL!$CQ$12,THDL!$CK$6,"Nén",THDL!$CK$7,THDL!$CT$3,THDL!$CT$13,THDL!$CT$16,THDL!$CT$17,THDL!$CT$18,THDL!$CQ$10*THDL!$CQ$9,THDL!$CQ$9,X42,AP42,THDL!$CK$11)</f>
        <v>1.9100769659830605</v>
      </c>
      <c r="N42" s="104">
        <v>12</v>
      </c>
      <c r="O42" s="104">
        <v>150</v>
      </c>
      <c r="P42" s="104"/>
      <c r="Q42" s="104"/>
      <c r="R42" s="104"/>
      <c r="S42" s="104"/>
      <c r="T42" s="104"/>
      <c r="U42" s="104"/>
      <c r="V42" s="104"/>
      <c r="W42" s="104"/>
      <c r="X42" s="105">
        <f t="shared" si="1"/>
        <v>11.30973388671875</v>
      </c>
      <c r="Y42" s="105">
        <f t="shared" si="4"/>
        <v>0.11564145078444529</v>
      </c>
      <c r="Z42" s="105">
        <f t="shared" si="5"/>
        <v>5.9210880441657814</v>
      </c>
      <c r="AA42" s="103">
        <f>VLOOKUP(C42,NoiLuc!A:K,8,0)</f>
        <v>127.548667907715</v>
      </c>
      <c r="AB42" s="103">
        <f>VLOOKUP(C42,NoiLuc!A:K,9,0)</f>
        <v>0.750000000000002</v>
      </c>
      <c r="AC42" s="73">
        <f>_xll.Slab_Function(THDL!$CK$2,E42,F42,H42,G42,AA42,THDL!$CN$5,THDL!$CQ$4,THDL!$CQ$5,THDL!$CQ$6,THDL!$CQ$10,THDL!$CQ$11,THDL!$CQ$12,THDL!$CK$6,"Nén",THDL!$CK$7,THDL!$CT$3,THDL!$CT$13,THDL!$CT$16,THDL!$CT$17,THDL!$CT$18,THDL!$CQ$3*THDL!$CQ$4,THDL!$CQ$3,THDL!$CQ$9*THDL!$CQ$10,THDL!$CQ$9,AF42,AG42,AH42,AI42,AJ42,AK42,AL42,AM42,AN42,AO42,THDL!$CK$11,8,"Mu",N42,O42,P42,Q42,R42,S42,T42,U42,V42,W42)</f>
        <v>226.77720719783517</v>
      </c>
      <c r="AD42" s="106">
        <f>_xll.Beam_Function(THDL!$CK$2,"Asn",E42,F42,H42,G42,ABS(AA42),THDL!$CN$5,THDL!$CQ$10,THDL!$CQ$11,THDL!$CQ$12,THDL!$CK$6,"Nén",THDL!$CK$7,THDL!$CT$3,THDL!$CT$13,THDL!$CT$16,THDL!$CT$17,THDL!$CT$18,THDL!$CQ$10*THDL!$CQ$9,THDL!$CQ$9,AP42,X42)</f>
        <v>0</v>
      </c>
      <c r="AE42" s="106">
        <f>_xll.Beam_Function(THDL!$CK$2,"Ask",E42,F42,H42,G42,ABS(AA42),THDL!$CN$5,THDL!$CQ$10,THDL!$CQ$11,THDL!$CQ$12,THDL!$CK$6,"Nén",THDL!$CK$7,THDL!$CT$3,THDL!$CT$13,THDL!$CT$16,THDL!$CT$17,THDL!$CT$18,THDL!$CQ$10*THDL!$CQ$9,THDL!$CQ$9,AP42,X42,THDL!$CK$11)</f>
        <v>6.3167564237915288</v>
      </c>
      <c r="AF42" s="104">
        <v>12</v>
      </c>
      <c r="AG42" s="104">
        <v>150</v>
      </c>
      <c r="AH42" s="104"/>
      <c r="AI42" s="104"/>
      <c r="AJ42" s="104"/>
      <c r="AK42" s="104"/>
      <c r="AL42" s="104"/>
      <c r="AM42" s="104"/>
      <c r="AN42" s="104"/>
      <c r="AO42" s="104"/>
      <c r="AP42" s="105">
        <f t="shared" si="2"/>
        <v>11.30973388671875</v>
      </c>
      <c r="AQ42" s="105">
        <f t="shared" si="6"/>
        <v>0.12955021634271191</v>
      </c>
      <c r="AR42" s="105">
        <f t="shared" si="7"/>
        <v>1.7904337492136935</v>
      </c>
      <c r="AS42" s="77">
        <f>VLOOKUP(C42,NoiLuc!BA:BK,6,0)</f>
        <v>-43.485214233398402</v>
      </c>
      <c r="AT42" s="77">
        <f>VLOOKUP(C42,NoiLuc!AA:AK,6,0)</f>
        <v>-43.485214233398402</v>
      </c>
      <c r="AU42" s="107">
        <f>_xll.Slab_Crack_Function(THDL!$CK$2,"D"&amp;THDL!$CK$17,THDL!$CK$7,ABS(I42),ABS(AS42),ABS(AT42),ABS(AS42),E42,F42,G42,H42,X42,AP42,N42,O42,P42,Q42,R42,S42,T42,U42,V42,W42,THDL!$CN$6,THDL!$CN$8,THDL!$CN$9,THDL!$CQ$6,THDL!$CQ$12,THDL!$CT$6,THDL!$CT$9,THDL!$CT$19,THDL!$CT$20,THDL!$CT$21,THDL!$CT$22,THDL!$CT$23,THDL!$CT$24,THDL!$CT$25,THDL!$CK$21,THDL!$CQ$4*THDL!$CQ$3)</f>
        <v>0</v>
      </c>
      <c r="AV42" s="107">
        <f>_xll.Slab_Crack_Function(THDL!$CK$2,"N"&amp;THDL!$CK$17,THDL!$CK$7,ABS(I42),ABS(AS42),ABS(AT42),ABS(AS42),E42,F42,G42,H42,X42,AP42,N42,O42,P42,Q42,R42,S42,T42,U42,V42,W42,THDL!$CN$6,THDL!$CN$8,THDL!$CN$9,THDL!$CQ$6,THDL!$CQ$12,THDL!$CT$6,THDL!$CT$9,THDL!$CT$19,THDL!$CT$20,THDL!$CT$21,THDL!$CT$22,THDL!$CT$23,THDL!$CT$24,THDL!$CT$25,THDL!$CK$21,THDL!$CQ$4*THDL!$CQ$3)</f>
        <v>0</v>
      </c>
      <c r="AW42" s="107" t="str">
        <f>IF(AND(AU42&lt;=THDL!$CK$8,AV42&lt;=THDL!$CK$9),"OK","FAIL")</f>
        <v>OK</v>
      </c>
      <c r="AX42" s="77">
        <f>VLOOKUP(C42,NoiLuc!BA:BK,8,0)</f>
        <v>127.548667907715</v>
      </c>
      <c r="AY42" s="77">
        <f>VLOOKUP(C42,NoiLuc!AA:AK,8,0)</f>
        <v>127.548667907715</v>
      </c>
      <c r="AZ42" s="107">
        <f>_xll.Slab_Crack_Function(THDL!$CK$2,"D"&amp;THDL!$CK$17,THDL!$CK$7,ABS(AA42),ABS(AX42),ABS(AY42),ABS(AX42),E42,F42,H42,G42,AP42,X42,AF42,AG42,AH42,AI42,AJ42,AK42,AL42,AM42,AN42,AO42,THDL!$CN$6,THDL!$CN$8,THDL!$CN$9,THDL!$CQ$6,THDL!$CQ$12,THDL!$CT$6,THDL!$CT$9,THDL!$CT$19,THDL!$CT$20,THDL!$CT$21,THDL!$CT$22,THDL!$CT$23,THDL!$CT$24,THDL!$CT$25,THDL!$CK$21,THDL!$CQ$4*THDL!$CQ$3)</f>
        <v>0</v>
      </c>
      <c r="BA42" s="107">
        <f>_xll.Slab_Crack_Function(THDL!$CK$2,"N"&amp;THDL!$CK$17,THDL!$CK$7,ABS(AA42),ABS(AX42),ABS(AY42),ABS(AX42),E42,F42,H42,G42,AP42,X42,AF42,AG42,AH42,AI42,AJ42,AK42,AL42,AM42,AN42,AO42,THDL!$CN$6,THDL!$CN$8,THDL!$CN$9,THDL!$CQ$6,THDL!$CQ$12,THDL!$CT$6,THDL!$CT$9,THDL!$CT$19,THDL!$CT$20,THDL!$CT$21,THDL!$CT$22,THDL!$CT$23,THDL!$CT$24,THDL!$CT$25,THDL!$CK$21,THDL!$CQ$4*THDL!$CQ$3)</f>
        <v>0</v>
      </c>
      <c r="BB42" s="107" t="str">
        <f>IF(AND(AZ42&lt;=THDL!$CK$8,BA42&lt;=THDL!$CK$9),"OK","FAIL")</f>
        <v>OK</v>
      </c>
      <c r="BC42" s="108">
        <f>VLOOKUP(C42,NoiLuc!A:K,10,0)</f>
        <v>458.40945434570301</v>
      </c>
      <c r="BD42" s="109">
        <f>_xll.Foundation_TinhHeSoCChiuCat(E42,F42,MAX(G42,H42),BM42,BN42,BO42,BP42,BF42,BC42,THDL!$CK$18,THDL!$CK$19)</f>
        <v>1.5</v>
      </c>
      <c r="BE42" s="110">
        <f t="shared" si="8"/>
        <v>873</v>
      </c>
      <c r="BF42" s="108">
        <f>THDL!$CN$7</f>
        <v>1.05</v>
      </c>
      <c r="BG42" s="108">
        <f t="shared" si="9"/>
        <v>916.65000000000009</v>
      </c>
      <c r="BH42" s="108">
        <f t="shared" si="10"/>
        <v>916.65000000000009</v>
      </c>
      <c r="BI42" s="111" t="str">
        <f t="shared" si="11"/>
        <v>OK</v>
      </c>
      <c r="BJ42" s="108">
        <f t="shared" si="12"/>
        <v>0</v>
      </c>
      <c r="BK42" s="112">
        <f t="shared" si="13"/>
        <v>1.5</v>
      </c>
      <c r="BL42" s="110">
        <f t="shared" si="14"/>
        <v>873</v>
      </c>
      <c r="BM42" s="113">
        <f t="shared" si="15"/>
        <v>2</v>
      </c>
      <c r="BN42" s="113">
        <f t="shared" si="16"/>
        <v>12</v>
      </c>
      <c r="BO42" s="113">
        <f t="shared" si="17"/>
        <v>100</v>
      </c>
      <c r="BP42" s="108">
        <f>IF(BN42&gt;8,THDL!$CQ$16,THDL!$CQ$15)</f>
        <v>280</v>
      </c>
      <c r="BQ42" s="108" t="str">
        <f t="shared" si="18"/>
        <v/>
      </c>
      <c r="BR42" s="108" t="str">
        <f t="shared" si="19"/>
        <v/>
      </c>
      <c r="BS42" s="108" t="str">
        <f t="shared" si="20"/>
        <v/>
      </c>
    </row>
    <row r="43" spans="1:71">
      <c r="A43" s="114" t="s">
        <v>331</v>
      </c>
      <c r="B43" s="115" t="str">
        <f t="shared" si="3"/>
        <v>M7</v>
      </c>
      <c r="C43" s="116" t="str">
        <f>IFERROR(VLOOKUP(A43,BanVe!A:AH,34,0),0)</f>
        <v>CSB5</v>
      </c>
      <c r="D43" s="71" t="str">
        <f>IFERROR(IF(UPPER(VLOOKUP(A43,BanVe!A:B,2,0))="STRIPA","STRIP A",IF(UPPER(VLOOKUP(A43,BanVe!A:B,2,0))="STRIPB","STRIP B","KXD")),"KXD")</f>
        <v>STRIP B</v>
      </c>
      <c r="E43" s="116">
        <f>VLOOKUP(C43,NoiLuc!A:K,4,0)</f>
        <v>1500</v>
      </c>
      <c r="F43" s="115">
        <v>700</v>
      </c>
      <c r="G43" s="117">
        <f>TRONGTAM_a(E43,THDL!$CK$10,THDL!$CK$16,N43,P43,R43,T43,V43,O43,Q43,S43,U43,W43,0)</f>
        <v>48</v>
      </c>
      <c r="H43" s="117">
        <f>TRONGTAM_a(E43,THDL!$CK$15,THDL!$CK$16,AF43,AH43,AJ43,AL43,AN43,AG43,AI43,AK43,AM43,AO43,0)</f>
        <v>118</v>
      </c>
      <c r="I43" s="118">
        <f>VLOOKUP(C43,NoiLuc!A:K,6,0)</f>
        <v>-11.7893571853638</v>
      </c>
      <c r="J43" s="118">
        <f>VLOOKUP(C43,NoiLuc!A:K,7,0)</f>
        <v>0.37499999999999201</v>
      </c>
      <c r="K43" s="73">
        <f>_xll.Slab_Function(THDL!$CK$2,E43,F43,G43,H43,I43,THDL!$CN$5,THDL!$CQ$4,THDL!$CQ$5,THDL!$CQ$6,THDL!$CQ$10,THDL!$CQ$11,THDL!$CQ$12,THDL!$CK$6,"Nén",THDL!$CK$7,THDL!$CT$3,THDL!$CT$13,THDL!$CT$16,THDL!$CT$17,THDL!$CT$18,THDL!$CQ$3*THDL!$CQ$4,THDL!$CQ$3,THDL!$CQ$9*THDL!$CQ$10,THDL!$CQ$9,N43,O43,P43,Q43,R43,S43,T43,U43,V43,W43,THDL!$CK$11,8,"Mu",AF43,AG43,AH43,AI43,AJ43,AK43,AL43,AM43,AN43,AO43)</f>
        <v>254.4860544024971</v>
      </c>
      <c r="L43" s="118">
        <f>_xll.Beam_Function(THDL!$CK$2,"Asn",E43,F43,G43,H43,ABS(I43),THDL!$CN$5,THDL!$CQ$10,THDL!$CQ$11,THDL!$CQ$12,THDL!$CK$6,"Nén",THDL!$CK$7,THDL!$CT$3,THDL!$CT$13,THDL!$CT$16,THDL!$CT$17,THDL!$CT$18,THDL!$CQ$10*THDL!$CQ$9,THDL!$CQ$9,X43,AP43)</f>
        <v>0</v>
      </c>
      <c r="M43" s="118">
        <f>_xll.Beam_Function(THDL!$CK$2,"Ask",E43,F43,G43,H43,ABS(I43),THDL!$CN$5,THDL!$CQ$10,THDL!$CQ$11,THDL!$CQ$12,THDL!$CK$6,"Nén",THDL!$CK$7,THDL!$CT$3,THDL!$CT$13,THDL!$CT$16,THDL!$CT$17,THDL!$CT$18,THDL!$CQ$10*THDL!$CQ$9,THDL!$CQ$9,X43,AP43,THDL!$CK$11)</f>
        <v>0.5169536783802009</v>
      </c>
      <c r="N43" s="119">
        <v>12</v>
      </c>
      <c r="O43" s="119">
        <v>150</v>
      </c>
      <c r="P43" s="119"/>
      <c r="Q43" s="119"/>
      <c r="R43" s="119"/>
      <c r="S43" s="119"/>
      <c r="T43" s="119"/>
      <c r="U43" s="119"/>
      <c r="V43" s="119"/>
      <c r="W43" s="119"/>
      <c r="X43" s="120">
        <f t="shared" si="1"/>
        <v>11.30973388671875</v>
      </c>
      <c r="Y43" s="120">
        <f t="shared" si="4"/>
        <v>0.11564145078444529</v>
      </c>
      <c r="Z43" s="120">
        <f t="shared" si="5"/>
        <v>21.877654342563446</v>
      </c>
      <c r="AA43" s="118">
        <f>VLOOKUP(C43,NoiLuc!A:K,8,0)</f>
        <v>181.54824829101599</v>
      </c>
      <c r="AB43" s="118">
        <f>VLOOKUP(C43,NoiLuc!A:K,9,0)</f>
        <v>0.749999999999995</v>
      </c>
      <c r="AC43" s="73">
        <f>_xll.Slab_Function(THDL!$CK$2,E43,F43,H43,G43,AA43,THDL!$CN$5,THDL!$CQ$4,THDL!$CQ$5,THDL!$CQ$6,THDL!$CQ$10,THDL!$CQ$11,THDL!$CQ$12,THDL!$CK$6,"Nén",THDL!$CK$7,THDL!$CT$3,THDL!$CT$13,THDL!$CT$16,THDL!$CT$17,THDL!$CT$18,THDL!$CQ$3*THDL!$CQ$4,THDL!$CQ$3,THDL!$CQ$9*THDL!$CQ$10,THDL!$CQ$9,AF43,AG43,AH43,AI43,AJ43,AK43,AL43,AM43,AN43,AO43,THDL!$CK$11,8,"Mu",N43,O43,P43,Q43,R43,S43,T43,U43,V43,W43)</f>
        <v>337.46426184034419</v>
      </c>
      <c r="AD43" s="121">
        <f>_xll.Beam_Function(THDL!$CK$2,"Asn",E43,F43,H43,G43,ABS(AA43),THDL!$CN$5,THDL!$CQ$10,THDL!$CQ$11,THDL!$CQ$12,THDL!$CK$6,"Nén",THDL!$CK$7,THDL!$CT$3,THDL!$CT$13,THDL!$CT$16,THDL!$CT$17,THDL!$CT$18,THDL!$CQ$10*THDL!$CQ$9,THDL!$CQ$9,AP43,X43)</f>
        <v>0</v>
      </c>
      <c r="AE43" s="121">
        <f>_xll.Beam_Function(THDL!$CK$2,"Ask",E43,F43,H43,G43,ABS(AA43),THDL!$CN$5,THDL!$CQ$10,THDL!$CQ$11,THDL!$CQ$12,THDL!$CK$6,"Nén",THDL!$CK$7,THDL!$CT$3,THDL!$CT$13,THDL!$CT$16,THDL!$CT$17,THDL!$CT$18,THDL!$CQ$10*THDL!$CQ$9,THDL!$CQ$9,AP43,X43,THDL!$CK$11)</f>
        <v>9.025137087424639</v>
      </c>
      <c r="AF43" s="119">
        <v>12</v>
      </c>
      <c r="AG43" s="119">
        <v>100</v>
      </c>
      <c r="AH43" s="119"/>
      <c r="AI43" s="119"/>
      <c r="AJ43" s="119"/>
      <c r="AK43" s="119"/>
      <c r="AL43" s="119"/>
      <c r="AM43" s="119"/>
      <c r="AN43" s="119"/>
      <c r="AO43" s="119"/>
      <c r="AP43" s="120">
        <f t="shared" si="2"/>
        <v>16.964600830078126</v>
      </c>
      <c r="AQ43" s="120">
        <f t="shared" si="6"/>
        <v>0.19432532451406787</v>
      </c>
      <c r="AR43" s="120">
        <f t="shared" si="7"/>
        <v>1.8797056117536544</v>
      </c>
      <c r="AS43" s="77">
        <f>VLOOKUP(C43,NoiLuc!BA:BK,6,0)</f>
        <v>-11.7893571853638</v>
      </c>
      <c r="AT43" s="77">
        <f>VLOOKUP(C43,NoiLuc!AA:AK,6,0)</f>
        <v>-11.7893571853638</v>
      </c>
      <c r="AU43" s="122">
        <f>_xll.Slab_Crack_Function(THDL!$CK$2,"D"&amp;THDL!$CK$17,THDL!$CK$7,ABS(I43),ABS(AS43),ABS(AT43),ABS(AS43),E43,F43,G43,H43,X43,AP43,N43,O43,P43,Q43,R43,S43,T43,U43,V43,W43,THDL!$CN$6,THDL!$CN$8,THDL!$CN$9,THDL!$CQ$6,THDL!$CQ$12,THDL!$CT$6,THDL!$CT$9,THDL!$CT$19,THDL!$CT$20,THDL!$CT$21,THDL!$CT$22,THDL!$CT$23,THDL!$CT$24,THDL!$CT$25,THDL!$CK$21,THDL!$CQ$4*THDL!$CQ$3)</f>
        <v>0</v>
      </c>
      <c r="AV43" s="122">
        <f>_xll.Slab_Crack_Function(THDL!$CK$2,"N"&amp;THDL!$CK$17,THDL!$CK$7,ABS(I43),ABS(AS43),ABS(AT43),ABS(AS43),E43,F43,G43,H43,X43,AP43,N43,O43,P43,Q43,R43,S43,T43,U43,V43,W43,THDL!$CN$6,THDL!$CN$8,THDL!$CN$9,THDL!$CQ$6,THDL!$CQ$12,THDL!$CT$6,THDL!$CT$9,THDL!$CT$19,THDL!$CT$20,THDL!$CT$21,THDL!$CT$22,THDL!$CT$23,THDL!$CT$24,THDL!$CT$25,THDL!$CK$21,THDL!$CQ$4*THDL!$CQ$3)</f>
        <v>0</v>
      </c>
      <c r="AW43" s="122" t="str">
        <f>IF(AND(AU43&lt;=THDL!$CK$8,AV43&lt;=THDL!$CK$9),"OK","FAIL")</f>
        <v>OK</v>
      </c>
      <c r="AX43" s="77">
        <f>VLOOKUP(C43,NoiLuc!BA:BK,8,0)</f>
        <v>181.54824829101599</v>
      </c>
      <c r="AY43" s="77">
        <f>VLOOKUP(C43,NoiLuc!AA:AK,8,0)</f>
        <v>181.54824829101599</v>
      </c>
      <c r="AZ43" s="122">
        <f>_xll.Slab_Crack_Function(THDL!$CK$2,"D"&amp;THDL!$CK$17,THDL!$CK$7,ABS(AA43),ABS(AX43),ABS(AY43),ABS(AX43),E43,F43,H43,G43,AP43,X43,AF43,AG43,AH43,AI43,AJ43,AK43,AL43,AM43,AN43,AO43,THDL!$CN$6,THDL!$CN$8,THDL!$CN$9,THDL!$CQ$6,THDL!$CQ$12,THDL!$CT$6,THDL!$CT$9,THDL!$CT$19,THDL!$CT$20,THDL!$CT$21,THDL!$CT$22,THDL!$CT$23,THDL!$CT$24,THDL!$CT$25,THDL!$CK$21,THDL!$CQ$4*THDL!$CQ$3)</f>
        <v>0</v>
      </c>
      <c r="BA43" s="122">
        <f>_xll.Slab_Crack_Function(THDL!$CK$2,"N"&amp;THDL!$CK$17,THDL!$CK$7,ABS(AA43),ABS(AX43),ABS(AY43),ABS(AX43),E43,F43,H43,G43,AP43,X43,AF43,AG43,AH43,AI43,AJ43,AK43,AL43,AM43,AN43,AO43,THDL!$CN$6,THDL!$CN$8,THDL!$CN$9,THDL!$CQ$6,THDL!$CQ$12,THDL!$CT$6,THDL!$CT$9,THDL!$CT$19,THDL!$CT$20,THDL!$CT$21,THDL!$CT$22,THDL!$CT$23,THDL!$CT$24,THDL!$CT$25,THDL!$CK$21,THDL!$CQ$4*THDL!$CQ$3)</f>
        <v>0</v>
      </c>
      <c r="BB43" s="122" t="str">
        <f>IF(AND(AZ43&lt;=THDL!$CK$8,BA43&lt;=THDL!$CK$9),"OK","FAIL")</f>
        <v>OK</v>
      </c>
      <c r="BC43" s="123">
        <f>VLOOKUP(C43,NoiLuc!A:K,10,0)</f>
        <v>466.34515380859398</v>
      </c>
      <c r="BD43" s="124">
        <f>_xll.Foundation_TinhHeSoCChiuCat(E43,F43,MAX(G43,H43),BM43,BN43,BO43,BP43,BF43,BC43,THDL!$CK$18,THDL!$CK$19)</f>
        <v>1.5</v>
      </c>
      <c r="BE43" s="125">
        <f t="shared" si="8"/>
        <v>873</v>
      </c>
      <c r="BF43" s="123">
        <f>THDL!$CN$7</f>
        <v>1.05</v>
      </c>
      <c r="BG43" s="123">
        <f t="shared" si="9"/>
        <v>916.65000000000009</v>
      </c>
      <c r="BH43" s="123">
        <f t="shared" si="10"/>
        <v>916.65000000000009</v>
      </c>
      <c r="BI43" s="126" t="str">
        <f t="shared" si="11"/>
        <v>OK</v>
      </c>
      <c r="BJ43" s="123">
        <f t="shared" si="12"/>
        <v>0</v>
      </c>
      <c r="BK43" s="127">
        <f t="shared" si="13"/>
        <v>1.5</v>
      </c>
      <c r="BL43" s="125">
        <f t="shared" si="14"/>
        <v>873</v>
      </c>
      <c r="BM43" s="128">
        <f t="shared" si="15"/>
        <v>2</v>
      </c>
      <c r="BN43" s="128">
        <f t="shared" si="16"/>
        <v>12</v>
      </c>
      <c r="BO43" s="128">
        <f t="shared" si="17"/>
        <v>100</v>
      </c>
      <c r="BP43" s="123">
        <f>IF(BN43&gt;8,THDL!$CQ$16,THDL!$CQ$15)</f>
        <v>280</v>
      </c>
      <c r="BQ43" s="123" t="str">
        <f t="shared" si="18"/>
        <v/>
      </c>
      <c r="BR43" s="123" t="str">
        <f t="shared" si="19"/>
        <v/>
      </c>
      <c r="BS43" s="123" t="str">
        <f t="shared" si="20"/>
        <v/>
      </c>
    </row>
    <row r="44" spans="1:71">
      <c r="A44" s="129" t="s">
        <v>333</v>
      </c>
      <c r="B44" s="70" t="str">
        <f t="shared" si="3"/>
        <v>M8</v>
      </c>
      <c r="C44" s="71" t="str">
        <f>IFERROR(VLOOKUP(A44,BanVe!A:AH,34,0),0)</f>
        <v>CSA8</v>
      </c>
      <c r="D44" s="71" t="str">
        <f>IFERROR(IF(UPPER(VLOOKUP(A44,BanVe!A:B,2,0))="STRIPA","STRIP A",IF(UPPER(VLOOKUP(A44,BanVe!A:B,2,0))="STRIPB","STRIP B","KXD")),"KXD")</f>
        <v>STRIP A</v>
      </c>
      <c r="E44" s="71">
        <f>VLOOKUP(C44,NoiLuc!A:K,4,0)</f>
        <v>1500</v>
      </c>
      <c r="F44" s="70">
        <v>700</v>
      </c>
      <c r="G44" s="72">
        <f>TRONGTAM_a(E44,THDL!$CK$10,THDL!$CK$16,N44,P44,R44,T44,V44,O44,Q44,S44,U44,W44,0)</f>
        <v>48</v>
      </c>
      <c r="H44" s="72">
        <f>TRONGTAM_a(E44,THDL!$CK$15,THDL!$CK$16,AF44,AH44,AJ44,AL44,AN44,AG44,AI44,AK44,AM44,AO44,0)</f>
        <v>118</v>
      </c>
      <c r="I44" s="73">
        <f>VLOOKUP(C44,NoiLuc!A:K,6,0)</f>
        <v>-35.954181671142599</v>
      </c>
      <c r="J44" s="73">
        <f>VLOOKUP(C44,NoiLuc!A:K,7,0)</f>
        <v>0.37499999999998401</v>
      </c>
      <c r="K44" s="73">
        <f>_xll.Slab_Function(THDL!$CK$2,E44,F44,G44,H44,I44,THDL!$CN$5,THDL!$CQ$4,THDL!$CQ$5,THDL!$CQ$6,THDL!$CQ$10,THDL!$CQ$11,THDL!$CQ$12,THDL!$CK$6,"Nén",THDL!$CK$7,THDL!$CT$3,THDL!$CT$13,THDL!$CT$16,THDL!$CT$17,THDL!$CT$18,THDL!$CQ$3*THDL!$CQ$4,THDL!$CQ$3,THDL!$CQ$9*THDL!$CQ$10,THDL!$CQ$9,N44,O44,P44,Q44,R44,S44,T44,U44,V44,W44,THDL!$CK$11,8,"Mu",AF44,AG44,AH44,AI44,AJ44,AK44,AL44,AM44,AN44,AO44)</f>
        <v>254.4860544024971</v>
      </c>
      <c r="L44" s="73">
        <f>_xll.Beam_Function(THDL!$CK$2,"Asn",E44,F44,G44,H44,ABS(I44),THDL!$CN$5,THDL!$CQ$10,THDL!$CQ$11,THDL!$CQ$12,THDL!$CK$6,"Nén",THDL!$CK$7,THDL!$CT$3,THDL!$CT$13,THDL!$CT$16,THDL!$CT$17,THDL!$CT$18,THDL!$CQ$10*THDL!$CQ$9,THDL!$CQ$9,X44,AP44)</f>
        <v>0</v>
      </c>
      <c r="M44" s="73">
        <f>_xll.Beam_Function(THDL!$CK$2,"Ask",E44,F44,G44,H44,ABS(I44),THDL!$CN$5,THDL!$CQ$10,THDL!$CQ$11,THDL!$CQ$12,THDL!$CK$6,"Nén",THDL!$CK$7,THDL!$CT$3,THDL!$CT$13,THDL!$CT$16,THDL!$CT$17,THDL!$CT$18,THDL!$CQ$10*THDL!$CQ$9,THDL!$CQ$9,X44,AP44,THDL!$CK$11)</f>
        <v>1.5786310615103212</v>
      </c>
      <c r="N44" s="74">
        <v>12</v>
      </c>
      <c r="O44" s="74">
        <v>150</v>
      </c>
      <c r="P44" s="74"/>
      <c r="Q44" s="74"/>
      <c r="R44" s="74"/>
      <c r="S44" s="74"/>
      <c r="T44" s="74"/>
      <c r="U44" s="74"/>
      <c r="V44" s="74"/>
      <c r="W44" s="74"/>
      <c r="X44" s="75">
        <f t="shared" si="1"/>
        <v>11.30973388671875</v>
      </c>
      <c r="Y44" s="75">
        <f t="shared" si="4"/>
        <v>0.11564145078444529</v>
      </c>
      <c r="Z44" s="75">
        <f t="shared" si="5"/>
        <v>7.1642666627238452</v>
      </c>
      <c r="AA44" s="73">
        <f>VLOOKUP(C44,NoiLuc!A:K,8,0)</f>
        <v>143.26818847656301</v>
      </c>
      <c r="AB44" s="73">
        <f>VLOOKUP(C44,NoiLuc!A:K,9,0)</f>
        <v>0.750000000000003</v>
      </c>
      <c r="AC44" s="73">
        <f>_xll.Slab_Function(THDL!$CK$2,E44,F44,H44,G44,AA44,THDL!$CN$5,THDL!$CQ$4,THDL!$CQ$5,THDL!$CQ$6,THDL!$CQ$10,THDL!$CQ$11,THDL!$CQ$12,THDL!$CK$6,"Nén",THDL!$CK$7,THDL!$CT$3,THDL!$CT$13,THDL!$CT$16,THDL!$CT$17,THDL!$CT$18,THDL!$CQ$3*THDL!$CQ$4,THDL!$CQ$3,THDL!$CQ$9*THDL!$CQ$10,THDL!$CQ$9,AF44,AG44,AH44,AI44,AJ44,AK44,AL44,AM44,AN44,AO44,THDL!$CK$11,8,"Mu",N44,O44,P44,Q44,R44,S44,T44,U44,V44,W44)</f>
        <v>337.46426184034419</v>
      </c>
      <c r="AD44" s="76">
        <f>_xll.Beam_Function(THDL!$CK$2,"Asn",E44,F44,H44,G44,ABS(AA44),THDL!$CN$5,THDL!$CQ$10,THDL!$CQ$11,THDL!$CQ$12,THDL!$CK$6,"Nén",THDL!$CK$7,THDL!$CT$3,THDL!$CT$13,THDL!$CT$16,THDL!$CT$17,THDL!$CT$18,THDL!$CQ$10*THDL!$CQ$9,THDL!$CQ$9,AP44,X44)</f>
        <v>0</v>
      </c>
      <c r="AE44" s="76">
        <f>_xll.Beam_Function(THDL!$CK$2,"Ask",E44,F44,H44,G44,ABS(AA44),THDL!$CN$5,THDL!$CQ$10,THDL!$CQ$11,THDL!$CQ$12,THDL!$CK$6,"Nén",THDL!$CK$7,THDL!$CT$3,THDL!$CT$13,THDL!$CT$16,THDL!$CT$17,THDL!$CT$18,THDL!$CQ$10*THDL!$CQ$9,THDL!$CQ$9,AP44,X44,THDL!$CK$11)</f>
        <v>7.1030435824544131</v>
      </c>
      <c r="AF44" s="74">
        <v>12</v>
      </c>
      <c r="AG44" s="74">
        <v>100</v>
      </c>
      <c r="AH44" s="74"/>
      <c r="AI44" s="74"/>
      <c r="AJ44" s="74"/>
      <c r="AK44" s="74"/>
      <c r="AL44" s="74"/>
      <c r="AM44" s="74"/>
      <c r="AN44" s="74"/>
      <c r="AO44" s="74"/>
      <c r="AP44" s="75">
        <f t="shared" si="2"/>
        <v>16.964600830078126</v>
      </c>
      <c r="AQ44" s="75">
        <f t="shared" si="6"/>
        <v>0.19432532451406787</v>
      </c>
      <c r="AR44" s="75">
        <f t="shared" si="7"/>
        <v>2.3883565732277421</v>
      </c>
      <c r="AS44" s="77">
        <f>VLOOKUP(C44,NoiLuc!BA:BK,6,0)</f>
        <v>-35.954181671142599</v>
      </c>
      <c r="AT44" s="77">
        <f>VLOOKUP(C44,NoiLuc!AA:AK,6,0)</f>
        <v>-35.954181671142599</v>
      </c>
      <c r="AU44" s="77">
        <f>_xll.Slab_Crack_Function(THDL!$CK$2,"D"&amp;THDL!$CK$17,THDL!$CK$7,ABS(I44),ABS(AS44),ABS(AT44),ABS(AS44),E44,F44,G44,H44,X44,AP44,N44,O44,P44,Q44,R44,S44,T44,U44,V44,W44,THDL!$CN$6,THDL!$CN$8,THDL!$CN$9,THDL!$CQ$6,THDL!$CQ$12,THDL!$CT$6,THDL!$CT$9,THDL!$CT$19,THDL!$CT$20,THDL!$CT$21,THDL!$CT$22,THDL!$CT$23,THDL!$CT$24,THDL!$CT$25,THDL!$CK$21,THDL!$CQ$4*THDL!$CQ$3)</f>
        <v>0</v>
      </c>
      <c r="AV44" s="77">
        <f>_xll.Slab_Crack_Function(THDL!$CK$2,"N"&amp;THDL!$CK$17,THDL!$CK$7,ABS(I44),ABS(AS44),ABS(AT44),ABS(AS44),E44,F44,G44,H44,X44,AP44,N44,O44,P44,Q44,R44,S44,T44,U44,V44,W44,THDL!$CN$6,THDL!$CN$8,THDL!$CN$9,THDL!$CQ$6,THDL!$CQ$12,THDL!$CT$6,THDL!$CT$9,THDL!$CT$19,THDL!$CT$20,THDL!$CT$21,THDL!$CT$22,THDL!$CT$23,THDL!$CT$24,THDL!$CT$25,THDL!$CK$21,THDL!$CQ$4*THDL!$CQ$3)</f>
        <v>0</v>
      </c>
      <c r="AW44" s="77" t="str">
        <f>IF(AND(AU44&lt;=THDL!$CK$8,AV44&lt;=THDL!$CK$9),"OK","FAIL")</f>
        <v>OK</v>
      </c>
      <c r="AX44" s="77">
        <f>VLOOKUP(C44,NoiLuc!BA:BK,8,0)</f>
        <v>143.26818847656301</v>
      </c>
      <c r="AY44" s="77">
        <f>VLOOKUP(C44,NoiLuc!AA:AK,8,0)</f>
        <v>143.26818847656301</v>
      </c>
      <c r="AZ44" s="77">
        <f>_xll.Slab_Crack_Function(THDL!$CK$2,"D"&amp;THDL!$CK$17,THDL!$CK$7,ABS(AA44),ABS(AX44),ABS(AY44),ABS(AX44),E44,F44,H44,G44,AP44,X44,AF44,AG44,AH44,AI44,AJ44,AK44,AL44,AM44,AN44,AO44,THDL!$CN$6,THDL!$CN$8,THDL!$CN$9,THDL!$CQ$6,THDL!$CQ$12,THDL!$CT$6,THDL!$CT$9,THDL!$CT$19,THDL!$CT$20,THDL!$CT$21,THDL!$CT$22,THDL!$CT$23,THDL!$CT$24,THDL!$CT$25,THDL!$CK$21,THDL!$CQ$4*THDL!$CQ$3)</f>
        <v>0</v>
      </c>
      <c r="BA44" s="77">
        <f>_xll.Slab_Crack_Function(THDL!$CK$2,"N"&amp;THDL!$CK$17,THDL!$CK$7,ABS(AA44),ABS(AX44),ABS(AY44),ABS(AX44),E44,F44,H44,G44,AP44,X44,AF44,AG44,AH44,AI44,AJ44,AK44,AL44,AM44,AN44,AO44,THDL!$CN$6,THDL!$CN$8,THDL!$CN$9,THDL!$CQ$6,THDL!$CQ$12,THDL!$CT$6,THDL!$CT$9,THDL!$CT$19,THDL!$CT$20,THDL!$CT$21,THDL!$CT$22,THDL!$CT$23,THDL!$CT$24,THDL!$CT$25,THDL!$CK$21,THDL!$CQ$4*THDL!$CQ$3)</f>
        <v>0</v>
      </c>
      <c r="BB44" s="77" t="str">
        <f>IF(AND(AZ44&lt;=THDL!$CK$8,BA44&lt;=THDL!$CK$9),"OK","FAIL")</f>
        <v>OK</v>
      </c>
      <c r="BC44" s="78">
        <f>VLOOKUP(C44,NoiLuc!A:K,10,0)</f>
        <v>473.89276123046898</v>
      </c>
      <c r="BD44" s="79">
        <f>_xll.Foundation_TinhHeSoCChiuCat(E44,F44,MAX(G44,H44),BM44,BN44,BO44,BP44,BF44,BC44,THDL!$CK$18,THDL!$CK$19)</f>
        <v>1.5</v>
      </c>
      <c r="BE44" s="80">
        <f t="shared" si="8"/>
        <v>873</v>
      </c>
      <c r="BF44" s="78">
        <f>THDL!$CN$7</f>
        <v>1.05</v>
      </c>
      <c r="BG44" s="78">
        <f t="shared" si="9"/>
        <v>916.65000000000009</v>
      </c>
      <c r="BH44" s="78">
        <f t="shared" si="10"/>
        <v>916.65000000000009</v>
      </c>
      <c r="BI44" s="81" t="str">
        <f t="shared" si="11"/>
        <v>OK</v>
      </c>
      <c r="BJ44" s="78">
        <f t="shared" si="12"/>
        <v>0</v>
      </c>
      <c r="BK44" s="82">
        <f t="shared" si="13"/>
        <v>1.5</v>
      </c>
      <c r="BL44" s="80">
        <f t="shared" si="14"/>
        <v>873</v>
      </c>
      <c r="BM44" s="83">
        <f t="shared" si="15"/>
        <v>2</v>
      </c>
      <c r="BN44" s="83">
        <f t="shared" si="16"/>
        <v>12</v>
      </c>
      <c r="BO44" s="83">
        <f t="shared" si="17"/>
        <v>100</v>
      </c>
      <c r="BP44" s="78">
        <f>IF(BN44&gt;8,THDL!$CQ$16,THDL!$CQ$15)</f>
        <v>280</v>
      </c>
      <c r="BQ44" s="78" t="str">
        <f t="shared" si="18"/>
        <v/>
      </c>
      <c r="BR44" s="78" t="str">
        <f t="shared" si="19"/>
        <v/>
      </c>
      <c r="BS44" s="78" t="str">
        <f t="shared" si="20"/>
        <v/>
      </c>
    </row>
    <row r="45" spans="1:71">
      <c r="A45" s="84" t="s">
        <v>336</v>
      </c>
      <c r="B45" s="85" t="str">
        <f t="shared" si="3"/>
        <v>M8</v>
      </c>
      <c r="C45" s="86" t="str">
        <f>IFERROR(VLOOKUP(A45,BanVe!A:AH,34,0),0)</f>
        <v>CSB6</v>
      </c>
      <c r="D45" s="71" t="str">
        <f>IFERROR(IF(UPPER(VLOOKUP(A45,BanVe!A:B,2,0))="STRIPA","STRIP A",IF(UPPER(VLOOKUP(A45,BanVe!A:B,2,0))="STRIPB","STRIP B","KXD")),"KXD")</f>
        <v>STRIP B</v>
      </c>
      <c r="E45" s="86">
        <f>VLOOKUP(C45,NoiLuc!A:K,4,0)</f>
        <v>1500</v>
      </c>
      <c r="F45" s="85">
        <v>700</v>
      </c>
      <c r="G45" s="87">
        <f>TRONGTAM_a(E45,THDL!$CK$10,THDL!$CK$16,N45,P45,R45,T45,V45,O45,Q45,S45,U45,W45,0)</f>
        <v>48</v>
      </c>
      <c r="H45" s="87">
        <f>TRONGTAM_a(E45,THDL!$CK$15,THDL!$CK$16,AF45,AH45,AJ45,AL45,AN45,AG45,AI45,AK45,AM45,AO45,0)</f>
        <v>118</v>
      </c>
      <c r="I45" s="88">
        <f>VLOOKUP(C45,NoiLuc!A:K,6,0)</f>
        <v>-23.552583694458001</v>
      </c>
      <c r="J45" s="88">
        <f>VLOOKUP(C45,NoiLuc!A:K,7,0)</f>
        <v>0.37499999999999301</v>
      </c>
      <c r="K45" s="73">
        <f>_xll.Slab_Function(THDL!$CK$2,E45,F45,G45,H45,I45,THDL!$CN$5,THDL!$CQ$4,THDL!$CQ$5,THDL!$CQ$6,THDL!$CQ$10,THDL!$CQ$11,THDL!$CQ$12,THDL!$CK$6,"Nén",THDL!$CK$7,THDL!$CT$3,THDL!$CT$13,THDL!$CT$16,THDL!$CT$17,THDL!$CT$18,THDL!$CQ$3*THDL!$CQ$4,THDL!$CQ$3,THDL!$CQ$9*THDL!$CQ$10,THDL!$CQ$9,N45,O45,P45,Q45,R45,S45,T45,U45,V45,W45,THDL!$CK$11,8,"Mu",AF45,AG45,AH45,AI45,AJ45,AK45,AL45,AM45,AN45,AO45)</f>
        <v>254.4860544024971</v>
      </c>
      <c r="L45" s="88">
        <f>_xll.Beam_Function(THDL!$CK$2,"Asn",E45,F45,G45,H45,ABS(I45),THDL!$CN$5,THDL!$CQ$10,THDL!$CQ$11,THDL!$CQ$12,THDL!$CK$6,"Nén",THDL!$CK$7,THDL!$CT$3,THDL!$CT$13,THDL!$CT$16,THDL!$CT$17,THDL!$CT$18,THDL!$CQ$10*THDL!$CQ$9,THDL!$CQ$9,X45,AP45)</f>
        <v>0</v>
      </c>
      <c r="M45" s="88">
        <f>_xll.Beam_Function(THDL!$CK$2,"Ask",E45,F45,G45,H45,ABS(I45),THDL!$CN$5,THDL!$CQ$10,THDL!$CQ$11,THDL!$CQ$12,THDL!$CK$6,"Nén",THDL!$CK$7,THDL!$CT$3,THDL!$CT$13,THDL!$CT$16,THDL!$CT$17,THDL!$CT$18,THDL!$CQ$10*THDL!$CQ$9,THDL!$CQ$9,X45,AP45,THDL!$CK$11)</f>
        <v>1.0334206125478866</v>
      </c>
      <c r="N45" s="89">
        <v>12</v>
      </c>
      <c r="O45" s="89">
        <v>150</v>
      </c>
      <c r="P45" s="89"/>
      <c r="Q45" s="89"/>
      <c r="R45" s="89"/>
      <c r="S45" s="89"/>
      <c r="T45" s="89"/>
      <c r="U45" s="89"/>
      <c r="V45" s="89"/>
      <c r="W45" s="89"/>
      <c r="X45" s="90">
        <f t="shared" si="1"/>
        <v>11.30973388671875</v>
      </c>
      <c r="Y45" s="90">
        <f t="shared" si="4"/>
        <v>0.11564145078444529</v>
      </c>
      <c r="Z45" s="90">
        <f t="shared" si="5"/>
        <v>10.943979391735501</v>
      </c>
      <c r="AA45" s="88">
        <f>VLOOKUP(C45,NoiLuc!A:K,8,0)</f>
        <v>168.81266784668</v>
      </c>
      <c r="AB45" s="88">
        <f>VLOOKUP(C45,NoiLuc!A:K,9,0)</f>
        <v>0.75</v>
      </c>
      <c r="AC45" s="73">
        <f>_xll.Slab_Function(THDL!$CK$2,E45,F45,H45,G45,AA45,THDL!$CN$5,THDL!$CQ$4,THDL!$CQ$5,THDL!$CQ$6,THDL!$CQ$10,THDL!$CQ$11,THDL!$CQ$12,THDL!$CK$6,"Nén",THDL!$CK$7,THDL!$CT$3,THDL!$CT$13,THDL!$CT$16,THDL!$CT$17,THDL!$CT$18,THDL!$CQ$3*THDL!$CQ$4,THDL!$CQ$3,THDL!$CQ$9*THDL!$CQ$10,THDL!$CQ$9,AF45,AG45,AH45,AI45,AJ45,AK45,AL45,AM45,AN45,AO45,THDL!$CK$11,8,"Mu",N45,O45,P45,Q45,R45,S45,T45,U45,V45,W45)</f>
        <v>337.46426184034419</v>
      </c>
      <c r="AD45" s="91">
        <f>_xll.Beam_Function(THDL!$CK$2,"Asn",E45,F45,H45,G45,ABS(AA45),THDL!$CN$5,THDL!$CQ$10,THDL!$CQ$11,THDL!$CQ$12,THDL!$CK$6,"Nén",THDL!$CK$7,THDL!$CT$3,THDL!$CT$13,THDL!$CT$16,THDL!$CT$17,THDL!$CT$18,THDL!$CQ$10*THDL!$CQ$9,THDL!$CQ$9,AP45,X45)</f>
        <v>0</v>
      </c>
      <c r="AE45" s="91">
        <f>_xll.Beam_Function(THDL!$CK$2,"Ask",E45,F45,H45,G45,ABS(AA45),THDL!$CN$5,THDL!$CQ$10,THDL!$CQ$11,THDL!$CQ$12,THDL!$CK$6,"Nén",THDL!$CK$7,THDL!$CT$3,THDL!$CT$13,THDL!$CT$16,THDL!$CT$17,THDL!$CT$18,THDL!$CQ$10*THDL!$CQ$9,THDL!$CQ$9,AP45,X45,THDL!$CK$11)</f>
        <v>8.3845055780951672</v>
      </c>
      <c r="AF45" s="89">
        <v>12</v>
      </c>
      <c r="AG45" s="89">
        <v>100</v>
      </c>
      <c r="AH45" s="89"/>
      <c r="AI45" s="89"/>
      <c r="AJ45" s="89"/>
      <c r="AK45" s="89"/>
      <c r="AL45" s="89"/>
      <c r="AM45" s="89"/>
      <c r="AN45" s="89"/>
      <c r="AO45" s="89"/>
      <c r="AP45" s="90">
        <f t="shared" si="2"/>
        <v>16.964600830078126</v>
      </c>
      <c r="AQ45" s="90">
        <f t="shared" si="6"/>
        <v>0.19432532451406787</v>
      </c>
      <c r="AR45" s="90">
        <f t="shared" si="7"/>
        <v>2.0233275143138765</v>
      </c>
      <c r="AS45" s="77">
        <f>VLOOKUP(C45,NoiLuc!BA:BK,6,0)</f>
        <v>-23.552583694458001</v>
      </c>
      <c r="AT45" s="77">
        <f>VLOOKUP(C45,NoiLuc!AA:AK,6,0)</f>
        <v>-23.552583694458001</v>
      </c>
      <c r="AU45" s="92">
        <f>_xll.Slab_Crack_Function(THDL!$CK$2,"D"&amp;THDL!$CK$17,THDL!$CK$7,ABS(I45),ABS(AS45),ABS(AT45),ABS(AS45),E45,F45,G45,H45,X45,AP45,N45,O45,P45,Q45,R45,S45,T45,U45,V45,W45,THDL!$CN$6,THDL!$CN$8,THDL!$CN$9,THDL!$CQ$6,THDL!$CQ$12,THDL!$CT$6,THDL!$CT$9,THDL!$CT$19,THDL!$CT$20,THDL!$CT$21,THDL!$CT$22,THDL!$CT$23,THDL!$CT$24,THDL!$CT$25,THDL!$CK$21,THDL!$CQ$4*THDL!$CQ$3)</f>
        <v>0</v>
      </c>
      <c r="AV45" s="92">
        <f>_xll.Slab_Crack_Function(THDL!$CK$2,"N"&amp;THDL!$CK$17,THDL!$CK$7,ABS(I45),ABS(AS45),ABS(AT45),ABS(AS45),E45,F45,G45,H45,X45,AP45,N45,O45,P45,Q45,R45,S45,T45,U45,V45,W45,THDL!$CN$6,THDL!$CN$8,THDL!$CN$9,THDL!$CQ$6,THDL!$CQ$12,THDL!$CT$6,THDL!$CT$9,THDL!$CT$19,THDL!$CT$20,THDL!$CT$21,THDL!$CT$22,THDL!$CT$23,THDL!$CT$24,THDL!$CT$25,THDL!$CK$21,THDL!$CQ$4*THDL!$CQ$3)</f>
        <v>0</v>
      </c>
      <c r="AW45" s="92" t="str">
        <f>IF(AND(AU45&lt;=THDL!$CK$8,AV45&lt;=THDL!$CK$9),"OK","FAIL")</f>
        <v>OK</v>
      </c>
      <c r="AX45" s="77">
        <f>VLOOKUP(C45,NoiLuc!BA:BK,8,0)</f>
        <v>168.81266784668</v>
      </c>
      <c r="AY45" s="77">
        <f>VLOOKUP(C45,NoiLuc!AA:AK,8,0)</f>
        <v>168.81266784668</v>
      </c>
      <c r="AZ45" s="92">
        <f>_xll.Slab_Crack_Function(THDL!$CK$2,"D"&amp;THDL!$CK$17,THDL!$CK$7,ABS(AA45),ABS(AX45),ABS(AY45),ABS(AX45),E45,F45,H45,G45,AP45,X45,AF45,AG45,AH45,AI45,AJ45,AK45,AL45,AM45,AN45,AO45,THDL!$CN$6,THDL!$CN$8,THDL!$CN$9,THDL!$CQ$6,THDL!$CQ$12,THDL!$CT$6,THDL!$CT$9,THDL!$CT$19,THDL!$CT$20,THDL!$CT$21,THDL!$CT$22,THDL!$CT$23,THDL!$CT$24,THDL!$CT$25,THDL!$CK$21,THDL!$CQ$4*THDL!$CQ$3)</f>
        <v>0</v>
      </c>
      <c r="BA45" s="92">
        <f>_xll.Slab_Crack_Function(THDL!$CK$2,"N"&amp;THDL!$CK$17,THDL!$CK$7,ABS(AA45),ABS(AX45),ABS(AY45),ABS(AX45),E45,F45,H45,G45,AP45,X45,AF45,AG45,AH45,AI45,AJ45,AK45,AL45,AM45,AN45,AO45,THDL!$CN$6,THDL!$CN$8,THDL!$CN$9,THDL!$CQ$6,THDL!$CQ$12,THDL!$CT$6,THDL!$CT$9,THDL!$CT$19,THDL!$CT$20,THDL!$CT$21,THDL!$CT$22,THDL!$CT$23,THDL!$CT$24,THDL!$CT$25,THDL!$CK$21,THDL!$CQ$4*THDL!$CQ$3)</f>
        <v>0</v>
      </c>
      <c r="BB45" s="92" t="str">
        <f>IF(AND(AZ45&lt;=THDL!$CK$8,BA45&lt;=THDL!$CK$9),"OK","FAIL")</f>
        <v>OK</v>
      </c>
      <c r="BC45" s="93">
        <f>VLOOKUP(C45,NoiLuc!A:K,10,0)</f>
        <v>461.77688598632801</v>
      </c>
      <c r="BD45" s="94">
        <f>_xll.Foundation_TinhHeSoCChiuCat(E45,F45,MAX(G45,H45),BM45,BN45,BO45,BP45,BF45,BC45,THDL!$CK$18,THDL!$CK$19)</f>
        <v>1.5</v>
      </c>
      <c r="BE45" s="95">
        <f t="shared" si="8"/>
        <v>873</v>
      </c>
      <c r="BF45" s="93">
        <f>THDL!$CN$7</f>
        <v>1.05</v>
      </c>
      <c r="BG45" s="93">
        <f t="shared" si="9"/>
        <v>916.65000000000009</v>
      </c>
      <c r="BH45" s="93">
        <f t="shared" si="10"/>
        <v>916.65000000000009</v>
      </c>
      <c r="BI45" s="96" t="str">
        <f t="shared" si="11"/>
        <v>OK</v>
      </c>
      <c r="BJ45" s="93">
        <f t="shared" si="12"/>
        <v>0</v>
      </c>
      <c r="BK45" s="97">
        <f t="shared" si="13"/>
        <v>1.5</v>
      </c>
      <c r="BL45" s="95">
        <f t="shared" si="14"/>
        <v>873</v>
      </c>
      <c r="BM45" s="98">
        <f t="shared" si="15"/>
        <v>2</v>
      </c>
      <c r="BN45" s="98">
        <f t="shared" si="16"/>
        <v>12</v>
      </c>
      <c r="BO45" s="98">
        <f t="shared" si="17"/>
        <v>100</v>
      </c>
      <c r="BP45" s="93">
        <f>IF(BN45&gt;8,THDL!$CQ$16,THDL!$CQ$15)</f>
        <v>280</v>
      </c>
      <c r="BQ45" s="93" t="str">
        <f t="shared" si="18"/>
        <v/>
      </c>
      <c r="BR45" s="93" t="str">
        <f t="shared" si="19"/>
        <v/>
      </c>
      <c r="BS45" s="93" t="str">
        <f t="shared" si="20"/>
        <v/>
      </c>
    </row>
    <row r="46" spans="1:71">
      <c r="A46" s="99" t="s">
        <v>338</v>
      </c>
      <c r="B46" s="100" t="str">
        <f t="shared" si="3"/>
        <v>M9</v>
      </c>
      <c r="C46" s="101" t="str">
        <f>IFERROR(VLOOKUP(A46,BanVe!A:AH,34,0),0)</f>
        <v>CSA9</v>
      </c>
      <c r="D46" s="71" t="str">
        <f>IFERROR(IF(UPPER(VLOOKUP(A46,BanVe!A:B,2,0))="STRIPA","STRIP A",IF(UPPER(VLOOKUP(A46,BanVe!A:B,2,0))="STRIPB","STRIP B","KXD")),"KXD")</f>
        <v>STRIP A</v>
      </c>
      <c r="E46" s="101">
        <f>VLOOKUP(C46,NoiLuc!A:K,4,0)</f>
        <v>1500</v>
      </c>
      <c r="F46" s="100">
        <v>700</v>
      </c>
      <c r="G46" s="102">
        <f>TRONGTAM_a(E46,THDL!$CK$10,THDL!$CK$16,N46,P46,R46,T46,V46,O46,Q46,S46,U46,W46,0)</f>
        <v>48</v>
      </c>
      <c r="H46" s="102">
        <f>TRONGTAM_a(E46,THDL!$CK$15,THDL!$CK$16,AF46,AH46,AJ46,AL46,AN46,AG46,AI46,AK46,AM46,AO46,0)</f>
        <v>121</v>
      </c>
      <c r="I46" s="103">
        <f>VLOOKUP(C46,NoiLuc!A:K,6,0)</f>
        <v>-1</v>
      </c>
      <c r="J46" s="103" t="str">
        <f>VLOOKUP(C46,NoiLuc!A:K,7,0)</f>
        <v>-</v>
      </c>
      <c r="K46" s="73">
        <f>_xll.Slab_Function(THDL!$CK$2,E46,F46,G46,H46,I46,THDL!$CN$5,THDL!$CQ$4,THDL!$CQ$5,THDL!$CQ$6,THDL!$CQ$10,THDL!$CQ$11,THDL!$CQ$12,THDL!$CK$6,"Nén",THDL!$CK$7,THDL!$CT$3,THDL!$CT$13,THDL!$CT$16,THDL!$CT$17,THDL!$CT$18,THDL!$CQ$3*THDL!$CQ$4,THDL!$CQ$3,THDL!$CQ$9*THDL!$CQ$10,THDL!$CQ$9,N46,O46,P46,Q46,R46,S46,T46,U46,V46,W46,THDL!$CK$11,8,"Mu",AF46,AG46,AH46,AI46,AJ46,AK46,AL46,AM46,AN46,AO46)</f>
        <v>254.4860544024971</v>
      </c>
      <c r="L46" s="103">
        <f>_xll.Beam_Function(THDL!$CK$2,"Asn",E46,F46,G46,H46,ABS(I46),THDL!$CN$5,THDL!$CQ$10,THDL!$CQ$11,THDL!$CQ$12,THDL!$CK$6,"Nén",THDL!$CK$7,THDL!$CT$3,THDL!$CT$13,THDL!$CT$16,THDL!$CT$17,THDL!$CT$18,THDL!$CQ$10*THDL!$CQ$9,THDL!$CQ$9,X46,AP46)</f>
        <v>0</v>
      </c>
      <c r="M46" s="103">
        <f>_xll.Beam_Function(THDL!$CK$2,"Ask",E46,F46,G46,H46,ABS(I46),THDL!$CN$5,THDL!$CQ$10,THDL!$CQ$11,THDL!$CQ$12,THDL!$CK$6,"Nén",THDL!$CK$7,THDL!$CT$3,THDL!$CT$13,THDL!$CT$16,THDL!$CT$17,THDL!$CT$18,THDL!$CQ$10*THDL!$CQ$9,THDL!$CQ$9,X46,AP46,THDL!$CK$11)</f>
        <v>4.3823579457415517E-2</v>
      </c>
      <c r="N46" s="104">
        <v>12</v>
      </c>
      <c r="O46" s="104">
        <v>150</v>
      </c>
      <c r="P46" s="104"/>
      <c r="Q46" s="104"/>
      <c r="R46" s="104"/>
      <c r="S46" s="104"/>
      <c r="T46" s="104"/>
      <c r="U46" s="104"/>
      <c r="V46" s="104"/>
      <c r="W46" s="104"/>
      <c r="X46" s="105">
        <f t="shared" si="1"/>
        <v>11.30973388671875</v>
      </c>
      <c r="Y46" s="105">
        <f t="shared" si="4"/>
        <v>0.11564145078444529</v>
      </c>
      <c r="Z46" s="105">
        <f t="shared" si="5"/>
        <v>258.07416981327839</v>
      </c>
      <c r="AA46" s="103">
        <f>VLOOKUP(C46,NoiLuc!A:K,8,0)</f>
        <v>215.76348876953099</v>
      </c>
      <c r="AB46" s="103">
        <f>VLOOKUP(C46,NoiLuc!A:K,9,0)</f>
        <v>0.75</v>
      </c>
      <c r="AC46" s="73">
        <f>_xll.Slab_Function(THDL!$CK$2,E46,F46,H46,G46,AA46,THDL!$CN$5,THDL!$CQ$4,THDL!$CQ$5,THDL!$CQ$6,THDL!$CQ$10,THDL!$CQ$11,THDL!$CQ$12,THDL!$CK$6,"Nén",THDL!$CK$7,THDL!$CT$3,THDL!$CT$13,THDL!$CT$16,THDL!$CT$17,THDL!$CT$18,THDL!$CQ$3*THDL!$CQ$4,THDL!$CQ$3,THDL!$CQ$9*THDL!$CQ$10,THDL!$CQ$9,AF46,AG46,AH46,AI46,AJ46,AK46,AL46,AM46,AN46,AO46,THDL!$CK$11,8,"Mu",N46,O46,P46,Q46,R46,S46,T46,U46,V46,W46)</f>
        <v>452.91829826980074</v>
      </c>
      <c r="AD46" s="106">
        <f>_xll.Beam_Function(THDL!$CK$2,"Asn",E46,F46,H46,G46,ABS(AA46),THDL!$CN$5,THDL!$CQ$10,THDL!$CQ$11,THDL!$CQ$12,THDL!$CK$6,"Nén",THDL!$CK$7,THDL!$CT$3,THDL!$CT$13,THDL!$CT$16,THDL!$CT$17,THDL!$CT$18,THDL!$CQ$10*THDL!$CQ$9,THDL!$CQ$9,AP46,X46)</f>
        <v>0</v>
      </c>
      <c r="AE46" s="106">
        <f>_xll.Beam_Function(THDL!$CK$2,"Ask",E46,F46,H46,G46,ABS(AA46),THDL!$CN$5,THDL!$CQ$10,THDL!$CQ$11,THDL!$CQ$12,THDL!$CK$6,"Nén",THDL!$CK$7,THDL!$CT$3,THDL!$CT$13,THDL!$CT$16,THDL!$CT$17,THDL!$CT$18,THDL!$CQ$10*THDL!$CQ$9,THDL!$CQ$9,AP46,X46,THDL!$CK$11)</f>
        <v>10.809471616417662</v>
      </c>
      <c r="AF46" s="104">
        <v>14</v>
      </c>
      <c r="AG46" s="104">
        <v>100</v>
      </c>
      <c r="AH46" s="104"/>
      <c r="AI46" s="104"/>
      <c r="AJ46" s="104"/>
      <c r="AK46" s="104"/>
      <c r="AL46" s="104"/>
      <c r="AM46" s="104"/>
      <c r="AN46" s="104"/>
      <c r="AO46" s="104"/>
      <c r="AP46" s="105">
        <f t="shared" si="2"/>
        <v>23.09070556640625</v>
      </c>
      <c r="AQ46" s="105">
        <f t="shared" si="6"/>
        <v>0.26586880329771156</v>
      </c>
      <c r="AR46" s="105">
        <f t="shared" si="7"/>
        <v>2.1361548821068719</v>
      </c>
      <c r="AS46" s="77">
        <f>VLOOKUP(C46,NoiLuc!BA:BK,6,0)</f>
        <v>-1</v>
      </c>
      <c r="AT46" s="77">
        <f>VLOOKUP(C46,NoiLuc!AA:AK,6,0)</f>
        <v>-1</v>
      </c>
      <c r="AU46" s="107">
        <f>_xll.Slab_Crack_Function(THDL!$CK$2,"D"&amp;THDL!$CK$17,THDL!$CK$7,ABS(I46),ABS(AS46),ABS(AT46),ABS(AS46),E46,F46,G46,H46,X46,AP46,N46,O46,P46,Q46,R46,S46,T46,U46,V46,W46,THDL!$CN$6,THDL!$CN$8,THDL!$CN$9,THDL!$CQ$6,THDL!$CQ$12,THDL!$CT$6,THDL!$CT$9,THDL!$CT$19,THDL!$CT$20,THDL!$CT$21,THDL!$CT$22,THDL!$CT$23,THDL!$CT$24,THDL!$CT$25,THDL!$CK$21,THDL!$CQ$4*THDL!$CQ$3)</f>
        <v>0</v>
      </c>
      <c r="AV46" s="107">
        <f>_xll.Slab_Crack_Function(THDL!$CK$2,"N"&amp;THDL!$CK$17,THDL!$CK$7,ABS(I46),ABS(AS46),ABS(AT46),ABS(AS46),E46,F46,G46,H46,X46,AP46,N46,O46,P46,Q46,R46,S46,T46,U46,V46,W46,THDL!$CN$6,THDL!$CN$8,THDL!$CN$9,THDL!$CQ$6,THDL!$CQ$12,THDL!$CT$6,THDL!$CT$9,THDL!$CT$19,THDL!$CT$20,THDL!$CT$21,THDL!$CT$22,THDL!$CT$23,THDL!$CT$24,THDL!$CT$25,THDL!$CK$21,THDL!$CQ$4*THDL!$CQ$3)</f>
        <v>0</v>
      </c>
      <c r="AW46" s="107" t="str">
        <f>IF(AND(AU46&lt;=THDL!$CK$8,AV46&lt;=THDL!$CK$9),"OK","FAIL")</f>
        <v>OK</v>
      </c>
      <c r="AX46" s="77">
        <f>VLOOKUP(C46,NoiLuc!BA:BK,8,0)</f>
        <v>215.76348876953099</v>
      </c>
      <c r="AY46" s="77">
        <f>VLOOKUP(C46,NoiLuc!AA:AK,8,0)</f>
        <v>215.76348876953099</v>
      </c>
      <c r="AZ46" s="107">
        <f>_xll.Slab_Crack_Function(THDL!$CK$2,"D"&amp;THDL!$CK$17,THDL!$CK$7,ABS(AA46),ABS(AX46),ABS(AY46),ABS(AX46),E46,F46,H46,G46,AP46,X46,AF46,AG46,AH46,AI46,AJ46,AK46,AL46,AM46,AN46,AO46,THDL!$CN$6,THDL!$CN$8,THDL!$CN$9,THDL!$CQ$6,THDL!$CQ$12,THDL!$CT$6,THDL!$CT$9,THDL!$CT$19,THDL!$CT$20,THDL!$CT$21,THDL!$CT$22,THDL!$CT$23,THDL!$CT$24,THDL!$CT$25,THDL!$CK$21,THDL!$CQ$4*THDL!$CQ$3)</f>
        <v>0</v>
      </c>
      <c r="BA46" s="107">
        <f>_xll.Slab_Crack_Function(THDL!$CK$2,"N"&amp;THDL!$CK$17,THDL!$CK$7,ABS(AA46),ABS(AX46),ABS(AY46),ABS(AX46),E46,F46,H46,G46,AP46,X46,AF46,AG46,AH46,AI46,AJ46,AK46,AL46,AM46,AN46,AO46,THDL!$CN$6,THDL!$CN$8,THDL!$CN$9,THDL!$CQ$6,THDL!$CQ$12,THDL!$CT$6,THDL!$CT$9,THDL!$CT$19,THDL!$CT$20,THDL!$CT$21,THDL!$CT$22,THDL!$CT$23,THDL!$CT$24,THDL!$CT$25,THDL!$CK$21,THDL!$CQ$4*THDL!$CQ$3)</f>
        <v>0</v>
      </c>
      <c r="BB46" s="107" t="str">
        <f>IF(AND(AZ46&lt;=THDL!$CK$8,BA46&lt;=THDL!$CK$9),"OK","FAIL")</f>
        <v>OK</v>
      </c>
      <c r="BC46" s="108">
        <f>VLOOKUP(C46,NoiLuc!A:K,10,0)</f>
        <v>499.53607177734398</v>
      </c>
      <c r="BD46" s="109">
        <f>_xll.Foundation_TinhHeSoCChiuCat(E46,F46,MAX(G46,H46),BM46,BN46,BO46,BP46,BF46,BC46,THDL!$CK$18,THDL!$CK$19)</f>
        <v>1.5</v>
      </c>
      <c r="BE46" s="110">
        <f t="shared" si="8"/>
        <v>868.5</v>
      </c>
      <c r="BF46" s="108">
        <f>THDL!$CN$7</f>
        <v>1.05</v>
      </c>
      <c r="BG46" s="108">
        <f t="shared" si="9"/>
        <v>911.92500000000007</v>
      </c>
      <c r="BH46" s="108">
        <f t="shared" si="10"/>
        <v>911.92500000000007</v>
      </c>
      <c r="BI46" s="111" t="str">
        <f t="shared" si="11"/>
        <v>OK</v>
      </c>
      <c r="BJ46" s="108">
        <f t="shared" si="12"/>
        <v>0</v>
      </c>
      <c r="BK46" s="112">
        <f t="shared" si="13"/>
        <v>1.5</v>
      </c>
      <c r="BL46" s="110">
        <f t="shared" si="14"/>
        <v>868.5</v>
      </c>
      <c r="BM46" s="113">
        <f t="shared" si="15"/>
        <v>2</v>
      </c>
      <c r="BN46" s="113">
        <f t="shared" si="16"/>
        <v>12</v>
      </c>
      <c r="BO46" s="113">
        <f t="shared" si="17"/>
        <v>100</v>
      </c>
      <c r="BP46" s="108">
        <f>IF(BN46&gt;8,THDL!$CQ$16,THDL!$CQ$15)</f>
        <v>280</v>
      </c>
      <c r="BQ46" s="108" t="str">
        <f t="shared" si="18"/>
        <v/>
      </c>
      <c r="BR46" s="108" t="str">
        <f t="shared" si="19"/>
        <v/>
      </c>
      <c r="BS46" s="108" t="str">
        <f t="shared" si="20"/>
        <v/>
      </c>
    </row>
    <row r="47" spans="1:71">
      <c r="A47" s="114" t="s">
        <v>341</v>
      </c>
      <c r="B47" s="115" t="str">
        <f t="shared" si="3"/>
        <v>M9</v>
      </c>
      <c r="C47" s="116" t="str">
        <f>IFERROR(VLOOKUP(A47,BanVe!A:AH,34,0),0)</f>
        <v>CSB7</v>
      </c>
      <c r="D47" s="71" t="str">
        <f>IFERROR(IF(UPPER(VLOOKUP(A47,BanVe!A:B,2,0))="STRIPA","STRIP A",IF(UPPER(VLOOKUP(A47,BanVe!A:B,2,0))="STRIPB","STRIP B","KXD")),"KXD")</f>
        <v>STRIP B</v>
      </c>
      <c r="E47" s="116">
        <f>VLOOKUP(C47,NoiLuc!A:K,4,0)</f>
        <v>1500</v>
      </c>
      <c r="F47" s="115">
        <v>700</v>
      </c>
      <c r="G47" s="117">
        <f>TRONGTAM_a(E47,THDL!$CK$10,THDL!$CK$16,N47,P47,R47,T47,V47,O47,Q47,S47,U47,W47,0)</f>
        <v>48</v>
      </c>
      <c r="H47" s="117">
        <f>TRONGTAM_a(E47,THDL!$CK$15,THDL!$CK$16,AF47,AH47,AJ47,AL47,AN47,AG47,AI47,AK47,AM47,AO47,0)</f>
        <v>118</v>
      </c>
      <c r="I47" s="118">
        <f>VLOOKUP(C47,NoiLuc!A:K,6,0)</f>
        <v>-6.0757889747619602</v>
      </c>
      <c r="J47" s="118">
        <f>VLOOKUP(C47,NoiLuc!A:K,7,0)</f>
        <v>0.374999999999994</v>
      </c>
      <c r="K47" s="73">
        <f>_xll.Slab_Function(THDL!$CK$2,E47,F47,G47,H47,I47,THDL!$CN$5,THDL!$CQ$4,THDL!$CQ$5,THDL!$CQ$6,THDL!$CQ$10,THDL!$CQ$11,THDL!$CQ$12,THDL!$CK$6,"Nén",THDL!$CK$7,THDL!$CT$3,THDL!$CT$13,THDL!$CT$16,THDL!$CT$17,THDL!$CT$18,THDL!$CQ$3*THDL!$CQ$4,THDL!$CQ$3,THDL!$CQ$9*THDL!$CQ$10,THDL!$CQ$9,N47,O47,P47,Q47,R47,S47,T47,U47,V47,W47,THDL!$CK$11,8,"Mu",AF47,AG47,AH47,AI47,AJ47,AK47,AL47,AM47,AN47,AO47)</f>
        <v>254.4860544024971</v>
      </c>
      <c r="L47" s="118">
        <f>_xll.Beam_Function(THDL!$CK$2,"Asn",E47,F47,G47,H47,ABS(I47),THDL!$CN$5,THDL!$CQ$10,THDL!$CQ$11,THDL!$CQ$12,THDL!$CK$6,"Nén",THDL!$CK$7,THDL!$CT$3,THDL!$CT$13,THDL!$CT$16,THDL!$CT$17,THDL!$CT$18,THDL!$CQ$10*THDL!$CQ$9,THDL!$CQ$9,X47,AP47)</f>
        <v>0</v>
      </c>
      <c r="M47" s="118">
        <f>_xll.Beam_Function(THDL!$CK$2,"Ask",E47,F47,G47,H47,ABS(I47),THDL!$CN$5,THDL!$CQ$10,THDL!$CQ$11,THDL!$CQ$12,THDL!$CK$6,"Nén",THDL!$CK$7,THDL!$CT$3,THDL!$CT$13,THDL!$CT$16,THDL!$CT$17,THDL!$CT$18,THDL!$CQ$10*THDL!$CQ$9,THDL!$CQ$9,X47,AP47,THDL!$CK$11)</f>
        <v>0.26633595815763517</v>
      </c>
      <c r="N47" s="119">
        <v>12</v>
      </c>
      <c r="O47" s="119">
        <v>150</v>
      </c>
      <c r="P47" s="119"/>
      <c r="Q47" s="119"/>
      <c r="R47" s="119"/>
      <c r="S47" s="119"/>
      <c r="T47" s="119"/>
      <c r="U47" s="119"/>
      <c r="V47" s="119"/>
      <c r="W47" s="119"/>
      <c r="X47" s="120">
        <f t="shared" si="1"/>
        <v>11.30973388671875</v>
      </c>
      <c r="Y47" s="120">
        <f t="shared" si="4"/>
        <v>0.11564145078444529</v>
      </c>
      <c r="Z47" s="120">
        <f t="shared" si="5"/>
        <v>42.464164301933664</v>
      </c>
      <c r="AA47" s="118">
        <f>VLOOKUP(C47,NoiLuc!A:K,8,0)</f>
        <v>194.77517700195301</v>
      </c>
      <c r="AB47" s="118">
        <f>VLOOKUP(C47,NoiLuc!A:K,9,0)</f>
        <v>0.750000000000004</v>
      </c>
      <c r="AC47" s="73">
        <f>_xll.Slab_Function(THDL!$CK$2,E47,F47,H47,G47,AA47,THDL!$CN$5,THDL!$CQ$4,THDL!$CQ$5,THDL!$CQ$6,THDL!$CQ$10,THDL!$CQ$11,THDL!$CQ$12,THDL!$CK$6,"Nén",THDL!$CK$7,THDL!$CT$3,THDL!$CT$13,THDL!$CT$16,THDL!$CT$17,THDL!$CT$18,THDL!$CQ$3*THDL!$CQ$4,THDL!$CQ$3,THDL!$CQ$9*THDL!$CQ$10,THDL!$CQ$9,AF47,AG47,AH47,AI47,AJ47,AK47,AL47,AM47,AN47,AO47,THDL!$CK$11,8,"Mu",N47,O47,P47,Q47,R47,S47,T47,U47,V47,W47)</f>
        <v>337.46426184034419</v>
      </c>
      <c r="AD47" s="121">
        <f>_xll.Beam_Function(THDL!$CK$2,"Asn",E47,F47,H47,G47,ABS(AA47),THDL!$CN$5,THDL!$CQ$10,THDL!$CQ$11,THDL!$CQ$12,THDL!$CK$6,"Nén",THDL!$CK$7,THDL!$CT$3,THDL!$CT$13,THDL!$CT$16,THDL!$CT$17,THDL!$CT$18,THDL!$CQ$10*THDL!$CQ$9,THDL!$CQ$9,AP47,X47)</f>
        <v>0</v>
      </c>
      <c r="AE47" s="121">
        <f>_xll.Beam_Function(THDL!$CK$2,"Ask",E47,F47,H47,G47,ABS(AA47),THDL!$CN$5,THDL!$CQ$10,THDL!$CQ$11,THDL!$CQ$12,THDL!$CK$6,"Nén",THDL!$CK$7,THDL!$CT$3,THDL!$CT$13,THDL!$CT$16,THDL!$CT$17,THDL!$CT$18,THDL!$CQ$10*THDL!$CQ$9,THDL!$CQ$9,AP47,X47,THDL!$CK$11)</f>
        <v>9.6917189864547897</v>
      </c>
      <c r="AF47" s="119">
        <v>12</v>
      </c>
      <c r="AG47" s="119">
        <v>100</v>
      </c>
      <c r="AH47" s="119"/>
      <c r="AI47" s="119"/>
      <c r="AJ47" s="119"/>
      <c r="AK47" s="119"/>
      <c r="AL47" s="119"/>
      <c r="AM47" s="119"/>
      <c r="AN47" s="119"/>
      <c r="AO47" s="119"/>
      <c r="AP47" s="120">
        <f t="shared" si="2"/>
        <v>16.964600830078126</v>
      </c>
      <c r="AQ47" s="120">
        <f t="shared" si="6"/>
        <v>0.19432532451406787</v>
      </c>
      <c r="AR47" s="120">
        <f t="shared" si="7"/>
        <v>1.7504222784201611</v>
      </c>
      <c r="AS47" s="77">
        <f>VLOOKUP(C47,NoiLuc!BA:BK,6,0)</f>
        <v>-6.0757889747619602</v>
      </c>
      <c r="AT47" s="77">
        <f>VLOOKUP(C47,NoiLuc!AA:AK,6,0)</f>
        <v>-6.0757889747619602</v>
      </c>
      <c r="AU47" s="122">
        <f>_xll.Slab_Crack_Function(THDL!$CK$2,"D"&amp;THDL!$CK$17,THDL!$CK$7,ABS(I47),ABS(AS47),ABS(AT47),ABS(AS47),E47,F47,G47,H47,X47,AP47,N47,O47,P47,Q47,R47,S47,T47,U47,V47,W47,THDL!$CN$6,THDL!$CN$8,THDL!$CN$9,THDL!$CQ$6,THDL!$CQ$12,THDL!$CT$6,THDL!$CT$9,THDL!$CT$19,THDL!$CT$20,THDL!$CT$21,THDL!$CT$22,THDL!$CT$23,THDL!$CT$24,THDL!$CT$25,THDL!$CK$21,THDL!$CQ$4*THDL!$CQ$3)</f>
        <v>0</v>
      </c>
      <c r="AV47" s="122">
        <f>_xll.Slab_Crack_Function(THDL!$CK$2,"N"&amp;THDL!$CK$17,THDL!$CK$7,ABS(I47),ABS(AS47),ABS(AT47),ABS(AS47),E47,F47,G47,H47,X47,AP47,N47,O47,P47,Q47,R47,S47,T47,U47,V47,W47,THDL!$CN$6,THDL!$CN$8,THDL!$CN$9,THDL!$CQ$6,THDL!$CQ$12,THDL!$CT$6,THDL!$CT$9,THDL!$CT$19,THDL!$CT$20,THDL!$CT$21,THDL!$CT$22,THDL!$CT$23,THDL!$CT$24,THDL!$CT$25,THDL!$CK$21,THDL!$CQ$4*THDL!$CQ$3)</f>
        <v>0</v>
      </c>
      <c r="AW47" s="122" t="str">
        <f>IF(AND(AU47&lt;=THDL!$CK$8,AV47&lt;=THDL!$CK$9),"OK","FAIL")</f>
        <v>OK</v>
      </c>
      <c r="AX47" s="77">
        <f>VLOOKUP(C47,NoiLuc!BA:BK,8,0)</f>
        <v>194.77517700195301</v>
      </c>
      <c r="AY47" s="77">
        <f>VLOOKUP(C47,NoiLuc!AA:AK,8,0)</f>
        <v>194.77517700195301</v>
      </c>
      <c r="AZ47" s="122">
        <f>_xll.Slab_Crack_Function(THDL!$CK$2,"D"&amp;THDL!$CK$17,THDL!$CK$7,ABS(AA47),ABS(AX47),ABS(AY47),ABS(AX47),E47,F47,H47,G47,AP47,X47,AF47,AG47,AH47,AI47,AJ47,AK47,AL47,AM47,AN47,AO47,THDL!$CN$6,THDL!$CN$8,THDL!$CN$9,THDL!$CQ$6,THDL!$CQ$12,THDL!$CT$6,THDL!$CT$9,THDL!$CT$19,THDL!$CT$20,THDL!$CT$21,THDL!$CT$22,THDL!$CT$23,THDL!$CT$24,THDL!$CT$25,THDL!$CK$21,THDL!$CQ$4*THDL!$CQ$3)</f>
        <v>0</v>
      </c>
      <c r="BA47" s="122">
        <f>_xll.Slab_Crack_Function(THDL!$CK$2,"N"&amp;THDL!$CK$17,THDL!$CK$7,ABS(AA47),ABS(AX47),ABS(AY47),ABS(AX47),E47,F47,H47,G47,AP47,X47,AF47,AG47,AH47,AI47,AJ47,AK47,AL47,AM47,AN47,AO47,THDL!$CN$6,THDL!$CN$8,THDL!$CN$9,THDL!$CQ$6,THDL!$CQ$12,THDL!$CT$6,THDL!$CT$9,THDL!$CT$19,THDL!$CT$20,THDL!$CT$21,THDL!$CT$22,THDL!$CT$23,THDL!$CT$24,THDL!$CT$25,THDL!$CK$21,THDL!$CQ$4*THDL!$CQ$3)</f>
        <v>0</v>
      </c>
      <c r="BB47" s="122" t="str">
        <f>IF(AND(AZ47&lt;=THDL!$CK$8,BA47&lt;=THDL!$CK$9),"OK","FAIL")</f>
        <v>OK</v>
      </c>
      <c r="BC47" s="123">
        <f>VLOOKUP(C47,NoiLuc!A:K,10,0)</f>
        <v>495.12069702148398</v>
      </c>
      <c r="BD47" s="124">
        <f>_xll.Foundation_TinhHeSoCChiuCat(E47,F47,MAX(G47,H47),BM47,BN47,BO47,BP47,BF47,BC47,THDL!$CK$18,THDL!$CK$19)</f>
        <v>1.5</v>
      </c>
      <c r="BE47" s="125">
        <f t="shared" si="8"/>
        <v>873</v>
      </c>
      <c r="BF47" s="123">
        <f>THDL!$CN$7</f>
        <v>1.05</v>
      </c>
      <c r="BG47" s="123">
        <f t="shared" si="9"/>
        <v>916.65000000000009</v>
      </c>
      <c r="BH47" s="123">
        <f t="shared" si="10"/>
        <v>916.65000000000009</v>
      </c>
      <c r="BI47" s="126" t="str">
        <f t="shared" si="11"/>
        <v>OK</v>
      </c>
      <c r="BJ47" s="123">
        <f t="shared" si="12"/>
        <v>0</v>
      </c>
      <c r="BK47" s="127">
        <f t="shared" si="13"/>
        <v>1.5</v>
      </c>
      <c r="BL47" s="125">
        <f t="shared" si="14"/>
        <v>873</v>
      </c>
      <c r="BM47" s="128">
        <f t="shared" si="15"/>
        <v>2</v>
      </c>
      <c r="BN47" s="128">
        <f t="shared" si="16"/>
        <v>12</v>
      </c>
      <c r="BO47" s="128">
        <f t="shared" si="17"/>
        <v>100</v>
      </c>
      <c r="BP47" s="123">
        <f>IF(BN47&gt;8,THDL!$CQ$16,THDL!$CQ$15)</f>
        <v>280</v>
      </c>
      <c r="BQ47" s="123" t="str">
        <f t="shared" si="18"/>
        <v/>
      </c>
      <c r="BR47" s="123" t="str">
        <f t="shared" si="19"/>
        <v/>
      </c>
      <c r="BS47" s="123" t="str">
        <f t="shared" si="20"/>
        <v/>
      </c>
    </row>
  </sheetData>
  <mergeCells count="18">
    <mergeCell ref="AA1:AR1"/>
    <mergeCell ref="AS1:AW1"/>
    <mergeCell ref="AX1:BB1"/>
    <mergeCell ref="BC1:BI1"/>
    <mergeCell ref="BJ1:BS1"/>
    <mergeCell ref="A2:B2"/>
    <mergeCell ref="K2:Z2"/>
    <mergeCell ref="AC2:AR2"/>
    <mergeCell ref="BD2:BD3"/>
    <mergeCell ref="BJ2:BJ3"/>
    <mergeCell ref="BK2:BK3"/>
    <mergeCell ref="BQ2:BQ3"/>
    <mergeCell ref="BR2:BR3"/>
    <mergeCell ref="BS2:BS3"/>
    <mergeCell ref="A1:B1"/>
    <mergeCell ref="C1:F1"/>
    <mergeCell ref="G1:H1"/>
    <mergeCell ref="I1:Z1"/>
  </mergeCells>
  <conditionalFormatting sqref="C4:C47">
    <cfRule type="duplicateValues" dxfId="10" priority="11"/>
  </conditionalFormatting>
  <conditionalFormatting sqref="Y4:Y47">
    <cfRule type="cellIs" dxfId="9" priority="8" operator="lessThan">
      <formula>0.0001</formula>
    </cfRule>
  </conditionalFormatting>
  <conditionalFormatting sqref="Z4:Z47">
    <cfRule type="cellIs" dxfId="8" priority="10" operator="lessThan">
      <formula>1.045</formula>
    </cfRule>
  </conditionalFormatting>
  <conditionalFormatting sqref="AQ4:AQ47">
    <cfRule type="cellIs" dxfId="7" priority="7" operator="lessThan">
      <formula>0.0001</formula>
    </cfRule>
  </conditionalFormatting>
  <conditionalFormatting sqref="AR4:AR47">
    <cfRule type="cellIs" dxfId="6" priority="9" operator="lessThan">
      <formula>1.045</formula>
    </cfRule>
  </conditionalFormatting>
  <conditionalFormatting sqref="BB4:BB47">
    <cfRule type="cellIs" dxfId="5" priority="6" operator="equal">
      <formula>"FAIL"</formula>
    </cfRule>
  </conditionalFormatting>
  <conditionalFormatting sqref="BS4:BS47">
    <cfRule type="cellIs" dxfId="4" priority="5" operator="equal">
      <formula>"FAIL"</formula>
    </cfRule>
  </conditionalFormatting>
  <pageMargins left="0.70866141732283505" right="0.70866141732283505" top="0.74803149606299202" bottom="0.74803149606299202" header="0.31496062992126" footer="0.31496062992126"/>
  <pageSetup paperSize="9" scale="59" orientation="landscape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greaterThan" id="{EC513F7B-92B8-41D7-8F10-E2C6C0DC6D13}">
            <xm:f>THDL!$CK$8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m:sqref>AU4:AU47</xm:sqref>
        </x14:conditionalFormatting>
        <x14:conditionalFormatting xmlns:xm="http://schemas.microsoft.com/office/excel/2006/main">
          <x14:cfRule type="cellIs" priority="3" operator="greaterThan" id="{2E597B23-A655-43F0-955B-BA9824B4B23F}">
            <xm:f>THDL!$CK$9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m:sqref>AV4:AV47</xm:sqref>
        </x14:conditionalFormatting>
        <x14:conditionalFormatting xmlns:xm="http://schemas.microsoft.com/office/excel/2006/main">
          <x14:cfRule type="cellIs" priority="2" operator="greaterThan" id="{C609B8EA-7012-4D36-8527-248945246CC6}">
            <xm:f>THDL!$CK$8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m:sqref>AZ4:AZ47</xm:sqref>
        </x14:conditionalFormatting>
        <x14:conditionalFormatting xmlns:xm="http://schemas.microsoft.com/office/excel/2006/main">
          <x14:cfRule type="cellIs" priority="1" operator="greaterThan" id="{B3411089-55AD-4EB8-8DF7-B1E6D1141330}">
            <xm:f>THDL!$CK$9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m:sqref>BA4:BA47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  <pageSetUpPr fitToPage="1"/>
  </sheetPr>
  <dimension ref="A1:AS53"/>
  <sheetViews>
    <sheetView view="pageBreakPreview" zoomScaleNormal="85" workbookViewId="0">
      <selection activeCell="AD16" sqref="AD16"/>
    </sheetView>
  </sheetViews>
  <sheetFormatPr defaultColWidth="9.125" defaultRowHeight="12.75"/>
  <cols>
    <col min="1" max="1" width="5.25" style="1" customWidth="1"/>
    <col min="2" max="2" width="6" style="1" customWidth="1"/>
    <col min="3" max="3" width="4.375" style="2" customWidth="1"/>
    <col min="4" max="4" width="3.875" style="2" customWidth="1"/>
    <col min="5" max="5" width="8.25" style="3" customWidth="1"/>
    <col min="6" max="6" width="8.375" style="3" customWidth="1"/>
    <col min="7" max="7" width="4.5" style="4" customWidth="1"/>
    <col min="8" max="8" width="3.75" style="4" customWidth="1"/>
    <col min="9" max="9" width="3.875" style="2" customWidth="1"/>
    <col min="10" max="10" width="4" style="5" customWidth="1"/>
    <col min="11" max="11" width="13.125" style="3" customWidth="1"/>
    <col min="12" max="12" width="4.875" style="4" customWidth="1"/>
    <col min="13" max="13" width="3.75" style="4" customWidth="1"/>
    <col min="14" max="14" width="3.875" style="2" customWidth="1"/>
    <col min="15" max="15" width="4.875" style="5" customWidth="1"/>
    <col min="16" max="16" width="13.125" style="3" customWidth="1"/>
    <col min="17" max="17" width="6.125" style="6" customWidth="1"/>
    <col min="18" max="18" width="5.25" style="7" customWidth="1"/>
    <col min="19" max="20" width="4.875" style="8" customWidth="1"/>
    <col min="21" max="22" width="4.25" style="9" customWidth="1"/>
    <col min="23" max="23" width="5.75" style="8" customWidth="1"/>
    <col min="24" max="25" width="4.875" style="8" customWidth="1"/>
    <col min="26" max="27" width="4.25" style="9" customWidth="1"/>
    <col min="28" max="28" width="5.75" style="8" customWidth="1"/>
    <col min="29" max="29" width="4.875" style="8" customWidth="1"/>
    <col min="30" max="30" width="5.125" style="8" customWidth="1"/>
    <col min="31" max="31" width="4.875" style="10" customWidth="1"/>
    <col min="32" max="32" width="4.25" style="9" customWidth="1"/>
    <col min="33" max="33" width="5.5" style="8" customWidth="1"/>
    <col min="34" max="34" width="4.875" style="8" customWidth="1"/>
    <col min="35" max="35" width="18" style="11" customWidth="1"/>
    <col min="36" max="36" width="7.625" style="8" customWidth="1"/>
    <col min="37" max="37" width="5.125" style="8" customWidth="1"/>
    <col min="38" max="38" width="4.875" style="10" customWidth="1"/>
    <col min="39" max="39" width="1.875" style="10" customWidth="1"/>
    <col min="40" max="40" width="2.625" style="10" customWidth="1"/>
    <col min="41" max="41" width="3.5" style="10" customWidth="1"/>
    <col min="42" max="42" width="4.75" style="10" customWidth="1"/>
    <col min="43" max="43" width="8" style="10" customWidth="1"/>
    <col min="44" max="44" width="7" style="10" customWidth="1"/>
    <col min="45" max="45" width="5.75" style="8" customWidth="1"/>
    <col min="46" max="16384" width="9.125" style="12"/>
  </cols>
  <sheetData>
    <row r="1" spans="1:45" ht="27.75" customHeight="1">
      <c r="A1" s="295" t="s">
        <v>522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295"/>
      <c r="Q1" s="295"/>
      <c r="R1" s="295"/>
      <c r="S1" s="295"/>
      <c r="T1" s="295"/>
      <c r="U1" s="295"/>
      <c r="V1" s="295"/>
      <c r="W1" s="295"/>
      <c r="X1" s="295"/>
      <c r="Y1" s="295"/>
      <c r="Z1" s="295"/>
      <c r="AA1" s="295"/>
      <c r="AB1" s="295"/>
      <c r="AC1" s="295"/>
      <c r="AD1" s="295"/>
      <c r="AE1" s="295"/>
      <c r="AF1" s="295"/>
      <c r="AG1" s="295"/>
      <c r="AH1" s="295"/>
      <c r="AI1" s="295"/>
      <c r="AJ1" s="295"/>
      <c r="AK1" s="295"/>
      <c r="AL1" s="295"/>
      <c r="AM1" s="295"/>
      <c r="AN1" s="295"/>
      <c r="AO1" s="295"/>
      <c r="AP1" s="295"/>
      <c r="AQ1" s="295"/>
      <c r="AR1" s="295"/>
      <c r="AS1" s="295"/>
    </row>
    <row r="2" spans="1:45" ht="14.25">
      <c r="A2" s="296" t="s">
        <v>523</v>
      </c>
      <c r="B2" s="296"/>
      <c r="C2" s="296"/>
      <c r="D2" s="296"/>
      <c r="E2" s="296"/>
      <c r="F2" s="296" t="s">
        <v>203</v>
      </c>
      <c r="G2" s="296"/>
      <c r="H2" s="296"/>
      <c r="I2" s="296"/>
      <c r="J2" s="296"/>
      <c r="K2" s="296"/>
      <c r="L2" s="296" t="s">
        <v>524</v>
      </c>
      <c r="M2" s="296"/>
      <c r="N2" s="296"/>
      <c r="O2" s="296"/>
      <c r="P2" s="297" t="s">
        <v>525</v>
      </c>
      <c r="Q2" s="298"/>
      <c r="R2" s="298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</row>
    <row r="3" spans="1:45" ht="14.25">
      <c r="A3" s="296" t="s">
        <v>526</v>
      </c>
      <c r="B3" s="296"/>
      <c r="C3" s="296"/>
      <c r="D3" s="296"/>
      <c r="E3" s="296"/>
      <c r="F3" s="296" t="s">
        <v>203</v>
      </c>
      <c r="G3" s="296"/>
      <c r="H3" s="296"/>
      <c r="I3" s="296"/>
      <c r="J3" s="296"/>
      <c r="K3" s="296"/>
      <c r="L3" s="296" t="s">
        <v>527</v>
      </c>
      <c r="M3" s="300"/>
      <c r="N3" s="300"/>
      <c r="O3" s="300"/>
      <c r="P3" s="301">
        <f ca="1">TODAY()</f>
        <v>46309</v>
      </c>
      <c r="Q3" s="298"/>
      <c r="R3" s="298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</row>
    <row r="4" spans="1:45" ht="14.25">
      <c r="A4" s="296" t="s">
        <v>528</v>
      </c>
      <c r="B4" s="296"/>
      <c r="C4" s="296"/>
      <c r="D4" s="296"/>
      <c r="E4" s="296"/>
      <c r="F4" s="296" t="s">
        <v>203</v>
      </c>
      <c r="G4" s="296"/>
      <c r="H4" s="296"/>
      <c r="I4" s="296"/>
      <c r="J4" s="296"/>
      <c r="K4" s="296"/>
      <c r="L4" s="296" t="s">
        <v>529</v>
      </c>
      <c r="M4" s="300"/>
      <c r="N4" s="300"/>
      <c r="O4" s="300"/>
      <c r="P4" s="302" t="s">
        <v>203</v>
      </c>
      <c r="Q4" s="298"/>
      <c r="R4" s="298"/>
      <c r="S4" s="299"/>
      <c r="T4" s="299"/>
      <c r="U4" s="299"/>
      <c r="V4" s="299"/>
      <c r="W4" s="299"/>
      <c r="X4" s="299"/>
      <c r="Y4" s="299"/>
      <c r="Z4" s="299"/>
      <c r="AA4" s="299"/>
      <c r="AB4" s="299"/>
      <c r="AC4" s="299"/>
      <c r="AD4" s="299"/>
      <c r="AE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</row>
    <row r="5" spans="1:45" ht="14.25">
      <c r="A5" s="296" t="s">
        <v>530</v>
      </c>
      <c r="B5" s="296"/>
      <c r="C5" s="296"/>
      <c r="D5" s="296"/>
      <c r="E5" s="296"/>
      <c r="F5" s="296" t="s">
        <v>531</v>
      </c>
      <c r="G5" s="296"/>
      <c r="H5" s="296"/>
      <c r="I5" s="296"/>
      <c r="J5" s="296"/>
      <c r="K5" s="296"/>
      <c r="L5" s="296" t="s">
        <v>532</v>
      </c>
      <c r="M5" s="300"/>
      <c r="N5" s="300"/>
      <c r="O5" s="300"/>
      <c r="P5" s="302" t="s">
        <v>203</v>
      </c>
      <c r="Q5" s="298"/>
      <c r="R5" s="298"/>
      <c r="S5" s="299"/>
      <c r="T5" s="299"/>
      <c r="U5" s="299"/>
      <c r="V5" s="299"/>
      <c r="W5" s="299"/>
      <c r="X5" s="299"/>
      <c r="Y5" s="299"/>
      <c r="Z5" s="299"/>
      <c r="AA5" s="299"/>
      <c r="AB5" s="299"/>
      <c r="AC5" s="299"/>
      <c r="AD5" s="299"/>
      <c r="AE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</row>
    <row r="6" spans="1:45" ht="15">
      <c r="A6" s="306"/>
      <c r="B6" s="306"/>
      <c r="C6" s="306"/>
      <c r="D6" s="306"/>
      <c r="E6" s="306"/>
      <c r="F6" s="306"/>
      <c r="G6" s="306"/>
      <c r="H6" s="306"/>
      <c r="I6" s="306"/>
      <c r="J6" s="306"/>
      <c r="K6" s="306"/>
      <c r="L6" s="306"/>
      <c r="M6" s="306"/>
      <c r="N6" s="306"/>
      <c r="O6" s="306"/>
      <c r="P6" s="306"/>
      <c r="Q6" s="306"/>
      <c r="R6" s="306"/>
      <c r="S6" s="306"/>
      <c r="T6" s="306"/>
      <c r="U6" s="306"/>
      <c r="V6" s="306"/>
      <c r="W6" s="306"/>
      <c r="X6" s="306"/>
      <c r="Y6" s="306"/>
      <c r="Z6" s="306"/>
      <c r="AA6" s="306"/>
      <c r="AB6" s="306"/>
      <c r="AC6" s="306"/>
      <c r="AD6" s="306"/>
      <c r="AE6" s="306"/>
      <c r="AF6" s="306"/>
      <c r="AG6" s="306"/>
      <c r="AH6" s="306"/>
      <c r="AI6" s="306"/>
      <c r="AJ6" s="306"/>
      <c r="AK6" s="306"/>
      <c r="AL6" s="306"/>
      <c r="AM6" s="306"/>
      <c r="AN6" s="306"/>
      <c r="AO6" s="306"/>
      <c r="AP6" s="306"/>
      <c r="AQ6" s="306"/>
      <c r="AR6" s="306"/>
      <c r="AS6" s="306"/>
    </row>
    <row r="7" spans="1:45">
      <c r="A7" s="308" t="s">
        <v>533</v>
      </c>
      <c r="B7" s="308" t="s">
        <v>534</v>
      </c>
      <c r="C7" s="313" t="s">
        <v>535</v>
      </c>
      <c r="D7" s="313"/>
      <c r="E7" s="308" t="s">
        <v>536</v>
      </c>
      <c r="F7" s="308"/>
      <c r="G7" s="308" t="s">
        <v>478</v>
      </c>
      <c r="H7" s="308"/>
      <c r="I7" s="308"/>
      <c r="J7" s="308"/>
      <c r="K7" s="308"/>
      <c r="L7" s="308" t="s">
        <v>479</v>
      </c>
      <c r="M7" s="308"/>
      <c r="N7" s="308"/>
      <c r="O7" s="308"/>
      <c r="P7" s="308"/>
      <c r="Q7" s="312" t="s">
        <v>518</v>
      </c>
      <c r="R7" s="312"/>
      <c r="S7" s="303" t="s">
        <v>480</v>
      </c>
      <c r="T7" s="304"/>
      <c r="U7" s="304"/>
      <c r="V7" s="304"/>
      <c r="W7" s="305"/>
      <c r="X7" s="303" t="s">
        <v>481</v>
      </c>
      <c r="Y7" s="304"/>
      <c r="Z7" s="304"/>
      <c r="AA7" s="304"/>
      <c r="AB7" s="305"/>
      <c r="AC7" s="307" t="s">
        <v>482</v>
      </c>
      <c r="AD7" s="307"/>
      <c r="AE7" s="307"/>
      <c r="AF7" s="307"/>
      <c r="AG7" s="307"/>
      <c r="AH7" s="307"/>
      <c r="AI7" s="307"/>
      <c r="AJ7" s="307" t="s">
        <v>483</v>
      </c>
      <c r="AK7" s="307"/>
      <c r="AL7" s="307"/>
      <c r="AM7" s="307"/>
      <c r="AN7" s="307"/>
      <c r="AO7" s="307"/>
      <c r="AP7" s="307"/>
      <c r="AQ7" s="307"/>
      <c r="AR7" s="307"/>
      <c r="AS7" s="307"/>
    </row>
    <row r="8" spans="1:45" ht="14.25">
      <c r="A8" s="308"/>
      <c r="B8" s="308"/>
      <c r="C8" s="14" t="s">
        <v>485</v>
      </c>
      <c r="D8" s="14" t="s">
        <v>486</v>
      </c>
      <c r="E8" s="308"/>
      <c r="F8" s="308"/>
      <c r="G8" s="16" t="s">
        <v>195</v>
      </c>
      <c r="H8" s="16" t="s">
        <v>196</v>
      </c>
      <c r="I8" s="14" t="s">
        <v>487</v>
      </c>
      <c r="J8" s="17" t="s">
        <v>537</v>
      </c>
      <c r="K8" s="14" t="s">
        <v>538</v>
      </c>
      <c r="L8" s="16" t="s">
        <v>195</v>
      </c>
      <c r="M8" s="17" t="s">
        <v>196</v>
      </c>
      <c r="N8" s="14" t="s">
        <v>354</v>
      </c>
      <c r="O8" s="17" t="s">
        <v>539</v>
      </c>
      <c r="P8" s="17" t="s">
        <v>540</v>
      </c>
      <c r="Q8" s="312"/>
      <c r="R8" s="312"/>
      <c r="S8" s="18" t="s">
        <v>490</v>
      </c>
      <c r="T8" s="18" t="s">
        <v>491</v>
      </c>
      <c r="U8" s="19" t="s">
        <v>492</v>
      </c>
      <c r="V8" s="19" t="s">
        <v>493</v>
      </c>
      <c r="W8" s="15" t="s">
        <v>391</v>
      </c>
      <c r="X8" s="15" t="s">
        <v>490</v>
      </c>
      <c r="Y8" s="15" t="s">
        <v>491</v>
      </c>
      <c r="Z8" s="19" t="s">
        <v>492</v>
      </c>
      <c r="AA8" s="19" t="s">
        <v>493</v>
      </c>
      <c r="AB8" s="15" t="s">
        <v>391</v>
      </c>
      <c r="AC8" s="15" t="s">
        <v>494</v>
      </c>
      <c r="AD8" s="309" t="s">
        <v>495</v>
      </c>
      <c r="AE8" s="20" t="s">
        <v>496</v>
      </c>
      <c r="AF8" s="19" t="s">
        <v>497</v>
      </c>
      <c r="AG8" s="15" t="s">
        <v>498</v>
      </c>
      <c r="AH8" s="15" t="s">
        <v>499</v>
      </c>
      <c r="AI8" s="21" t="s">
        <v>391</v>
      </c>
      <c r="AJ8" s="309" t="s">
        <v>500</v>
      </c>
      <c r="AK8" s="309" t="s">
        <v>495</v>
      </c>
      <c r="AL8" s="22" t="s">
        <v>496</v>
      </c>
      <c r="AM8" s="20" t="s">
        <v>377</v>
      </c>
      <c r="AN8" s="20" t="s">
        <v>501</v>
      </c>
      <c r="AO8" s="20" t="s">
        <v>354</v>
      </c>
      <c r="AP8" s="22" t="s">
        <v>502</v>
      </c>
      <c r="AQ8" s="310" t="s">
        <v>503</v>
      </c>
      <c r="AR8" s="310" t="s">
        <v>504</v>
      </c>
      <c r="AS8" s="307" t="s">
        <v>391</v>
      </c>
    </row>
    <row r="9" spans="1:45" ht="14.25">
      <c r="A9" s="308"/>
      <c r="B9" s="308"/>
      <c r="C9" s="14" t="s">
        <v>199</v>
      </c>
      <c r="D9" s="14" t="s">
        <v>199</v>
      </c>
      <c r="E9" s="13" t="s">
        <v>541</v>
      </c>
      <c r="F9" s="13" t="s">
        <v>344</v>
      </c>
      <c r="G9" s="16" t="s">
        <v>200</v>
      </c>
      <c r="H9" s="16" t="s">
        <v>201</v>
      </c>
      <c r="I9" s="14" t="s">
        <v>199</v>
      </c>
      <c r="J9" s="17" t="s">
        <v>542</v>
      </c>
      <c r="K9" s="17" t="s">
        <v>543</v>
      </c>
      <c r="L9" s="16" t="s">
        <v>200</v>
      </c>
      <c r="M9" s="17" t="s">
        <v>201</v>
      </c>
      <c r="N9" s="14" t="s">
        <v>199</v>
      </c>
      <c r="O9" s="17" t="s">
        <v>542</v>
      </c>
      <c r="P9" s="17" t="s">
        <v>543</v>
      </c>
      <c r="Q9" s="23" t="s">
        <v>544</v>
      </c>
      <c r="R9" s="24" t="s">
        <v>545</v>
      </c>
      <c r="S9" s="18" t="s">
        <v>521</v>
      </c>
      <c r="T9" s="18" t="s">
        <v>521</v>
      </c>
      <c r="U9" s="19" t="s">
        <v>199</v>
      </c>
      <c r="V9" s="19" t="s">
        <v>199</v>
      </c>
      <c r="W9" s="15" t="s">
        <v>203</v>
      </c>
      <c r="X9" s="15" t="s">
        <v>521</v>
      </c>
      <c r="Y9" s="15" t="s">
        <v>521</v>
      </c>
      <c r="Z9" s="19" t="s">
        <v>199</v>
      </c>
      <c r="AA9" s="19" t="s">
        <v>199</v>
      </c>
      <c r="AB9" s="15" t="s">
        <v>203</v>
      </c>
      <c r="AC9" s="15" t="s">
        <v>521</v>
      </c>
      <c r="AD9" s="307"/>
      <c r="AE9" s="20" t="s">
        <v>199</v>
      </c>
      <c r="AF9" s="19" t="s">
        <v>386</v>
      </c>
      <c r="AG9" s="15" t="s">
        <v>202</v>
      </c>
      <c r="AH9" s="15" t="s">
        <v>202</v>
      </c>
      <c r="AI9" s="21" t="s">
        <v>203</v>
      </c>
      <c r="AJ9" s="307"/>
      <c r="AK9" s="307"/>
      <c r="AL9" s="20" t="s">
        <v>199</v>
      </c>
      <c r="AM9" s="20">
        <v>2</v>
      </c>
      <c r="AN9" s="20">
        <v>12</v>
      </c>
      <c r="AO9" s="20">
        <v>100</v>
      </c>
      <c r="AP9" s="20" t="s">
        <v>386</v>
      </c>
      <c r="AQ9" s="311"/>
      <c r="AR9" s="311"/>
      <c r="AS9" s="307"/>
    </row>
    <row r="10" spans="1:45">
      <c r="A10" s="25" t="s">
        <v>237</v>
      </c>
      <c r="B10" s="25" t="s">
        <v>47</v>
      </c>
      <c r="C10" s="26">
        <v>750</v>
      </c>
      <c r="D10" s="26">
        <v>700</v>
      </c>
      <c r="E10" s="27" t="s">
        <v>389</v>
      </c>
      <c r="F10" s="27" t="s">
        <v>405</v>
      </c>
      <c r="G10" s="28">
        <v>-4.3915109634399396</v>
      </c>
      <c r="H10" s="28">
        <v>0.37499999999998901</v>
      </c>
      <c r="I10" s="26">
        <v>48</v>
      </c>
      <c r="J10" s="29">
        <v>0.19253281117986901</v>
      </c>
      <c r="K10" s="27" t="s">
        <v>546</v>
      </c>
      <c r="L10" s="28">
        <v>66.140800476074205</v>
      </c>
      <c r="M10" s="28">
        <v>0.75</v>
      </c>
      <c r="N10" s="26">
        <v>118</v>
      </c>
      <c r="O10" s="29">
        <v>3.2766567873413099</v>
      </c>
      <c r="P10" s="27" t="s">
        <v>547</v>
      </c>
      <c r="Q10" s="30">
        <v>29.37</v>
      </c>
      <c r="R10" s="31">
        <v>2.59</v>
      </c>
      <c r="S10" s="8">
        <v>-4.3915109634399396</v>
      </c>
      <c r="T10" s="8">
        <v>-4.3915109634399396</v>
      </c>
      <c r="U10" s="9">
        <v>0</v>
      </c>
      <c r="V10" s="9">
        <v>0</v>
      </c>
      <c r="W10" s="8" t="s">
        <v>548</v>
      </c>
      <c r="X10" s="8">
        <v>66.140800476074205</v>
      </c>
      <c r="Y10" s="8">
        <v>66.140800476074205</v>
      </c>
      <c r="Z10" s="9">
        <v>0</v>
      </c>
      <c r="AA10" s="9">
        <v>0</v>
      </c>
      <c r="AB10" s="8" t="s">
        <v>548</v>
      </c>
      <c r="AC10" s="8">
        <v>180.17811584472699</v>
      </c>
      <c r="AD10" s="8">
        <v>3</v>
      </c>
      <c r="AE10" s="10">
        <v>1746</v>
      </c>
      <c r="AF10" s="9">
        <v>1.05</v>
      </c>
      <c r="AG10" s="8">
        <v>229.16249999999999</v>
      </c>
      <c r="AH10" s="8">
        <v>229.16249999999999</v>
      </c>
      <c r="AI10" s="11" t="s">
        <v>548</v>
      </c>
      <c r="AJ10" s="8">
        <v>0</v>
      </c>
      <c r="AK10" s="8">
        <v>2</v>
      </c>
      <c r="AL10" s="10">
        <v>1164</v>
      </c>
      <c r="AM10" s="10">
        <v>2</v>
      </c>
      <c r="AN10" s="10">
        <v>12</v>
      </c>
      <c r="AO10" s="10">
        <v>100</v>
      </c>
      <c r="AP10" s="10">
        <v>280</v>
      </c>
    </row>
    <row r="11" spans="1:45">
      <c r="A11" s="1" t="s">
        <v>237</v>
      </c>
      <c r="B11" s="1" t="s">
        <v>77</v>
      </c>
      <c r="C11" s="2">
        <v>1500</v>
      </c>
      <c r="D11" s="2">
        <v>700</v>
      </c>
      <c r="E11" s="3" t="s">
        <v>389</v>
      </c>
      <c r="F11" s="3" t="s">
        <v>405</v>
      </c>
      <c r="G11" s="4">
        <v>-21.005884170532202</v>
      </c>
      <c r="H11" s="4">
        <v>0.375</v>
      </c>
      <c r="I11" s="2">
        <v>48</v>
      </c>
      <c r="J11" s="5">
        <v>0.92155127175453999</v>
      </c>
      <c r="K11" s="3" t="s">
        <v>549</v>
      </c>
      <c r="L11" s="4">
        <v>1</v>
      </c>
      <c r="M11" s="4" t="s">
        <v>203</v>
      </c>
      <c r="N11" s="2">
        <v>118</v>
      </c>
      <c r="O11" s="5">
        <v>4.9095133881704903E-2</v>
      </c>
      <c r="P11" s="3" t="s">
        <v>549</v>
      </c>
      <c r="Q11" s="6">
        <v>12.27</v>
      </c>
      <c r="R11" s="7" t="s">
        <v>203</v>
      </c>
      <c r="S11" s="8">
        <v>-21.005884170532202</v>
      </c>
      <c r="T11" s="8">
        <v>-21.005884170532202</v>
      </c>
      <c r="U11" s="9">
        <v>0</v>
      </c>
      <c r="V11" s="9">
        <v>0</v>
      </c>
      <c r="W11" s="8" t="s">
        <v>548</v>
      </c>
      <c r="X11" s="8">
        <v>1</v>
      </c>
      <c r="Y11" s="8">
        <v>1</v>
      </c>
      <c r="Z11" s="9">
        <v>0</v>
      </c>
      <c r="AA11" s="9">
        <v>0</v>
      </c>
      <c r="AB11" s="8" t="s">
        <v>548</v>
      </c>
      <c r="AC11" s="8">
        <v>20.0130710601807</v>
      </c>
      <c r="AD11" s="8">
        <v>3</v>
      </c>
      <c r="AE11" s="10">
        <v>1746</v>
      </c>
      <c r="AF11" s="9">
        <v>1.05</v>
      </c>
      <c r="AG11" s="8">
        <v>458.32499999999999</v>
      </c>
      <c r="AH11" s="8">
        <v>458.32499999999999</v>
      </c>
      <c r="AI11" s="11" t="s">
        <v>548</v>
      </c>
      <c r="AJ11" s="8">
        <v>0</v>
      </c>
      <c r="AK11" s="8">
        <v>2</v>
      </c>
      <c r="AL11" s="10">
        <v>1164</v>
      </c>
      <c r="AM11" s="10">
        <v>2</v>
      </c>
      <c r="AN11" s="10">
        <v>12</v>
      </c>
      <c r="AO11" s="10">
        <v>100</v>
      </c>
      <c r="AP11" s="10">
        <v>280</v>
      </c>
    </row>
    <row r="12" spans="1:45">
      <c r="A12" s="1" t="s">
        <v>244</v>
      </c>
      <c r="B12" s="1" t="s">
        <v>35</v>
      </c>
      <c r="C12" s="2">
        <v>750</v>
      </c>
      <c r="D12" s="2">
        <v>700</v>
      </c>
      <c r="E12" s="3" t="s">
        <v>389</v>
      </c>
      <c r="F12" s="3" t="s">
        <v>405</v>
      </c>
      <c r="G12" s="4">
        <v>-2.5851788520813002</v>
      </c>
      <c r="H12" s="4">
        <v>1.5</v>
      </c>
      <c r="I12" s="2">
        <v>48</v>
      </c>
      <c r="J12" s="5">
        <v>0.11331735630418401</v>
      </c>
      <c r="K12" s="3" t="s">
        <v>546</v>
      </c>
      <c r="L12" s="4">
        <v>99.593414306640597</v>
      </c>
      <c r="M12" s="4">
        <v>0.749999999999996</v>
      </c>
      <c r="N12" s="2">
        <v>121</v>
      </c>
      <c r="O12" s="5">
        <v>4.9835789201465897</v>
      </c>
      <c r="P12" s="3" t="s">
        <v>550</v>
      </c>
      <c r="Q12" s="6">
        <v>49.9</v>
      </c>
      <c r="R12" s="7">
        <v>2.3199999999999998</v>
      </c>
      <c r="S12" s="8">
        <v>-2.5851788520813002</v>
      </c>
      <c r="T12" s="8">
        <v>-2.5851788520813002</v>
      </c>
      <c r="U12" s="9">
        <v>0</v>
      </c>
      <c r="V12" s="9">
        <v>0</v>
      </c>
      <c r="W12" s="8" t="s">
        <v>548</v>
      </c>
      <c r="X12" s="8">
        <v>99.593414306640597</v>
      </c>
      <c r="Y12" s="8">
        <v>99.593414306640597</v>
      </c>
      <c r="Z12" s="9">
        <v>0</v>
      </c>
      <c r="AA12" s="9">
        <v>0</v>
      </c>
      <c r="AB12" s="8" t="s">
        <v>548</v>
      </c>
      <c r="AC12" s="8">
        <v>262.82681274414102</v>
      </c>
      <c r="AD12" s="8">
        <v>3</v>
      </c>
      <c r="AE12" s="10">
        <v>1737</v>
      </c>
      <c r="AF12" s="9">
        <v>1.05</v>
      </c>
      <c r="AG12" s="8">
        <v>227.98124999999999</v>
      </c>
      <c r="AH12" s="8">
        <v>227.98124999999999</v>
      </c>
      <c r="AI12" s="11" t="s">
        <v>551</v>
      </c>
      <c r="AJ12" s="8">
        <v>34.845562744140999</v>
      </c>
      <c r="AK12" s="8">
        <v>2</v>
      </c>
      <c r="AL12" s="10">
        <v>1158</v>
      </c>
      <c r="AM12" s="10">
        <v>2</v>
      </c>
      <c r="AN12" s="10">
        <v>12</v>
      </c>
      <c r="AO12" s="10">
        <v>100</v>
      </c>
      <c r="AP12" s="10">
        <v>280</v>
      </c>
      <c r="AQ12" s="10">
        <v>1578.56598591585</v>
      </c>
      <c r="AR12" s="10">
        <v>321.69908772759499</v>
      </c>
      <c r="AS12" s="8" t="s">
        <v>548</v>
      </c>
    </row>
    <row r="13" spans="1:45">
      <c r="A13" s="1" t="s">
        <v>244</v>
      </c>
      <c r="B13" s="1" t="s">
        <v>72</v>
      </c>
      <c r="C13" s="2">
        <v>1500</v>
      </c>
      <c r="D13" s="2">
        <v>700</v>
      </c>
      <c r="E13" s="3" t="s">
        <v>389</v>
      </c>
      <c r="F13" s="3" t="s">
        <v>405</v>
      </c>
      <c r="G13" s="4">
        <v>-1</v>
      </c>
      <c r="H13" s="4" t="s">
        <v>203</v>
      </c>
      <c r="I13" s="2">
        <v>48</v>
      </c>
      <c r="J13" s="5">
        <v>4.3823579457415503E-2</v>
      </c>
      <c r="K13" s="3" t="s">
        <v>549</v>
      </c>
      <c r="L13" s="4">
        <v>22.141355514526399</v>
      </c>
      <c r="M13" s="4">
        <v>0</v>
      </c>
      <c r="N13" s="2">
        <v>118</v>
      </c>
      <c r="O13" s="5">
        <v>1.08859732189009</v>
      </c>
      <c r="P13" s="3" t="s">
        <v>549</v>
      </c>
      <c r="Q13" s="6" t="s">
        <v>203</v>
      </c>
      <c r="R13" s="7">
        <v>10.39</v>
      </c>
      <c r="S13" s="8">
        <v>-1</v>
      </c>
      <c r="T13" s="8">
        <v>-1</v>
      </c>
      <c r="U13" s="9">
        <v>0</v>
      </c>
      <c r="V13" s="9">
        <v>0</v>
      </c>
      <c r="W13" s="8" t="s">
        <v>548</v>
      </c>
      <c r="X13" s="8">
        <v>22.141355514526399</v>
      </c>
      <c r="Y13" s="8">
        <v>22.141355514526399</v>
      </c>
      <c r="Z13" s="9">
        <v>0</v>
      </c>
      <c r="AA13" s="9">
        <v>0</v>
      </c>
      <c r="AB13" s="8" t="s">
        <v>548</v>
      </c>
      <c r="AC13" s="8">
        <v>5.3040633201599103</v>
      </c>
      <c r="AD13" s="8">
        <v>3</v>
      </c>
      <c r="AE13" s="10">
        <v>1746</v>
      </c>
      <c r="AF13" s="9">
        <v>1.05</v>
      </c>
      <c r="AG13" s="8">
        <v>458.32499999999999</v>
      </c>
      <c r="AH13" s="8">
        <v>458.32499999999999</v>
      </c>
      <c r="AI13" s="11" t="s">
        <v>548</v>
      </c>
      <c r="AJ13" s="8">
        <v>0</v>
      </c>
      <c r="AK13" s="8">
        <v>2</v>
      </c>
      <c r="AL13" s="10">
        <v>1164</v>
      </c>
      <c r="AM13" s="10">
        <v>2</v>
      </c>
      <c r="AN13" s="10">
        <v>12</v>
      </c>
      <c r="AO13" s="10">
        <v>100</v>
      </c>
      <c r="AP13" s="10">
        <v>280</v>
      </c>
    </row>
    <row r="14" spans="1:45">
      <c r="A14" s="1" t="s">
        <v>249</v>
      </c>
      <c r="B14" s="1" t="s">
        <v>41</v>
      </c>
      <c r="C14" s="2">
        <v>1400</v>
      </c>
      <c r="D14" s="2">
        <v>700</v>
      </c>
      <c r="E14" s="3" t="s">
        <v>389</v>
      </c>
      <c r="F14" s="3" t="s">
        <v>405</v>
      </c>
      <c r="G14" s="4">
        <v>-71.021011352539105</v>
      </c>
      <c r="H14" s="4">
        <v>0.37499999999998601</v>
      </c>
      <c r="I14" s="2">
        <v>48</v>
      </c>
      <c r="J14" s="5">
        <v>3.12513979817615</v>
      </c>
      <c r="K14" s="3" t="s">
        <v>552</v>
      </c>
      <c r="L14" s="4">
        <v>1</v>
      </c>
      <c r="M14" s="4" t="s">
        <v>203</v>
      </c>
      <c r="N14" s="2">
        <v>118</v>
      </c>
      <c r="O14" s="5">
        <v>4.9095371931511797E-2</v>
      </c>
      <c r="P14" s="3" t="s">
        <v>552</v>
      </c>
      <c r="Q14" s="6">
        <v>3.38</v>
      </c>
      <c r="R14" s="7" t="s">
        <v>203</v>
      </c>
      <c r="S14" s="8">
        <v>-71.021011352539105</v>
      </c>
      <c r="T14" s="8">
        <v>-71.021011352539105</v>
      </c>
      <c r="U14" s="9">
        <v>0</v>
      </c>
      <c r="V14" s="9">
        <v>0</v>
      </c>
      <c r="W14" s="8" t="s">
        <v>548</v>
      </c>
      <c r="X14" s="8">
        <v>1</v>
      </c>
      <c r="Y14" s="8">
        <v>1</v>
      </c>
      <c r="Z14" s="9">
        <v>0</v>
      </c>
      <c r="AA14" s="9">
        <v>0</v>
      </c>
      <c r="AB14" s="8" t="s">
        <v>548</v>
      </c>
      <c r="AC14" s="8">
        <v>184.58644104003901</v>
      </c>
      <c r="AD14" s="8">
        <v>3</v>
      </c>
      <c r="AE14" s="10">
        <v>1746</v>
      </c>
      <c r="AF14" s="9">
        <v>1.05</v>
      </c>
      <c r="AG14" s="8">
        <v>427.77</v>
      </c>
      <c r="AH14" s="8">
        <v>427.77</v>
      </c>
      <c r="AI14" s="11" t="s">
        <v>548</v>
      </c>
      <c r="AJ14" s="8">
        <v>0</v>
      </c>
      <c r="AK14" s="8">
        <v>2</v>
      </c>
      <c r="AL14" s="10">
        <v>1164</v>
      </c>
      <c r="AM14" s="10">
        <v>2</v>
      </c>
      <c r="AN14" s="10">
        <v>12</v>
      </c>
      <c r="AO14" s="10">
        <v>100</v>
      </c>
      <c r="AP14" s="10">
        <v>280</v>
      </c>
    </row>
    <row r="15" spans="1:45">
      <c r="A15" s="1" t="s">
        <v>249</v>
      </c>
      <c r="B15" s="1" t="s">
        <v>61</v>
      </c>
      <c r="C15" s="2">
        <v>1500</v>
      </c>
      <c r="D15" s="2">
        <v>700</v>
      </c>
      <c r="E15" s="3" t="s">
        <v>389</v>
      </c>
      <c r="F15" s="3" t="s">
        <v>405</v>
      </c>
      <c r="G15" s="4">
        <v>-8.4010334014892596</v>
      </c>
      <c r="H15" s="4">
        <v>0.37499999999999101</v>
      </c>
      <c r="I15" s="2">
        <v>48</v>
      </c>
      <c r="J15" s="5">
        <v>0.36831084624510002</v>
      </c>
      <c r="K15" s="3" t="s">
        <v>549</v>
      </c>
      <c r="L15" s="4">
        <v>57.699554443359403</v>
      </c>
      <c r="M15" s="4">
        <v>0.69999999999999896</v>
      </c>
      <c r="N15" s="2">
        <v>118</v>
      </c>
      <c r="O15" s="5">
        <v>2.8437550410903398</v>
      </c>
      <c r="P15" s="3" t="s">
        <v>549</v>
      </c>
      <c r="Q15" s="6">
        <v>30.71</v>
      </c>
      <c r="R15" s="7">
        <v>3.98</v>
      </c>
      <c r="S15" s="8">
        <v>-8.4010334014892596</v>
      </c>
      <c r="T15" s="8">
        <v>-8.4010334014892596</v>
      </c>
      <c r="U15" s="9">
        <v>0</v>
      </c>
      <c r="V15" s="9">
        <v>0</v>
      </c>
      <c r="W15" s="8" t="s">
        <v>548</v>
      </c>
      <c r="X15" s="8">
        <v>57.699554443359403</v>
      </c>
      <c r="Y15" s="8">
        <v>57.699554443359403</v>
      </c>
      <c r="Z15" s="9">
        <v>0</v>
      </c>
      <c r="AA15" s="9">
        <v>0</v>
      </c>
      <c r="AB15" s="8" t="s">
        <v>548</v>
      </c>
      <c r="AC15" s="8">
        <v>422.46829223632801</v>
      </c>
      <c r="AD15" s="8">
        <v>3</v>
      </c>
      <c r="AE15" s="10">
        <v>1746</v>
      </c>
      <c r="AF15" s="9">
        <v>1.05</v>
      </c>
      <c r="AG15" s="8">
        <v>458.32499999999999</v>
      </c>
      <c r="AH15" s="8">
        <v>458.32499999999999</v>
      </c>
      <c r="AI15" s="11" t="s">
        <v>548</v>
      </c>
      <c r="AJ15" s="8">
        <v>0</v>
      </c>
      <c r="AK15" s="8">
        <v>2</v>
      </c>
      <c r="AL15" s="10">
        <v>1164</v>
      </c>
      <c r="AM15" s="10">
        <v>2</v>
      </c>
      <c r="AN15" s="10">
        <v>12</v>
      </c>
      <c r="AO15" s="10">
        <v>100</v>
      </c>
      <c r="AP15" s="10">
        <v>280</v>
      </c>
    </row>
    <row r="16" spans="1:45">
      <c r="A16" s="1" t="s">
        <v>249</v>
      </c>
      <c r="B16" s="1" t="s">
        <v>64</v>
      </c>
      <c r="C16" s="2">
        <v>750</v>
      </c>
      <c r="D16" s="2">
        <v>700</v>
      </c>
      <c r="E16" s="3" t="s">
        <v>389</v>
      </c>
      <c r="F16" s="3" t="s">
        <v>405</v>
      </c>
      <c r="G16" s="4">
        <v>-18.430820465087901</v>
      </c>
      <c r="H16" s="4">
        <v>0.375000000000005</v>
      </c>
      <c r="I16" s="2">
        <v>48</v>
      </c>
      <c r="J16" s="5">
        <v>0.80927727038917896</v>
      </c>
      <c r="K16" s="3" t="s">
        <v>546</v>
      </c>
      <c r="L16" s="4">
        <v>31.830852508544901</v>
      </c>
      <c r="M16" s="4">
        <v>0.70000000000000095</v>
      </c>
      <c r="N16" s="2">
        <v>118</v>
      </c>
      <c r="O16" s="5">
        <v>1.56944437726469</v>
      </c>
      <c r="P16" s="3" t="s">
        <v>546</v>
      </c>
      <c r="Q16" s="6">
        <v>6.99</v>
      </c>
      <c r="R16" s="7">
        <v>3.6</v>
      </c>
      <c r="S16" s="8">
        <v>-18.430820465087901</v>
      </c>
      <c r="T16" s="8">
        <v>-18.430820465087901</v>
      </c>
      <c r="U16" s="9">
        <v>0</v>
      </c>
      <c r="V16" s="9">
        <v>0</v>
      </c>
      <c r="W16" s="8" t="s">
        <v>548</v>
      </c>
      <c r="X16" s="8">
        <v>31.830852508544901</v>
      </c>
      <c r="Y16" s="8">
        <v>31.830852508544901</v>
      </c>
      <c r="Z16" s="9">
        <v>0</v>
      </c>
      <c r="AA16" s="9">
        <v>0</v>
      </c>
      <c r="AB16" s="8" t="s">
        <v>548</v>
      </c>
      <c r="AC16" s="8">
        <v>323.77380371093801</v>
      </c>
      <c r="AD16" s="8">
        <v>3</v>
      </c>
      <c r="AE16" s="10">
        <v>1746</v>
      </c>
      <c r="AF16" s="9">
        <v>1.05</v>
      </c>
      <c r="AG16" s="8">
        <v>229.16249999999999</v>
      </c>
      <c r="AH16" s="8">
        <v>229.16249999999999</v>
      </c>
      <c r="AI16" s="11" t="s">
        <v>551</v>
      </c>
      <c r="AJ16" s="8">
        <v>94.611303710938003</v>
      </c>
      <c r="AK16" s="8">
        <v>2</v>
      </c>
      <c r="AL16" s="10">
        <v>1164</v>
      </c>
      <c r="AM16" s="10">
        <v>2</v>
      </c>
      <c r="AN16" s="10">
        <v>12</v>
      </c>
      <c r="AO16" s="10">
        <v>100</v>
      </c>
      <c r="AP16" s="10">
        <v>280</v>
      </c>
      <c r="AQ16" s="10">
        <v>584.40189728765995</v>
      </c>
      <c r="AR16" s="10">
        <v>321.69908772759499</v>
      </c>
      <c r="AS16" s="8" t="s">
        <v>548</v>
      </c>
    </row>
    <row r="17" spans="1:45">
      <c r="A17" s="1" t="s">
        <v>256</v>
      </c>
      <c r="B17" s="1" t="s">
        <v>42</v>
      </c>
      <c r="C17" s="2">
        <v>1400</v>
      </c>
      <c r="D17" s="2">
        <v>700</v>
      </c>
      <c r="E17" s="3" t="s">
        <v>389</v>
      </c>
      <c r="F17" s="3" t="s">
        <v>405</v>
      </c>
      <c r="G17" s="4">
        <v>-34.2562065124512</v>
      </c>
      <c r="H17" s="4">
        <v>0.37499999999998601</v>
      </c>
      <c r="I17" s="2">
        <v>48</v>
      </c>
      <c r="J17" s="5">
        <v>1.5041397757077</v>
      </c>
      <c r="K17" s="3" t="s">
        <v>552</v>
      </c>
      <c r="L17" s="4">
        <v>57.182979583740199</v>
      </c>
      <c r="M17" s="4">
        <v>0.749999999999996</v>
      </c>
      <c r="N17" s="2">
        <v>118</v>
      </c>
      <c r="O17" s="5">
        <v>2.81898626452542</v>
      </c>
      <c r="P17" s="3" t="s">
        <v>552</v>
      </c>
      <c r="Q17" s="6">
        <v>7.02</v>
      </c>
      <c r="R17" s="7">
        <v>3.74</v>
      </c>
      <c r="S17" s="8">
        <v>-34.2562065124512</v>
      </c>
      <c r="T17" s="8">
        <v>-34.2562065124512</v>
      </c>
      <c r="U17" s="9">
        <v>0</v>
      </c>
      <c r="V17" s="9">
        <v>0</v>
      </c>
      <c r="W17" s="8" t="s">
        <v>548</v>
      </c>
      <c r="X17" s="8">
        <v>57.182979583740199</v>
      </c>
      <c r="Y17" s="8">
        <v>57.182979583740199</v>
      </c>
      <c r="Z17" s="9">
        <v>0</v>
      </c>
      <c r="AA17" s="9">
        <v>0</v>
      </c>
      <c r="AB17" s="8" t="s">
        <v>548</v>
      </c>
      <c r="AC17" s="8">
        <v>240.76585388183599</v>
      </c>
      <c r="AD17" s="8">
        <v>3</v>
      </c>
      <c r="AE17" s="10">
        <v>1746</v>
      </c>
      <c r="AF17" s="9">
        <v>1.05</v>
      </c>
      <c r="AG17" s="8">
        <v>427.77</v>
      </c>
      <c r="AH17" s="8">
        <v>427.77</v>
      </c>
      <c r="AI17" s="11" t="s">
        <v>548</v>
      </c>
      <c r="AJ17" s="8">
        <v>0</v>
      </c>
      <c r="AK17" s="8">
        <v>2</v>
      </c>
      <c r="AL17" s="10">
        <v>1164</v>
      </c>
      <c r="AM17" s="10">
        <v>2</v>
      </c>
      <c r="AN17" s="10">
        <v>12</v>
      </c>
      <c r="AO17" s="10">
        <v>100</v>
      </c>
      <c r="AP17" s="10">
        <v>280</v>
      </c>
    </row>
    <row r="18" spans="1:45">
      <c r="A18" s="1" t="s">
        <v>256</v>
      </c>
      <c r="B18" s="1" t="s">
        <v>60</v>
      </c>
      <c r="C18" s="2">
        <v>1500</v>
      </c>
      <c r="D18" s="2">
        <v>700</v>
      </c>
      <c r="E18" s="3" t="s">
        <v>389</v>
      </c>
      <c r="F18" s="3" t="s">
        <v>405</v>
      </c>
      <c r="G18" s="4">
        <v>-1</v>
      </c>
      <c r="H18" s="4" t="s">
        <v>203</v>
      </c>
      <c r="I18" s="2">
        <v>48</v>
      </c>
      <c r="J18" s="5">
        <v>4.3823579457415503E-2</v>
      </c>
      <c r="K18" s="3" t="s">
        <v>549</v>
      </c>
      <c r="L18" s="4">
        <v>77.007171630859403</v>
      </c>
      <c r="M18" s="4">
        <v>0.69999999999999896</v>
      </c>
      <c r="N18" s="2">
        <v>118</v>
      </c>
      <c r="O18" s="5">
        <v>3.8003877417229499</v>
      </c>
      <c r="P18" s="3" t="s">
        <v>549</v>
      </c>
      <c r="Q18" s="6" t="s">
        <v>203</v>
      </c>
      <c r="R18" s="7">
        <v>2.98</v>
      </c>
      <c r="S18" s="8">
        <v>-1</v>
      </c>
      <c r="T18" s="8">
        <v>-1</v>
      </c>
      <c r="U18" s="9">
        <v>0</v>
      </c>
      <c r="V18" s="9">
        <v>0</v>
      </c>
      <c r="W18" s="8" t="s">
        <v>548</v>
      </c>
      <c r="X18" s="8">
        <v>77.007171630859403</v>
      </c>
      <c r="Y18" s="8">
        <v>77.007171630859403</v>
      </c>
      <c r="Z18" s="9">
        <v>0</v>
      </c>
      <c r="AA18" s="9">
        <v>0</v>
      </c>
      <c r="AB18" s="8" t="s">
        <v>548</v>
      </c>
      <c r="AC18" s="8">
        <v>456.35861206054699</v>
      </c>
      <c r="AD18" s="8">
        <v>3</v>
      </c>
      <c r="AE18" s="10">
        <v>1746</v>
      </c>
      <c r="AF18" s="9">
        <v>1.05</v>
      </c>
      <c r="AG18" s="8">
        <v>458.32499999999999</v>
      </c>
      <c r="AH18" s="8">
        <v>458.32499999999999</v>
      </c>
      <c r="AI18" s="11" t="s">
        <v>548</v>
      </c>
      <c r="AJ18" s="8">
        <v>0</v>
      </c>
      <c r="AK18" s="8">
        <v>2</v>
      </c>
      <c r="AL18" s="10">
        <v>1164</v>
      </c>
      <c r="AM18" s="10">
        <v>2</v>
      </c>
      <c r="AN18" s="10">
        <v>12</v>
      </c>
      <c r="AO18" s="10">
        <v>100</v>
      </c>
      <c r="AP18" s="10">
        <v>280</v>
      </c>
    </row>
    <row r="19" spans="1:45">
      <c r="A19" s="1" t="s">
        <v>256</v>
      </c>
      <c r="B19" s="1" t="s">
        <v>65</v>
      </c>
      <c r="C19" s="2">
        <v>750</v>
      </c>
      <c r="D19" s="2">
        <v>700</v>
      </c>
      <c r="E19" s="3" t="s">
        <v>389</v>
      </c>
      <c r="F19" s="3" t="s">
        <v>405</v>
      </c>
      <c r="G19" s="4">
        <v>-11.7289524078369</v>
      </c>
      <c r="H19" s="4">
        <v>0.375000000000005</v>
      </c>
      <c r="I19" s="2">
        <v>48</v>
      </c>
      <c r="J19" s="5">
        <v>0.51463054085969095</v>
      </c>
      <c r="K19" s="3" t="s">
        <v>546</v>
      </c>
      <c r="L19" s="4">
        <v>48.498447418212898</v>
      </c>
      <c r="M19" s="4">
        <v>0.70000000000000095</v>
      </c>
      <c r="N19" s="2">
        <v>118</v>
      </c>
      <c r="O19" s="5">
        <v>2.3967592380763398</v>
      </c>
      <c r="P19" s="3" t="s">
        <v>546</v>
      </c>
      <c r="Q19" s="6">
        <v>10.99</v>
      </c>
      <c r="R19" s="7">
        <v>2.36</v>
      </c>
      <c r="S19" s="8">
        <v>-11.7289524078369</v>
      </c>
      <c r="T19" s="8">
        <v>-11.7289524078369</v>
      </c>
      <c r="U19" s="9">
        <v>0</v>
      </c>
      <c r="V19" s="9">
        <v>0</v>
      </c>
      <c r="W19" s="8" t="s">
        <v>548</v>
      </c>
      <c r="X19" s="8">
        <v>48.498447418212898</v>
      </c>
      <c r="Y19" s="8">
        <v>48.498447418212898</v>
      </c>
      <c r="Z19" s="9">
        <v>0</v>
      </c>
      <c r="AA19" s="9">
        <v>0</v>
      </c>
      <c r="AB19" s="8" t="s">
        <v>548</v>
      </c>
      <c r="AC19" s="8">
        <v>378.69741821289102</v>
      </c>
      <c r="AD19" s="8">
        <v>3</v>
      </c>
      <c r="AE19" s="10">
        <v>1746</v>
      </c>
      <c r="AF19" s="9">
        <v>1.05</v>
      </c>
      <c r="AG19" s="8">
        <v>229.16249999999999</v>
      </c>
      <c r="AH19" s="8">
        <v>229.16249999999999</v>
      </c>
      <c r="AI19" s="11" t="s">
        <v>551</v>
      </c>
      <c r="AJ19" s="8">
        <v>149.534918212891</v>
      </c>
      <c r="AK19" s="8">
        <v>2</v>
      </c>
      <c r="AL19" s="10">
        <v>1164</v>
      </c>
      <c r="AM19" s="10">
        <v>2</v>
      </c>
      <c r="AN19" s="10">
        <v>12</v>
      </c>
      <c r="AO19" s="10">
        <v>100</v>
      </c>
      <c r="AP19" s="10">
        <v>280</v>
      </c>
      <c r="AQ19" s="10">
        <v>369.75327270928199</v>
      </c>
      <c r="AR19" s="10">
        <v>321.69908772759499</v>
      </c>
      <c r="AS19" s="8" t="s">
        <v>548</v>
      </c>
    </row>
    <row r="20" spans="1:45">
      <c r="A20" s="1" t="s">
        <v>263</v>
      </c>
      <c r="B20" s="1" t="s">
        <v>46</v>
      </c>
      <c r="C20" s="2">
        <v>750</v>
      </c>
      <c r="D20" s="2">
        <v>700</v>
      </c>
      <c r="E20" s="3" t="s">
        <v>389</v>
      </c>
      <c r="F20" s="3" t="s">
        <v>405</v>
      </c>
      <c r="G20" s="4">
        <v>-1.08809471130371</v>
      </c>
      <c r="H20" s="4">
        <v>1.12499999999999</v>
      </c>
      <c r="I20" s="2">
        <v>48</v>
      </c>
      <c r="J20" s="5">
        <v>4.7687238880951402E-2</v>
      </c>
      <c r="K20" s="3" t="s">
        <v>546</v>
      </c>
      <c r="L20" s="4">
        <v>73.139900207519503</v>
      </c>
      <c r="M20" s="4">
        <v>0.75</v>
      </c>
      <c r="N20" s="2">
        <v>118</v>
      </c>
      <c r="O20" s="5">
        <v>3.62694145043714</v>
      </c>
      <c r="P20" s="3" t="s">
        <v>547</v>
      </c>
      <c r="Q20" s="6">
        <v>118.58</v>
      </c>
      <c r="R20" s="7">
        <v>2.34</v>
      </c>
      <c r="S20" s="8">
        <v>-1.08809471130371</v>
      </c>
      <c r="T20" s="8">
        <v>-1.08809471130371</v>
      </c>
      <c r="U20" s="9">
        <v>0</v>
      </c>
      <c r="V20" s="9">
        <v>0</v>
      </c>
      <c r="W20" s="8" t="s">
        <v>548</v>
      </c>
      <c r="X20" s="8">
        <v>73.139900207519503</v>
      </c>
      <c r="Y20" s="8">
        <v>73.139900207519503</v>
      </c>
      <c r="Z20" s="9">
        <v>0</v>
      </c>
      <c r="AA20" s="9">
        <v>0</v>
      </c>
      <c r="AB20" s="8" t="s">
        <v>548</v>
      </c>
      <c r="AC20" s="8">
        <v>198.93469238281301</v>
      </c>
      <c r="AD20" s="8">
        <v>3</v>
      </c>
      <c r="AE20" s="10">
        <v>1746</v>
      </c>
      <c r="AF20" s="9">
        <v>1.05</v>
      </c>
      <c r="AG20" s="8">
        <v>229.16249999999999</v>
      </c>
      <c r="AH20" s="8">
        <v>229.16249999999999</v>
      </c>
      <c r="AI20" s="11" t="s">
        <v>548</v>
      </c>
      <c r="AJ20" s="8">
        <v>0</v>
      </c>
      <c r="AK20" s="8">
        <v>2</v>
      </c>
      <c r="AL20" s="10">
        <v>1164</v>
      </c>
      <c r="AM20" s="10">
        <v>2</v>
      </c>
      <c r="AN20" s="10">
        <v>12</v>
      </c>
      <c r="AO20" s="10">
        <v>100</v>
      </c>
      <c r="AP20" s="10">
        <v>280</v>
      </c>
    </row>
    <row r="21" spans="1:45">
      <c r="A21" s="1" t="s">
        <v>263</v>
      </c>
      <c r="B21" s="1" t="s">
        <v>76</v>
      </c>
      <c r="C21" s="2">
        <v>1500</v>
      </c>
      <c r="D21" s="2">
        <v>700</v>
      </c>
      <c r="E21" s="3" t="s">
        <v>389</v>
      </c>
      <c r="F21" s="3" t="s">
        <v>405</v>
      </c>
      <c r="G21" s="4">
        <v>-52.096767425537102</v>
      </c>
      <c r="H21" s="4">
        <v>0.375</v>
      </c>
      <c r="I21" s="2">
        <v>48</v>
      </c>
      <c r="J21" s="5">
        <v>2.2894114903256901</v>
      </c>
      <c r="K21" s="3" t="s">
        <v>549</v>
      </c>
      <c r="L21" s="4">
        <v>1</v>
      </c>
      <c r="M21" s="4" t="s">
        <v>203</v>
      </c>
      <c r="N21" s="2">
        <v>118</v>
      </c>
      <c r="O21" s="5">
        <v>4.9095133881704903E-2</v>
      </c>
      <c r="P21" s="3" t="s">
        <v>549</v>
      </c>
      <c r="Q21" s="6">
        <v>4.9400000000000004</v>
      </c>
      <c r="R21" s="7" t="s">
        <v>203</v>
      </c>
      <c r="S21" s="8">
        <v>-52.096767425537102</v>
      </c>
      <c r="T21" s="8">
        <v>-52.096767425537102</v>
      </c>
      <c r="U21" s="9">
        <v>0</v>
      </c>
      <c r="V21" s="9">
        <v>0</v>
      </c>
      <c r="W21" s="8" t="s">
        <v>548</v>
      </c>
      <c r="X21" s="8">
        <v>1</v>
      </c>
      <c r="Y21" s="8">
        <v>1</v>
      </c>
      <c r="Z21" s="9">
        <v>0</v>
      </c>
      <c r="AA21" s="9">
        <v>0</v>
      </c>
      <c r="AB21" s="8" t="s">
        <v>548</v>
      </c>
      <c r="AC21" s="8">
        <v>27.719608306884801</v>
      </c>
      <c r="AD21" s="8">
        <v>3</v>
      </c>
      <c r="AE21" s="10">
        <v>1746</v>
      </c>
      <c r="AF21" s="9">
        <v>1.05</v>
      </c>
      <c r="AG21" s="8">
        <v>458.32499999999999</v>
      </c>
      <c r="AH21" s="8">
        <v>458.32499999999999</v>
      </c>
      <c r="AI21" s="11" t="s">
        <v>548</v>
      </c>
      <c r="AJ21" s="8">
        <v>0</v>
      </c>
      <c r="AK21" s="8">
        <v>2</v>
      </c>
      <c r="AL21" s="10">
        <v>1164</v>
      </c>
      <c r="AM21" s="10">
        <v>2</v>
      </c>
      <c r="AN21" s="10">
        <v>12</v>
      </c>
      <c r="AO21" s="10">
        <v>100</v>
      </c>
      <c r="AP21" s="10">
        <v>280</v>
      </c>
    </row>
    <row r="22" spans="1:45">
      <c r="A22" s="1" t="s">
        <v>268</v>
      </c>
      <c r="B22" s="1" t="s">
        <v>44</v>
      </c>
      <c r="C22" s="2">
        <v>1400</v>
      </c>
      <c r="D22" s="2">
        <v>700</v>
      </c>
      <c r="E22" s="3" t="s">
        <v>389</v>
      </c>
      <c r="F22" s="3" t="s">
        <v>405</v>
      </c>
      <c r="G22" s="4">
        <v>-13.6271924972534</v>
      </c>
      <c r="H22" s="4">
        <v>1.12499999999999</v>
      </c>
      <c r="I22" s="2">
        <v>48</v>
      </c>
      <c r="J22" s="5">
        <v>0.59763229658955297</v>
      </c>
      <c r="K22" s="3" t="s">
        <v>552</v>
      </c>
      <c r="L22" s="4">
        <v>78.448112487792997</v>
      </c>
      <c r="M22" s="4">
        <v>0.749999999999996</v>
      </c>
      <c r="N22" s="2">
        <v>118</v>
      </c>
      <c r="O22" s="5">
        <v>3.8733820263535201</v>
      </c>
      <c r="P22" s="3" t="s">
        <v>552</v>
      </c>
      <c r="Q22" s="6">
        <v>17.66</v>
      </c>
      <c r="R22" s="7">
        <v>2.73</v>
      </c>
      <c r="S22" s="8">
        <v>-13.6271924972534</v>
      </c>
      <c r="T22" s="8">
        <v>-13.6271924972534</v>
      </c>
      <c r="U22" s="9">
        <v>0</v>
      </c>
      <c r="V22" s="9">
        <v>0</v>
      </c>
      <c r="W22" s="8" t="s">
        <v>548</v>
      </c>
      <c r="X22" s="8">
        <v>78.448112487792997</v>
      </c>
      <c r="Y22" s="8">
        <v>78.448112487792997</v>
      </c>
      <c r="Z22" s="9">
        <v>0</v>
      </c>
      <c r="AA22" s="9">
        <v>0</v>
      </c>
      <c r="AB22" s="8" t="s">
        <v>548</v>
      </c>
      <c r="AC22" s="8">
        <v>214.05863952636699</v>
      </c>
      <c r="AD22" s="8">
        <v>3</v>
      </c>
      <c r="AE22" s="10">
        <v>1746</v>
      </c>
      <c r="AF22" s="9">
        <v>1.05</v>
      </c>
      <c r="AG22" s="8">
        <v>427.77</v>
      </c>
      <c r="AH22" s="8">
        <v>427.77</v>
      </c>
      <c r="AI22" s="11" t="s">
        <v>548</v>
      </c>
      <c r="AJ22" s="8">
        <v>0</v>
      </c>
      <c r="AK22" s="8">
        <v>2</v>
      </c>
      <c r="AL22" s="10">
        <v>1164</v>
      </c>
      <c r="AM22" s="10">
        <v>2</v>
      </c>
      <c r="AN22" s="10">
        <v>12</v>
      </c>
      <c r="AO22" s="10">
        <v>100</v>
      </c>
      <c r="AP22" s="10">
        <v>280</v>
      </c>
    </row>
    <row r="23" spans="1:45">
      <c r="A23" s="1" t="s">
        <v>268</v>
      </c>
      <c r="B23" s="1" t="s">
        <v>54</v>
      </c>
      <c r="C23" s="2">
        <v>1500</v>
      </c>
      <c r="D23" s="2">
        <v>700</v>
      </c>
      <c r="E23" s="3" t="s">
        <v>389</v>
      </c>
      <c r="F23" s="3" t="s">
        <v>405</v>
      </c>
      <c r="G23" s="4">
        <v>-14.806058883666999</v>
      </c>
      <c r="H23" s="4">
        <v>0.37499999999999101</v>
      </c>
      <c r="I23" s="2">
        <v>48</v>
      </c>
      <c r="J23" s="5">
        <v>0.64933973324341998</v>
      </c>
      <c r="K23" s="3" t="s">
        <v>549</v>
      </c>
      <c r="L23" s="4">
        <v>66.319984436035199</v>
      </c>
      <c r="M23" s="4">
        <v>0.69999999999999896</v>
      </c>
      <c r="N23" s="2">
        <v>118</v>
      </c>
      <c r="O23" s="5">
        <v>3.2705551588716499</v>
      </c>
      <c r="P23" s="3" t="s">
        <v>549</v>
      </c>
      <c r="Q23" s="6">
        <v>17.420000000000002</v>
      </c>
      <c r="R23" s="7">
        <v>3.46</v>
      </c>
      <c r="S23" s="8">
        <v>-14.806058883666999</v>
      </c>
      <c r="T23" s="8">
        <v>-14.806058883666999</v>
      </c>
      <c r="U23" s="9">
        <v>0</v>
      </c>
      <c r="V23" s="9">
        <v>0</v>
      </c>
      <c r="W23" s="8" t="s">
        <v>548</v>
      </c>
      <c r="X23" s="8">
        <v>66.319984436035199</v>
      </c>
      <c r="Y23" s="8">
        <v>66.319984436035199</v>
      </c>
      <c r="Z23" s="9">
        <v>0</v>
      </c>
      <c r="AA23" s="9">
        <v>0</v>
      </c>
      <c r="AB23" s="8" t="s">
        <v>548</v>
      </c>
      <c r="AC23" s="8">
        <v>415.28646850585898</v>
      </c>
      <c r="AD23" s="8">
        <v>3</v>
      </c>
      <c r="AE23" s="10">
        <v>1746</v>
      </c>
      <c r="AF23" s="9">
        <v>1.05</v>
      </c>
      <c r="AG23" s="8">
        <v>458.32499999999999</v>
      </c>
      <c r="AH23" s="8">
        <v>458.32499999999999</v>
      </c>
      <c r="AI23" s="11" t="s">
        <v>548</v>
      </c>
      <c r="AJ23" s="8">
        <v>0</v>
      </c>
      <c r="AK23" s="8">
        <v>2</v>
      </c>
      <c r="AL23" s="10">
        <v>1164</v>
      </c>
      <c r="AM23" s="10">
        <v>2</v>
      </c>
      <c r="AN23" s="10">
        <v>12</v>
      </c>
      <c r="AO23" s="10">
        <v>100</v>
      </c>
      <c r="AP23" s="10">
        <v>280</v>
      </c>
    </row>
    <row r="24" spans="1:45">
      <c r="A24" s="1" t="s">
        <v>268</v>
      </c>
      <c r="B24" s="1" t="s">
        <v>62</v>
      </c>
      <c r="C24" s="2">
        <v>750</v>
      </c>
      <c r="D24" s="2">
        <v>700</v>
      </c>
      <c r="E24" s="3" t="s">
        <v>389</v>
      </c>
      <c r="F24" s="3" t="s">
        <v>405</v>
      </c>
      <c r="G24" s="4">
        <v>-13.0943794250488</v>
      </c>
      <c r="H24" s="4">
        <v>0.37500000000000899</v>
      </c>
      <c r="I24" s="2">
        <v>48</v>
      </c>
      <c r="J24" s="5">
        <v>0.57462649645417896</v>
      </c>
      <c r="K24" s="3" t="s">
        <v>546</v>
      </c>
      <c r="L24" s="4">
        <v>48.293159484863303</v>
      </c>
      <c r="M24" s="4">
        <v>0.70000000000000095</v>
      </c>
      <c r="N24" s="2">
        <v>118</v>
      </c>
      <c r="O24" s="5">
        <v>2.38654621060858</v>
      </c>
      <c r="P24" s="3" t="s">
        <v>546</v>
      </c>
      <c r="Q24" s="6">
        <v>9.84</v>
      </c>
      <c r="R24" s="7">
        <v>2.37</v>
      </c>
      <c r="S24" s="8">
        <v>-13.0943794250488</v>
      </c>
      <c r="T24" s="8">
        <v>-13.0943794250488</v>
      </c>
      <c r="U24" s="9">
        <v>0</v>
      </c>
      <c r="V24" s="9">
        <v>0</v>
      </c>
      <c r="W24" s="8" t="s">
        <v>548</v>
      </c>
      <c r="X24" s="8">
        <v>48.293159484863303</v>
      </c>
      <c r="Y24" s="8">
        <v>48.293159484863303</v>
      </c>
      <c r="Z24" s="9">
        <v>0</v>
      </c>
      <c r="AA24" s="9">
        <v>0</v>
      </c>
      <c r="AB24" s="8" t="s">
        <v>548</v>
      </c>
      <c r="AC24" s="8">
        <v>341.44546508789102</v>
      </c>
      <c r="AD24" s="8">
        <v>3</v>
      </c>
      <c r="AE24" s="10">
        <v>1746</v>
      </c>
      <c r="AF24" s="9">
        <v>1.05</v>
      </c>
      <c r="AG24" s="8">
        <v>229.16249999999999</v>
      </c>
      <c r="AH24" s="8">
        <v>229.16249999999999</v>
      </c>
      <c r="AI24" s="11" t="s">
        <v>551</v>
      </c>
      <c r="AJ24" s="8">
        <v>112.282965087891</v>
      </c>
      <c r="AK24" s="8">
        <v>2</v>
      </c>
      <c r="AL24" s="10">
        <v>1164</v>
      </c>
      <c r="AM24" s="10">
        <v>2</v>
      </c>
      <c r="AN24" s="10">
        <v>12</v>
      </c>
      <c r="AO24" s="10">
        <v>100</v>
      </c>
      <c r="AP24" s="10">
        <v>280</v>
      </c>
      <c r="AQ24" s="10">
        <v>492.425768684069</v>
      </c>
      <c r="AR24" s="10">
        <v>321.69908772759499</v>
      </c>
      <c r="AS24" s="8" t="s">
        <v>548</v>
      </c>
    </row>
    <row r="25" spans="1:45">
      <c r="A25" s="1" t="s">
        <v>275</v>
      </c>
      <c r="B25" s="1" t="s">
        <v>33</v>
      </c>
      <c r="C25" s="2">
        <v>750</v>
      </c>
      <c r="D25" s="2">
        <v>700</v>
      </c>
      <c r="E25" s="3" t="s">
        <v>389</v>
      </c>
      <c r="F25" s="3" t="s">
        <v>405</v>
      </c>
      <c r="G25" s="4">
        <v>-48.059349060058601</v>
      </c>
      <c r="H25" s="4">
        <v>0.37499999999998601</v>
      </c>
      <c r="I25" s="2">
        <v>48</v>
      </c>
      <c r="J25" s="5">
        <v>2.1170808637334999</v>
      </c>
      <c r="K25" s="3" t="s">
        <v>546</v>
      </c>
      <c r="L25" s="4">
        <v>16.100709915161101</v>
      </c>
      <c r="M25" s="4">
        <v>0.749999999999998</v>
      </c>
      <c r="N25" s="2">
        <v>118</v>
      </c>
      <c r="O25" s="5">
        <v>0.79214785316657399</v>
      </c>
      <c r="P25" s="3" t="s">
        <v>546</v>
      </c>
      <c r="Q25" s="6">
        <v>2.67</v>
      </c>
      <c r="R25" s="7">
        <v>7.14</v>
      </c>
      <c r="S25" s="8">
        <v>-48.059349060058601</v>
      </c>
      <c r="T25" s="8">
        <v>-48.059349060058601</v>
      </c>
      <c r="U25" s="9">
        <v>0</v>
      </c>
      <c r="V25" s="9">
        <v>0</v>
      </c>
      <c r="W25" s="8" t="s">
        <v>548</v>
      </c>
      <c r="X25" s="8">
        <v>16.100709915161101</v>
      </c>
      <c r="Y25" s="8">
        <v>16.100709915161101</v>
      </c>
      <c r="Z25" s="9">
        <v>0</v>
      </c>
      <c r="AA25" s="9">
        <v>0</v>
      </c>
      <c r="AB25" s="8" t="s">
        <v>548</v>
      </c>
      <c r="AC25" s="8">
        <v>160.46424865722699</v>
      </c>
      <c r="AD25" s="8">
        <v>3</v>
      </c>
      <c r="AE25" s="10">
        <v>1746</v>
      </c>
      <c r="AF25" s="9">
        <v>1.05</v>
      </c>
      <c r="AG25" s="8">
        <v>229.16249999999999</v>
      </c>
      <c r="AH25" s="8">
        <v>229.16249999999999</v>
      </c>
      <c r="AI25" s="11" t="s">
        <v>548</v>
      </c>
      <c r="AJ25" s="8">
        <v>0</v>
      </c>
      <c r="AK25" s="8">
        <v>2</v>
      </c>
      <c r="AL25" s="10">
        <v>1164</v>
      </c>
      <c r="AM25" s="10">
        <v>2</v>
      </c>
      <c r="AN25" s="10">
        <v>12</v>
      </c>
      <c r="AO25" s="10">
        <v>100</v>
      </c>
      <c r="AP25" s="10">
        <v>280</v>
      </c>
    </row>
    <row r="26" spans="1:45">
      <c r="A26" s="1" t="s">
        <v>275</v>
      </c>
      <c r="B26" s="1" t="s">
        <v>52</v>
      </c>
      <c r="C26" s="2">
        <v>1500</v>
      </c>
      <c r="D26" s="2">
        <v>700</v>
      </c>
      <c r="E26" s="3" t="s">
        <v>389</v>
      </c>
      <c r="F26" s="3" t="s">
        <v>405</v>
      </c>
      <c r="G26" s="4">
        <v>-14.646939277648899</v>
      </c>
      <c r="H26" s="4">
        <v>0.375000000000901</v>
      </c>
      <c r="I26" s="2">
        <v>48</v>
      </c>
      <c r="J26" s="5">
        <v>0.64235578717039199</v>
      </c>
      <c r="K26" s="3" t="s">
        <v>549</v>
      </c>
      <c r="L26" s="4">
        <v>1</v>
      </c>
      <c r="M26" s="4" t="s">
        <v>203</v>
      </c>
      <c r="N26" s="2">
        <v>118</v>
      </c>
      <c r="O26" s="5">
        <v>4.9095133881704903E-2</v>
      </c>
      <c r="P26" s="3" t="s">
        <v>549</v>
      </c>
      <c r="Q26" s="6">
        <v>17.61</v>
      </c>
      <c r="R26" s="7" t="s">
        <v>203</v>
      </c>
      <c r="S26" s="8">
        <v>-14.646939277648899</v>
      </c>
      <c r="T26" s="8">
        <v>-14.646939277648899</v>
      </c>
      <c r="U26" s="9">
        <v>0</v>
      </c>
      <c r="V26" s="9">
        <v>0</v>
      </c>
      <c r="W26" s="8" t="s">
        <v>548</v>
      </c>
      <c r="X26" s="8">
        <v>1</v>
      </c>
      <c r="Y26" s="8">
        <v>1</v>
      </c>
      <c r="Z26" s="9">
        <v>0</v>
      </c>
      <c r="AA26" s="9">
        <v>0</v>
      </c>
      <c r="AB26" s="8" t="s">
        <v>548</v>
      </c>
      <c r="AC26" s="8">
        <v>15.474551200866699</v>
      </c>
      <c r="AD26" s="8">
        <v>3</v>
      </c>
      <c r="AE26" s="10">
        <v>1746</v>
      </c>
      <c r="AF26" s="9">
        <v>1.05</v>
      </c>
      <c r="AG26" s="8">
        <v>458.32499999999999</v>
      </c>
      <c r="AH26" s="8">
        <v>458.32499999999999</v>
      </c>
      <c r="AI26" s="11" t="s">
        <v>548</v>
      </c>
      <c r="AJ26" s="8">
        <v>0</v>
      </c>
      <c r="AK26" s="8">
        <v>2</v>
      </c>
      <c r="AL26" s="10">
        <v>1164</v>
      </c>
      <c r="AM26" s="10">
        <v>2</v>
      </c>
      <c r="AN26" s="10">
        <v>12</v>
      </c>
      <c r="AO26" s="10">
        <v>100</v>
      </c>
      <c r="AP26" s="10">
        <v>280</v>
      </c>
    </row>
    <row r="27" spans="1:45">
      <c r="A27" s="1" t="s">
        <v>280</v>
      </c>
      <c r="B27" s="1" t="s">
        <v>43</v>
      </c>
      <c r="C27" s="2">
        <v>750</v>
      </c>
      <c r="D27" s="2">
        <v>700</v>
      </c>
      <c r="E27" s="3" t="s">
        <v>389</v>
      </c>
      <c r="F27" s="3" t="s">
        <v>405</v>
      </c>
      <c r="G27" s="4">
        <v>-27.5015773773193</v>
      </c>
      <c r="H27" s="4">
        <v>0</v>
      </c>
      <c r="I27" s="2">
        <v>48</v>
      </c>
      <c r="J27" s="5">
        <v>1.2087585036900299</v>
      </c>
      <c r="K27" s="3" t="s">
        <v>546</v>
      </c>
      <c r="L27" s="4">
        <v>54.290317535400398</v>
      </c>
      <c r="M27" s="4">
        <v>0.749999999999999</v>
      </c>
      <c r="N27" s="2">
        <v>118</v>
      </c>
      <c r="O27" s="5">
        <v>2.6851447285132202</v>
      </c>
      <c r="P27" s="3" t="s">
        <v>546</v>
      </c>
      <c r="Q27" s="6">
        <v>4.68</v>
      </c>
      <c r="R27" s="7">
        <v>2.11</v>
      </c>
      <c r="S27" s="8">
        <v>-27.5015773773193</v>
      </c>
      <c r="T27" s="8">
        <v>-27.5015773773193</v>
      </c>
      <c r="U27" s="9">
        <v>0</v>
      </c>
      <c r="V27" s="9">
        <v>0</v>
      </c>
      <c r="W27" s="8" t="s">
        <v>548</v>
      </c>
      <c r="X27" s="8">
        <v>54.290317535400398</v>
      </c>
      <c r="Y27" s="8">
        <v>54.290317535400398</v>
      </c>
      <c r="Z27" s="9">
        <v>0</v>
      </c>
      <c r="AA27" s="9">
        <v>0</v>
      </c>
      <c r="AB27" s="8" t="s">
        <v>548</v>
      </c>
      <c r="AC27" s="8">
        <v>196.16807556152301</v>
      </c>
      <c r="AD27" s="8">
        <v>3</v>
      </c>
      <c r="AE27" s="10">
        <v>1746</v>
      </c>
      <c r="AF27" s="9">
        <v>1.05</v>
      </c>
      <c r="AG27" s="8">
        <v>229.16249999999999</v>
      </c>
      <c r="AH27" s="8">
        <v>229.16249999999999</v>
      </c>
      <c r="AI27" s="11" t="s">
        <v>548</v>
      </c>
      <c r="AJ27" s="8">
        <v>0</v>
      </c>
      <c r="AK27" s="8">
        <v>2</v>
      </c>
      <c r="AL27" s="10">
        <v>1164</v>
      </c>
      <c r="AM27" s="10">
        <v>2</v>
      </c>
      <c r="AN27" s="10">
        <v>12</v>
      </c>
      <c r="AO27" s="10">
        <v>100</v>
      </c>
      <c r="AP27" s="10">
        <v>280</v>
      </c>
    </row>
    <row r="28" spans="1:45">
      <c r="A28" s="1" t="s">
        <v>280</v>
      </c>
      <c r="B28" s="1" t="s">
        <v>63</v>
      </c>
      <c r="C28" s="2">
        <v>1500</v>
      </c>
      <c r="D28" s="2">
        <v>700</v>
      </c>
      <c r="E28" s="3" t="s">
        <v>389</v>
      </c>
      <c r="F28" s="3" t="s">
        <v>405</v>
      </c>
      <c r="G28" s="4">
        <v>-18.591957092285199</v>
      </c>
      <c r="H28" s="4">
        <v>0.375000000000835</v>
      </c>
      <c r="I28" s="2">
        <v>48</v>
      </c>
      <c r="J28" s="5">
        <v>0.81554282226794705</v>
      </c>
      <c r="K28" s="3" t="s">
        <v>549</v>
      </c>
      <c r="L28" s="4">
        <v>1</v>
      </c>
      <c r="M28" s="4" t="s">
        <v>203</v>
      </c>
      <c r="N28" s="2">
        <v>118</v>
      </c>
      <c r="O28" s="5">
        <v>4.9095133881704903E-2</v>
      </c>
      <c r="P28" s="3" t="s">
        <v>549</v>
      </c>
      <c r="Q28" s="6">
        <v>13.87</v>
      </c>
      <c r="R28" s="7" t="s">
        <v>203</v>
      </c>
      <c r="S28" s="8">
        <v>-18.591957092285199</v>
      </c>
      <c r="T28" s="8">
        <v>-18.591957092285199</v>
      </c>
      <c r="U28" s="9">
        <v>0</v>
      </c>
      <c r="V28" s="9">
        <v>0</v>
      </c>
      <c r="W28" s="8" t="s">
        <v>548</v>
      </c>
      <c r="X28" s="8">
        <v>1</v>
      </c>
      <c r="Y28" s="8">
        <v>1</v>
      </c>
      <c r="Z28" s="9">
        <v>0</v>
      </c>
      <c r="AA28" s="9">
        <v>0</v>
      </c>
      <c r="AB28" s="8" t="s">
        <v>548</v>
      </c>
      <c r="AC28" s="8">
        <v>19.718971252441399</v>
      </c>
      <c r="AD28" s="8">
        <v>3</v>
      </c>
      <c r="AE28" s="10">
        <v>1746</v>
      </c>
      <c r="AF28" s="9">
        <v>1.05</v>
      </c>
      <c r="AG28" s="8">
        <v>458.32499999999999</v>
      </c>
      <c r="AH28" s="8">
        <v>458.32499999999999</v>
      </c>
      <c r="AI28" s="11" t="s">
        <v>548</v>
      </c>
      <c r="AJ28" s="8">
        <v>0</v>
      </c>
      <c r="AK28" s="8">
        <v>2</v>
      </c>
      <c r="AL28" s="10">
        <v>1164</v>
      </c>
      <c r="AM28" s="10">
        <v>2</v>
      </c>
      <c r="AN28" s="10">
        <v>12</v>
      </c>
      <c r="AO28" s="10">
        <v>100</v>
      </c>
      <c r="AP28" s="10">
        <v>280</v>
      </c>
    </row>
    <row r="29" spans="1:45">
      <c r="A29" s="1" t="s">
        <v>285</v>
      </c>
      <c r="B29" s="1" t="s">
        <v>45</v>
      </c>
      <c r="C29" s="2">
        <v>750</v>
      </c>
      <c r="D29" s="2">
        <v>700</v>
      </c>
      <c r="E29" s="3" t="s">
        <v>389</v>
      </c>
      <c r="F29" s="3" t="s">
        <v>405</v>
      </c>
      <c r="G29" s="4">
        <v>-18.8439025878906</v>
      </c>
      <c r="H29" s="4">
        <v>0.37499999999999101</v>
      </c>
      <c r="I29" s="2">
        <v>48</v>
      </c>
      <c r="J29" s="5">
        <v>0.82745244903543702</v>
      </c>
      <c r="K29" s="3" t="s">
        <v>546</v>
      </c>
      <c r="L29" s="4">
        <v>64.933166503906307</v>
      </c>
      <c r="M29" s="4">
        <v>0.75</v>
      </c>
      <c r="N29" s="2">
        <v>118</v>
      </c>
      <c r="O29" s="5">
        <v>3.2162880843150301</v>
      </c>
      <c r="P29" s="3" t="s">
        <v>546</v>
      </c>
      <c r="Q29" s="6">
        <v>6.83</v>
      </c>
      <c r="R29" s="7">
        <v>1.76</v>
      </c>
      <c r="S29" s="8">
        <v>-18.8439025878906</v>
      </c>
      <c r="T29" s="8">
        <v>-18.8439025878906</v>
      </c>
      <c r="U29" s="9">
        <v>0</v>
      </c>
      <c r="V29" s="9">
        <v>0</v>
      </c>
      <c r="W29" s="8" t="s">
        <v>548</v>
      </c>
      <c r="X29" s="8">
        <v>64.933166503906307</v>
      </c>
      <c r="Y29" s="8">
        <v>64.933166503906307</v>
      </c>
      <c r="Z29" s="9">
        <v>0</v>
      </c>
      <c r="AA29" s="9">
        <v>0</v>
      </c>
      <c r="AB29" s="8" t="s">
        <v>548</v>
      </c>
      <c r="AC29" s="8">
        <v>219.555099487305</v>
      </c>
      <c r="AD29" s="8">
        <v>3</v>
      </c>
      <c r="AE29" s="10">
        <v>1746</v>
      </c>
      <c r="AF29" s="9">
        <v>1.05</v>
      </c>
      <c r="AG29" s="8">
        <v>229.16249999999999</v>
      </c>
      <c r="AH29" s="8">
        <v>229.16249999999999</v>
      </c>
      <c r="AI29" s="11" t="s">
        <v>548</v>
      </c>
      <c r="AJ29" s="8">
        <v>0</v>
      </c>
      <c r="AK29" s="8">
        <v>2</v>
      </c>
      <c r="AL29" s="10">
        <v>1164</v>
      </c>
      <c r="AM29" s="10">
        <v>2</v>
      </c>
      <c r="AN29" s="10">
        <v>12</v>
      </c>
      <c r="AO29" s="10">
        <v>100</v>
      </c>
      <c r="AP29" s="10">
        <v>280</v>
      </c>
    </row>
    <row r="30" spans="1:45">
      <c r="A30" s="1" t="s">
        <v>285</v>
      </c>
      <c r="B30" s="1" t="s">
        <v>71</v>
      </c>
      <c r="C30" s="2">
        <v>1500</v>
      </c>
      <c r="D30" s="2">
        <v>700</v>
      </c>
      <c r="E30" s="3" t="s">
        <v>389</v>
      </c>
      <c r="F30" s="3" t="s">
        <v>405</v>
      </c>
      <c r="G30" s="4">
        <v>-24.8232936859131</v>
      </c>
      <c r="H30" s="4">
        <v>0.375000000000065</v>
      </c>
      <c r="I30" s="2">
        <v>48</v>
      </c>
      <c r="J30" s="5">
        <v>1.08925090722229</v>
      </c>
      <c r="K30" s="3" t="s">
        <v>549</v>
      </c>
      <c r="L30" s="4">
        <v>1</v>
      </c>
      <c r="M30" s="4" t="s">
        <v>203</v>
      </c>
      <c r="N30" s="2">
        <v>118</v>
      </c>
      <c r="O30" s="5">
        <v>4.9095133881704903E-2</v>
      </c>
      <c r="P30" s="3" t="s">
        <v>549</v>
      </c>
      <c r="Q30" s="6">
        <v>10.38</v>
      </c>
      <c r="R30" s="7" t="s">
        <v>203</v>
      </c>
      <c r="S30" s="8">
        <v>-24.8232936859131</v>
      </c>
      <c r="T30" s="8">
        <v>-24.8232936859131</v>
      </c>
      <c r="U30" s="9">
        <v>0</v>
      </c>
      <c r="V30" s="9">
        <v>0</v>
      </c>
      <c r="W30" s="8" t="s">
        <v>548</v>
      </c>
      <c r="X30" s="8">
        <v>1</v>
      </c>
      <c r="Y30" s="8">
        <v>1</v>
      </c>
      <c r="Z30" s="9">
        <v>0</v>
      </c>
      <c r="AA30" s="9">
        <v>0</v>
      </c>
      <c r="AB30" s="8" t="s">
        <v>548</v>
      </c>
      <c r="AC30" s="8">
        <v>18.9578742980957</v>
      </c>
      <c r="AD30" s="8">
        <v>3</v>
      </c>
      <c r="AE30" s="10">
        <v>1746</v>
      </c>
      <c r="AF30" s="9">
        <v>1.05</v>
      </c>
      <c r="AG30" s="8">
        <v>458.32499999999999</v>
      </c>
      <c r="AH30" s="8">
        <v>458.32499999999999</v>
      </c>
      <c r="AI30" s="11" t="s">
        <v>548</v>
      </c>
      <c r="AJ30" s="8">
        <v>0</v>
      </c>
      <c r="AK30" s="8">
        <v>2</v>
      </c>
      <c r="AL30" s="10">
        <v>1164</v>
      </c>
      <c r="AM30" s="10">
        <v>2</v>
      </c>
      <c r="AN30" s="10">
        <v>12</v>
      </c>
      <c r="AO30" s="10">
        <v>100</v>
      </c>
      <c r="AP30" s="10">
        <v>280</v>
      </c>
    </row>
    <row r="31" spans="1:45">
      <c r="A31" s="1" t="s">
        <v>290</v>
      </c>
      <c r="B31" s="1" t="s">
        <v>36</v>
      </c>
      <c r="C31" s="2">
        <v>1400</v>
      </c>
      <c r="D31" s="2">
        <v>700</v>
      </c>
      <c r="E31" s="3" t="s">
        <v>389</v>
      </c>
      <c r="F31" s="3" t="s">
        <v>405</v>
      </c>
      <c r="G31" s="4">
        <v>-1.75952172279358</v>
      </c>
      <c r="H31" s="4">
        <v>0</v>
      </c>
      <c r="I31" s="2">
        <v>48</v>
      </c>
      <c r="J31" s="5">
        <v>7.7112232116886503E-2</v>
      </c>
      <c r="K31" s="3" t="s">
        <v>552</v>
      </c>
      <c r="L31" s="4">
        <v>71.438308715820298</v>
      </c>
      <c r="M31" s="4">
        <v>0.749999999999996</v>
      </c>
      <c r="N31" s="2">
        <v>118</v>
      </c>
      <c r="O31" s="5">
        <v>3.5254449915334898</v>
      </c>
      <c r="P31" s="3" t="s">
        <v>552</v>
      </c>
      <c r="Q31" s="6">
        <v>136.88999999999999</v>
      </c>
      <c r="R31" s="7">
        <v>2.99</v>
      </c>
      <c r="S31" s="8">
        <v>-1.75952172279358</v>
      </c>
      <c r="T31" s="8">
        <v>-1.75952172279358</v>
      </c>
      <c r="U31" s="9">
        <v>0</v>
      </c>
      <c r="V31" s="9">
        <v>0</v>
      </c>
      <c r="W31" s="8" t="s">
        <v>548</v>
      </c>
      <c r="X31" s="8">
        <v>71.438308715820298</v>
      </c>
      <c r="Y31" s="8">
        <v>71.438308715820298</v>
      </c>
      <c r="Z31" s="9">
        <v>0</v>
      </c>
      <c r="AA31" s="9">
        <v>0</v>
      </c>
      <c r="AB31" s="8" t="s">
        <v>548</v>
      </c>
      <c r="AC31" s="8">
        <v>195.27061462402301</v>
      </c>
      <c r="AD31" s="8">
        <v>3</v>
      </c>
      <c r="AE31" s="10">
        <v>1746</v>
      </c>
      <c r="AF31" s="9">
        <v>1.05</v>
      </c>
      <c r="AG31" s="8">
        <v>427.77</v>
      </c>
      <c r="AH31" s="8">
        <v>427.77</v>
      </c>
      <c r="AI31" s="11" t="s">
        <v>548</v>
      </c>
      <c r="AJ31" s="8">
        <v>0</v>
      </c>
      <c r="AK31" s="8">
        <v>2</v>
      </c>
      <c r="AL31" s="10">
        <v>1164</v>
      </c>
      <c r="AM31" s="10">
        <v>2</v>
      </c>
      <c r="AN31" s="10">
        <v>12</v>
      </c>
      <c r="AO31" s="10">
        <v>100</v>
      </c>
      <c r="AP31" s="10">
        <v>280</v>
      </c>
    </row>
    <row r="32" spans="1:45">
      <c r="A32" s="1" t="s">
        <v>290</v>
      </c>
      <c r="B32" s="1" t="s">
        <v>56</v>
      </c>
      <c r="C32" s="2">
        <v>1500</v>
      </c>
      <c r="D32" s="2">
        <v>700</v>
      </c>
      <c r="E32" s="3" t="s">
        <v>389</v>
      </c>
      <c r="F32" s="3" t="s">
        <v>405</v>
      </c>
      <c r="G32" s="4">
        <v>-8.8704957962036097</v>
      </c>
      <c r="H32" s="4">
        <v>1.0249999999999899</v>
      </c>
      <c r="I32" s="2">
        <v>48</v>
      </c>
      <c r="J32" s="5">
        <v>0.38890249775553698</v>
      </c>
      <c r="K32" s="3" t="s">
        <v>549</v>
      </c>
      <c r="L32" s="4">
        <v>57.792503356933601</v>
      </c>
      <c r="M32" s="4">
        <v>0.7</v>
      </c>
      <c r="N32" s="2">
        <v>118</v>
      </c>
      <c r="O32" s="5">
        <v>2.8483542627871499</v>
      </c>
      <c r="P32" s="3" t="s">
        <v>549</v>
      </c>
      <c r="Q32" s="6">
        <v>29.08</v>
      </c>
      <c r="R32" s="7">
        <v>3.97</v>
      </c>
      <c r="S32" s="8">
        <v>-8.8704957962036097</v>
      </c>
      <c r="T32" s="8">
        <v>-8.8704957962036097</v>
      </c>
      <c r="U32" s="9">
        <v>0</v>
      </c>
      <c r="V32" s="9">
        <v>0</v>
      </c>
      <c r="W32" s="8" t="s">
        <v>548</v>
      </c>
      <c r="X32" s="8">
        <v>57.792503356933601</v>
      </c>
      <c r="Y32" s="8">
        <v>57.792503356933601</v>
      </c>
      <c r="Z32" s="9">
        <v>0</v>
      </c>
      <c r="AA32" s="9">
        <v>0</v>
      </c>
      <c r="AB32" s="8" t="s">
        <v>548</v>
      </c>
      <c r="AC32" s="8">
        <v>414.82720947265602</v>
      </c>
      <c r="AD32" s="8">
        <v>3</v>
      </c>
      <c r="AE32" s="10">
        <v>1746</v>
      </c>
      <c r="AF32" s="9">
        <v>1.05</v>
      </c>
      <c r="AG32" s="8">
        <v>458.32499999999999</v>
      </c>
      <c r="AH32" s="8">
        <v>458.32499999999999</v>
      </c>
      <c r="AI32" s="11" t="s">
        <v>548</v>
      </c>
      <c r="AJ32" s="8">
        <v>0</v>
      </c>
      <c r="AK32" s="8">
        <v>2</v>
      </c>
      <c r="AL32" s="10">
        <v>1164</v>
      </c>
      <c r="AM32" s="10">
        <v>2</v>
      </c>
      <c r="AN32" s="10">
        <v>12</v>
      </c>
      <c r="AO32" s="10">
        <v>100</v>
      </c>
      <c r="AP32" s="10">
        <v>280</v>
      </c>
    </row>
    <row r="33" spans="1:45">
      <c r="A33" s="1" t="s">
        <v>290</v>
      </c>
      <c r="B33" s="1" t="s">
        <v>67</v>
      </c>
      <c r="C33" s="2">
        <v>750</v>
      </c>
      <c r="D33" s="2">
        <v>700</v>
      </c>
      <c r="E33" s="3" t="s">
        <v>389</v>
      </c>
      <c r="F33" s="3" t="s">
        <v>405</v>
      </c>
      <c r="G33" s="4">
        <v>-17.8612766265869</v>
      </c>
      <c r="H33" s="4">
        <v>0.37500000000000799</v>
      </c>
      <c r="I33" s="2">
        <v>48</v>
      </c>
      <c r="J33" s="5">
        <v>0.78422062531353798</v>
      </c>
      <c r="K33" s="3" t="s">
        <v>546</v>
      </c>
      <c r="L33" s="4">
        <v>39.0947875976563</v>
      </c>
      <c r="M33" s="4">
        <v>0.70000000000000195</v>
      </c>
      <c r="N33" s="2">
        <v>118</v>
      </c>
      <c r="O33" s="5">
        <v>1.9295276454416601</v>
      </c>
      <c r="P33" s="3" t="s">
        <v>546</v>
      </c>
      <c r="Q33" s="6">
        <v>7.21</v>
      </c>
      <c r="R33" s="7">
        <v>2.93</v>
      </c>
      <c r="S33" s="8">
        <v>-17.8612766265869</v>
      </c>
      <c r="T33" s="8">
        <v>-17.8612766265869</v>
      </c>
      <c r="U33" s="9">
        <v>0</v>
      </c>
      <c r="V33" s="9">
        <v>0</v>
      </c>
      <c r="W33" s="8" t="s">
        <v>548</v>
      </c>
      <c r="X33" s="8">
        <v>39.0947875976563</v>
      </c>
      <c r="Y33" s="8">
        <v>39.0947875976563</v>
      </c>
      <c r="Z33" s="9">
        <v>0</v>
      </c>
      <c r="AA33" s="9">
        <v>0</v>
      </c>
      <c r="AB33" s="8" t="s">
        <v>548</v>
      </c>
      <c r="AC33" s="8">
        <v>337.21200561523398</v>
      </c>
      <c r="AD33" s="8">
        <v>3</v>
      </c>
      <c r="AE33" s="10">
        <v>1746</v>
      </c>
      <c r="AF33" s="9">
        <v>1.05</v>
      </c>
      <c r="AG33" s="8">
        <v>229.16249999999999</v>
      </c>
      <c r="AH33" s="8">
        <v>229.16249999999999</v>
      </c>
      <c r="AI33" s="11" t="s">
        <v>551</v>
      </c>
      <c r="AJ33" s="8">
        <v>108.049505615234</v>
      </c>
      <c r="AK33" s="8">
        <v>2</v>
      </c>
      <c r="AL33" s="10">
        <v>1164</v>
      </c>
      <c r="AM33" s="10">
        <v>2</v>
      </c>
      <c r="AN33" s="10">
        <v>12</v>
      </c>
      <c r="AO33" s="10">
        <v>100</v>
      </c>
      <c r="AP33" s="10">
        <v>280</v>
      </c>
      <c r="AQ33" s="10">
        <v>511.719374176717</v>
      </c>
      <c r="AR33" s="10">
        <v>321.69908772759499</v>
      </c>
      <c r="AS33" s="8" t="s">
        <v>548</v>
      </c>
    </row>
    <row r="34" spans="1:45">
      <c r="A34" s="1" t="s">
        <v>297</v>
      </c>
      <c r="B34" s="1" t="s">
        <v>37</v>
      </c>
      <c r="C34" s="2">
        <v>1400</v>
      </c>
      <c r="D34" s="2">
        <v>700</v>
      </c>
      <c r="E34" s="3" t="s">
        <v>389</v>
      </c>
      <c r="F34" s="3" t="s">
        <v>405</v>
      </c>
      <c r="G34" s="4">
        <v>-1</v>
      </c>
      <c r="H34" s="4" t="s">
        <v>203</v>
      </c>
      <c r="I34" s="2">
        <v>48</v>
      </c>
      <c r="J34" s="5">
        <v>4.3823748762181002E-2</v>
      </c>
      <c r="K34" s="3" t="s">
        <v>552</v>
      </c>
      <c r="L34" s="4">
        <v>112.561088562012</v>
      </c>
      <c r="M34" s="4">
        <v>0.749999999999998</v>
      </c>
      <c r="N34" s="2">
        <v>118</v>
      </c>
      <c r="O34" s="5">
        <v>5.5718111710226097</v>
      </c>
      <c r="P34" s="3" t="s">
        <v>552</v>
      </c>
      <c r="Q34" s="6" t="s">
        <v>203</v>
      </c>
      <c r="R34" s="7">
        <v>1.89</v>
      </c>
      <c r="S34" s="8">
        <v>-1</v>
      </c>
      <c r="T34" s="8">
        <v>-1</v>
      </c>
      <c r="U34" s="9">
        <v>0</v>
      </c>
      <c r="V34" s="9">
        <v>0</v>
      </c>
      <c r="W34" s="8" t="s">
        <v>548</v>
      </c>
      <c r="X34" s="8">
        <v>112.561088562012</v>
      </c>
      <c r="Y34" s="8">
        <v>112.561088562012</v>
      </c>
      <c r="Z34" s="9">
        <v>0</v>
      </c>
      <c r="AA34" s="9">
        <v>0</v>
      </c>
      <c r="AB34" s="8" t="s">
        <v>548</v>
      </c>
      <c r="AC34" s="8">
        <v>254.38998413085901</v>
      </c>
      <c r="AD34" s="8">
        <v>3</v>
      </c>
      <c r="AE34" s="10">
        <v>1746</v>
      </c>
      <c r="AF34" s="9">
        <v>1.05</v>
      </c>
      <c r="AG34" s="8">
        <v>427.77</v>
      </c>
      <c r="AH34" s="8">
        <v>427.77</v>
      </c>
      <c r="AI34" s="11" t="s">
        <v>548</v>
      </c>
      <c r="AJ34" s="8">
        <v>0</v>
      </c>
      <c r="AK34" s="8">
        <v>2</v>
      </c>
      <c r="AL34" s="10">
        <v>1164</v>
      </c>
      <c r="AM34" s="10">
        <v>2</v>
      </c>
      <c r="AN34" s="10">
        <v>12</v>
      </c>
      <c r="AO34" s="10">
        <v>100</v>
      </c>
      <c r="AP34" s="10">
        <v>280</v>
      </c>
    </row>
    <row r="35" spans="1:45">
      <c r="A35" s="1" t="s">
        <v>297</v>
      </c>
      <c r="B35" s="1" t="s">
        <v>57</v>
      </c>
      <c r="C35" s="2">
        <v>1500</v>
      </c>
      <c r="D35" s="2">
        <v>700</v>
      </c>
      <c r="E35" s="3" t="s">
        <v>389</v>
      </c>
      <c r="F35" s="3" t="s">
        <v>405</v>
      </c>
      <c r="G35" s="4">
        <v>-15.027427673339799</v>
      </c>
      <c r="H35" s="4">
        <v>1.0249999999999899</v>
      </c>
      <c r="I35" s="2">
        <v>48</v>
      </c>
      <c r="J35" s="5">
        <v>0.65905606953590001</v>
      </c>
      <c r="K35" s="3" t="s">
        <v>549</v>
      </c>
      <c r="L35" s="4">
        <v>66.8565673828125</v>
      </c>
      <c r="M35" s="4">
        <v>0.7</v>
      </c>
      <c r="N35" s="2">
        <v>118</v>
      </c>
      <c r="O35" s="5">
        <v>3.29713834829208</v>
      </c>
      <c r="P35" s="3" t="s">
        <v>549</v>
      </c>
      <c r="Q35" s="6">
        <v>17.16</v>
      </c>
      <c r="R35" s="7">
        <v>3.43</v>
      </c>
      <c r="S35" s="8">
        <v>-15.027427673339799</v>
      </c>
      <c r="T35" s="8">
        <v>-15.027427673339799</v>
      </c>
      <c r="U35" s="9">
        <v>0</v>
      </c>
      <c r="V35" s="9">
        <v>0</v>
      </c>
      <c r="W35" s="8" t="s">
        <v>548</v>
      </c>
      <c r="X35" s="8">
        <v>66.8565673828125</v>
      </c>
      <c r="Y35" s="8">
        <v>66.8565673828125</v>
      </c>
      <c r="Z35" s="9">
        <v>0</v>
      </c>
      <c r="AA35" s="9">
        <v>0</v>
      </c>
      <c r="AB35" s="8" t="s">
        <v>548</v>
      </c>
      <c r="AC35" s="8">
        <v>522.87652587890602</v>
      </c>
      <c r="AD35" s="8">
        <v>3</v>
      </c>
      <c r="AE35" s="10">
        <v>1746</v>
      </c>
      <c r="AF35" s="9">
        <v>1.05</v>
      </c>
      <c r="AG35" s="8">
        <v>458.32499999999999</v>
      </c>
      <c r="AH35" s="8">
        <v>458.32499999999999</v>
      </c>
      <c r="AI35" s="11" t="s">
        <v>551</v>
      </c>
      <c r="AJ35" s="8">
        <v>64.551525878906006</v>
      </c>
      <c r="AK35" s="8">
        <v>2</v>
      </c>
      <c r="AL35" s="10">
        <v>1164</v>
      </c>
      <c r="AM35" s="10">
        <v>2</v>
      </c>
      <c r="AN35" s="10">
        <v>12</v>
      </c>
      <c r="AO35" s="10">
        <v>100</v>
      </c>
      <c r="AP35" s="10">
        <v>280</v>
      </c>
      <c r="AQ35" s="10">
        <v>856.54095144479197</v>
      </c>
      <c r="AR35" s="10">
        <v>160.84954386379701</v>
      </c>
      <c r="AS35" s="8" t="s">
        <v>548</v>
      </c>
    </row>
    <row r="36" spans="1:45">
      <c r="A36" s="1" t="s">
        <v>297</v>
      </c>
      <c r="B36" s="1" t="s">
        <v>68</v>
      </c>
      <c r="C36" s="2">
        <v>750</v>
      </c>
      <c r="D36" s="2">
        <v>700</v>
      </c>
      <c r="E36" s="3" t="s">
        <v>389</v>
      </c>
      <c r="F36" s="3" t="s">
        <v>405</v>
      </c>
      <c r="G36" s="4">
        <v>-24.214061737060501</v>
      </c>
      <c r="H36" s="4">
        <v>0.37500000000000699</v>
      </c>
      <c r="I36" s="2">
        <v>48</v>
      </c>
      <c r="J36" s="5">
        <v>1.06388297285398</v>
      </c>
      <c r="K36" s="3" t="s">
        <v>546</v>
      </c>
      <c r="L36" s="4">
        <v>46.188114166259801</v>
      </c>
      <c r="M36" s="4">
        <v>0.70000000000000095</v>
      </c>
      <c r="N36" s="2">
        <v>118</v>
      </c>
      <c r="O36" s="5">
        <v>2.2818543970810401</v>
      </c>
      <c r="P36" s="3" t="s">
        <v>546</v>
      </c>
      <c r="Q36" s="6">
        <v>5.32</v>
      </c>
      <c r="R36" s="7">
        <v>2.48</v>
      </c>
      <c r="S36" s="8">
        <v>-24.214061737060501</v>
      </c>
      <c r="T36" s="8">
        <v>-24.214061737060501</v>
      </c>
      <c r="U36" s="9">
        <v>0</v>
      </c>
      <c r="V36" s="9">
        <v>0</v>
      </c>
      <c r="W36" s="8" t="s">
        <v>548</v>
      </c>
      <c r="X36" s="8">
        <v>46.188114166259801</v>
      </c>
      <c r="Y36" s="8">
        <v>46.188114166259801</v>
      </c>
      <c r="Z36" s="9">
        <v>0</v>
      </c>
      <c r="AA36" s="9">
        <v>0</v>
      </c>
      <c r="AB36" s="8" t="s">
        <v>548</v>
      </c>
      <c r="AC36" s="8">
        <v>429.49700927734398</v>
      </c>
      <c r="AD36" s="8">
        <v>3</v>
      </c>
      <c r="AE36" s="10">
        <v>1746</v>
      </c>
      <c r="AF36" s="9">
        <v>1.05</v>
      </c>
      <c r="AG36" s="8">
        <v>229.16249999999999</v>
      </c>
      <c r="AH36" s="8">
        <v>229.16249999999999</v>
      </c>
      <c r="AI36" s="11" t="s">
        <v>551</v>
      </c>
      <c r="AJ36" s="8">
        <v>200.33450927734401</v>
      </c>
      <c r="AK36" s="8">
        <v>2</v>
      </c>
      <c r="AL36" s="10">
        <v>1164</v>
      </c>
      <c r="AM36" s="10">
        <v>2</v>
      </c>
      <c r="AN36" s="10">
        <v>12</v>
      </c>
      <c r="AO36" s="10">
        <v>100</v>
      </c>
      <c r="AP36" s="10">
        <v>280</v>
      </c>
      <c r="AQ36" s="10">
        <v>275.99351501136601</v>
      </c>
      <c r="AR36" s="10">
        <v>321.69908772759499</v>
      </c>
      <c r="AS36" s="8" t="s">
        <v>548</v>
      </c>
    </row>
    <row r="37" spans="1:45">
      <c r="A37" s="1" t="s">
        <v>29</v>
      </c>
      <c r="B37" s="1" t="s">
        <v>38</v>
      </c>
      <c r="C37" s="2">
        <v>1400</v>
      </c>
      <c r="D37" s="2">
        <v>700</v>
      </c>
      <c r="E37" s="3" t="s">
        <v>389</v>
      </c>
      <c r="F37" s="3" t="s">
        <v>405</v>
      </c>
      <c r="G37" s="4">
        <v>-1</v>
      </c>
      <c r="H37" s="4" t="s">
        <v>203</v>
      </c>
      <c r="I37" s="2">
        <v>48</v>
      </c>
      <c r="J37" s="5">
        <v>4.3823748762181002E-2</v>
      </c>
      <c r="K37" s="3" t="s">
        <v>552</v>
      </c>
      <c r="L37" s="4">
        <v>119.574668884277</v>
      </c>
      <c r="M37" s="4">
        <v>0.749999999999999</v>
      </c>
      <c r="N37" s="2">
        <v>118</v>
      </c>
      <c r="O37" s="5">
        <v>5.9220838455530798</v>
      </c>
      <c r="P37" s="3" t="s">
        <v>552</v>
      </c>
      <c r="Q37" s="6" t="s">
        <v>203</v>
      </c>
      <c r="R37" s="7">
        <v>1.78</v>
      </c>
      <c r="S37" s="8">
        <v>-1</v>
      </c>
      <c r="T37" s="8">
        <v>-1</v>
      </c>
      <c r="U37" s="9">
        <v>0</v>
      </c>
      <c r="V37" s="9">
        <v>0</v>
      </c>
      <c r="W37" s="8" t="s">
        <v>548</v>
      </c>
      <c r="X37" s="8">
        <v>119.574668884277</v>
      </c>
      <c r="Y37" s="8">
        <v>119.574668884277</v>
      </c>
      <c r="Z37" s="9">
        <v>0</v>
      </c>
      <c r="AA37" s="9">
        <v>0</v>
      </c>
      <c r="AB37" s="8" t="s">
        <v>548</v>
      </c>
      <c r="AC37" s="8">
        <v>265.12466430664102</v>
      </c>
      <c r="AD37" s="8">
        <v>3</v>
      </c>
      <c r="AE37" s="10">
        <v>1746</v>
      </c>
      <c r="AF37" s="9">
        <v>1.05</v>
      </c>
      <c r="AG37" s="8">
        <v>427.77</v>
      </c>
      <c r="AH37" s="8">
        <v>427.77</v>
      </c>
      <c r="AI37" s="11" t="s">
        <v>548</v>
      </c>
      <c r="AJ37" s="8">
        <v>0</v>
      </c>
      <c r="AK37" s="8">
        <v>2</v>
      </c>
      <c r="AL37" s="10">
        <v>1164</v>
      </c>
      <c r="AM37" s="10">
        <v>2</v>
      </c>
      <c r="AN37" s="10">
        <v>12</v>
      </c>
      <c r="AO37" s="10">
        <v>100</v>
      </c>
      <c r="AP37" s="10">
        <v>280</v>
      </c>
    </row>
    <row r="38" spans="1:45">
      <c r="A38" s="1" t="s">
        <v>29</v>
      </c>
      <c r="B38" s="1" t="s">
        <v>58</v>
      </c>
      <c r="C38" s="2">
        <v>1500</v>
      </c>
      <c r="D38" s="2">
        <v>700</v>
      </c>
      <c r="E38" s="3" t="s">
        <v>389</v>
      </c>
      <c r="F38" s="3" t="s">
        <v>405</v>
      </c>
      <c r="G38" s="4">
        <v>-15.367501258850099</v>
      </c>
      <c r="H38" s="4">
        <v>1.0249999999999899</v>
      </c>
      <c r="I38" s="2">
        <v>48</v>
      </c>
      <c r="J38" s="5">
        <v>0.67398306072360803</v>
      </c>
      <c r="K38" s="3" t="s">
        <v>549</v>
      </c>
      <c r="L38" s="4">
        <v>70.123710632324205</v>
      </c>
      <c r="M38" s="4">
        <v>0.7</v>
      </c>
      <c r="N38" s="2">
        <v>118</v>
      </c>
      <c r="O38" s="5">
        <v>3.4590404978406202</v>
      </c>
      <c r="P38" s="3" t="s">
        <v>549</v>
      </c>
      <c r="Q38" s="6">
        <v>16.78</v>
      </c>
      <c r="R38" s="7">
        <v>3.27</v>
      </c>
      <c r="S38" s="8">
        <v>-15.367501258850099</v>
      </c>
      <c r="T38" s="8">
        <v>-15.367501258850099</v>
      </c>
      <c r="U38" s="9">
        <v>0</v>
      </c>
      <c r="V38" s="9">
        <v>0</v>
      </c>
      <c r="W38" s="8" t="s">
        <v>548</v>
      </c>
      <c r="X38" s="8">
        <v>70.123710632324205</v>
      </c>
      <c r="Y38" s="8">
        <v>70.123710632324205</v>
      </c>
      <c r="Z38" s="9">
        <v>0</v>
      </c>
      <c r="AA38" s="9">
        <v>0</v>
      </c>
      <c r="AB38" s="8" t="s">
        <v>548</v>
      </c>
      <c r="AC38" s="8">
        <v>543.99603271484398</v>
      </c>
      <c r="AD38" s="8">
        <v>3</v>
      </c>
      <c r="AE38" s="10">
        <v>1746</v>
      </c>
      <c r="AF38" s="9">
        <v>1.05</v>
      </c>
      <c r="AG38" s="8">
        <v>458.32499999999999</v>
      </c>
      <c r="AH38" s="8">
        <v>458.32499999999999</v>
      </c>
      <c r="AI38" s="11" t="s">
        <v>551</v>
      </c>
      <c r="AJ38" s="8">
        <v>85.671032714843903</v>
      </c>
      <c r="AK38" s="8">
        <v>2</v>
      </c>
      <c r="AL38" s="10">
        <v>1164</v>
      </c>
      <c r="AM38" s="10">
        <v>2</v>
      </c>
      <c r="AN38" s="10">
        <v>12</v>
      </c>
      <c r="AO38" s="10">
        <v>100</v>
      </c>
      <c r="AP38" s="10">
        <v>280</v>
      </c>
      <c r="AQ38" s="10">
        <v>645.387637354243</v>
      </c>
      <c r="AR38" s="10">
        <v>160.84954386379701</v>
      </c>
      <c r="AS38" s="8" t="s">
        <v>548</v>
      </c>
    </row>
    <row r="39" spans="1:45">
      <c r="A39" s="1" t="s">
        <v>29</v>
      </c>
      <c r="B39" s="1" t="s">
        <v>69</v>
      </c>
      <c r="C39" s="2">
        <v>750</v>
      </c>
      <c r="D39" s="2">
        <v>700</v>
      </c>
      <c r="E39" s="3" t="s">
        <v>389</v>
      </c>
      <c r="F39" s="3" t="s">
        <v>405</v>
      </c>
      <c r="G39" s="4">
        <v>-24.9632892608643</v>
      </c>
      <c r="H39" s="4">
        <v>0.37500000000000699</v>
      </c>
      <c r="I39" s="2">
        <v>48</v>
      </c>
      <c r="J39" s="5">
        <v>1.0968910608217299</v>
      </c>
      <c r="K39" s="3" t="s">
        <v>546</v>
      </c>
      <c r="L39" s="4">
        <v>48.302616119384801</v>
      </c>
      <c r="M39" s="4">
        <v>0.70000000000000095</v>
      </c>
      <c r="N39" s="2">
        <v>118</v>
      </c>
      <c r="O39" s="5">
        <v>2.3870166631582599</v>
      </c>
      <c r="P39" s="3" t="s">
        <v>546</v>
      </c>
      <c r="Q39" s="6">
        <v>5.16</v>
      </c>
      <c r="R39" s="7">
        <v>2.37</v>
      </c>
      <c r="S39" s="8">
        <v>-24.9632892608643</v>
      </c>
      <c r="T39" s="8">
        <v>-24.9632892608643</v>
      </c>
      <c r="U39" s="9">
        <v>0</v>
      </c>
      <c r="V39" s="9">
        <v>0</v>
      </c>
      <c r="W39" s="8" t="s">
        <v>548</v>
      </c>
      <c r="X39" s="8">
        <v>48.302616119384801</v>
      </c>
      <c r="Y39" s="8">
        <v>48.302616119384801</v>
      </c>
      <c r="Z39" s="9">
        <v>0</v>
      </c>
      <c r="AA39" s="9">
        <v>0</v>
      </c>
      <c r="AB39" s="8" t="s">
        <v>548</v>
      </c>
      <c r="AC39" s="8">
        <v>448.00592041015602</v>
      </c>
      <c r="AD39" s="8">
        <v>3</v>
      </c>
      <c r="AE39" s="10">
        <v>1746</v>
      </c>
      <c r="AF39" s="9">
        <v>1.05</v>
      </c>
      <c r="AG39" s="8">
        <v>229.16249999999999</v>
      </c>
      <c r="AH39" s="8">
        <v>229.16249999999999</v>
      </c>
      <c r="AI39" s="11" t="s">
        <v>551</v>
      </c>
      <c r="AJ39" s="8">
        <v>218.843420410156</v>
      </c>
      <c r="AK39" s="8">
        <v>2</v>
      </c>
      <c r="AL39" s="10">
        <v>1164</v>
      </c>
      <c r="AM39" s="10">
        <v>2</v>
      </c>
      <c r="AN39" s="10">
        <v>12</v>
      </c>
      <c r="AO39" s="10">
        <v>100</v>
      </c>
      <c r="AP39" s="10">
        <v>280</v>
      </c>
      <c r="AQ39" s="10">
        <v>252.651074863959</v>
      </c>
      <c r="AR39" s="10">
        <v>321.69908772759499</v>
      </c>
      <c r="AS39" s="8" t="s">
        <v>548</v>
      </c>
    </row>
    <row r="40" spans="1:45">
      <c r="A40" s="1" t="s">
        <v>310</v>
      </c>
      <c r="B40" s="1" t="s">
        <v>39</v>
      </c>
      <c r="C40" s="2">
        <v>1400</v>
      </c>
      <c r="D40" s="2">
        <v>700</v>
      </c>
      <c r="E40" s="3" t="s">
        <v>389</v>
      </c>
      <c r="F40" s="3" t="s">
        <v>405</v>
      </c>
      <c r="G40" s="4">
        <v>-1.43416965007782</v>
      </c>
      <c r="H40" s="4">
        <v>0.37499999999999101</v>
      </c>
      <c r="I40" s="2">
        <v>48</v>
      </c>
      <c r="J40" s="5">
        <v>6.2852271841583304E-2</v>
      </c>
      <c r="K40" s="3" t="s">
        <v>552</v>
      </c>
      <c r="L40" s="4">
        <v>83.540199279785199</v>
      </c>
      <c r="M40" s="4">
        <v>0.75</v>
      </c>
      <c r="N40" s="2">
        <v>118</v>
      </c>
      <c r="O40" s="5">
        <v>4.1263593612902101</v>
      </c>
      <c r="P40" s="3" t="s">
        <v>552</v>
      </c>
      <c r="Q40" s="6">
        <v>167.95</v>
      </c>
      <c r="R40" s="7">
        <v>2.56</v>
      </c>
      <c r="S40" s="8">
        <v>-1.43416965007782</v>
      </c>
      <c r="T40" s="8">
        <v>-1.43416965007782</v>
      </c>
      <c r="U40" s="9">
        <v>0</v>
      </c>
      <c r="V40" s="9">
        <v>0</v>
      </c>
      <c r="W40" s="8" t="s">
        <v>548</v>
      </c>
      <c r="X40" s="8">
        <v>83.540199279785199</v>
      </c>
      <c r="Y40" s="8">
        <v>83.540199279785199</v>
      </c>
      <c r="Z40" s="9">
        <v>0</v>
      </c>
      <c r="AA40" s="9">
        <v>0</v>
      </c>
      <c r="AB40" s="8" t="s">
        <v>548</v>
      </c>
      <c r="AC40" s="8">
        <v>227.09750366210901</v>
      </c>
      <c r="AD40" s="8">
        <v>3</v>
      </c>
      <c r="AE40" s="10">
        <v>1746</v>
      </c>
      <c r="AF40" s="9">
        <v>1.05</v>
      </c>
      <c r="AG40" s="8">
        <v>427.77</v>
      </c>
      <c r="AH40" s="8">
        <v>427.77</v>
      </c>
      <c r="AI40" s="11" t="s">
        <v>548</v>
      </c>
      <c r="AJ40" s="8">
        <v>0</v>
      </c>
      <c r="AK40" s="8">
        <v>2</v>
      </c>
      <c r="AL40" s="10">
        <v>1164</v>
      </c>
      <c r="AM40" s="10">
        <v>2</v>
      </c>
      <c r="AN40" s="10">
        <v>12</v>
      </c>
      <c r="AO40" s="10">
        <v>100</v>
      </c>
      <c r="AP40" s="10">
        <v>280</v>
      </c>
    </row>
    <row r="41" spans="1:45">
      <c r="A41" s="1" t="s">
        <v>310</v>
      </c>
      <c r="B41" s="1" t="s">
        <v>59</v>
      </c>
      <c r="C41" s="2">
        <v>1500</v>
      </c>
      <c r="D41" s="2">
        <v>700</v>
      </c>
      <c r="E41" s="3" t="s">
        <v>389</v>
      </c>
      <c r="F41" s="3" t="s">
        <v>405</v>
      </c>
      <c r="G41" s="4">
        <v>-23.8609294891357</v>
      </c>
      <c r="H41" s="4">
        <v>1.0249999999999899</v>
      </c>
      <c r="I41" s="2">
        <v>48</v>
      </c>
      <c r="J41" s="5">
        <v>1.04696747698357</v>
      </c>
      <c r="K41" s="3" t="s">
        <v>549</v>
      </c>
      <c r="L41" s="4">
        <v>49.327690124511697</v>
      </c>
      <c r="M41" s="4">
        <v>0.7</v>
      </c>
      <c r="N41" s="2">
        <v>118</v>
      </c>
      <c r="O41" s="5">
        <v>2.4297468282029402</v>
      </c>
      <c r="P41" s="3" t="s">
        <v>549</v>
      </c>
      <c r="Q41" s="6">
        <v>10.8</v>
      </c>
      <c r="R41" s="7">
        <v>4.6500000000000004</v>
      </c>
      <c r="S41" s="8">
        <v>-23.8609294891357</v>
      </c>
      <c r="T41" s="8">
        <v>-23.8609294891357</v>
      </c>
      <c r="U41" s="9">
        <v>0</v>
      </c>
      <c r="V41" s="9">
        <v>0</v>
      </c>
      <c r="W41" s="8" t="s">
        <v>548</v>
      </c>
      <c r="X41" s="8">
        <v>49.327690124511697</v>
      </c>
      <c r="Y41" s="8">
        <v>49.327690124511697</v>
      </c>
      <c r="Z41" s="9">
        <v>0</v>
      </c>
      <c r="AA41" s="9">
        <v>0</v>
      </c>
      <c r="AB41" s="8" t="s">
        <v>548</v>
      </c>
      <c r="AC41" s="8">
        <v>485.44760131835898</v>
      </c>
      <c r="AD41" s="8">
        <v>3</v>
      </c>
      <c r="AE41" s="10">
        <v>1746</v>
      </c>
      <c r="AF41" s="9">
        <v>1.05</v>
      </c>
      <c r="AG41" s="8">
        <v>458.32499999999999</v>
      </c>
      <c r="AH41" s="8">
        <v>458.32499999999999</v>
      </c>
      <c r="AI41" s="11" t="s">
        <v>551</v>
      </c>
      <c r="AJ41" s="8">
        <v>27.1226013183589</v>
      </c>
      <c r="AK41" s="8">
        <v>2</v>
      </c>
      <c r="AL41" s="10">
        <v>1164</v>
      </c>
      <c r="AM41" s="10">
        <v>2</v>
      </c>
      <c r="AN41" s="10">
        <v>12</v>
      </c>
      <c r="AO41" s="10">
        <v>100</v>
      </c>
      <c r="AP41" s="10">
        <v>280</v>
      </c>
      <c r="AQ41" s="10">
        <v>2038.5590874760801</v>
      </c>
      <c r="AR41" s="10">
        <v>160.84954386379701</v>
      </c>
      <c r="AS41" s="8" t="s">
        <v>548</v>
      </c>
    </row>
    <row r="42" spans="1:45">
      <c r="A42" s="1" t="s">
        <v>310</v>
      </c>
      <c r="B42" s="1" t="s">
        <v>70</v>
      </c>
      <c r="C42" s="2">
        <v>750</v>
      </c>
      <c r="D42" s="2">
        <v>700</v>
      </c>
      <c r="E42" s="3" t="s">
        <v>389</v>
      </c>
      <c r="F42" s="3" t="s">
        <v>405</v>
      </c>
      <c r="G42" s="4">
        <v>-29.533596038818398</v>
      </c>
      <c r="H42" s="4">
        <v>0.37500000000000699</v>
      </c>
      <c r="I42" s="2">
        <v>48</v>
      </c>
      <c r="J42" s="5">
        <v>1.2983584449869401</v>
      </c>
      <c r="K42" s="3" t="s">
        <v>546</v>
      </c>
      <c r="L42" s="4">
        <v>31.238084793090799</v>
      </c>
      <c r="M42" s="4">
        <v>0.70000000000000095</v>
      </c>
      <c r="N42" s="2">
        <v>118</v>
      </c>
      <c r="O42" s="5">
        <v>1.5400919795255299</v>
      </c>
      <c r="P42" s="3" t="s">
        <v>546</v>
      </c>
      <c r="Q42" s="6">
        <v>4.3600000000000003</v>
      </c>
      <c r="R42" s="7">
        <v>3.67</v>
      </c>
      <c r="S42" s="8">
        <v>-29.533596038818398</v>
      </c>
      <c r="T42" s="8">
        <v>-29.533596038818398</v>
      </c>
      <c r="U42" s="9">
        <v>0</v>
      </c>
      <c r="V42" s="9">
        <v>0</v>
      </c>
      <c r="W42" s="8" t="s">
        <v>548</v>
      </c>
      <c r="X42" s="8">
        <v>31.238084793090799</v>
      </c>
      <c r="Y42" s="8">
        <v>31.238084793090799</v>
      </c>
      <c r="Z42" s="9">
        <v>0</v>
      </c>
      <c r="AA42" s="9">
        <v>0</v>
      </c>
      <c r="AB42" s="8" t="s">
        <v>548</v>
      </c>
      <c r="AC42" s="8">
        <v>390.06558227539102</v>
      </c>
      <c r="AD42" s="8">
        <v>3</v>
      </c>
      <c r="AE42" s="10">
        <v>1746</v>
      </c>
      <c r="AF42" s="9">
        <v>1.05</v>
      </c>
      <c r="AG42" s="8">
        <v>229.16249999999999</v>
      </c>
      <c r="AH42" s="8">
        <v>229.16249999999999</v>
      </c>
      <c r="AI42" s="11" t="s">
        <v>551</v>
      </c>
      <c r="AJ42" s="8">
        <v>160.903082275391</v>
      </c>
      <c r="AK42" s="8">
        <v>2</v>
      </c>
      <c r="AL42" s="10">
        <v>1164</v>
      </c>
      <c r="AM42" s="10">
        <v>2</v>
      </c>
      <c r="AN42" s="10">
        <v>12</v>
      </c>
      <c r="AO42" s="10">
        <v>100</v>
      </c>
      <c r="AP42" s="10">
        <v>280</v>
      </c>
      <c r="AQ42" s="10">
        <v>343.62937373007401</v>
      </c>
      <c r="AR42" s="10">
        <v>321.69908772759499</v>
      </c>
      <c r="AS42" s="8" t="s">
        <v>548</v>
      </c>
    </row>
    <row r="43" spans="1:45">
      <c r="A43" s="1" t="s">
        <v>317</v>
      </c>
      <c r="B43" s="1" t="s">
        <v>48</v>
      </c>
      <c r="C43" s="2">
        <v>750</v>
      </c>
      <c r="D43" s="2">
        <v>700</v>
      </c>
      <c r="E43" s="3" t="s">
        <v>389</v>
      </c>
      <c r="F43" s="3" t="s">
        <v>405</v>
      </c>
      <c r="G43" s="4">
        <v>-3.9234483242034899</v>
      </c>
      <c r="H43" s="4">
        <v>0.37499999999997902</v>
      </c>
      <c r="I43" s="2">
        <v>48</v>
      </c>
      <c r="J43" s="5">
        <v>0.172003269624868</v>
      </c>
      <c r="K43" s="3" t="s">
        <v>546</v>
      </c>
      <c r="L43" s="4">
        <v>59.755470275878899</v>
      </c>
      <c r="M43" s="4">
        <v>0.75000000000067502</v>
      </c>
      <c r="N43" s="2">
        <v>118</v>
      </c>
      <c r="O43" s="5">
        <v>2.9576912222135698</v>
      </c>
      <c r="P43" s="3" t="s">
        <v>546</v>
      </c>
      <c r="Q43" s="6">
        <v>32.880000000000003</v>
      </c>
      <c r="R43" s="7">
        <v>1.91</v>
      </c>
      <c r="S43" s="8">
        <v>-3.9234483242034899</v>
      </c>
      <c r="T43" s="8">
        <v>-3.9234483242034899</v>
      </c>
      <c r="U43" s="9">
        <v>0</v>
      </c>
      <c r="V43" s="9">
        <v>0</v>
      </c>
      <c r="W43" s="8" t="s">
        <v>548</v>
      </c>
      <c r="X43" s="8">
        <v>59.755470275878899</v>
      </c>
      <c r="Y43" s="8">
        <v>59.755470275878899</v>
      </c>
      <c r="Z43" s="9">
        <v>0</v>
      </c>
      <c r="AA43" s="9">
        <v>0</v>
      </c>
      <c r="AB43" s="8" t="s">
        <v>548</v>
      </c>
      <c r="AC43" s="8">
        <v>166.65498352050801</v>
      </c>
      <c r="AD43" s="8">
        <v>3</v>
      </c>
      <c r="AE43" s="10">
        <v>1746</v>
      </c>
      <c r="AF43" s="9">
        <v>1.05</v>
      </c>
      <c r="AG43" s="8">
        <v>229.16249999999999</v>
      </c>
      <c r="AH43" s="8">
        <v>229.16249999999999</v>
      </c>
      <c r="AI43" s="11" t="s">
        <v>548</v>
      </c>
      <c r="AJ43" s="8">
        <v>0</v>
      </c>
      <c r="AK43" s="8">
        <v>2</v>
      </c>
      <c r="AL43" s="10">
        <v>1164</v>
      </c>
      <c r="AM43" s="10">
        <v>2</v>
      </c>
      <c r="AN43" s="10">
        <v>12</v>
      </c>
      <c r="AO43" s="10">
        <v>100</v>
      </c>
      <c r="AP43" s="10">
        <v>280</v>
      </c>
    </row>
    <row r="44" spans="1:45">
      <c r="A44" s="1" t="s">
        <v>317</v>
      </c>
      <c r="B44" s="1" t="s">
        <v>53</v>
      </c>
      <c r="C44" s="2">
        <v>1500</v>
      </c>
      <c r="D44" s="2">
        <v>700</v>
      </c>
      <c r="E44" s="3" t="s">
        <v>389</v>
      </c>
      <c r="F44" s="3" t="s">
        <v>405</v>
      </c>
      <c r="G44" s="4">
        <v>-17.479387283325199</v>
      </c>
      <c r="H44" s="4">
        <v>0.37500000000044698</v>
      </c>
      <c r="I44" s="2">
        <v>48</v>
      </c>
      <c r="J44" s="5">
        <v>0.76669328639327405</v>
      </c>
      <c r="K44" s="3" t="s">
        <v>549</v>
      </c>
      <c r="L44" s="4">
        <v>1</v>
      </c>
      <c r="M44" s="4" t="s">
        <v>203</v>
      </c>
      <c r="N44" s="2">
        <v>118</v>
      </c>
      <c r="O44" s="5">
        <v>4.9095133881704903E-2</v>
      </c>
      <c r="P44" s="3" t="s">
        <v>549</v>
      </c>
      <c r="Q44" s="6">
        <v>14.75</v>
      </c>
      <c r="R44" s="7" t="s">
        <v>203</v>
      </c>
      <c r="S44" s="8">
        <v>-17.479387283325199</v>
      </c>
      <c r="T44" s="8">
        <v>-17.479387283325199</v>
      </c>
      <c r="U44" s="9">
        <v>0</v>
      </c>
      <c r="V44" s="9">
        <v>0</v>
      </c>
      <c r="W44" s="8" t="s">
        <v>548</v>
      </c>
      <c r="X44" s="8">
        <v>1</v>
      </c>
      <c r="Y44" s="8">
        <v>1</v>
      </c>
      <c r="Z44" s="9">
        <v>0</v>
      </c>
      <c r="AA44" s="9">
        <v>0</v>
      </c>
      <c r="AB44" s="8" t="s">
        <v>548</v>
      </c>
      <c r="AC44" s="8">
        <v>18.9438381195068</v>
      </c>
      <c r="AD44" s="8">
        <v>3</v>
      </c>
      <c r="AE44" s="10">
        <v>1746</v>
      </c>
      <c r="AF44" s="9">
        <v>1.05</v>
      </c>
      <c r="AG44" s="8">
        <v>458.32499999999999</v>
      </c>
      <c r="AH44" s="8">
        <v>458.32499999999999</v>
      </c>
      <c r="AI44" s="11" t="s">
        <v>548</v>
      </c>
      <c r="AJ44" s="8">
        <v>0</v>
      </c>
      <c r="AK44" s="8">
        <v>2</v>
      </c>
      <c r="AL44" s="10">
        <v>1164</v>
      </c>
      <c r="AM44" s="10">
        <v>2</v>
      </c>
      <c r="AN44" s="10">
        <v>12</v>
      </c>
      <c r="AO44" s="10">
        <v>100</v>
      </c>
      <c r="AP44" s="10">
        <v>280</v>
      </c>
    </row>
    <row r="45" spans="1:45">
      <c r="A45" s="1" t="s">
        <v>322</v>
      </c>
      <c r="B45" s="1" t="s">
        <v>40</v>
      </c>
      <c r="C45" s="2">
        <v>1400</v>
      </c>
      <c r="D45" s="2">
        <v>700</v>
      </c>
      <c r="E45" s="3" t="s">
        <v>389</v>
      </c>
      <c r="F45" s="3" t="s">
        <v>405</v>
      </c>
      <c r="G45" s="4">
        <v>-2.1805908679962198</v>
      </c>
      <c r="H45" s="4">
        <v>1.5</v>
      </c>
      <c r="I45" s="2">
        <v>48</v>
      </c>
      <c r="J45" s="5">
        <v>9.5568205133872E-2</v>
      </c>
      <c r="K45" s="3" t="s">
        <v>552</v>
      </c>
      <c r="L45" s="4">
        <v>96.268730163574205</v>
      </c>
      <c r="M45" s="4">
        <v>0.749999999999996</v>
      </c>
      <c r="N45" s="2">
        <v>118</v>
      </c>
      <c r="O45" s="5">
        <v>4.7595600530786601</v>
      </c>
      <c r="P45" s="3" t="s">
        <v>552</v>
      </c>
      <c r="Q45" s="6">
        <v>110.45</v>
      </c>
      <c r="R45" s="7">
        <v>2.2200000000000002</v>
      </c>
      <c r="S45" s="8">
        <v>-2.1805908679962198</v>
      </c>
      <c r="T45" s="8">
        <v>-2.1805908679962198</v>
      </c>
      <c r="U45" s="9">
        <v>0</v>
      </c>
      <c r="V45" s="9">
        <v>0</v>
      </c>
      <c r="W45" s="8" t="s">
        <v>548</v>
      </c>
      <c r="X45" s="8">
        <v>96.268730163574205</v>
      </c>
      <c r="Y45" s="8">
        <v>96.268730163574205</v>
      </c>
      <c r="Z45" s="9">
        <v>0</v>
      </c>
      <c r="AA45" s="9">
        <v>0</v>
      </c>
      <c r="AB45" s="8" t="s">
        <v>548</v>
      </c>
      <c r="AC45" s="8">
        <v>256.93539428710898</v>
      </c>
      <c r="AD45" s="8">
        <v>3</v>
      </c>
      <c r="AE45" s="10">
        <v>1746</v>
      </c>
      <c r="AF45" s="9">
        <v>1.05</v>
      </c>
      <c r="AG45" s="8">
        <v>427.77</v>
      </c>
      <c r="AH45" s="8">
        <v>427.77</v>
      </c>
      <c r="AI45" s="11" t="s">
        <v>548</v>
      </c>
      <c r="AJ45" s="8">
        <v>0</v>
      </c>
      <c r="AK45" s="8">
        <v>2</v>
      </c>
      <c r="AL45" s="10">
        <v>1164</v>
      </c>
      <c r="AM45" s="10">
        <v>2</v>
      </c>
      <c r="AN45" s="10">
        <v>12</v>
      </c>
      <c r="AO45" s="10">
        <v>100</v>
      </c>
      <c r="AP45" s="10">
        <v>280</v>
      </c>
    </row>
    <row r="46" spans="1:45">
      <c r="A46" s="1" t="s">
        <v>322</v>
      </c>
      <c r="B46" s="1" t="s">
        <v>55</v>
      </c>
      <c r="C46" s="2">
        <v>1500</v>
      </c>
      <c r="D46" s="2">
        <v>700</v>
      </c>
      <c r="E46" s="3" t="s">
        <v>389</v>
      </c>
      <c r="F46" s="3" t="s">
        <v>405</v>
      </c>
      <c r="G46" s="4">
        <v>-3.2429239749908398</v>
      </c>
      <c r="H46" s="4">
        <v>0.37499999999999301</v>
      </c>
      <c r="I46" s="2">
        <v>48</v>
      </c>
      <c r="J46" s="5">
        <v>0.142133780991097</v>
      </c>
      <c r="K46" s="3" t="s">
        <v>549</v>
      </c>
      <c r="L46" s="4">
        <v>94.093032836914105</v>
      </c>
      <c r="M46" s="4">
        <v>0.70000000000000095</v>
      </c>
      <c r="N46" s="2">
        <v>118</v>
      </c>
      <c r="O46" s="5">
        <v>4.6490771055863398</v>
      </c>
      <c r="P46" s="3" t="s">
        <v>549</v>
      </c>
      <c r="Q46" s="6">
        <v>79.569999999999993</v>
      </c>
      <c r="R46" s="7">
        <v>2.4300000000000002</v>
      </c>
      <c r="S46" s="8">
        <v>-3.2429239749908398</v>
      </c>
      <c r="T46" s="8">
        <v>-3.2429239749908398</v>
      </c>
      <c r="U46" s="9">
        <v>0</v>
      </c>
      <c r="V46" s="9">
        <v>0</v>
      </c>
      <c r="W46" s="8" t="s">
        <v>548</v>
      </c>
      <c r="X46" s="8">
        <v>94.093032836914105</v>
      </c>
      <c r="Y46" s="8">
        <v>94.093032836914105</v>
      </c>
      <c r="Z46" s="9">
        <v>0</v>
      </c>
      <c r="AA46" s="9">
        <v>0</v>
      </c>
      <c r="AB46" s="8" t="s">
        <v>548</v>
      </c>
      <c r="AC46" s="8">
        <v>508.759033203125</v>
      </c>
      <c r="AD46" s="8">
        <v>3</v>
      </c>
      <c r="AE46" s="10">
        <v>1746</v>
      </c>
      <c r="AF46" s="9">
        <v>1.05</v>
      </c>
      <c r="AG46" s="8">
        <v>458.32499999999999</v>
      </c>
      <c r="AH46" s="8">
        <v>458.32499999999999</v>
      </c>
      <c r="AI46" s="11" t="s">
        <v>551</v>
      </c>
      <c r="AJ46" s="8">
        <v>50.434033203124997</v>
      </c>
      <c r="AK46" s="8">
        <v>2</v>
      </c>
      <c r="AL46" s="10">
        <v>1164</v>
      </c>
      <c r="AM46" s="10">
        <v>2</v>
      </c>
      <c r="AN46" s="10">
        <v>12</v>
      </c>
      <c r="AO46" s="10">
        <v>100</v>
      </c>
      <c r="AP46" s="10">
        <v>280</v>
      </c>
      <c r="AQ46" s="10">
        <v>1096.30386233131</v>
      </c>
      <c r="AR46" s="10">
        <v>160.84954386379701</v>
      </c>
      <c r="AS46" s="8" t="s">
        <v>548</v>
      </c>
    </row>
    <row r="47" spans="1:45">
      <c r="A47" s="1" t="s">
        <v>322</v>
      </c>
      <c r="B47" s="1" t="s">
        <v>66</v>
      </c>
      <c r="C47" s="2">
        <v>750</v>
      </c>
      <c r="D47" s="2">
        <v>700</v>
      </c>
      <c r="E47" s="3" t="s">
        <v>389</v>
      </c>
      <c r="F47" s="3" t="s">
        <v>405</v>
      </c>
      <c r="G47" s="4">
        <v>-9.4752101898193395</v>
      </c>
      <c r="H47" s="4">
        <v>0.37500000000000799</v>
      </c>
      <c r="I47" s="2">
        <v>48</v>
      </c>
      <c r="J47" s="5">
        <v>0.41564155269418801</v>
      </c>
      <c r="K47" s="3" t="s">
        <v>546</v>
      </c>
      <c r="L47" s="4">
        <v>65.915390014648395</v>
      </c>
      <c r="M47" s="4">
        <v>0.7</v>
      </c>
      <c r="N47" s="2">
        <v>118</v>
      </c>
      <c r="O47" s="5">
        <v>3.26538713206453</v>
      </c>
      <c r="P47" s="3" t="s">
        <v>547</v>
      </c>
      <c r="Q47" s="6">
        <v>13.61</v>
      </c>
      <c r="R47" s="7">
        <v>2.6</v>
      </c>
      <c r="S47" s="8">
        <v>-9.4752101898193395</v>
      </c>
      <c r="T47" s="8">
        <v>-9.4752101898193395</v>
      </c>
      <c r="U47" s="9">
        <v>0</v>
      </c>
      <c r="V47" s="9">
        <v>0</v>
      </c>
      <c r="W47" s="8" t="s">
        <v>548</v>
      </c>
      <c r="X47" s="8">
        <v>65.915390014648395</v>
      </c>
      <c r="Y47" s="8">
        <v>65.915390014648395</v>
      </c>
      <c r="Z47" s="9">
        <v>0</v>
      </c>
      <c r="AA47" s="9">
        <v>0</v>
      </c>
      <c r="AB47" s="8" t="s">
        <v>548</v>
      </c>
      <c r="AC47" s="8">
        <v>424.60592651367199</v>
      </c>
      <c r="AD47" s="8">
        <v>3</v>
      </c>
      <c r="AE47" s="10">
        <v>1746</v>
      </c>
      <c r="AF47" s="9">
        <v>1.05</v>
      </c>
      <c r="AG47" s="8">
        <v>229.16249999999999</v>
      </c>
      <c r="AH47" s="8">
        <v>229.16249999999999</v>
      </c>
      <c r="AI47" s="11" t="s">
        <v>551</v>
      </c>
      <c r="AJ47" s="8">
        <v>195.44342651367199</v>
      </c>
      <c r="AK47" s="8">
        <v>2</v>
      </c>
      <c r="AL47" s="10">
        <v>1164</v>
      </c>
      <c r="AM47" s="10">
        <v>2</v>
      </c>
      <c r="AN47" s="10">
        <v>12</v>
      </c>
      <c r="AO47" s="10">
        <v>100</v>
      </c>
      <c r="AP47" s="10">
        <v>280</v>
      </c>
      <c r="AQ47" s="10">
        <v>282.90040949350299</v>
      </c>
      <c r="AR47" s="10">
        <v>321.69908772759499</v>
      </c>
      <c r="AS47" s="8" t="s">
        <v>548</v>
      </c>
    </row>
    <row r="48" spans="1:45">
      <c r="A48" s="1" t="s">
        <v>329</v>
      </c>
      <c r="B48" s="1" t="s">
        <v>49</v>
      </c>
      <c r="C48" s="2">
        <v>1500</v>
      </c>
      <c r="D48" s="2">
        <v>700</v>
      </c>
      <c r="E48" s="3" t="s">
        <v>389</v>
      </c>
      <c r="F48" s="3" t="s">
        <v>405</v>
      </c>
      <c r="G48" s="4">
        <v>-43.485214233398402</v>
      </c>
      <c r="H48" s="4">
        <v>1.12499999999998</v>
      </c>
      <c r="I48" s="2">
        <v>48</v>
      </c>
      <c r="J48" s="5">
        <v>1.9100769659830601</v>
      </c>
      <c r="K48" s="3" t="s">
        <v>549</v>
      </c>
      <c r="L48" s="4">
        <v>127.548667907715</v>
      </c>
      <c r="M48" s="4">
        <v>0.750000000000002</v>
      </c>
      <c r="N48" s="2">
        <v>118</v>
      </c>
      <c r="O48" s="5">
        <v>6.3167564237915297</v>
      </c>
      <c r="P48" s="3" t="s">
        <v>549</v>
      </c>
      <c r="Q48" s="6">
        <v>5.92</v>
      </c>
      <c r="R48" s="7">
        <v>1.79</v>
      </c>
      <c r="S48" s="8">
        <v>-43.485214233398402</v>
      </c>
      <c r="T48" s="8">
        <v>-43.485214233398402</v>
      </c>
      <c r="U48" s="9">
        <v>0</v>
      </c>
      <c r="V48" s="9">
        <v>0</v>
      </c>
      <c r="W48" s="8" t="s">
        <v>548</v>
      </c>
      <c r="X48" s="8">
        <v>127.548667907715</v>
      </c>
      <c r="Y48" s="8">
        <v>127.548667907715</v>
      </c>
      <c r="Z48" s="9">
        <v>0</v>
      </c>
      <c r="AA48" s="9">
        <v>0</v>
      </c>
      <c r="AB48" s="8" t="s">
        <v>548</v>
      </c>
      <c r="AC48" s="8">
        <v>458.40945434570301</v>
      </c>
      <c r="AD48" s="8">
        <v>3</v>
      </c>
      <c r="AE48" s="10">
        <v>1746</v>
      </c>
      <c r="AF48" s="9">
        <v>1.05</v>
      </c>
      <c r="AG48" s="8">
        <v>458.32499999999999</v>
      </c>
      <c r="AH48" s="8">
        <v>458.32499999999999</v>
      </c>
      <c r="AI48" s="11" t="s">
        <v>551</v>
      </c>
      <c r="AJ48" s="8">
        <v>8.4454345702965797E-2</v>
      </c>
      <c r="AK48" s="8">
        <v>2</v>
      </c>
      <c r="AL48" s="10">
        <v>1164</v>
      </c>
      <c r="AM48" s="10">
        <v>2</v>
      </c>
      <c r="AN48" s="10">
        <v>12</v>
      </c>
      <c r="AO48" s="10">
        <v>100</v>
      </c>
      <c r="AP48" s="10">
        <v>280</v>
      </c>
      <c r="AQ48" s="10">
        <v>654685.37981449906</v>
      </c>
      <c r="AR48" s="10">
        <v>160.84954386379701</v>
      </c>
      <c r="AS48" s="8" t="s">
        <v>548</v>
      </c>
    </row>
    <row r="49" spans="1:45">
      <c r="A49" s="1" t="s">
        <v>329</v>
      </c>
      <c r="B49" s="1" t="s">
        <v>73</v>
      </c>
      <c r="C49" s="2">
        <v>1500</v>
      </c>
      <c r="D49" s="2">
        <v>700</v>
      </c>
      <c r="E49" s="3" t="s">
        <v>389</v>
      </c>
      <c r="F49" s="3" t="s">
        <v>405</v>
      </c>
      <c r="G49" s="4">
        <v>-11.7893571853638</v>
      </c>
      <c r="H49" s="4">
        <v>0.37499999999999201</v>
      </c>
      <c r="I49" s="2">
        <v>48</v>
      </c>
      <c r="J49" s="5">
        <v>0.51695367838020101</v>
      </c>
      <c r="K49" s="3" t="s">
        <v>549</v>
      </c>
      <c r="L49" s="4">
        <v>181.54824829101599</v>
      </c>
      <c r="M49" s="4">
        <v>0.749999999999995</v>
      </c>
      <c r="N49" s="2">
        <v>118</v>
      </c>
      <c r="O49" s="5">
        <v>9.0251370874246408</v>
      </c>
      <c r="P49" s="3" t="s">
        <v>553</v>
      </c>
      <c r="Q49" s="6">
        <v>21.88</v>
      </c>
      <c r="R49" s="7">
        <v>1.88</v>
      </c>
      <c r="S49" s="8">
        <v>-11.7893571853638</v>
      </c>
      <c r="T49" s="8">
        <v>-11.7893571853638</v>
      </c>
      <c r="U49" s="9">
        <v>0</v>
      </c>
      <c r="V49" s="9">
        <v>0</v>
      </c>
      <c r="W49" s="8" t="s">
        <v>548</v>
      </c>
      <c r="X49" s="8">
        <v>181.54824829101599</v>
      </c>
      <c r="Y49" s="8">
        <v>181.54824829101599</v>
      </c>
      <c r="Z49" s="9">
        <v>0</v>
      </c>
      <c r="AA49" s="9">
        <v>0</v>
      </c>
      <c r="AB49" s="8" t="s">
        <v>548</v>
      </c>
      <c r="AC49" s="8">
        <v>466.34515380859398</v>
      </c>
      <c r="AD49" s="8">
        <v>3</v>
      </c>
      <c r="AE49" s="10">
        <v>1746</v>
      </c>
      <c r="AF49" s="9">
        <v>1.05</v>
      </c>
      <c r="AG49" s="8">
        <v>458.32499999999999</v>
      </c>
      <c r="AH49" s="8">
        <v>458.32499999999999</v>
      </c>
      <c r="AI49" s="11" t="s">
        <v>551</v>
      </c>
      <c r="AJ49" s="8">
        <v>8.0201538085939301</v>
      </c>
      <c r="AK49" s="8">
        <v>2</v>
      </c>
      <c r="AL49" s="10">
        <v>1164</v>
      </c>
      <c r="AM49" s="10">
        <v>2</v>
      </c>
      <c r="AN49" s="10">
        <v>12</v>
      </c>
      <c r="AO49" s="10">
        <v>100</v>
      </c>
      <c r="AP49" s="10">
        <v>280</v>
      </c>
      <c r="AQ49" s="10">
        <v>6894.0106029244198</v>
      </c>
      <c r="AR49" s="10">
        <v>160.84954386379701</v>
      </c>
      <c r="AS49" s="8" t="s">
        <v>548</v>
      </c>
    </row>
    <row r="50" spans="1:45">
      <c r="A50" s="1" t="s">
        <v>334</v>
      </c>
      <c r="B50" s="1" t="s">
        <v>50</v>
      </c>
      <c r="C50" s="2">
        <v>1500</v>
      </c>
      <c r="D50" s="2">
        <v>700</v>
      </c>
      <c r="E50" s="3" t="s">
        <v>389</v>
      </c>
      <c r="F50" s="3" t="s">
        <v>405</v>
      </c>
      <c r="G50" s="4">
        <v>-35.954181671142599</v>
      </c>
      <c r="H50" s="4">
        <v>0.37499999999998401</v>
      </c>
      <c r="I50" s="2">
        <v>48</v>
      </c>
      <c r="J50" s="5">
        <v>1.5786310615103201</v>
      </c>
      <c r="K50" s="3" t="s">
        <v>549</v>
      </c>
      <c r="L50" s="4">
        <v>143.26818847656301</v>
      </c>
      <c r="M50" s="4">
        <v>0.750000000000003</v>
      </c>
      <c r="N50" s="2">
        <v>118</v>
      </c>
      <c r="O50" s="5">
        <v>7.1030435824544096</v>
      </c>
      <c r="P50" s="3" t="s">
        <v>553</v>
      </c>
      <c r="Q50" s="6">
        <v>7.16</v>
      </c>
      <c r="R50" s="7">
        <v>2.39</v>
      </c>
      <c r="S50" s="8">
        <v>-35.954181671142599</v>
      </c>
      <c r="T50" s="8">
        <v>-35.954181671142599</v>
      </c>
      <c r="U50" s="9">
        <v>0</v>
      </c>
      <c r="V50" s="9">
        <v>0</v>
      </c>
      <c r="W50" s="8" t="s">
        <v>548</v>
      </c>
      <c r="X50" s="8">
        <v>143.26818847656301</v>
      </c>
      <c r="Y50" s="8">
        <v>143.26818847656301</v>
      </c>
      <c r="Z50" s="9">
        <v>0</v>
      </c>
      <c r="AA50" s="9">
        <v>0</v>
      </c>
      <c r="AB50" s="8" t="s">
        <v>548</v>
      </c>
      <c r="AC50" s="8">
        <v>473.89276123046898</v>
      </c>
      <c r="AD50" s="8">
        <v>3</v>
      </c>
      <c r="AE50" s="10">
        <v>1746</v>
      </c>
      <c r="AF50" s="9">
        <v>1.05</v>
      </c>
      <c r="AG50" s="8">
        <v>458.32499999999999</v>
      </c>
      <c r="AH50" s="8">
        <v>458.32499999999999</v>
      </c>
      <c r="AI50" s="11" t="s">
        <v>551</v>
      </c>
      <c r="AJ50" s="8">
        <v>15.5677612304689</v>
      </c>
      <c r="AK50" s="8">
        <v>2</v>
      </c>
      <c r="AL50" s="10">
        <v>1164</v>
      </c>
      <c r="AM50" s="10">
        <v>2</v>
      </c>
      <c r="AN50" s="10">
        <v>12</v>
      </c>
      <c r="AO50" s="10">
        <v>100</v>
      </c>
      <c r="AP50" s="10">
        <v>280</v>
      </c>
      <c r="AQ50" s="10">
        <v>3551.63626773236</v>
      </c>
      <c r="AR50" s="10">
        <v>160.84954386379701</v>
      </c>
      <c r="AS50" s="8" t="s">
        <v>548</v>
      </c>
    </row>
    <row r="51" spans="1:45">
      <c r="A51" s="1" t="s">
        <v>334</v>
      </c>
      <c r="B51" s="1" t="s">
        <v>74</v>
      </c>
      <c r="C51" s="2">
        <v>1500</v>
      </c>
      <c r="D51" s="2">
        <v>700</v>
      </c>
      <c r="E51" s="3" t="s">
        <v>389</v>
      </c>
      <c r="F51" s="3" t="s">
        <v>405</v>
      </c>
      <c r="G51" s="4">
        <v>-23.552583694458001</v>
      </c>
      <c r="H51" s="4">
        <v>0.37499999999999301</v>
      </c>
      <c r="I51" s="2">
        <v>48</v>
      </c>
      <c r="J51" s="5">
        <v>1.03342061254789</v>
      </c>
      <c r="K51" s="3" t="s">
        <v>549</v>
      </c>
      <c r="L51" s="4">
        <v>168.81266784668</v>
      </c>
      <c r="M51" s="4">
        <v>0.75</v>
      </c>
      <c r="N51" s="2">
        <v>118</v>
      </c>
      <c r="O51" s="5">
        <v>8.3845055780951707</v>
      </c>
      <c r="P51" s="3" t="s">
        <v>553</v>
      </c>
      <c r="Q51" s="6">
        <v>10.94</v>
      </c>
      <c r="R51" s="7">
        <v>2.02</v>
      </c>
      <c r="S51" s="8">
        <v>-23.552583694458001</v>
      </c>
      <c r="T51" s="8">
        <v>-23.552583694458001</v>
      </c>
      <c r="U51" s="9">
        <v>0</v>
      </c>
      <c r="V51" s="9">
        <v>0</v>
      </c>
      <c r="W51" s="8" t="s">
        <v>548</v>
      </c>
      <c r="X51" s="8">
        <v>168.81266784668</v>
      </c>
      <c r="Y51" s="8">
        <v>168.81266784668</v>
      </c>
      <c r="Z51" s="9">
        <v>0</v>
      </c>
      <c r="AA51" s="9">
        <v>0</v>
      </c>
      <c r="AB51" s="8" t="s">
        <v>548</v>
      </c>
      <c r="AC51" s="8">
        <v>461.77688598632801</v>
      </c>
      <c r="AD51" s="8">
        <v>3</v>
      </c>
      <c r="AE51" s="10">
        <v>1746</v>
      </c>
      <c r="AF51" s="9">
        <v>1.05</v>
      </c>
      <c r="AG51" s="8">
        <v>458.32499999999999</v>
      </c>
      <c r="AH51" s="8">
        <v>458.32499999999999</v>
      </c>
      <c r="AI51" s="11" t="s">
        <v>551</v>
      </c>
      <c r="AJ51" s="8">
        <v>3.4518859863279698</v>
      </c>
      <c r="AK51" s="8">
        <v>2</v>
      </c>
      <c r="AL51" s="10">
        <v>1164</v>
      </c>
      <c r="AM51" s="10">
        <v>2</v>
      </c>
      <c r="AN51" s="10">
        <v>12</v>
      </c>
      <c r="AO51" s="10">
        <v>100</v>
      </c>
      <c r="AP51" s="10">
        <v>280</v>
      </c>
      <c r="AQ51" s="10">
        <v>16017.627932244801</v>
      </c>
      <c r="AR51" s="10">
        <v>160.84954386379701</v>
      </c>
      <c r="AS51" s="8" t="s">
        <v>548</v>
      </c>
    </row>
    <row r="52" spans="1:45">
      <c r="A52" s="1" t="s">
        <v>339</v>
      </c>
      <c r="B52" s="1" t="s">
        <v>51</v>
      </c>
      <c r="C52" s="2">
        <v>1500</v>
      </c>
      <c r="D52" s="2">
        <v>700</v>
      </c>
      <c r="E52" s="3" t="s">
        <v>389</v>
      </c>
      <c r="F52" s="3" t="s">
        <v>405</v>
      </c>
      <c r="G52" s="4">
        <v>-1</v>
      </c>
      <c r="H52" s="4" t="s">
        <v>203</v>
      </c>
      <c r="I52" s="2">
        <v>48</v>
      </c>
      <c r="J52" s="5">
        <v>4.3823579457415503E-2</v>
      </c>
      <c r="K52" s="3" t="s">
        <v>549</v>
      </c>
      <c r="L52" s="4">
        <v>215.76348876953099</v>
      </c>
      <c r="M52" s="4">
        <v>0.75</v>
      </c>
      <c r="N52" s="2">
        <v>121</v>
      </c>
      <c r="O52" s="5">
        <v>10.809471616417699</v>
      </c>
      <c r="P52" s="3" t="s">
        <v>554</v>
      </c>
      <c r="Q52" s="6" t="s">
        <v>203</v>
      </c>
      <c r="R52" s="7">
        <v>2.14</v>
      </c>
      <c r="S52" s="8">
        <v>-1</v>
      </c>
      <c r="T52" s="8">
        <v>-1</v>
      </c>
      <c r="U52" s="9">
        <v>0</v>
      </c>
      <c r="V52" s="9">
        <v>0</v>
      </c>
      <c r="W52" s="8" t="s">
        <v>548</v>
      </c>
      <c r="X52" s="8">
        <v>215.76348876953099</v>
      </c>
      <c r="Y52" s="8">
        <v>215.76348876953099</v>
      </c>
      <c r="Z52" s="9">
        <v>0</v>
      </c>
      <c r="AA52" s="9">
        <v>0</v>
      </c>
      <c r="AB52" s="8" t="s">
        <v>548</v>
      </c>
      <c r="AC52" s="8">
        <v>499.53607177734398</v>
      </c>
      <c r="AD52" s="8">
        <v>3</v>
      </c>
      <c r="AE52" s="10">
        <v>1737</v>
      </c>
      <c r="AF52" s="9">
        <v>1.05</v>
      </c>
      <c r="AG52" s="8">
        <v>455.96249999999998</v>
      </c>
      <c r="AH52" s="8">
        <v>455.96249999999998</v>
      </c>
      <c r="AI52" s="11" t="s">
        <v>551</v>
      </c>
      <c r="AJ52" s="8">
        <v>43.573571777343901</v>
      </c>
      <c r="AK52" s="8">
        <v>2</v>
      </c>
      <c r="AL52" s="10">
        <v>1158</v>
      </c>
      <c r="AM52" s="10">
        <v>2</v>
      </c>
      <c r="AN52" s="10">
        <v>12</v>
      </c>
      <c r="AO52" s="10">
        <v>100</v>
      </c>
      <c r="AP52" s="10">
        <v>280</v>
      </c>
      <c r="AQ52" s="10">
        <v>1262.3711544482101</v>
      </c>
      <c r="AR52" s="10">
        <v>160.84954386379701</v>
      </c>
      <c r="AS52" s="8" t="s">
        <v>548</v>
      </c>
    </row>
    <row r="53" spans="1:45">
      <c r="A53" s="1" t="s">
        <v>339</v>
      </c>
      <c r="B53" s="1" t="s">
        <v>75</v>
      </c>
      <c r="C53" s="2">
        <v>1500</v>
      </c>
      <c r="D53" s="2">
        <v>700</v>
      </c>
      <c r="E53" s="3" t="s">
        <v>389</v>
      </c>
      <c r="F53" s="3" t="s">
        <v>405</v>
      </c>
      <c r="G53" s="4">
        <v>-6.0757889747619602</v>
      </c>
      <c r="H53" s="4">
        <v>0.374999999999994</v>
      </c>
      <c r="I53" s="2">
        <v>48</v>
      </c>
      <c r="J53" s="5">
        <v>0.266335958157635</v>
      </c>
      <c r="K53" s="3" t="s">
        <v>549</v>
      </c>
      <c r="L53" s="4">
        <v>194.77517700195301</v>
      </c>
      <c r="M53" s="4">
        <v>0.750000000000004</v>
      </c>
      <c r="N53" s="2">
        <v>118</v>
      </c>
      <c r="O53" s="5">
        <v>9.6917189864547897</v>
      </c>
      <c r="P53" s="3" t="s">
        <v>553</v>
      </c>
      <c r="Q53" s="6">
        <v>42.46</v>
      </c>
      <c r="R53" s="7">
        <v>1.75</v>
      </c>
      <c r="S53" s="8">
        <v>-6.0757889747619602</v>
      </c>
      <c r="T53" s="8">
        <v>-6.0757889747619602</v>
      </c>
      <c r="U53" s="9">
        <v>0</v>
      </c>
      <c r="V53" s="9">
        <v>0</v>
      </c>
      <c r="W53" s="8" t="s">
        <v>548</v>
      </c>
      <c r="X53" s="8">
        <v>194.77517700195301</v>
      </c>
      <c r="Y53" s="8">
        <v>194.77517700195301</v>
      </c>
      <c r="Z53" s="9">
        <v>0</v>
      </c>
      <c r="AA53" s="9">
        <v>0</v>
      </c>
      <c r="AB53" s="8" t="s">
        <v>548</v>
      </c>
      <c r="AC53" s="8">
        <v>495.12069702148398</v>
      </c>
      <c r="AD53" s="8">
        <v>3</v>
      </c>
      <c r="AE53" s="10">
        <v>1746</v>
      </c>
      <c r="AF53" s="9">
        <v>1.05</v>
      </c>
      <c r="AG53" s="8">
        <v>458.32499999999999</v>
      </c>
      <c r="AH53" s="8">
        <v>458.32499999999999</v>
      </c>
      <c r="AI53" s="11" t="s">
        <v>551</v>
      </c>
      <c r="AJ53" s="8">
        <v>36.795697021483903</v>
      </c>
      <c r="AK53" s="8">
        <v>2</v>
      </c>
      <c r="AL53" s="10">
        <v>1164</v>
      </c>
      <c r="AM53" s="10">
        <v>2</v>
      </c>
      <c r="AN53" s="10">
        <v>12</v>
      </c>
      <c r="AO53" s="10">
        <v>100</v>
      </c>
      <c r="AP53" s="10">
        <v>280</v>
      </c>
      <c r="AQ53" s="10">
        <v>1502.6492190445099</v>
      </c>
      <c r="AR53" s="10">
        <v>160.84954386379701</v>
      </c>
      <c r="AS53" s="8" t="s">
        <v>548</v>
      </c>
    </row>
  </sheetData>
  <mergeCells count="35">
    <mergeCell ref="S7:W7"/>
    <mergeCell ref="E7:F8"/>
    <mergeCell ref="Q7:R8"/>
    <mergeCell ref="C7:D7"/>
    <mergeCell ref="G7:K7"/>
    <mergeCell ref="L7:P7"/>
    <mergeCell ref="X7:AB7"/>
    <mergeCell ref="A5:E5"/>
    <mergeCell ref="F5:K5"/>
    <mergeCell ref="L5:O5"/>
    <mergeCell ref="P5:AS5"/>
    <mergeCell ref="A6:AS6"/>
    <mergeCell ref="AC7:AI7"/>
    <mergeCell ref="AJ7:AS7"/>
    <mergeCell ref="A7:A9"/>
    <mergeCell ref="B7:B9"/>
    <mergeCell ref="AD8:AD9"/>
    <mergeCell ref="AJ8:AJ9"/>
    <mergeCell ref="AK8:AK9"/>
    <mergeCell ref="AQ8:AQ9"/>
    <mergeCell ref="AR8:AR9"/>
    <mergeCell ref="AS8:AS9"/>
    <mergeCell ref="A3:E3"/>
    <mergeCell ref="F3:K3"/>
    <mergeCell ref="L3:O3"/>
    <mergeCell ref="P3:AS3"/>
    <mergeCell ref="A4:E4"/>
    <mergeCell ref="F4:K4"/>
    <mergeCell ref="L4:O4"/>
    <mergeCell ref="P4:AS4"/>
    <mergeCell ref="A1:AS1"/>
    <mergeCell ref="A2:E2"/>
    <mergeCell ref="F2:K2"/>
    <mergeCell ref="L2:O2"/>
    <mergeCell ref="P2:AS2"/>
  </mergeCells>
  <printOptions horizontalCentered="1" gridLines="1"/>
  <pageMargins left="0.6" right="0.4" top="0.4" bottom="0.4" header="0.15748031496063" footer="0.15748031496063"/>
  <pageSetup paperSize="9" scale="49" fitToHeight="0" orientation="landscape" r:id="rId1"/>
  <headerFooter differentOddEven="1" differentFirst="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ProgramName</vt:lpstr>
      <vt:lpstr>BEAM FORCES</vt:lpstr>
      <vt:lpstr>FRAME SECTION PROPERTIES</vt:lpstr>
      <vt:lpstr>FRAME ASSIGNMENTS SUMMARY</vt:lpstr>
      <vt:lpstr>POINT COORDINATES</vt:lpstr>
      <vt:lpstr>BEAM CONNECTIVITY DATA</vt:lpstr>
      <vt:lpstr>NoiLuc</vt:lpstr>
      <vt:lpstr>BanVe</vt:lpstr>
      <vt:lpstr>THDL</vt:lpstr>
      <vt:lpstr>TinhMong</vt:lpstr>
      <vt:lpstr>ThuyetMinh</vt:lpstr>
      <vt:lpstr>TinhMong!Print_Area</vt:lpstr>
      <vt:lpstr>ThuyetMinh!Print_Area</vt:lpstr>
      <vt:lpstr>ThuyetMinh!Print_Titles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DuyNV</dc:creator>
  <cp:lastModifiedBy>C P</cp:lastModifiedBy>
  <cp:lastPrinted>2019-06-18T18:52:00Z</cp:lastPrinted>
  <dcterms:created xsi:type="dcterms:W3CDTF">2014-06-17T14:23:00Z</dcterms:created>
  <dcterms:modified xsi:type="dcterms:W3CDTF">2026-10-14T05:03:03Z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4D79419B9A4A4FD2A8BBC2D43312A3AA_12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